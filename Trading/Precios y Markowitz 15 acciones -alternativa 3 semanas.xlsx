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15. Proyecto BVL\Base de datos\"/>
    </mc:Choice>
  </mc:AlternateContent>
  <xr:revisionPtr revIDLastSave="0" documentId="13_ncr:1_{3C64D5D7-9920-4212-9CB1-487CC7C9C29B}" xr6:coauthVersionLast="44" xr6:coauthVersionMax="44" xr10:uidLastSave="{00000000-0000-0000-0000-000000000000}"/>
  <bookViews>
    <workbookView xWindow="-120" yWindow="-120" windowWidth="29040" windowHeight="15840" xr2:uid="{744567F8-7BEE-4944-B522-A5662AAF3DEC}"/>
  </bookViews>
  <sheets>
    <sheet name="cartera" sheetId="2" r:id="rId1"/>
    <sheet name="rprecios" sheetId="4" r:id="rId2"/>
    <sheet name="basedatos" sheetId="3" r:id="rId3"/>
  </sheets>
  <definedNames>
    <definedName name="_xlnm._FilterDatabase" localSheetId="0" hidden="1">rprecios!$A$1:$P$1915</definedName>
    <definedName name="ALICORPC1">cartera!$B$3:$B$1935</definedName>
    <definedName name="BAP">cartera!$C$3:$C$1935</definedName>
    <definedName name="BBVAC1">cartera!$D$3:$D$1935</definedName>
    <definedName name="BVN">cartera!$E$3:$E$1935</definedName>
    <definedName name="Columna1">cartera!$A$3:$A$1882</definedName>
    <definedName name="COV">cartera!$S$12:$AG$26</definedName>
    <definedName name="CPACASC1">cartera!$F$3:$F$1935</definedName>
    <definedName name="FECHAS">cartera!$A$3:$A$1935</definedName>
    <definedName name="FERREYC1">cartera!$G$3:$G$1935</definedName>
    <definedName name="GRAMONC1">cartera!$H$3:$H$1935</definedName>
    <definedName name="IFS">cartera!$I$3:$I$1935</definedName>
    <definedName name="INRETC1">cartera!$J$3:$J$1935</definedName>
    <definedName name="LUSURC1">cartera!$K$3:$K$1935</definedName>
    <definedName name="MINSURI1">cartera!$L$3:$L$1935</definedName>
    <definedName name="NEXAPEC1">cartera!$M$3:$M$1935</definedName>
    <definedName name="RELAPAC1">cartera!$N$3:$N$1935</definedName>
    <definedName name="solver_adj" localSheetId="0" hidden="1">cartera!$AJ$6:$AX$6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cartera!$AJ$6:$AX$6</definedName>
    <definedName name="solver_lhs10" localSheetId="0" hidden="1">cartera!$AN$4</definedName>
    <definedName name="solver_lhs11" localSheetId="0" hidden="1">cartera!$AO$4</definedName>
    <definedName name="solver_lhs12" localSheetId="0" hidden="1">cartera!$AO$4</definedName>
    <definedName name="solver_lhs13" localSheetId="0" hidden="1">cartera!$AP$4</definedName>
    <definedName name="solver_lhs14" localSheetId="0" hidden="1">cartera!$AP$4</definedName>
    <definedName name="solver_lhs15" localSheetId="0" hidden="1">cartera!$AQ$4</definedName>
    <definedName name="solver_lhs16" localSheetId="0" hidden="1">cartera!$AQ$4</definedName>
    <definedName name="solver_lhs17" localSheetId="0" hidden="1">cartera!$AR$4</definedName>
    <definedName name="solver_lhs18" localSheetId="0" hidden="1">cartera!$AR$4</definedName>
    <definedName name="solver_lhs19" localSheetId="0" hidden="1">cartera!$AS$4</definedName>
    <definedName name="solver_lhs2" localSheetId="0" hidden="1">cartera!$AM$6</definedName>
    <definedName name="solver_lhs20" localSheetId="0" hidden="1">cartera!$AS$4</definedName>
    <definedName name="solver_lhs21" localSheetId="0" hidden="1">cartera!$AT$4</definedName>
    <definedName name="solver_lhs22" localSheetId="0" hidden="1">cartera!$AT$4</definedName>
    <definedName name="solver_lhs23" localSheetId="0" hidden="1">cartera!$AU$4</definedName>
    <definedName name="solver_lhs24" localSheetId="0" hidden="1">cartera!$AU$4</definedName>
    <definedName name="solver_lhs25" localSheetId="0" hidden="1">cartera!$AV$4</definedName>
    <definedName name="solver_lhs26" localSheetId="0" hidden="1">cartera!$AV$4</definedName>
    <definedName name="solver_lhs27" localSheetId="0" hidden="1">cartera!$AW$4</definedName>
    <definedName name="solver_lhs28" localSheetId="0" hidden="1">cartera!$AW$4</definedName>
    <definedName name="solver_lhs29" localSheetId="0" hidden="1">cartera!$AX$4</definedName>
    <definedName name="solver_lhs3" localSheetId="0" hidden="1">cartera!$AZ$6</definedName>
    <definedName name="solver_lhs30" localSheetId="0" hidden="1">cartera!$AX$4</definedName>
    <definedName name="solver_lhs31" localSheetId="0" hidden="1">cartera!$AZ$4</definedName>
    <definedName name="solver_lhs32" localSheetId="0" hidden="1">cartera!$AZ$4</definedName>
    <definedName name="solver_lhs33" localSheetId="0" hidden="1">cartera!$AZ$4</definedName>
    <definedName name="solver_lhs34" localSheetId="0" hidden="1">cartera!$AZ$4</definedName>
    <definedName name="solver_lhs4" localSheetId="0" hidden="1">cartera!$AZ$6</definedName>
    <definedName name="solver_lhs5" localSheetId="0" hidden="1">cartera!$BC$4</definedName>
    <definedName name="solver_lhs6" localSheetId="0" hidden="1">cartera!$AL$4</definedName>
    <definedName name="solver_lhs7" localSheetId="0" hidden="1">cartera!$AM$4</definedName>
    <definedName name="solver_lhs8" localSheetId="0" hidden="1">cartera!$AM$4</definedName>
    <definedName name="solver_lhs9" localSheetId="0" hidden="1">cartera!$AN$4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cartera!$BC$8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15" localSheetId="0" hidden="1">1</definedName>
    <definedName name="solver_rel16" localSheetId="0" hidden="1">3</definedName>
    <definedName name="solver_rel17" localSheetId="0" hidden="1">1</definedName>
    <definedName name="solver_rel18" localSheetId="0" hidden="1">3</definedName>
    <definedName name="solver_rel19" localSheetId="0" hidden="1">1</definedName>
    <definedName name="solver_rel2" localSheetId="0" hidden="1">3</definedName>
    <definedName name="solver_rel20" localSheetId="0" hidden="1">3</definedName>
    <definedName name="solver_rel21" localSheetId="0" hidden="1">1</definedName>
    <definedName name="solver_rel22" localSheetId="0" hidden="1">3</definedName>
    <definedName name="solver_rel23" localSheetId="0" hidden="1">1</definedName>
    <definedName name="solver_rel24" localSheetId="0" hidden="1">3</definedName>
    <definedName name="solver_rel25" localSheetId="0" hidden="1">1</definedName>
    <definedName name="solver_rel26" localSheetId="0" hidden="1">3</definedName>
    <definedName name="solver_rel27" localSheetId="0" hidden="1">1</definedName>
    <definedName name="solver_rel28" localSheetId="0" hidden="1">3</definedName>
    <definedName name="solver_rel29" localSheetId="0" hidden="1">1</definedName>
    <definedName name="solver_rel3" localSheetId="0" hidden="1">2</definedName>
    <definedName name="solver_rel30" localSheetId="0" hidden="1">3</definedName>
    <definedName name="solver_rel31" localSheetId="0" hidden="1">2</definedName>
    <definedName name="solver_rel32" localSheetId="0" hidden="1">2</definedName>
    <definedName name="solver_rel33" localSheetId="0" hidden="1">2</definedName>
    <definedName name="solver_rel34" localSheetId="0" hidden="1">2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0</definedName>
    <definedName name="solver_rhs10" localSheetId="0" hidden="1">0</definedName>
    <definedName name="solver_rhs11" localSheetId="0" hidden="1">1</definedName>
    <definedName name="solver_rhs12" localSheetId="0" hidden="1">0</definedName>
    <definedName name="solver_rhs13" localSheetId="0" hidden="1">1</definedName>
    <definedName name="solver_rhs14" localSheetId="0" hidden="1">0</definedName>
    <definedName name="solver_rhs15" localSheetId="0" hidden="1">1</definedName>
    <definedName name="solver_rhs16" localSheetId="0" hidden="1">0</definedName>
    <definedName name="solver_rhs17" localSheetId="0" hidden="1">1</definedName>
    <definedName name="solver_rhs18" localSheetId="0" hidden="1">0</definedName>
    <definedName name="solver_rhs19" localSheetId="0" hidden="1">1</definedName>
    <definedName name="solver_rhs2" localSheetId="0" hidden="1">cartera!$BC$16</definedName>
    <definedName name="solver_rhs20" localSheetId="0" hidden="1">0</definedName>
    <definedName name="solver_rhs21" localSheetId="0" hidden="1">1</definedName>
    <definedName name="solver_rhs22" localSheetId="0" hidden="1">0</definedName>
    <definedName name="solver_rhs23" localSheetId="0" hidden="1">1</definedName>
    <definedName name="solver_rhs24" localSheetId="0" hidden="1">0</definedName>
    <definedName name="solver_rhs25" localSheetId="0" hidden="1">1</definedName>
    <definedName name="solver_rhs26" localSheetId="0" hidden="1">0</definedName>
    <definedName name="solver_rhs27" localSheetId="0" hidden="1">1</definedName>
    <definedName name="solver_rhs28" localSheetId="0" hidden="1">0</definedName>
    <definedName name="solver_rhs29" localSheetId="0" hidden="1">1</definedName>
    <definedName name="solver_rhs3" localSheetId="0" hidden="1">1</definedName>
    <definedName name="solver_rhs30" localSheetId="0" hidden="1">0</definedName>
    <definedName name="solver_rhs31" localSheetId="0" hidden="1">1</definedName>
    <definedName name="solver_rhs32" localSheetId="0" hidden="1">1</definedName>
    <definedName name="solver_rhs33" localSheetId="0" hidden="1">1</definedName>
    <definedName name="solver_rhs34" localSheetId="0" hidden="1">1</definedName>
    <definedName name="solver_rhs4" localSheetId="0" hidden="1">1</definedName>
    <definedName name="solver_rhs5" localSheetId="0" hidden="1">cartera!$BC$21</definedName>
    <definedName name="solver_rhs6" localSheetId="0" hidden="1">0</definedName>
    <definedName name="solver_rhs7" localSheetId="0" hidden="1">1</definedName>
    <definedName name="solver_rhs8" localSheetId="0" hidden="1">0</definedName>
    <definedName name="solver_rhs9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UNACEMC1">cartera!$O$3:$O$1935</definedName>
    <definedName name="VOLCABC1">cartera!$P$3:$P$1935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14" i="2" l="1"/>
  <c r="AK14" i="2"/>
  <c r="AL14" i="2"/>
  <c r="AN14" i="2"/>
  <c r="AO14" i="2"/>
  <c r="AP14" i="2"/>
  <c r="AQ14" i="2"/>
  <c r="AR14" i="2"/>
  <c r="AS14" i="2"/>
  <c r="AT14" i="2"/>
  <c r="AU14" i="2"/>
  <c r="AV14" i="2"/>
  <c r="AW14" i="2"/>
  <c r="AX14" i="2"/>
  <c r="AM14" i="2"/>
  <c r="BJ70" i="2" l="1"/>
  <c r="BJ71" i="2" s="1"/>
  <c r="BH73" i="2" s="1"/>
  <c r="BI49" i="2"/>
  <c r="BI60" i="2"/>
  <c r="BB19" i="2"/>
  <c r="BC18" i="2"/>
  <c r="BC17" i="2"/>
  <c r="BC16" i="2"/>
  <c r="BD50" i="2"/>
  <c r="B1935" i="2"/>
  <c r="B1930" i="2"/>
  <c r="C1930" i="2"/>
  <c r="D1930" i="2"/>
  <c r="E1930" i="2"/>
  <c r="F1930" i="2"/>
  <c r="G1930" i="2"/>
  <c r="H1930" i="2"/>
  <c r="I1930" i="2"/>
  <c r="J1930" i="2"/>
  <c r="K1930" i="2"/>
  <c r="L1930" i="2"/>
  <c r="M1930" i="2"/>
  <c r="N1930" i="2"/>
  <c r="O1930" i="2"/>
  <c r="P1930" i="2"/>
  <c r="B1931" i="2"/>
  <c r="C1931" i="2"/>
  <c r="D1931" i="2"/>
  <c r="E1931" i="2"/>
  <c r="F1931" i="2"/>
  <c r="G1931" i="2"/>
  <c r="H1931" i="2"/>
  <c r="I1931" i="2"/>
  <c r="J1931" i="2"/>
  <c r="K1931" i="2"/>
  <c r="L1931" i="2"/>
  <c r="M1931" i="2"/>
  <c r="N1931" i="2"/>
  <c r="O1931" i="2"/>
  <c r="P1931" i="2"/>
  <c r="B1932" i="2"/>
  <c r="C1932" i="2"/>
  <c r="D1932" i="2"/>
  <c r="E1932" i="2"/>
  <c r="F1932" i="2"/>
  <c r="G1932" i="2"/>
  <c r="H1932" i="2"/>
  <c r="I1932" i="2"/>
  <c r="J1932" i="2"/>
  <c r="K1932" i="2"/>
  <c r="L1932" i="2"/>
  <c r="M1932" i="2"/>
  <c r="N1932" i="2"/>
  <c r="O1932" i="2"/>
  <c r="P1932" i="2"/>
  <c r="B1933" i="2"/>
  <c r="C1933" i="2"/>
  <c r="D1933" i="2"/>
  <c r="E1933" i="2"/>
  <c r="F1933" i="2"/>
  <c r="G1933" i="2"/>
  <c r="H1933" i="2"/>
  <c r="I1933" i="2"/>
  <c r="J1933" i="2"/>
  <c r="K1933" i="2"/>
  <c r="L1933" i="2"/>
  <c r="M1933" i="2"/>
  <c r="N1933" i="2"/>
  <c r="O1933" i="2"/>
  <c r="P1933" i="2"/>
  <c r="B1934" i="2"/>
  <c r="C1934" i="2"/>
  <c r="D1934" i="2"/>
  <c r="E1934" i="2"/>
  <c r="F1934" i="2"/>
  <c r="G1934" i="2"/>
  <c r="H1934" i="2"/>
  <c r="I1934" i="2"/>
  <c r="J1934" i="2"/>
  <c r="K1934" i="2"/>
  <c r="L1934" i="2"/>
  <c r="M1934" i="2"/>
  <c r="N1934" i="2"/>
  <c r="O1934" i="2"/>
  <c r="P1934" i="2"/>
  <c r="C1935" i="2"/>
  <c r="D1935" i="2"/>
  <c r="E1935" i="2"/>
  <c r="F1935" i="2"/>
  <c r="G1935" i="2"/>
  <c r="H1935" i="2"/>
  <c r="I1935" i="2"/>
  <c r="J1935" i="2"/>
  <c r="K1935" i="2"/>
  <c r="L1935" i="2"/>
  <c r="M1935" i="2"/>
  <c r="N1935" i="2"/>
  <c r="O1935" i="2"/>
  <c r="P1935" i="2"/>
  <c r="BH74" i="2" l="1"/>
  <c r="BD49" i="2"/>
  <c r="BD51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C1917" i="2"/>
  <c r="D1917" i="2"/>
  <c r="E1917" i="2"/>
  <c r="F1917" i="2"/>
  <c r="G1917" i="2"/>
  <c r="H1917" i="2"/>
  <c r="I1917" i="2"/>
  <c r="J1917" i="2"/>
  <c r="K1917" i="2"/>
  <c r="L1917" i="2"/>
  <c r="M1917" i="2"/>
  <c r="N1917" i="2"/>
  <c r="O1917" i="2"/>
  <c r="C1918" i="2"/>
  <c r="D1918" i="2"/>
  <c r="E1918" i="2"/>
  <c r="F1918" i="2"/>
  <c r="G1918" i="2"/>
  <c r="H1918" i="2"/>
  <c r="I1918" i="2"/>
  <c r="J1918" i="2"/>
  <c r="K1918" i="2"/>
  <c r="L1918" i="2"/>
  <c r="M1918" i="2"/>
  <c r="N1918" i="2"/>
  <c r="O1918" i="2"/>
  <c r="C1919" i="2"/>
  <c r="D1919" i="2"/>
  <c r="E1919" i="2"/>
  <c r="F1919" i="2"/>
  <c r="G1919" i="2"/>
  <c r="H1919" i="2"/>
  <c r="I1919" i="2"/>
  <c r="J1919" i="2"/>
  <c r="K1919" i="2"/>
  <c r="L1919" i="2"/>
  <c r="M1919" i="2"/>
  <c r="N1919" i="2"/>
  <c r="O1919" i="2"/>
  <c r="C1920" i="2"/>
  <c r="D1920" i="2"/>
  <c r="E1920" i="2"/>
  <c r="F1920" i="2"/>
  <c r="G1920" i="2"/>
  <c r="H1920" i="2"/>
  <c r="I1920" i="2"/>
  <c r="J1920" i="2"/>
  <c r="K1920" i="2"/>
  <c r="L1920" i="2"/>
  <c r="M1920" i="2"/>
  <c r="N1920" i="2"/>
  <c r="O1920" i="2"/>
  <c r="C1921" i="2"/>
  <c r="D1921" i="2"/>
  <c r="E1921" i="2"/>
  <c r="F1921" i="2"/>
  <c r="G1921" i="2"/>
  <c r="H1921" i="2"/>
  <c r="I1921" i="2"/>
  <c r="J1921" i="2"/>
  <c r="K1921" i="2"/>
  <c r="L1921" i="2"/>
  <c r="M1921" i="2"/>
  <c r="N1921" i="2"/>
  <c r="O1921" i="2"/>
  <c r="C1922" i="2"/>
  <c r="D1922" i="2"/>
  <c r="E1922" i="2"/>
  <c r="F1922" i="2"/>
  <c r="G1922" i="2"/>
  <c r="H1922" i="2"/>
  <c r="I1922" i="2"/>
  <c r="J1922" i="2"/>
  <c r="K1922" i="2"/>
  <c r="L1922" i="2"/>
  <c r="M1922" i="2"/>
  <c r="N1922" i="2"/>
  <c r="O1922" i="2"/>
  <c r="C1923" i="2"/>
  <c r="D1923" i="2"/>
  <c r="E1923" i="2"/>
  <c r="F1923" i="2"/>
  <c r="G1923" i="2"/>
  <c r="H1923" i="2"/>
  <c r="I1923" i="2"/>
  <c r="J1923" i="2"/>
  <c r="K1923" i="2"/>
  <c r="L1923" i="2"/>
  <c r="M1923" i="2"/>
  <c r="N1923" i="2"/>
  <c r="O1923" i="2"/>
  <c r="C1924" i="2"/>
  <c r="D1924" i="2"/>
  <c r="E1924" i="2"/>
  <c r="F1924" i="2"/>
  <c r="G1924" i="2"/>
  <c r="H1924" i="2"/>
  <c r="I1924" i="2"/>
  <c r="J1924" i="2"/>
  <c r="K1924" i="2"/>
  <c r="L1924" i="2"/>
  <c r="M1924" i="2"/>
  <c r="N1924" i="2"/>
  <c r="O1924" i="2"/>
  <c r="C1925" i="2"/>
  <c r="D1925" i="2"/>
  <c r="E1925" i="2"/>
  <c r="F1925" i="2"/>
  <c r="G1925" i="2"/>
  <c r="H1925" i="2"/>
  <c r="I1925" i="2"/>
  <c r="J1925" i="2"/>
  <c r="K1925" i="2"/>
  <c r="L1925" i="2"/>
  <c r="M1925" i="2"/>
  <c r="N1925" i="2"/>
  <c r="O1925" i="2"/>
  <c r="C1926" i="2"/>
  <c r="D1926" i="2"/>
  <c r="E1926" i="2"/>
  <c r="F1926" i="2"/>
  <c r="G1926" i="2"/>
  <c r="H1926" i="2"/>
  <c r="I1926" i="2"/>
  <c r="J1926" i="2"/>
  <c r="K1926" i="2"/>
  <c r="L1926" i="2"/>
  <c r="M1926" i="2"/>
  <c r="N1926" i="2"/>
  <c r="O1926" i="2"/>
  <c r="C1927" i="2"/>
  <c r="D1927" i="2"/>
  <c r="E1927" i="2"/>
  <c r="F1927" i="2"/>
  <c r="G1927" i="2"/>
  <c r="H1927" i="2"/>
  <c r="I1927" i="2"/>
  <c r="J1927" i="2"/>
  <c r="K1927" i="2"/>
  <c r="L1927" i="2"/>
  <c r="M1927" i="2"/>
  <c r="N1927" i="2"/>
  <c r="O1927" i="2"/>
  <c r="C1928" i="2"/>
  <c r="D1928" i="2"/>
  <c r="E1928" i="2"/>
  <c r="F1928" i="2"/>
  <c r="G1928" i="2"/>
  <c r="H1928" i="2"/>
  <c r="I1928" i="2"/>
  <c r="J1928" i="2"/>
  <c r="K1928" i="2"/>
  <c r="L1928" i="2"/>
  <c r="M1928" i="2"/>
  <c r="N1928" i="2"/>
  <c r="O1928" i="2"/>
  <c r="C1929" i="2"/>
  <c r="D1929" i="2"/>
  <c r="E1929" i="2"/>
  <c r="F1929" i="2"/>
  <c r="G1929" i="2"/>
  <c r="H1929" i="2"/>
  <c r="I1929" i="2"/>
  <c r="J1929" i="2"/>
  <c r="K1929" i="2"/>
  <c r="L1929" i="2"/>
  <c r="M1929" i="2"/>
  <c r="N1929" i="2"/>
  <c r="O1929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Z14" i="2"/>
  <c r="X13" i="2"/>
  <c r="W17" i="2"/>
  <c r="AC26" i="2"/>
  <c r="Z20" i="2"/>
  <c r="AA15" i="2"/>
  <c r="Y14" i="2"/>
  <c r="X18" i="2"/>
  <c r="AB23" i="2"/>
  <c r="AD24" i="2"/>
  <c r="AB16" i="2"/>
  <c r="Z15" i="2"/>
  <c r="Y19" i="2"/>
  <c r="W15" i="2"/>
  <c r="AG16" i="2"/>
  <c r="AA23" i="2"/>
  <c r="AB26" i="2"/>
  <c r="AA19" i="2"/>
  <c r="S13" i="2"/>
  <c r="Y24" i="2"/>
  <c r="AC16" i="2"/>
  <c r="U18" i="2"/>
  <c r="AF22" i="2"/>
  <c r="AD18" i="2"/>
  <c r="AB17" i="2"/>
  <c r="AA21" i="2"/>
  <c r="AC21" i="2"/>
  <c r="AB13" i="2"/>
  <c r="AE19" i="2"/>
  <c r="AC18" i="2"/>
  <c r="AB22" i="2"/>
  <c r="AF24" i="2"/>
  <c r="AF17" i="2"/>
  <c r="AF20" i="2"/>
  <c r="AD19" i="2"/>
  <c r="AC23" i="2"/>
  <c r="AC20" i="2"/>
  <c r="U22" i="2"/>
  <c r="S26" i="2"/>
  <c r="AC7" i="2"/>
  <c r="AD17" i="2"/>
  <c r="AF13" i="2"/>
  <c r="AE18" i="2"/>
  <c r="T23" i="2"/>
  <c r="W26" i="2"/>
  <c r="X26" i="2"/>
  <c r="AF23" i="2"/>
  <c r="AD7" i="2"/>
  <c r="Z22" i="2"/>
  <c r="AA16" i="2"/>
  <c r="S14" i="2"/>
  <c r="AG22" i="2"/>
  <c r="AF26" i="2"/>
  <c r="AB15" i="2"/>
  <c r="T15" i="2"/>
  <c r="U16" i="2"/>
  <c r="Y21" i="2"/>
  <c r="AA22" i="2"/>
  <c r="Z21" i="2"/>
  <c r="W25" i="2"/>
  <c r="V15" i="2"/>
  <c r="AD25" i="2"/>
  <c r="S17" i="2"/>
  <c r="AB12" i="2"/>
  <c r="T18" i="2"/>
  <c r="X24" i="2"/>
  <c r="AD16" i="2"/>
  <c r="T14" i="2"/>
  <c r="Z19" i="2"/>
  <c r="S12" i="2"/>
  <c r="AE7" i="2"/>
  <c r="Z17" i="2"/>
  <c r="AC24" i="2"/>
  <c r="AB19" i="2"/>
  <c r="U14" i="2"/>
  <c r="S25" i="2"/>
  <c r="AD12" i="2"/>
  <c r="AF7" i="2"/>
  <c r="AE14" i="2"/>
  <c r="AC15" i="2"/>
  <c r="T12" i="2"/>
  <c r="AG24" i="2"/>
  <c r="AC14" i="2"/>
  <c r="AG26" i="2"/>
  <c r="V12" i="2"/>
  <c r="AE12" i="2"/>
  <c r="AC13" i="2"/>
  <c r="AD15" i="2"/>
  <c r="AC22" i="2"/>
  <c r="X23" i="2"/>
  <c r="AG12" i="2"/>
  <c r="AD14" i="2"/>
  <c r="AE16" i="2"/>
  <c r="Y18" i="2"/>
  <c r="AA17" i="2"/>
  <c r="W14" i="2"/>
  <c r="AB18" i="2"/>
  <c r="V21" i="2"/>
  <c r="AD26" i="2"/>
  <c r="S16" i="2"/>
  <c r="Y20" i="2"/>
  <c r="AA18" i="2"/>
  <c r="AC25" i="2"/>
  <c r="W13" i="2"/>
  <c r="AF16" i="2"/>
  <c r="AG18" i="2"/>
  <c r="AG21" i="2"/>
  <c r="Z23" i="2"/>
  <c r="Z16" i="2"/>
  <c r="AG17" i="2"/>
  <c r="S20" i="2"/>
  <c r="AC17" i="2"/>
  <c r="AF12" i="2"/>
  <c r="AC19" i="2"/>
  <c r="S19" i="2"/>
  <c r="T21" i="2"/>
  <c r="Y13" i="2"/>
  <c r="AA25" i="2"/>
  <c r="AF25" i="2"/>
  <c r="AB24" i="2"/>
  <c r="V7" i="2"/>
  <c r="T25" i="2"/>
  <c r="AG14" i="2"/>
  <c r="U24" i="2"/>
  <c r="W20" i="2"/>
  <c r="AD23" i="2"/>
  <c r="Z24" i="2"/>
  <c r="Z12" i="2"/>
  <c r="AD20" i="2"/>
  <c r="AA24" i="2"/>
  <c r="AE24" i="2"/>
  <c r="V22" i="2"/>
  <c r="W24" i="2"/>
  <c r="V17" i="2"/>
  <c r="Z25" i="2"/>
  <c r="AG23" i="2"/>
  <c r="AG20" i="2"/>
  <c r="T17" i="2"/>
  <c r="AD21" i="2"/>
  <c r="V16" i="2"/>
  <c r="AG15" i="2"/>
  <c r="T20" i="2"/>
  <c r="U13" i="2"/>
  <c r="X17" i="2"/>
  <c r="Y12" i="2"/>
  <c r="U25" i="2"/>
  <c r="U26" i="2"/>
  <c r="T13" i="2"/>
  <c r="V20" i="2"/>
  <c r="U12" i="2"/>
  <c r="AG25" i="2"/>
  <c r="AB21" i="2"/>
  <c r="X14" i="2"/>
  <c r="W23" i="2"/>
  <c r="W18" i="2"/>
  <c r="X7" i="2"/>
  <c r="V23" i="2"/>
  <c r="AC12" i="2"/>
  <c r="AA14" i="2"/>
  <c r="Z26" i="2"/>
  <c r="AE17" i="2"/>
  <c r="Y22" i="2"/>
  <c r="W22" i="2"/>
  <c r="AG13" i="2"/>
  <c r="Y7" i="2"/>
  <c r="AF18" i="2"/>
  <c r="AB25" i="2"/>
  <c r="V25" i="2"/>
  <c r="S15" i="2"/>
  <c r="V13" i="2"/>
  <c r="AG19" i="2"/>
  <c r="U20" i="2"/>
  <c r="X12" i="2"/>
  <c r="T16" i="2"/>
  <c r="V14" i="2"/>
  <c r="Z18" i="2"/>
  <c r="AA7" i="2"/>
  <c r="X25" i="2"/>
  <c r="AE26" i="2"/>
  <c r="V19" i="2"/>
  <c r="Z13" i="2"/>
  <c r="Z7" i="2"/>
  <c r="U15" i="2"/>
  <c r="T22" i="2"/>
  <c r="Y17" i="2"/>
  <c r="AA12" i="2"/>
  <c r="V18" i="2"/>
  <c r="Y23" i="2"/>
  <c r="U23" i="2"/>
  <c r="AB20" i="2"/>
  <c r="W12" i="2"/>
  <c r="W19" i="2"/>
  <c r="U19" i="2"/>
  <c r="V24" i="2"/>
  <c r="AE23" i="2"/>
  <c r="T7" i="2"/>
  <c r="X20" i="2"/>
  <c r="AF14" i="2"/>
  <c r="T26" i="2"/>
  <c r="AB7" i="2"/>
  <c r="V26" i="2"/>
  <c r="Y25" i="2"/>
  <c r="AB14" i="2"/>
  <c r="X19" i="2"/>
  <c r="AE13" i="2"/>
  <c r="S22" i="2"/>
  <c r="S23" i="2"/>
  <c r="AF21" i="2"/>
  <c r="AE25" i="2"/>
  <c r="W7" i="2"/>
  <c r="Y26" i="2"/>
  <c r="T24" i="2"/>
  <c r="Y15" i="2"/>
  <c r="S21" i="2"/>
  <c r="S24" i="2"/>
  <c r="AA13" i="2"/>
  <c r="X15" i="2"/>
  <c r="S7" i="2"/>
  <c r="AE20" i="2"/>
  <c r="X21" i="2"/>
  <c r="Y16" i="2"/>
  <c r="W16" i="2"/>
  <c r="AE15" i="2"/>
  <c r="X16" i="2"/>
  <c r="AD13" i="2"/>
  <c r="AA26" i="2"/>
  <c r="AF19" i="2"/>
  <c r="AD22" i="2"/>
  <c r="AA20" i="2"/>
  <c r="W21" i="2"/>
  <c r="T19" i="2"/>
  <c r="X22" i="2"/>
  <c r="AG7" i="2"/>
  <c r="U17" i="2"/>
  <c r="AF15" i="2"/>
  <c r="U21" i="2"/>
  <c r="U7" i="2"/>
  <c r="AE21" i="2"/>
  <c r="S18" i="2"/>
  <c r="AE22" i="2"/>
  <c r="BM33" i="2" l="1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BL33" i="2"/>
  <c r="BI31" i="2" l="1"/>
  <c r="T1855" i="4"/>
  <c r="S1855" i="4"/>
  <c r="BI16" i="2" l="1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M6" i="2" l="1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BL6" i="2"/>
  <c r="AZ6" i="2" l="1"/>
  <c r="AZ10" i="2" l="1"/>
  <c r="AZ4" i="2"/>
  <c r="AZ9" i="2"/>
  <c r="AZ8" i="2"/>
  <c r="AZ7" i="2"/>
  <c r="AZ5" i="2" l="1"/>
  <c r="W3" i="2"/>
  <c r="Z3" i="2"/>
  <c r="T3" i="2"/>
  <c r="U3" i="2"/>
  <c r="AB3" i="2"/>
  <c r="X3" i="2"/>
  <c r="AG3" i="2"/>
  <c r="AC3" i="2"/>
  <c r="AF3" i="2"/>
  <c r="S3" i="2"/>
  <c r="AA3" i="2"/>
  <c r="Y3" i="2"/>
  <c r="V3" i="2"/>
  <c r="AD3" i="2"/>
  <c r="AE3" i="2"/>
  <c r="BC6" i="2" l="1" a="1"/>
  <c r="BC6" i="2" s="1"/>
  <c r="BB6" i="2" a="1"/>
  <c r="BB6" i="2" s="1"/>
  <c r="BB4" i="2" a="1"/>
  <c r="BB4" i="2" s="1"/>
  <c r="BB5" i="2" a="1"/>
  <c r="BB5" i="2" s="1"/>
  <c r="BC4" i="2" a="1"/>
  <c r="BC4" i="2" s="1"/>
  <c r="BC5" i="2" a="1"/>
  <c r="BC5" i="2" s="1"/>
  <c r="BC8" i="2" l="1"/>
</calcChain>
</file>

<file path=xl/sharedStrings.xml><?xml version="1.0" encoding="utf-8"?>
<sst xmlns="http://schemas.openxmlformats.org/spreadsheetml/2006/main" count="305" uniqueCount="68">
  <si>
    <t>ALICORPC1</t>
  </si>
  <si>
    <t>BAP</t>
  </si>
  <si>
    <t>BBVAC1</t>
  </si>
  <si>
    <t>BVN</t>
  </si>
  <si>
    <t>CPACASC1</t>
  </si>
  <si>
    <t>FERREYC1</t>
  </si>
  <si>
    <t>GRAMONC1</t>
  </si>
  <si>
    <t>IFS</t>
  </si>
  <si>
    <t>INRETC1</t>
  </si>
  <si>
    <t>LUSURC1</t>
  </si>
  <si>
    <t>MINSURI1</t>
  </si>
  <si>
    <t>NEXAPEC1</t>
  </si>
  <si>
    <t>RELAPAC1</t>
  </si>
  <si>
    <t>UNACEMC1</t>
  </si>
  <si>
    <t>VOLCABC1</t>
  </si>
  <si>
    <t>Contar</t>
  </si>
  <si>
    <t>FECHA</t>
  </si>
  <si>
    <t>RETORNO EN PRIMERAS DIFERENCIAS</t>
  </si>
  <si>
    <t>RETORNOS PROMEDIOS</t>
  </si>
  <si>
    <t>RIESGO (DESVIACIÓN ESTÁNDAR)</t>
  </si>
  <si>
    <t>MATRIZ DE VARIANZAS &amp; COVARIANZAS</t>
  </si>
  <si>
    <t>PORTAFOLIO</t>
  </si>
  <si>
    <t>PORT 1</t>
  </si>
  <si>
    <t>PORT 2</t>
  </si>
  <si>
    <t>PORT 3</t>
  </si>
  <si>
    <t>PORT 4</t>
  </si>
  <si>
    <t>PORT 5</t>
  </si>
  <si>
    <t>PORT 6</t>
  </si>
  <si>
    <t>PORT 7</t>
  </si>
  <si>
    <t>RIESGO</t>
  </si>
  <si>
    <t>RETORNO</t>
  </si>
  <si>
    <t>Retorno/riesgos</t>
  </si>
  <si>
    <t>PORTAFOLIO ÓPTIMO &lt;-&gt; RATIO SHARP</t>
  </si>
  <si>
    <t>PORTAFOLIO MÁXIMA RENTABILIDAD</t>
  </si>
  <si>
    <t>PESOS</t>
  </si>
  <si>
    <t>PORTAFOLIO MÍNIMO RIESGO</t>
  </si>
  <si>
    <t>Punto portafolio tangente</t>
  </si>
  <si>
    <t>Punto portafolio máx retorno</t>
  </si>
  <si>
    <t>FECHAS 12 MARZO - 11 JUNIO</t>
  </si>
  <si>
    <t>FECHA 10 JUNIO - 11 JUNIO</t>
  </si>
  <si>
    <t>FECHAS 27 MARZO - 11 JUNIO</t>
  </si>
  <si>
    <t>CARTERA INICIAL ESCOGIDA</t>
  </si>
  <si>
    <t>PRIMERA COMPRA 15/06/2020</t>
  </si>
  <si>
    <t>INFORMACIÓN</t>
  </si>
  <si>
    <t>1º REESTRUCTURACIÓN 16-06-2020</t>
  </si>
  <si>
    <t>Punto portafolio min riesgo</t>
  </si>
  <si>
    <t>FECHAS</t>
  </si>
  <si>
    <t>TIPO DE CAMBIO</t>
  </si>
  <si>
    <t>Activo libre de riesgo</t>
  </si>
  <si>
    <t>Rentabilidad diaria</t>
  </si>
  <si>
    <t>FECHAS 27 MARZO - 18 JUNIO</t>
  </si>
  <si>
    <t>RATIO DE SHARPE</t>
  </si>
  <si>
    <t>SHARPE</t>
  </si>
  <si>
    <t>CARTERA ÓPTIMA ARRIESGADA</t>
  </si>
  <si>
    <t>Comentario: No se podrá dar porque ya se invirtió en BVN y en Inretail</t>
  </si>
  <si>
    <t>Monto</t>
  </si>
  <si>
    <t>Porcentaje</t>
  </si>
  <si>
    <t>INRETC</t>
  </si>
  <si>
    <t>Rentabilidad de la cartera mixta con y=120% es:</t>
  </si>
  <si>
    <t>Con nuestras compras.</t>
  </si>
  <si>
    <t>El rendimiento del activo libre de riesgo es igual a 0.06%</t>
  </si>
  <si>
    <t>E = 1.2*0.591%-0.2*0.06%=</t>
  </si>
  <si>
    <t>y '=</t>
  </si>
  <si>
    <t>y=</t>
  </si>
  <si>
    <t>Se debe cumplir : y +y' =1</t>
  </si>
  <si>
    <t>Si nos prestamos =</t>
  </si>
  <si>
    <t>Sigma = 1.2*3.509% =</t>
  </si>
  <si>
    <t>Cartera mixta apalancada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</si>
</sst>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S/&quot;* #,##0.00_-;\-&quot;S/&quot;* #,##0.00_-;_-&quot;S/&quot;* &quot;-&quot;??_-;_-@_-"/>
    <numFmt numFmtId="164" formatCode="0.0%"/>
    <numFmt numFmtId="165" formatCode="0.0000%"/>
    <numFmt numFmtId="166" formatCode="_-[$USD]\ * #,##0.00_-;\-[$USD]\ * #,##0.00_-;_-[$USD]\ * &quot;-&quot;??_-;_-@_-"/>
    <numFmt numFmtId="167" formatCode="0.00000%"/>
    <numFmt numFmtId="168" formatCode="0.000%"/>
    <numFmt numFmtId="169" formatCode="0.000000%"/>
    <numFmt numFmtId="170" formatCode="&quot;S/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CF5E7"/>
        <bgColor indexed="64"/>
      </patternFill>
    </fill>
    <fill>
      <patternFill patternType="solid">
        <fgColor theme="9" tint="-0.249977111117893"/>
        <bgColor theme="9"/>
      </patternFill>
    </fill>
    <fill>
      <patternFill patternType="solid">
        <fgColor rgb="FFFFF0C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1" applyFont="1"/>
    <xf numFmtId="166" fontId="0" fillId="0" borderId="0" xfId="0" applyNumberFormat="1"/>
    <xf numFmtId="167" fontId="0" fillId="0" borderId="0" xfId="1" applyNumberFormat="1" applyFont="1"/>
    <xf numFmtId="0" fontId="0" fillId="2" borderId="0" xfId="0" applyFill="1"/>
    <xf numFmtId="0" fontId="0" fillId="3" borderId="0" xfId="0" applyFill="1"/>
    <xf numFmtId="167" fontId="0" fillId="3" borderId="0" xfId="0" applyNumberFormat="1" applyFill="1"/>
    <xf numFmtId="0" fontId="2" fillId="2" borderId="0" xfId="0" applyFont="1" applyFill="1"/>
    <xf numFmtId="0" fontId="2" fillId="3" borderId="0" xfId="0" applyFont="1" applyFill="1" applyAlignment="1">
      <alignment horizontal="center" vertical="center"/>
    </xf>
    <xf numFmtId="10" fontId="0" fillId="3" borderId="0" xfId="1" applyNumberFormat="1" applyFont="1" applyFill="1" applyAlignment="1">
      <alignment horizontal="center" vertical="center"/>
    </xf>
    <xf numFmtId="168" fontId="0" fillId="3" borderId="0" xfId="1" applyNumberFormat="1" applyFont="1" applyFill="1"/>
    <xf numFmtId="167" fontId="0" fillId="3" borderId="0" xfId="1" applyNumberFormat="1" applyFont="1" applyFill="1"/>
    <xf numFmtId="169" fontId="0" fillId="3" borderId="0" xfId="1" applyNumberFormat="1" applyFont="1" applyFill="1"/>
    <xf numFmtId="0" fontId="0" fillId="0" borderId="0" xfId="0" applyNumberFormat="1"/>
    <xf numFmtId="0" fontId="0" fillId="0" borderId="20" xfId="0" applyBorder="1"/>
    <xf numFmtId="0" fontId="0" fillId="0" borderId="21" xfId="0" applyBorder="1"/>
    <xf numFmtId="0" fontId="0" fillId="0" borderId="22" xfId="0" applyBorder="1"/>
    <xf numFmtId="10" fontId="0" fillId="0" borderId="0" xfId="1" applyNumberFormat="1" applyFont="1"/>
    <xf numFmtId="166" fontId="0" fillId="0" borderId="0" xfId="2" applyNumberFormat="1" applyFont="1"/>
    <xf numFmtId="0" fontId="0" fillId="0" borderId="0" xfId="0" applyBorder="1"/>
    <xf numFmtId="0" fontId="0" fillId="0" borderId="23" xfId="0" applyBorder="1"/>
    <xf numFmtId="0" fontId="2" fillId="3" borderId="0" xfId="0" applyFont="1" applyFill="1" applyBorder="1" applyAlignment="1">
      <alignment horizontal="center" vertical="center"/>
    </xf>
    <xf numFmtId="10" fontId="0" fillId="3" borderId="0" xfId="1" applyNumberFormat="1" applyFont="1" applyFill="1" applyBorder="1" applyAlignment="1">
      <alignment horizontal="center" vertical="center"/>
    </xf>
    <xf numFmtId="170" fontId="0" fillId="0" borderId="0" xfId="0" applyNumberFormat="1" applyBorder="1"/>
    <xf numFmtId="0" fontId="0" fillId="0" borderId="25" xfId="0" applyBorder="1"/>
    <xf numFmtId="0" fontId="0" fillId="0" borderId="26" xfId="0" applyBorder="1"/>
    <xf numFmtId="0" fontId="0" fillId="0" borderId="9" xfId="0" applyBorder="1"/>
    <xf numFmtId="44" fontId="0" fillId="0" borderId="23" xfId="2" applyFont="1" applyBorder="1"/>
    <xf numFmtId="0" fontId="5" fillId="0" borderId="23" xfId="0" applyFont="1" applyBorder="1"/>
    <xf numFmtId="167" fontId="0" fillId="0" borderId="24" xfId="1" applyNumberFormat="1" applyFont="1" applyBorder="1"/>
    <xf numFmtId="166" fontId="0" fillId="0" borderId="26" xfId="0" applyNumberFormat="1" applyBorder="1"/>
    <xf numFmtId="0" fontId="0" fillId="6" borderId="0" xfId="0" applyFill="1" applyBorder="1"/>
    <xf numFmtId="167" fontId="0" fillId="6" borderId="0" xfId="0" applyNumberFormat="1" applyFill="1" applyBorder="1"/>
    <xf numFmtId="10" fontId="0" fillId="6" borderId="0" xfId="1" applyNumberFormat="1" applyFont="1" applyFill="1" applyBorder="1" applyAlignment="1">
      <alignment horizontal="center" vertical="center"/>
    </xf>
    <xf numFmtId="10" fontId="0" fillId="6" borderId="0" xfId="1" applyNumberFormat="1" applyFont="1" applyFill="1" applyBorder="1"/>
    <xf numFmtId="167" fontId="0" fillId="6" borderId="0" xfId="1" applyNumberFormat="1" applyFont="1" applyFill="1" applyBorder="1"/>
    <xf numFmtId="0" fontId="0" fillId="6" borderId="25" xfId="0" applyFill="1" applyBorder="1"/>
    <xf numFmtId="167" fontId="0" fillId="6" borderId="25" xfId="1" applyNumberFormat="1" applyFont="1" applyFill="1" applyBorder="1"/>
    <xf numFmtId="0" fontId="2" fillId="6" borderId="0" xfId="0" applyFont="1" applyFill="1" applyBorder="1" applyAlignment="1">
      <alignment horizontal="center" vertical="center"/>
    </xf>
    <xf numFmtId="169" fontId="0" fillId="6" borderId="0" xfId="1" applyNumberFormat="1" applyFont="1" applyFill="1" applyBorder="1"/>
    <xf numFmtId="170" fontId="0" fillId="6" borderId="0" xfId="0" applyNumberFormat="1" applyFill="1" applyBorder="1"/>
    <xf numFmtId="0" fontId="2" fillId="7" borderId="0" xfId="0" applyFont="1" applyFill="1" applyBorder="1"/>
    <xf numFmtId="0" fontId="0" fillId="7" borderId="0" xfId="0" applyFill="1" applyBorder="1"/>
    <xf numFmtId="0" fontId="2" fillId="7" borderId="21" xfId="0" applyFont="1" applyFill="1" applyBorder="1"/>
    <xf numFmtId="0" fontId="0" fillId="7" borderId="21" xfId="0" applyFill="1" applyBorder="1"/>
    <xf numFmtId="0" fontId="0" fillId="0" borderId="27" xfId="0" applyBorder="1"/>
    <xf numFmtId="0" fontId="0" fillId="0" borderId="27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14" fontId="0" fillId="9" borderId="0" xfId="0" applyNumberFormat="1" applyFill="1"/>
    <xf numFmtId="0" fontId="0" fillId="9" borderId="20" xfId="0" applyFill="1" applyBorder="1"/>
    <xf numFmtId="0" fontId="0" fillId="9" borderId="21" xfId="0" applyFill="1" applyBorder="1"/>
    <xf numFmtId="10" fontId="0" fillId="9" borderId="9" xfId="1" applyNumberFormat="1" applyFont="1" applyFill="1" applyBorder="1"/>
    <xf numFmtId="164" fontId="0" fillId="9" borderId="0" xfId="1" applyNumberFormat="1" applyFont="1" applyFill="1" applyBorder="1"/>
    <xf numFmtId="164" fontId="0" fillId="9" borderId="23" xfId="1" applyNumberFormat="1" applyFont="1" applyFill="1" applyBorder="1"/>
    <xf numFmtId="0" fontId="0" fillId="9" borderId="0" xfId="0" applyFill="1"/>
    <xf numFmtId="0" fontId="3" fillId="10" borderId="1" xfId="0" applyFont="1" applyFill="1" applyBorder="1"/>
    <xf numFmtId="0" fontId="3" fillId="10" borderId="10" xfId="0" applyFont="1" applyFill="1" applyBorder="1"/>
    <xf numFmtId="0" fontId="3" fillId="10" borderId="11" xfId="0" applyFont="1" applyFill="1" applyBorder="1"/>
    <xf numFmtId="0" fontId="3" fillId="10" borderId="12" xfId="0" applyFont="1" applyFill="1" applyBorder="1"/>
    <xf numFmtId="0" fontId="0" fillId="0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2" fillId="11" borderId="17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center"/>
    </xf>
    <xf numFmtId="0" fontId="2" fillId="11" borderId="19" xfId="0" applyFont="1" applyFill="1" applyBorder="1" applyAlignment="1">
      <alignment horizontal="center"/>
    </xf>
    <xf numFmtId="165" fontId="0" fillId="11" borderId="5" xfId="1" applyNumberFormat="1" applyFont="1" applyFill="1" applyBorder="1"/>
    <xf numFmtId="165" fontId="0" fillId="11" borderId="6" xfId="1" applyNumberFormat="1" applyFont="1" applyFill="1" applyBorder="1"/>
    <xf numFmtId="165" fontId="0" fillId="11" borderId="7" xfId="1" applyNumberFormat="1" applyFont="1" applyFill="1" applyBorder="1"/>
    <xf numFmtId="165" fontId="0" fillId="11" borderId="4" xfId="1" applyNumberFormat="1" applyFont="1" applyFill="1" applyBorder="1"/>
    <xf numFmtId="0" fontId="0" fillId="12" borderId="0" xfId="0" applyFill="1"/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9" fontId="0" fillId="13" borderId="0" xfId="1" applyFont="1" applyFill="1" applyAlignment="1">
      <alignment horizontal="center" vertical="center"/>
    </xf>
    <xf numFmtId="164" fontId="0" fillId="13" borderId="0" xfId="1" applyNumberFormat="1" applyFont="1" applyFill="1" applyAlignment="1">
      <alignment horizontal="center" vertical="center"/>
    </xf>
    <xf numFmtId="10" fontId="0" fillId="0" borderId="0" xfId="0" applyNumberFormat="1"/>
    <xf numFmtId="9" fontId="0" fillId="0" borderId="28" xfId="1" applyFont="1" applyBorder="1"/>
    <xf numFmtId="9" fontId="0" fillId="0" borderId="28" xfId="1" applyNumberFormat="1" applyFont="1" applyBorder="1"/>
    <xf numFmtId="0" fontId="0" fillId="0" borderId="0" xfId="0" applyBorder="1" applyAlignment="1">
      <alignment horizontal="center" vertical="center"/>
    </xf>
    <xf numFmtId="14" fontId="6" fillId="9" borderId="0" xfId="0" applyNumberFormat="1" applyFont="1" applyFill="1"/>
    <xf numFmtId="166" fontId="0" fillId="0" borderId="0" xfId="0" applyNumberFormat="1" applyFill="1" applyBorder="1"/>
    <xf numFmtId="0" fontId="0" fillId="0" borderId="0" xfId="0" applyFill="1" applyBorder="1"/>
    <xf numFmtId="166" fontId="0" fillId="0" borderId="25" xfId="0" applyNumberFormat="1" applyFill="1" applyBorder="1"/>
    <xf numFmtId="164" fontId="0" fillId="9" borderId="22" xfId="0" applyNumberFormat="1" applyFill="1" applyBorder="1"/>
    <xf numFmtId="0" fontId="2" fillId="8" borderId="29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30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10" fontId="0" fillId="13" borderId="4" xfId="1" applyNumberFormat="1" applyFont="1" applyFill="1" applyBorder="1" applyAlignment="1">
      <alignment horizontal="center" vertical="center"/>
    </xf>
    <xf numFmtId="9" fontId="0" fillId="0" borderId="4" xfId="1" applyFont="1" applyBorder="1"/>
    <xf numFmtId="0" fontId="0" fillId="0" borderId="4" xfId="0" applyBorder="1"/>
    <xf numFmtId="167" fontId="0" fillId="0" borderId="4" xfId="1" applyNumberFormat="1" applyFont="1" applyBorder="1"/>
    <xf numFmtId="9" fontId="0" fillId="13" borderId="4" xfId="1" applyFont="1" applyFill="1" applyBorder="1" applyAlignment="1">
      <alignment horizontal="center" vertical="center"/>
    </xf>
    <xf numFmtId="9" fontId="0" fillId="0" borderId="4" xfId="1" applyNumberFormat="1" applyFont="1" applyBorder="1"/>
    <xf numFmtId="167" fontId="0" fillId="4" borderId="20" xfId="1" applyNumberFormat="1" applyFont="1" applyFill="1" applyBorder="1"/>
    <xf numFmtId="167" fontId="0" fillId="4" borderId="21" xfId="1" applyNumberFormat="1" applyFont="1" applyFill="1" applyBorder="1"/>
    <xf numFmtId="0" fontId="0" fillId="4" borderId="22" xfId="0" applyFill="1" applyBorder="1"/>
    <xf numFmtId="167" fontId="0" fillId="4" borderId="24" xfId="1" applyNumberFormat="1" applyFont="1" applyFill="1" applyBorder="1"/>
    <xf numFmtId="167" fontId="0" fillId="4" borderId="25" xfId="1" applyNumberFormat="1" applyFont="1" applyFill="1" applyBorder="1"/>
    <xf numFmtId="10" fontId="0" fillId="4" borderId="31" xfId="0" applyNumberFormat="1" applyFill="1" applyBorder="1"/>
    <xf numFmtId="168" fontId="0" fillId="6" borderId="0" xfId="1" applyNumberFormat="1" applyFont="1" applyFill="1"/>
    <xf numFmtId="0" fontId="0" fillId="0" borderId="0" xfId="1" applyNumberFormat="1" applyFont="1"/>
    <xf numFmtId="164" fontId="0" fillId="0" borderId="0" xfId="1" applyNumberFormat="1" applyFont="1"/>
    <xf numFmtId="168" fontId="0" fillId="0" borderId="0" xfId="1" applyNumberFormat="1" applyFont="1"/>
    <xf numFmtId="44" fontId="0" fillId="0" borderId="0" xfId="2" applyFont="1"/>
    <xf numFmtId="167" fontId="0" fillId="0" borderId="4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0" borderId="4" xfId="2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64" fontId="0" fillId="13" borderId="4" xfId="1" applyNumberFormat="1" applyFont="1" applyFill="1" applyBorder="1" applyAlignment="1">
      <alignment horizontal="center" vertical="center"/>
    </xf>
    <xf numFmtId="168" fontId="0" fillId="13" borderId="4" xfId="1" applyNumberFormat="1" applyFont="1" applyFill="1" applyBorder="1" applyAlignment="1">
      <alignment horizontal="center" vertical="center"/>
    </xf>
    <xf numFmtId="0" fontId="0" fillId="6" borderId="0" xfId="0" quotePrefix="1" applyFill="1" applyBorder="1"/>
    <xf numFmtId="164" fontId="0" fillId="0" borderId="0" xfId="0" applyNumberFormat="1"/>
    <xf numFmtId="169" fontId="0" fillId="0" borderId="0" xfId="1" applyNumberFormat="1" applyFont="1"/>
    <xf numFmtId="10" fontId="0" fillId="4" borderId="0" xfId="1" applyNumberFormat="1" applyFont="1" applyFill="1" applyBorder="1" applyAlignment="1">
      <alignment horizontal="center" vertical="center"/>
    </xf>
    <xf numFmtId="10" fontId="0" fillId="14" borderId="0" xfId="1" applyNumberFormat="1" applyFont="1" applyFill="1" applyBorder="1" applyAlignment="1">
      <alignment horizontal="center" vertical="center"/>
    </xf>
    <xf numFmtId="10" fontId="0" fillId="15" borderId="0" xfId="1" applyNumberFormat="1" applyFont="1" applyFill="1" applyBorder="1" applyAlignment="1">
      <alignment horizontal="center" vertical="center"/>
    </xf>
    <xf numFmtId="0" fontId="0" fillId="13" borderId="0" xfId="1" applyNumberFormat="1" applyFont="1" applyFill="1" applyAlignment="1">
      <alignment horizontal="center" vertical="center"/>
    </xf>
    <xf numFmtId="44" fontId="0" fillId="13" borderId="0" xfId="2" applyFont="1" applyFill="1" applyAlignment="1">
      <alignment horizontal="center" vertical="center"/>
    </xf>
    <xf numFmtId="0" fontId="0" fillId="5" borderId="2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wrapText="1"/>
    </xf>
    <xf numFmtId="0" fontId="0" fillId="5" borderId="28" xfId="0" applyFill="1" applyBorder="1" applyAlignment="1">
      <alignment horizontal="center" wrapText="1"/>
    </xf>
    <xf numFmtId="0" fontId="0" fillId="5" borderId="18" xfId="0" applyFill="1" applyBorder="1" applyAlignment="1">
      <alignment horizontal="center" wrapText="1"/>
    </xf>
    <xf numFmtId="0" fontId="0" fillId="5" borderId="9" xfId="0" applyFill="1" applyBorder="1" applyAlignment="1">
      <alignment horizontal="center" wrapText="1"/>
    </xf>
    <xf numFmtId="0" fontId="0" fillId="5" borderId="24" xfId="0" applyFill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21">
    <dxf>
      <numFmt numFmtId="0" formatCode="General"/>
    </dxf>
    <dxf>
      <numFmt numFmtId="19" formatCode="d/mm/yyyy"/>
    </dxf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ECF5E7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9" formatCode="d/mm/yyyy"/>
      <fill>
        <patternFill patternType="solid">
          <fgColor indexed="64"/>
          <bgColor rgb="FFECF5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CF5E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9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0C1"/>
      <color rgb="FFFFB9FF"/>
      <color rgb="FFC9A4E4"/>
      <color rgb="FFDFC9EF"/>
      <color rgb="FFECF5E7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>
        <c:manualLayout>
          <c:layoutTarget val="inner"/>
          <c:xMode val="edge"/>
          <c:yMode val="edge"/>
          <c:x val="2.7850753330270105E-2"/>
          <c:y val="7.028302867987761E-2"/>
          <c:w val="0.96400462792838637"/>
          <c:h val="0.83484370260570284"/>
        </c:manualLayout>
      </c:layout>
      <c:lineChart>
        <c:grouping val="standard"/>
        <c:varyColors val="0"/>
        <c:ser>
          <c:idx val="0"/>
          <c:order val="0"/>
          <c:tx>
            <c:strRef>
              <c:f>rprecios!$B$1</c:f>
              <c:strCache>
                <c:ptCount val="1"/>
                <c:pt idx="0">
                  <c:v>ALICORPC1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rprecios!$B$1853:$B$1893</c:f>
              <c:numCache>
                <c:formatCode>General</c:formatCode>
                <c:ptCount val="41"/>
                <c:pt idx="0">
                  <c:v>9.1</c:v>
                </c:pt>
                <c:pt idx="1">
                  <c:v>9.0500000000000007</c:v>
                </c:pt>
                <c:pt idx="2">
                  <c:v>9</c:v>
                </c:pt>
                <c:pt idx="3">
                  <c:v>8.9</c:v>
                </c:pt>
                <c:pt idx="4">
                  <c:v>8.6199999999999992</c:v>
                </c:pt>
                <c:pt idx="5">
                  <c:v>8.5</c:v>
                </c:pt>
                <c:pt idx="6">
                  <c:v>8.5500000000000007</c:v>
                </c:pt>
                <c:pt idx="7">
                  <c:v>8.6999999999999993</c:v>
                </c:pt>
                <c:pt idx="8">
                  <c:v>8.75</c:v>
                </c:pt>
                <c:pt idx="9">
                  <c:v>8.7899999999999991</c:v>
                </c:pt>
                <c:pt idx="10">
                  <c:v>8.6</c:v>
                </c:pt>
                <c:pt idx="11">
                  <c:v>8.31</c:v>
                </c:pt>
                <c:pt idx="12">
                  <c:v>8.4</c:v>
                </c:pt>
                <c:pt idx="13">
                  <c:v>8.23</c:v>
                </c:pt>
                <c:pt idx="14">
                  <c:v>7.4</c:v>
                </c:pt>
                <c:pt idx="15">
                  <c:v>7.25</c:v>
                </c:pt>
                <c:pt idx="16">
                  <c:v>7</c:v>
                </c:pt>
                <c:pt idx="17">
                  <c:v>7.15</c:v>
                </c:pt>
                <c:pt idx="18">
                  <c:v>7.2</c:v>
                </c:pt>
                <c:pt idx="19">
                  <c:v>7.3</c:v>
                </c:pt>
                <c:pt idx="20">
                  <c:v>7.55</c:v>
                </c:pt>
                <c:pt idx="21">
                  <c:v>7.75</c:v>
                </c:pt>
                <c:pt idx="22">
                  <c:v>7.9</c:v>
                </c:pt>
                <c:pt idx="23">
                  <c:v>7.9</c:v>
                </c:pt>
                <c:pt idx="24">
                  <c:v>8</c:v>
                </c:pt>
                <c:pt idx="25">
                  <c:v>8</c:v>
                </c:pt>
                <c:pt idx="26">
                  <c:v>7.6</c:v>
                </c:pt>
                <c:pt idx="27">
                  <c:v>7.35</c:v>
                </c:pt>
                <c:pt idx="28">
                  <c:v>7.3</c:v>
                </c:pt>
                <c:pt idx="29">
                  <c:v>7.25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6.99</c:v>
                </c:pt>
                <c:pt idx="34">
                  <c:v>7</c:v>
                </c:pt>
                <c:pt idx="35">
                  <c:v>7</c:v>
                </c:pt>
                <c:pt idx="36">
                  <c:v>7.12</c:v>
                </c:pt>
                <c:pt idx="37">
                  <c:v>7.25</c:v>
                </c:pt>
                <c:pt idx="38">
                  <c:v>7.6</c:v>
                </c:pt>
                <c:pt idx="39">
                  <c:v>7.6</c:v>
                </c:pt>
                <c:pt idx="40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D-40C4-B062-4C3CEDE557ED}"/>
            </c:ext>
          </c:extLst>
        </c:ser>
        <c:ser>
          <c:idx val="2"/>
          <c:order val="1"/>
          <c:tx>
            <c:strRef>
              <c:f>rprecios!$D$1</c:f>
              <c:strCache>
                <c:ptCount val="1"/>
                <c:pt idx="0">
                  <c:v>BBVAC1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rprecios!$D$1853:$D$1893</c:f>
              <c:numCache>
                <c:formatCode>General</c:formatCode>
                <c:ptCount val="41"/>
                <c:pt idx="0">
                  <c:v>3.41</c:v>
                </c:pt>
                <c:pt idx="1">
                  <c:v>3.36</c:v>
                </c:pt>
                <c:pt idx="2">
                  <c:v>3.36</c:v>
                </c:pt>
                <c:pt idx="3">
                  <c:v>3.37</c:v>
                </c:pt>
                <c:pt idx="4">
                  <c:v>3.35</c:v>
                </c:pt>
                <c:pt idx="5">
                  <c:v>3.3</c:v>
                </c:pt>
                <c:pt idx="6">
                  <c:v>3.3</c:v>
                </c:pt>
                <c:pt idx="7">
                  <c:v>3.29</c:v>
                </c:pt>
                <c:pt idx="8">
                  <c:v>3.3</c:v>
                </c:pt>
                <c:pt idx="9">
                  <c:v>3.3</c:v>
                </c:pt>
                <c:pt idx="10">
                  <c:v>3.25</c:v>
                </c:pt>
                <c:pt idx="11">
                  <c:v>3.2</c:v>
                </c:pt>
                <c:pt idx="12">
                  <c:v>3.2</c:v>
                </c:pt>
                <c:pt idx="13">
                  <c:v>3.15</c:v>
                </c:pt>
                <c:pt idx="14">
                  <c:v>2.9</c:v>
                </c:pt>
                <c:pt idx="15">
                  <c:v>3.05</c:v>
                </c:pt>
                <c:pt idx="16">
                  <c:v>2.8</c:v>
                </c:pt>
                <c:pt idx="17">
                  <c:v>2.79</c:v>
                </c:pt>
                <c:pt idx="18">
                  <c:v>2.5</c:v>
                </c:pt>
                <c:pt idx="19">
                  <c:v>2.4500000000000002</c:v>
                </c:pt>
                <c:pt idx="20">
                  <c:v>2.5</c:v>
                </c:pt>
                <c:pt idx="21">
                  <c:v>2.4</c:v>
                </c:pt>
                <c:pt idx="22">
                  <c:v>2.34</c:v>
                </c:pt>
                <c:pt idx="23">
                  <c:v>2.4500000000000002</c:v>
                </c:pt>
                <c:pt idx="24">
                  <c:v>2.5</c:v>
                </c:pt>
                <c:pt idx="25">
                  <c:v>2.35</c:v>
                </c:pt>
                <c:pt idx="26">
                  <c:v>2.27</c:v>
                </c:pt>
                <c:pt idx="27">
                  <c:v>2.35</c:v>
                </c:pt>
                <c:pt idx="28">
                  <c:v>2.3199999999999998</c:v>
                </c:pt>
                <c:pt idx="29">
                  <c:v>2.3199999999999998</c:v>
                </c:pt>
                <c:pt idx="30">
                  <c:v>2.27</c:v>
                </c:pt>
                <c:pt idx="31">
                  <c:v>2.25</c:v>
                </c:pt>
                <c:pt idx="32">
                  <c:v>2.42</c:v>
                </c:pt>
                <c:pt idx="33">
                  <c:v>2.42</c:v>
                </c:pt>
                <c:pt idx="34">
                  <c:v>2.42</c:v>
                </c:pt>
                <c:pt idx="35">
                  <c:v>2.42</c:v>
                </c:pt>
                <c:pt idx="36">
                  <c:v>2.42</c:v>
                </c:pt>
                <c:pt idx="37">
                  <c:v>2.42</c:v>
                </c:pt>
                <c:pt idx="38">
                  <c:v>2.4500000000000002</c:v>
                </c:pt>
                <c:pt idx="39">
                  <c:v>2.4500000000000002</c:v>
                </c:pt>
                <c:pt idx="4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2D-40C4-B062-4C3CEDE557ED}"/>
            </c:ext>
          </c:extLst>
        </c:ser>
        <c:ser>
          <c:idx val="3"/>
          <c:order val="2"/>
          <c:tx>
            <c:strRef>
              <c:f>rprecios!$E$1</c:f>
              <c:strCache>
                <c:ptCount val="1"/>
                <c:pt idx="0">
                  <c:v>BVN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rprecios!$E$1853:$E$1893</c:f>
              <c:numCache>
                <c:formatCode>General</c:formatCode>
                <c:ptCount val="41"/>
                <c:pt idx="0">
                  <c:v>12.46</c:v>
                </c:pt>
                <c:pt idx="1">
                  <c:v>12.2</c:v>
                </c:pt>
                <c:pt idx="2">
                  <c:v>11.8</c:v>
                </c:pt>
                <c:pt idx="3">
                  <c:v>12.4</c:v>
                </c:pt>
                <c:pt idx="4">
                  <c:v>12.38</c:v>
                </c:pt>
                <c:pt idx="5">
                  <c:v>11.24</c:v>
                </c:pt>
                <c:pt idx="6">
                  <c:v>10.82</c:v>
                </c:pt>
                <c:pt idx="7">
                  <c:v>11.17</c:v>
                </c:pt>
                <c:pt idx="8">
                  <c:v>11</c:v>
                </c:pt>
                <c:pt idx="9">
                  <c:v>11.11</c:v>
                </c:pt>
                <c:pt idx="10">
                  <c:v>10.46</c:v>
                </c:pt>
                <c:pt idx="11">
                  <c:v>9.5</c:v>
                </c:pt>
                <c:pt idx="12">
                  <c:v>9.4499999999999993</c:v>
                </c:pt>
                <c:pt idx="13">
                  <c:v>8.58</c:v>
                </c:pt>
                <c:pt idx="14">
                  <c:v>6.6</c:v>
                </c:pt>
                <c:pt idx="15">
                  <c:v>6.1</c:v>
                </c:pt>
                <c:pt idx="16">
                  <c:v>6.4</c:v>
                </c:pt>
                <c:pt idx="17">
                  <c:v>7.75</c:v>
                </c:pt>
                <c:pt idx="18">
                  <c:v>6.96</c:v>
                </c:pt>
                <c:pt idx="19">
                  <c:v>7.22</c:v>
                </c:pt>
                <c:pt idx="20">
                  <c:v>6.87</c:v>
                </c:pt>
                <c:pt idx="21">
                  <c:v>7.4</c:v>
                </c:pt>
                <c:pt idx="22">
                  <c:v>7.68</c:v>
                </c:pt>
                <c:pt idx="23">
                  <c:v>8.3000000000000007</c:v>
                </c:pt>
                <c:pt idx="24">
                  <c:v>8.1</c:v>
                </c:pt>
                <c:pt idx="25">
                  <c:v>7.2</c:v>
                </c:pt>
                <c:pt idx="26">
                  <c:v>6.55</c:v>
                </c:pt>
                <c:pt idx="27">
                  <c:v>7.32</c:v>
                </c:pt>
                <c:pt idx="28">
                  <c:v>6.8</c:v>
                </c:pt>
                <c:pt idx="29">
                  <c:v>7.15</c:v>
                </c:pt>
                <c:pt idx="30">
                  <c:v>6.96</c:v>
                </c:pt>
                <c:pt idx="31">
                  <c:v>7.11</c:v>
                </c:pt>
                <c:pt idx="32">
                  <c:v>7.8</c:v>
                </c:pt>
                <c:pt idx="33">
                  <c:v>7.06</c:v>
                </c:pt>
                <c:pt idx="34">
                  <c:v>7.8</c:v>
                </c:pt>
                <c:pt idx="35">
                  <c:v>7.7</c:v>
                </c:pt>
                <c:pt idx="36">
                  <c:v>7.18</c:v>
                </c:pt>
                <c:pt idx="37">
                  <c:v>7.24</c:v>
                </c:pt>
                <c:pt idx="38">
                  <c:v>7.1</c:v>
                </c:pt>
                <c:pt idx="39">
                  <c:v>7.45</c:v>
                </c:pt>
                <c:pt idx="40">
                  <c:v>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2D-40C4-B062-4C3CEDE557ED}"/>
            </c:ext>
          </c:extLst>
        </c:ser>
        <c:ser>
          <c:idx val="4"/>
          <c:order val="3"/>
          <c:tx>
            <c:strRef>
              <c:f>rprecios!$F$1</c:f>
              <c:strCache>
                <c:ptCount val="1"/>
                <c:pt idx="0">
                  <c:v>CPACASC1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rprecios!$F$1853:$F$1893</c:f>
              <c:numCache>
                <c:formatCode>General</c:formatCode>
                <c:ptCount val="41"/>
                <c:pt idx="0">
                  <c:v>6.15</c:v>
                </c:pt>
                <c:pt idx="1">
                  <c:v>6.1</c:v>
                </c:pt>
                <c:pt idx="2">
                  <c:v>6.05</c:v>
                </c:pt>
                <c:pt idx="3">
                  <c:v>6</c:v>
                </c:pt>
                <c:pt idx="4">
                  <c:v>5.95</c:v>
                </c:pt>
                <c:pt idx="5">
                  <c:v>5.85</c:v>
                </c:pt>
                <c:pt idx="6">
                  <c:v>6.15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</c:v>
                </c:pt>
                <c:pt idx="11">
                  <c:v>5.8</c:v>
                </c:pt>
                <c:pt idx="12">
                  <c:v>6</c:v>
                </c:pt>
                <c:pt idx="13">
                  <c:v>5.9</c:v>
                </c:pt>
                <c:pt idx="14">
                  <c:v>5.7</c:v>
                </c:pt>
                <c:pt idx="15">
                  <c:v>5.7</c:v>
                </c:pt>
                <c:pt idx="16">
                  <c:v>5.48</c:v>
                </c:pt>
                <c:pt idx="17">
                  <c:v>5.4</c:v>
                </c:pt>
                <c:pt idx="18">
                  <c:v>5.3</c:v>
                </c:pt>
                <c:pt idx="19">
                  <c:v>5.3</c:v>
                </c:pt>
                <c:pt idx="20">
                  <c:v>5.3</c:v>
                </c:pt>
                <c:pt idx="21">
                  <c:v>5</c:v>
                </c:pt>
                <c:pt idx="22">
                  <c:v>5.07</c:v>
                </c:pt>
                <c:pt idx="23">
                  <c:v>4.9400000000000004</c:v>
                </c:pt>
                <c:pt idx="24">
                  <c:v>4.9400000000000004</c:v>
                </c:pt>
                <c:pt idx="25">
                  <c:v>4.8899999999999997</c:v>
                </c:pt>
                <c:pt idx="26">
                  <c:v>4.8</c:v>
                </c:pt>
                <c:pt idx="27">
                  <c:v>4.8</c:v>
                </c:pt>
                <c:pt idx="28">
                  <c:v>4.75</c:v>
                </c:pt>
                <c:pt idx="29">
                  <c:v>4.75</c:v>
                </c:pt>
                <c:pt idx="30">
                  <c:v>4.59</c:v>
                </c:pt>
                <c:pt idx="31">
                  <c:v>4.53</c:v>
                </c:pt>
                <c:pt idx="32">
                  <c:v>4.53</c:v>
                </c:pt>
                <c:pt idx="33">
                  <c:v>4.4800000000000004</c:v>
                </c:pt>
                <c:pt idx="34">
                  <c:v>4.43</c:v>
                </c:pt>
                <c:pt idx="35">
                  <c:v>4.4800000000000004</c:v>
                </c:pt>
                <c:pt idx="36">
                  <c:v>4.43</c:v>
                </c:pt>
                <c:pt idx="37">
                  <c:v>4.43</c:v>
                </c:pt>
                <c:pt idx="38">
                  <c:v>4.43</c:v>
                </c:pt>
                <c:pt idx="39">
                  <c:v>4.5</c:v>
                </c:pt>
                <c:pt idx="40">
                  <c:v>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2D-40C4-B062-4C3CEDE557ED}"/>
            </c:ext>
          </c:extLst>
        </c:ser>
        <c:ser>
          <c:idx val="5"/>
          <c:order val="4"/>
          <c:tx>
            <c:strRef>
              <c:f>rprecios!$G$1</c:f>
              <c:strCache>
                <c:ptCount val="1"/>
                <c:pt idx="0">
                  <c:v>FERREYC1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rprecios!$G$1853:$G$1893</c:f>
              <c:numCache>
                <c:formatCode>General</c:formatCode>
                <c:ptCount val="41"/>
                <c:pt idx="0">
                  <c:v>2.1</c:v>
                </c:pt>
                <c:pt idx="1">
                  <c:v>2.0499999999999998</c:v>
                </c:pt>
                <c:pt idx="2">
                  <c:v>2.0299999999999998</c:v>
                </c:pt>
                <c:pt idx="3">
                  <c:v>2</c:v>
                </c:pt>
                <c:pt idx="4">
                  <c:v>2</c:v>
                </c:pt>
                <c:pt idx="5">
                  <c:v>1.99</c:v>
                </c:pt>
                <c:pt idx="6">
                  <c:v>2</c:v>
                </c:pt>
                <c:pt idx="7">
                  <c:v>2.08</c:v>
                </c:pt>
                <c:pt idx="8">
                  <c:v>2.1</c:v>
                </c:pt>
                <c:pt idx="9">
                  <c:v>2.09</c:v>
                </c:pt>
                <c:pt idx="10">
                  <c:v>2</c:v>
                </c:pt>
                <c:pt idx="11">
                  <c:v>1.92</c:v>
                </c:pt>
                <c:pt idx="12">
                  <c:v>1.93</c:v>
                </c:pt>
                <c:pt idx="13">
                  <c:v>1.89</c:v>
                </c:pt>
                <c:pt idx="14">
                  <c:v>1.78</c:v>
                </c:pt>
                <c:pt idx="15">
                  <c:v>1.83</c:v>
                </c:pt>
                <c:pt idx="16">
                  <c:v>1.82</c:v>
                </c:pt>
                <c:pt idx="17">
                  <c:v>1.79</c:v>
                </c:pt>
                <c:pt idx="18">
                  <c:v>1.75</c:v>
                </c:pt>
                <c:pt idx="19">
                  <c:v>1.7</c:v>
                </c:pt>
                <c:pt idx="20">
                  <c:v>1.6</c:v>
                </c:pt>
                <c:pt idx="21">
                  <c:v>1.48</c:v>
                </c:pt>
                <c:pt idx="22">
                  <c:v>1.47</c:v>
                </c:pt>
                <c:pt idx="23">
                  <c:v>1.42</c:v>
                </c:pt>
                <c:pt idx="24">
                  <c:v>1.41</c:v>
                </c:pt>
                <c:pt idx="25">
                  <c:v>1.22</c:v>
                </c:pt>
                <c:pt idx="26">
                  <c:v>1.21</c:v>
                </c:pt>
                <c:pt idx="27">
                  <c:v>1.26</c:v>
                </c:pt>
                <c:pt idx="28">
                  <c:v>1.2</c:v>
                </c:pt>
                <c:pt idx="29">
                  <c:v>1.17</c:v>
                </c:pt>
                <c:pt idx="30">
                  <c:v>1.17</c:v>
                </c:pt>
                <c:pt idx="31">
                  <c:v>1.22</c:v>
                </c:pt>
                <c:pt idx="32">
                  <c:v>1.2</c:v>
                </c:pt>
                <c:pt idx="33">
                  <c:v>1.21</c:v>
                </c:pt>
                <c:pt idx="34">
                  <c:v>1.23</c:v>
                </c:pt>
                <c:pt idx="35">
                  <c:v>1.23</c:v>
                </c:pt>
                <c:pt idx="36">
                  <c:v>1.21</c:v>
                </c:pt>
                <c:pt idx="37">
                  <c:v>1.23</c:v>
                </c:pt>
                <c:pt idx="38">
                  <c:v>1.21</c:v>
                </c:pt>
                <c:pt idx="39">
                  <c:v>1.17</c:v>
                </c:pt>
                <c:pt idx="40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2D-40C4-B062-4C3CEDE557ED}"/>
            </c:ext>
          </c:extLst>
        </c:ser>
        <c:ser>
          <c:idx val="6"/>
          <c:order val="5"/>
          <c:tx>
            <c:strRef>
              <c:f>rprecios!$H$1</c:f>
              <c:strCache>
                <c:ptCount val="1"/>
                <c:pt idx="0">
                  <c:v>GRAMONC1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rprecios!$H$1853:$H$1893</c:f>
              <c:numCache>
                <c:formatCode>General</c:formatCode>
                <c:ptCount val="41"/>
                <c:pt idx="0">
                  <c:v>1.8</c:v>
                </c:pt>
                <c:pt idx="1">
                  <c:v>1.85</c:v>
                </c:pt>
                <c:pt idx="2">
                  <c:v>1.78</c:v>
                </c:pt>
                <c:pt idx="3">
                  <c:v>1.78</c:v>
                </c:pt>
                <c:pt idx="4">
                  <c:v>1.65</c:v>
                </c:pt>
                <c:pt idx="5">
                  <c:v>1.67</c:v>
                </c:pt>
                <c:pt idx="6">
                  <c:v>1.72</c:v>
                </c:pt>
                <c:pt idx="7">
                  <c:v>1.75</c:v>
                </c:pt>
                <c:pt idx="8">
                  <c:v>1.75</c:v>
                </c:pt>
                <c:pt idx="9">
                  <c:v>1.73</c:v>
                </c:pt>
                <c:pt idx="10">
                  <c:v>1.69</c:v>
                </c:pt>
                <c:pt idx="11">
                  <c:v>1.59</c:v>
                </c:pt>
                <c:pt idx="12">
                  <c:v>1.65</c:v>
                </c:pt>
                <c:pt idx="13">
                  <c:v>1.56</c:v>
                </c:pt>
                <c:pt idx="14">
                  <c:v>1.46</c:v>
                </c:pt>
                <c:pt idx="15">
                  <c:v>1.53</c:v>
                </c:pt>
                <c:pt idx="16">
                  <c:v>1.37</c:v>
                </c:pt>
                <c:pt idx="17">
                  <c:v>1.41</c:v>
                </c:pt>
                <c:pt idx="18">
                  <c:v>1.39</c:v>
                </c:pt>
                <c:pt idx="19">
                  <c:v>1.45</c:v>
                </c:pt>
                <c:pt idx="20">
                  <c:v>1.42</c:v>
                </c:pt>
                <c:pt idx="21">
                  <c:v>1.3</c:v>
                </c:pt>
                <c:pt idx="22">
                  <c:v>1.29</c:v>
                </c:pt>
                <c:pt idx="23">
                  <c:v>1.26</c:v>
                </c:pt>
                <c:pt idx="24">
                  <c:v>1.21</c:v>
                </c:pt>
                <c:pt idx="25">
                  <c:v>1.1000000000000001</c:v>
                </c:pt>
                <c:pt idx="26">
                  <c:v>1.1599999999999999</c:v>
                </c:pt>
                <c:pt idx="27">
                  <c:v>1.1599999999999999</c:v>
                </c:pt>
                <c:pt idx="28">
                  <c:v>1.1200000000000001</c:v>
                </c:pt>
                <c:pt idx="29">
                  <c:v>1.1000000000000001</c:v>
                </c:pt>
                <c:pt idx="30">
                  <c:v>1.08</c:v>
                </c:pt>
                <c:pt idx="31">
                  <c:v>1.1000000000000001</c:v>
                </c:pt>
                <c:pt idx="32">
                  <c:v>1.08</c:v>
                </c:pt>
                <c:pt idx="33">
                  <c:v>1.06</c:v>
                </c:pt>
                <c:pt idx="34">
                  <c:v>1.19</c:v>
                </c:pt>
                <c:pt idx="35">
                  <c:v>1.21</c:v>
                </c:pt>
                <c:pt idx="36">
                  <c:v>1.5</c:v>
                </c:pt>
                <c:pt idx="37">
                  <c:v>1.36</c:v>
                </c:pt>
                <c:pt idx="38">
                  <c:v>1.35</c:v>
                </c:pt>
                <c:pt idx="39">
                  <c:v>1.27</c:v>
                </c:pt>
                <c:pt idx="4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2D-40C4-B062-4C3CEDE557ED}"/>
            </c:ext>
          </c:extLst>
        </c:ser>
        <c:ser>
          <c:idx val="7"/>
          <c:order val="6"/>
          <c:tx>
            <c:strRef>
              <c:f>rprecios!$I$1</c:f>
              <c:strCache>
                <c:ptCount val="1"/>
                <c:pt idx="0">
                  <c:v>IFS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rprecios!$I$1853:$I$1893</c:f>
              <c:numCache>
                <c:formatCode>General</c:formatCode>
                <c:ptCount val="41"/>
                <c:pt idx="0">
                  <c:v>41.4</c:v>
                </c:pt>
                <c:pt idx="1">
                  <c:v>40.880000000000003</c:v>
                </c:pt>
                <c:pt idx="2">
                  <c:v>40.6</c:v>
                </c:pt>
                <c:pt idx="3">
                  <c:v>40</c:v>
                </c:pt>
                <c:pt idx="4">
                  <c:v>38.450000000000003</c:v>
                </c:pt>
                <c:pt idx="5">
                  <c:v>37.82</c:v>
                </c:pt>
                <c:pt idx="6">
                  <c:v>39.5</c:v>
                </c:pt>
                <c:pt idx="7">
                  <c:v>38.5</c:v>
                </c:pt>
                <c:pt idx="8">
                  <c:v>39.4</c:v>
                </c:pt>
                <c:pt idx="9">
                  <c:v>38.5</c:v>
                </c:pt>
                <c:pt idx="10">
                  <c:v>36.53</c:v>
                </c:pt>
                <c:pt idx="11">
                  <c:v>32.619999999999997</c:v>
                </c:pt>
                <c:pt idx="12">
                  <c:v>36</c:v>
                </c:pt>
                <c:pt idx="13">
                  <c:v>35.5</c:v>
                </c:pt>
                <c:pt idx="14">
                  <c:v>30.65</c:v>
                </c:pt>
                <c:pt idx="15">
                  <c:v>34.5</c:v>
                </c:pt>
                <c:pt idx="16">
                  <c:v>31.29</c:v>
                </c:pt>
                <c:pt idx="17">
                  <c:v>29.25</c:v>
                </c:pt>
                <c:pt idx="18">
                  <c:v>25.38</c:v>
                </c:pt>
                <c:pt idx="19">
                  <c:v>24.7</c:v>
                </c:pt>
                <c:pt idx="20">
                  <c:v>25.4</c:v>
                </c:pt>
                <c:pt idx="21">
                  <c:v>23.95</c:v>
                </c:pt>
                <c:pt idx="22">
                  <c:v>25.9</c:v>
                </c:pt>
                <c:pt idx="23">
                  <c:v>27</c:v>
                </c:pt>
                <c:pt idx="24">
                  <c:v>27.1</c:v>
                </c:pt>
                <c:pt idx="25">
                  <c:v>26.65</c:v>
                </c:pt>
                <c:pt idx="26">
                  <c:v>25.8</c:v>
                </c:pt>
                <c:pt idx="27">
                  <c:v>29.95</c:v>
                </c:pt>
                <c:pt idx="28">
                  <c:v>24.9</c:v>
                </c:pt>
                <c:pt idx="29">
                  <c:v>24</c:v>
                </c:pt>
                <c:pt idx="30">
                  <c:v>23.65</c:v>
                </c:pt>
                <c:pt idx="31">
                  <c:v>24.1</c:v>
                </c:pt>
                <c:pt idx="32">
                  <c:v>23.9</c:v>
                </c:pt>
                <c:pt idx="33">
                  <c:v>25.35</c:v>
                </c:pt>
                <c:pt idx="34">
                  <c:v>26.6</c:v>
                </c:pt>
                <c:pt idx="35">
                  <c:v>25.9</c:v>
                </c:pt>
                <c:pt idx="36">
                  <c:v>27.2</c:v>
                </c:pt>
                <c:pt idx="37">
                  <c:v>27.15</c:v>
                </c:pt>
                <c:pt idx="38">
                  <c:v>26.06</c:v>
                </c:pt>
                <c:pt idx="39">
                  <c:v>24.5</c:v>
                </c:pt>
                <c:pt idx="40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2D-40C4-B062-4C3CEDE557ED}"/>
            </c:ext>
          </c:extLst>
        </c:ser>
        <c:ser>
          <c:idx val="8"/>
          <c:order val="7"/>
          <c:tx>
            <c:strRef>
              <c:f>rprecios!$J$1</c:f>
              <c:strCache>
                <c:ptCount val="1"/>
                <c:pt idx="0">
                  <c:v>INRETC1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rprecios!$J$1853:$J$1893</c:f>
              <c:numCache>
                <c:formatCode>General</c:formatCode>
                <c:ptCount val="41"/>
                <c:pt idx="0">
                  <c:v>37.5</c:v>
                </c:pt>
                <c:pt idx="1">
                  <c:v>36.75</c:v>
                </c:pt>
                <c:pt idx="2">
                  <c:v>36.4</c:v>
                </c:pt>
                <c:pt idx="3">
                  <c:v>35.950000000000003</c:v>
                </c:pt>
                <c:pt idx="4">
                  <c:v>35.1</c:v>
                </c:pt>
                <c:pt idx="5">
                  <c:v>34.299999999999997</c:v>
                </c:pt>
                <c:pt idx="6">
                  <c:v>34.5</c:v>
                </c:pt>
                <c:pt idx="7">
                  <c:v>34</c:v>
                </c:pt>
                <c:pt idx="8">
                  <c:v>34.200000000000003</c:v>
                </c:pt>
                <c:pt idx="9">
                  <c:v>34.119999999999997</c:v>
                </c:pt>
                <c:pt idx="10">
                  <c:v>33</c:v>
                </c:pt>
                <c:pt idx="11">
                  <c:v>31.9</c:v>
                </c:pt>
                <c:pt idx="12">
                  <c:v>32</c:v>
                </c:pt>
                <c:pt idx="13">
                  <c:v>31.5</c:v>
                </c:pt>
                <c:pt idx="14">
                  <c:v>30</c:v>
                </c:pt>
                <c:pt idx="15">
                  <c:v>29.5</c:v>
                </c:pt>
                <c:pt idx="16">
                  <c:v>29</c:v>
                </c:pt>
                <c:pt idx="17">
                  <c:v>29</c:v>
                </c:pt>
                <c:pt idx="18">
                  <c:v>28.5</c:v>
                </c:pt>
                <c:pt idx="19">
                  <c:v>28.5</c:v>
                </c:pt>
                <c:pt idx="20">
                  <c:v>28.6</c:v>
                </c:pt>
                <c:pt idx="21">
                  <c:v>28.7</c:v>
                </c:pt>
                <c:pt idx="22">
                  <c:v>30.8</c:v>
                </c:pt>
                <c:pt idx="23">
                  <c:v>32</c:v>
                </c:pt>
                <c:pt idx="24">
                  <c:v>32.299999999999997</c:v>
                </c:pt>
                <c:pt idx="25">
                  <c:v>31.224</c:v>
                </c:pt>
                <c:pt idx="26">
                  <c:v>30.93</c:v>
                </c:pt>
                <c:pt idx="27">
                  <c:v>30.635000000000002</c:v>
                </c:pt>
                <c:pt idx="28">
                  <c:v>29.948</c:v>
                </c:pt>
                <c:pt idx="29">
                  <c:v>28.72</c:v>
                </c:pt>
                <c:pt idx="30">
                  <c:v>27.876000000000001</c:v>
                </c:pt>
                <c:pt idx="31">
                  <c:v>27.001999999999999</c:v>
                </c:pt>
                <c:pt idx="32">
                  <c:v>27.492999999999999</c:v>
                </c:pt>
                <c:pt idx="33">
                  <c:v>27.492999999999999</c:v>
                </c:pt>
                <c:pt idx="34">
                  <c:v>28.475000000000001</c:v>
                </c:pt>
                <c:pt idx="35">
                  <c:v>28.768999999999998</c:v>
                </c:pt>
                <c:pt idx="36">
                  <c:v>28.966000000000001</c:v>
                </c:pt>
                <c:pt idx="37">
                  <c:v>29.113</c:v>
                </c:pt>
                <c:pt idx="38">
                  <c:v>29.457000000000001</c:v>
                </c:pt>
                <c:pt idx="39">
                  <c:v>29.565000000000001</c:v>
                </c:pt>
                <c:pt idx="40">
                  <c:v>29.446999999999999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2D-40C4-B062-4C3CEDE557ED}"/>
            </c:ext>
          </c:extLst>
        </c:ser>
        <c:ser>
          <c:idx val="9"/>
          <c:order val="8"/>
          <c:tx>
            <c:strRef>
              <c:f>rprecios!$K$1</c:f>
              <c:strCache>
                <c:ptCount val="1"/>
                <c:pt idx="0">
                  <c:v>LUSURC1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rprecios!$K$1853:$K$1893</c:f>
              <c:numCache>
                <c:formatCode>General</c:formatCode>
                <c:ptCount val="41"/>
                <c:pt idx="0">
                  <c:v>25.45</c:v>
                </c:pt>
                <c:pt idx="1">
                  <c:v>25.45</c:v>
                </c:pt>
                <c:pt idx="2">
                  <c:v>25</c:v>
                </c:pt>
                <c:pt idx="3">
                  <c:v>25</c:v>
                </c:pt>
                <c:pt idx="4">
                  <c:v>24.5</c:v>
                </c:pt>
                <c:pt idx="5">
                  <c:v>27</c:v>
                </c:pt>
                <c:pt idx="6">
                  <c:v>26</c:v>
                </c:pt>
                <c:pt idx="7">
                  <c:v>25.9</c:v>
                </c:pt>
                <c:pt idx="8">
                  <c:v>25.99</c:v>
                </c:pt>
                <c:pt idx="9">
                  <c:v>25.9</c:v>
                </c:pt>
                <c:pt idx="10">
                  <c:v>25</c:v>
                </c:pt>
                <c:pt idx="11">
                  <c:v>24.48</c:v>
                </c:pt>
                <c:pt idx="12">
                  <c:v>26</c:v>
                </c:pt>
                <c:pt idx="13">
                  <c:v>25.5</c:v>
                </c:pt>
                <c:pt idx="14">
                  <c:v>24.5</c:v>
                </c:pt>
                <c:pt idx="15">
                  <c:v>24</c:v>
                </c:pt>
                <c:pt idx="16">
                  <c:v>23.6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24.01</c:v>
                </c:pt>
                <c:pt idx="22">
                  <c:v>24.5</c:v>
                </c:pt>
                <c:pt idx="23">
                  <c:v>24.5</c:v>
                </c:pt>
                <c:pt idx="24">
                  <c:v>25</c:v>
                </c:pt>
                <c:pt idx="25">
                  <c:v>23</c:v>
                </c:pt>
                <c:pt idx="26">
                  <c:v>22.5</c:v>
                </c:pt>
                <c:pt idx="27">
                  <c:v>23</c:v>
                </c:pt>
                <c:pt idx="28">
                  <c:v>22.5</c:v>
                </c:pt>
                <c:pt idx="29">
                  <c:v>22</c:v>
                </c:pt>
                <c:pt idx="30">
                  <c:v>21.7</c:v>
                </c:pt>
                <c:pt idx="31">
                  <c:v>21.3</c:v>
                </c:pt>
                <c:pt idx="32">
                  <c:v>21.45</c:v>
                </c:pt>
                <c:pt idx="33">
                  <c:v>21.31</c:v>
                </c:pt>
                <c:pt idx="34">
                  <c:v>26.5</c:v>
                </c:pt>
                <c:pt idx="35">
                  <c:v>26.5</c:v>
                </c:pt>
                <c:pt idx="36">
                  <c:v>26</c:v>
                </c:pt>
                <c:pt idx="37">
                  <c:v>25.75</c:v>
                </c:pt>
                <c:pt idx="38">
                  <c:v>25.9</c:v>
                </c:pt>
                <c:pt idx="39">
                  <c:v>25.9</c:v>
                </c:pt>
                <c:pt idx="40">
                  <c:v>25.6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C2D-40C4-B062-4C3CEDE557ED}"/>
            </c:ext>
          </c:extLst>
        </c:ser>
        <c:ser>
          <c:idx val="10"/>
          <c:order val="9"/>
          <c:tx>
            <c:strRef>
              <c:f>rprecios!$L$1</c:f>
              <c:strCache>
                <c:ptCount val="1"/>
                <c:pt idx="0">
                  <c:v>MINSURI1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rprecios!$L$1853:$L$1893</c:f>
              <c:numCache>
                <c:formatCode>General</c:formatCode>
                <c:ptCount val="41"/>
                <c:pt idx="0">
                  <c:v>1.64</c:v>
                </c:pt>
                <c:pt idx="1">
                  <c:v>1.61</c:v>
                </c:pt>
                <c:pt idx="2">
                  <c:v>1.6</c:v>
                </c:pt>
                <c:pt idx="3">
                  <c:v>1.58</c:v>
                </c:pt>
                <c:pt idx="4">
                  <c:v>1.52</c:v>
                </c:pt>
                <c:pt idx="5">
                  <c:v>1.48</c:v>
                </c:pt>
                <c:pt idx="6">
                  <c:v>1.5</c:v>
                </c:pt>
                <c:pt idx="7">
                  <c:v>1.52</c:v>
                </c:pt>
                <c:pt idx="8">
                  <c:v>1.52</c:v>
                </c:pt>
                <c:pt idx="9">
                  <c:v>1.5</c:v>
                </c:pt>
                <c:pt idx="10">
                  <c:v>1.45</c:v>
                </c:pt>
                <c:pt idx="11">
                  <c:v>1.41</c:v>
                </c:pt>
                <c:pt idx="12">
                  <c:v>1.48</c:v>
                </c:pt>
                <c:pt idx="13">
                  <c:v>1.48</c:v>
                </c:pt>
                <c:pt idx="14">
                  <c:v>1.43</c:v>
                </c:pt>
                <c:pt idx="15">
                  <c:v>1.49</c:v>
                </c:pt>
                <c:pt idx="16">
                  <c:v>1.49</c:v>
                </c:pt>
                <c:pt idx="17">
                  <c:v>1.36</c:v>
                </c:pt>
                <c:pt idx="18">
                  <c:v>1.36</c:v>
                </c:pt>
                <c:pt idx="19">
                  <c:v>1.36</c:v>
                </c:pt>
                <c:pt idx="20">
                  <c:v>1.36</c:v>
                </c:pt>
                <c:pt idx="21">
                  <c:v>1.36</c:v>
                </c:pt>
                <c:pt idx="22">
                  <c:v>1.34</c:v>
                </c:pt>
                <c:pt idx="23">
                  <c:v>1.3</c:v>
                </c:pt>
                <c:pt idx="24">
                  <c:v>1.3</c:v>
                </c:pt>
                <c:pt idx="25">
                  <c:v>1.29</c:v>
                </c:pt>
                <c:pt idx="26">
                  <c:v>1.29</c:v>
                </c:pt>
                <c:pt idx="27">
                  <c:v>1.3</c:v>
                </c:pt>
                <c:pt idx="28">
                  <c:v>1.32</c:v>
                </c:pt>
                <c:pt idx="29">
                  <c:v>1.32</c:v>
                </c:pt>
                <c:pt idx="30">
                  <c:v>1.23</c:v>
                </c:pt>
                <c:pt idx="31">
                  <c:v>1.2</c:v>
                </c:pt>
                <c:pt idx="32">
                  <c:v>1.23</c:v>
                </c:pt>
                <c:pt idx="33">
                  <c:v>1.23</c:v>
                </c:pt>
                <c:pt idx="34">
                  <c:v>1.23</c:v>
                </c:pt>
                <c:pt idx="35">
                  <c:v>1.23</c:v>
                </c:pt>
                <c:pt idx="36">
                  <c:v>1.23</c:v>
                </c:pt>
                <c:pt idx="37">
                  <c:v>1.23</c:v>
                </c:pt>
                <c:pt idx="38">
                  <c:v>1.27</c:v>
                </c:pt>
                <c:pt idx="39">
                  <c:v>1.29</c:v>
                </c:pt>
                <c:pt idx="40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2D-40C4-B062-4C3CEDE557ED}"/>
            </c:ext>
          </c:extLst>
        </c:ser>
        <c:ser>
          <c:idx val="11"/>
          <c:order val="10"/>
          <c:tx>
            <c:strRef>
              <c:f>rprecios!$M$1</c:f>
              <c:strCache>
                <c:ptCount val="1"/>
                <c:pt idx="0">
                  <c:v>NEXAPEC1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rprecios!$M$1853:$M$1893</c:f>
              <c:numCache>
                <c:formatCode>General</c:formatCode>
                <c:ptCount val="41"/>
                <c:pt idx="0">
                  <c:v>3.42</c:v>
                </c:pt>
                <c:pt idx="1">
                  <c:v>3.42</c:v>
                </c:pt>
                <c:pt idx="2">
                  <c:v>3.35</c:v>
                </c:pt>
                <c:pt idx="3">
                  <c:v>3.35</c:v>
                </c:pt>
                <c:pt idx="4">
                  <c:v>3.25</c:v>
                </c:pt>
                <c:pt idx="5">
                  <c:v>3.2</c:v>
                </c:pt>
                <c:pt idx="6">
                  <c:v>3.2</c:v>
                </c:pt>
                <c:pt idx="7">
                  <c:v>3.2</c:v>
                </c:pt>
                <c:pt idx="8">
                  <c:v>3.2</c:v>
                </c:pt>
                <c:pt idx="9">
                  <c:v>3.2</c:v>
                </c:pt>
                <c:pt idx="10">
                  <c:v>3.2</c:v>
                </c:pt>
                <c:pt idx="11">
                  <c:v>3</c:v>
                </c:pt>
                <c:pt idx="12">
                  <c:v>3</c:v>
                </c:pt>
                <c:pt idx="13">
                  <c:v>2.88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2.6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2.15</c:v>
                </c:pt>
                <c:pt idx="30">
                  <c:v>2.1</c:v>
                </c:pt>
                <c:pt idx="31">
                  <c:v>2.1</c:v>
                </c:pt>
                <c:pt idx="32">
                  <c:v>2.1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C2D-40C4-B062-4C3CEDE557ED}"/>
            </c:ext>
          </c:extLst>
        </c:ser>
        <c:ser>
          <c:idx val="12"/>
          <c:order val="11"/>
          <c:tx>
            <c:strRef>
              <c:f>rprecios!$N$1</c:f>
              <c:strCache>
                <c:ptCount val="1"/>
                <c:pt idx="0">
                  <c:v>RELAPAC1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rprecios!$N$1853:$N$1893</c:f>
              <c:numCache>
                <c:formatCode>General</c:formatCode>
                <c:ptCount val="41"/>
                <c:pt idx="0">
                  <c:v>0.10299999999999999</c:v>
                </c:pt>
                <c:pt idx="1">
                  <c:v>9.9000000000000005E-2</c:v>
                </c:pt>
                <c:pt idx="2">
                  <c:v>9.7000000000000003E-2</c:v>
                </c:pt>
                <c:pt idx="3">
                  <c:v>9.5000000000000001E-2</c:v>
                </c:pt>
                <c:pt idx="4">
                  <c:v>8.3000000000000004E-2</c:v>
                </c:pt>
                <c:pt idx="5">
                  <c:v>8.5000000000000006E-2</c:v>
                </c:pt>
                <c:pt idx="6">
                  <c:v>8.7999999999999995E-2</c:v>
                </c:pt>
                <c:pt idx="7">
                  <c:v>8.7999999999999995E-2</c:v>
                </c:pt>
                <c:pt idx="8">
                  <c:v>0.09</c:v>
                </c:pt>
                <c:pt idx="9">
                  <c:v>8.7999999999999995E-2</c:v>
                </c:pt>
                <c:pt idx="10">
                  <c:v>0.08</c:v>
                </c:pt>
                <c:pt idx="11">
                  <c:v>7.5999999999999998E-2</c:v>
                </c:pt>
                <c:pt idx="12">
                  <c:v>7.9000000000000001E-2</c:v>
                </c:pt>
                <c:pt idx="13">
                  <c:v>0.08</c:v>
                </c:pt>
                <c:pt idx="14">
                  <c:v>0.08</c:v>
                </c:pt>
                <c:pt idx="15">
                  <c:v>7.8E-2</c:v>
                </c:pt>
                <c:pt idx="16">
                  <c:v>7.8E-2</c:v>
                </c:pt>
                <c:pt idx="17">
                  <c:v>7.6999999999999999E-2</c:v>
                </c:pt>
                <c:pt idx="18">
                  <c:v>6.8000000000000005E-2</c:v>
                </c:pt>
                <c:pt idx="19">
                  <c:v>7.1999999999999995E-2</c:v>
                </c:pt>
                <c:pt idx="20">
                  <c:v>6.0999999999999999E-2</c:v>
                </c:pt>
                <c:pt idx="21">
                  <c:v>0.06</c:v>
                </c:pt>
                <c:pt idx="22">
                  <c:v>0.06</c:v>
                </c:pt>
                <c:pt idx="23">
                  <c:v>5.8000000000000003E-2</c:v>
                </c:pt>
                <c:pt idx="24">
                  <c:v>0.06</c:v>
                </c:pt>
                <c:pt idx="25">
                  <c:v>5.6000000000000001E-2</c:v>
                </c:pt>
                <c:pt idx="26">
                  <c:v>5.3999999999999999E-2</c:v>
                </c:pt>
                <c:pt idx="27">
                  <c:v>5.2999999999999999E-2</c:v>
                </c:pt>
                <c:pt idx="28">
                  <c:v>5.2999999999999999E-2</c:v>
                </c:pt>
                <c:pt idx="29">
                  <c:v>5.5E-2</c:v>
                </c:pt>
                <c:pt idx="30">
                  <c:v>5.0999999999999997E-2</c:v>
                </c:pt>
                <c:pt idx="31">
                  <c:v>5.0999999999999997E-2</c:v>
                </c:pt>
                <c:pt idx="32">
                  <c:v>5.2999999999999999E-2</c:v>
                </c:pt>
                <c:pt idx="33">
                  <c:v>5.3999999999999999E-2</c:v>
                </c:pt>
                <c:pt idx="34">
                  <c:v>5.3999999999999999E-2</c:v>
                </c:pt>
                <c:pt idx="35">
                  <c:v>5.7000000000000002E-2</c:v>
                </c:pt>
                <c:pt idx="36">
                  <c:v>6.2E-2</c:v>
                </c:pt>
                <c:pt idx="37">
                  <c:v>6.7000000000000004E-2</c:v>
                </c:pt>
                <c:pt idx="38">
                  <c:v>6.7000000000000004E-2</c:v>
                </c:pt>
                <c:pt idx="39">
                  <c:v>0.06</c:v>
                </c:pt>
                <c:pt idx="40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2D-40C4-B062-4C3CEDE557ED}"/>
            </c:ext>
          </c:extLst>
        </c:ser>
        <c:ser>
          <c:idx val="13"/>
          <c:order val="12"/>
          <c:tx>
            <c:strRef>
              <c:f>rprecios!$O$1</c:f>
              <c:strCache>
                <c:ptCount val="1"/>
                <c:pt idx="0">
                  <c:v>UNACEMC1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rprecios!$O$1853:$O$1893</c:f>
              <c:numCache>
                <c:formatCode>General</c:formatCode>
                <c:ptCount val="41"/>
                <c:pt idx="0">
                  <c:v>1.97</c:v>
                </c:pt>
                <c:pt idx="1">
                  <c:v>1.96</c:v>
                </c:pt>
                <c:pt idx="2">
                  <c:v>1.95</c:v>
                </c:pt>
                <c:pt idx="3">
                  <c:v>1.94</c:v>
                </c:pt>
                <c:pt idx="4">
                  <c:v>1.91</c:v>
                </c:pt>
                <c:pt idx="5">
                  <c:v>1.97</c:v>
                </c:pt>
                <c:pt idx="6">
                  <c:v>1.96</c:v>
                </c:pt>
                <c:pt idx="7">
                  <c:v>1.96</c:v>
                </c:pt>
                <c:pt idx="8">
                  <c:v>1.95</c:v>
                </c:pt>
                <c:pt idx="9">
                  <c:v>1.93</c:v>
                </c:pt>
                <c:pt idx="10">
                  <c:v>1.89</c:v>
                </c:pt>
                <c:pt idx="11">
                  <c:v>1.89</c:v>
                </c:pt>
                <c:pt idx="12">
                  <c:v>1.8</c:v>
                </c:pt>
                <c:pt idx="13">
                  <c:v>1.7</c:v>
                </c:pt>
                <c:pt idx="14">
                  <c:v>1.65</c:v>
                </c:pt>
                <c:pt idx="15">
                  <c:v>1.7</c:v>
                </c:pt>
                <c:pt idx="16">
                  <c:v>1.7</c:v>
                </c:pt>
                <c:pt idx="17">
                  <c:v>1.6</c:v>
                </c:pt>
                <c:pt idx="18">
                  <c:v>1.59</c:v>
                </c:pt>
                <c:pt idx="19">
                  <c:v>1.59</c:v>
                </c:pt>
                <c:pt idx="20">
                  <c:v>1.59</c:v>
                </c:pt>
                <c:pt idx="21">
                  <c:v>1.59</c:v>
                </c:pt>
                <c:pt idx="22">
                  <c:v>1.59</c:v>
                </c:pt>
                <c:pt idx="23">
                  <c:v>1.49</c:v>
                </c:pt>
                <c:pt idx="24">
                  <c:v>1.49</c:v>
                </c:pt>
                <c:pt idx="25">
                  <c:v>1.4</c:v>
                </c:pt>
                <c:pt idx="26">
                  <c:v>1.31</c:v>
                </c:pt>
                <c:pt idx="27">
                  <c:v>1.35</c:v>
                </c:pt>
                <c:pt idx="28">
                  <c:v>1.32</c:v>
                </c:pt>
                <c:pt idx="29">
                  <c:v>1.32</c:v>
                </c:pt>
                <c:pt idx="30">
                  <c:v>1.27</c:v>
                </c:pt>
                <c:pt idx="31">
                  <c:v>1.27</c:v>
                </c:pt>
                <c:pt idx="32">
                  <c:v>1.27</c:v>
                </c:pt>
                <c:pt idx="33">
                  <c:v>1.26</c:v>
                </c:pt>
                <c:pt idx="34">
                  <c:v>1.26</c:v>
                </c:pt>
                <c:pt idx="35">
                  <c:v>1.3</c:v>
                </c:pt>
                <c:pt idx="36">
                  <c:v>1.35</c:v>
                </c:pt>
                <c:pt idx="37">
                  <c:v>1.35</c:v>
                </c:pt>
                <c:pt idx="38">
                  <c:v>1.35</c:v>
                </c:pt>
                <c:pt idx="39">
                  <c:v>1.35</c:v>
                </c:pt>
                <c:pt idx="40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C2D-40C4-B062-4C3CEDE557ED}"/>
            </c:ext>
          </c:extLst>
        </c:ser>
        <c:ser>
          <c:idx val="14"/>
          <c:order val="13"/>
          <c:tx>
            <c:strRef>
              <c:f>rprecios!$P$1</c:f>
              <c:strCache>
                <c:ptCount val="1"/>
                <c:pt idx="0">
                  <c:v>VOLCABC1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rprecios!$A$1853:$A$1893</c:f>
              <c:numCache>
                <c:formatCode>m/d/yyyy</c:formatCode>
                <c:ptCount val="41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43934</c:v>
                </c:pt>
                <c:pt idx="35">
                  <c:v>43935</c:v>
                </c:pt>
                <c:pt idx="36">
                  <c:v>43936</c:v>
                </c:pt>
                <c:pt idx="37">
                  <c:v>43937</c:v>
                </c:pt>
                <c:pt idx="38">
                  <c:v>43938</c:v>
                </c:pt>
                <c:pt idx="39">
                  <c:v>43941</c:v>
                </c:pt>
                <c:pt idx="40">
                  <c:v>43942</c:v>
                </c:pt>
              </c:numCache>
            </c:numRef>
          </c:cat>
          <c:val>
            <c:numRef>
              <c:f>rprecios!$P$1853:$P$1893</c:f>
              <c:numCache>
                <c:formatCode>General</c:formatCode>
                <c:ptCount val="41"/>
                <c:pt idx="0">
                  <c:v>0.52</c:v>
                </c:pt>
                <c:pt idx="1">
                  <c:v>0.5</c:v>
                </c:pt>
                <c:pt idx="2">
                  <c:v>0.48</c:v>
                </c:pt>
                <c:pt idx="3">
                  <c:v>0.46600000000000003</c:v>
                </c:pt>
                <c:pt idx="4">
                  <c:v>0.44</c:v>
                </c:pt>
                <c:pt idx="5">
                  <c:v>0.438</c:v>
                </c:pt>
                <c:pt idx="6">
                  <c:v>0.46500000000000002</c:v>
                </c:pt>
                <c:pt idx="7">
                  <c:v>0.5</c:v>
                </c:pt>
                <c:pt idx="8">
                  <c:v>0.47499999999999998</c:v>
                </c:pt>
                <c:pt idx="9">
                  <c:v>0.46</c:v>
                </c:pt>
                <c:pt idx="10">
                  <c:v>0.435</c:v>
                </c:pt>
                <c:pt idx="11">
                  <c:v>0.40600000000000003</c:v>
                </c:pt>
                <c:pt idx="12">
                  <c:v>0.44</c:v>
                </c:pt>
                <c:pt idx="13">
                  <c:v>0.41</c:v>
                </c:pt>
                <c:pt idx="14">
                  <c:v>0.39</c:v>
                </c:pt>
                <c:pt idx="15">
                  <c:v>0.39300000000000002</c:v>
                </c:pt>
                <c:pt idx="16">
                  <c:v>0.35</c:v>
                </c:pt>
                <c:pt idx="17">
                  <c:v>0.37</c:v>
                </c:pt>
                <c:pt idx="18">
                  <c:v>0.33500000000000002</c:v>
                </c:pt>
                <c:pt idx="19">
                  <c:v>0.34</c:v>
                </c:pt>
                <c:pt idx="20">
                  <c:v>0.317</c:v>
                </c:pt>
                <c:pt idx="21">
                  <c:v>0.28999999999999998</c:v>
                </c:pt>
                <c:pt idx="22">
                  <c:v>0.3</c:v>
                </c:pt>
                <c:pt idx="23">
                  <c:v>0.29899999999999999</c:v>
                </c:pt>
                <c:pt idx="24">
                  <c:v>0.30099999999999999</c:v>
                </c:pt>
                <c:pt idx="25">
                  <c:v>0.31</c:v>
                </c:pt>
                <c:pt idx="26">
                  <c:v>0.29899999999999999</c:v>
                </c:pt>
                <c:pt idx="27">
                  <c:v>0.31</c:v>
                </c:pt>
                <c:pt idx="28">
                  <c:v>0.3</c:v>
                </c:pt>
                <c:pt idx="29">
                  <c:v>0.28999999999999998</c:v>
                </c:pt>
                <c:pt idx="30">
                  <c:v>0.27</c:v>
                </c:pt>
                <c:pt idx="31">
                  <c:v>0.26700000000000002</c:v>
                </c:pt>
                <c:pt idx="32">
                  <c:v>0.26500000000000001</c:v>
                </c:pt>
                <c:pt idx="33">
                  <c:v>0.26700000000000002</c:v>
                </c:pt>
                <c:pt idx="34">
                  <c:v>0.25</c:v>
                </c:pt>
                <c:pt idx="35">
                  <c:v>0.27100000000000002</c:v>
                </c:pt>
                <c:pt idx="36">
                  <c:v>0.28000000000000003</c:v>
                </c:pt>
                <c:pt idx="37">
                  <c:v>0.28999999999999998</c:v>
                </c:pt>
                <c:pt idx="38">
                  <c:v>0.3</c:v>
                </c:pt>
                <c:pt idx="39">
                  <c:v>0.28000000000000003</c:v>
                </c:pt>
                <c:pt idx="40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2D-40C4-B062-4C3CEDE55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535391"/>
        <c:axId val="1985222639"/>
      </c:lineChart>
      <c:dateAx>
        <c:axId val="8935353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1985222639"/>
        <c:crosses val="autoZero"/>
        <c:auto val="1"/>
        <c:lblOffset val="100"/>
        <c:baseTimeUnit val="days"/>
      </c:dateAx>
      <c:valAx>
        <c:axId val="19852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_tradnl"/>
          </a:p>
        </c:txPr>
        <c:crossAx val="89353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_tradn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218792</xdr:colOff>
      <xdr:row>1850</xdr:row>
      <xdr:rowOff>18608</xdr:rowOff>
    </xdr:from>
    <xdr:to>
      <xdr:col>49</xdr:col>
      <xdr:colOff>613064</xdr:colOff>
      <xdr:row>1918</xdr:row>
      <xdr:rowOff>103909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574AFA-6964-4654-9935-7012A3D69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0.58136</cdr:x>
      <cdr:y>0.14201</cdr:y>
    </cdr:from>
    <cdr:to>
      <cdr:x>0.62716</cdr:x>
      <cdr:y>0.90847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32751C3F-8BD5-43F4-AF75-6836B6E8451C}"/>
            </a:ext>
          </a:extLst>
        </cdr:cNvPr>
        <cdr:cNvSpPr/>
      </cdr:nvSpPr>
      <cdr:spPr>
        <a:xfrm xmlns:a="http://schemas.openxmlformats.org/drawingml/2006/main">
          <a:off x="9525344" y="1851754"/>
          <a:ext cx="750316" cy="9994047"/>
        </a:xfrm>
        <a:prstGeom xmlns:a="http://schemas.openxmlformats.org/drawingml/2006/main" prst="rect">
          <a:avLst/>
        </a:prstGeom>
        <a:solidFill xmlns:a="http://schemas.openxmlformats.org/drawingml/2006/main">
          <a:srgbClr val="FFF2CC">
            <a:alpha val="21961"/>
          </a:srgb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ES_tradnl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2B784A-C016-497B-8D5B-9CAAB6F52D34}" name="retornos" displayName="retornos" ref="A2:P1935" totalsRowShown="0" headerRowDxfId="20" dataDxfId="19" dataCellStyle="Porcentaje">
  <autoFilter ref="A2:P1935" xr:uid="{D06011BA-05DD-4412-9C41-3DFEE6E5346A}"/>
  <tableColumns count="16">
    <tableColumn id="1" xr3:uid="{F7FC6E0C-512C-4C65-8C58-0F2E4BC36692}" name="FECHAS" dataDxfId="18"/>
    <tableColumn id="2" xr3:uid="{8A226D2B-0D00-4706-8AC8-ABE24E9940D8}" name="ALICORPC1" dataDxfId="17" dataCellStyle="Porcentaje">
      <calculatedColumnFormula>+rprecios!B2/rprecios!B1-1</calculatedColumnFormula>
    </tableColumn>
    <tableColumn id="3" xr3:uid="{1F9AEE7F-9600-4125-BAAB-1D490E60D80D}" name="BAP" dataDxfId="16" dataCellStyle="Porcentaje">
      <calculatedColumnFormula>+rprecios!C2/rprecios!C1-1</calculatedColumnFormula>
    </tableColumn>
    <tableColumn id="4" xr3:uid="{06C3DA51-97C8-451C-8BCB-AA526405E4AA}" name="BBVAC1" dataDxfId="15" dataCellStyle="Porcentaje">
      <calculatedColumnFormula>+rprecios!D2/rprecios!D1-1</calculatedColumnFormula>
    </tableColumn>
    <tableColumn id="5" xr3:uid="{E6E5A0EF-CA71-4E29-BD66-6B099436FB79}" name="BVN" dataDxfId="14" dataCellStyle="Porcentaje">
      <calculatedColumnFormula>+rprecios!E2/rprecios!E1-1</calculatedColumnFormula>
    </tableColumn>
    <tableColumn id="6" xr3:uid="{D345C7B9-1672-4233-951B-5BC5EF49B28F}" name="CPACASC1" dataDxfId="13" dataCellStyle="Porcentaje">
      <calculatedColumnFormula>+rprecios!F2/rprecios!F1-1</calculatedColumnFormula>
    </tableColumn>
    <tableColumn id="7" xr3:uid="{9C6F24BB-8643-450D-82C3-E06E525D65DE}" name="FERREYC1" dataDxfId="12" dataCellStyle="Porcentaje">
      <calculatedColumnFormula>+rprecios!G2/rprecios!G1-1</calculatedColumnFormula>
    </tableColumn>
    <tableColumn id="8" xr3:uid="{A26EB0CC-54DE-47B4-8213-7AF19DBE214F}" name="GRAMONC1" dataDxfId="11" dataCellStyle="Porcentaje">
      <calculatedColumnFormula>+rprecios!H2/rprecios!H1-1</calculatedColumnFormula>
    </tableColumn>
    <tableColumn id="9" xr3:uid="{00D1D0DF-5455-46B5-85DF-E5C9C6D617A5}" name="IFS" dataDxfId="10" dataCellStyle="Porcentaje">
      <calculatedColumnFormula>+rprecios!I2/rprecios!I1-1</calculatedColumnFormula>
    </tableColumn>
    <tableColumn id="10" xr3:uid="{7B73D4D3-EA9F-4C35-A754-70B7268477F7}" name="INRETC1" dataDxfId="9" dataCellStyle="Porcentaje">
      <calculatedColumnFormula>+rprecios!J2/rprecios!J1-1</calculatedColumnFormula>
    </tableColumn>
    <tableColumn id="11" xr3:uid="{037006FF-2357-4178-AE08-D49508958BDF}" name="LUSURC1" dataDxfId="8" dataCellStyle="Porcentaje">
      <calculatedColumnFormula>+rprecios!K2/rprecios!K1-1</calculatedColumnFormula>
    </tableColumn>
    <tableColumn id="12" xr3:uid="{50B68F1A-DE74-4442-89A1-FF2B8BA008C5}" name="MINSURI1" dataDxfId="7" dataCellStyle="Porcentaje">
      <calculatedColumnFormula>+rprecios!L2/rprecios!L1-1</calculatedColumnFormula>
    </tableColumn>
    <tableColumn id="13" xr3:uid="{8610DF50-BAAC-4620-9E71-F0BF575E98A4}" name="NEXAPEC1" dataDxfId="6" dataCellStyle="Porcentaje">
      <calculatedColumnFormula>+rprecios!M2/rprecios!M1-1</calculatedColumnFormula>
    </tableColumn>
    <tableColumn id="14" xr3:uid="{FD8AC503-E31C-452E-88CC-C3F7383C4276}" name="RELAPAC1" dataDxfId="5" dataCellStyle="Porcentaje">
      <calculatedColumnFormula>+rprecios!N2/rprecios!N1-1</calculatedColumnFormula>
    </tableColumn>
    <tableColumn id="15" xr3:uid="{350CF324-0F82-46AC-8EF3-6092F4426892}" name="UNACEMC1" dataDxfId="4" dataCellStyle="Porcentaje">
      <calculatedColumnFormula>+rprecios!O2/rprecios!O1-1</calculatedColumnFormula>
    </tableColumn>
    <tableColumn id="16" xr3:uid="{8EDF3044-23F6-4AC7-A1C9-F7A71170C3D6}" name="VOLCABC1" dataDxfId="3" dataCellStyle="Porcentaje">
      <calculatedColumnFormula>+LN(rprecios!P2/rprecios!P1)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F125B-0BB8-47B8-8DC8-A8C55FF94347}" name="HOJA_MAESTRA3" displayName="HOJA_MAESTRA3" ref="A1:P1934" totalsRowShown="0">
  <autoFilter ref="A1:P1934" xr:uid="{CC351FE8-6D62-4E56-B7C2-A74688E6784F}"/>
  <sortState xmlns:xlrd2="http://schemas.microsoft.com/office/spreadsheetml/2017/richdata2" ref="A2:P1929">
    <sortCondition ref="A1:A1929"/>
  </sortState>
  <tableColumns count="16">
    <tableColumn id="1" xr3:uid="{53BB8AD4-54D7-47D2-AA64-CC61ECD40064}" name="FECHA" dataDxfId="2"/>
    <tableColumn id="2" xr3:uid="{B053D2BA-FCC7-4909-B417-9DD98692932A}" name="ALICORPC1"/>
    <tableColumn id="3" xr3:uid="{0F7D1E3F-EE83-4D71-8E54-8C9690FC7DE4}" name="BAP"/>
    <tableColumn id="4" xr3:uid="{2619D547-0EF8-4266-B6F8-71F356DBB607}" name="BBVAC1"/>
    <tableColumn id="5" xr3:uid="{E58493FC-D275-4830-9EFC-D0FF83EE86E0}" name="BVN"/>
    <tableColumn id="6" xr3:uid="{B666CA1A-FF79-449A-B5E6-EF678CF89358}" name="CPACASC1"/>
    <tableColumn id="7" xr3:uid="{59045928-508C-4C44-80C1-CD6EA9B2C78B}" name="FERREYC1"/>
    <tableColumn id="8" xr3:uid="{764DBA23-60ED-48E6-805C-BEC990FDE0D4}" name="GRAMONC1"/>
    <tableColumn id="9" xr3:uid="{74F46A2D-A63A-4263-97DE-FE19038E2941}" name="IFS"/>
    <tableColumn id="10" xr3:uid="{7F2A0C8A-05E2-4AA8-88EC-FF3987A3CB51}" name="INRETC1"/>
    <tableColumn id="11" xr3:uid="{6E618B89-4AFC-4F19-ACF8-F5BF07FB7BED}" name="LUSURC1"/>
    <tableColumn id="12" xr3:uid="{B94B4187-6FEF-4FEB-90E3-0D95BA9B0601}" name="MINSURI1"/>
    <tableColumn id="13" xr3:uid="{DC275FEC-FC67-49F7-B7C5-5C8EA1487EC4}" name="NEXAPEC1"/>
    <tableColumn id="14" xr3:uid="{B4F42A9C-FBBB-4386-A05A-B5625BCF4641}" name="RELAPAC1"/>
    <tableColumn id="15" xr3:uid="{3F253E52-BD22-4ECB-A393-3003756EAADC}" name="UNACEMC1"/>
    <tableColumn id="16" xr3:uid="{6DFDD2A4-A609-4196-B2FB-05908B4F34A0}" name="VOLCABC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A0524F-229F-4B2B-91E8-82CF2EA8D3AD}" name="HOJA_MAESTRA" displayName="HOJA_MAESTRA" ref="A1:Q1929" totalsRowShown="0">
  <autoFilter ref="A1:Q1929" xr:uid="{D6DBF49D-714E-42F4-A8C3-FF3078C774BD}"/>
  <sortState xmlns:xlrd2="http://schemas.microsoft.com/office/spreadsheetml/2017/richdata2" ref="A2:Q1929">
    <sortCondition ref="A1:A1929"/>
  </sortState>
  <tableColumns count="17">
    <tableColumn id="1" xr3:uid="{8F32458D-2BA2-44D0-B4FB-CAA407715DE9}" name="FECHA" dataDxfId="1"/>
    <tableColumn id="2" xr3:uid="{6CD3CE5B-FE81-4953-A443-88D9162B2AFF}" name="ALICORPC1"/>
    <tableColumn id="3" xr3:uid="{ECFA214B-5E48-4A73-8411-AE32A2D6097C}" name="BAP"/>
    <tableColumn id="4" xr3:uid="{4AA5A7F8-0DFE-4C14-85BA-1BEFC7E60E80}" name="BBVAC1"/>
    <tableColumn id="5" xr3:uid="{B5A12AF7-7BD3-4E80-9A9B-0CE406A1B81A}" name="BVN"/>
    <tableColumn id="6" xr3:uid="{9222785E-95C3-4AF6-B9A1-21E315FA1908}" name="CPACASC1"/>
    <tableColumn id="7" xr3:uid="{A09421A0-9AC8-4E69-B70E-4FBA3698E3A3}" name="FERREYC1"/>
    <tableColumn id="8" xr3:uid="{3E4083D2-1463-49EA-8FD6-9D8E2CA99EA8}" name="GRAMONC1" dataDxfId="0"/>
    <tableColumn id="9" xr3:uid="{01139F33-0D1C-461C-A719-E44C61767269}" name="IFS"/>
    <tableColumn id="10" xr3:uid="{1E6CA76A-DF85-4788-A88A-C53E5E3ECC8E}" name="INRETC1"/>
    <tableColumn id="11" xr3:uid="{4978A9A0-ACFD-4EA5-B1FD-027F8A5BD475}" name="LUSURC1"/>
    <tableColumn id="12" xr3:uid="{1383734E-096C-49B1-858C-3B072697C06B}" name="MINSURI1"/>
    <tableColumn id="13" xr3:uid="{F83EBE2D-557C-462B-9747-EEAD4EBB55AD}" name="NEXAPEC1"/>
    <tableColumn id="14" xr3:uid="{16246483-12F8-48B6-A3F4-E4CB40320AB2}" name="RELAPAC1"/>
    <tableColumn id="15" xr3:uid="{46283174-2408-424F-821C-DFE60FC57250}" name="UNACEMC1"/>
    <tableColumn id="16" xr3:uid="{28E8F712-DC8C-4637-8ED5-6B5A4D478285}" name="VOLCABC1"/>
    <tableColumn id="17" xr3:uid="{01D17E6F-2F0E-4F9F-811B-CB78C397BABC}" name="Cont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CF92-CF3C-4E76-A75E-1FD7E14DE847}">
  <dimension ref="A1:CB5326"/>
  <sheetViews>
    <sheetView tabSelected="1" topLeftCell="BE1" zoomScale="85" zoomScaleNormal="85" workbookViewId="0">
      <pane ySplit="2" topLeftCell="A45" activePane="bottomLeft" state="frozen"/>
      <selection pane="bottomLeft" activeCell="BM76" sqref="BM76"/>
    </sheetView>
  </sheetViews>
  <sheetFormatPr baseColWidth="10" defaultRowHeight="15" x14ac:dyDescent="0.25"/>
  <cols>
    <col min="1" max="1" width="12.5703125" style="51" bestFit="1" customWidth="1"/>
    <col min="2" max="2" width="12.28515625" style="57" customWidth="1"/>
    <col min="3" max="5" width="11.42578125" style="57"/>
    <col min="6" max="7" width="11.5703125" style="57" customWidth="1"/>
    <col min="8" max="8" width="13.28515625" style="57" customWidth="1"/>
    <col min="9" max="11" width="11.42578125" style="57"/>
    <col min="12" max="12" width="11.7109375" style="57" customWidth="1"/>
    <col min="13" max="13" width="12" style="57" customWidth="1"/>
    <col min="14" max="14" width="11.5703125" style="57" customWidth="1"/>
    <col min="15" max="15" width="12.7109375" style="57" customWidth="1"/>
    <col min="16" max="16" width="14.28515625" style="57" bestFit="1" customWidth="1"/>
    <col min="18" max="18" width="14.85546875" style="62" bestFit="1" customWidth="1"/>
    <col min="19" max="19" width="11.42578125" style="62"/>
    <col min="20" max="20" width="12" style="62" bestFit="1" customWidth="1"/>
    <col min="21" max="33" width="11.42578125" style="62"/>
    <col min="35" max="35" width="11.42578125" style="47"/>
    <col min="39" max="39" width="12.42578125" bestFit="1" customWidth="1"/>
    <col min="42" max="42" width="13.42578125" bestFit="1" customWidth="1"/>
    <col min="43" max="43" width="19.140625" bestFit="1" customWidth="1"/>
    <col min="44" max="47" width="13.42578125" bestFit="1" customWidth="1"/>
    <col min="49" max="49" width="12.42578125" bestFit="1" customWidth="1"/>
    <col min="52" max="52" width="6" style="21" customWidth="1"/>
    <col min="54" max="54" width="13.28515625" bestFit="1" customWidth="1"/>
    <col min="55" max="55" width="13.42578125" bestFit="1" customWidth="1"/>
    <col min="56" max="56" width="28.140625" bestFit="1" customWidth="1"/>
    <col min="58" max="58" width="12.7109375" bestFit="1" customWidth="1"/>
    <col min="59" max="59" width="29.5703125" customWidth="1"/>
    <col min="60" max="60" width="18.42578125" customWidth="1"/>
    <col min="61" max="61" width="26.85546875" bestFit="1" customWidth="1"/>
    <col min="64" max="64" width="17.42578125" bestFit="1" customWidth="1"/>
    <col min="65" max="65" width="17.85546875" bestFit="1" customWidth="1"/>
    <col min="66" max="66" width="11.7109375" bestFit="1" customWidth="1"/>
    <col min="67" max="67" width="17.42578125" bestFit="1" customWidth="1"/>
    <col min="68" max="69" width="11.7109375" bestFit="1" customWidth="1"/>
    <col min="70" max="70" width="14.7109375" bestFit="1" customWidth="1"/>
    <col min="71" max="71" width="13.7109375" bestFit="1" customWidth="1"/>
    <col min="72" max="73" width="18.7109375" bestFit="1" customWidth="1"/>
    <col min="74" max="74" width="18.28515625" bestFit="1" customWidth="1"/>
    <col min="75" max="77" width="11.7109375" bestFit="1" customWidth="1"/>
    <col min="78" max="78" width="13.7109375" bestFit="1" customWidth="1"/>
    <col min="79" max="79" width="15.7109375" bestFit="1" customWidth="1"/>
    <col min="80" max="80" width="19.140625" bestFit="1" customWidth="1"/>
  </cols>
  <sheetData>
    <row r="1" spans="1:78" s="2" customFormat="1" ht="15.75" thickBot="1" x14ac:dyDescent="0.3">
      <c r="A1" s="50"/>
      <c r="B1" s="137" t="s">
        <v>17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9"/>
      <c r="R1" s="63"/>
      <c r="S1" s="140" t="s">
        <v>18</v>
      </c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2"/>
      <c r="AI1" s="47"/>
      <c r="AJ1"/>
      <c r="AK1"/>
      <c r="AL1"/>
      <c r="AM1"/>
      <c r="AN1"/>
      <c r="AO1"/>
      <c r="AP1"/>
      <c r="AQ1" s="4"/>
      <c r="AR1"/>
      <c r="AS1"/>
      <c r="AT1"/>
      <c r="AU1"/>
      <c r="AV1"/>
      <c r="AW1"/>
      <c r="AX1"/>
      <c r="AY1"/>
      <c r="AZ1" s="21"/>
    </row>
    <row r="2" spans="1:78" ht="15.75" thickBot="1" x14ac:dyDescent="0.3">
      <c r="A2" s="84" t="s">
        <v>46</v>
      </c>
      <c r="B2" s="58" t="s">
        <v>0</v>
      </c>
      <c r="C2" s="59" t="s">
        <v>1</v>
      </c>
      <c r="D2" s="60" t="s">
        <v>2</v>
      </c>
      <c r="E2" s="60" t="s">
        <v>3</v>
      </c>
      <c r="F2" s="60" t="s">
        <v>4</v>
      </c>
      <c r="G2" s="60" t="s">
        <v>5</v>
      </c>
      <c r="H2" s="60" t="s">
        <v>6</v>
      </c>
      <c r="I2" s="60" t="s">
        <v>7</v>
      </c>
      <c r="J2" s="60" t="s">
        <v>8</v>
      </c>
      <c r="K2" s="60" t="s">
        <v>9</v>
      </c>
      <c r="L2" s="60" t="s">
        <v>10</v>
      </c>
      <c r="M2" s="60" t="s">
        <v>11</v>
      </c>
      <c r="N2" s="60" t="s">
        <v>12</v>
      </c>
      <c r="O2" s="60" t="s">
        <v>13</v>
      </c>
      <c r="P2" s="61" t="s">
        <v>14</v>
      </c>
      <c r="R2" s="64"/>
      <c r="S2" s="65" t="s">
        <v>0</v>
      </c>
      <c r="T2" s="66" t="s">
        <v>1</v>
      </c>
      <c r="U2" s="66" t="s">
        <v>2</v>
      </c>
      <c r="V2" s="66" t="s">
        <v>3</v>
      </c>
      <c r="W2" s="66" t="s">
        <v>4</v>
      </c>
      <c r="X2" s="66" t="s">
        <v>5</v>
      </c>
      <c r="Y2" s="66" t="s">
        <v>6</v>
      </c>
      <c r="Z2" s="66" t="s">
        <v>7</v>
      </c>
      <c r="AA2" s="66" t="s">
        <v>8</v>
      </c>
      <c r="AB2" s="66" t="s">
        <v>9</v>
      </c>
      <c r="AC2" s="66" t="s">
        <v>10</v>
      </c>
      <c r="AD2" s="66" t="s">
        <v>11</v>
      </c>
      <c r="AE2" s="66" t="s">
        <v>12</v>
      </c>
      <c r="AF2" s="66" t="s">
        <v>13</v>
      </c>
      <c r="AG2" s="67" t="s">
        <v>14</v>
      </c>
      <c r="AI2" s="48"/>
      <c r="AJ2" s="143" t="s">
        <v>21</v>
      </c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5"/>
      <c r="AY2" s="2"/>
      <c r="AZ2" s="83"/>
      <c r="BH2" t="s">
        <v>39</v>
      </c>
    </row>
    <row r="3" spans="1:78" ht="15.75" thickBot="1" x14ac:dyDescent="0.3">
      <c r="B3" s="5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88"/>
      <c r="R3" s="64"/>
      <c r="S3" s="68">
        <f t="shared" ref="S3:AG3" ca="1" si="0">AVERAGE(INDIRECT(S2))</f>
        <v>3.6221128946797268E-3</v>
      </c>
      <c r="T3" s="69">
        <f t="shared" ca="1" si="0"/>
        <v>6.6962369628635289E-3</v>
      </c>
      <c r="U3" s="69">
        <f t="shared" ca="1" si="0"/>
        <v>1.7842921934569176E-3</v>
      </c>
      <c r="V3" s="69">
        <f t="shared" ca="1" si="0"/>
        <v>3.4742506274264263E-3</v>
      </c>
      <c r="W3" s="69">
        <f t="shared" ca="1" si="0"/>
        <v>2.7539904737757998E-3</v>
      </c>
      <c r="X3" s="69">
        <f t="shared" ca="1" si="0"/>
        <v>1.8866385143755521E-3</v>
      </c>
      <c r="Y3" s="69">
        <f t="shared" ca="1" si="0"/>
        <v>6.1991071398096384E-3</v>
      </c>
      <c r="Z3" s="69">
        <f t="shared" ca="1" si="0"/>
        <v>1.1442782979222367E-2</v>
      </c>
      <c r="AA3" s="69">
        <f t="shared" ca="1" si="0"/>
        <v>5.6301115553772582E-3</v>
      </c>
      <c r="AB3" s="69">
        <f t="shared" ca="1" si="0"/>
        <v>8.0940544898694533E-5</v>
      </c>
      <c r="AC3" s="69">
        <f t="shared" ca="1" si="0"/>
        <v>4.6417216860768877E-3</v>
      </c>
      <c r="AD3" s="69">
        <f t="shared" ca="1" si="0"/>
        <v>1.1509957945517355E-2</v>
      </c>
      <c r="AE3" s="69">
        <f t="shared" ca="1" si="0"/>
        <v>-2.3395664510965212E-3</v>
      </c>
      <c r="AF3" s="69">
        <f t="shared" ca="1" si="0"/>
        <v>9.3333692254166083E-3</v>
      </c>
      <c r="AG3" s="70">
        <f t="shared" ca="1" si="0"/>
        <v>1.5256598354343406E-3</v>
      </c>
      <c r="AJ3" s="89" t="s">
        <v>0</v>
      </c>
      <c r="AK3" s="90" t="s">
        <v>1</v>
      </c>
      <c r="AL3" s="90" t="s">
        <v>2</v>
      </c>
      <c r="AM3" s="90" t="s">
        <v>3</v>
      </c>
      <c r="AN3" s="90" t="s">
        <v>4</v>
      </c>
      <c r="AO3" s="90" t="s">
        <v>5</v>
      </c>
      <c r="AP3" s="90" t="s">
        <v>6</v>
      </c>
      <c r="AQ3" s="90" t="s">
        <v>7</v>
      </c>
      <c r="AR3" s="90" t="s">
        <v>8</v>
      </c>
      <c r="AS3" s="90" t="s">
        <v>9</v>
      </c>
      <c r="AT3" s="90" t="s">
        <v>10</v>
      </c>
      <c r="AU3" s="90" t="s">
        <v>11</v>
      </c>
      <c r="AV3" s="90" t="s">
        <v>12</v>
      </c>
      <c r="AW3" s="90" t="s">
        <v>13</v>
      </c>
      <c r="AX3" s="91" t="s">
        <v>14</v>
      </c>
      <c r="BB3" t="s">
        <v>29</v>
      </c>
      <c r="BC3" t="s">
        <v>30</v>
      </c>
      <c r="BH3" s="9" t="s">
        <v>32</v>
      </c>
      <c r="BI3" s="6"/>
      <c r="BJ3" s="6"/>
      <c r="BL3" s="9" t="s">
        <v>34</v>
      </c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</row>
    <row r="4" spans="1:78" ht="15.75" thickBot="1" x14ac:dyDescent="0.3">
      <c r="A4" s="51">
        <v>41192</v>
      </c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6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I4" s="92" t="s">
        <v>22</v>
      </c>
      <c r="AJ4" s="93">
        <v>0</v>
      </c>
      <c r="AK4" s="93">
        <v>0</v>
      </c>
      <c r="AL4" s="93">
        <v>0</v>
      </c>
      <c r="AM4" s="93">
        <v>0.13557739588803425</v>
      </c>
      <c r="AN4" s="93">
        <v>0</v>
      </c>
      <c r="AO4" s="93">
        <v>0</v>
      </c>
      <c r="AP4" s="93">
        <v>0.22578414950857081</v>
      </c>
      <c r="AQ4" s="93">
        <v>0</v>
      </c>
      <c r="AR4" s="93">
        <v>0.47565156501569172</v>
      </c>
      <c r="AS4" s="93">
        <v>0</v>
      </c>
      <c r="AT4" s="93">
        <v>0.1629868864291559</v>
      </c>
      <c r="AU4" s="93">
        <v>0</v>
      </c>
      <c r="AV4" s="93">
        <v>0</v>
      </c>
      <c r="AW4" s="93">
        <v>0</v>
      </c>
      <c r="AX4" s="93">
        <v>0</v>
      </c>
      <c r="AY4" s="94"/>
      <c r="AZ4" s="94">
        <f>SUM(AJ4:AX4)</f>
        <v>0.99999999684145269</v>
      </c>
      <c r="BA4" s="95"/>
      <c r="BB4" s="96">
        <f t="array" aca="1" ref="BB4" ca="1">SQRT(MMULT(MMULT(AJ4:AX4,COV),TRANSPOSE(AJ4:AX4)))</f>
        <v>1.5904008946332183E-2</v>
      </c>
      <c r="BC4" s="96">
        <f t="array" aca="1" ref="BC4" ca="1">MMULT($S$3:$AG$3,TRANSPOSE(AJ4:AX4))</f>
        <v>5.3052011238157587E-3</v>
      </c>
      <c r="BD4" s="95" t="s">
        <v>36</v>
      </c>
      <c r="BH4" s="7" t="s">
        <v>31</v>
      </c>
      <c r="BI4" s="8">
        <v>5.3516164626273205E-2</v>
      </c>
      <c r="BJ4" s="7"/>
      <c r="BL4" s="10" t="s">
        <v>0</v>
      </c>
      <c r="BM4" s="10" t="s">
        <v>1</v>
      </c>
      <c r="BN4" s="10" t="s">
        <v>2</v>
      </c>
      <c r="BO4" s="10" t="s">
        <v>3</v>
      </c>
      <c r="BP4" s="10" t="s">
        <v>4</v>
      </c>
      <c r="BQ4" s="10" t="s">
        <v>5</v>
      </c>
      <c r="BR4" s="10" t="s">
        <v>6</v>
      </c>
      <c r="BS4" s="10" t="s">
        <v>7</v>
      </c>
      <c r="BT4" s="10" t="s">
        <v>8</v>
      </c>
      <c r="BU4" s="10" t="s">
        <v>9</v>
      </c>
      <c r="BV4" s="10" t="s">
        <v>10</v>
      </c>
      <c r="BW4" s="10" t="s">
        <v>11</v>
      </c>
      <c r="BX4" s="10" t="s">
        <v>12</v>
      </c>
      <c r="BY4" s="10" t="s">
        <v>13</v>
      </c>
      <c r="BZ4" s="10" t="s">
        <v>14</v>
      </c>
    </row>
    <row r="5" spans="1:78" ht="15.75" thickBot="1" x14ac:dyDescent="0.3">
      <c r="A5" s="51">
        <v>41193</v>
      </c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6"/>
      <c r="R5" s="64"/>
      <c r="S5" s="140" t="s">
        <v>19</v>
      </c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2"/>
      <c r="AI5" s="92" t="s">
        <v>23</v>
      </c>
      <c r="AJ5" s="97">
        <v>0</v>
      </c>
      <c r="AK5" s="97">
        <v>0</v>
      </c>
      <c r="AL5" s="97">
        <v>0</v>
      </c>
      <c r="AM5" s="116">
        <v>0.13557739588803425</v>
      </c>
      <c r="AN5" s="97">
        <v>0</v>
      </c>
      <c r="AO5" s="97">
        <v>0</v>
      </c>
      <c r="AP5" s="93">
        <v>0.388771653175354</v>
      </c>
      <c r="AQ5" s="97">
        <v>0</v>
      </c>
      <c r="AR5" s="116">
        <v>0.475651565015692</v>
      </c>
      <c r="AS5" s="97">
        <v>0</v>
      </c>
      <c r="AT5" s="97">
        <v>0</v>
      </c>
      <c r="AU5" s="97">
        <v>0</v>
      </c>
      <c r="AV5" s="97">
        <v>0</v>
      </c>
      <c r="AW5" s="97">
        <v>0</v>
      </c>
      <c r="AX5" s="97">
        <v>0</v>
      </c>
      <c r="AY5" s="94"/>
      <c r="AZ5" s="98">
        <f>SUM(AJ5:AX5)</f>
        <v>1.0000006140790803</v>
      </c>
      <c r="BA5" s="95"/>
      <c r="BB5" s="96">
        <f t="array" aca="1" ref="BB5" ca="1">SQRT(MMULT(MMULT(AJ5:AX5,COV),TRANSPOSE(AJ5:AX5)))</f>
        <v>1.8019441560843976E-2</v>
      </c>
      <c r="BC5" s="96">
        <f t="array" aca="1" ref="BC5" ca="1">MMULT($S$3:$AG$3,TRANSPOSE(AJ5:AX5))</f>
        <v>5.5590383562119025E-3</v>
      </c>
      <c r="BD5" s="95" t="s">
        <v>37</v>
      </c>
      <c r="BH5" s="7" t="s">
        <v>30</v>
      </c>
      <c r="BI5" s="13">
        <v>6.0527758407065695E-4</v>
      </c>
      <c r="BJ5" s="14"/>
      <c r="BL5" s="11">
        <v>5.1909993529132715E-3</v>
      </c>
      <c r="BM5" s="11">
        <v>8.725332898640091E-2</v>
      </c>
      <c r="BN5" s="11">
        <v>0</v>
      </c>
      <c r="BO5" s="11">
        <v>0</v>
      </c>
      <c r="BP5" s="11">
        <v>0</v>
      </c>
      <c r="BQ5" s="11">
        <v>0</v>
      </c>
      <c r="BR5" s="11">
        <v>0</v>
      </c>
      <c r="BS5" s="11">
        <v>0</v>
      </c>
      <c r="BT5" s="11">
        <v>0.372706639041676</v>
      </c>
      <c r="BU5" s="11">
        <v>0.53484904388596666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</row>
    <row r="6" spans="1:78" x14ac:dyDescent="0.25">
      <c r="A6" s="51">
        <v>41194</v>
      </c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6"/>
      <c r="R6" s="64"/>
      <c r="S6" s="65" t="s">
        <v>0</v>
      </c>
      <c r="T6" s="66" t="s">
        <v>1</v>
      </c>
      <c r="U6" s="66" t="s">
        <v>2</v>
      </c>
      <c r="V6" s="66" t="s">
        <v>3</v>
      </c>
      <c r="W6" s="66" t="s">
        <v>4</v>
      </c>
      <c r="X6" s="66" t="s">
        <v>5</v>
      </c>
      <c r="Y6" s="66" t="s">
        <v>6</v>
      </c>
      <c r="Z6" s="66" t="s">
        <v>7</v>
      </c>
      <c r="AA6" s="66" t="s">
        <v>8</v>
      </c>
      <c r="AB6" s="66" t="s">
        <v>9</v>
      </c>
      <c r="AC6" s="66" t="s">
        <v>10</v>
      </c>
      <c r="AD6" s="66" t="s">
        <v>11</v>
      </c>
      <c r="AE6" s="66" t="s">
        <v>12</v>
      </c>
      <c r="AF6" s="66" t="s">
        <v>13</v>
      </c>
      <c r="AG6" s="67" t="s">
        <v>14</v>
      </c>
      <c r="AI6" s="92" t="s">
        <v>24</v>
      </c>
      <c r="AJ6" s="115">
        <v>0</v>
      </c>
      <c r="AK6" s="115">
        <v>0</v>
      </c>
      <c r="AL6" s="115">
        <v>0</v>
      </c>
      <c r="AM6" s="115">
        <v>0.11188206666666667</v>
      </c>
      <c r="AN6" s="115">
        <v>0</v>
      </c>
      <c r="AO6" s="115">
        <v>0</v>
      </c>
      <c r="AP6" s="115">
        <v>0.23170460259535544</v>
      </c>
      <c r="AQ6" s="115">
        <v>0.16765067737092315</v>
      </c>
      <c r="AR6" s="115">
        <v>8.1100405607582693E-2</v>
      </c>
      <c r="AS6" s="115">
        <v>0</v>
      </c>
      <c r="AT6" s="115">
        <v>0</v>
      </c>
      <c r="AU6" s="115">
        <v>0.25725776072267681</v>
      </c>
      <c r="AV6" s="115">
        <v>0</v>
      </c>
      <c r="AW6" s="115">
        <v>0.15040450419343737</v>
      </c>
      <c r="AX6" s="115">
        <v>0</v>
      </c>
      <c r="AY6" s="94"/>
      <c r="AZ6" s="94">
        <f>SUM(AJ6:AX6)</f>
        <v>1.0000000171566421</v>
      </c>
      <c r="BA6" s="95"/>
      <c r="BB6" s="96">
        <f t="array" aca="1" ref="BB6" ca="1">SQRT(MMULT(MMULT(AJ6:AX6,COV),TRANSPOSE(AJ6:AX6)))</f>
        <v>1.9680697764095659E-2</v>
      </c>
      <c r="BC6" s="96">
        <f t="array" aca="1" ref="BC6" ca="1">MMULT($S$3:$AG$3,TRANSPOSE(AJ6:AX6))</f>
        <v>8.5648694227012361E-3</v>
      </c>
      <c r="BD6" s="95" t="s">
        <v>45</v>
      </c>
      <c r="BH6" t="s">
        <v>29</v>
      </c>
      <c r="BI6" s="13">
        <v>1.1310182414931548E-2</v>
      </c>
      <c r="BJ6" s="14"/>
      <c r="BL6" s="4">
        <f>+BL5*500000</f>
        <v>2595.4996764566358</v>
      </c>
      <c r="BM6" s="4">
        <f t="shared" ref="BM6:BZ6" si="1">+BM5*500000</f>
        <v>43626.664493200456</v>
      </c>
      <c r="BN6" s="4">
        <f t="shared" si="1"/>
        <v>0</v>
      </c>
      <c r="BO6" s="4">
        <f t="shared" si="1"/>
        <v>0</v>
      </c>
      <c r="BP6" s="4">
        <f t="shared" si="1"/>
        <v>0</v>
      </c>
      <c r="BQ6" s="4">
        <f t="shared" si="1"/>
        <v>0</v>
      </c>
      <c r="BR6" s="4">
        <f t="shared" si="1"/>
        <v>0</v>
      </c>
      <c r="BS6" s="4">
        <f t="shared" si="1"/>
        <v>0</v>
      </c>
      <c r="BT6" s="4">
        <f t="shared" si="1"/>
        <v>186353.31952083801</v>
      </c>
      <c r="BU6" s="4">
        <f t="shared" si="1"/>
        <v>267424.52194298332</v>
      </c>
      <c r="BV6" s="4">
        <f t="shared" si="1"/>
        <v>0</v>
      </c>
      <c r="BW6" s="4">
        <f t="shared" si="1"/>
        <v>0</v>
      </c>
      <c r="BX6" s="4">
        <f t="shared" si="1"/>
        <v>0</v>
      </c>
      <c r="BY6" s="4">
        <f t="shared" si="1"/>
        <v>0</v>
      </c>
      <c r="BZ6" s="4">
        <f t="shared" si="1"/>
        <v>0</v>
      </c>
    </row>
    <row r="7" spans="1:78" ht="15.75" thickBot="1" x14ac:dyDescent="0.3">
      <c r="A7" s="51">
        <v>41197</v>
      </c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6"/>
      <c r="R7" s="64"/>
      <c r="S7" s="68">
        <f ca="1">_xlfn.STDEV.S(INDIRECT(S6))</f>
        <v>2.1308392581866811E-2</v>
      </c>
      <c r="T7" s="68">
        <f t="shared" ref="T7:AG7" ca="1" si="2">_xlfn.STDEV.S(INDIRECT(T6))</f>
        <v>3.0028756474082836E-2</v>
      </c>
      <c r="U7" s="68">
        <f t="shared" ca="1" si="2"/>
        <v>1.7232371383696279E-2</v>
      </c>
      <c r="V7" s="68">
        <f t="shared" ca="1" si="2"/>
        <v>4.8863255625456285E-2</v>
      </c>
      <c r="W7" s="68">
        <f t="shared" ca="1" si="2"/>
        <v>1.9226650296105974E-2</v>
      </c>
      <c r="X7" s="68">
        <f t="shared" ca="1" si="2"/>
        <v>2.6446514920713277E-2</v>
      </c>
      <c r="Y7" s="68">
        <f t="shared" ca="1" si="2"/>
        <v>2.6225808492883331E-2</v>
      </c>
      <c r="Z7" s="68">
        <f t="shared" ca="1" si="2"/>
        <v>3.2346316563629865E-2</v>
      </c>
      <c r="AA7" s="68">
        <f t="shared" ca="1" si="2"/>
        <v>1.82892335235934E-2</v>
      </c>
      <c r="AB7" s="68">
        <f t="shared" ca="1" si="2"/>
        <v>1.6187976659705387E-2</v>
      </c>
      <c r="AC7" s="68">
        <f t="shared" ca="1" si="2"/>
        <v>1.4319094651696083E-2</v>
      </c>
      <c r="AD7" s="68">
        <f t="shared" ca="1" si="2"/>
        <v>3.9488396742288955E-2</v>
      </c>
      <c r="AE7" s="68">
        <f t="shared" ca="1" si="2"/>
        <v>4.0446558428071967E-2</v>
      </c>
      <c r="AF7" s="68">
        <f t="shared" ca="1" si="2"/>
        <v>3.1178941131175471E-2</v>
      </c>
      <c r="AG7" s="68">
        <f t="shared" ca="1" si="2"/>
        <v>3.3016847276157946E-2</v>
      </c>
      <c r="AI7" s="49" t="s">
        <v>25</v>
      </c>
      <c r="AJ7" s="78">
        <v>1.357524296254559E-4</v>
      </c>
      <c r="AK7" s="78">
        <v>2.5869491567901432E-3</v>
      </c>
      <c r="AL7" s="78">
        <v>2.8471920455345168E-3</v>
      </c>
      <c r="AM7" s="78">
        <v>4.1861477239840709E-3</v>
      </c>
      <c r="AN7" s="78">
        <v>5.4938203210921285E-3</v>
      </c>
      <c r="AO7" s="78">
        <v>1.872295897469359E-3</v>
      </c>
      <c r="AP7" s="78">
        <v>3.7777931901723299E-3</v>
      </c>
      <c r="AQ7" s="78">
        <v>4.743478329741424E-3</v>
      </c>
      <c r="AR7" s="78">
        <v>7.2186994367388268E-3</v>
      </c>
      <c r="AS7" s="78">
        <v>0.94995825619484386</v>
      </c>
      <c r="AT7" s="78">
        <v>5.0301788850417384E-3</v>
      </c>
      <c r="AU7" s="78">
        <v>1.3066282590571921E-3</v>
      </c>
      <c r="AV7" s="78">
        <v>5.316736393398306E-3</v>
      </c>
      <c r="AW7" s="78">
        <v>3.0846286219102701E-3</v>
      </c>
      <c r="AX7" s="78">
        <v>2.4414431146003389E-3</v>
      </c>
      <c r="AY7" s="3"/>
      <c r="AZ7" s="81">
        <f t="shared" ref="AZ7:AZ10" si="3">SUM(AJ7:AX7)</f>
        <v>1</v>
      </c>
      <c r="BB7" s="5"/>
      <c r="BC7" s="5"/>
      <c r="BH7" s="9" t="s">
        <v>33</v>
      </c>
      <c r="BI7" s="6"/>
      <c r="BJ7" s="6"/>
    </row>
    <row r="8" spans="1:78" ht="15" customHeight="1" x14ac:dyDescent="0.25">
      <c r="A8" s="51">
        <v>41198</v>
      </c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6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I8" s="49" t="s">
        <v>26</v>
      </c>
      <c r="AJ8" s="78">
        <v>1.8117258207223327E-4</v>
      </c>
      <c r="AK8" s="78">
        <v>3.1944593470990749E-3</v>
      </c>
      <c r="AL8" s="78">
        <v>7.1932329684470183E-4</v>
      </c>
      <c r="AM8" s="78">
        <v>3.4375172364263427E-3</v>
      </c>
      <c r="AN8" s="78">
        <v>2.6458116956317655E-4</v>
      </c>
      <c r="AO8" s="78">
        <v>2.0917939454547082E-3</v>
      </c>
      <c r="AP8" s="78">
        <v>4.649736257624648E-3</v>
      </c>
      <c r="AQ8" s="78">
        <v>5.0006962998559489E-3</v>
      </c>
      <c r="AR8" s="78">
        <v>3.1852768324862002E-2</v>
      </c>
      <c r="AS8" s="78">
        <v>0.93298402474304343</v>
      </c>
      <c r="AT8" s="78">
        <v>3.4471990909869217E-3</v>
      </c>
      <c r="AU8" s="78">
        <v>2.4615882721854953E-3</v>
      </c>
      <c r="AV8" s="78">
        <v>4.0363062818460976E-3</v>
      </c>
      <c r="AW8" s="78">
        <v>5.0149030329882027E-3</v>
      </c>
      <c r="AX8" s="78">
        <v>6.6393011914692168E-4</v>
      </c>
      <c r="AY8" s="3"/>
      <c r="AZ8" s="81">
        <f t="shared" si="3"/>
        <v>0.99999999999999989</v>
      </c>
      <c r="BB8" s="147" t="s">
        <v>51</v>
      </c>
      <c r="BC8" s="80">
        <f ca="1">+(BC6-BD12)/BB6</f>
        <v>0.40470462572886462</v>
      </c>
      <c r="BH8" s="7" t="s">
        <v>30</v>
      </c>
      <c r="BI8" s="8">
        <v>8.2066658001742564E-4</v>
      </c>
      <c r="BJ8" s="7"/>
      <c r="BL8" s="11">
        <v>4.5801404813980972E-5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1">
        <v>0</v>
      </c>
      <c r="BT8" s="11">
        <v>6.3308413608719242E-4</v>
      </c>
      <c r="BU8" s="11">
        <v>0.99868803032301168</v>
      </c>
      <c r="BV8" s="11">
        <v>0</v>
      </c>
      <c r="BW8" s="11">
        <v>0</v>
      </c>
      <c r="BX8" s="11">
        <v>0</v>
      </c>
      <c r="BY8" s="11">
        <v>6.3308413608719242E-4</v>
      </c>
      <c r="BZ8" s="11">
        <v>0</v>
      </c>
    </row>
    <row r="9" spans="1:78" x14ac:dyDescent="0.25">
      <c r="A9" s="51">
        <v>41199</v>
      </c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6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I9" s="49" t="s">
        <v>27</v>
      </c>
      <c r="AJ9" s="78">
        <v>2.3049327904585662E-4</v>
      </c>
      <c r="AK9" s="78">
        <v>4.7383724198137816E-5</v>
      </c>
      <c r="AL9" s="78">
        <v>3.4769090026086757E-3</v>
      </c>
      <c r="AM9" s="78">
        <v>5.6081957972811819E-3</v>
      </c>
      <c r="AN9" s="78">
        <v>3.4521225705898213E-4</v>
      </c>
      <c r="AO9" s="78">
        <v>5.9058920738114164E-3</v>
      </c>
      <c r="AP9" s="78">
        <v>1.635177387714556E-3</v>
      </c>
      <c r="AQ9" s="78">
        <v>2.61541491171614E-3</v>
      </c>
      <c r="AR9" s="78">
        <v>3.2777670522391084E-2</v>
      </c>
      <c r="AS9" s="78">
        <v>0.93173743878573601</v>
      </c>
      <c r="AT9" s="78">
        <v>4.7118271561873443E-3</v>
      </c>
      <c r="AU9" s="78">
        <v>3.533957415453458E-3</v>
      </c>
      <c r="AV9" s="78">
        <v>2.6102804379194576E-3</v>
      </c>
      <c r="AW9" s="78">
        <v>4.2839600612860421E-3</v>
      </c>
      <c r="AX9" s="78">
        <v>4.801871875917668E-4</v>
      </c>
      <c r="AY9" s="3"/>
      <c r="AZ9" s="81">
        <f t="shared" si="3"/>
        <v>1.0000000000000002</v>
      </c>
      <c r="BB9" s="147"/>
      <c r="BH9" s="7" t="s">
        <v>29</v>
      </c>
      <c r="BI9" s="12">
        <v>1.7226873338237501E-2</v>
      </c>
    </row>
    <row r="10" spans="1:78" ht="15.75" thickBot="1" x14ac:dyDescent="0.3">
      <c r="A10" s="51">
        <v>41200</v>
      </c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  <c r="R10" s="64"/>
      <c r="S10" s="72" t="s">
        <v>20</v>
      </c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I10" s="49" t="s">
        <v>28</v>
      </c>
      <c r="AJ10" s="78">
        <v>2.8317024291692839E-4</v>
      </c>
      <c r="AK10" s="78">
        <v>4.0110061215358006E-3</v>
      </c>
      <c r="AL10" s="78">
        <v>6.329662590704414E-3</v>
      </c>
      <c r="AM10" s="78">
        <v>4.1392925815423283E-3</v>
      </c>
      <c r="AN10" s="78">
        <v>3.6687482216128968E-3</v>
      </c>
      <c r="AO10" s="78">
        <v>2.4279121013796819E-3</v>
      </c>
      <c r="AP10" s="78">
        <v>8.7740325531096694E-4</v>
      </c>
      <c r="AQ10" s="78">
        <v>2.7654545795349366E-3</v>
      </c>
      <c r="AR10" s="78">
        <v>2.3875577688455864E-2</v>
      </c>
      <c r="AS10" s="78">
        <v>0.93597706541720149</v>
      </c>
      <c r="AT10" s="78">
        <v>2.52080464521523E-3</v>
      </c>
      <c r="AU10" s="78">
        <v>3.7040759522620746E-3</v>
      </c>
      <c r="AV10" s="78">
        <v>2.2182781596287479E-3</v>
      </c>
      <c r="AW10" s="78">
        <v>4.9599514160843863E-3</v>
      </c>
      <c r="AX10" s="78">
        <v>2.2415970266143666E-3</v>
      </c>
      <c r="AY10" s="3"/>
      <c r="AZ10" s="81">
        <f t="shared" si="3"/>
        <v>1</v>
      </c>
      <c r="BB10" s="5"/>
      <c r="BC10" s="5"/>
      <c r="BH10" s="9" t="s">
        <v>35</v>
      </c>
      <c r="BI10" s="6"/>
      <c r="BJ10" s="6"/>
    </row>
    <row r="11" spans="1:78" ht="15.75" thickBot="1" x14ac:dyDescent="0.3">
      <c r="A11" s="51">
        <v>41201</v>
      </c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6"/>
      <c r="R11" s="64"/>
      <c r="S11" s="73" t="s">
        <v>0</v>
      </c>
      <c r="T11" s="74" t="s">
        <v>1</v>
      </c>
      <c r="U11" s="74" t="s">
        <v>2</v>
      </c>
      <c r="V11" s="74" t="s">
        <v>3</v>
      </c>
      <c r="W11" s="74" t="s">
        <v>4</v>
      </c>
      <c r="X11" s="74" t="s">
        <v>5</v>
      </c>
      <c r="Y11" s="74" t="s">
        <v>6</v>
      </c>
      <c r="Z11" s="74" t="s">
        <v>7</v>
      </c>
      <c r="AA11" s="74" t="s">
        <v>8</v>
      </c>
      <c r="AB11" s="74" t="s">
        <v>9</v>
      </c>
      <c r="AC11" s="74" t="s">
        <v>10</v>
      </c>
      <c r="AD11" s="74" t="s">
        <v>11</v>
      </c>
      <c r="AE11" s="74" t="s">
        <v>12</v>
      </c>
      <c r="AF11" s="74" t="s">
        <v>13</v>
      </c>
      <c r="AG11" s="75" t="s">
        <v>14</v>
      </c>
      <c r="AI11" s="49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3"/>
      <c r="AZ11" s="81"/>
      <c r="BB11" s="99" t="s">
        <v>49</v>
      </c>
      <c r="BC11" s="100"/>
      <c r="BD11" s="101"/>
      <c r="BH11" s="7" t="s">
        <v>30</v>
      </c>
      <c r="BI11" s="8">
        <v>2.6233375182524107E-4</v>
      </c>
      <c r="BJ11" s="7"/>
      <c r="BL11" s="11">
        <v>0.17755375853694569</v>
      </c>
      <c r="BM11" s="11">
        <v>6.6259661285488936E-2</v>
      </c>
      <c r="BN11" s="11">
        <v>4.0893252237399931E-2</v>
      </c>
      <c r="BO11" s="11">
        <v>2.0414541194762492E-2</v>
      </c>
      <c r="BP11" s="11">
        <v>0.1238128186994312</v>
      </c>
      <c r="BQ11" s="11">
        <v>6.1423208633073427E-2</v>
      </c>
      <c r="BR11" s="11">
        <v>0</v>
      </c>
      <c r="BS11" s="11">
        <v>4.4010074805419533E-2</v>
      </c>
      <c r="BT11" s="11">
        <v>0.27663135652066101</v>
      </c>
      <c r="BU11" s="11">
        <v>0.1361804505503515</v>
      </c>
      <c r="BV11" s="11">
        <v>0</v>
      </c>
      <c r="BW11" s="11">
        <v>7.230583292628873E-3</v>
      </c>
      <c r="BX11" s="11">
        <v>0</v>
      </c>
      <c r="BY11" s="11">
        <v>4.5590294243837509E-2</v>
      </c>
      <c r="BZ11" s="11">
        <v>0</v>
      </c>
    </row>
    <row r="12" spans="1:78" ht="15.75" thickBot="1" x14ac:dyDescent="0.3">
      <c r="A12" s="51">
        <v>41204</v>
      </c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6"/>
      <c r="R12" s="73" t="s">
        <v>0</v>
      </c>
      <c r="S12" s="71">
        <f ca="1">_xlfn.COVARIANCE.S(INDIRECT($R12),INDIRECT(S$11))</f>
        <v>4.5404759442295651E-4</v>
      </c>
      <c r="T12" s="71">
        <f t="shared" ref="T12:AG26" ca="1" si="4">_xlfn.COVARIANCE.S(INDIRECT($R12),INDIRECT(T$11))</f>
        <v>3.2041581247226774E-4</v>
      </c>
      <c r="U12" s="71">
        <f t="shared" ca="1" si="4"/>
        <v>7.9692691531738308E-5</v>
      </c>
      <c r="V12" s="71">
        <f t="shared" ca="1" si="4"/>
        <v>1.5164952870129304E-4</v>
      </c>
      <c r="W12" s="71">
        <f t="shared" ca="1" si="4"/>
        <v>1.8680714636153128E-4</v>
      </c>
      <c r="X12" s="71">
        <f t="shared" ca="1" si="4"/>
        <v>3.927350441474368E-4</v>
      </c>
      <c r="Y12" s="71">
        <f t="shared" ca="1" si="4"/>
        <v>1.3847582367730092E-4</v>
      </c>
      <c r="Z12" s="71">
        <f t="shared" ca="1" si="4"/>
        <v>1.2091238313031068E-4</v>
      </c>
      <c r="AA12" s="71">
        <f t="shared" ca="1" si="4"/>
        <v>2.5804773118850662E-4</v>
      </c>
      <c r="AB12" s="71">
        <f t="shared" ca="1" si="4"/>
        <v>5.8575393593685558E-5</v>
      </c>
      <c r="AC12" s="71">
        <f t="shared" ca="1" si="4"/>
        <v>1.5416334615597085E-4</v>
      </c>
      <c r="AD12" s="71">
        <f t="shared" ca="1" si="4"/>
        <v>3.1200471848317639E-4</v>
      </c>
      <c r="AE12" s="71">
        <f t="shared" ca="1" si="4"/>
        <v>4.6303774412057258E-4</v>
      </c>
      <c r="AF12" s="71">
        <f t="shared" ca="1" si="4"/>
        <v>3.9492418785768156E-4</v>
      </c>
      <c r="AG12" s="71">
        <f t="shared" ca="1" si="4"/>
        <v>3.5017442636102399E-4</v>
      </c>
      <c r="AI12" s="49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3"/>
      <c r="AZ12" s="82"/>
      <c r="BB12" s="102" t="s">
        <v>48</v>
      </c>
      <c r="BC12" s="103"/>
      <c r="BD12" s="104">
        <v>5.9999999999999995E-4</v>
      </c>
      <c r="BH12" s="7" t="s">
        <v>29</v>
      </c>
      <c r="BI12" s="13">
        <v>8.4762785885843708E-3</v>
      </c>
      <c r="BJ12" s="7"/>
    </row>
    <row r="13" spans="1:78" x14ac:dyDescent="0.25">
      <c r="A13" s="51">
        <v>41205</v>
      </c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  <c r="R13" s="76" t="s">
        <v>1</v>
      </c>
      <c r="S13" s="71">
        <f t="shared" ref="S13:S26" ca="1" si="5">_xlfn.COVARIANCE.S(INDIRECT($R13),INDIRECT(S$11))</f>
        <v>3.2041581247226774E-4</v>
      </c>
      <c r="T13" s="71">
        <f t="shared" ca="1" si="4"/>
        <v>9.0172621537977157E-4</v>
      </c>
      <c r="U13" s="71">
        <f t="shared" ca="1" si="4"/>
        <v>1.1990472919615061E-4</v>
      </c>
      <c r="V13" s="71">
        <f t="shared" ca="1" si="4"/>
        <v>6.0006209551351837E-4</v>
      </c>
      <c r="W13" s="71">
        <f t="shared" ca="1" si="4"/>
        <v>1.8019737475192643E-4</v>
      </c>
      <c r="X13" s="71">
        <f t="shared" ca="1" si="4"/>
        <v>3.9272752534468377E-4</v>
      </c>
      <c r="Y13" s="71">
        <f t="shared" ca="1" si="4"/>
        <v>1.2155284180047574E-4</v>
      </c>
      <c r="Z13" s="71">
        <f t="shared" ca="1" si="4"/>
        <v>5.9610380936600939E-4</v>
      </c>
      <c r="AA13" s="71">
        <f t="shared" ca="1" si="4"/>
        <v>2.9579550647323137E-4</v>
      </c>
      <c r="AB13" s="71">
        <f t="shared" ca="1" si="4"/>
        <v>2.6228810850386936E-4</v>
      </c>
      <c r="AC13" s="71">
        <f t="shared" ca="1" si="4"/>
        <v>2.3793227755869133E-4</v>
      </c>
      <c r="AD13" s="71">
        <f t="shared" ca="1" si="4"/>
        <v>4.0491810720355239E-4</v>
      </c>
      <c r="AE13" s="71">
        <f t="shared" ca="1" si="4"/>
        <v>5.9828056363812638E-4</v>
      </c>
      <c r="AF13" s="71">
        <f t="shared" ca="1" si="4"/>
        <v>3.6536925202995348E-4</v>
      </c>
      <c r="AG13" s="71">
        <f t="shared" ca="1" si="4"/>
        <v>3.162433682226239E-4</v>
      </c>
      <c r="AI13" s="49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3"/>
      <c r="AZ13" s="81"/>
      <c r="BB13" s="5"/>
      <c r="BC13" s="5"/>
    </row>
    <row r="14" spans="1:78" x14ac:dyDescent="0.25">
      <c r="A14" s="51">
        <v>41206</v>
      </c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6"/>
      <c r="R14" s="76" t="s">
        <v>2</v>
      </c>
      <c r="S14" s="71">
        <f t="shared" ca="1" si="5"/>
        <v>7.9692691531738308E-5</v>
      </c>
      <c r="T14" s="71">
        <f t="shared" ca="1" si="4"/>
        <v>1.1990472919615061E-4</v>
      </c>
      <c r="U14" s="71">
        <f t="shared" ca="1" si="4"/>
        <v>2.9695462350563432E-4</v>
      </c>
      <c r="V14" s="71">
        <f t="shared" ca="1" si="4"/>
        <v>3.9931985320359288E-4</v>
      </c>
      <c r="W14" s="71">
        <f t="shared" ca="1" si="4"/>
        <v>1.6377772426196994E-4</v>
      </c>
      <c r="X14" s="71">
        <f t="shared" ca="1" si="4"/>
        <v>1.7609731504115628E-4</v>
      </c>
      <c r="Y14" s="71">
        <f t="shared" ca="1" si="4"/>
        <v>-1.9613247993609796E-5</v>
      </c>
      <c r="Z14" s="71">
        <f t="shared" ca="1" si="4"/>
        <v>1.3331140561870225E-4</v>
      </c>
      <c r="AA14" s="71">
        <f t="shared" ca="1" si="4"/>
        <v>-2.5539059200749973E-6</v>
      </c>
      <c r="AB14" s="71">
        <f t="shared" ca="1" si="4"/>
        <v>-6.2920515868792102E-5</v>
      </c>
      <c r="AC14" s="71">
        <f t="shared" ca="1" si="4"/>
        <v>1.2988684676078945E-4</v>
      </c>
      <c r="AD14" s="71">
        <f t="shared" ca="1" si="4"/>
        <v>7.468292720534221E-5</v>
      </c>
      <c r="AE14" s="71">
        <f t="shared" ca="1" si="4"/>
        <v>3.27025983582574E-4</v>
      </c>
      <c r="AF14" s="71">
        <f t="shared" ca="1" si="4"/>
        <v>2.9673657794139567E-4</v>
      </c>
      <c r="AG14" s="71">
        <f t="shared" ca="1" si="4"/>
        <v>3.0864850294575375E-4</v>
      </c>
      <c r="AI14" s="49"/>
      <c r="AJ14" s="124">
        <f t="shared" ref="AJ14:AL14" si="6">+AJ6*600000</f>
        <v>0</v>
      </c>
      <c r="AK14" s="124">
        <f t="shared" si="6"/>
        <v>0</v>
      </c>
      <c r="AL14" s="124">
        <f t="shared" si="6"/>
        <v>0</v>
      </c>
      <c r="AM14" s="124">
        <f>+AM6*600000</f>
        <v>67129.240000000005</v>
      </c>
      <c r="AN14" s="124">
        <f t="shared" ref="AN14:AX14" si="7">+AN6*600000</f>
        <v>0</v>
      </c>
      <c r="AO14" s="124">
        <f t="shared" si="7"/>
        <v>0</v>
      </c>
      <c r="AP14" s="124">
        <f t="shared" si="7"/>
        <v>139022.76155721326</v>
      </c>
      <c r="AQ14" s="124">
        <f t="shared" si="7"/>
        <v>100590.40642255389</v>
      </c>
      <c r="AR14" s="124">
        <f t="shared" si="7"/>
        <v>48660.243364549613</v>
      </c>
      <c r="AS14" s="124">
        <f t="shared" si="7"/>
        <v>0</v>
      </c>
      <c r="AT14" s="124">
        <f t="shared" si="7"/>
        <v>0</v>
      </c>
      <c r="AU14" s="124">
        <f t="shared" si="7"/>
        <v>154354.65643360608</v>
      </c>
      <c r="AV14" s="124">
        <f t="shared" si="7"/>
        <v>0</v>
      </c>
      <c r="AW14" s="124">
        <f t="shared" si="7"/>
        <v>90242.702516062418</v>
      </c>
      <c r="AX14" s="124">
        <f t="shared" si="7"/>
        <v>0</v>
      </c>
      <c r="AY14" s="3"/>
      <c r="AZ14" s="81"/>
      <c r="BB14" s="5"/>
      <c r="BC14" s="5"/>
      <c r="BH14" t="s">
        <v>38</v>
      </c>
    </row>
    <row r="15" spans="1:78" x14ac:dyDescent="0.25">
      <c r="A15" s="51">
        <v>41207</v>
      </c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6"/>
      <c r="R15" s="76" t="s">
        <v>3</v>
      </c>
      <c r="S15" s="71">
        <f t="shared" ca="1" si="5"/>
        <v>1.5164952870129304E-4</v>
      </c>
      <c r="T15" s="71">
        <f t="shared" ca="1" si="4"/>
        <v>6.0006209551351837E-4</v>
      </c>
      <c r="U15" s="71">
        <f t="shared" ca="1" si="4"/>
        <v>3.9931985320359288E-4</v>
      </c>
      <c r="V15" s="71">
        <f t="shared" ca="1" si="4"/>
        <v>2.3876177503186855E-3</v>
      </c>
      <c r="W15" s="71">
        <f t="shared" ca="1" si="4"/>
        <v>2.6118595635886465E-4</v>
      </c>
      <c r="X15" s="71">
        <f t="shared" ca="1" si="4"/>
        <v>2.9207730472233077E-4</v>
      </c>
      <c r="Y15" s="71">
        <f t="shared" ca="1" si="4"/>
        <v>4.1387703310839563E-4</v>
      </c>
      <c r="Z15" s="71">
        <f t="shared" ca="1" si="4"/>
        <v>6.3896660069584564E-4</v>
      </c>
      <c r="AA15" s="71">
        <f t="shared" ca="1" si="4"/>
        <v>1.4052810637861141E-4</v>
      </c>
      <c r="AB15" s="71">
        <f t="shared" ca="1" si="4"/>
        <v>1.306847445453544E-4</v>
      </c>
      <c r="AC15" s="71">
        <f t="shared" ca="1" si="4"/>
        <v>2.4045160380427714E-4</v>
      </c>
      <c r="AD15" s="71">
        <f t="shared" ca="1" si="4"/>
        <v>8.7692542699880762E-5</v>
      </c>
      <c r="AE15" s="71">
        <f t="shared" ca="1" si="4"/>
        <v>7.0112567634444392E-4</v>
      </c>
      <c r="AF15" s="71">
        <f t="shared" ca="1" si="4"/>
        <v>6.0974145667316447E-4</v>
      </c>
      <c r="AG15" s="71">
        <f t="shared" ca="1" si="4"/>
        <v>5.8439899474359562E-4</v>
      </c>
      <c r="AI15" s="49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3"/>
      <c r="AZ15" s="81"/>
      <c r="BB15" s="110" t="s">
        <v>55</v>
      </c>
      <c r="BC15" s="111" t="s">
        <v>56</v>
      </c>
      <c r="BH15" s="9" t="s">
        <v>32</v>
      </c>
      <c r="BI15" s="6"/>
      <c r="BJ15" s="6"/>
      <c r="BL15" s="9" t="s">
        <v>34</v>
      </c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</row>
    <row r="16" spans="1:78" x14ac:dyDescent="0.25">
      <c r="A16" s="51">
        <v>41208</v>
      </c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R16" s="76" t="s">
        <v>4</v>
      </c>
      <c r="S16" s="71">
        <f t="shared" ca="1" si="5"/>
        <v>1.8680714636153128E-4</v>
      </c>
      <c r="T16" s="71">
        <f t="shared" ca="1" si="4"/>
        <v>1.8019737475192643E-4</v>
      </c>
      <c r="U16" s="71">
        <f t="shared" ca="1" si="4"/>
        <v>1.6377772426196994E-4</v>
      </c>
      <c r="V16" s="71">
        <f t="shared" ca="1" si="4"/>
        <v>2.6118595635886465E-4</v>
      </c>
      <c r="W16" s="71">
        <f t="shared" ca="1" si="4"/>
        <v>3.6966408160875178E-4</v>
      </c>
      <c r="X16" s="71">
        <f t="shared" ca="1" si="4"/>
        <v>3.6904703507754499E-4</v>
      </c>
      <c r="Y16" s="71">
        <f t="shared" ca="1" si="4"/>
        <v>2.4528053529708401E-4</v>
      </c>
      <c r="Z16" s="71">
        <f t="shared" ca="1" si="4"/>
        <v>2.0846430429126623E-4</v>
      </c>
      <c r="AA16" s="71">
        <f t="shared" ca="1" si="4"/>
        <v>1.0569489061811926E-4</v>
      </c>
      <c r="AB16" s="71">
        <f t="shared" ca="1" si="4"/>
        <v>-8.4232669664171164E-5</v>
      </c>
      <c r="AC16" s="71">
        <f t="shared" ca="1" si="4"/>
        <v>7.60749780754681E-5</v>
      </c>
      <c r="AD16" s="71">
        <f t="shared" ca="1" si="4"/>
        <v>1.8541773192267549E-4</v>
      </c>
      <c r="AE16" s="71">
        <f t="shared" ca="1" si="4"/>
        <v>5.082229805702614E-4</v>
      </c>
      <c r="AF16" s="71">
        <f t="shared" ca="1" si="4"/>
        <v>4.353616751102277E-4</v>
      </c>
      <c r="AG16" s="71">
        <f t="shared" ca="1" si="4"/>
        <v>4.6032337250482121E-4</v>
      </c>
      <c r="AI16" s="49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3"/>
      <c r="AZ16" s="81"/>
      <c r="BA16" t="s">
        <v>3</v>
      </c>
      <c r="BB16" s="112">
        <v>67129.240000000005</v>
      </c>
      <c r="BC16" s="113">
        <f>BB16/$BC$52</f>
        <v>0.11188206666666667</v>
      </c>
      <c r="BH16" s="7" t="s">
        <v>31</v>
      </c>
      <c r="BI16" s="8">
        <f>+BI17/BI18</f>
        <v>0.15883711194943054</v>
      </c>
      <c r="BJ16" s="7"/>
      <c r="BL16" s="10" t="s">
        <v>0</v>
      </c>
      <c r="BM16" s="10" t="s">
        <v>1</v>
      </c>
      <c r="BN16" s="10" t="s">
        <v>2</v>
      </c>
      <c r="BO16" s="10" t="s">
        <v>3</v>
      </c>
      <c r="BP16" s="10" t="s">
        <v>4</v>
      </c>
      <c r="BQ16" s="10" t="s">
        <v>5</v>
      </c>
      <c r="BR16" s="10" t="s">
        <v>6</v>
      </c>
      <c r="BS16" s="10" t="s">
        <v>7</v>
      </c>
      <c r="BT16" s="10" t="s">
        <v>8</v>
      </c>
      <c r="BU16" s="10" t="s">
        <v>9</v>
      </c>
      <c r="BV16" s="10" t="s">
        <v>10</v>
      </c>
      <c r="BW16" s="10" t="s">
        <v>11</v>
      </c>
      <c r="BX16" s="10" t="s">
        <v>12</v>
      </c>
      <c r="BY16" s="10" t="s">
        <v>13</v>
      </c>
      <c r="BZ16" s="10" t="s">
        <v>14</v>
      </c>
    </row>
    <row r="17" spans="1:79" x14ac:dyDescent="0.25">
      <c r="A17" s="51">
        <v>41211</v>
      </c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6"/>
      <c r="R17" s="76" t="s">
        <v>5</v>
      </c>
      <c r="S17" s="71">
        <f t="shared" ca="1" si="5"/>
        <v>3.927350441474368E-4</v>
      </c>
      <c r="T17" s="71">
        <f t="shared" ca="1" si="4"/>
        <v>3.9272752534468377E-4</v>
      </c>
      <c r="U17" s="71">
        <f t="shared" ca="1" si="4"/>
        <v>1.7609731504115628E-4</v>
      </c>
      <c r="V17" s="71">
        <f t="shared" ca="1" si="4"/>
        <v>2.9207730472233077E-4</v>
      </c>
      <c r="W17" s="71">
        <f t="shared" ca="1" si="4"/>
        <v>3.6904703507754499E-4</v>
      </c>
      <c r="X17" s="71">
        <f t="shared" ca="1" si="4"/>
        <v>6.9941815145151002E-4</v>
      </c>
      <c r="Y17" s="71">
        <f t="shared" ca="1" si="4"/>
        <v>2.9468428632358504E-4</v>
      </c>
      <c r="Z17" s="71">
        <f t="shared" ca="1" si="4"/>
        <v>3.7457018253083746E-4</v>
      </c>
      <c r="AA17" s="71">
        <f t="shared" ca="1" si="4"/>
        <v>2.2367953878092267E-4</v>
      </c>
      <c r="AB17" s="71">
        <f t="shared" ca="1" si="4"/>
        <v>7.0282763761082626E-6</v>
      </c>
      <c r="AC17" s="71">
        <f t="shared" ca="1" si="4"/>
        <v>1.9428802520909811E-4</v>
      </c>
      <c r="AD17" s="71">
        <f t="shared" ca="1" si="4"/>
        <v>3.8682166521123075E-4</v>
      </c>
      <c r="AE17" s="71">
        <f t="shared" ca="1" si="4"/>
        <v>5.4526407283384546E-4</v>
      </c>
      <c r="AF17" s="71">
        <f t="shared" ca="1" si="4"/>
        <v>6.0293724222015128E-4</v>
      </c>
      <c r="AG17" s="71">
        <f t="shared" ca="1" si="4"/>
        <v>5.8139281457492533E-4</v>
      </c>
      <c r="AI17" s="49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3"/>
      <c r="AZ17" s="81"/>
      <c r="BA17" t="s">
        <v>57</v>
      </c>
      <c r="BB17" s="112">
        <v>235512.18</v>
      </c>
      <c r="BC17" s="113">
        <f>BB17/$BC$52</f>
        <v>0.39252029999999999</v>
      </c>
      <c r="BH17" s="7" t="s">
        <v>30</v>
      </c>
      <c r="BI17" s="13">
        <v>2.6660945241938896E-3</v>
      </c>
      <c r="BJ17" s="14"/>
      <c r="BL17" s="11">
        <v>0</v>
      </c>
      <c r="BM17" s="11">
        <v>6.9722296868212019E-2</v>
      </c>
      <c r="BN17" s="11">
        <v>0</v>
      </c>
      <c r="BO17" s="11">
        <v>0</v>
      </c>
      <c r="BP17" s="11">
        <v>0</v>
      </c>
      <c r="BQ17" s="11">
        <v>0</v>
      </c>
      <c r="BR17" s="11">
        <v>0.18233581341572033</v>
      </c>
      <c r="BS17" s="11">
        <v>1.8087340772409456E-2</v>
      </c>
      <c r="BT17" s="11">
        <v>0</v>
      </c>
      <c r="BU17" s="11">
        <v>0</v>
      </c>
      <c r="BV17" s="11">
        <v>0.72436604378854597</v>
      </c>
      <c r="BW17" s="11">
        <v>0</v>
      </c>
      <c r="BX17" s="11">
        <v>0</v>
      </c>
      <c r="BY17" s="11">
        <v>0</v>
      </c>
      <c r="BZ17" s="11">
        <v>5.4884847810845105E-3</v>
      </c>
    </row>
    <row r="18" spans="1:79" x14ac:dyDescent="0.25">
      <c r="A18" s="51">
        <v>41212</v>
      </c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6"/>
      <c r="R18" s="76" t="s">
        <v>6</v>
      </c>
      <c r="S18" s="71">
        <f t="shared" ca="1" si="5"/>
        <v>1.3847582367730092E-4</v>
      </c>
      <c r="T18" s="71">
        <f t="shared" ca="1" si="4"/>
        <v>1.2155284180047574E-4</v>
      </c>
      <c r="U18" s="71">
        <f t="shared" ca="1" si="4"/>
        <v>-1.9613247993609796E-5</v>
      </c>
      <c r="V18" s="71">
        <f t="shared" ca="1" si="4"/>
        <v>4.1387703310839563E-4</v>
      </c>
      <c r="W18" s="71">
        <f t="shared" ca="1" si="4"/>
        <v>2.4528053529708401E-4</v>
      </c>
      <c r="X18" s="71">
        <f t="shared" ca="1" si="4"/>
        <v>2.9468428632358504E-4</v>
      </c>
      <c r="Y18" s="71">
        <f t="shared" ca="1" si="4"/>
        <v>6.8779303110539161E-4</v>
      </c>
      <c r="Z18" s="71">
        <f t="shared" ca="1" si="4"/>
        <v>5.4275262554760354E-5</v>
      </c>
      <c r="AA18" s="71">
        <f t="shared" ca="1" si="4"/>
        <v>1.0660089722707205E-4</v>
      </c>
      <c r="AB18" s="71">
        <f t="shared" ca="1" si="4"/>
        <v>-6.3285863879076158E-5</v>
      </c>
      <c r="AC18" s="71">
        <f t="shared" ca="1" si="4"/>
        <v>4.1849133715424521E-5</v>
      </c>
      <c r="AD18" s="71">
        <f t="shared" ca="1" si="4"/>
        <v>-2.735768847059599E-4</v>
      </c>
      <c r="AE18" s="71">
        <f t="shared" ca="1" si="4"/>
        <v>2.4133647858355197E-4</v>
      </c>
      <c r="AF18" s="71">
        <f t="shared" ca="1" si="4"/>
        <v>4.1087538652183754E-4</v>
      </c>
      <c r="AG18" s="71">
        <f t="shared" ca="1" si="4"/>
        <v>3.3777983215012395E-4</v>
      </c>
      <c r="AI18" s="49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3"/>
      <c r="AZ18" s="81"/>
      <c r="BB18" s="112">
        <v>192494.51</v>
      </c>
      <c r="BC18" s="113">
        <f>BB18/$BC$52</f>
        <v>0.32082418333333335</v>
      </c>
      <c r="BH18" t="s">
        <v>29</v>
      </c>
      <c r="BI18" s="13">
        <v>1.6785085623079714E-2</v>
      </c>
      <c r="BJ18" s="14"/>
      <c r="BL18" s="4">
        <f>+BL17*500000</f>
        <v>0</v>
      </c>
      <c r="BM18" s="4">
        <f t="shared" ref="BM18:BZ18" si="8">+BM17*500000</f>
        <v>34861.148434106013</v>
      </c>
      <c r="BN18" s="4">
        <f t="shared" si="8"/>
        <v>0</v>
      </c>
      <c r="BO18" s="4">
        <f t="shared" si="8"/>
        <v>0</v>
      </c>
      <c r="BP18" s="4">
        <f t="shared" si="8"/>
        <v>0</v>
      </c>
      <c r="BQ18" s="4">
        <f t="shared" si="8"/>
        <v>0</v>
      </c>
      <c r="BR18" s="4">
        <f t="shared" si="8"/>
        <v>91167.906707860166</v>
      </c>
      <c r="BS18" s="4">
        <f t="shared" si="8"/>
        <v>9043.6703862047289</v>
      </c>
      <c r="BT18" s="4">
        <f t="shared" si="8"/>
        <v>0</v>
      </c>
      <c r="BU18" s="4">
        <f t="shared" si="8"/>
        <v>0</v>
      </c>
      <c r="BV18" s="4">
        <f t="shared" si="8"/>
        <v>362183.021894273</v>
      </c>
      <c r="BW18" s="4">
        <f t="shared" si="8"/>
        <v>0</v>
      </c>
      <c r="BX18" s="4">
        <f t="shared" si="8"/>
        <v>0</v>
      </c>
      <c r="BY18" s="4">
        <f t="shared" si="8"/>
        <v>0</v>
      </c>
      <c r="BZ18" s="4">
        <f t="shared" si="8"/>
        <v>2744.2423905422552</v>
      </c>
    </row>
    <row r="19" spans="1:79" x14ac:dyDescent="0.25">
      <c r="A19" s="51">
        <v>41213</v>
      </c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6"/>
      <c r="R19" s="76" t="s">
        <v>7</v>
      </c>
      <c r="S19" s="71">
        <f t="shared" ca="1" si="5"/>
        <v>1.2091238313031068E-4</v>
      </c>
      <c r="T19" s="71">
        <f t="shared" ca="1" si="4"/>
        <v>5.9610380936600939E-4</v>
      </c>
      <c r="U19" s="71">
        <f t="shared" ca="1" si="4"/>
        <v>1.3331140561870225E-4</v>
      </c>
      <c r="V19" s="71">
        <f t="shared" ca="1" si="4"/>
        <v>6.3896660069584564E-4</v>
      </c>
      <c r="W19" s="71">
        <f t="shared" ca="1" si="4"/>
        <v>2.0846430429126623E-4</v>
      </c>
      <c r="X19" s="71">
        <f t="shared" ca="1" si="4"/>
        <v>3.7457018253083746E-4</v>
      </c>
      <c r="Y19" s="71">
        <f t="shared" ca="1" si="4"/>
        <v>5.4275262554760354E-5</v>
      </c>
      <c r="Z19" s="71">
        <f t="shared" ca="1" si="4"/>
        <v>1.0462841952345557E-3</v>
      </c>
      <c r="AA19" s="71">
        <f t="shared" ca="1" si="4"/>
        <v>7.4053702498324842E-5</v>
      </c>
      <c r="AB19" s="71">
        <f t="shared" ca="1" si="4"/>
        <v>1.7571143116642282E-4</v>
      </c>
      <c r="AC19" s="71">
        <f t="shared" ca="1" si="4"/>
        <v>1.867526318222639E-4</v>
      </c>
      <c r="AD19" s="71">
        <f t="shared" ca="1" si="4"/>
        <v>6.2411850151129463E-4</v>
      </c>
      <c r="AE19" s="71">
        <f t="shared" ca="1" si="4"/>
        <v>4.349640653066103E-4</v>
      </c>
      <c r="AF19" s="71">
        <f t="shared" ca="1" si="4"/>
        <v>2.9115743598993996E-4</v>
      </c>
      <c r="AG19" s="71">
        <f t="shared" ca="1" si="4"/>
        <v>2.4559064559612947E-4</v>
      </c>
      <c r="AI19" s="49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3"/>
      <c r="AZ19" s="81"/>
      <c r="BB19" s="112">
        <f>SUM(BB16:BB18)</f>
        <v>495135.93</v>
      </c>
      <c r="BC19" s="114"/>
      <c r="BD19" s="15"/>
      <c r="BH19" s="9" t="s">
        <v>33</v>
      </c>
      <c r="BI19" s="6"/>
      <c r="BJ19" s="6"/>
    </row>
    <row r="20" spans="1:79" x14ac:dyDescent="0.25">
      <c r="A20" s="51">
        <v>41215</v>
      </c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6"/>
      <c r="R20" s="76" t="s">
        <v>8</v>
      </c>
      <c r="S20" s="71">
        <f t="shared" ca="1" si="5"/>
        <v>2.5804773118850662E-4</v>
      </c>
      <c r="T20" s="71">
        <f t="shared" ca="1" si="4"/>
        <v>2.9579550647323137E-4</v>
      </c>
      <c r="U20" s="71">
        <f t="shared" ca="1" si="4"/>
        <v>-2.5539059200749973E-6</v>
      </c>
      <c r="V20" s="71">
        <f t="shared" ca="1" si="4"/>
        <v>1.4052810637861141E-4</v>
      </c>
      <c r="W20" s="71">
        <f t="shared" ca="1" si="4"/>
        <v>1.0569489061811926E-4</v>
      </c>
      <c r="X20" s="71">
        <f t="shared" ca="1" si="4"/>
        <v>2.2367953878092267E-4</v>
      </c>
      <c r="Y20" s="71">
        <f t="shared" ca="1" si="4"/>
        <v>1.0660089722707205E-4</v>
      </c>
      <c r="Z20" s="71">
        <f t="shared" ca="1" si="4"/>
        <v>7.4053702498324842E-5</v>
      </c>
      <c r="AA20" s="71">
        <f t="shared" ca="1" si="4"/>
        <v>3.3449606288053264E-4</v>
      </c>
      <c r="AB20" s="71">
        <f t="shared" ca="1" si="4"/>
        <v>4.8491651024158262E-5</v>
      </c>
      <c r="AC20" s="71">
        <f t="shared" ca="1" si="4"/>
        <v>8.2529609596933447E-5</v>
      </c>
      <c r="AD20" s="71">
        <f t="shared" ca="1" si="4"/>
        <v>3.054081550415489E-4</v>
      </c>
      <c r="AE20" s="71">
        <f t="shared" ca="1" si="4"/>
        <v>3.8447502044380941E-4</v>
      </c>
      <c r="AF20" s="71">
        <f t="shared" ca="1" si="4"/>
        <v>1.9034427200757465E-4</v>
      </c>
      <c r="AG20" s="71">
        <f t="shared" ca="1" si="4"/>
        <v>2.8332985318235736E-4</v>
      </c>
      <c r="AI20" s="49"/>
      <c r="AJ20" s="78"/>
      <c r="AK20" s="123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3"/>
      <c r="AZ20" s="81"/>
      <c r="BB20" s="106"/>
      <c r="BC20" s="106"/>
      <c r="BD20" s="15"/>
      <c r="BH20" s="7" t="s">
        <v>30</v>
      </c>
      <c r="BI20" s="8">
        <v>5.3153166008672748E-3</v>
      </c>
      <c r="BJ20" s="7"/>
      <c r="BL20" s="11">
        <v>0</v>
      </c>
      <c r="BM20" s="11">
        <v>0</v>
      </c>
      <c r="BN20" s="11">
        <v>0</v>
      </c>
      <c r="BO20" s="11">
        <v>1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</row>
    <row r="21" spans="1:79" x14ac:dyDescent="0.25">
      <c r="A21" s="51">
        <v>41218</v>
      </c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6"/>
      <c r="R21" s="76" t="s">
        <v>9</v>
      </c>
      <c r="S21" s="71">
        <f t="shared" ca="1" si="5"/>
        <v>5.8575393593685558E-5</v>
      </c>
      <c r="T21" s="71">
        <f t="shared" ca="1" si="4"/>
        <v>2.6228810850386936E-4</v>
      </c>
      <c r="U21" s="71">
        <f t="shared" ca="1" si="4"/>
        <v>-6.2920515868792102E-5</v>
      </c>
      <c r="V21" s="71">
        <f t="shared" ca="1" si="4"/>
        <v>1.306847445453544E-4</v>
      </c>
      <c r="W21" s="71">
        <f t="shared" ca="1" si="4"/>
        <v>-8.4232669664171164E-5</v>
      </c>
      <c r="X21" s="71">
        <f t="shared" ca="1" si="4"/>
        <v>7.0282763761082626E-6</v>
      </c>
      <c r="Y21" s="71">
        <f t="shared" ca="1" si="4"/>
        <v>-6.3285863879076158E-5</v>
      </c>
      <c r="Z21" s="71">
        <f t="shared" ca="1" si="4"/>
        <v>1.7571143116642282E-4</v>
      </c>
      <c r="AA21" s="71">
        <f t="shared" ca="1" si="4"/>
        <v>4.8491651024158262E-5</v>
      </c>
      <c r="AB21" s="71">
        <f t="shared" ca="1" si="4"/>
        <v>2.6205058833516618E-4</v>
      </c>
      <c r="AC21" s="71">
        <f t="shared" ca="1" si="4"/>
        <v>9.5335762024154953E-5</v>
      </c>
      <c r="AD21" s="71">
        <f t="shared" ca="1" si="4"/>
        <v>7.5574417097310742E-5</v>
      </c>
      <c r="AE21" s="71">
        <f t="shared" ca="1" si="4"/>
        <v>-1.2353753350130781E-4</v>
      </c>
      <c r="AF21" s="71">
        <f t="shared" ca="1" si="4"/>
        <v>-9.8324220005030309E-5</v>
      </c>
      <c r="AG21" s="71">
        <f t="shared" ca="1" si="4"/>
        <v>-1.8072587585595145E-4</v>
      </c>
      <c r="AI21" s="49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3"/>
      <c r="AZ21" s="81"/>
      <c r="BB21" s="106"/>
      <c r="BC21" s="108"/>
      <c r="BD21" s="15"/>
      <c r="BH21" s="7" t="s">
        <v>29</v>
      </c>
      <c r="BI21" s="12">
        <v>6.3583708640589029E-2</v>
      </c>
    </row>
    <row r="22" spans="1:79" x14ac:dyDescent="0.25">
      <c r="A22" s="51">
        <v>41219</v>
      </c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6"/>
      <c r="R22" s="76" t="s">
        <v>10</v>
      </c>
      <c r="S22" s="71">
        <f t="shared" ca="1" si="5"/>
        <v>1.5416334615597085E-4</v>
      </c>
      <c r="T22" s="71">
        <f t="shared" ca="1" si="4"/>
        <v>2.3793227755869133E-4</v>
      </c>
      <c r="U22" s="71">
        <f t="shared" ca="1" si="4"/>
        <v>1.2988684676078945E-4</v>
      </c>
      <c r="V22" s="71">
        <f t="shared" ca="1" si="4"/>
        <v>2.4045160380427714E-4</v>
      </c>
      <c r="W22" s="71">
        <f t="shared" ca="1" si="4"/>
        <v>7.60749780754681E-5</v>
      </c>
      <c r="X22" s="71">
        <f t="shared" ca="1" si="4"/>
        <v>1.9428802520909811E-4</v>
      </c>
      <c r="Y22" s="71">
        <f t="shared" ca="1" si="4"/>
        <v>4.1849133715424521E-5</v>
      </c>
      <c r="Z22" s="71">
        <f t="shared" ca="1" si="4"/>
        <v>1.867526318222639E-4</v>
      </c>
      <c r="AA22" s="71">
        <f t="shared" ca="1" si="4"/>
        <v>8.2529609596933447E-5</v>
      </c>
      <c r="AB22" s="71">
        <f t="shared" ca="1" si="4"/>
        <v>9.5335762024154953E-5</v>
      </c>
      <c r="AC22" s="71">
        <f t="shared" ca="1" si="4"/>
        <v>2.0503647164423139E-4</v>
      </c>
      <c r="AD22" s="71">
        <f t="shared" ca="1" si="4"/>
        <v>2.1639554318759644E-4</v>
      </c>
      <c r="AE22" s="71">
        <f t="shared" ca="1" si="4"/>
        <v>1.581195469124143E-4</v>
      </c>
      <c r="AF22" s="71">
        <f t="shared" ca="1" si="4"/>
        <v>1.8307247015429595E-4</v>
      </c>
      <c r="AG22" s="71">
        <f t="shared" ca="1" si="4"/>
        <v>1.471953226763091E-4</v>
      </c>
      <c r="AI22" s="49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3"/>
      <c r="AZ22" s="81"/>
      <c r="BB22" s="106"/>
      <c r="BC22" s="106"/>
      <c r="BD22" s="15"/>
      <c r="BH22" s="9" t="s">
        <v>35</v>
      </c>
      <c r="BI22" s="6"/>
      <c r="BJ22" s="6"/>
    </row>
    <row r="23" spans="1:79" x14ac:dyDescent="0.25">
      <c r="A23" s="51">
        <v>41220</v>
      </c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6"/>
      <c r="R23" s="76" t="s">
        <v>11</v>
      </c>
      <c r="S23" s="71">
        <f t="shared" ca="1" si="5"/>
        <v>3.1200471848317639E-4</v>
      </c>
      <c r="T23" s="71">
        <f t="shared" ca="1" si="4"/>
        <v>4.0491810720355239E-4</v>
      </c>
      <c r="U23" s="71">
        <f t="shared" ca="1" si="4"/>
        <v>7.468292720534221E-5</v>
      </c>
      <c r="V23" s="71">
        <f t="shared" ca="1" si="4"/>
        <v>8.7692542699880762E-5</v>
      </c>
      <c r="W23" s="71">
        <f t="shared" ca="1" si="4"/>
        <v>1.8541773192267549E-4</v>
      </c>
      <c r="X23" s="71">
        <f t="shared" ca="1" si="4"/>
        <v>3.8682166521123075E-4</v>
      </c>
      <c r="Y23" s="71">
        <f t="shared" ca="1" si="4"/>
        <v>-2.735768847059599E-4</v>
      </c>
      <c r="Z23" s="71">
        <f t="shared" ca="1" si="4"/>
        <v>6.2411850151129463E-4</v>
      </c>
      <c r="AA23" s="71">
        <f t="shared" ca="1" si="4"/>
        <v>3.054081550415489E-4</v>
      </c>
      <c r="AB23" s="71">
        <f t="shared" ca="1" si="4"/>
        <v>7.5574417097310742E-5</v>
      </c>
      <c r="AC23" s="71">
        <f t="shared" ca="1" si="4"/>
        <v>2.1639554318759644E-4</v>
      </c>
      <c r="AD23" s="71">
        <f t="shared" ca="1" si="4"/>
        <v>1.5593334772764163E-3</v>
      </c>
      <c r="AE23" s="71">
        <f t="shared" ca="1" si="4"/>
        <v>3.4174616597089781E-4</v>
      </c>
      <c r="AF23" s="71">
        <f t="shared" ca="1" si="4"/>
        <v>-2.5777872855966857E-5</v>
      </c>
      <c r="AG23" s="71">
        <f t="shared" ca="1" si="4"/>
        <v>4.545199784968697E-4</v>
      </c>
      <c r="AI23" s="49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3"/>
      <c r="AZ23" s="81"/>
      <c r="BB23" s="5"/>
      <c r="BC23" s="5"/>
      <c r="BH23" s="7" t="s">
        <v>30</v>
      </c>
      <c r="BI23" s="5">
        <v>6.8341614865526003E-4</v>
      </c>
      <c r="BJ23" s="7"/>
      <c r="BL23" s="11">
        <v>0.13545795622794318</v>
      </c>
      <c r="BM23" s="11">
        <v>0</v>
      </c>
      <c r="BN23" s="11">
        <v>9.6668750642848293E-3</v>
      </c>
      <c r="BO23" s="11">
        <v>2.7922325465613979E-2</v>
      </c>
      <c r="BP23" s="11">
        <v>0.20915231885052152</v>
      </c>
      <c r="BQ23" s="11">
        <v>8.442166240894276E-3</v>
      </c>
      <c r="BR23" s="11">
        <v>1.55340758372653E-2</v>
      </c>
      <c r="BS23" s="11">
        <v>0</v>
      </c>
      <c r="BT23" s="11">
        <v>0.11433641401055743</v>
      </c>
      <c r="BU23" s="11">
        <v>9.3288163503321142E-2</v>
      </c>
      <c r="BV23" s="11">
        <v>0.28481592643392029</v>
      </c>
      <c r="BW23" s="11">
        <v>0.10138377836567809</v>
      </c>
      <c r="BX23" s="11">
        <v>0</v>
      </c>
      <c r="BY23" s="11">
        <v>0</v>
      </c>
      <c r="BZ23" s="11">
        <v>0</v>
      </c>
    </row>
    <row r="24" spans="1:79" x14ac:dyDescent="0.25">
      <c r="A24" s="51">
        <v>41221</v>
      </c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6"/>
      <c r="R24" s="76" t="s">
        <v>12</v>
      </c>
      <c r="S24" s="71">
        <f t="shared" ca="1" si="5"/>
        <v>4.6303774412057258E-4</v>
      </c>
      <c r="T24" s="71">
        <f t="shared" ca="1" si="4"/>
        <v>5.9828056363812638E-4</v>
      </c>
      <c r="U24" s="71">
        <f t="shared" ca="1" si="4"/>
        <v>3.27025983582574E-4</v>
      </c>
      <c r="V24" s="71">
        <f t="shared" ca="1" si="4"/>
        <v>7.0112567634444392E-4</v>
      </c>
      <c r="W24" s="71">
        <f t="shared" ca="1" si="4"/>
        <v>5.082229805702614E-4</v>
      </c>
      <c r="X24" s="71">
        <f t="shared" ca="1" si="4"/>
        <v>5.4526407283384546E-4</v>
      </c>
      <c r="Y24" s="71">
        <f t="shared" ca="1" si="4"/>
        <v>2.4133647858355197E-4</v>
      </c>
      <c r="Z24" s="71">
        <f t="shared" ca="1" si="4"/>
        <v>4.349640653066103E-4</v>
      </c>
      <c r="AA24" s="71">
        <f t="shared" ca="1" si="4"/>
        <v>3.8447502044380941E-4</v>
      </c>
      <c r="AB24" s="71">
        <f t="shared" ca="1" si="4"/>
        <v>-1.2353753350130781E-4</v>
      </c>
      <c r="AC24" s="71">
        <f t="shared" ca="1" si="4"/>
        <v>1.581195469124143E-4</v>
      </c>
      <c r="AD24" s="71">
        <f t="shared" ca="1" si="4"/>
        <v>3.4174616597089781E-4</v>
      </c>
      <c r="AE24" s="71">
        <f t="shared" ca="1" si="4"/>
        <v>1.6359240886754387E-3</v>
      </c>
      <c r="AF24" s="71">
        <f t="shared" ca="1" si="4"/>
        <v>9.859380699449331E-4</v>
      </c>
      <c r="AG24" s="71">
        <f t="shared" ca="1" si="4"/>
        <v>9.1445896104341438E-4</v>
      </c>
      <c r="AI24" s="49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3"/>
      <c r="AZ24" s="81"/>
      <c r="BB24" s="5"/>
      <c r="BC24" s="5"/>
      <c r="BH24" s="7" t="s">
        <v>29</v>
      </c>
      <c r="BI24" s="13">
        <v>1.4614757878184116E-2</v>
      </c>
      <c r="BJ24" s="7"/>
    </row>
    <row r="25" spans="1:79" x14ac:dyDescent="0.25">
      <c r="A25" s="51">
        <v>41222</v>
      </c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6"/>
      <c r="R25" s="76" t="s">
        <v>13</v>
      </c>
      <c r="S25" s="71">
        <f t="shared" ca="1" si="5"/>
        <v>3.9492418785768156E-4</v>
      </c>
      <c r="T25" s="71">
        <f t="shared" ca="1" si="4"/>
        <v>3.6536925202995348E-4</v>
      </c>
      <c r="U25" s="71">
        <f t="shared" ca="1" si="4"/>
        <v>2.9673657794139567E-4</v>
      </c>
      <c r="V25" s="71">
        <f t="shared" ca="1" si="4"/>
        <v>6.0974145667316447E-4</v>
      </c>
      <c r="W25" s="71">
        <f t="shared" ca="1" si="4"/>
        <v>4.353616751102277E-4</v>
      </c>
      <c r="X25" s="71">
        <f t="shared" ca="1" si="4"/>
        <v>6.0293724222015128E-4</v>
      </c>
      <c r="Y25" s="71">
        <f t="shared" ca="1" si="4"/>
        <v>4.1087538652183754E-4</v>
      </c>
      <c r="Z25" s="71">
        <f t="shared" ca="1" si="4"/>
        <v>2.9115743598993996E-4</v>
      </c>
      <c r="AA25" s="71">
        <f t="shared" ca="1" si="4"/>
        <v>1.9034427200757465E-4</v>
      </c>
      <c r="AB25" s="71">
        <f t="shared" ca="1" si="4"/>
        <v>-9.8324220005030309E-5</v>
      </c>
      <c r="AC25" s="71">
        <f t="shared" ca="1" si="4"/>
        <v>1.8307247015429595E-4</v>
      </c>
      <c r="AD25" s="71">
        <f t="shared" ca="1" si="4"/>
        <v>-2.5777872855966857E-5</v>
      </c>
      <c r="AE25" s="71">
        <f t="shared" ca="1" si="4"/>
        <v>9.859380699449331E-4</v>
      </c>
      <c r="AF25" s="71">
        <f t="shared" ca="1" si="4"/>
        <v>9.7212637006130573E-4</v>
      </c>
      <c r="AG25" s="71">
        <f t="shared" ca="1" si="4"/>
        <v>7.6658319813085562E-4</v>
      </c>
      <c r="AI25" s="49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3"/>
      <c r="AZ25" s="81"/>
      <c r="BB25" s="5"/>
      <c r="BC25" s="5"/>
    </row>
    <row r="26" spans="1:79" ht="15.75" thickBot="1" x14ac:dyDescent="0.3">
      <c r="A26" s="51">
        <v>41225</v>
      </c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6"/>
      <c r="R26" s="77" t="s">
        <v>14</v>
      </c>
      <c r="S26" s="71">
        <f t="shared" ca="1" si="5"/>
        <v>3.5017442636102399E-4</v>
      </c>
      <c r="T26" s="71">
        <f t="shared" ca="1" si="4"/>
        <v>3.162433682226239E-4</v>
      </c>
      <c r="U26" s="71">
        <f t="shared" ca="1" si="4"/>
        <v>3.0864850294575375E-4</v>
      </c>
      <c r="V26" s="71">
        <f t="shared" ca="1" si="4"/>
        <v>5.8439899474359562E-4</v>
      </c>
      <c r="W26" s="71">
        <f t="shared" ca="1" si="4"/>
        <v>4.6032337250482121E-4</v>
      </c>
      <c r="X26" s="71">
        <f t="shared" ca="1" si="4"/>
        <v>5.8139281457492533E-4</v>
      </c>
      <c r="Y26" s="71">
        <f t="shared" ca="1" si="4"/>
        <v>3.3777983215012395E-4</v>
      </c>
      <c r="Z26" s="71">
        <f t="shared" ca="1" si="4"/>
        <v>2.4559064559612947E-4</v>
      </c>
      <c r="AA26" s="71">
        <f t="shared" ca="1" si="4"/>
        <v>2.8332985318235736E-4</v>
      </c>
      <c r="AB26" s="71">
        <f t="shared" ca="1" si="4"/>
        <v>-1.8072587585595145E-4</v>
      </c>
      <c r="AC26" s="71">
        <f t="shared" ca="1" si="4"/>
        <v>1.471953226763091E-4</v>
      </c>
      <c r="AD26" s="71">
        <f t="shared" ca="1" si="4"/>
        <v>4.545199784968697E-4</v>
      </c>
      <c r="AE26" s="71">
        <f t="shared" ca="1" si="4"/>
        <v>9.1445896104341438E-4</v>
      </c>
      <c r="AF26" s="71">
        <f t="shared" ca="1" si="4"/>
        <v>7.6658319813085562E-4</v>
      </c>
      <c r="AG26" s="71">
        <f t="shared" ca="1" si="4"/>
        <v>1.0901122040571384E-3</v>
      </c>
      <c r="AI26" s="49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3"/>
      <c r="AZ26" s="81"/>
      <c r="BB26" s="5"/>
      <c r="BC26" s="5"/>
    </row>
    <row r="27" spans="1:79" x14ac:dyDescent="0.25">
      <c r="A27" s="51">
        <v>41226</v>
      </c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6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I27" s="49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3"/>
      <c r="AZ27" s="81"/>
      <c r="BB27" s="5"/>
      <c r="BC27" s="5"/>
    </row>
    <row r="28" spans="1:79" ht="15.75" thickBot="1" x14ac:dyDescent="0.3">
      <c r="A28" s="51">
        <v>41227</v>
      </c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6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I28" s="49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3"/>
      <c r="AZ28" s="81"/>
      <c r="BB28" s="5"/>
      <c r="BC28" s="5"/>
    </row>
    <row r="29" spans="1:79" ht="15.75" thickBot="1" x14ac:dyDescent="0.3">
      <c r="A29" s="51">
        <v>41228</v>
      </c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6"/>
      <c r="AI29" s="49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3"/>
      <c r="AZ29" s="82"/>
      <c r="BB29" s="5"/>
      <c r="BC29" s="5"/>
      <c r="BF29" s="134" t="s">
        <v>41</v>
      </c>
      <c r="BG29" s="17" t="s">
        <v>43</v>
      </c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8"/>
    </row>
    <row r="30" spans="1:79" x14ac:dyDescent="0.25">
      <c r="A30" s="51">
        <v>41229</v>
      </c>
      <c r="B30" s="54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6"/>
      <c r="AI30" s="49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3"/>
      <c r="AZ30" s="81"/>
      <c r="BB30" s="5"/>
      <c r="BC30" s="5"/>
      <c r="BF30" s="135"/>
      <c r="BG30" s="17" t="s">
        <v>40</v>
      </c>
      <c r="BH30" s="43" t="s">
        <v>32</v>
      </c>
      <c r="BI30" s="44"/>
      <c r="BJ30" s="44"/>
      <c r="BK30" s="21"/>
      <c r="BL30" s="150" t="s">
        <v>34</v>
      </c>
      <c r="BM30" s="150"/>
      <c r="BN30" s="150"/>
      <c r="BO30" s="150"/>
      <c r="BP30" s="150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22"/>
    </row>
    <row r="31" spans="1:79" x14ac:dyDescent="0.25">
      <c r="A31" s="51">
        <v>41232</v>
      </c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6"/>
      <c r="AI31" s="49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3"/>
      <c r="AZ31" s="81"/>
      <c r="BB31" s="5"/>
      <c r="BC31" s="5"/>
      <c r="BF31" s="135"/>
      <c r="BG31" s="21"/>
      <c r="BH31" s="33" t="s">
        <v>31</v>
      </c>
      <c r="BI31" s="34">
        <f>+BI32/BI33</f>
        <v>0.22746579690091762</v>
      </c>
      <c r="BJ31" s="33"/>
      <c r="BK31" s="33"/>
      <c r="BL31" s="40" t="s">
        <v>0</v>
      </c>
      <c r="BM31" s="40" t="s">
        <v>1</v>
      </c>
      <c r="BN31" s="40" t="s">
        <v>2</v>
      </c>
      <c r="BO31" s="40" t="s">
        <v>3</v>
      </c>
      <c r="BP31" s="40" t="s">
        <v>4</v>
      </c>
      <c r="BQ31" s="40" t="s">
        <v>5</v>
      </c>
      <c r="BR31" s="40" t="s">
        <v>6</v>
      </c>
      <c r="BS31" s="40" t="s">
        <v>7</v>
      </c>
      <c r="BT31" s="40" t="s">
        <v>8</v>
      </c>
      <c r="BU31" s="40" t="s">
        <v>9</v>
      </c>
      <c r="BV31" s="40" t="s">
        <v>10</v>
      </c>
      <c r="BW31" s="40" t="s">
        <v>11</v>
      </c>
      <c r="BX31" s="40" t="s">
        <v>12</v>
      </c>
      <c r="BY31" s="40" t="s">
        <v>13</v>
      </c>
      <c r="BZ31" s="40" t="s">
        <v>14</v>
      </c>
      <c r="CA31" s="22"/>
    </row>
    <row r="32" spans="1:79" x14ac:dyDescent="0.25">
      <c r="A32" s="51">
        <v>41233</v>
      </c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AI32" s="49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3"/>
      <c r="AZ32" s="81"/>
      <c r="BB32" s="5"/>
      <c r="BC32" s="5"/>
      <c r="BF32" s="135"/>
      <c r="BG32" s="21"/>
      <c r="BH32" s="33" t="s">
        <v>30</v>
      </c>
      <c r="BI32" s="37">
        <v>4.1284369354248401E-3</v>
      </c>
      <c r="BJ32" s="41"/>
      <c r="BK32" s="33"/>
      <c r="BL32" s="35">
        <v>0.12962014703083277</v>
      </c>
      <c r="BM32" s="35">
        <v>0</v>
      </c>
      <c r="BN32" s="35">
        <v>0</v>
      </c>
      <c r="BO32" s="35">
        <v>0.10892294785050653</v>
      </c>
      <c r="BP32" s="35">
        <v>0</v>
      </c>
      <c r="BQ32" s="35">
        <v>0</v>
      </c>
      <c r="BR32" s="35">
        <v>0</v>
      </c>
      <c r="BS32" s="35">
        <v>0</v>
      </c>
      <c r="BT32" s="35">
        <v>0.40032950704535319</v>
      </c>
      <c r="BU32" s="35">
        <v>5.4822301538197261E-2</v>
      </c>
      <c r="BV32" s="35">
        <v>0.30630509572054582</v>
      </c>
      <c r="BW32" s="35">
        <v>0</v>
      </c>
      <c r="BX32" s="35">
        <v>0</v>
      </c>
      <c r="BY32" s="35">
        <v>0</v>
      </c>
      <c r="BZ32" s="35">
        <v>0</v>
      </c>
      <c r="CA32" s="22"/>
    </row>
    <row r="33" spans="1:79" x14ac:dyDescent="0.25">
      <c r="A33" s="51">
        <v>41234</v>
      </c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6"/>
      <c r="AI33" s="49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3"/>
      <c r="AZ33" s="81"/>
      <c r="BB33" s="5"/>
      <c r="BC33" s="5"/>
      <c r="BF33" s="135"/>
      <c r="BG33" s="21"/>
      <c r="BH33" s="33" t="s">
        <v>29</v>
      </c>
      <c r="BI33" s="37">
        <v>1.8149704226623382E-2</v>
      </c>
      <c r="BJ33" s="41"/>
      <c r="BK33" s="33"/>
      <c r="BL33" s="42">
        <f>+BL32*500000</f>
        <v>64810.073515416385</v>
      </c>
      <c r="BM33" s="42">
        <f t="shared" ref="BM33:BZ33" si="9">+BM32*600000</f>
        <v>0</v>
      </c>
      <c r="BN33" s="42">
        <f t="shared" si="9"/>
        <v>0</v>
      </c>
      <c r="BO33" s="42">
        <f t="shared" si="9"/>
        <v>65353.768710303921</v>
      </c>
      <c r="BP33" s="42">
        <f t="shared" si="9"/>
        <v>0</v>
      </c>
      <c r="BQ33" s="42">
        <f t="shared" si="9"/>
        <v>0</v>
      </c>
      <c r="BR33" s="42">
        <f t="shared" si="9"/>
        <v>0</v>
      </c>
      <c r="BS33" s="42">
        <f t="shared" si="9"/>
        <v>0</v>
      </c>
      <c r="BT33" s="42">
        <f t="shared" si="9"/>
        <v>240197.70422721191</v>
      </c>
      <c r="BU33" s="42">
        <f t="shared" si="9"/>
        <v>32893.380922918353</v>
      </c>
      <c r="BV33" s="42">
        <f t="shared" si="9"/>
        <v>183783.05743232748</v>
      </c>
      <c r="BW33" s="42">
        <f t="shared" si="9"/>
        <v>0</v>
      </c>
      <c r="BX33" s="42">
        <f t="shared" si="9"/>
        <v>0</v>
      </c>
      <c r="BY33" s="42">
        <f t="shared" si="9"/>
        <v>0</v>
      </c>
      <c r="BZ33" s="42">
        <f t="shared" si="9"/>
        <v>0</v>
      </c>
      <c r="CA33" s="22"/>
    </row>
    <row r="34" spans="1:79" x14ac:dyDescent="0.25">
      <c r="A34" s="51">
        <v>41235</v>
      </c>
      <c r="B34" s="54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6"/>
      <c r="AI34" s="49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3"/>
      <c r="AZ34" s="81"/>
      <c r="BB34" s="5"/>
      <c r="BC34" s="5"/>
      <c r="BF34" s="135"/>
      <c r="BG34" s="21"/>
      <c r="BH34" s="43" t="s">
        <v>33</v>
      </c>
      <c r="BI34" s="44"/>
      <c r="BJ34" s="44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2"/>
    </row>
    <row r="35" spans="1:79" x14ac:dyDescent="0.25">
      <c r="A35" s="51">
        <v>41236</v>
      </c>
      <c r="B35" s="54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6"/>
      <c r="AI35" s="49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3"/>
      <c r="AZ35" s="81"/>
      <c r="BB35" s="5"/>
      <c r="BC35" s="5"/>
      <c r="BF35" s="135"/>
      <c r="BG35" s="21"/>
      <c r="BH35" s="33" t="s">
        <v>30</v>
      </c>
      <c r="BI35" s="34">
        <v>6.3278304729397173E-3</v>
      </c>
      <c r="BJ35" s="33"/>
      <c r="BK35" s="33"/>
      <c r="BL35" s="35">
        <v>0</v>
      </c>
      <c r="BM35" s="35">
        <v>0</v>
      </c>
      <c r="BN35" s="35">
        <v>0</v>
      </c>
      <c r="BO35" s="35">
        <v>0</v>
      </c>
      <c r="BP35" s="35">
        <v>0</v>
      </c>
      <c r="BQ35" s="35">
        <v>0</v>
      </c>
      <c r="BR35" s="35">
        <v>1</v>
      </c>
      <c r="BS35" s="35">
        <v>0</v>
      </c>
      <c r="BT35" s="35">
        <v>0</v>
      </c>
      <c r="BU35" s="35">
        <v>0</v>
      </c>
      <c r="BV35" s="35">
        <v>0</v>
      </c>
      <c r="BW35" s="35">
        <v>0</v>
      </c>
      <c r="BX35" s="35">
        <v>0</v>
      </c>
      <c r="BY35" s="35">
        <v>0</v>
      </c>
      <c r="BZ35" s="35">
        <v>0</v>
      </c>
      <c r="CA35" s="22"/>
    </row>
    <row r="36" spans="1:79" x14ac:dyDescent="0.25">
      <c r="A36" s="51">
        <v>41239</v>
      </c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6"/>
      <c r="AI36" s="49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3"/>
      <c r="AZ36" s="81"/>
      <c r="BB36" s="5"/>
      <c r="BC36" s="5"/>
      <c r="BF36" s="135"/>
      <c r="BG36" s="21"/>
      <c r="BH36" s="33" t="s">
        <v>29</v>
      </c>
      <c r="BI36" s="36">
        <v>4.9648962589498538E-2</v>
      </c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22"/>
    </row>
    <row r="37" spans="1:79" x14ac:dyDescent="0.25">
      <c r="A37" s="51">
        <v>41240</v>
      </c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6"/>
      <c r="AI37" s="49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3"/>
      <c r="AZ37" s="81"/>
      <c r="BB37" s="5"/>
      <c r="BC37" s="5"/>
      <c r="BF37" s="135"/>
      <c r="BG37" s="21"/>
      <c r="BH37" s="43" t="s">
        <v>35</v>
      </c>
      <c r="BI37" s="44"/>
      <c r="BJ37" s="44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2"/>
    </row>
    <row r="38" spans="1:79" x14ac:dyDescent="0.25">
      <c r="A38" s="51">
        <v>41241</v>
      </c>
      <c r="B38" s="54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6"/>
      <c r="AI38" s="49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3"/>
      <c r="AZ38" s="81"/>
      <c r="BB38" s="5"/>
      <c r="BC38" s="5"/>
      <c r="BF38" s="135"/>
      <c r="BG38" s="21"/>
      <c r="BH38" s="33" t="s">
        <v>30</v>
      </c>
      <c r="BI38" s="37">
        <v>1.4685353399067796E-3</v>
      </c>
      <c r="BJ38" s="33"/>
      <c r="BK38" s="33"/>
      <c r="BL38" s="35">
        <v>0.13545795622794318</v>
      </c>
      <c r="BM38" s="35">
        <v>0</v>
      </c>
      <c r="BN38" s="35">
        <v>9.6668750642848293E-3</v>
      </c>
      <c r="BO38" s="35">
        <v>2.7922325465613979E-2</v>
      </c>
      <c r="BP38" s="35">
        <v>0.20915231885052152</v>
      </c>
      <c r="BQ38" s="35">
        <v>8.442166240894276E-3</v>
      </c>
      <c r="BR38" s="35">
        <v>1.55340758372653E-2</v>
      </c>
      <c r="BS38" s="35">
        <v>0</v>
      </c>
      <c r="BT38" s="35">
        <v>0.11433641401055743</v>
      </c>
      <c r="BU38" s="35">
        <v>9.3288163503321142E-2</v>
      </c>
      <c r="BV38" s="35">
        <v>0.28481592643392029</v>
      </c>
      <c r="BW38" s="35">
        <v>0.10138377836567809</v>
      </c>
      <c r="BX38" s="35">
        <v>0</v>
      </c>
      <c r="BY38" s="35">
        <v>0</v>
      </c>
      <c r="BZ38" s="35">
        <v>0</v>
      </c>
      <c r="CA38" s="22"/>
    </row>
    <row r="39" spans="1:79" ht="15.75" thickBot="1" x14ac:dyDescent="0.3">
      <c r="A39" s="51">
        <v>41242</v>
      </c>
      <c r="B39" s="54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6"/>
      <c r="AI39" s="49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3"/>
      <c r="AZ39" s="81"/>
      <c r="BB39" s="5"/>
      <c r="BC39" s="5"/>
      <c r="BF39" s="146"/>
      <c r="BG39" s="26"/>
      <c r="BH39" s="38" t="s">
        <v>29</v>
      </c>
      <c r="BI39" s="39">
        <v>1.3761765341107353E-2</v>
      </c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27"/>
    </row>
    <row r="40" spans="1:79" x14ac:dyDescent="0.25">
      <c r="A40" s="51">
        <v>41243</v>
      </c>
      <c r="B40" s="54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6"/>
      <c r="AI40" s="49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3"/>
      <c r="AZ40" s="81"/>
      <c r="BB40" s="5"/>
      <c r="BC40" s="5"/>
      <c r="BH40" s="16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8"/>
    </row>
    <row r="41" spans="1:79" x14ac:dyDescent="0.25">
      <c r="A41" s="51">
        <v>41246</v>
      </c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6"/>
      <c r="AI41" s="49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3"/>
      <c r="AZ41" s="81"/>
      <c r="BB41" s="5"/>
      <c r="BC41" s="5"/>
      <c r="BH41" s="28"/>
      <c r="BI41" s="148" t="s">
        <v>42</v>
      </c>
      <c r="BJ41" s="21" t="s">
        <v>47</v>
      </c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9"/>
    </row>
    <row r="42" spans="1:79" x14ac:dyDescent="0.25">
      <c r="A42" s="51">
        <v>41247</v>
      </c>
      <c r="B42" s="54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6"/>
      <c r="AI42" s="49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3"/>
      <c r="AZ42" s="81"/>
      <c r="BB42" s="5"/>
      <c r="BC42" s="5"/>
      <c r="BH42" s="28"/>
      <c r="BI42" s="148"/>
      <c r="BJ42" s="30">
        <v>3.4620000000000002</v>
      </c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30"/>
    </row>
    <row r="43" spans="1:79" x14ac:dyDescent="0.25">
      <c r="A43" s="51">
        <v>41248</v>
      </c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6"/>
      <c r="AI43" s="49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3"/>
      <c r="AZ43" s="81"/>
      <c r="BB43" s="5"/>
      <c r="BC43" s="5"/>
      <c r="BH43" s="28"/>
      <c r="BI43" s="148"/>
      <c r="BJ43" s="21"/>
      <c r="BK43" s="21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22"/>
    </row>
    <row r="44" spans="1:79" ht="15.75" thickBot="1" x14ac:dyDescent="0.3">
      <c r="A44" s="51">
        <v>41249</v>
      </c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6"/>
      <c r="AI44" s="49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3"/>
      <c r="AZ44" s="81"/>
      <c r="BB44" s="5"/>
      <c r="BC44" s="5"/>
      <c r="BH44" s="31"/>
      <c r="BI44" s="149"/>
      <c r="BJ44" s="26"/>
      <c r="BK44" s="26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32"/>
    </row>
    <row r="45" spans="1:79" x14ac:dyDescent="0.25">
      <c r="A45" s="51">
        <v>41250</v>
      </c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6"/>
      <c r="AI45" s="49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3"/>
      <c r="AZ45" s="81"/>
      <c r="BB45" s="5"/>
      <c r="BC45" s="5"/>
    </row>
    <row r="46" spans="1:79" x14ac:dyDescent="0.25">
      <c r="A46" s="51">
        <v>41253</v>
      </c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6"/>
      <c r="AI46" s="49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3"/>
      <c r="AZ46" s="81"/>
      <c r="BB46" s="5"/>
      <c r="BC46" s="5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4"/>
    </row>
    <row r="47" spans="1:79" ht="15.75" thickBot="1" x14ac:dyDescent="0.3">
      <c r="A47" s="51">
        <v>41254</v>
      </c>
      <c r="B47" s="54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6"/>
      <c r="AI47" s="49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3"/>
      <c r="AZ47" s="81"/>
      <c r="BB47" s="5"/>
      <c r="BC47" s="5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25">
      <c r="A48" s="51">
        <v>41255</v>
      </c>
      <c r="B48" s="54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6"/>
      <c r="AI48" s="49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3"/>
      <c r="AZ48" s="81"/>
      <c r="BB48" s="5"/>
      <c r="BC48" s="110" t="s">
        <v>55</v>
      </c>
      <c r="BD48" s="111" t="s">
        <v>56</v>
      </c>
      <c r="BF48" s="134" t="s">
        <v>44</v>
      </c>
      <c r="BG48" s="17" t="s">
        <v>43</v>
      </c>
      <c r="BH48" s="45" t="s">
        <v>32</v>
      </c>
      <c r="BI48" s="46"/>
      <c r="BJ48" s="46"/>
      <c r="BK48" s="17"/>
      <c r="BL48" s="136" t="s">
        <v>34</v>
      </c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8"/>
    </row>
    <row r="49" spans="1:80" x14ac:dyDescent="0.25">
      <c r="A49" s="51">
        <v>41256</v>
      </c>
      <c r="B49" s="54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6"/>
      <c r="AI49" s="49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3"/>
      <c r="AZ49" s="81"/>
      <c r="BB49" s="5"/>
      <c r="BC49" s="112">
        <v>67129.240000000005</v>
      </c>
      <c r="BD49" s="113">
        <f>BC49/$BC$52</f>
        <v>0.11188206666666667</v>
      </c>
      <c r="BF49" s="135"/>
      <c r="BG49" s="21" t="s">
        <v>50</v>
      </c>
      <c r="BH49" s="33" t="s">
        <v>52</v>
      </c>
      <c r="BI49" s="34">
        <f>(BI50-$BD$12)/BI51</f>
        <v>0.21163301427772113</v>
      </c>
      <c r="BJ49" s="33"/>
      <c r="BK49" s="21"/>
      <c r="BL49" s="23" t="s">
        <v>0</v>
      </c>
      <c r="BM49" s="23" t="s">
        <v>1</v>
      </c>
      <c r="BN49" s="23" t="s">
        <v>2</v>
      </c>
      <c r="BO49" s="23" t="s">
        <v>3</v>
      </c>
      <c r="BP49" s="23" t="s">
        <v>4</v>
      </c>
      <c r="BQ49" s="23" t="s">
        <v>5</v>
      </c>
      <c r="BR49" s="23" t="s">
        <v>6</v>
      </c>
      <c r="BS49" s="23" t="s">
        <v>7</v>
      </c>
      <c r="BT49" s="23" t="s">
        <v>8</v>
      </c>
      <c r="BU49" s="23" t="s">
        <v>9</v>
      </c>
      <c r="BV49" s="23" t="s">
        <v>10</v>
      </c>
      <c r="BW49" s="23" t="s">
        <v>11</v>
      </c>
      <c r="BX49" s="23" t="s">
        <v>12</v>
      </c>
      <c r="BY49" s="23" t="s">
        <v>13</v>
      </c>
      <c r="BZ49" s="23" t="s">
        <v>14</v>
      </c>
      <c r="CA49" s="22"/>
    </row>
    <row r="50" spans="1:80" x14ac:dyDescent="0.25">
      <c r="A50" s="51">
        <v>41257</v>
      </c>
      <c r="B50" s="54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6"/>
      <c r="AI50" s="49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3"/>
      <c r="AZ50" s="81"/>
      <c r="BB50" s="5"/>
      <c r="BC50" s="112">
        <v>235512.18</v>
      </c>
      <c r="BD50" s="113">
        <f>BC50/$BC$52</f>
        <v>0.39252029999999999</v>
      </c>
      <c r="BF50" s="135"/>
      <c r="BG50" s="132" t="s">
        <v>54</v>
      </c>
      <c r="BH50" s="33" t="s">
        <v>30</v>
      </c>
      <c r="BI50" s="105">
        <v>5.3092062677370282E-3</v>
      </c>
      <c r="BJ50" s="41"/>
      <c r="BK50" s="21"/>
      <c r="BL50" s="24">
        <v>0</v>
      </c>
      <c r="BM50" s="24">
        <v>0</v>
      </c>
      <c r="BN50" s="24">
        <v>4.9819473235905805E-2</v>
      </c>
      <c r="BO50" s="24">
        <v>0</v>
      </c>
      <c r="BP50" s="24">
        <v>0</v>
      </c>
      <c r="BQ50" s="24">
        <v>0</v>
      </c>
      <c r="BR50" s="24">
        <v>0.19571215081621815</v>
      </c>
      <c r="BS50" s="24">
        <v>0</v>
      </c>
      <c r="BT50" s="24">
        <v>0</v>
      </c>
      <c r="BU50" s="24">
        <v>0</v>
      </c>
      <c r="BV50" s="24">
        <v>0.70856666476318309</v>
      </c>
      <c r="BW50" s="24">
        <v>0</v>
      </c>
      <c r="BX50" s="24">
        <v>0</v>
      </c>
      <c r="BY50" s="24">
        <v>0</v>
      </c>
      <c r="BZ50" s="24">
        <v>4.5901711184692752E-2</v>
      </c>
      <c r="CA50" s="22"/>
    </row>
    <row r="51" spans="1:80" x14ac:dyDescent="0.25">
      <c r="A51" s="51">
        <v>41260</v>
      </c>
      <c r="B51" s="54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6"/>
      <c r="AI51" s="49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3"/>
      <c r="AZ51" s="81"/>
      <c r="BB51" s="5"/>
      <c r="BC51" s="112">
        <v>192494.51</v>
      </c>
      <c r="BD51" s="113">
        <f>BC51/$BC$52</f>
        <v>0.32082418333333335</v>
      </c>
      <c r="BF51" s="135"/>
      <c r="BG51" s="132"/>
      <c r="BH51" s="33" t="s">
        <v>29</v>
      </c>
      <c r="BI51" s="105">
        <v>2.2251756342501674E-2</v>
      </c>
      <c r="BJ51" s="41"/>
      <c r="BK51" s="21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2"/>
    </row>
    <row r="52" spans="1:80" x14ac:dyDescent="0.25">
      <c r="A52" s="51">
        <v>41261</v>
      </c>
      <c r="B52" s="54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6"/>
      <c r="AI52" s="49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3"/>
      <c r="AZ52" s="81"/>
      <c r="BB52" s="5"/>
      <c r="BC52" s="112">
        <v>600000</v>
      </c>
      <c r="BD52" s="114"/>
      <c r="BF52" s="135"/>
      <c r="BG52" s="132"/>
      <c r="BH52" s="43" t="s">
        <v>33</v>
      </c>
      <c r="BI52" s="44"/>
      <c r="BJ52" s="44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2"/>
      <c r="CB52" s="4"/>
    </row>
    <row r="53" spans="1:80" x14ac:dyDescent="0.25">
      <c r="A53" s="51">
        <v>41262</v>
      </c>
      <c r="B53" s="54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6"/>
      <c r="AI53" s="49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3"/>
      <c r="AZ53" s="81"/>
      <c r="BB53" s="5"/>
      <c r="BC53" s="5"/>
      <c r="BF53" s="135"/>
      <c r="BG53" s="132"/>
      <c r="BH53" s="33" t="s">
        <v>30</v>
      </c>
      <c r="BI53" s="34"/>
      <c r="BJ53" s="33"/>
      <c r="BK53" s="33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22"/>
    </row>
    <row r="54" spans="1:80" x14ac:dyDescent="0.25">
      <c r="A54" s="51">
        <v>41263</v>
      </c>
      <c r="B54" s="54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6"/>
      <c r="AI54" s="49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3"/>
      <c r="AZ54" s="81"/>
      <c r="BB54" s="5"/>
      <c r="BC54" s="5"/>
      <c r="BF54" s="135"/>
      <c r="BG54" s="132"/>
      <c r="BH54" s="33" t="s">
        <v>29</v>
      </c>
      <c r="BI54" s="36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22"/>
    </row>
    <row r="55" spans="1:80" x14ac:dyDescent="0.25">
      <c r="A55" s="51">
        <v>41264</v>
      </c>
      <c r="B55" s="54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6"/>
      <c r="AI55" s="49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3"/>
      <c r="AZ55" s="81"/>
      <c r="BB55" s="5"/>
      <c r="BC55" s="5"/>
      <c r="BF55" s="130" t="s">
        <v>53</v>
      </c>
      <c r="BG55" s="132"/>
      <c r="BH55" s="43" t="s">
        <v>35</v>
      </c>
      <c r="BI55" s="44"/>
      <c r="BJ55" s="44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2"/>
    </row>
    <row r="56" spans="1:80" x14ac:dyDescent="0.25">
      <c r="A56" s="51">
        <v>41267</v>
      </c>
      <c r="B56" s="54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6"/>
      <c r="AI56" s="49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3"/>
      <c r="AZ56" s="81"/>
      <c r="BB56" s="5"/>
      <c r="BC56" s="5"/>
      <c r="BF56" s="130"/>
      <c r="BG56" s="132"/>
      <c r="BH56" s="33" t="s">
        <v>30</v>
      </c>
      <c r="BI56" s="37"/>
      <c r="BJ56" s="33"/>
      <c r="BK56" s="33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22"/>
    </row>
    <row r="57" spans="1:80" ht="15.75" thickBot="1" x14ac:dyDescent="0.3">
      <c r="A57" s="51">
        <v>41269</v>
      </c>
      <c r="B57" s="54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6"/>
      <c r="AI57" s="49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3"/>
      <c r="AZ57" s="81"/>
      <c r="BB57" s="5"/>
      <c r="BC57" s="5"/>
      <c r="BF57" s="131"/>
      <c r="BG57" s="133"/>
      <c r="BH57" s="38" t="s">
        <v>29</v>
      </c>
      <c r="BI57" s="39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27"/>
    </row>
    <row r="58" spans="1:80" ht="15.75" thickBot="1" x14ac:dyDescent="0.3">
      <c r="A58" s="51">
        <v>41270</v>
      </c>
      <c r="B58" s="54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6"/>
      <c r="AI58" s="49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3"/>
      <c r="AZ58" s="81"/>
      <c r="BB58" s="5"/>
      <c r="BC58" s="5"/>
      <c r="BF58" s="5"/>
      <c r="BG58" s="5"/>
    </row>
    <row r="59" spans="1:80" x14ac:dyDescent="0.25">
      <c r="A59" s="51">
        <v>41271</v>
      </c>
      <c r="B59" s="54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6"/>
      <c r="AI59" s="49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3"/>
      <c r="AZ59" s="81"/>
      <c r="BB59" s="5"/>
      <c r="BC59" s="5"/>
      <c r="BE59" s="19"/>
      <c r="BF59" s="134" t="s">
        <v>53</v>
      </c>
      <c r="BG59" s="17" t="s">
        <v>43</v>
      </c>
      <c r="BH59" s="45" t="s">
        <v>32</v>
      </c>
      <c r="BI59" s="46"/>
      <c r="BJ59" s="46"/>
      <c r="BK59" s="17"/>
      <c r="BL59" s="136" t="s">
        <v>34</v>
      </c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8"/>
    </row>
    <row r="60" spans="1:80" x14ac:dyDescent="0.25">
      <c r="A60" s="51">
        <v>41274</v>
      </c>
      <c r="B60" s="54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6"/>
      <c r="AI60" s="49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3"/>
      <c r="AZ60" s="81"/>
      <c r="BB60" s="5"/>
      <c r="BC60" s="5"/>
      <c r="BF60" s="135"/>
      <c r="BG60" s="21" t="s">
        <v>50</v>
      </c>
      <c r="BH60" s="33" t="s">
        <v>52</v>
      </c>
      <c r="BI60" s="34">
        <f>(BI61-$BD$12)/BI62</f>
        <v>8.2905860481680957E-2</v>
      </c>
      <c r="BJ60" s="33"/>
      <c r="BK60" s="21"/>
      <c r="BL60" s="23" t="s">
        <v>0</v>
      </c>
      <c r="BM60" s="23" t="s">
        <v>1</v>
      </c>
      <c r="BN60" s="23" t="s">
        <v>2</v>
      </c>
      <c r="BO60" s="23" t="s">
        <v>3</v>
      </c>
      <c r="BP60" s="23" t="s">
        <v>4</v>
      </c>
      <c r="BQ60" s="23" t="s">
        <v>5</v>
      </c>
      <c r="BR60" s="23" t="s">
        <v>6</v>
      </c>
      <c r="BS60" s="23" t="s">
        <v>7</v>
      </c>
      <c r="BT60" s="23" t="s">
        <v>8</v>
      </c>
      <c r="BU60" s="23" t="s">
        <v>9</v>
      </c>
      <c r="BV60" s="23" t="s">
        <v>10</v>
      </c>
      <c r="BW60" s="23" t="s">
        <v>11</v>
      </c>
      <c r="BX60" s="23" t="s">
        <v>12</v>
      </c>
      <c r="BY60" s="23" t="s">
        <v>13</v>
      </c>
      <c r="BZ60" s="23" t="s">
        <v>14</v>
      </c>
      <c r="CA60" s="22"/>
    </row>
    <row r="61" spans="1:80" x14ac:dyDescent="0.25">
      <c r="A61" s="51">
        <v>41276</v>
      </c>
      <c r="B61" s="5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6"/>
      <c r="AI61" s="49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3"/>
      <c r="AZ61" s="81"/>
      <c r="BB61" s="5"/>
      <c r="BC61" s="5"/>
      <c r="BF61" s="135"/>
      <c r="BG61" s="132" t="s">
        <v>59</v>
      </c>
      <c r="BH61" s="33" t="s">
        <v>30</v>
      </c>
      <c r="BI61" s="105">
        <v>2.335405741631567E-3</v>
      </c>
      <c r="BJ61" s="41"/>
      <c r="BK61" s="21"/>
      <c r="BL61" s="24">
        <v>0</v>
      </c>
      <c r="BM61" s="24">
        <v>0</v>
      </c>
      <c r="BN61" s="122">
        <v>0</v>
      </c>
      <c r="BO61" s="120">
        <v>0.13557739588803425</v>
      </c>
      <c r="BP61" s="24">
        <v>0</v>
      </c>
      <c r="BQ61" s="24">
        <v>0</v>
      </c>
      <c r="BR61" s="121">
        <v>0.22578414950857081</v>
      </c>
      <c r="BS61" s="24">
        <v>0</v>
      </c>
      <c r="BT61" s="120">
        <v>0.47565156501569172</v>
      </c>
      <c r="BU61" s="24">
        <v>0</v>
      </c>
      <c r="BV61" s="121">
        <v>0.1629868864291559</v>
      </c>
      <c r="BW61" s="24">
        <v>0</v>
      </c>
      <c r="BX61" s="24">
        <v>0</v>
      </c>
      <c r="BY61" s="24">
        <v>0</v>
      </c>
      <c r="BZ61" s="24">
        <v>0</v>
      </c>
      <c r="CA61" s="22"/>
    </row>
    <row r="62" spans="1:80" x14ac:dyDescent="0.25">
      <c r="A62" s="51">
        <v>41277</v>
      </c>
      <c r="B62" s="54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6"/>
      <c r="AI62" s="49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3"/>
      <c r="AZ62" s="81"/>
      <c r="BB62" s="5"/>
      <c r="BC62" s="5"/>
      <c r="BF62" s="135"/>
      <c r="BG62" s="132"/>
      <c r="BH62" s="33" t="s">
        <v>29</v>
      </c>
      <c r="BI62" s="105">
        <v>2.093224449452552E-2</v>
      </c>
      <c r="BJ62" s="41"/>
      <c r="BK62" s="21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2"/>
    </row>
    <row r="63" spans="1:80" x14ac:dyDescent="0.25">
      <c r="A63" s="51">
        <v>41278</v>
      </c>
      <c r="B63" s="54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6"/>
      <c r="AI63" s="49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3"/>
      <c r="AZ63" s="81"/>
      <c r="BB63" s="5"/>
      <c r="BC63" s="5"/>
      <c r="BF63" s="135"/>
      <c r="BG63" s="132"/>
      <c r="BH63" s="43" t="s">
        <v>33</v>
      </c>
      <c r="BI63" s="44"/>
      <c r="BJ63" s="44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2"/>
    </row>
    <row r="64" spans="1:80" x14ac:dyDescent="0.25">
      <c r="A64" s="51">
        <v>41281</v>
      </c>
      <c r="B64" s="54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6"/>
      <c r="AI64" s="49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3"/>
      <c r="AZ64" s="81"/>
      <c r="BB64" s="5"/>
      <c r="BC64" s="5"/>
      <c r="BF64" s="135"/>
      <c r="BG64" s="132"/>
      <c r="BH64" s="33" t="s">
        <v>30</v>
      </c>
      <c r="BI64" s="34">
        <v>2.685366445421116E-3</v>
      </c>
      <c r="BJ64" s="33"/>
      <c r="BK64" s="33"/>
      <c r="BL64" s="35">
        <v>0</v>
      </c>
      <c r="BM64" s="35">
        <v>0</v>
      </c>
      <c r="BN64" s="35">
        <v>0</v>
      </c>
      <c r="BO64" s="35">
        <v>0.13557739588803425</v>
      </c>
      <c r="BP64" s="35">
        <v>0</v>
      </c>
      <c r="BQ64" s="35">
        <v>0</v>
      </c>
      <c r="BR64" s="35">
        <v>0.388771653175354</v>
      </c>
      <c r="BS64" s="35">
        <v>0</v>
      </c>
      <c r="BT64" s="35">
        <v>0.47565156501569172</v>
      </c>
      <c r="BU64" s="35">
        <v>0</v>
      </c>
      <c r="BV64" s="35">
        <v>0</v>
      </c>
      <c r="BW64" s="35">
        <v>0</v>
      </c>
      <c r="BX64" s="35">
        <v>0</v>
      </c>
      <c r="BY64" s="35">
        <v>0</v>
      </c>
      <c r="BZ64" s="35">
        <v>0</v>
      </c>
      <c r="CA64" s="22"/>
    </row>
    <row r="65" spans="1:79" x14ac:dyDescent="0.25">
      <c r="A65" s="51">
        <v>41282</v>
      </c>
      <c r="B65" s="54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6"/>
      <c r="AI65" s="49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3"/>
      <c r="AZ65" s="81"/>
      <c r="BB65" s="5"/>
      <c r="BC65" s="5"/>
      <c r="BF65" s="135"/>
      <c r="BG65" s="132"/>
      <c r="BH65" s="33" t="s">
        <v>29</v>
      </c>
      <c r="BI65" s="36">
        <v>2.6085287925950676E-2</v>
      </c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22"/>
    </row>
    <row r="66" spans="1:79" x14ac:dyDescent="0.25">
      <c r="A66" s="51">
        <v>41283</v>
      </c>
      <c r="B66" s="54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6"/>
      <c r="AI66" s="49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3"/>
      <c r="AZ66" s="81"/>
      <c r="BB66" s="5"/>
      <c r="BC66" s="5"/>
      <c r="BF66" s="130"/>
      <c r="BG66" s="132"/>
      <c r="BH66" s="43" t="s">
        <v>35</v>
      </c>
      <c r="BI66" s="44"/>
      <c r="BJ66" s="44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2"/>
    </row>
    <row r="67" spans="1:79" x14ac:dyDescent="0.25">
      <c r="A67" s="51">
        <v>41284</v>
      </c>
      <c r="B67" s="54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6"/>
      <c r="AI67" s="49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3"/>
      <c r="AZ67" s="81"/>
      <c r="BB67" s="5"/>
      <c r="BC67" s="5"/>
      <c r="BF67" s="130"/>
      <c r="BG67" s="132"/>
      <c r="BH67" s="33" t="s">
        <v>30</v>
      </c>
      <c r="BI67" s="37"/>
      <c r="BJ67" s="33"/>
      <c r="BK67" s="33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22"/>
    </row>
    <row r="68" spans="1:79" ht="15.75" thickBot="1" x14ac:dyDescent="0.3">
      <c r="A68" s="51">
        <v>41285</v>
      </c>
      <c r="B68" s="54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6"/>
      <c r="AI68" s="49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3"/>
      <c r="AZ68" s="81"/>
      <c r="BB68" s="5"/>
      <c r="BC68" s="5"/>
      <c r="BF68" s="131"/>
      <c r="BG68" s="133"/>
      <c r="BH68" s="38" t="s">
        <v>29</v>
      </c>
      <c r="BI68" s="39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27"/>
    </row>
    <row r="69" spans="1:79" ht="15.75" thickBot="1" x14ac:dyDescent="0.3">
      <c r="A69" s="51">
        <v>41288</v>
      </c>
      <c r="B69" s="54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6"/>
      <c r="AI69" s="49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3"/>
      <c r="AZ69" s="81"/>
      <c r="BB69" s="5"/>
      <c r="BC69" s="5"/>
    </row>
    <row r="70" spans="1:79" x14ac:dyDescent="0.25">
      <c r="A70" s="51">
        <v>41289</v>
      </c>
      <c r="B70" s="54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6"/>
      <c r="AI70" s="49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3"/>
      <c r="AZ70" s="81"/>
      <c r="BB70" s="5"/>
      <c r="BC70" s="5"/>
      <c r="BE70" s="127" t="s">
        <v>67</v>
      </c>
      <c r="BF70" s="125" t="s">
        <v>60</v>
      </c>
      <c r="BG70" t="s">
        <v>65</v>
      </c>
      <c r="BH70" s="109">
        <v>100000</v>
      </c>
      <c r="BI70" s="117" t="s">
        <v>62</v>
      </c>
      <c r="BJ70" s="107">
        <f>-BH70/500000</f>
        <v>-0.2</v>
      </c>
      <c r="BK70" t="s">
        <v>64</v>
      </c>
    </row>
    <row r="71" spans="1:79" x14ac:dyDescent="0.25">
      <c r="A71" s="51">
        <v>41290</v>
      </c>
      <c r="B71" s="54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6"/>
      <c r="AI71" s="49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3"/>
      <c r="AZ71" s="81"/>
      <c r="BB71" s="5"/>
      <c r="BC71" s="5"/>
      <c r="BE71" s="128"/>
      <c r="BF71" s="126"/>
      <c r="BI71" t="s">
        <v>63</v>
      </c>
      <c r="BJ71" s="118">
        <f>1-BJ70</f>
        <v>1.2</v>
      </c>
    </row>
    <row r="72" spans="1:79" x14ac:dyDescent="0.25">
      <c r="A72" s="51">
        <v>41291</v>
      </c>
      <c r="B72" s="54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6"/>
      <c r="AI72" s="49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3"/>
      <c r="AZ72" s="81"/>
      <c r="BB72" s="5"/>
      <c r="BC72" s="5"/>
      <c r="BE72" s="128"/>
      <c r="BF72" s="126"/>
      <c r="BG72" t="s">
        <v>58</v>
      </c>
    </row>
    <row r="73" spans="1:79" x14ac:dyDescent="0.25">
      <c r="A73" s="51">
        <v>41292</v>
      </c>
      <c r="B73" s="54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6"/>
      <c r="AI73" s="49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3"/>
      <c r="AZ73" s="81"/>
      <c r="BB73" s="5"/>
      <c r="BC73" s="5"/>
      <c r="BE73" s="128"/>
      <c r="BF73" s="126"/>
      <c r="BG73" t="s">
        <v>61</v>
      </c>
      <c r="BH73" s="119">
        <f>$BJ$71*$BI$61+(1-$BJ$71)*0.06%</f>
        <v>2.6824868899578804E-3</v>
      </c>
    </row>
    <row r="74" spans="1:79" x14ac:dyDescent="0.25">
      <c r="A74" s="51">
        <v>41295</v>
      </c>
      <c r="B74" s="54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6"/>
      <c r="AI74" s="49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3"/>
      <c r="AZ74" s="81"/>
      <c r="BB74" s="5"/>
      <c r="BC74" s="5"/>
      <c r="BE74" s="128"/>
      <c r="BF74" s="126"/>
      <c r="BG74" t="s">
        <v>66</v>
      </c>
      <c r="BH74" s="119">
        <f>+$BJ$71*$BI$62</f>
        <v>2.5118693393430622E-2</v>
      </c>
    </row>
    <row r="75" spans="1:79" x14ac:dyDescent="0.25">
      <c r="A75" s="51">
        <v>41296</v>
      </c>
      <c r="B75" s="54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6"/>
      <c r="AI75" s="49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3"/>
      <c r="AZ75" s="81"/>
      <c r="BB75" s="5"/>
      <c r="BC75" s="5"/>
      <c r="BE75" s="128"/>
      <c r="BF75" s="126"/>
    </row>
    <row r="76" spans="1:79" x14ac:dyDescent="0.25">
      <c r="A76" s="51">
        <v>41297</v>
      </c>
      <c r="B76" s="54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6"/>
      <c r="AI76" s="49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3"/>
      <c r="AZ76" s="81"/>
      <c r="BB76" s="5"/>
      <c r="BC76" s="5"/>
      <c r="BE76" s="129"/>
      <c r="BF76" s="126"/>
    </row>
    <row r="77" spans="1:79" x14ac:dyDescent="0.25">
      <c r="A77" s="51">
        <v>41298</v>
      </c>
      <c r="B77" s="54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6"/>
      <c r="AI77" s="49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3"/>
      <c r="AZ77" s="81"/>
      <c r="BB77" s="5"/>
      <c r="BC77" s="5"/>
      <c r="BM77" s="107"/>
      <c r="BN77" s="107"/>
    </row>
    <row r="78" spans="1:79" x14ac:dyDescent="0.25">
      <c r="A78" s="51">
        <v>41299</v>
      </c>
      <c r="B78" s="54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6"/>
      <c r="AI78" s="49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3"/>
      <c r="AZ78" s="81"/>
      <c r="BB78" s="5"/>
      <c r="BC78" s="5"/>
      <c r="BG78" s="5"/>
    </row>
    <row r="79" spans="1:79" x14ac:dyDescent="0.25">
      <c r="A79" s="51">
        <v>41302</v>
      </c>
      <c r="B79" s="54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6"/>
      <c r="AI79" s="49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3"/>
      <c r="AZ79" s="81"/>
      <c r="BB79" s="5"/>
      <c r="BC79" s="5"/>
      <c r="BM79" s="119"/>
      <c r="BN79" s="119"/>
    </row>
    <row r="80" spans="1:79" x14ac:dyDescent="0.25">
      <c r="A80" s="51">
        <v>41303</v>
      </c>
      <c r="B80" s="54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6"/>
      <c r="AI80" s="49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3"/>
      <c r="AZ80" s="81"/>
      <c r="BB80" s="5"/>
      <c r="BC80" s="5"/>
    </row>
    <row r="81" spans="1:55" x14ac:dyDescent="0.25">
      <c r="A81" s="51">
        <v>41304</v>
      </c>
      <c r="B81" s="54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6"/>
      <c r="AI81" s="49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3"/>
      <c r="AZ81" s="81"/>
      <c r="BB81" s="5"/>
      <c r="BC81" s="5"/>
    </row>
    <row r="82" spans="1:55" x14ac:dyDescent="0.25">
      <c r="A82" s="51">
        <v>41305</v>
      </c>
      <c r="B82" s="54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6"/>
      <c r="AI82" s="49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3"/>
      <c r="AZ82" s="81"/>
      <c r="BB82" s="5"/>
      <c r="BC82" s="5"/>
    </row>
    <row r="83" spans="1:55" x14ac:dyDescent="0.25">
      <c r="A83" s="51">
        <v>41306</v>
      </c>
      <c r="B83" s="54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6"/>
      <c r="AI83" s="49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3"/>
      <c r="AZ83" s="81"/>
      <c r="BB83" s="5"/>
      <c r="BC83" s="5"/>
    </row>
    <row r="84" spans="1:55" x14ac:dyDescent="0.25">
      <c r="A84" s="51">
        <v>41309</v>
      </c>
      <c r="B84" s="54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6"/>
      <c r="AI84" s="49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3"/>
      <c r="AZ84" s="81"/>
      <c r="BB84" s="5"/>
      <c r="BC84" s="5"/>
    </row>
    <row r="85" spans="1:55" x14ac:dyDescent="0.25">
      <c r="A85" s="51">
        <v>41310</v>
      </c>
      <c r="B85" s="54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6"/>
      <c r="AI85" s="49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3"/>
      <c r="AZ85" s="81"/>
      <c r="BB85" s="5"/>
      <c r="BC85" s="5"/>
    </row>
    <row r="86" spans="1:55" x14ac:dyDescent="0.25">
      <c r="A86" s="51">
        <v>41311</v>
      </c>
      <c r="B86" s="54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6"/>
      <c r="AI86" s="49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3"/>
      <c r="AZ86" s="81"/>
      <c r="BB86" s="5"/>
      <c r="BC86" s="5"/>
    </row>
    <row r="87" spans="1:55" x14ac:dyDescent="0.25">
      <c r="A87" s="51">
        <v>41312</v>
      </c>
      <c r="B87" s="54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6"/>
      <c r="AI87" s="49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3"/>
      <c r="AZ87" s="81"/>
      <c r="BB87" s="5"/>
      <c r="BC87" s="5"/>
    </row>
    <row r="88" spans="1:55" x14ac:dyDescent="0.25">
      <c r="A88" s="51">
        <v>41313</v>
      </c>
      <c r="B88" s="54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6"/>
      <c r="AI88" s="49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3"/>
      <c r="AZ88" s="81"/>
      <c r="BB88" s="5"/>
      <c r="BC88" s="5"/>
    </row>
    <row r="89" spans="1:55" x14ac:dyDescent="0.25">
      <c r="A89" s="51">
        <v>41316</v>
      </c>
      <c r="B89" s="54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6"/>
      <c r="AI89" s="49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3"/>
      <c r="AZ89" s="81"/>
      <c r="BB89" s="5"/>
      <c r="BC89" s="5"/>
    </row>
    <row r="90" spans="1:55" x14ac:dyDescent="0.25">
      <c r="A90" s="51">
        <v>41317</v>
      </c>
      <c r="B90" s="54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6"/>
      <c r="AI90" s="49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3"/>
      <c r="AZ90" s="81"/>
      <c r="BB90" s="5"/>
      <c r="BC90" s="5"/>
    </row>
    <row r="91" spans="1:55" x14ac:dyDescent="0.25">
      <c r="A91" s="51">
        <v>41318</v>
      </c>
      <c r="B91" s="54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6"/>
      <c r="AI91" s="49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3"/>
      <c r="AZ91" s="81"/>
      <c r="BB91" s="5"/>
      <c r="BC91" s="5"/>
    </row>
    <row r="92" spans="1:55" x14ac:dyDescent="0.25">
      <c r="A92" s="51">
        <v>41319</v>
      </c>
      <c r="B92" s="54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6"/>
      <c r="AI92" s="49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3"/>
      <c r="AZ92" s="81"/>
      <c r="BB92" s="5"/>
      <c r="BC92" s="5"/>
    </row>
    <row r="93" spans="1:55" x14ac:dyDescent="0.25">
      <c r="A93" s="51">
        <v>41320</v>
      </c>
      <c r="B93" s="54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6"/>
      <c r="AI93" s="49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3"/>
      <c r="AZ93" s="81"/>
      <c r="BB93" s="5"/>
      <c r="BC93" s="5"/>
    </row>
    <row r="94" spans="1:55" x14ac:dyDescent="0.25">
      <c r="A94" s="51">
        <v>41323</v>
      </c>
      <c r="B94" s="54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6"/>
      <c r="AI94" s="49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3"/>
      <c r="AZ94" s="81"/>
      <c r="BB94" s="5"/>
      <c r="BC94" s="5"/>
    </row>
    <row r="95" spans="1:55" x14ac:dyDescent="0.25">
      <c r="A95" s="51">
        <v>41324</v>
      </c>
      <c r="B95" s="54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6"/>
      <c r="AI95" s="49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3"/>
      <c r="AZ95" s="81"/>
      <c r="BB95" s="5"/>
      <c r="BC95" s="5"/>
    </row>
    <row r="96" spans="1:55" x14ac:dyDescent="0.25">
      <c r="A96" s="51">
        <v>41325</v>
      </c>
      <c r="B96" s="54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6"/>
      <c r="AI96" s="49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3"/>
      <c r="AZ96" s="81"/>
      <c r="BB96" s="5"/>
      <c r="BC96" s="5"/>
    </row>
    <row r="97" spans="1:55" x14ac:dyDescent="0.25">
      <c r="A97" s="51">
        <v>41326</v>
      </c>
      <c r="B97" s="54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6"/>
      <c r="AI97" s="49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3"/>
      <c r="AZ97" s="81"/>
      <c r="BB97" s="5"/>
      <c r="BC97" s="5"/>
    </row>
    <row r="98" spans="1:55" x14ac:dyDescent="0.25">
      <c r="A98" s="51">
        <v>41327</v>
      </c>
      <c r="B98" s="54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6"/>
      <c r="AI98" s="49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3"/>
      <c r="AZ98" s="81"/>
      <c r="BB98" s="5"/>
      <c r="BC98" s="5"/>
    </row>
    <row r="99" spans="1:55" x14ac:dyDescent="0.25">
      <c r="A99" s="51">
        <v>41330</v>
      </c>
      <c r="B99" s="54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6"/>
      <c r="AI99" s="49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3"/>
      <c r="AZ99" s="81"/>
      <c r="BB99" s="5"/>
      <c r="BC99" s="5"/>
    </row>
    <row r="100" spans="1:55" x14ac:dyDescent="0.25">
      <c r="A100" s="51">
        <v>41331</v>
      </c>
      <c r="B100" s="54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6"/>
      <c r="AI100" s="49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3"/>
      <c r="AZ100" s="81"/>
      <c r="BB100" s="5"/>
      <c r="BC100" s="5"/>
    </row>
    <row r="101" spans="1:55" x14ac:dyDescent="0.25">
      <c r="A101" s="51">
        <v>41332</v>
      </c>
      <c r="B101" s="54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6"/>
      <c r="AI101" s="49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3"/>
      <c r="AZ101" s="81"/>
      <c r="BB101" s="5"/>
      <c r="BC101" s="5"/>
    </row>
    <row r="102" spans="1:55" x14ac:dyDescent="0.25">
      <c r="A102" s="51">
        <v>41333</v>
      </c>
      <c r="B102" s="54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6"/>
      <c r="AI102" s="49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3"/>
      <c r="AZ102" s="81"/>
      <c r="BB102" s="5"/>
      <c r="BC102" s="5"/>
    </row>
    <row r="103" spans="1:55" x14ac:dyDescent="0.25">
      <c r="A103" s="51">
        <v>41334</v>
      </c>
      <c r="B103" s="54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6"/>
      <c r="AI103" s="49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3"/>
      <c r="AZ103" s="81"/>
      <c r="BB103" s="5"/>
      <c r="BC103" s="5"/>
    </row>
    <row r="104" spans="1:55" x14ac:dyDescent="0.25">
      <c r="A104" s="51">
        <v>41337</v>
      </c>
      <c r="B104" s="54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6"/>
      <c r="AI104" s="49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3"/>
      <c r="AZ104" s="81"/>
      <c r="BB104" s="5"/>
      <c r="BC104" s="5"/>
    </row>
    <row r="105" spans="1:55" x14ac:dyDescent="0.25">
      <c r="A105" s="51">
        <v>41338</v>
      </c>
      <c r="B105" s="54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6"/>
      <c r="AI105" s="49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3"/>
      <c r="AZ105" s="81"/>
      <c r="BB105" s="5"/>
      <c r="BC105" s="5"/>
    </row>
    <row r="106" spans="1:55" x14ac:dyDescent="0.25">
      <c r="A106" s="51">
        <v>41339</v>
      </c>
      <c r="B106" s="54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6"/>
      <c r="AI106" s="49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3"/>
      <c r="AZ106" s="81"/>
      <c r="BB106" s="5"/>
      <c r="BC106" s="5"/>
    </row>
    <row r="107" spans="1:55" x14ac:dyDescent="0.25">
      <c r="A107" s="51">
        <v>41340</v>
      </c>
      <c r="B107" s="54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6"/>
      <c r="AI107" s="49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3"/>
      <c r="AZ107" s="81"/>
      <c r="BB107" s="5"/>
      <c r="BC107" s="5"/>
    </row>
    <row r="108" spans="1:55" x14ac:dyDescent="0.25">
      <c r="A108" s="51">
        <v>41341</v>
      </c>
      <c r="B108" s="54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6"/>
      <c r="AI108" s="49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3"/>
      <c r="AZ108" s="81"/>
      <c r="BB108" s="5"/>
      <c r="BC108" s="5"/>
    </row>
    <row r="109" spans="1:55" x14ac:dyDescent="0.25">
      <c r="A109" s="51">
        <v>41344</v>
      </c>
      <c r="B109" s="54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6"/>
      <c r="AI109" s="49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3"/>
      <c r="AZ109" s="81"/>
      <c r="BB109" s="5"/>
      <c r="BC109" s="5"/>
    </row>
    <row r="110" spans="1:55" x14ac:dyDescent="0.25">
      <c r="A110" s="51">
        <v>41345</v>
      </c>
      <c r="B110" s="54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6"/>
      <c r="AI110" s="49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3"/>
      <c r="AZ110" s="81"/>
      <c r="BB110" s="5"/>
      <c r="BC110" s="5"/>
    </row>
    <row r="111" spans="1:55" x14ac:dyDescent="0.25">
      <c r="A111" s="51">
        <v>41346</v>
      </c>
      <c r="B111" s="54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6"/>
      <c r="AI111" s="49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3"/>
      <c r="AZ111" s="81"/>
      <c r="BB111" s="5"/>
      <c r="BC111" s="5"/>
    </row>
    <row r="112" spans="1:55" x14ac:dyDescent="0.25">
      <c r="A112" s="51">
        <v>41347</v>
      </c>
      <c r="B112" s="54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6"/>
      <c r="AI112" s="49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3"/>
      <c r="AZ112" s="81"/>
      <c r="BB112" s="5"/>
      <c r="BC112" s="5"/>
    </row>
    <row r="113" spans="1:55" x14ac:dyDescent="0.25">
      <c r="A113" s="51">
        <v>41348</v>
      </c>
      <c r="B113" s="54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6"/>
      <c r="AI113" s="49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3"/>
      <c r="AZ113" s="81"/>
      <c r="BB113" s="5"/>
      <c r="BC113" s="5"/>
    </row>
    <row r="114" spans="1:55" x14ac:dyDescent="0.25">
      <c r="A114" s="51">
        <v>41351</v>
      </c>
      <c r="B114" s="54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6"/>
      <c r="AI114" s="49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3"/>
      <c r="AZ114" s="81"/>
      <c r="BB114" s="5"/>
      <c r="BC114" s="5"/>
    </row>
    <row r="115" spans="1:55" x14ac:dyDescent="0.25">
      <c r="A115" s="51">
        <v>41352</v>
      </c>
      <c r="B115" s="54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6"/>
      <c r="AI115" s="49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3"/>
      <c r="AZ115" s="81"/>
      <c r="BB115" s="5"/>
      <c r="BC115" s="5"/>
    </row>
    <row r="116" spans="1:55" x14ac:dyDescent="0.25">
      <c r="A116" s="51">
        <v>41353</v>
      </c>
      <c r="B116" s="54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6"/>
      <c r="AI116" s="49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3"/>
      <c r="AZ116" s="81"/>
      <c r="BB116" s="5"/>
      <c r="BC116" s="5"/>
    </row>
    <row r="117" spans="1:55" x14ac:dyDescent="0.25">
      <c r="A117" s="51">
        <v>41354</v>
      </c>
      <c r="B117" s="54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6"/>
      <c r="AI117" s="49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3"/>
      <c r="AZ117" s="81"/>
      <c r="BB117" s="5"/>
      <c r="BC117" s="5"/>
    </row>
    <row r="118" spans="1:55" x14ac:dyDescent="0.25">
      <c r="A118" s="51">
        <v>41355</v>
      </c>
      <c r="B118" s="54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6"/>
      <c r="AI118" s="49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3"/>
      <c r="AZ118" s="81"/>
      <c r="BB118" s="5"/>
      <c r="BC118" s="5"/>
    </row>
    <row r="119" spans="1:55" x14ac:dyDescent="0.25">
      <c r="A119" s="51">
        <v>41358</v>
      </c>
      <c r="B119" s="54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6"/>
      <c r="AI119" s="49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3"/>
      <c r="AZ119" s="81"/>
      <c r="BB119" s="5"/>
      <c r="BC119" s="5"/>
    </row>
    <row r="120" spans="1:55" x14ac:dyDescent="0.25">
      <c r="A120" s="51">
        <v>41359</v>
      </c>
      <c r="B120" s="54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6"/>
      <c r="AI120" s="49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3"/>
      <c r="AZ120" s="81"/>
      <c r="BB120" s="5"/>
      <c r="BC120" s="5"/>
    </row>
    <row r="121" spans="1:55" x14ac:dyDescent="0.25">
      <c r="A121" s="51">
        <v>41360</v>
      </c>
      <c r="B121" s="54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6"/>
      <c r="AI121" s="49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3"/>
      <c r="AZ121" s="81"/>
      <c r="BB121" s="5"/>
      <c r="BC121" s="5"/>
    </row>
    <row r="122" spans="1:55" x14ac:dyDescent="0.25">
      <c r="A122" s="51">
        <v>41365</v>
      </c>
      <c r="B122" s="54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6"/>
      <c r="AI122" s="49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3"/>
      <c r="AZ122" s="81"/>
      <c r="BB122" s="5"/>
      <c r="BC122" s="5"/>
    </row>
    <row r="123" spans="1:55" x14ac:dyDescent="0.25">
      <c r="A123" s="51">
        <v>41366</v>
      </c>
      <c r="B123" s="54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6"/>
      <c r="AI123" s="49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3"/>
      <c r="AZ123" s="81"/>
      <c r="BB123" s="5"/>
      <c r="BC123" s="5"/>
    </row>
    <row r="124" spans="1:55" x14ac:dyDescent="0.25">
      <c r="A124" s="51">
        <v>41367</v>
      </c>
      <c r="B124" s="54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6"/>
      <c r="AI124" s="49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3"/>
      <c r="AZ124" s="81"/>
      <c r="BB124" s="5"/>
      <c r="BC124" s="5"/>
    </row>
    <row r="125" spans="1:55" x14ac:dyDescent="0.25">
      <c r="A125" s="51">
        <v>41368</v>
      </c>
      <c r="B125" s="54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6"/>
      <c r="AI125" s="49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3"/>
      <c r="AZ125" s="81"/>
      <c r="BB125" s="5"/>
      <c r="BC125" s="5"/>
    </row>
    <row r="126" spans="1:55" x14ac:dyDescent="0.25">
      <c r="A126" s="51">
        <v>41369</v>
      </c>
      <c r="B126" s="54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6"/>
      <c r="AI126" s="49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3"/>
      <c r="AZ126" s="81"/>
      <c r="BB126" s="5"/>
      <c r="BC126" s="5"/>
    </row>
    <row r="127" spans="1:55" x14ac:dyDescent="0.25">
      <c r="A127" s="51">
        <v>41372</v>
      </c>
      <c r="B127" s="54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6"/>
      <c r="AI127" s="49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3"/>
      <c r="AZ127" s="81"/>
      <c r="BB127" s="5"/>
      <c r="BC127" s="5"/>
    </row>
    <row r="128" spans="1:55" x14ac:dyDescent="0.25">
      <c r="A128" s="51">
        <v>41373</v>
      </c>
      <c r="B128" s="54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6"/>
      <c r="AI128" s="49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3"/>
      <c r="AZ128" s="81"/>
      <c r="BB128" s="5"/>
      <c r="BC128" s="5"/>
    </row>
    <row r="129" spans="1:55" x14ac:dyDescent="0.25">
      <c r="A129" s="51">
        <v>41374</v>
      </c>
      <c r="B129" s="54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6"/>
      <c r="AI129" s="49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3"/>
      <c r="AZ129" s="81"/>
      <c r="BB129" s="5"/>
      <c r="BC129" s="5"/>
    </row>
    <row r="130" spans="1:55" x14ac:dyDescent="0.25">
      <c r="A130" s="51">
        <v>41375</v>
      </c>
      <c r="B130" s="54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6"/>
      <c r="AI130" s="49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3"/>
      <c r="AZ130" s="81"/>
      <c r="BB130" s="5"/>
      <c r="BC130" s="5"/>
    </row>
    <row r="131" spans="1:55" x14ac:dyDescent="0.25">
      <c r="A131" s="51">
        <v>41376</v>
      </c>
      <c r="B131" s="54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6"/>
      <c r="AI131" s="49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3"/>
      <c r="AZ131" s="81"/>
      <c r="BB131" s="5"/>
      <c r="BC131" s="5"/>
    </row>
    <row r="132" spans="1:55" x14ac:dyDescent="0.25">
      <c r="A132" s="51">
        <v>41379</v>
      </c>
      <c r="B132" s="54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6"/>
      <c r="AI132" s="49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3"/>
      <c r="AZ132" s="81"/>
      <c r="BB132" s="5"/>
      <c r="BC132" s="5"/>
    </row>
    <row r="133" spans="1:55" x14ac:dyDescent="0.25">
      <c r="A133" s="51">
        <v>41380</v>
      </c>
      <c r="B133" s="54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6"/>
      <c r="AI133" s="49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3"/>
      <c r="AZ133" s="81"/>
      <c r="BB133" s="5"/>
      <c r="BC133" s="5"/>
    </row>
    <row r="134" spans="1:55" x14ac:dyDescent="0.25">
      <c r="A134" s="51">
        <v>41381</v>
      </c>
      <c r="B134" s="54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6"/>
      <c r="AI134" s="49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3"/>
      <c r="AZ134" s="81"/>
      <c r="BB134" s="5"/>
      <c r="BC134" s="5"/>
    </row>
    <row r="135" spans="1:55" x14ac:dyDescent="0.25">
      <c r="A135" s="51">
        <v>41382</v>
      </c>
      <c r="B135" s="54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6"/>
      <c r="AI135" s="49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3"/>
      <c r="AZ135" s="81"/>
      <c r="BB135" s="5"/>
      <c r="BC135" s="5"/>
    </row>
    <row r="136" spans="1:55" x14ac:dyDescent="0.25">
      <c r="A136" s="51">
        <v>41383</v>
      </c>
      <c r="B136" s="54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6"/>
      <c r="AI136" s="49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3"/>
      <c r="AZ136" s="81"/>
      <c r="BB136" s="5"/>
      <c r="BC136" s="5"/>
    </row>
    <row r="137" spans="1:55" x14ac:dyDescent="0.25">
      <c r="A137" s="51">
        <v>41386</v>
      </c>
      <c r="B137" s="54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6"/>
      <c r="AI137" s="49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3"/>
      <c r="AZ137" s="81"/>
      <c r="BB137" s="5"/>
      <c r="BC137" s="5"/>
    </row>
    <row r="138" spans="1:55" x14ac:dyDescent="0.25">
      <c r="A138" s="51">
        <v>41387</v>
      </c>
      <c r="B138" s="54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6"/>
      <c r="AI138" s="49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3"/>
      <c r="AZ138" s="81"/>
      <c r="BB138" s="5"/>
      <c r="BC138" s="5"/>
    </row>
    <row r="139" spans="1:55" x14ac:dyDescent="0.25">
      <c r="A139" s="51">
        <v>41388</v>
      </c>
      <c r="B139" s="54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6"/>
      <c r="AI139" s="49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3"/>
      <c r="AZ139" s="81"/>
      <c r="BB139" s="5"/>
      <c r="BC139" s="5"/>
    </row>
    <row r="140" spans="1:55" x14ac:dyDescent="0.25">
      <c r="A140" s="51">
        <v>41389</v>
      </c>
      <c r="B140" s="54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6"/>
      <c r="AI140" s="49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3"/>
      <c r="AZ140" s="81"/>
      <c r="BB140" s="5"/>
      <c r="BC140" s="5"/>
    </row>
    <row r="141" spans="1:55" x14ac:dyDescent="0.25">
      <c r="A141" s="51">
        <v>41390</v>
      </c>
      <c r="B141" s="54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6"/>
      <c r="AI141" s="49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3"/>
      <c r="AZ141" s="81"/>
      <c r="BB141" s="5"/>
      <c r="BC141" s="5"/>
    </row>
    <row r="142" spans="1:55" x14ac:dyDescent="0.25">
      <c r="A142" s="51">
        <v>41393</v>
      </c>
      <c r="B142" s="54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6"/>
      <c r="AI142" s="49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3"/>
      <c r="AZ142" s="81"/>
      <c r="BB142" s="5"/>
      <c r="BC142" s="5"/>
    </row>
    <row r="143" spans="1:55" x14ac:dyDescent="0.25">
      <c r="A143" s="51">
        <v>41394</v>
      </c>
      <c r="B143" s="54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6"/>
      <c r="AI143" s="49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3"/>
      <c r="AZ143" s="81"/>
      <c r="BB143" s="5"/>
      <c r="BC143" s="5"/>
    </row>
    <row r="144" spans="1:55" x14ac:dyDescent="0.25">
      <c r="A144" s="51">
        <v>41396</v>
      </c>
      <c r="B144" s="54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6"/>
      <c r="AI144" s="49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3"/>
      <c r="AZ144" s="81"/>
      <c r="BB144" s="5"/>
      <c r="BC144" s="5"/>
    </row>
    <row r="145" spans="1:55" x14ac:dyDescent="0.25">
      <c r="A145" s="51">
        <v>41397</v>
      </c>
      <c r="B145" s="54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6"/>
      <c r="AI145" s="49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3"/>
      <c r="AZ145" s="81"/>
      <c r="BB145" s="5"/>
      <c r="BC145" s="5"/>
    </row>
    <row r="146" spans="1:55" x14ac:dyDescent="0.25">
      <c r="A146" s="51">
        <v>41400</v>
      </c>
      <c r="B146" s="54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6"/>
      <c r="AI146" s="49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3"/>
      <c r="AZ146" s="81"/>
      <c r="BB146" s="5"/>
      <c r="BC146" s="5"/>
    </row>
    <row r="147" spans="1:55" x14ac:dyDescent="0.25">
      <c r="A147" s="51">
        <v>41401</v>
      </c>
      <c r="B147" s="54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6"/>
      <c r="AI147" s="49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3"/>
      <c r="AZ147" s="81"/>
      <c r="BB147" s="5"/>
      <c r="BC147" s="5"/>
    </row>
    <row r="148" spans="1:55" x14ac:dyDescent="0.25">
      <c r="A148" s="51">
        <v>41402</v>
      </c>
      <c r="B148" s="54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6"/>
      <c r="AI148" s="49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3"/>
      <c r="AZ148" s="81"/>
      <c r="BB148" s="5"/>
      <c r="BC148" s="5"/>
    </row>
    <row r="149" spans="1:55" x14ac:dyDescent="0.25">
      <c r="A149" s="51">
        <v>41403</v>
      </c>
      <c r="B149" s="54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6"/>
      <c r="AI149" s="49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3"/>
      <c r="AZ149" s="81"/>
      <c r="BB149" s="5"/>
      <c r="BC149" s="5"/>
    </row>
    <row r="150" spans="1:55" x14ac:dyDescent="0.25">
      <c r="A150" s="51">
        <v>41404</v>
      </c>
      <c r="B150" s="54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6"/>
      <c r="AI150" s="49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3"/>
      <c r="AZ150" s="81"/>
      <c r="BB150" s="5"/>
      <c r="BC150" s="5"/>
    </row>
    <row r="151" spans="1:55" x14ac:dyDescent="0.25">
      <c r="A151" s="51">
        <v>41407</v>
      </c>
      <c r="B151" s="54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6"/>
      <c r="AI151" s="49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3"/>
      <c r="AZ151" s="81"/>
      <c r="BB151" s="5"/>
      <c r="BC151" s="5"/>
    </row>
    <row r="152" spans="1:55" x14ac:dyDescent="0.25">
      <c r="A152" s="51">
        <v>41408</v>
      </c>
      <c r="B152" s="54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6"/>
      <c r="AI152" s="49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3"/>
      <c r="AZ152" s="81"/>
      <c r="BB152" s="5"/>
      <c r="BC152" s="5"/>
    </row>
    <row r="153" spans="1:55" x14ac:dyDescent="0.25">
      <c r="A153" s="51">
        <v>41409</v>
      </c>
      <c r="B153" s="54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6"/>
      <c r="AI153" s="49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3"/>
      <c r="AZ153" s="81"/>
      <c r="BB153" s="5"/>
      <c r="BC153" s="5"/>
    </row>
    <row r="154" spans="1:55" x14ac:dyDescent="0.25">
      <c r="A154" s="51">
        <v>41410</v>
      </c>
      <c r="B154" s="54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6"/>
      <c r="AI154" s="49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3"/>
      <c r="AZ154" s="81"/>
      <c r="BB154" s="5"/>
      <c r="BC154" s="5"/>
    </row>
    <row r="155" spans="1:55" x14ac:dyDescent="0.25">
      <c r="A155" s="51">
        <v>41411</v>
      </c>
      <c r="B155" s="54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6"/>
      <c r="AI155" s="49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3"/>
      <c r="AZ155" s="81"/>
      <c r="BB155" s="5"/>
      <c r="BC155" s="5"/>
    </row>
    <row r="156" spans="1:55" x14ac:dyDescent="0.25">
      <c r="A156" s="51">
        <v>41414</v>
      </c>
      <c r="B156" s="54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6"/>
      <c r="AI156" s="49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3"/>
      <c r="AZ156" s="81"/>
      <c r="BB156" s="5"/>
      <c r="BC156" s="5"/>
    </row>
    <row r="157" spans="1:55" x14ac:dyDescent="0.25">
      <c r="A157" s="51">
        <v>41415</v>
      </c>
      <c r="B157" s="54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6"/>
      <c r="AI157" s="49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3"/>
      <c r="AZ157" s="81"/>
      <c r="BB157" s="5"/>
      <c r="BC157" s="5"/>
    </row>
    <row r="158" spans="1:55" x14ac:dyDescent="0.25">
      <c r="A158" s="51">
        <v>41416</v>
      </c>
      <c r="B158" s="54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6"/>
      <c r="AI158" s="49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3"/>
      <c r="AZ158" s="81"/>
      <c r="BB158" s="5"/>
      <c r="BC158" s="5"/>
    </row>
    <row r="159" spans="1:55" x14ac:dyDescent="0.25">
      <c r="A159" s="51">
        <v>41417</v>
      </c>
      <c r="B159" s="54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6"/>
      <c r="AI159" s="49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3"/>
      <c r="AZ159" s="81"/>
      <c r="BB159" s="5"/>
      <c r="BC159" s="5"/>
    </row>
    <row r="160" spans="1:55" x14ac:dyDescent="0.25">
      <c r="A160" s="51">
        <v>41418</v>
      </c>
      <c r="B160" s="54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6"/>
      <c r="AI160" s="49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3"/>
      <c r="AZ160" s="81"/>
      <c r="BB160" s="5"/>
      <c r="BC160" s="5"/>
    </row>
    <row r="161" spans="1:55" x14ac:dyDescent="0.25">
      <c r="A161" s="51">
        <v>41421</v>
      </c>
      <c r="B161" s="54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6"/>
      <c r="AI161" s="49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3"/>
      <c r="AZ161" s="81"/>
      <c r="BB161" s="5"/>
      <c r="BC161" s="5"/>
    </row>
    <row r="162" spans="1:55" x14ac:dyDescent="0.25">
      <c r="A162" s="51">
        <v>41422</v>
      </c>
      <c r="B162" s="54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6"/>
      <c r="AI162" s="49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3"/>
      <c r="AZ162" s="81"/>
      <c r="BB162" s="5"/>
      <c r="BC162" s="5"/>
    </row>
    <row r="163" spans="1:55" x14ac:dyDescent="0.25">
      <c r="A163" s="51">
        <v>41423</v>
      </c>
      <c r="B163" s="54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6"/>
      <c r="AI163" s="49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3"/>
      <c r="AZ163" s="81"/>
      <c r="BB163" s="5"/>
      <c r="BC163" s="5"/>
    </row>
    <row r="164" spans="1:55" x14ac:dyDescent="0.25">
      <c r="A164" s="51">
        <v>41424</v>
      </c>
      <c r="B164" s="54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6"/>
      <c r="AI164" s="49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3"/>
      <c r="AZ164" s="81"/>
      <c r="BB164" s="5"/>
      <c r="BC164" s="5"/>
    </row>
    <row r="165" spans="1:55" x14ac:dyDescent="0.25">
      <c r="A165" s="51">
        <v>41425</v>
      </c>
      <c r="B165" s="54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6"/>
      <c r="AI165" s="49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3"/>
      <c r="AZ165" s="81"/>
      <c r="BB165" s="5"/>
      <c r="BC165" s="5"/>
    </row>
    <row r="166" spans="1:55" x14ac:dyDescent="0.25">
      <c r="A166" s="51">
        <v>41428</v>
      </c>
      <c r="B166" s="54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6"/>
      <c r="AI166" s="49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3"/>
      <c r="AZ166" s="81"/>
      <c r="BB166" s="5"/>
      <c r="BC166" s="5"/>
    </row>
    <row r="167" spans="1:55" x14ac:dyDescent="0.25">
      <c r="A167" s="51">
        <v>41429</v>
      </c>
      <c r="B167" s="54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6"/>
      <c r="AI167" s="49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3"/>
      <c r="AZ167" s="81"/>
      <c r="BB167" s="5"/>
      <c r="BC167" s="5"/>
    </row>
    <row r="168" spans="1:55" x14ac:dyDescent="0.25">
      <c r="A168" s="51">
        <v>41430</v>
      </c>
      <c r="B168" s="54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6"/>
      <c r="AI168" s="49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3"/>
      <c r="AZ168" s="81"/>
      <c r="BB168" s="5"/>
      <c r="BC168" s="5"/>
    </row>
    <row r="169" spans="1:55" x14ac:dyDescent="0.25">
      <c r="A169" s="51">
        <v>41431</v>
      </c>
      <c r="B169" s="54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6"/>
      <c r="AI169" s="49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3"/>
      <c r="AZ169" s="81"/>
      <c r="BB169" s="5"/>
      <c r="BC169" s="5"/>
    </row>
    <row r="170" spans="1:55" x14ac:dyDescent="0.25">
      <c r="A170" s="51">
        <v>41432</v>
      </c>
      <c r="B170" s="54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6"/>
      <c r="AI170" s="49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3"/>
      <c r="AZ170" s="81"/>
      <c r="BB170" s="5"/>
      <c r="BC170" s="5"/>
    </row>
    <row r="171" spans="1:55" x14ac:dyDescent="0.25">
      <c r="A171" s="51">
        <v>41435</v>
      </c>
      <c r="B171" s="54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6"/>
      <c r="AI171" s="49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3"/>
      <c r="AZ171" s="81"/>
      <c r="BB171" s="5"/>
      <c r="BC171" s="5"/>
    </row>
    <row r="172" spans="1:55" x14ac:dyDescent="0.25">
      <c r="A172" s="51">
        <v>41436</v>
      </c>
      <c r="B172" s="54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6"/>
      <c r="AI172" s="49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3"/>
      <c r="AZ172" s="81"/>
      <c r="BB172" s="5"/>
      <c r="BC172" s="5"/>
    </row>
    <row r="173" spans="1:55" x14ac:dyDescent="0.25">
      <c r="A173" s="51">
        <v>41437</v>
      </c>
      <c r="B173" s="54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6"/>
      <c r="AI173" s="49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3"/>
      <c r="AZ173" s="81"/>
      <c r="BB173" s="5"/>
      <c r="BC173" s="5"/>
    </row>
    <row r="174" spans="1:55" x14ac:dyDescent="0.25">
      <c r="A174" s="51">
        <v>41438</v>
      </c>
      <c r="B174" s="54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6"/>
      <c r="AI174" s="49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3"/>
      <c r="AZ174" s="81"/>
      <c r="BB174" s="5"/>
      <c r="BC174" s="5"/>
    </row>
    <row r="175" spans="1:55" x14ac:dyDescent="0.25">
      <c r="A175" s="51">
        <v>41439</v>
      </c>
      <c r="B175" s="54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6"/>
      <c r="AI175" s="49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3"/>
      <c r="AZ175" s="81"/>
      <c r="BB175" s="5"/>
      <c r="BC175" s="5"/>
    </row>
    <row r="176" spans="1:55" x14ac:dyDescent="0.25">
      <c r="A176" s="51">
        <v>41442</v>
      </c>
      <c r="B176" s="54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6"/>
      <c r="AI176" s="49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3"/>
      <c r="AZ176" s="81"/>
      <c r="BB176" s="5"/>
      <c r="BC176" s="5"/>
    </row>
    <row r="177" spans="1:55" x14ac:dyDescent="0.25">
      <c r="A177" s="51">
        <v>41443</v>
      </c>
      <c r="B177" s="54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6"/>
      <c r="AI177" s="49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3"/>
      <c r="AZ177" s="81"/>
      <c r="BB177" s="5"/>
      <c r="BC177" s="5"/>
    </row>
    <row r="178" spans="1:55" x14ac:dyDescent="0.25">
      <c r="A178" s="51">
        <v>41444</v>
      </c>
      <c r="B178" s="54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6"/>
      <c r="AI178" s="49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3"/>
      <c r="AZ178" s="81"/>
      <c r="BB178" s="5"/>
      <c r="BC178" s="5"/>
    </row>
    <row r="179" spans="1:55" x14ac:dyDescent="0.25">
      <c r="A179" s="51">
        <v>41445</v>
      </c>
      <c r="B179" s="54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6"/>
      <c r="AI179" s="49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3"/>
      <c r="AZ179" s="81"/>
      <c r="BB179" s="5"/>
      <c r="BC179" s="5"/>
    </row>
    <row r="180" spans="1:55" x14ac:dyDescent="0.25">
      <c r="A180" s="51">
        <v>41446</v>
      </c>
      <c r="B180" s="54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6"/>
      <c r="AI180" s="49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3"/>
      <c r="AZ180" s="81"/>
      <c r="BB180" s="5"/>
      <c r="BC180" s="5"/>
    </row>
    <row r="181" spans="1:55" x14ac:dyDescent="0.25">
      <c r="A181" s="51">
        <v>41449</v>
      </c>
      <c r="B181" s="54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6"/>
      <c r="AI181" s="49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3"/>
      <c r="AZ181" s="81"/>
      <c r="BB181" s="5"/>
      <c r="BC181" s="5"/>
    </row>
    <row r="182" spans="1:55" x14ac:dyDescent="0.25">
      <c r="A182" s="51">
        <v>41450</v>
      </c>
      <c r="B182" s="54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6"/>
      <c r="AI182" s="49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3"/>
      <c r="AZ182" s="81"/>
      <c r="BB182" s="5"/>
      <c r="BC182" s="5"/>
    </row>
    <row r="183" spans="1:55" x14ac:dyDescent="0.25">
      <c r="A183" s="51">
        <v>41451</v>
      </c>
      <c r="B183" s="54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6"/>
      <c r="AI183" s="49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3"/>
      <c r="AZ183" s="81"/>
      <c r="BB183" s="5"/>
      <c r="BC183" s="5"/>
    </row>
    <row r="184" spans="1:55" x14ac:dyDescent="0.25">
      <c r="A184" s="51">
        <v>41452</v>
      </c>
      <c r="B184" s="54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6"/>
      <c r="AI184" s="49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3"/>
      <c r="AZ184" s="81"/>
      <c r="BB184" s="5"/>
      <c r="BC184" s="5"/>
    </row>
    <row r="185" spans="1:55" x14ac:dyDescent="0.25">
      <c r="A185" s="51">
        <v>41453</v>
      </c>
      <c r="B185" s="54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6"/>
      <c r="AI185" s="49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3"/>
      <c r="AZ185" s="81"/>
      <c r="BB185" s="5"/>
      <c r="BC185" s="5"/>
    </row>
    <row r="186" spans="1:55" x14ac:dyDescent="0.25">
      <c r="A186" s="51">
        <v>41456</v>
      </c>
      <c r="B186" s="54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6"/>
      <c r="AI186" s="49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3"/>
      <c r="AZ186" s="81"/>
      <c r="BB186" s="5"/>
      <c r="BC186" s="5"/>
    </row>
    <row r="187" spans="1:55" x14ac:dyDescent="0.25">
      <c r="A187" s="51">
        <v>41457</v>
      </c>
      <c r="B187" s="54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6"/>
      <c r="AI187" s="49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3"/>
      <c r="AZ187" s="81"/>
      <c r="BB187" s="5"/>
      <c r="BC187" s="5"/>
    </row>
    <row r="188" spans="1:55" x14ac:dyDescent="0.25">
      <c r="A188" s="51">
        <v>41458</v>
      </c>
      <c r="B188" s="54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6"/>
      <c r="AI188" s="49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3"/>
      <c r="AZ188" s="81"/>
      <c r="BB188" s="5"/>
      <c r="BC188" s="5"/>
    </row>
    <row r="189" spans="1:55" x14ac:dyDescent="0.25">
      <c r="A189" s="51">
        <v>41459</v>
      </c>
      <c r="B189" s="54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6"/>
      <c r="AI189" s="49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3"/>
      <c r="AZ189" s="81"/>
      <c r="BB189" s="5"/>
      <c r="BC189" s="5"/>
    </row>
    <row r="190" spans="1:55" x14ac:dyDescent="0.25">
      <c r="A190" s="51">
        <v>41460</v>
      </c>
      <c r="B190" s="54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6"/>
      <c r="AI190" s="49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3"/>
      <c r="AZ190" s="81"/>
      <c r="BB190" s="5"/>
      <c r="BC190" s="5"/>
    </row>
    <row r="191" spans="1:55" x14ac:dyDescent="0.25">
      <c r="A191" s="51">
        <v>41463</v>
      </c>
      <c r="B191" s="54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6"/>
      <c r="AI191" s="49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3"/>
      <c r="AZ191" s="81"/>
      <c r="BB191" s="5"/>
      <c r="BC191" s="5"/>
    </row>
    <row r="192" spans="1:55" x14ac:dyDescent="0.25">
      <c r="A192" s="51">
        <v>41464</v>
      </c>
      <c r="B192" s="54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6"/>
      <c r="AI192" s="49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3"/>
      <c r="AZ192" s="81"/>
      <c r="BB192" s="5"/>
      <c r="BC192" s="5"/>
    </row>
    <row r="193" spans="1:55" x14ac:dyDescent="0.25">
      <c r="A193" s="51">
        <v>41465</v>
      </c>
      <c r="B193" s="54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6"/>
      <c r="AI193" s="49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3"/>
      <c r="AZ193" s="81"/>
      <c r="BB193" s="5"/>
      <c r="BC193" s="5"/>
    </row>
    <row r="194" spans="1:55" x14ac:dyDescent="0.25">
      <c r="A194" s="51">
        <v>41466</v>
      </c>
      <c r="B194" s="54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6"/>
      <c r="AI194" s="49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3"/>
      <c r="AZ194" s="81"/>
      <c r="BB194" s="5"/>
      <c r="BC194" s="5"/>
    </row>
    <row r="195" spans="1:55" x14ac:dyDescent="0.25">
      <c r="A195" s="51">
        <v>41467</v>
      </c>
      <c r="B195" s="54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6"/>
      <c r="AI195" s="49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3"/>
      <c r="AZ195" s="81"/>
      <c r="BB195" s="5"/>
      <c r="BC195" s="5"/>
    </row>
    <row r="196" spans="1:55" x14ac:dyDescent="0.25">
      <c r="A196" s="51">
        <v>41470</v>
      </c>
      <c r="B196" s="54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6"/>
      <c r="AI196" s="49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3"/>
      <c r="AZ196" s="81"/>
      <c r="BB196" s="5"/>
      <c r="BC196" s="5"/>
    </row>
    <row r="197" spans="1:55" x14ac:dyDescent="0.25">
      <c r="A197" s="51">
        <v>41471</v>
      </c>
      <c r="B197" s="54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6"/>
      <c r="AI197" s="49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3"/>
      <c r="AZ197" s="81"/>
      <c r="BB197" s="5"/>
      <c r="BC197" s="5"/>
    </row>
    <row r="198" spans="1:55" x14ac:dyDescent="0.25">
      <c r="A198" s="51">
        <v>41472</v>
      </c>
      <c r="B198" s="54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6"/>
      <c r="AI198" s="49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3"/>
      <c r="AZ198" s="81"/>
      <c r="BB198" s="5"/>
      <c r="BC198" s="5"/>
    </row>
    <row r="199" spans="1:55" x14ac:dyDescent="0.25">
      <c r="A199" s="51">
        <v>41473</v>
      </c>
      <c r="B199" s="54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6"/>
      <c r="AI199" s="49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3"/>
      <c r="AZ199" s="81"/>
      <c r="BB199" s="5"/>
      <c r="BC199" s="5"/>
    </row>
    <row r="200" spans="1:55" x14ac:dyDescent="0.25">
      <c r="A200" s="51">
        <v>41474</v>
      </c>
      <c r="B200" s="54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6"/>
      <c r="AI200" s="49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3"/>
      <c r="AZ200" s="81"/>
      <c r="BB200" s="5"/>
      <c r="BC200" s="5"/>
    </row>
    <row r="201" spans="1:55" x14ac:dyDescent="0.25">
      <c r="A201" s="51">
        <v>41477</v>
      </c>
      <c r="B201" s="54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6"/>
      <c r="AI201" s="49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3"/>
      <c r="AZ201" s="81"/>
      <c r="BB201" s="5"/>
      <c r="BC201" s="5"/>
    </row>
    <row r="202" spans="1:55" x14ac:dyDescent="0.25">
      <c r="A202" s="51">
        <v>41478</v>
      </c>
      <c r="B202" s="54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6"/>
      <c r="AI202" s="49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3"/>
      <c r="AZ202" s="81"/>
      <c r="BB202" s="5"/>
      <c r="BC202" s="5"/>
    </row>
    <row r="203" spans="1:55" x14ac:dyDescent="0.25">
      <c r="A203" s="51">
        <v>41479</v>
      </c>
      <c r="B203" s="54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6"/>
      <c r="AI203" s="49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3"/>
      <c r="AZ203" s="81"/>
      <c r="BB203" s="5"/>
      <c r="BC203" s="5"/>
    </row>
    <row r="204" spans="1:55" x14ac:dyDescent="0.25">
      <c r="A204" s="51">
        <v>41480</v>
      </c>
      <c r="B204" s="54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6"/>
      <c r="AI204" s="49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3"/>
      <c r="AZ204" s="81"/>
      <c r="BB204" s="5"/>
      <c r="BC204" s="5"/>
    </row>
    <row r="205" spans="1:55" x14ac:dyDescent="0.25">
      <c r="A205" s="51">
        <v>41481</v>
      </c>
      <c r="B205" s="54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6"/>
      <c r="AI205" s="49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3"/>
      <c r="AZ205" s="81"/>
      <c r="BB205" s="5"/>
      <c r="BC205" s="5"/>
    </row>
    <row r="206" spans="1:55" x14ac:dyDescent="0.25">
      <c r="A206" s="51">
        <v>41485</v>
      </c>
      <c r="B206" s="54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6"/>
      <c r="AI206" s="49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3"/>
      <c r="AZ206" s="81"/>
      <c r="BB206" s="5"/>
      <c r="BC206" s="5"/>
    </row>
    <row r="207" spans="1:55" x14ac:dyDescent="0.25">
      <c r="A207" s="51">
        <v>41486</v>
      </c>
      <c r="B207" s="54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6"/>
      <c r="AI207" s="49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3"/>
      <c r="AZ207" s="81"/>
      <c r="BB207" s="5"/>
      <c r="BC207" s="5"/>
    </row>
    <row r="208" spans="1:55" x14ac:dyDescent="0.25">
      <c r="A208" s="51">
        <v>41487</v>
      </c>
      <c r="B208" s="54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6"/>
      <c r="AI208" s="49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3"/>
      <c r="AZ208" s="81"/>
      <c r="BB208" s="5"/>
      <c r="BC208" s="5"/>
    </row>
    <row r="209" spans="1:55" x14ac:dyDescent="0.25">
      <c r="A209" s="51">
        <v>41488</v>
      </c>
      <c r="B209" s="54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6"/>
      <c r="AI209" s="49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3"/>
      <c r="AZ209" s="81"/>
      <c r="BB209" s="5"/>
      <c r="BC209" s="5"/>
    </row>
    <row r="210" spans="1:55" x14ac:dyDescent="0.25">
      <c r="A210" s="51">
        <v>41491</v>
      </c>
      <c r="B210" s="54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6"/>
      <c r="AI210" s="49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3"/>
      <c r="AZ210" s="81"/>
      <c r="BB210" s="5"/>
      <c r="BC210" s="5"/>
    </row>
    <row r="211" spans="1:55" x14ac:dyDescent="0.25">
      <c r="A211" s="51">
        <v>41492</v>
      </c>
      <c r="B211" s="54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6"/>
      <c r="AI211" s="49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3"/>
      <c r="AZ211" s="81"/>
      <c r="BB211" s="5"/>
      <c r="BC211" s="5"/>
    </row>
    <row r="212" spans="1:55" x14ac:dyDescent="0.25">
      <c r="A212" s="51">
        <v>41493</v>
      </c>
      <c r="B212" s="54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6"/>
      <c r="AI212" s="49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3"/>
      <c r="AZ212" s="81"/>
      <c r="BB212" s="5"/>
      <c r="BC212" s="5"/>
    </row>
    <row r="213" spans="1:55" x14ac:dyDescent="0.25">
      <c r="A213" s="51">
        <v>41494</v>
      </c>
      <c r="B213" s="54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6"/>
      <c r="AI213" s="49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3"/>
      <c r="AZ213" s="81"/>
      <c r="BB213" s="5"/>
      <c r="BC213" s="5"/>
    </row>
    <row r="214" spans="1:55" x14ac:dyDescent="0.25">
      <c r="A214" s="51">
        <v>41495</v>
      </c>
      <c r="B214" s="54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6"/>
      <c r="AI214" s="49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3"/>
      <c r="AZ214" s="81"/>
      <c r="BB214" s="5"/>
      <c r="BC214" s="5"/>
    </row>
    <row r="215" spans="1:55" x14ac:dyDescent="0.25">
      <c r="A215" s="51">
        <v>41498</v>
      </c>
      <c r="B215" s="54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6"/>
      <c r="AI215" s="49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3"/>
      <c r="AZ215" s="81"/>
      <c r="BB215" s="5"/>
      <c r="BC215" s="5"/>
    </row>
    <row r="216" spans="1:55" x14ac:dyDescent="0.25">
      <c r="A216" s="51">
        <v>41499</v>
      </c>
      <c r="B216" s="54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6"/>
      <c r="AI216" s="49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3"/>
      <c r="AZ216" s="81"/>
      <c r="BB216" s="5"/>
      <c r="BC216" s="5"/>
    </row>
    <row r="217" spans="1:55" x14ac:dyDescent="0.25">
      <c r="A217" s="51">
        <v>41500</v>
      </c>
      <c r="B217" s="54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6"/>
      <c r="AI217" s="49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3"/>
      <c r="AZ217" s="81"/>
      <c r="BB217" s="5"/>
      <c r="BC217" s="5"/>
    </row>
    <row r="218" spans="1:55" x14ac:dyDescent="0.25">
      <c r="A218" s="51">
        <v>41501</v>
      </c>
      <c r="B218" s="54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6"/>
      <c r="AI218" s="49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3"/>
      <c r="AZ218" s="81"/>
      <c r="BB218" s="5"/>
      <c r="BC218" s="5"/>
    </row>
    <row r="219" spans="1:55" x14ac:dyDescent="0.25">
      <c r="A219" s="51">
        <v>41502</v>
      </c>
      <c r="B219" s="54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6"/>
      <c r="AI219" s="49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3"/>
      <c r="AZ219" s="81"/>
      <c r="BB219" s="5"/>
      <c r="BC219" s="5"/>
    </row>
    <row r="220" spans="1:55" x14ac:dyDescent="0.25">
      <c r="A220" s="51">
        <v>41505</v>
      </c>
      <c r="B220" s="54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6"/>
      <c r="AI220" s="49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3"/>
      <c r="AZ220" s="81"/>
      <c r="BB220" s="5"/>
      <c r="BC220" s="5"/>
    </row>
    <row r="221" spans="1:55" x14ac:dyDescent="0.25">
      <c r="A221" s="51">
        <v>41506</v>
      </c>
      <c r="B221" s="54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6"/>
      <c r="AI221" s="49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3"/>
      <c r="AZ221" s="81"/>
      <c r="BB221" s="5"/>
      <c r="BC221" s="5"/>
    </row>
    <row r="222" spans="1:55" x14ac:dyDescent="0.25">
      <c r="A222" s="51">
        <v>41507</v>
      </c>
      <c r="B222" s="54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6"/>
      <c r="AI222" s="49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3"/>
      <c r="AZ222" s="81"/>
      <c r="BB222" s="5"/>
      <c r="BC222" s="5"/>
    </row>
    <row r="223" spans="1:55" x14ac:dyDescent="0.25">
      <c r="A223" s="51">
        <v>41508</v>
      </c>
      <c r="B223" s="54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6"/>
      <c r="AI223" s="49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3"/>
      <c r="AZ223" s="81"/>
      <c r="BB223" s="5"/>
      <c r="BC223" s="5"/>
    </row>
    <row r="224" spans="1:55" x14ac:dyDescent="0.25">
      <c r="A224" s="51">
        <v>41509</v>
      </c>
      <c r="B224" s="54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6"/>
      <c r="AI224" s="49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3"/>
      <c r="AZ224" s="81"/>
      <c r="BB224" s="5"/>
      <c r="BC224" s="5"/>
    </row>
    <row r="225" spans="1:55" x14ac:dyDescent="0.25">
      <c r="A225" s="51">
        <v>41512</v>
      </c>
      <c r="B225" s="54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6"/>
      <c r="AI225" s="49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3"/>
      <c r="AZ225" s="81"/>
      <c r="BB225" s="5"/>
      <c r="BC225" s="5"/>
    </row>
    <row r="226" spans="1:55" x14ac:dyDescent="0.25">
      <c r="A226" s="51">
        <v>41513</v>
      </c>
      <c r="B226" s="54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6"/>
      <c r="AI226" s="49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3"/>
      <c r="AZ226" s="81"/>
      <c r="BB226" s="5"/>
      <c r="BC226" s="5"/>
    </row>
    <row r="227" spans="1:55" x14ac:dyDescent="0.25">
      <c r="A227" s="51">
        <v>41514</v>
      </c>
      <c r="B227" s="54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6"/>
      <c r="AI227" s="49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3"/>
      <c r="AZ227" s="81"/>
      <c r="BB227" s="5"/>
      <c r="BC227" s="5"/>
    </row>
    <row r="228" spans="1:55" x14ac:dyDescent="0.25">
      <c r="A228" s="51">
        <v>41515</v>
      </c>
      <c r="B228" s="54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6"/>
      <c r="AI228" s="49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3"/>
      <c r="AZ228" s="81"/>
      <c r="BB228" s="5"/>
      <c r="BC228" s="5"/>
    </row>
    <row r="229" spans="1:55" x14ac:dyDescent="0.25">
      <c r="A229" s="51">
        <v>41519</v>
      </c>
      <c r="B229" s="54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6"/>
      <c r="AI229" s="49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3"/>
      <c r="AZ229" s="81"/>
      <c r="BB229" s="5"/>
      <c r="BC229" s="5"/>
    </row>
    <row r="230" spans="1:55" x14ac:dyDescent="0.25">
      <c r="A230" s="51">
        <v>41520</v>
      </c>
      <c r="B230" s="54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6"/>
      <c r="AI230" s="49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3"/>
      <c r="AZ230" s="81"/>
      <c r="BB230" s="5"/>
      <c r="BC230" s="5"/>
    </row>
    <row r="231" spans="1:55" x14ac:dyDescent="0.25">
      <c r="A231" s="51">
        <v>41521</v>
      </c>
      <c r="B231" s="54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6"/>
      <c r="AI231" s="49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3"/>
      <c r="AZ231" s="81"/>
      <c r="BB231" s="5"/>
      <c r="BC231" s="5"/>
    </row>
    <row r="232" spans="1:55" x14ac:dyDescent="0.25">
      <c r="A232" s="51">
        <v>41522</v>
      </c>
      <c r="B232" s="54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6"/>
      <c r="AI232" s="49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3"/>
      <c r="AZ232" s="81"/>
      <c r="BB232" s="5"/>
      <c r="BC232" s="5"/>
    </row>
    <row r="233" spans="1:55" x14ac:dyDescent="0.25">
      <c r="A233" s="51">
        <v>41523</v>
      </c>
      <c r="B233" s="54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6"/>
      <c r="AI233" s="49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3"/>
      <c r="AZ233" s="81"/>
      <c r="BB233" s="5"/>
      <c r="BC233" s="5"/>
    </row>
    <row r="234" spans="1:55" x14ac:dyDescent="0.25">
      <c r="A234" s="51">
        <v>41526</v>
      </c>
      <c r="B234" s="54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6"/>
      <c r="AI234" s="49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3"/>
      <c r="AZ234" s="81"/>
      <c r="BB234" s="5"/>
      <c r="BC234" s="5"/>
    </row>
    <row r="235" spans="1:55" x14ac:dyDescent="0.25">
      <c r="A235" s="51">
        <v>41527</v>
      </c>
      <c r="B235" s="54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6"/>
      <c r="AI235" s="49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3"/>
      <c r="AZ235" s="81"/>
      <c r="BB235" s="5"/>
      <c r="BC235" s="5"/>
    </row>
    <row r="236" spans="1:55" x14ac:dyDescent="0.25">
      <c r="A236" s="51">
        <v>41528</v>
      </c>
      <c r="B236" s="54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6"/>
      <c r="AI236" s="49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3"/>
      <c r="AZ236" s="81"/>
      <c r="BB236" s="5"/>
      <c r="BC236" s="5"/>
    </row>
    <row r="237" spans="1:55" x14ac:dyDescent="0.25">
      <c r="A237" s="51">
        <v>41529</v>
      </c>
      <c r="B237" s="54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6"/>
      <c r="AI237" s="49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3"/>
      <c r="AZ237" s="81"/>
      <c r="BB237" s="5"/>
      <c r="BC237" s="5"/>
    </row>
    <row r="238" spans="1:55" x14ac:dyDescent="0.25">
      <c r="A238" s="51">
        <v>41530</v>
      </c>
      <c r="B238" s="54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6"/>
      <c r="AI238" s="49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3"/>
      <c r="AZ238" s="81"/>
      <c r="BB238" s="5"/>
      <c r="BC238" s="5"/>
    </row>
    <row r="239" spans="1:55" x14ac:dyDescent="0.25">
      <c r="A239" s="51">
        <v>41533</v>
      </c>
      <c r="B239" s="54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6"/>
      <c r="AI239" s="49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3"/>
      <c r="AZ239" s="81"/>
      <c r="BB239" s="5"/>
      <c r="BC239" s="5"/>
    </row>
    <row r="240" spans="1:55" x14ac:dyDescent="0.25">
      <c r="A240" s="51">
        <v>41534</v>
      </c>
      <c r="B240" s="54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6"/>
      <c r="AI240" s="49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3"/>
      <c r="AZ240" s="81"/>
      <c r="BB240" s="5"/>
      <c r="BC240" s="5"/>
    </row>
    <row r="241" spans="1:55" x14ac:dyDescent="0.25">
      <c r="A241" s="51">
        <v>41535</v>
      </c>
      <c r="B241" s="54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6"/>
      <c r="AI241" s="49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3"/>
      <c r="AZ241" s="81"/>
      <c r="BB241" s="5"/>
      <c r="BC241" s="5"/>
    </row>
    <row r="242" spans="1:55" x14ac:dyDescent="0.25">
      <c r="A242" s="51">
        <v>41536</v>
      </c>
      <c r="B242" s="54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6"/>
      <c r="AI242" s="49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3"/>
      <c r="AZ242" s="81"/>
      <c r="BB242" s="5"/>
      <c r="BC242" s="5"/>
    </row>
    <row r="243" spans="1:55" x14ac:dyDescent="0.25">
      <c r="A243" s="51">
        <v>41537</v>
      </c>
      <c r="B243" s="54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6"/>
      <c r="AI243" s="49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3"/>
      <c r="AZ243" s="81"/>
      <c r="BB243" s="5"/>
      <c r="BC243" s="5"/>
    </row>
    <row r="244" spans="1:55" x14ac:dyDescent="0.25">
      <c r="A244" s="51">
        <v>41540</v>
      </c>
      <c r="B244" s="54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6"/>
      <c r="AI244" s="49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3"/>
      <c r="AZ244" s="81"/>
      <c r="BB244" s="5"/>
      <c r="BC244" s="5"/>
    </row>
    <row r="245" spans="1:55" x14ac:dyDescent="0.25">
      <c r="A245" s="51">
        <v>41541</v>
      </c>
      <c r="B245" s="54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6"/>
      <c r="AI245" s="49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3"/>
      <c r="AZ245" s="81"/>
      <c r="BB245" s="5"/>
      <c r="BC245" s="5"/>
    </row>
    <row r="246" spans="1:55" x14ac:dyDescent="0.25">
      <c r="A246" s="51">
        <v>41542</v>
      </c>
      <c r="B246" s="54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6"/>
      <c r="AI246" s="49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3"/>
      <c r="AZ246" s="81"/>
      <c r="BB246" s="5"/>
      <c r="BC246" s="5"/>
    </row>
    <row r="247" spans="1:55" x14ac:dyDescent="0.25">
      <c r="A247" s="51">
        <v>41543</v>
      </c>
      <c r="B247" s="54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6"/>
      <c r="AI247" s="49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3"/>
      <c r="AZ247" s="81"/>
      <c r="BB247" s="5"/>
      <c r="BC247" s="5"/>
    </row>
    <row r="248" spans="1:55" x14ac:dyDescent="0.25">
      <c r="A248" s="51">
        <v>41544</v>
      </c>
      <c r="B248" s="54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6"/>
      <c r="AI248" s="49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3"/>
      <c r="AZ248" s="81"/>
      <c r="BB248" s="5"/>
      <c r="BC248" s="5"/>
    </row>
    <row r="249" spans="1:55" x14ac:dyDescent="0.25">
      <c r="A249" s="51">
        <v>41547</v>
      </c>
      <c r="B249" s="54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6"/>
      <c r="AI249" s="49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3"/>
      <c r="AZ249" s="81"/>
      <c r="BB249" s="5"/>
      <c r="BC249" s="5"/>
    </row>
    <row r="250" spans="1:55" x14ac:dyDescent="0.25">
      <c r="A250" s="51">
        <v>41548</v>
      </c>
      <c r="B250" s="54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6"/>
      <c r="AI250" s="49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3"/>
      <c r="AZ250" s="81"/>
      <c r="BB250" s="5"/>
      <c r="BC250" s="5"/>
    </row>
    <row r="251" spans="1:55" x14ac:dyDescent="0.25">
      <c r="A251" s="51">
        <v>41549</v>
      </c>
      <c r="B251" s="54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6"/>
      <c r="AI251" s="49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3"/>
      <c r="AZ251" s="81"/>
      <c r="BB251" s="5"/>
      <c r="BC251" s="5"/>
    </row>
    <row r="252" spans="1:55" x14ac:dyDescent="0.25">
      <c r="A252" s="51">
        <v>41550</v>
      </c>
      <c r="B252" s="54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6"/>
      <c r="AI252" s="49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3"/>
      <c r="AZ252" s="81"/>
      <c r="BB252" s="5"/>
      <c r="BC252" s="5"/>
    </row>
    <row r="253" spans="1:55" x14ac:dyDescent="0.25">
      <c r="A253" s="51">
        <v>41551</v>
      </c>
      <c r="B253" s="54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6"/>
      <c r="AI253" s="49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3"/>
      <c r="AZ253" s="81"/>
      <c r="BB253" s="5"/>
      <c r="BC253" s="5"/>
    </row>
    <row r="254" spans="1:55" x14ac:dyDescent="0.25">
      <c r="A254" s="51">
        <v>41554</v>
      </c>
      <c r="B254" s="54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6"/>
      <c r="AI254" s="49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3"/>
      <c r="AZ254" s="81"/>
      <c r="BB254" s="5"/>
      <c r="BC254" s="5"/>
    </row>
    <row r="255" spans="1:55" x14ac:dyDescent="0.25">
      <c r="A255" s="51">
        <v>41556</v>
      </c>
      <c r="B255" s="54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6"/>
      <c r="AI255" s="49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3"/>
      <c r="AZ255" s="81"/>
      <c r="BB255" s="5"/>
      <c r="BC255" s="5"/>
    </row>
    <row r="256" spans="1:55" x14ac:dyDescent="0.25">
      <c r="A256" s="51">
        <v>41557</v>
      </c>
      <c r="B256" s="54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6"/>
      <c r="AI256" s="49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3"/>
      <c r="AZ256" s="81"/>
      <c r="BB256" s="5"/>
      <c r="BC256" s="5"/>
    </row>
    <row r="257" spans="1:55" x14ac:dyDescent="0.25">
      <c r="A257" s="51">
        <v>41558</v>
      </c>
      <c r="B257" s="54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6"/>
      <c r="AI257" s="49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3"/>
      <c r="AZ257" s="81"/>
      <c r="BB257" s="5"/>
      <c r="BC257" s="5"/>
    </row>
    <row r="258" spans="1:55" x14ac:dyDescent="0.25">
      <c r="A258" s="51">
        <v>41561</v>
      </c>
      <c r="B258" s="54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6"/>
      <c r="AI258" s="49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3"/>
      <c r="AZ258" s="81"/>
      <c r="BB258" s="5"/>
      <c r="BC258" s="5"/>
    </row>
    <row r="259" spans="1:55" x14ac:dyDescent="0.25">
      <c r="A259" s="51">
        <v>41562</v>
      </c>
      <c r="B259" s="54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6"/>
      <c r="AI259" s="49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3"/>
      <c r="AZ259" s="81"/>
      <c r="BB259" s="5"/>
      <c r="BC259" s="5"/>
    </row>
    <row r="260" spans="1:55" x14ac:dyDescent="0.25">
      <c r="A260" s="51">
        <v>41563</v>
      </c>
      <c r="B260" s="54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6"/>
      <c r="AI260" s="49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3"/>
      <c r="AZ260" s="81"/>
      <c r="BB260" s="5"/>
      <c r="BC260" s="5"/>
    </row>
    <row r="261" spans="1:55" x14ac:dyDescent="0.25">
      <c r="A261" s="51">
        <v>41564</v>
      </c>
      <c r="B261" s="54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6"/>
      <c r="AI261" s="49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3"/>
      <c r="AZ261" s="81"/>
      <c r="BB261" s="5"/>
      <c r="BC261" s="5"/>
    </row>
    <row r="262" spans="1:55" x14ac:dyDescent="0.25">
      <c r="A262" s="51">
        <v>41565</v>
      </c>
      <c r="B262" s="54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6"/>
      <c r="AI262" s="49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3"/>
      <c r="AZ262" s="81"/>
      <c r="BB262" s="5"/>
      <c r="BC262" s="5"/>
    </row>
    <row r="263" spans="1:55" x14ac:dyDescent="0.25">
      <c r="A263" s="51">
        <v>41568</v>
      </c>
      <c r="B263" s="54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6"/>
      <c r="AI263" s="49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3"/>
      <c r="AZ263" s="81"/>
      <c r="BB263" s="5"/>
      <c r="BC263" s="5"/>
    </row>
    <row r="264" spans="1:55" x14ac:dyDescent="0.25">
      <c r="A264" s="51">
        <v>41569</v>
      </c>
      <c r="B264" s="54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6"/>
      <c r="AI264" s="49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3"/>
      <c r="AZ264" s="81"/>
      <c r="BB264" s="5"/>
      <c r="BC264" s="5"/>
    </row>
    <row r="265" spans="1:55" x14ac:dyDescent="0.25">
      <c r="A265" s="51">
        <v>41570</v>
      </c>
      <c r="B265" s="54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6"/>
      <c r="AI265" s="49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3"/>
      <c r="AZ265" s="81"/>
      <c r="BB265" s="5"/>
      <c r="BC265" s="5"/>
    </row>
    <row r="266" spans="1:55" x14ac:dyDescent="0.25">
      <c r="A266" s="51">
        <v>41571</v>
      </c>
      <c r="B266" s="54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6"/>
      <c r="AI266" s="49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3"/>
      <c r="AZ266" s="81"/>
      <c r="BB266" s="5"/>
      <c r="BC266" s="5"/>
    </row>
    <row r="267" spans="1:55" x14ac:dyDescent="0.25">
      <c r="A267" s="51">
        <v>41572</v>
      </c>
      <c r="B267" s="54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6"/>
      <c r="AI267" s="49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3"/>
      <c r="AZ267" s="81"/>
      <c r="BB267" s="5"/>
      <c r="BC267" s="5"/>
    </row>
    <row r="268" spans="1:55" x14ac:dyDescent="0.25">
      <c r="A268" s="51">
        <v>41575</v>
      </c>
      <c r="B268" s="54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6"/>
      <c r="AI268" s="49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3"/>
      <c r="AZ268" s="81"/>
      <c r="BB268" s="5"/>
      <c r="BC268" s="5"/>
    </row>
    <row r="269" spans="1:55" x14ac:dyDescent="0.25">
      <c r="A269" s="51">
        <v>41576</v>
      </c>
      <c r="B269" s="54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6"/>
      <c r="AI269" s="49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3"/>
      <c r="AZ269" s="81"/>
      <c r="BB269" s="5"/>
      <c r="BC269" s="5"/>
    </row>
    <row r="270" spans="1:55" x14ac:dyDescent="0.25">
      <c r="A270" s="51">
        <v>41577</v>
      </c>
      <c r="B270" s="54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6"/>
      <c r="AI270" s="49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3"/>
      <c r="AZ270" s="81"/>
      <c r="BB270" s="5"/>
      <c r="BC270" s="5"/>
    </row>
    <row r="271" spans="1:55" x14ac:dyDescent="0.25">
      <c r="A271" s="51">
        <v>41578</v>
      </c>
      <c r="B271" s="54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6"/>
      <c r="AI271" s="49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3"/>
      <c r="AZ271" s="81"/>
      <c r="BB271" s="5"/>
      <c r="BC271" s="5"/>
    </row>
    <row r="272" spans="1:55" x14ac:dyDescent="0.25">
      <c r="A272" s="51">
        <v>41582</v>
      </c>
      <c r="B272" s="54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6"/>
      <c r="AI272" s="49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3"/>
      <c r="AZ272" s="81"/>
      <c r="BB272" s="5"/>
      <c r="BC272" s="5"/>
    </row>
    <row r="273" spans="1:55" x14ac:dyDescent="0.25">
      <c r="A273" s="51">
        <v>41583</v>
      </c>
      <c r="B273" s="54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6"/>
      <c r="AI273" s="49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3"/>
      <c r="AZ273" s="81"/>
      <c r="BB273" s="5"/>
      <c r="BC273" s="5"/>
    </row>
    <row r="274" spans="1:55" x14ac:dyDescent="0.25">
      <c r="A274" s="51">
        <v>41584</v>
      </c>
      <c r="B274" s="54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6"/>
      <c r="AI274" s="49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3"/>
      <c r="AZ274" s="81"/>
      <c r="BB274" s="5"/>
      <c r="BC274" s="5"/>
    </row>
    <row r="275" spans="1:55" x14ac:dyDescent="0.25">
      <c r="A275" s="51">
        <v>41585</v>
      </c>
      <c r="B275" s="54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6"/>
      <c r="AI275" s="49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3"/>
      <c r="AZ275" s="81"/>
      <c r="BB275" s="5"/>
      <c r="BC275" s="5"/>
    </row>
    <row r="276" spans="1:55" x14ac:dyDescent="0.25">
      <c r="A276" s="51">
        <v>41586</v>
      </c>
      <c r="B276" s="54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6"/>
      <c r="AI276" s="49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3"/>
      <c r="AZ276" s="81"/>
      <c r="BB276" s="5"/>
      <c r="BC276" s="5"/>
    </row>
    <row r="277" spans="1:55" x14ac:dyDescent="0.25">
      <c r="A277" s="51">
        <v>41589</v>
      </c>
      <c r="B277" s="54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6"/>
      <c r="AI277" s="49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3"/>
      <c r="AZ277" s="81"/>
      <c r="BB277" s="5"/>
      <c r="BC277" s="5"/>
    </row>
    <row r="278" spans="1:55" x14ac:dyDescent="0.25">
      <c r="A278" s="51">
        <v>41590</v>
      </c>
      <c r="B278" s="54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6"/>
      <c r="AI278" s="49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3"/>
      <c r="AZ278" s="81"/>
      <c r="BB278" s="5"/>
      <c r="BC278" s="5"/>
    </row>
    <row r="279" spans="1:55" x14ac:dyDescent="0.25">
      <c r="A279" s="51">
        <v>41591</v>
      </c>
      <c r="B279" s="54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6"/>
      <c r="AI279" s="49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3"/>
      <c r="AZ279" s="81"/>
      <c r="BB279" s="5"/>
      <c r="BC279" s="5"/>
    </row>
    <row r="280" spans="1:55" x14ac:dyDescent="0.25">
      <c r="A280" s="51">
        <v>41592</v>
      </c>
      <c r="B280" s="54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6"/>
      <c r="AI280" s="49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3"/>
      <c r="AZ280" s="81"/>
      <c r="BB280" s="5"/>
      <c r="BC280" s="5"/>
    </row>
    <row r="281" spans="1:55" x14ac:dyDescent="0.25">
      <c r="A281" s="51">
        <v>41593</v>
      </c>
      <c r="B281" s="54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6"/>
      <c r="AI281" s="49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3"/>
      <c r="AZ281" s="81"/>
      <c r="BB281" s="5"/>
      <c r="BC281" s="5"/>
    </row>
    <row r="282" spans="1:55" x14ac:dyDescent="0.25">
      <c r="A282" s="51">
        <v>41596</v>
      </c>
      <c r="B282" s="54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6"/>
      <c r="AI282" s="49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3"/>
      <c r="AZ282" s="81"/>
      <c r="BB282" s="5"/>
      <c r="BC282" s="5"/>
    </row>
    <row r="283" spans="1:55" x14ac:dyDescent="0.25">
      <c r="A283" s="51">
        <v>41597</v>
      </c>
      <c r="B283" s="54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6"/>
      <c r="AI283" s="49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3"/>
      <c r="AZ283" s="81"/>
      <c r="BB283" s="5"/>
      <c r="BC283" s="5"/>
    </row>
    <row r="284" spans="1:55" x14ac:dyDescent="0.25">
      <c r="A284" s="51">
        <v>41598</v>
      </c>
      <c r="B284" s="54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6"/>
      <c r="AI284" s="49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3"/>
      <c r="AZ284" s="81"/>
      <c r="BB284" s="5"/>
      <c r="BC284" s="5"/>
    </row>
    <row r="285" spans="1:55" x14ac:dyDescent="0.25">
      <c r="A285" s="51">
        <v>41599</v>
      </c>
      <c r="B285" s="54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6"/>
      <c r="AI285" s="49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3"/>
      <c r="AZ285" s="81"/>
      <c r="BB285" s="5"/>
      <c r="BC285" s="5"/>
    </row>
    <row r="286" spans="1:55" x14ac:dyDescent="0.25">
      <c r="A286" s="51">
        <v>41600</v>
      </c>
      <c r="B286" s="54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6"/>
      <c r="AI286" s="49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3"/>
      <c r="AZ286" s="81"/>
      <c r="BB286" s="5"/>
      <c r="BC286" s="5"/>
    </row>
    <row r="287" spans="1:55" x14ac:dyDescent="0.25">
      <c r="A287" s="51">
        <v>41603</v>
      </c>
      <c r="B287" s="54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6"/>
      <c r="AI287" s="49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3"/>
      <c r="AZ287" s="81"/>
      <c r="BB287" s="5"/>
      <c r="BC287" s="5"/>
    </row>
    <row r="288" spans="1:55" x14ac:dyDescent="0.25">
      <c r="A288" s="51">
        <v>41604</v>
      </c>
      <c r="B288" s="54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6"/>
      <c r="AI288" s="49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3"/>
      <c r="AZ288" s="81"/>
      <c r="BB288" s="5"/>
      <c r="BC288" s="5"/>
    </row>
    <row r="289" spans="1:55" x14ac:dyDescent="0.25">
      <c r="A289" s="51">
        <v>41605</v>
      </c>
      <c r="B289" s="54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6"/>
      <c r="AI289" s="49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3"/>
      <c r="AZ289" s="81"/>
      <c r="BB289" s="5"/>
      <c r="BC289" s="5"/>
    </row>
    <row r="290" spans="1:55" x14ac:dyDescent="0.25">
      <c r="A290" s="51">
        <v>41606</v>
      </c>
      <c r="B290" s="54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6"/>
      <c r="AI290" s="49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3"/>
      <c r="AZ290" s="81"/>
      <c r="BB290" s="5"/>
      <c r="BC290" s="5"/>
    </row>
    <row r="291" spans="1:55" x14ac:dyDescent="0.25">
      <c r="A291" s="51">
        <v>41607</v>
      </c>
      <c r="B291" s="54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6"/>
      <c r="AI291" s="49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3"/>
      <c r="AZ291" s="81"/>
      <c r="BB291" s="5"/>
      <c r="BC291" s="5"/>
    </row>
    <row r="292" spans="1:55" x14ac:dyDescent="0.25">
      <c r="A292" s="51">
        <v>41610</v>
      </c>
      <c r="B292" s="54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6"/>
      <c r="AI292" s="49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3"/>
      <c r="AZ292" s="81"/>
      <c r="BB292" s="5"/>
      <c r="BC292" s="5"/>
    </row>
    <row r="293" spans="1:55" x14ac:dyDescent="0.25">
      <c r="A293" s="51">
        <v>41611</v>
      </c>
      <c r="B293" s="54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6"/>
      <c r="AI293" s="49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3"/>
      <c r="AZ293" s="81"/>
      <c r="BB293" s="5"/>
      <c r="BC293" s="5"/>
    </row>
    <row r="294" spans="1:55" x14ac:dyDescent="0.25">
      <c r="A294" s="51">
        <v>41612</v>
      </c>
      <c r="B294" s="54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6"/>
      <c r="AI294" s="49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3"/>
      <c r="AZ294" s="81"/>
      <c r="BB294" s="5"/>
      <c r="BC294" s="5"/>
    </row>
    <row r="295" spans="1:55" x14ac:dyDescent="0.25">
      <c r="A295" s="51">
        <v>41613</v>
      </c>
      <c r="B295" s="54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6"/>
      <c r="AI295" s="49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3"/>
      <c r="AZ295" s="81"/>
      <c r="BB295" s="5"/>
      <c r="BC295" s="5"/>
    </row>
    <row r="296" spans="1:55" x14ac:dyDescent="0.25">
      <c r="A296" s="51">
        <v>41614</v>
      </c>
      <c r="B296" s="54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6"/>
      <c r="AI296" s="49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3"/>
      <c r="AZ296" s="81"/>
      <c r="BB296" s="5"/>
      <c r="BC296" s="5"/>
    </row>
    <row r="297" spans="1:55" x14ac:dyDescent="0.25">
      <c r="A297" s="51">
        <v>41617</v>
      </c>
      <c r="B297" s="54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6"/>
      <c r="AI297" s="49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3"/>
      <c r="AZ297" s="81"/>
      <c r="BB297" s="5"/>
      <c r="BC297" s="5"/>
    </row>
    <row r="298" spans="1:55" x14ac:dyDescent="0.25">
      <c r="A298" s="51">
        <v>41618</v>
      </c>
      <c r="B298" s="54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6"/>
      <c r="AI298" s="49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3"/>
      <c r="AZ298" s="81"/>
      <c r="BB298" s="5"/>
      <c r="BC298" s="5"/>
    </row>
    <row r="299" spans="1:55" x14ac:dyDescent="0.25">
      <c r="A299" s="51">
        <v>41619</v>
      </c>
      <c r="B299" s="54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6"/>
      <c r="AI299" s="49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3"/>
      <c r="AZ299" s="81"/>
      <c r="BB299" s="5"/>
      <c r="BC299" s="5"/>
    </row>
    <row r="300" spans="1:55" x14ac:dyDescent="0.25">
      <c r="A300" s="51">
        <v>41620</v>
      </c>
      <c r="B300" s="54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6"/>
      <c r="AI300" s="49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3"/>
      <c r="AZ300" s="81"/>
      <c r="BB300" s="5"/>
      <c r="BC300" s="5"/>
    </row>
    <row r="301" spans="1:55" x14ac:dyDescent="0.25">
      <c r="A301" s="51">
        <v>41621</v>
      </c>
      <c r="B301" s="54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6"/>
      <c r="AI301" s="49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3"/>
      <c r="AZ301" s="81"/>
      <c r="BB301" s="5"/>
      <c r="BC301" s="5"/>
    </row>
    <row r="302" spans="1:55" x14ac:dyDescent="0.25">
      <c r="A302" s="51">
        <v>41624</v>
      </c>
      <c r="B302" s="54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6"/>
      <c r="AI302" s="49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3"/>
      <c r="AZ302" s="81"/>
      <c r="BB302" s="5"/>
      <c r="BC302" s="5"/>
    </row>
    <row r="303" spans="1:55" x14ac:dyDescent="0.25">
      <c r="A303" s="51">
        <v>41625</v>
      </c>
      <c r="B303" s="54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6"/>
      <c r="AI303" s="49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3"/>
      <c r="AZ303" s="81"/>
      <c r="BB303" s="5"/>
      <c r="BC303" s="5"/>
    </row>
    <row r="304" spans="1:55" x14ac:dyDescent="0.25">
      <c r="A304" s="51">
        <v>41626</v>
      </c>
      <c r="B304" s="54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6"/>
      <c r="AI304" s="49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3"/>
      <c r="AZ304" s="81"/>
      <c r="BB304" s="5"/>
      <c r="BC304" s="5"/>
    </row>
    <row r="305" spans="1:55" x14ac:dyDescent="0.25">
      <c r="A305" s="51">
        <v>41627</v>
      </c>
      <c r="B305" s="54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6"/>
      <c r="AI305" s="49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3"/>
      <c r="AZ305" s="81"/>
      <c r="BB305" s="5"/>
      <c r="BC305" s="5"/>
    </row>
    <row r="306" spans="1:55" x14ac:dyDescent="0.25">
      <c r="A306" s="51">
        <v>41628</v>
      </c>
      <c r="B306" s="54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6"/>
      <c r="AI306" s="49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3"/>
      <c r="AZ306" s="81"/>
      <c r="BB306" s="5"/>
      <c r="BC306" s="5"/>
    </row>
    <row r="307" spans="1:55" x14ac:dyDescent="0.25">
      <c r="A307" s="51">
        <v>41631</v>
      </c>
      <c r="B307" s="54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6"/>
      <c r="AI307" s="49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3"/>
      <c r="AZ307" s="81"/>
      <c r="BB307" s="5"/>
      <c r="BC307" s="5"/>
    </row>
    <row r="308" spans="1:55" x14ac:dyDescent="0.25">
      <c r="A308" s="51">
        <v>41632</v>
      </c>
      <c r="B308" s="54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6"/>
      <c r="AI308" s="49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3"/>
      <c r="AZ308" s="81"/>
      <c r="BB308" s="5"/>
      <c r="BC308" s="5"/>
    </row>
    <row r="309" spans="1:55" x14ac:dyDescent="0.25">
      <c r="A309" s="51">
        <v>41634</v>
      </c>
      <c r="B309" s="54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6"/>
      <c r="AI309" s="49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3"/>
      <c r="AZ309" s="81"/>
      <c r="BB309" s="5"/>
      <c r="BC309" s="5"/>
    </row>
    <row r="310" spans="1:55" x14ac:dyDescent="0.25">
      <c r="A310" s="51">
        <v>41635</v>
      </c>
      <c r="B310" s="54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6"/>
      <c r="AI310" s="49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3"/>
      <c r="AZ310" s="81"/>
      <c r="BB310" s="5"/>
      <c r="BC310" s="5"/>
    </row>
    <row r="311" spans="1:55" x14ac:dyDescent="0.25">
      <c r="A311" s="51">
        <v>41638</v>
      </c>
      <c r="B311" s="54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6"/>
      <c r="AI311" s="49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3"/>
      <c r="AZ311" s="81"/>
      <c r="BB311" s="5"/>
      <c r="BC311" s="5"/>
    </row>
    <row r="312" spans="1:55" x14ac:dyDescent="0.25">
      <c r="A312" s="51">
        <v>41639</v>
      </c>
      <c r="B312" s="54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6"/>
      <c r="AI312" s="49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3"/>
      <c r="AZ312" s="81"/>
      <c r="BB312" s="5"/>
      <c r="BC312" s="5"/>
    </row>
    <row r="313" spans="1:55" x14ac:dyDescent="0.25">
      <c r="A313" s="51">
        <v>41641</v>
      </c>
      <c r="B313" s="54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6"/>
      <c r="AI313" s="49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3"/>
      <c r="AZ313" s="81"/>
      <c r="BB313" s="5"/>
      <c r="BC313" s="5"/>
    </row>
    <row r="314" spans="1:55" x14ac:dyDescent="0.25">
      <c r="A314" s="51">
        <v>41642</v>
      </c>
      <c r="B314" s="54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6"/>
      <c r="AI314" s="49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3"/>
      <c r="AZ314" s="81"/>
      <c r="BB314" s="5"/>
      <c r="BC314" s="5"/>
    </row>
    <row r="315" spans="1:55" x14ac:dyDescent="0.25">
      <c r="A315" s="51">
        <v>41645</v>
      </c>
      <c r="B315" s="54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6"/>
      <c r="AI315" s="49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3"/>
      <c r="AZ315" s="81"/>
      <c r="BB315" s="5"/>
      <c r="BC315" s="5"/>
    </row>
    <row r="316" spans="1:55" x14ac:dyDescent="0.25">
      <c r="A316" s="51">
        <v>41646</v>
      </c>
      <c r="B316" s="54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6"/>
      <c r="AI316" s="49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3"/>
      <c r="AZ316" s="81"/>
      <c r="BB316" s="5"/>
      <c r="BC316" s="5"/>
    </row>
    <row r="317" spans="1:55" x14ac:dyDescent="0.25">
      <c r="A317" s="51">
        <v>41647</v>
      </c>
      <c r="B317" s="54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6"/>
      <c r="AI317" s="49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3"/>
      <c r="AZ317" s="81"/>
      <c r="BB317" s="5"/>
      <c r="BC317" s="5"/>
    </row>
    <row r="318" spans="1:55" x14ac:dyDescent="0.25">
      <c r="A318" s="51">
        <v>41648</v>
      </c>
      <c r="B318" s="54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6"/>
      <c r="AI318" s="49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3"/>
      <c r="AZ318" s="81"/>
      <c r="BB318" s="5"/>
      <c r="BC318" s="5"/>
    </row>
    <row r="319" spans="1:55" x14ac:dyDescent="0.25">
      <c r="A319" s="51">
        <v>41649</v>
      </c>
      <c r="B319" s="54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6"/>
      <c r="AI319" s="49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3"/>
      <c r="AZ319" s="81"/>
      <c r="BB319" s="5"/>
      <c r="BC319" s="5"/>
    </row>
    <row r="320" spans="1:55" x14ac:dyDescent="0.25">
      <c r="A320" s="51">
        <v>41652</v>
      </c>
      <c r="B320" s="54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6"/>
      <c r="AI320" s="49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3"/>
      <c r="AZ320" s="81"/>
      <c r="BB320" s="5"/>
      <c r="BC320" s="5"/>
    </row>
    <row r="321" spans="1:55" x14ac:dyDescent="0.25">
      <c r="A321" s="51">
        <v>41653</v>
      </c>
      <c r="B321" s="54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6"/>
      <c r="AI321" s="49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3"/>
      <c r="AZ321" s="81"/>
      <c r="BB321" s="5"/>
      <c r="BC321" s="5"/>
    </row>
    <row r="322" spans="1:55" x14ac:dyDescent="0.25">
      <c r="A322" s="51">
        <v>41654</v>
      </c>
      <c r="B322" s="54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6"/>
      <c r="AI322" s="49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3"/>
      <c r="AZ322" s="81"/>
      <c r="BB322" s="5"/>
      <c r="BC322" s="5"/>
    </row>
    <row r="323" spans="1:55" x14ac:dyDescent="0.25">
      <c r="A323" s="51">
        <v>41655</v>
      </c>
      <c r="B323" s="54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6"/>
      <c r="AI323" s="49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3"/>
      <c r="AZ323" s="81"/>
      <c r="BB323" s="5"/>
      <c r="BC323" s="5"/>
    </row>
    <row r="324" spans="1:55" x14ac:dyDescent="0.25">
      <c r="A324" s="51">
        <v>41656</v>
      </c>
      <c r="B324" s="54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6"/>
      <c r="AI324" s="49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3"/>
      <c r="AZ324" s="81"/>
      <c r="BB324" s="5"/>
      <c r="BC324" s="5"/>
    </row>
    <row r="325" spans="1:55" x14ac:dyDescent="0.25">
      <c r="A325" s="51">
        <v>41659</v>
      </c>
      <c r="B325" s="54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6"/>
      <c r="AI325" s="49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3"/>
      <c r="AZ325" s="81"/>
      <c r="BB325" s="5"/>
      <c r="BC325" s="5"/>
    </row>
    <row r="326" spans="1:55" x14ac:dyDescent="0.25">
      <c r="A326" s="51">
        <v>41660</v>
      </c>
      <c r="B326" s="54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6"/>
      <c r="AI326" s="49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3"/>
      <c r="AZ326" s="81"/>
      <c r="BB326" s="5"/>
      <c r="BC326" s="5"/>
    </row>
    <row r="327" spans="1:55" x14ac:dyDescent="0.25">
      <c r="A327" s="51">
        <v>41661</v>
      </c>
      <c r="B327" s="54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6"/>
      <c r="AI327" s="49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3"/>
      <c r="AZ327" s="81"/>
      <c r="BB327" s="5"/>
      <c r="BC327" s="5"/>
    </row>
    <row r="328" spans="1:55" x14ac:dyDescent="0.25">
      <c r="A328" s="51">
        <v>41662</v>
      </c>
      <c r="B328" s="54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6"/>
      <c r="AI328" s="49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3"/>
      <c r="AZ328" s="81"/>
      <c r="BB328" s="5"/>
      <c r="BC328" s="5"/>
    </row>
    <row r="329" spans="1:55" x14ac:dyDescent="0.25">
      <c r="A329" s="51">
        <v>41663</v>
      </c>
      <c r="B329" s="54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6"/>
      <c r="AI329" s="49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3"/>
      <c r="AZ329" s="81"/>
      <c r="BB329" s="5"/>
      <c r="BC329" s="5"/>
    </row>
    <row r="330" spans="1:55" x14ac:dyDescent="0.25">
      <c r="A330" s="51">
        <v>41666</v>
      </c>
      <c r="B330" s="54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6"/>
      <c r="AI330" s="49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3"/>
      <c r="AZ330" s="81"/>
      <c r="BB330" s="5"/>
      <c r="BC330" s="5"/>
    </row>
    <row r="331" spans="1:55" x14ac:dyDescent="0.25">
      <c r="A331" s="51">
        <v>41667</v>
      </c>
      <c r="B331" s="5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6"/>
      <c r="AI331" s="49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3"/>
      <c r="AZ331" s="81"/>
      <c r="BB331" s="5"/>
      <c r="BC331" s="5"/>
    </row>
    <row r="332" spans="1:55" x14ac:dyDescent="0.25">
      <c r="A332" s="51">
        <v>41668</v>
      </c>
      <c r="B332" s="54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6"/>
      <c r="AI332" s="49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3"/>
      <c r="AZ332" s="81"/>
      <c r="BB332" s="5"/>
      <c r="BC332" s="5"/>
    </row>
    <row r="333" spans="1:55" x14ac:dyDescent="0.25">
      <c r="A333" s="51">
        <v>41669</v>
      </c>
      <c r="B333" s="54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6"/>
      <c r="AI333" s="49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3"/>
      <c r="AZ333" s="81"/>
      <c r="BB333" s="5"/>
      <c r="BC333" s="5"/>
    </row>
    <row r="334" spans="1:55" x14ac:dyDescent="0.25">
      <c r="A334" s="51">
        <v>41670</v>
      </c>
      <c r="B334" s="54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6"/>
      <c r="AI334" s="49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3"/>
      <c r="AZ334" s="81"/>
      <c r="BB334" s="5"/>
      <c r="BC334" s="5"/>
    </row>
    <row r="335" spans="1:55" x14ac:dyDescent="0.25">
      <c r="A335" s="51">
        <v>41673</v>
      </c>
      <c r="B335" s="54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6"/>
      <c r="AI335" s="49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3"/>
      <c r="AZ335" s="81"/>
      <c r="BB335" s="5"/>
      <c r="BC335" s="5"/>
    </row>
    <row r="336" spans="1:55" x14ac:dyDescent="0.25">
      <c r="A336" s="51">
        <v>41674</v>
      </c>
      <c r="B336" s="54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6"/>
      <c r="AI336" s="49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3"/>
      <c r="AZ336" s="81"/>
      <c r="BB336" s="5"/>
      <c r="BC336" s="5"/>
    </row>
    <row r="337" spans="1:55" x14ac:dyDescent="0.25">
      <c r="A337" s="51">
        <v>41675</v>
      </c>
      <c r="B337" s="54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6"/>
      <c r="AI337" s="49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3"/>
      <c r="AZ337" s="81"/>
      <c r="BB337" s="5"/>
      <c r="BC337" s="5"/>
    </row>
    <row r="338" spans="1:55" x14ac:dyDescent="0.25">
      <c r="A338" s="51">
        <v>41676</v>
      </c>
      <c r="B338" s="54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6"/>
      <c r="AI338" s="49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3"/>
      <c r="AZ338" s="81"/>
      <c r="BB338" s="5"/>
      <c r="BC338" s="5"/>
    </row>
    <row r="339" spans="1:55" x14ac:dyDescent="0.25">
      <c r="A339" s="51">
        <v>41677</v>
      </c>
      <c r="B339" s="54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6"/>
      <c r="AI339" s="49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3"/>
      <c r="AZ339" s="81"/>
      <c r="BB339" s="5"/>
      <c r="BC339" s="5"/>
    </row>
    <row r="340" spans="1:55" x14ac:dyDescent="0.25">
      <c r="A340" s="51">
        <v>41680</v>
      </c>
      <c r="B340" s="54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6"/>
      <c r="AI340" s="49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3"/>
      <c r="AZ340" s="81"/>
      <c r="BB340" s="5"/>
      <c r="BC340" s="5"/>
    </row>
    <row r="341" spans="1:55" x14ac:dyDescent="0.25">
      <c r="A341" s="51">
        <v>41681</v>
      </c>
      <c r="B341" s="54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6"/>
      <c r="AI341" s="49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3"/>
      <c r="AZ341" s="81"/>
      <c r="BB341" s="5"/>
      <c r="BC341" s="5"/>
    </row>
    <row r="342" spans="1:55" x14ac:dyDescent="0.25">
      <c r="A342" s="51">
        <v>41682</v>
      </c>
      <c r="B342" s="54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6"/>
      <c r="AI342" s="49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3"/>
      <c r="AZ342" s="81"/>
      <c r="BB342" s="5"/>
      <c r="BC342" s="5"/>
    </row>
    <row r="343" spans="1:55" x14ac:dyDescent="0.25">
      <c r="A343" s="51">
        <v>41683</v>
      </c>
      <c r="B343" s="54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6"/>
      <c r="AI343" s="49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3"/>
      <c r="AZ343" s="81"/>
      <c r="BB343" s="5"/>
      <c r="BC343" s="5"/>
    </row>
    <row r="344" spans="1:55" x14ac:dyDescent="0.25">
      <c r="A344" s="51">
        <v>41684</v>
      </c>
      <c r="B344" s="54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6"/>
      <c r="AI344" s="49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3"/>
      <c r="AZ344" s="81"/>
      <c r="BB344" s="5"/>
      <c r="BC344" s="5"/>
    </row>
    <row r="345" spans="1:55" x14ac:dyDescent="0.25">
      <c r="A345" s="51">
        <v>41687</v>
      </c>
      <c r="B345" s="54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6"/>
      <c r="AI345" s="49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3"/>
      <c r="AZ345" s="81"/>
      <c r="BB345" s="5"/>
      <c r="BC345" s="5"/>
    </row>
    <row r="346" spans="1:55" x14ac:dyDescent="0.25">
      <c r="A346" s="51">
        <v>41688</v>
      </c>
      <c r="B346" s="54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6"/>
      <c r="AI346" s="49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3"/>
      <c r="AZ346" s="81"/>
      <c r="BB346" s="5"/>
      <c r="BC346" s="5"/>
    </row>
    <row r="347" spans="1:55" x14ac:dyDescent="0.25">
      <c r="A347" s="51">
        <v>41689</v>
      </c>
      <c r="B347" s="54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6"/>
      <c r="AI347" s="49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3"/>
      <c r="AZ347" s="81"/>
      <c r="BB347" s="5"/>
      <c r="BC347" s="5"/>
    </row>
    <row r="348" spans="1:55" x14ac:dyDescent="0.25">
      <c r="A348" s="51">
        <v>41690</v>
      </c>
      <c r="B348" s="54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6"/>
      <c r="AI348" s="49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3"/>
      <c r="AZ348" s="81"/>
      <c r="BB348" s="5"/>
      <c r="BC348" s="5"/>
    </row>
    <row r="349" spans="1:55" x14ac:dyDescent="0.25">
      <c r="A349" s="51">
        <v>41691</v>
      </c>
      <c r="B349" s="54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6"/>
      <c r="AI349" s="49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3"/>
      <c r="AZ349" s="81"/>
      <c r="BB349" s="5"/>
      <c r="BC349" s="5"/>
    </row>
    <row r="350" spans="1:55" x14ac:dyDescent="0.25">
      <c r="A350" s="51">
        <v>41694</v>
      </c>
      <c r="B350" s="54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6"/>
      <c r="AI350" s="49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3"/>
      <c r="AZ350" s="81"/>
      <c r="BB350" s="5"/>
      <c r="BC350" s="5"/>
    </row>
    <row r="351" spans="1:55" x14ac:dyDescent="0.25">
      <c r="A351" s="51">
        <v>41695</v>
      </c>
      <c r="B351" s="54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6"/>
      <c r="AI351" s="49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3"/>
      <c r="AZ351" s="81"/>
      <c r="BB351" s="5"/>
      <c r="BC351" s="5"/>
    </row>
    <row r="352" spans="1:55" x14ac:dyDescent="0.25">
      <c r="A352" s="51">
        <v>41696</v>
      </c>
      <c r="B352" s="54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6"/>
      <c r="AI352" s="49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3"/>
      <c r="AZ352" s="81"/>
      <c r="BB352" s="5"/>
      <c r="BC352" s="5"/>
    </row>
    <row r="353" spans="1:55" x14ac:dyDescent="0.25">
      <c r="A353" s="51">
        <v>41697</v>
      </c>
      <c r="B353" s="54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6"/>
      <c r="AI353" s="49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3"/>
      <c r="AZ353" s="81"/>
      <c r="BB353" s="5"/>
      <c r="BC353" s="5"/>
    </row>
    <row r="354" spans="1:55" x14ac:dyDescent="0.25">
      <c r="A354" s="51">
        <v>41698</v>
      </c>
      <c r="B354" s="54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6"/>
      <c r="AI354" s="49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3"/>
      <c r="AZ354" s="81"/>
      <c r="BB354" s="5"/>
      <c r="BC354" s="5"/>
    </row>
    <row r="355" spans="1:55" x14ac:dyDescent="0.25">
      <c r="A355" s="51">
        <v>41701</v>
      </c>
      <c r="B355" s="54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6"/>
      <c r="AI355" s="49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3"/>
      <c r="AZ355" s="81"/>
      <c r="BB355" s="5"/>
      <c r="BC355" s="5"/>
    </row>
    <row r="356" spans="1:55" x14ac:dyDescent="0.25">
      <c r="A356" s="51">
        <v>41702</v>
      </c>
      <c r="B356" s="54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6"/>
      <c r="AI356" s="49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3"/>
      <c r="AZ356" s="81"/>
      <c r="BB356" s="5"/>
      <c r="BC356" s="5"/>
    </row>
    <row r="357" spans="1:55" x14ac:dyDescent="0.25">
      <c r="A357" s="51">
        <v>41703</v>
      </c>
      <c r="B357" s="54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6"/>
      <c r="AI357" s="49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3"/>
      <c r="AZ357" s="81"/>
      <c r="BB357" s="5"/>
      <c r="BC357" s="5"/>
    </row>
    <row r="358" spans="1:55" x14ac:dyDescent="0.25">
      <c r="A358" s="51">
        <v>41704</v>
      </c>
      <c r="B358" s="54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6"/>
      <c r="AI358" s="49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3"/>
      <c r="AZ358" s="81"/>
      <c r="BB358" s="5"/>
      <c r="BC358" s="5"/>
    </row>
    <row r="359" spans="1:55" x14ac:dyDescent="0.25">
      <c r="A359" s="51">
        <v>41705</v>
      </c>
      <c r="B359" s="54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6"/>
      <c r="AI359" s="49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3"/>
      <c r="AZ359" s="81"/>
      <c r="BB359" s="5"/>
      <c r="BC359" s="5"/>
    </row>
    <row r="360" spans="1:55" x14ac:dyDescent="0.25">
      <c r="A360" s="51">
        <v>41708</v>
      </c>
      <c r="B360" s="54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6"/>
      <c r="AI360" s="49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3"/>
      <c r="AZ360" s="81"/>
      <c r="BB360" s="5"/>
      <c r="BC360" s="5"/>
    </row>
    <row r="361" spans="1:55" x14ac:dyDescent="0.25">
      <c r="A361" s="51">
        <v>41709</v>
      </c>
      <c r="B361" s="54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6"/>
      <c r="AI361" s="49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3"/>
      <c r="AZ361" s="81"/>
      <c r="BB361" s="5"/>
      <c r="BC361" s="5"/>
    </row>
    <row r="362" spans="1:55" x14ac:dyDescent="0.25">
      <c r="A362" s="51">
        <v>41710</v>
      </c>
      <c r="B362" s="54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6"/>
      <c r="AI362" s="49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3"/>
      <c r="AZ362" s="81"/>
      <c r="BB362" s="5"/>
      <c r="BC362" s="5"/>
    </row>
    <row r="363" spans="1:55" x14ac:dyDescent="0.25">
      <c r="A363" s="51">
        <v>41711</v>
      </c>
      <c r="B363" s="54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6"/>
      <c r="AI363" s="49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3"/>
      <c r="AZ363" s="81"/>
      <c r="BB363" s="5"/>
      <c r="BC363" s="5"/>
    </row>
    <row r="364" spans="1:55" x14ac:dyDescent="0.25">
      <c r="A364" s="51">
        <v>41712</v>
      </c>
      <c r="B364" s="54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6"/>
      <c r="AI364" s="49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3"/>
      <c r="AZ364" s="81"/>
      <c r="BB364" s="5"/>
      <c r="BC364" s="5"/>
    </row>
    <row r="365" spans="1:55" x14ac:dyDescent="0.25">
      <c r="A365" s="51">
        <v>41715</v>
      </c>
      <c r="B365" s="54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6"/>
      <c r="AI365" s="49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3"/>
      <c r="AZ365" s="81"/>
      <c r="BB365" s="5"/>
      <c r="BC365" s="5"/>
    </row>
    <row r="366" spans="1:55" x14ac:dyDescent="0.25">
      <c r="A366" s="51">
        <v>41716</v>
      </c>
      <c r="B366" s="54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6"/>
      <c r="AI366" s="49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3"/>
      <c r="AZ366" s="81"/>
      <c r="BB366" s="5"/>
      <c r="BC366" s="5"/>
    </row>
    <row r="367" spans="1:55" x14ac:dyDescent="0.25">
      <c r="A367" s="51">
        <v>41717</v>
      </c>
      <c r="B367" s="54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6"/>
      <c r="AI367" s="49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3"/>
      <c r="AZ367" s="81"/>
      <c r="BB367" s="5"/>
      <c r="BC367" s="5"/>
    </row>
    <row r="368" spans="1:55" x14ac:dyDescent="0.25">
      <c r="A368" s="51">
        <v>41718</v>
      </c>
      <c r="B368" s="54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6"/>
      <c r="AI368" s="49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3"/>
      <c r="AZ368" s="81"/>
      <c r="BB368" s="5"/>
      <c r="BC368" s="5"/>
    </row>
    <row r="369" spans="1:55" x14ac:dyDescent="0.25">
      <c r="A369" s="51">
        <v>41719</v>
      </c>
      <c r="B369" s="54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6"/>
      <c r="AI369" s="49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3"/>
      <c r="AZ369" s="81"/>
      <c r="BB369" s="5"/>
      <c r="BC369" s="5"/>
    </row>
    <row r="370" spans="1:55" x14ac:dyDescent="0.25">
      <c r="A370" s="51">
        <v>41722</v>
      </c>
      <c r="B370" s="54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6"/>
      <c r="AI370" s="49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3"/>
      <c r="AZ370" s="81"/>
      <c r="BB370" s="5"/>
      <c r="BC370" s="5"/>
    </row>
    <row r="371" spans="1:55" x14ac:dyDescent="0.25">
      <c r="A371" s="51">
        <v>41723</v>
      </c>
      <c r="B371" s="54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6"/>
      <c r="AI371" s="49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3"/>
      <c r="AZ371" s="81"/>
      <c r="BB371" s="5"/>
      <c r="BC371" s="5"/>
    </row>
    <row r="372" spans="1:55" x14ac:dyDescent="0.25">
      <c r="A372" s="51">
        <v>41724</v>
      </c>
      <c r="B372" s="54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6"/>
      <c r="AI372" s="49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3"/>
      <c r="AZ372" s="81"/>
      <c r="BB372" s="5"/>
      <c r="BC372" s="5"/>
    </row>
    <row r="373" spans="1:55" x14ac:dyDescent="0.25">
      <c r="A373" s="51">
        <v>41725</v>
      </c>
      <c r="B373" s="54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6"/>
      <c r="AI373" s="49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3"/>
      <c r="AZ373" s="81"/>
      <c r="BB373" s="5"/>
      <c r="BC373" s="5"/>
    </row>
    <row r="374" spans="1:55" x14ac:dyDescent="0.25">
      <c r="A374" s="51">
        <v>41726</v>
      </c>
      <c r="B374" s="54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6"/>
      <c r="AI374" s="49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3"/>
      <c r="AZ374" s="81"/>
      <c r="BB374" s="5"/>
      <c r="BC374" s="5"/>
    </row>
    <row r="375" spans="1:55" x14ac:dyDescent="0.25">
      <c r="A375" s="51">
        <v>41729</v>
      </c>
      <c r="B375" s="54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6"/>
      <c r="AI375" s="49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3"/>
      <c r="AZ375" s="81"/>
      <c r="BB375" s="5"/>
      <c r="BC375" s="5"/>
    </row>
    <row r="376" spans="1:55" x14ac:dyDescent="0.25">
      <c r="A376" s="51">
        <v>41730</v>
      </c>
      <c r="B376" s="54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6"/>
      <c r="AI376" s="49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3"/>
      <c r="AZ376" s="81"/>
      <c r="BB376" s="5"/>
      <c r="BC376" s="5"/>
    </row>
    <row r="377" spans="1:55" x14ac:dyDescent="0.25">
      <c r="A377" s="51">
        <v>41731</v>
      </c>
      <c r="B377" s="54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6"/>
      <c r="AI377" s="49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3"/>
      <c r="AZ377" s="81"/>
      <c r="BB377" s="5"/>
      <c r="BC377" s="5"/>
    </row>
    <row r="378" spans="1:55" x14ac:dyDescent="0.25">
      <c r="A378" s="51">
        <v>41732</v>
      </c>
      <c r="B378" s="54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6"/>
      <c r="AI378" s="49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3"/>
      <c r="AZ378" s="81"/>
      <c r="BB378" s="5"/>
      <c r="BC378" s="5"/>
    </row>
    <row r="379" spans="1:55" x14ac:dyDescent="0.25">
      <c r="A379" s="51">
        <v>41733</v>
      </c>
      <c r="B379" s="54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6"/>
      <c r="AI379" s="49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3"/>
      <c r="AZ379" s="81"/>
      <c r="BB379" s="5"/>
      <c r="BC379" s="5"/>
    </row>
    <row r="380" spans="1:55" x14ac:dyDescent="0.25">
      <c r="A380" s="51">
        <v>41736</v>
      </c>
      <c r="B380" s="54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6"/>
      <c r="AI380" s="49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3"/>
      <c r="AZ380" s="81"/>
      <c r="BB380" s="5"/>
      <c r="BC380" s="5"/>
    </row>
    <row r="381" spans="1:55" x14ac:dyDescent="0.25">
      <c r="A381" s="51">
        <v>41737</v>
      </c>
      <c r="B381" s="54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6"/>
      <c r="AI381" s="49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3"/>
      <c r="AZ381" s="81"/>
      <c r="BB381" s="5"/>
      <c r="BC381" s="5"/>
    </row>
    <row r="382" spans="1:55" x14ac:dyDescent="0.25">
      <c r="A382" s="51">
        <v>41738</v>
      </c>
      <c r="B382" s="54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6"/>
      <c r="AI382" s="49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3"/>
      <c r="AZ382" s="81"/>
      <c r="BB382" s="5"/>
      <c r="BC382" s="5"/>
    </row>
    <row r="383" spans="1:55" x14ac:dyDescent="0.25">
      <c r="A383" s="51">
        <v>41739</v>
      </c>
      <c r="B383" s="54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6"/>
      <c r="AI383" s="49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3"/>
      <c r="AZ383" s="81"/>
      <c r="BB383" s="5"/>
      <c r="BC383" s="5"/>
    </row>
    <row r="384" spans="1:55" x14ac:dyDescent="0.25">
      <c r="A384" s="51">
        <v>41740</v>
      </c>
      <c r="B384" s="54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6"/>
      <c r="AI384" s="49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3"/>
      <c r="AZ384" s="81"/>
      <c r="BB384" s="5"/>
      <c r="BC384" s="5"/>
    </row>
    <row r="385" spans="1:55" x14ac:dyDescent="0.25">
      <c r="A385" s="51">
        <v>41743</v>
      </c>
      <c r="B385" s="5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6"/>
      <c r="AI385" s="49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3"/>
      <c r="AZ385" s="81"/>
      <c r="BB385" s="5"/>
      <c r="BC385" s="5"/>
    </row>
    <row r="386" spans="1:55" x14ac:dyDescent="0.25">
      <c r="A386" s="51">
        <v>41744</v>
      </c>
      <c r="B386" s="5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6"/>
      <c r="AI386" s="49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3"/>
      <c r="AZ386" s="81"/>
      <c r="BB386" s="5"/>
      <c r="BC386" s="5"/>
    </row>
    <row r="387" spans="1:55" x14ac:dyDescent="0.25">
      <c r="A387" s="51">
        <v>41745</v>
      </c>
      <c r="B387" s="54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6"/>
      <c r="AI387" s="49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3"/>
      <c r="AZ387" s="81"/>
      <c r="BB387" s="5"/>
      <c r="BC387" s="5"/>
    </row>
    <row r="388" spans="1:55" x14ac:dyDescent="0.25">
      <c r="A388" s="51">
        <v>41750</v>
      </c>
      <c r="B388" s="54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6"/>
      <c r="AI388" s="49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3"/>
      <c r="AZ388" s="81"/>
      <c r="BB388" s="5"/>
      <c r="BC388" s="5"/>
    </row>
    <row r="389" spans="1:55" x14ac:dyDescent="0.25">
      <c r="A389" s="51">
        <v>41751</v>
      </c>
      <c r="B389" s="54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6"/>
      <c r="AI389" s="49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3"/>
      <c r="AZ389" s="81"/>
      <c r="BB389" s="5"/>
      <c r="BC389" s="5"/>
    </row>
    <row r="390" spans="1:55" x14ac:dyDescent="0.25">
      <c r="A390" s="51">
        <v>41752</v>
      </c>
      <c r="B390" s="54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6"/>
      <c r="AI390" s="49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3"/>
      <c r="AZ390" s="81"/>
      <c r="BB390" s="5"/>
      <c r="BC390" s="5"/>
    </row>
    <row r="391" spans="1:55" x14ac:dyDescent="0.25">
      <c r="A391" s="51">
        <v>41753</v>
      </c>
      <c r="B391" s="54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6"/>
      <c r="AI391" s="49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3"/>
      <c r="AZ391" s="81"/>
      <c r="BB391" s="5"/>
      <c r="BC391" s="5"/>
    </row>
    <row r="392" spans="1:55" x14ac:dyDescent="0.25">
      <c r="A392" s="51">
        <v>41754</v>
      </c>
      <c r="B392" s="54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6"/>
      <c r="AI392" s="49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3"/>
      <c r="AZ392" s="81"/>
      <c r="BB392" s="5"/>
      <c r="BC392" s="5"/>
    </row>
    <row r="393" spans="1:55" x14ac:dyDescent="0.25">
      <c r="A393" s="51">
        <v>41757</v>
      </c>
      <c r="B393" s="54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6"/>
      <c r="AI393" s="49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3"/>
      <c r="AZ393" s="81"/>
      <c r="BB393" s="5"/>
      <c r="BC393" s="5"/>
    </row>
    <row r="394" spans="1:55" x14ac:dyDescent="0.25">
      <c r="A394" s="51">
        <v>41758</v>
      </c>
      <c r="B394" s="54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6"/>
      <c r="AI394" s="49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3"/>
      <c r="AZ394" s="81"/>
      <c r="BB394" s="5"/>
      <c r="BC394" s="5"/>
    </row>
    <row r="395" spans="1:55" x14ac:dyDescent="0.25">
      <c r="A395" s="51">
        <v>41759</v>
      </c>
      <c r="B395" s="54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6"/>
      <c r="AI395" s="49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3"/>
      <c r="AZ395" s="81"/>
      <c r="BB395" s="5"/>
      <c r="BC395" s="5"/>
    </row>
    <row r="396" spans="1:55" x14ac:dyDescent="0.25">
      <c r="A396" s="51">
        <v>41761</v>
      </c>
      <c r="B396" s="54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6"/>
      <c r="AI396" s="49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3"/>
      <c r="AZ396" s="81"/>
      <c r="BB396" s="5"/>
      <c r="BC396" s="5"/>
    </row>
    <row r="397" spans="1:55" x14ac:dyDescent="0.25">
      <c r="A397" s="51">
        <v>41764</v>
      </c>
      <c r="B397" s="54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6"/>
      <c r="AI397" s="49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3"/>
      <c r="AZ397" s="81"/>
      <c r="BB397" s="5"/>
      <c r="BC397" s="5"/>
    </row>
    <row r="398" spans="1:55" x14ac:dyDescent="0.25">
      <c r="A398" s="51">
        <v>41765</v>
      </c>
      <c r="B398" s="54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6"/>
      <c r="AI398" s="49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3"/>
      <c r="AZ398" s="81"/>
      <c r="BB398" s="5"/>
      <c r="BC398" s="5"/>
    </row>
    <row r="399" spans="1:55" x14ac:dyDescent="0.25">
      <c r="A399" s="51">
        <v>41766</v>
      </c>
      <c r="B399" s="54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6"/>
      <c r="AI399" s="49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3"/>
      <c r="AZ399" s="81"/>
      <c r="BB399" s="5"/>
      <c r="BC399" s="5"/>
    </row>
    <row r="400" spans="1:55" x14ac:dyDescent="0.25">
      <c r="A400" s="51">
        <v>41767</v>
      </c>
      <c r="B400" s="54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6"/>
      <c r="AI400" s="49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3"/>
      <c r="AZ400" s="81"/>
      <c r="BB400" s="5"/>
      <c r="BC400" s="5"/>
    </row>
    <row r="401" spans="1:55" x14ac:dyDescent="0.25">
      <c r="A401" s="51">
        <v>41768</v>
      </c>
      <c r="B401" s="54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6"/>
      <c r="AI401" s="49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3"/>
      <c r="AZ401" s="81"/>
      <c r="BB401" s="5"/>
      <c r="BC401" s="5"/>
    </row>
    <row r="402" spans="1:55" x14ac:dyDescent="0.25">
      <c r="A402" s="51">
        <v>41771</v>
      </c>
      <c r="B402" s="54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6"/>
      <c r="AI402" s="49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3"/>
      <c r="AZ402" s="81"/>
      <c r="BB402" s="5"/>
      <c r="BC402" s="5"/>
    </row>
    <row r="403" spans="1:55" x14ac:dyDescent="0.25">
      <c r="A403" s="51">
        <v>41772</v>
      </c>
      <c r="B403" s="5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6"/>
      <c r="AI403" s="49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3"/>
      <c r="AZ403" s="81"/>
      <c r="BB403" s="5"/>
      <c r="BC403" s="5"/>
    </row>
    <row r="404" spans="1:55" x14ac:dyDescent="0.25">
      <c r="A404" s="51">
        <v>41773</v>
      </c>
      <c r="B404" s="5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6"/>
      <c r="AI404" s="49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3"/>
      <c r="AZ404" s="81"/>
      <c r="BB404" s="5"/>
      <c r="BC404" s="5"/>
    </row>
    <row r="405" spans="1:55" x14ac:dyDescent="0.25">
      <c r="A405" s="51">
        <v>41774</v>
      </c>
      <c r="B405" s="54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6"/>
      <c r="AI405" s="49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3"/>
      <c r="AZ405" s="81"/>
      <c r="BB405" s="5"/>
      <c r="BC405" s="5"/>
    </row>
    <row r="406" spans="1:55" x14ac:dyDescent="0.25">
      <c r="A406" s="51">
        <v>41775</v>
      </c>
      <c r="B406" s="54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6"/>
      <c r="AI406" s="49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3"/>
      <c r="AZ406" s="81"/>
      <c r="BB406" s="5"/>
      <c r="BC406" s="5"/>
    </row>
    <row r="407" spans="1:55" x14ac:dyDescent="0.25">
      <c r="A407" s="51">
        <v>41778</v>
      </c>
      <c r="B407" s="54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6"/>
      <c r="AI407" s="49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3"/>
      <c r="AZ407" s="81"/>
      <c r="BB407" s="5"/>
      <c r="BC407" s="5"/>
    </row>
    <row r="408" spans="1:55" x14ac:dyDescent="0.25">
      <c r="A408" s="51">
        <v>41779</v>
      </c>
      <c r="B408" s="54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6"/>
      <c r="AI408" s="49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3"/>
      <c r="AZ408" s="81"/>
      <c r="BB408" s="5"/>
      <c r="BC408" s="5"/>
    </row>
    <row r="409" spans="1:55" x14ac:dyDescent="0.25">
      <c r="A409" s="51">
        <v>41780</v>
      </c>
      <c r="B409" s="54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6"/>
      <c r="AI409" s="49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3"/>
      <c r="AZ409" s="81"/>
      <c r="BB409" s="5"/>
      <c r="BC409" s="5"/>
    </row>
    <row r="410" spans="1:55" x14ac:dyDescent="0.25">
      <c r="A410" s="51">
        <v>41781</v>
      </c>
      <c r="B410" s="54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6"/>
      <c r="AI410" s="49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3"/>
      <c r="AZ410" s="81"/>
      <c r="BB410" s="5"/>
      <c r="BC410" s="5"/>
    </row>
    <row r="411" spans="1:55" x14ac:dyDescent="0.25">
      <c r="A411" s="51">
        <v>41782</v>
      </c>
      <c r="B411" s="54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6"/>
      <c r="AI411" s="49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3"/>
      <c r="AZ411" s="81"/>
      <c r="BB411" s="5"/>
      <c r="BC411" s="5"/>
    </row>
    <row r="412" spans="1:55" x14ac:dyDescent="0.25">
      <c r="A412" s="51">
        <v>41785</v>
      </c>
      <c r="B412" s="54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6"/>
      <c r="AI412" s="49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3"/>
      <c r="AZ412" s="81"/>
      <c r="BB412" s="5"/>
      <c r="BC412" s="5"/>
    </row>
    <row r="413" spans="1:55" x14ac:dyDescent="0.25">
      <c r="A413" s="51">
        <v>41786</v>
      </c>
      <c r="B413" s="54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6"/>
      <c r="AI413" s="49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3"/>
      <c r="AZ413" s="81"/>
      <c r="BB413" s="5"/>
      <c r="BC413" s="5"/>
    </row>
    <row r="414" spans="1:55" x14ac:dyDescent="0.25">
      <c r="A414" s="51">
        <v>41787</v>
      </c>
      <c r="B414" s="54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6"/>
      <c r="AI414" s="49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3"/>
      <c r="AZ414" s="81"/>
      <c r="BB414" s="5"/>
      <c r="BC414" s="5"/>
    </row>
    <row r="415" spans="1:55" x14ac:dyDescent="0.25">
      <c r="A415" s="51">
        <v>41788</v>
      </c>
      <c r="B415" s="54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6"/>
      <c r="AI415" s="49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3"/>
      <c r="AZ415" s="81"/>
      <c r="BB415" s="5"/>
      <c r="BC415" s="5"/>
    </row>
    <row r="416" spans="1:55" x14ac:dyDescent="0.25">
      <c r="A416" s="51">
        <v>41789</v>
      </c>
      <c r="B416" s="54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6"/>
      <c r="AI416" s="49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3"/>
      <c r="AZ416" s="81"/>
      <c r="BB416" s="5"/>
      <c r="BC416" s="5"/>
    </row>
    <row r="417" spans="1:55" x14ac:dyDescent="0.25">
      <c r="A417" s="51">
        <v>41792</v>
      </c>
      <c r="B417" s="54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6"/>
      <c r="AI417" s="49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3"/>
      <c r="AZ417" s="81"/>
      <c r="BB417" s="5"/>
      <c r="BC417" s="5"/>
    </row>
    <row r="418" spans="1:55" x14ac:dyDescent="0.25">
      <c r="A418" s="51">
        <v>41793</v>
      </c>
      <c r="B418" s="54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6"/>
      <c r="AI418" s="49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3"/>
      <c r="AZ418" s="81"/>
      <c r="BB418" s="5"/>
      <c r="BC418" s="5"/>
    </row>
    <row r="419" spans="1:55" x14ac:dyDescent="0.25">
      <c r="A419" s="51">
        <v>41794</v>
      </c>
      <c r="B419" s="54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6"/>
      <c r="AI419" s="49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3"/>
      <c r="AZ419" s="81"/>
      <c r="BB419" s="5"/>
      <c r="BC419" s="5"/>
    </row>
    <row r="420" spans="1:55" x14ac:dyDescent="0.25">
      <c r="A420" s="51">
        <v>41795</v>
      </c>
      <c r="B420" s="54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6"/>
      <c r="AI420" s="49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3"/>
      <c r="AZ420" s="81"/>
      <c r="BB420" s="5"/>
      <c r="BC420" s="5"/>
    </row>
    <row r="421" spans="1:55" x14ac:dyDescent="0.25">
      <c r="A421" s="51">
        <v>41796</v>
      </c>
      <c r="B421" s="5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6"/>
      <c r="AI421" s="49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3"/>
      <c r="AZ421" s="81"/>
      <c r="BB421" s="5"/>
      <c r="BC421" s="5"/>
    </row>
    <row r="422" spans="1:55" x14ac:dyDescent="0.25">
      <c r="A422" s="51">
        <v>41799</v>
      </c>
      <c r="B422" s="5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6"/>
      <c r="AI422" s="49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3"/>
      <c r="AZ422" s="81"/>
      <c r="BB422" s="5"/>
      <c r="BC422" s="5"/>
    </row>
    <row r="423" spans="1:55" x14ac:dyDescent="0.25">
      <c r="A423" s="51">
        <v>41800</v>
      </c>
      <c r="B423" s="54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6"/>
      <c r="AI423" s="49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3"/>
      <c r="AZ423" s="81"/>
      <c r="BB423" s="5"/>
      <c r="BC423" s="5"/>
    </row>
    <row r="424" spans="1:55" x14ac:dyDescent="0.25">
      <c r="A424" s="51">
        <v>41801</v>
      </c>
      <c r="B424" s="54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6"/>
      <c r="AI424" s="49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3"/>
      <c r="AZ424" s="81"/>
      <c r="BB424" s="5"/>
      <c r="BC424" s="5"/>
    </row>
    <row r="425" spans="1:55" x14ac:dyDescent="0.25">
      <c r="A425" s="51">
        <v>41802</v>
      </c>
      <c r="B425" s="54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6"/>
      <c r="AI425" s="49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3"/>
      <c r="AZ425" s="81"/>
      <c r="BB425" s="5"/>
      <c r="BC425" s="5"/>
    </row>
    <row r="426" spans="1:55" x14ac:dyDescent="0.25">
      <c r="A426" s="51">
        <v>41803</v>
      </c>
      <c r="B426" s="54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6"/>
      <c r="AI426" s="49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3"/>
      <c r="AZ426" s="81"/>
      <c r="BB426" s="5"/>
      <c r="BC426" s="5"/>
    </row>
    <row r="427" spans="1:55" x14ac:dyDescent="0.25">
      <c r="A427" s="51">
        <v>41806</v>
      </c>
      <c r="B427" s="54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6"/>
      <c r="AI427" s="49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3"/>
      <c r="AZ427" s="81"/>
      <c r="BB427" s="5"/>
      <c r="BC427" s="5"/>
    </row>
    <row r="428" spans="1:55" x14ac:dyDescent="0.25">
      <c r="A428" s="51">
        <v>41807</v>
      </c>
      <c r="B428" s="54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6"/>
      <c r="AI428" s="49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3"/>
      <c r="AZ428" s="81"/>
      <c r="BB428" s="5"/>
      <c r="BC428" s="5"/>
    </row>
    <row r="429" spans="1:55" x14ac:dyDescent="0.25">
      <c r="A429" s="51">
        <v>41808</v>
      </c>
      <c r="B429" s="54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6"/>
      <c r="AI429" s="49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3"/>
      <c r="AZ429" s="81"/>
      <c r="BB429" s="5"/>
      <c r="BC429" s="5"/>
    </row>
    <row r="430" spans="1:55" x14ac:dyDescent="0.25">
      <c r="A430" s="51">
        <v>41809</v>
      </c>
      <c r="B430" s="54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6"/>
      <c r="AI430" s="49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3"/>
      <c r="AZ430" s="81"/>
      <c r="BB430" s="5"/>
      <c r="BC430" s="5"/>
    </row>
    <row r="431" spans="1:55" x14ac:dyDescent="0.25">
      <c r="A431" s="51">
        <v>41810</v>
      </c>
      <c r="B431" s="54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6"/>
      <c r="AI431" s="49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3"/>
      <c r="AZ431" s="81"/>
      <c r="BB431" s="5"/>
      <c r="BC431" s="5"/>
    </row>
    <row r="432" spans="1:55" x14ac:dyDescent="0.25">
      <c r="A432" s="51">
        <v>41813</v>
      </c>
      <c r="B432" s="54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6"/>
      <c r="AI432" s="49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3"/>
      <c r="AZ432" s="81"/>
      <c r="BB432" s="5"/>
      <c r="BC432" s="5"/>
    </row>
    <row r="433" spans="1:55" x14ac:dyDescent="0.25">
      <c r="A433" s="51">
        <v>41814</v>
      </c>
      <c r="B433" s="54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6"/>
      <c r="AI433" s="49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3"/>
      <c r="AZ433" s="81"/>
      <c r="BB433" s="5"/>
      <c r="BC433" s="5"/>
    </row>
    <row r="434" spans="1:55" x14ac:dyDescent="0.25">
      <c r="A434" s="51">
        <v>41815</v>
      </c>
      <c r="B434" s="54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6"/>
      <c r="AI434" s="49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3"/>
      <c r="AZ434" s="81"/>
      <c r="BB434" s="5"/>
      <c r="BC434" s="5"/>
    </row>
    <row r="435" spans="1:55" x14ac:dyDescent="0.25">
      <c r="A435" s="51">
        <v>41816</v>
      </c>
      <c r="B435" s="54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6"/>
      <c r="AI435" s="49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3"/>
      <c r="AZ435" s="81"/>
      <c r="BB435" s="5"/>
      <c r="BC435" s="5"/>
    </row>
    <row r="436" spans="1:55" x14ac:dyDescent="0.25">
      <c r="A436" s="51">
        <v>41817</v>
      </c>
      <c r="B436" s="54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6"/>
      <c r="AI436" s="49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3"/>
      <c r="AZ436" s="81"/>
      <c r="BB436" s="5"/>
      <c r="BC436" s="5"/>
    </row>
    <row r="437" spans="1:55" x14ac:dyDescent="0.25">
      <c r="A437" s="51">
        <v>41820</v>
      </c>
      <c r="B437" s="54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6"/>
      <c r="AI437" s="49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3"/>
      <c r="AZ437" s="81"/>
      <c r="BB437" s="5"/>
      <c r="BC437" s="5"/>
    </row>
    <row r="438" spans="1:55" x14ac:dyDescent="0.25">
      <c r="A438" s="51">
        <v>41821</v>
      </c>
      <c r="B438" s="54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6"/>
      <c r="AI438" s="49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3"/>
      <c r="AZ438" s="81"/>
      <c r="BB438" s="5"/>
      <c r="BC438" s="5"/>
    </row>
    <row r="439" spans="1:55" x14ac:dyDescent="0.25">
      <c r="A439" s="51">
        <v>41822</v>
      </c>
      <c r="B439" s="5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6"/>
      <c r="AI439" s="49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3"/>
      <c r="AZ439" s="81"/>
      <c r="BB439" s="5"/>
      <c r="BC439" s="5"/>
    </row>
    <row r="440" spans="1:55" x14ac:dyDescent="0.25">
      <c r="A440" s="51">
        <v>41823</v>
      </c>
      <c r="B440" s="5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6"/>
      <c r="AI440" s="49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3"/>
      <c r="AZ440" s="81"/>
      <c r="BB440" s="5"/>
      <c r="BC440" s="5"/>
    </row>
    <row r="441" spans="1:55" x14ac:dyDescent="0.25">
      <c r="A441" s="51">
        <v>41824</v>
      </c>
      <c r="B441" s="54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6"/>
      <c r="AI441" s="49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3"/>
      <c r="AZ441" s="81"/>
      <c r="BB441" s="5"/>
      <c r="BC441" s="5"/>
    </row>
    <row r="442" spans="1:55" x14ac:dyDescent="0.25">
      <c r="A442" s="51">
        <v>41827</v>
      </c>
      <c r="B442" s="54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6"/>
      <c r="AI442" s="49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3"/>
      <c r="AZ442" s="81"/>
      <c r="BB442" s="5"/>
      <c r="BC442" s="5"/>
    </row>
    <row r="443" spans="1:55" x14ac:dyDescent="0.25">
      <c r="A443" s="51">
        <v>41828</v>
      </c>
      <c r="B443" s="54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6"/>
      <c r="AI443" s="49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3"/>
      <c r="AZ443" s="81"/>
      <c r="BB443" s="5"/>
      <c r="BC443" s="5"/>
    </row>
    <row r="444" spans="1:55" x14ac:dyDescent="0.25">
      <c r="A444" s="51">
        <v>41829</v>
      </c>
      <c r="B444" s="54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6"/>
      <c r="AI444" s="49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3"/>
      <c r="AZ444" s="81"/>
      <c r="BB444" s="5"/>
      <c r="BC444" s="5"/>
    </row>
    <row r="445" spans="1:55" x14ac:dyDescent="0.25">
      <c r="A445" s="51">
        <v>41830</v>
      </c>
      <c r="B445" s="54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6"/>
      <c r="AI445" s="49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3"/>
      <c r="AZ445" s="81"/>
      <c r="BB445" s="5"/>
      <c r="BC445" s="5"/>
    </row>
    <row r="446" spans="1:55" x14ac:dyDescent="0.25">
      <c r="A446" s="51">
        <v>41831</v>
      </c>
      <c r="B446" s="54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6"/>
      <c r="AI446" s="49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3"/>
      <c r="AZ446" s="81"/>
      <c r="BB446" s="5"/>
      <c r="BC446" s="5"/>
    </row>
    <row r="447" spans="1:55" x14ac:dyDescent="0.25">
      <c r="A447" s="51">
        <v>41834</v>
      </c>
      <c r="B447" s="54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6"/>
      <c r="AI447" s="49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3"/>
      <c r="AZ447" s="81"/>
      <c r="BB447" s="5"/>
      <c r="BC447" s="5"/>
    </row>
    <row r="448" spans="1:55" x14ac:dyDescent="0.25">
      <c r="A448" s="51">
        <v>41835</v>
      </c>
      <c r="B448" s="54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6"/>
      <c r="AI448" s="49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3"/>
      <c r="AZ448" s="81"/>
      <c r="BB448" s="5"/>
      <c r="BC448" s="5"/>
    </row>
    <row r="449" spans="1:55" x14ac:dyDescent="0.25">
      <c r="A449" s="51">
        <v>41836</v>
      </c>
      <c r="B449" s="54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6"/>
      <c r="AI449" s="49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3"/>
      <c r="AZ449" s="81"/>
      <c r="BB449" s="5"/>
      <c r="BC449" s="5"/>
    </row>
    <row r="450" spans="1:55" x14ac:dyDescent="0.25">
      <c r="A450" s="51">
        <v>41837</v>
      </c>
      <c r="B450" s="54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6"/>
      <c r="AI450" s="49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3"/>
      <c r="AZ450" s="81"/>
      <c r="BB450" s="5"/>
      <c r="BC450" s="5"/>
    </row>
    <row r="451" spans="1:55" x14ac:dyDescent="0.25">
      <c r="A451" s="51">
        <v>41838</v>
      </c>
      <c r="B451" s="54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6"/>
      <c r="AI451" s="49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3"/>
      <c r="AZ451" s="81"/>
      <c r="BB451" s="5"/>
      <c r="BC451" s="5"/>
    </row>
    <row r="452" spans="1:55" x14ac:dyDescent="0.25">
      <c r="A452" s="51">
        <v>41841</v>
      </c>
      <c r="B452" s="54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6"/>
      <c r="AI452" s="49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3"/>
      <c r="AZ452" s="81"/>
      <c r="BB452" s="5"/>
      <c r="BC452" s="5"/>
    </row>
    <row r="453" spans="1:55" x14ac:dyDescent="0.25">
      <c r="A453" s="51">
        <v>41842</v>
      </c>
      <c r="B453" s="54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6"/>
      <c r="AI453" s="49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3"/>
      <c r="AZ453" s="81"/>
      <c r="BB453" s="5"/>
      <c r="BC453" s="5"/>
    </row>
    <row r="454" spans="1:55" x14ac:dyDescent="0.25">
      <c r="A454" s="51">
        <v>41843</v>
      </c>
      <c r="B454" s="54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6"/>
      <c r="AI454" s="49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3"/>
      <c r="AZ454" s="81"/>
      <c r="BB454" s="5"/>
      <c r="BC454" s="5"/>
    </row>
    <row r="455" spans="1:55" x14ac:dyDescent="0.25">
      <c r="A455" s="51">
        <v>41844</v>
      </c>
      <c r="B455" s="54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6"/>
      <c r="AI455" s="49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3"/>
      <c r="AZ455" s="81"/>
      <c r="BB455" s="5"/>
      <c r="BC455" s="5"/>
    </row>
    <row r="456" spans="1:55" x14ac:dyDescent="0.25">
      <c r="A456" s="51">
        <v>41845</v>
      </c>
      <c r="B456" s="54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6"/>
      <c r="AI456" s="49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3"/>
      <c r="AZ456" s="81"/>
      <c r="BB456" s="5"/>
      <c r="BC456" s="5"/>
    </row>
    <row r="457" spans="1:55" x14ac:dyDescent="0.25">
      <c r="A457" s="51">
        <v>41850</v>
      </c>
      <c r="B457" s="5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6"/>
      <c r="AI457" s="49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3"/>
      <c r="AZ457" s="81"/>
      <c r="BB457" s="5"/>
      <c r="BC457" s="5"/>
    </row>
    <row r="458" spans="1:55" x14ac:dyDescent="0.25">
      <c r="A458" s="51">
        <v>41851</v>
      </c>
      <c r="B458" s="5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6"/>
      <c r="AI458" s="49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3"/>
      <c r="AZ458" s="81"/>
      <c r="BB458" s="5"/>
      <c r="BC458" s="5"/>
    </row>
    <row r="459" spans="1:55" x14ac:dyDescent="0.25">
      <c r="A459" s="51">
        <v>41852</v>
      </c>
      <c r="B459" s="54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6"/>
      <c r="AI459" s="49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3"/>
      <c r="AZ459" s="81"/>
      <c r="BB459" s="5"/>
      <c r="BC459" s="5"/>
    </row>
    <row r="460" spans="1:55" x14ac:dyDescent="0.25">
      <c r="A460" s="51">
        <v>41855</v>
      </c>
      <c r="B460" s="54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6"/>
      <c r="AI460" s="49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3"/>
      <c r="AZ460" s="81"/>
      <c r="BB460" s="5"/>
      <c r="BC460" s="5"/>
    </row>
    <row r="461" spans="1:55" x14ac:dyDescent="0.25">
      <c r="A461" s="51">
        <v>41856</v>
      </c>
      <c r="B461" s="54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6"/>
      <c r="AI461" s="49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3"/>
      <c r="AZ461" s="81"/>
      <c r="BB461" s="5"/>
      <c r="BC461" s="5"/>
    </row>
    <row r="462" spans="1:55" x14ac:dyDescent="0.25">
      <c r="A462" s="51">
        <v>41857</v>
      </c>
      <c r="B462" s="54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6"/>
      <c r="AI462" s="49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3"/>
      <c r="AZ462" s="81"/>
      <c r="BB462" s="5"/>
      <c r="BC462" s="5"/>
    </row>
    <row r="463" spans="1:55" x14ac:dyDescent="0.25">
      <c r="A463" s="51">
        <v>41858</v>
      </c>
      <c r="B463" s="54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6"/>
      <c r="AI463" s="49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3"/>
      <c r="AZ463" s="81"/>
      <c r="BB463" s="5"/>
      <c r="BC463" s="5"/>
    </row>
    <row r="464" spans="1:55" x14ac:dyDescent="0.25">
      <c r="A464" s="51">
        <v>41859</v>
      </c>
      <c r="B464" s="54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6"/>
      <c r="AI464" s="49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3"/>
      <c r="AZ464" s="81"/>
      <c r="BB464" s="5"/>
      <c r="BC464" s="5"/>
    </row>
    <row r="465" spans="1:55" x14ac:dyDescent="0.25">
      <c r="A465" s="51">
        <v>41862</v>
      </c>
      <c r="B465" s="54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6"/>
      <c r="AI465" s="49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3"/>
      <c r="AZ465" s="81"/>
      <c r="BB465" s="5"/>
      <c r="BC465" s="5"/>
    </row>
    <row r="466" spans="1:55" x14ac:dyDescent="0.25">
      <c r="A466" s="51">
        <v>41863</v>
      </c>
      <c r="B466" s="54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6"/>
      <c r="AI466" s="49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3"/>
      <c r="AZ466" s="81"/>
      <c r="BB466" s="5"/>
      <c r="BC466" s="5"/>
    </row>
    <row r="467" spans="1:55" x14ac:dyDescent="0.25">
      <c r="A467" s="51">
        <v>41864</v>
      </c>
      <c r="B467" s="54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6"/>
      <c r="AI467" s="49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3"/>
      <c r="AZ467" s="81"/>
      <c r="BB467" s="5"/>
      <c r="BC467" s="5"/>
    </row>
    <row r="468" spans="1:55" x14ac:dyDescent="0.25">
      <c r="A468" s="51">
        <v>41865</v>
      </c>
      <c r="B468" s="54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6"/>
      <c r="AI468" s="49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3"/>
      <c r="AZ468" s="81"/>
      <c r="BB468" s="5"/>
      <c r="BC468" s="5"/>
    </row>
    <row r="469" spans="1:55" x14ac:dyDescent="0.25">
      <c r="A469" s="51">
        <v>41866</v>
      </c>
      <c r="B469" s="54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6"/>
      <c r="AI469" s="49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3"/>
      <c r="AZ469" s="81"/>
      <c r="BB469" s="5"/>
      <c r="BC469" s="5"/>
    </row>
    <row r="470" spans="1:55" x14ac:dyDescent="0.25">
      <c r="A470" s="51">
        <v>41869</v>
      </c>
      <c r="B470" s="54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6"/>
      <c r="AI470" s="49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3"/>
      <c r="AZ470" s="81"/>
      <c r="BB470" s="5"/>
      <c r="BC470" s="5"/>
    </row>
    <row r="471" spans="1:55" x14ac:dyDescent="0.25">
      <c r="A471" s="51">
        <v>41870</v>
      </c>
      <c r="B471" s="54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6"/>
      <c r="AI471" s="49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3"/>
      <c r="AZ471" s="81"/>
      <c r="BB471" s="5"/>
      <c r="BC471" s="5"/>
    </row>
    <row r="472" spans="1:55" x14ac:dyDescent="0.25">
      <c r="A472" s="51">
        <v>41871</v>
      </c>
      <c r="B472" s="54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6"/>
      <c r="AI472" s="49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3"/>
      <c r="AZ472" s="81"/>
      <c r="BB472" s="5"/>
      <c r="BC472" s="5"/>
    </row>
    <row r="473" spans="1:55" x14ac:dyDescent="0.25">
      <c r="A473" s="51">
        <v>41872</v>
      </c>
      <c r="B473" s="54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6"/>
      <c r="AI473" s="49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3"/>
      <c r="AZ473" s="81"/>
      <c r="BB473" s="5"/>
      <c r="BC473" s="5"/>
    </row>
    <row r="474" spans="1:55" x14ac:dyDescent="0.25">
      <c r="A474" s="51">
        <v>41873</v>
      </c>
      <c r="B474" s="54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6"/>
      <c r="AI474" s="49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3"/>
      <c r="AZ474" s="81"/>
      <c r="BB474" s="5"/>
      <c r="BC474" s="5"/>
    </row>
    <row r="475" spans="1:55" x14ac:dyDescent="0.25">
      <c r="A475" s="51">
        <v>41876</v>
      </c>
      <c r="B475" s="5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6"/>
      <c r="AI475" s="49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3"/>
      <c r="AZ475" s="81"/>
      <c r="BB475" s="5"/>
      <c r="BC475" s="5"/>
    </row>
    <row r="476" spans="1:55" x14ac:dyDescent="0.25">
      <c r="A476" s="51">
        <v>41877</v>
      </c>
      <c r="B476" s="5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6"/>
      <c r="AI476" s="49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3"/>
      <c r="AZ476" s="81"/>
      <c r="BB476" s="5"/>
      <c r="BC476" s="5"/>
    </row>
    <row r="477" spans="1:55" x14ac:dyDescent="0.25">
      <c r="A477" s="51">
        <v>41878</v>
      </c>
      <c r="B477" s="54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6"/>
      <c r="AI477" s="49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3"/>
      <c r="AZ477" s="81"/>
      <c r="BB477" s="5"/>
      <c r="BC477" s="5"/>
    </row>
    <row r="478" spans="1:55" x14ac:dyDescent="0.25">
      <c r="A478" s="51">
        <v>41879</v>
      </c>
      <c r="B478" s="54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6"/>
      <c r="AI478" s="49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3"/>
      <c r="AZ478" s="81"/>
      <c r="BB478" s="5"/>
      <c r="BC478" s="5"/>
    </row>
    <row r="479" spans="1:55" x14ac:dyDescent="0.25">
      <c r="A479" s="51">
        <v>41880</v>
      </c>
      <c r="B479" s="54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6"/>
      <c r="AI479" s="49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3"/>
      <c r="AZ479" s="81"/>
      <c r="BB479" s="5"/>
      <c r="BC479" s="5"/>
    </row>
    <row r="480" spans="1:55" x14ac:dyDescent="0.25">
      <c r="A480" s="51">
        <v>41883</v>
      </c>
      <c r="B480" s="54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6"/>
      <c r="AI480" s="49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3"/>
      <c r="AZ480" s="81"/>
      <c r="BB480" s="5"/>
      <c r="BC480" s="5"/>
    </row>
    <row r="481" spans="1:55" x14ac:dyDescent="0.25">
      <c r="A481" s="51">
        <v>41884</v>
      </c>
      <c r="B481" s="54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6"/>
      <c r="AI481" s="49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3"/>
      <c r="AZ481" s="81"/>
      <c r="BB481" s="5"/>
      <c r="BC481" s="5"/>
    </row>
    <row r="482" spans="1:55" x14ac:dyDescent="0.25">
      <c r="A482" s="51">
        <v>41885</v>
      </c>
      <c r="B482" s="54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6"/>
      <c r="AI482" s="49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3"/>
      <c r="AZ482" s="81"/>
      <c r="BB482" s="5"/>
      <c r="BC482" s="5"/>
    </row>
    <row r="483" spans="1:55" x14ac:dyDescent="0.25">
      <c r="A483" s="51">
        <v>41886</v>
      </c>
      <c r="B483" s="54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6"/>
      <c r="AI483" s="49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3"/>
      <c r="AZ483" s="81"/>
      <c r="BB483" s="5"/>
      <c r="BC483" s="5"/>
    </row>
    <row r="484" spans="1:55" x14ac:dyDescent="0.25">
      <c r="A484" s="51">
        <v>41887</v>
      </c>
      <c r="B484" s="54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6"/>
      <c r="AI484" s="49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3"/>
      <c r="AZ484" s="81"/>
      <c r="BB484" s="5"/>
      <c r="BC484" s="5"/>
    </row>
    <row r="485" spans="1:55" x14ac:dyDescent="0.25">
      <c r="A485" s="51">
        <v>41890</v>
      </c>
      <c r="B485" s="54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6"/>
      <c r="AI485" s="49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3"/>
      <c r="AZ485" s="81"/>
      <c r="BB485" s="5"/>
      <c r="BC485" s="5"/>
    </row>
    <row r="486" spans="1:55" x14ac:dyDescent="0.25">
      <c r="A486" s="51">
        <v>41891</v>
      </c>
      <c r="B486" s="54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6"/>
      <c r="AI486" s="49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3"/>
      <c r="AZ486" s="81"/>
      <c r="BB486" s="5"/>
      <c r="BC486" s="5"/>
    </row>
    <row r="487" spans="1:55" x14ac:dyDescent="0.25">
      <c r="A487" s="51">
        <v>41892</v>
      </c>
      <c r="B487" s="54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6"/>
      <c r="AI487" s="49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3"/>
      <c r="AZ487" s="81"/>
      <c r="BB487" s="5"/>
      <c r="BC487" s="5"/>
    </row>
    <row r="488" spans="1:55" x14ac:dyDescent="0.25">
      <c r="A488" s="51">
        <v>41893</v>
      </c>
      <c r="B488" s="54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6"/>
      <c r="AI488" s="49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3"/>
      <c r="AZ488" s="81"/>
      <c r="BB488" s="5"/>
      <c r="BC488" s="5"/>
    </row>
    <row r="489" spans="1:55" x14ac:dyDescent="0.25">
      <c r="A489" s="51">
        <v>41894</v>
      </c>
      <c r="B489" s="54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6"/>
      <c r="AI489" s="49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3"/>
      <c r="AZ489" s="81"/>
      <c r="BB489" s="5"/>
      <c r="BC489" s="5"/>
    </row>
    <row r="490" spans="1:55" x14ac:dyDescent="0.25">
      <c r="A490" s="51">
        <v>41897</v>
      </c>
      <c r="B490" s="54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6"/>
      <c r="AI490" s="49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3"/>
      <c r="AZ490" s="81"/>
      <c r="BB490" s="5"/>
      <c r="BC490" s="5"/>
    </row>
    <row r="491" spans="1:55" x14ac:dyDescent="0.25">
      <c r="A491" s="51">
        <v>41898</v>
      </c>
      <c r="B491" s="54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6"/>
      <c r="AI491" s="49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3"/>
      <c r="AZ491" s="81"/>
      <c r="BB491" s="5"/>
      <c r="BC491" s="5"/>
    </row>
    <row r="492" spans="1:55" x14ac:dyDescent="0.25">
      <c r="A492" s="51">
        <v>41899</v>
      </c>
      <c r="B492" s="54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6"/>
      <c r="AI492" s="49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3"/>
      <c r="AZ492" s="81"/>
      <c r="BB492" s="5"/>
      <c r="BC492" s="5"/>
    </row>
    <row r="493" spans="1:55" x14ac:dyDescent="0.25">
      <c r="A493" s="51">
        <v>41900</v>
      </c>
      <c r="B493" s="5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6"/>
      <c r="AI493" s="49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3"/>
      <c r="AZ493" s="81"/>
      <c r="BB493" s="5"/>
      <c r="BC493" s="5"/>
    </row>
    <row r="494" spans="1:55" x14ac:dyDescent="0.25">
      <c r="A494" s="51">
        <v>41901</v>
      </c>
      <c r="B494" s="5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6"/>
      <c r="AI494" s="49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3"/>
      <c r="AZ494" s="81"/>
      <c r="BB494" s="5"/>
      <c r="BC494" s="5"/>
    </row>
    <row r="495" spans="1:55" x14ac:dyDescent="0.25">
      <c r="A495" s="51">
        <v>41904</v>
      </c>
      <c r="B495" s="54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6"/>
      <c r="AI495" s="49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3"/>
      <c r="AZ495" s="81"/>
      <c r="BB495" s="5"/>
      <c r="BC495" s="5"/>
    </row>
    <row r="496" spans="1:55" x14ac:dyDescent="0.25">
      <c r="A496" s="51">
        <v>41905</v>
      </c>
      <c r="B496" s="54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6"/>
      <c r="AI496" s="49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3"/>
      <c r="AZ496" s="81"/>
      <c r="BB496" s="5"/>
      <c r="BC496" s="5"/>
    </row>
    <row r="497" spans="1:55" x14ac:dyDescent="0.25">
      <c r="A497" s="51">
        <v>41906</v>
      </c>
      <c r="B497" s="54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6"/>
      <c r="AI497" s="49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3"/>
      <c r="AZ497" s="81"/>
      <c r="BB497" s="5"/>
      <c r="BC497" s="5"/>
    </row>
    <row r="498" spans="1:55" x14ac:dyDescent="0.25">
      <c r="A498" s="51">
        <v>41907</v>
      </c>
      <c r="B498" s="54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6"/>
      <c r="AI498" s="49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3"/>
      <c r="AZ498" s="81"/>
      <c r="BB498" s="5"/>
      <c r="BC498" s="5"/>
    </row>
    <row r="499" spans="1:55" x14ac:dyDescent="0.25">
      <c r="A499" s="51">
        <v>41908</v>
      </c>
      <c r="B499" s="54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6"/>
      <c r="AI499" s="49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3"/>
      <c r="AZ499" s="81"/>
      <c r="BB499" s="5"/>
      <c r="BC499" s="5"/>
    </row>
    <row r="500" spans="1:55" x14ac:dyDescent="0.25">
      <c r="A500" s="51">
        <v>41911</v>
      </c>
      <c r="B500" s="54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6"/>
      <c r="AI500" s="49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3"/>
      <c r="AZ500" s="81"/>
      <c r="BB500" s="5"/>
      <c r="BC500" s="5"/>
    </row>
    <row r="501" spans="1:55" x14ac:dyDescent="0.25">
      <c r="A501" s="51">
        <v>41912</v>
      </c>
      <c r="B501" s="54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6"/>
      <c r="AI501" s="49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3"/>
      <c r="AZ501" s="81"/>
      <c r="BB501" s="5"/>
      <c r="BC501" s="5"/>
    </row>
    <row r="502" spans="1:55" x14ac:dyDescent="0.25">
      <c r="A502" s="51">
        <v>41913</v>
      </c>
      <c r="B502" s="54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6"/>
      <c r="AI502" s="49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3"/>
      <c r="AZ502" s="81"/>
      <c r="BB502" s="5"/>
      <c r="BC502" s="5"/>
    </row>
    <row r="503" spans="1:55" x14ac:dyDescent="0.25">
      <c r="A503" s="51">
        <v>41914</v>
      </c>
      <c r="B503" s="54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6"/>
      <c r="AI503" s="49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3"/>
      <c r="AZ503" s="81"/>
      <c r="BB503" s="5"/>
      <c r="BC503" s="5"/>
    </row>
    <row r="504" spans="1:55" x14ac:dyDescent="0.25">
      <c r="A504" s="51">
        <v>41915</v>
      </c>
      <c r="B504" s="54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6"/>
      <c r="AI504" s="49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3"/>
      <c r="AZ504" s="81"/>
      <c r="BB504" s="5"/>
      <c r="BC504" s="5"/>
    </row>
    <row r="505" spans="1:55" x14ac:dyDescent="0.25">
      <c r="A505" s="51">
        <v>41918</v>
      </c>
      <c r="B505" s="54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6"/>
      <c r="AI505" s="49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3"/>
      <c r="AZ505" s="81"/>
      <c r="BB505" s="5"/>
      <c r="BC505" s="5"/>
    </row>
    <row r="506" spans="1:55" x14ac:dyDescent="0.25">
      <c r="A506" s="51">
        <v>41919</v>
      </c>
      <c r="B506" s="54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6"/>
      <c r="AI506" s="49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3"/>
      <c r="AZ506" s="81"/>
      <c r="BB506" s="5"/>
      <c r="BC506" s="5"/>
    </row>
    <row r="507" spans="1:55" x14ac:dyDescent="0.25">
      <c r="A507" s="51">
        <v>41921</v>
      </c>
      <c r="B507" s="54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6"/>
      <c r="AI507" s="49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3"/>
      <c r="AZ507" s="81"/>
      <c r="BB507" s="5"/>
      <c r="BC507" s="5"/>
    </row>
    <row r="508" spans="1:55" x14ac:dyDescent="0.25">
      <c r="A508" s="51">
        <v>41922</v>
      </c>
      <c r="B508" s="54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6"/>
      <c r="AI508" s="49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3"/>
      <c r="AZ508" s="81"/>
      <c r="BB508" s="5"/>
      <c r="BC508" s="5"/>
    </row>
    <row r="509" spans="1:55" x14ac:dyDescent="0.25">
      <c r="A509" s="51">
        <v>41925</v>
      </c>
      <c r="B509" s="54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6"/>
      <c r="AI509" s="49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3"/>
      <c r="AZ509" s="81"/>
      <c r="BB509" s="5"/>
      <c r="BC509" s="5"/>
    </row>
    <row r="510" spans="1:55" x14ac:dyDescent="0.25">
      <c r="A510" s="51">
        <v>41926</v>
      </c>
      <c r="B510" s="54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6"/>
      <c r="AI510" s="49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3"/>
      <c r="AZ510" s="81"/>
      <c r="BB510" s="5"/>
      <c r="BC510" s="5"/>
    </row>
    <row r="511" spans="1:55" x14ac:dyDescent="0.25">
      <c r="A511" s="51">
        <v>41927</v>
      </c>
      <c r="B511" s="5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6"/>
      <c r="AI511" s="49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3"/>
      <c r="AZ511" s="81"/>
      <c r="BB511" s="5"/>
      <c r="BC511" s="5"/>
    </row>
    <row r="512" spans="1:55" x14ac:dyDescent="0.25">
      <c r="A512" s="51">
        <v>41928</v>
      </c>
      <c r="B512" s="5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6"/>
      <c r="AI512" s="49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3"/>
      <c r="AZ512" s="81"/>
      <c r="BB512" s="5"/>
      <c r="BC512" s="5"/>
    </row>
    <row r="513" spans="1:55" x14ac:dyDescent="0.25">
      <c r="A513" s="51">
        <v>41929</v>
      </c>
      <c r="B513" s="54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6"/>
      <c r="AI513" s="49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3"/>
      <c r="AZ513" s="81"/>
      <c r="BB513" s="5"/>
      <c r="BC513" s="5"/>
    </row>
    <row r="514" spans="1:55" x14ac:dyDescent="0.25">
      <c r="A514" s="51">
        <v>41932</v>
      </c>
      <c r="B514" s="54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6"/>
      <c r="AI514" s="49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3"/>
      <c r="AZ514" s="81"/>
      <c r="BB514" s="5"/>
      <c r="BC514" s="5"/>
    </row>
    <row r="515" spans="1:55" x14ac:dyDescent="0.25">
      <c r="A515" s="51">
        <v>41933</v>
      </c>
      <c r="B515" s="54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6"/>
      <c r="AI515" s="49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3"/>
      <c r="AZ515" s="81"/>
      <c r="BB515" s="5"/>
      <c r="BC515" s="5"/>
    </row>
    <row r="516" spans="1:55" x14ac:dyDescent="0.25">
      <c r="A516" s="51">
        <v>41934</v>
      </c>
      <c r="B516" s="54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6"/>
      <c r="AI516" s="49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3"/>
      <c r="AZ516" s="81"/>
      <c r="BB516" s="5"/>
      <c r="BC516" s="5"/>
    </row>
    <row r="517" spans="1:55" x14ac:dyDescent="0.25">
      <c r="A517" s="51">
        <v>41935</v>
      </c>
      <c r="B517" s="54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6"/>
      <c r="AI517" s="49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3"/>
      <c r="AZ517" s="81"/>
      <c r="BB517" s="5"/>
      <c r="BC517" s="5"/>
    </row>
    <row r="518" spans="1:55" x14ac:dyDescent="0.25">
      <c r="A518" s="51">
        <v>41936</v>
      </c>
      <c r="B518" s="54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6"/>
      <c r="AI518" s="49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3"/>
      <c r="AZ518" s="81"/>
      <c r="BB518" s="5"/>
      <c r="BC518" s="5"/>
    </row>
    <row r="519" spans="1:55" x14ac:dyDescent="0.25">
      <c r="A519" s="51">
        <v>41939</v>
      </c>
      <c r="B519" s="54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6"/>
      <c r="AI519" s="49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3"/>
      <c r="AZ519" s="81"/>
      <c r="BB519" s="5"/>
      <c r="BC519" s="5"/>
    </row>
    <row r="520" spans="1:55" x14ac:dyDescent="0.25">
      <c r="A520" s="51">
        <v>41940</v>
      </c>
      <c r="B520" s="54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6"/>
      <c r="AI520" s="49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3"/>
      <c r="AZ520" s="81"/>
      <c r="BB520" s="5"/>
      <c r="BC520" s="5"/>
    </row>
    <row r="521" spans="1:55" x14ac:dyDescent="0.25">
      <c r="A521" s="51">
        <v>41941</v>
      </c>
      <c r="B521" s="54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6"/>
      <c r="AI521" s="49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3"/>
      <c r="AZ521" s="81"/>
      <c r="BB521" s="5"/>
      <c r="BC521" s="5"/>
    </row>
    <row r="522" spans="1:55" x14ac:dyDescent="0.25">
      <c r="A522" s="51">
        <v>41942</v>
      </c>
      <c r="B522" s="54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6"/>
      <c r="AI522" s="49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3"/>
      <c r="AZ522" s="81"/>
      <c r="BB522" s="5"/>
      <c r="BC522" s="5"/>
    </row>
    <row r="523" spans="1:55" x14ac:dyDescent="0.25">
      <c r="A523" s="51">
        <v>41943</v>
      </c>
      <c r="B523" s="54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6"/>
      <c r="AI523" s="49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3"/>
      <c r="AZ523" s="81"/>
      <c r="BB523" s="5"/>
      <c r="BC523" s="5"/>
    </row>
    <row r="524" spans="1:55" x14ac:dyDescent="0.25">
      <c r="A524" s="51">
        <v>41946</v>
      </c>
      <c r="B524" s="54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6"/>
      <c r="AI524" s="49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3"/>
      <c r="AZ524" s="81"/>
      <c r="BB524" s="5"/>
      <c r="BC524" s="5"/>
    </row>
    <row r="525" spans="1:55" x14ac:dyDescent="0.25">
      <c r="A525" s="51">
        <v>41947</v>
      </c>
      <c r="B525" s="54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6"/>
      <c r="AI525" s="49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3"/>
      <c r="AZ525" s="81"/>
      <c r="BB525" s="5"/>
      <c r="BC525" s="5"/>
    </row>
    <row r="526" spans="1:55" x14ac:dyDescent="0.25">
      <c r="A526" s="51">
        <v>41948</v>
      </c>
      <c r="B526" s="54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6"/>
      <c r="AI526" s="49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3"/>
      <c r="AZ526" s="81"/>
      <c r="BB526" s="5"/>
      <c r="BC526" s="5"/>
    </row>
    <row r="527" spans="1:55" x14ac:dyDescent="0.25">
      <c r="A527" s="51">
        <v>41949</v>
      </c>
      <c r="B527" s="54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6"/>
      <c r="AI527" s="49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3"/>
      <c r="AZ527" s="81"/>
      <c r="BB527" s="5"/>
      <c r="BC527" s="5"/>
    </row>
    <row r="528" spans="1:55" x14ac:dyDescent="0.25">
      <c r="A528" s="51">
        <v>41950</v>
      </c>
      <c r="B528" s="54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6"/>
      <c r="AI528" s="49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3"/>
      <c r="AZ528" s="81"/>
      <c r="BB528" s="5"/>
      <c r="BC528" s="5"/>
    </row>
    <row r="529" spans="1:55" x14ac:dyDescent="0.25">
      <c r="A529" s="51">
        <v>41953</v>
      </c>
      <c r="B529" s="5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6"/>
      <c r="AI529" s="49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3"/>
      <c r="AZ529" s="81"/>
      <c r="BB529" s="5"/>
      <c r="BC529" s="5"/>
    </row>
    <row r="530" spans="1:55" x14ac:dyDescent="0.25">
      <c r="A530" s="51">
        <v>41954</v>
      </c>
      <c r="B530" s="5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6"/>
      <c r="AI530" s="49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3"/>
      <c r="AZ530" s="81"/>
      <c r="BB530" s="5"/>
      <c r="BC530" s="5"/>
    </row>
    <row r="531" spans="1:55" x14ac:dyDescent="0.25">
      <c r="A531" s="51">
        <v>41955</v>
      </c>
      <c r="B531" s="54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6"/>
      <c r="AI531" s="49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3"/>
      <c r="AZ531" s="81"/>
      <c r="BB531" s="5"/>
      <c r="BC531" s="5"/>
    </row>
    <row r="532" spans="1:55" x14ac:dyDescent="0.25">
      <c r="A532" s="51">
        <v>41956</v>
      </c>
      <c r="B532" s="54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6"/>
      <c r="AI532" s="49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3"/>
      <c r="AZ532" s="81"/>
      <c r="BB532" s="5"/>
      <c r="BC532" s="5"/>
    </row>
    <row r="533" spans="1:55" x14ac:dyDescent="0.25">
      <c r="A533" s="51">
        <v>41957</v>
      </c>
      <c r="B533" s="54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6"/>
      <c r="AI533" s="49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3"/>
      <c r="AZ533" s="81"/>
      <c r="BB533" s="5"/>
      <c r="BC533" s="5"/>
    </row>
    <row r="534" spans="1:55" x14ac:dyDescent="0.25">
      <c r="A534" s="51">
        <v>41960</v>
      </c>
      <c r="B534" s="54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6"/>
      <c r="AI534" s="49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3"/>
      <c r="AZ534" s="81"/>
      <c r="BB534" s="5"/>
      <c r="BC534" s="5"/>
    </row>
    <row r="535" spans="1:55" x14ac:dyDescent="0.25">
      <c r="A535" s="51">
        <v>41961</v>
      </c>
      <c r="B535" s="54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6"/>
      <c r="AI535" s="49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3"/>
      <c r="AZ535" s="81"/>
      <c r="BB535" s="5"/>
      <c r="BC535" s="5"/>
    </row>
    <row r="536" spans="1:55" x14ac:dyDescent="0.25">
      <c r="A536" s="51">
        <v>41962</v>
      </c>
      <c r="B536" s="54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6"/>
      <c r="AI536" s="49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3"/>
      <c r="AZ536" s="81"/>
      <c r="BB536" s="5"/>
      <c r="BC536" s="5"/>
    </row>
    <row r="537" spans="1:55" x14ac:dyDescent="0.25">
      <c r="A537" s="51">
        <v>41963</v>
      </c>
      <c r="B537" s="54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6"/>
      <c r="AI537" s="49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3"/>
      <c r="AZ537" s="81"/>
      <c r="BB537" s="5"/>
      <c r="BC537" s="5"/>
    </row>
    <row r="538" spans="1:55" x14ac:dyDescent="0.25">
      <c r="A538" s="51">
        <v>41964</v>
      </c>
      <c r="B538" s="54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6"/>
      <c r="AI538" s="49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3"/>
      <c r="AZ538" s="81"/>
      <c r="BB538" s="5"/>
      <c r="BC538" s="5"/>
    </row>
    <row r="539" spans="1:55" x14ac:dyDescent="0.25">
      <c r="A539" s="51">
        <v>41967</v>
      </c>
      <c r="B539" s="54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6"/>
      <c r="AI539" s="49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3"/>
      <c r="AZ539" s="81"/>
      <c r="BB539" s="5"/>
      <c r="BC539" s="5"/>
    </row>
    <row r="540" spans="1:55" x14ac:dyDescent="0.25">
      <c r="A540" s="51">
        <v>41968</v>
      </c>
      <c r="B540" s="54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6"/>
      <c r="AI540" s="49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3"/>
      <c r="AZ540" s="81"/>
      <c r="BB540" s="5"/>
      <c r="BC540" s="5"/>
    </row>
    <row r="541" spans="1:55" x14ac:dyDescent="0.25">
      <c r="A541" s="51">
        <v>41969</v>
      </c>
      <c r="B541" s="54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6"/>
      <c r="AI541" s="49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3"/>
      <c r="AZ541" s="81"/>
      <c r="BB541" s="5"/>
      <c r="BC541" s="5"/>
    </row>
    <row r="542" spans="1:55" x14ac:dyDescent="0.25">
      <c r="A542" s="51">
        <v>41970</v>
      </c>
      <c r="B542" s="54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6"/>
      <c r="AI542" s="49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3"/>
      <c r="AZ542" s="81"/>
      <c r="BB542" s="5"/>
      <c r="BC542" s="5"/>
    </row>
    <row r="543" spans="1:55" x14ac:dyDescent="0.25">
      <c r="A543" s="51">
        <v>41971</v>
      </c>
      <c r="B543" s="54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6"/>
      <c r="AI543" s="49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3"/>
      <c r="AZ543" s="81"/>
      <c r="BB543" s="5"/>
      <c r="BC543" s="5"/>
    </row>
    <row r="544" spans="1:55" x14ac:dyDescent="0.25">
      <c r="A544" s="51">
        <v>41974</v>
      </c>
      <c r="B544" s="54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6"/>
      <c r="AI544" s="49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3"/>
      <c r="AZ544" s="81"/>
      <c r="BB544" s="5"/>
      <c r="BC544" s="5"/>
    </row>
    <row r="545" spans="1:55" x14ac:dyDescent="0.25">
      <c r="A545" s="51">
        <v>41975</v>
      </c>
      <c r="B545" s="54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6"/>
      <c r="AI545" s="49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3"/>
      <c r="AZ545" s="81"/>
      <c r="BB545" s="5"/>
      <c r="BC545" s="5"/>
    </row>
    <row r="546" spans="1:55" x14ac:dyDescent="0.25">
      <c r="A546" s="51">
        <v>41976</v>
      </c>
      <c r="B546" s="54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6"/>
      <c r="AI546" s="49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3"/>
      <c r="AZ546" s="81"/>
      <c r="BB546" s="5"/>
      <c r="BC546" s="5"/>
    </row>
    <row r="547" spans="1:55" x14ac:dyDescent="0.25">
      <c r="A547" s="51">
        <v>41977</v>
      </c>
      <c r="B547" s="5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6"/>
      <c r="AI547" s="49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3"/>
      <c r="AZ547" s="81"/>
      <c r="BB547" s="5"/>
      <c r="BC547" s="5"/>
    </row>
    <row r="548" spans="1:55" x14ac:dyDescent="0.25">
      <c r="A548" s="51">
        <v>41978</v>
      </c>
      <c r="B548" s="5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6"/>
      <c r="AI548" s="49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3"/>
      <c r="AZ548" s="81"/>
      <c r="BB548" s="5"/>
      <c r="BC548" s="5"/>
    </row>
    <row r="549" spans="1:55" x14ac:dyDescent="0.25">
      <c r="A549" s="51">
        <v>41982</v>
      </c>
      <c r="B549" s="54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6"/>
      <c r="AI549" s="49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3"/>
      <c r="AZ549" s="81"/>
      <c r="BB549" s="5"/>
      <c r="BC549" s="5"/>
    </row>
    <row r="550" spans="1:55" x14ac:dyDescent="0.25">
      <c r="A550" s="51">
        <v>41983</v>
      </c>
      <c r="B550" s="54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6"/>
      <c r="AI550" s="49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3"/>
      <c r="AZ550" s="81"/>
      <c r="BB550" s="5"/>
      <c r="BC550" s="5"/>
    </row>
    <row r="551" spans="1:55" x14ac:dyDescent="0.25">
      <c r="A551" s="51">
        <v>41984</v>
      </c>
      <c r="B551" s="54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6"/>
      <c r="AI551" s="49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3"/>
      <c r="AZ551" s="81"/>
      <c r="BB551" s="5"/>
      <c r="BC551" s="5"/>
    </row>
    <row r="552" spans="1:55" x14ac:dyDescent="0.25">
      <c r="A552" s="51">
        <v>41985</v>
      </c>
      <c r="B552" s="54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6"/>
      <c r="AI552" s="49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3"/>
      <c r="AZ552" s="81"/>
      <c r="BB552" s="5"/>
      <c r="BC552" s="5"/>
    </row>
    <row r="553" spans="1:55" x14ac:dyDescent="0.25">
      <c r="A553" s="51">
        <v>41988</v>
      </c>
      <c r="B553" s="54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6"/>
      <c r="AI553" s="49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3"/>
      <c r="AZ553" s="81"/>
      <c r="BB553" s="5"/>
      <c r="BC553" s="5"/>
    </row>
    <row r="554" spans="1:55" x14ac:dyDescent="0.25">
      <c r="A554" s="51">
        <v>41989</v>
      </c>
      <c r="B554" s="54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6"/>
      <c r="AI554" s="49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3"/>
      <c r="AZ554" s="81"/>
      <c r="BB554" s="5"/>
      <c r="BC554" s="5"/>
    </row>
    <row r="555" spans="1:55" x14ac:dyDescent="0.25">
      <c r="A555" s="51">
        <v>41990</v>
      </c>
      <c r="B555" s="54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6"/>
      <c r="AI555" s="49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3"/>
      <c r="AZ555" s="81"/>
      <c r="BB555" s="5"/>
      <c r="BC555" s="5"/>
    </row>
    <row r="556" spans="1:55" x14ac:dyDescent="0.25">
      <c r="A556" s="51">
        <v>41991</v>
      </c>
      <c r="B556" s="54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6"/>
      <c r="AI556" s="49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3"/>
      <c r="AZ556" s="81"/>
      <c r="BB556" s="5"/>
      <c r="BC556" s="5"/>
    </row>
    <row r="557" spans="1:55" x14ac:dyDescent="0.25">
      <c r="A557" s="51">
        <v>41992</v>
      </c>
      <c r="B557" s="54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6"/>
      <c r="AI557" s="49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3"/>
      <c r="AZ557" s="81"/>
      <c r="BB557" s="5"/>
      <c r="BC557" s="5"/>
    </row>
    <row r="558" spans="1:55" x14ac:dyDescent="0.25">
      <c r="A558" s="51">
        <v>41995</v>
      </c>
      <c r="B558" s="54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6"/>
      <c r="AI558" s="49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3"/>
      <c r="AZ558" s="81"/>
      <c r="BB558" s="5"/>
      <c r="BC558" s="5"/>
    </row>
    <row r="559" spans="1:55" x14ac:dyDescent="0.25">
      <c r="A559" s="51">
        <v>41996</v>
      </c>
      <c r="B559" s="54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6"/>
      <c r="AI559" s="49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3"/>
      <c r="AZ559" s="81"/>
      <c r="BB559" s="5"/>
      <c r="BC559" s="5"/>
    </row>
    <row r="560" spans="1:55" x14ac:dyDescent="0.25">
      <c r="A560" s="51">
        <v>41997</v>
      </c>
      <c r="B560" s="54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6"/>
      <c r="AI560" s="49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3"/>
      <c r="AZ560" s="81"/>
      <c r="BB560" s="5"/>
      <c r="BC560" s="5"/>
    </row>
    <row r="561" spans="1:55" x14ac:dyDescent="0.25">
      <c r="A561" s="51">
        <v>41999</v>
      </c>
      <c r="B561" s="54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6"/>
      <c r="AI561" s="49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3"/>
      <c r="AZ561" s="81"/>
      <c r="BB561" s="5"/>
      <c r="BC561" s="5"/>
    </row>
    <row r="562" spans="1:55" x14ac:dyDescent="0.25">
      <c r="A562" s="51">
        <v>42002</v>
      </c>
      <c r="B562" s="54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6"/>
      <c r="AI562" s="49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3"/>
      <c r="AZ562" s="81"/>
      <c r="BB562" s="5"/>
      <c r="BC562" s="5"/>
    </row>
    <row r="563" spans="1:55" x14ac:dyDescent="0.25">
      <c r="A563" s="51">
        <v>42003</v>
      </c>
      <c r="B563" s="54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6"/>
      <c r="AI563" s="49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3"/>
      <c r="AZ563" s="81"/>
      <c r="BB563" s="5"/>
      <c r="BC563" s="5"/>
    </row>
    <row r="564" spans="1:55" x14ac:dyDescent="0.25">
      <c r="A564" s="51">
        <v>42004</v>
      </c>
      <c r="B564" s="54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6"/>
      <c r="AI564" s="49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3"/>
      <c r="AZ564" s="81"/>
      <c r="BB564" s="5"/>
      <c r="BC564" s="5"/>
    </row>
    <row r="565" spans="1:55" x14ac:dyDescent="0.25">
      <c r="A565" s="51">
        <v>42009</v>
      </c>
      <c r="B565" s="5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6"/>
      <c r="AI565" s="49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3"/>
      <c r="AZ565" s="81"/>
      <c r="BB565" s="5"/>
      <c r="BC565" s="5"/>
    </row>
    <row r="566" spans="1:55" x14ac:dyDescent="0.25">
      <c r="A566" s="51">
        <v>42010</v>
      </c>
      <c r="B566" s="5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6"/>
      <c r="AI566" s="49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3"/>
      <c r="AZ566" s="81"/>
      <c r="BB566" s="5"/>
      <c r="BC566" s="5"/>
    </row>
    <row r="567" spans="1:55" x14ac:dyDescent="0.25">
      <c r="A567" s="51">
        <v>42011</v>
      </c>
      <c r="B567" s="54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6"/>
      <c r="AI567" s="49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3"/>
      <c r="AZ567" s="81"/>
      <c r="BB567" s="5"/>
      <c r="BC567" s="5"/>
    </row>
    <row r="568" spans="1:55" x14ac:dyDescent="0.25">
      <c r="A568" s="51">
        <v>42012</v>
      </c>
      <c r="B568" s="54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6"/>
      <c r="AI568" s="49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3"/>
      <c r="AZ568" s="81"/>
      <c r="BB568" s="5"/>
      <c r="BC568" s="5"/>
    </row>
    <row r="569" spans="1:55" x14ac:dyDescent="0.25">
      <c r="A569" s="51">
        <v>42013</v>
      </c>
      <c r="B569" s="54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6"/>
      <c r="AI569" s="49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3"/>
      <c r="AZ569" s="81"/>
      <c r="BB569" s="5"/>
      <c r="BC569" s="5"/>
    </row>
    <row r="570" spans="1:55" x14ac:dyDescent="0.25">
      <c r="A570" s="51">
        <v>42016</v>
      </c>
      <c r="B570" s="54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6"/>
      <c r="AI570" s="49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3"/>
      <c r="AZ570" s="81"/>
      <c r="BB570" s="5"/>
      <c r="BC570" s="5"/>
    </row>
    <row r="571" spans="1:55" x14ac:dyDescent="0.25">
      <c r="A571" s="51">
        <v>42017</v>
      </c>
      <c r="B571" s="54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6"/>
      <c r="AI571" s="49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3"/>
      <c r="AZ571" s="81"/>
      <c r="BB571" s="5"/>
      <c r="BC571" s="5"/>
    </row>
    <row r="572" spans="1:55" x14ac:dyDescent="0.25">
      <c r="A572" s="51">
        <v>42018</v>
      </c>
      <c r="B572" s="54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6"/>
      <c r="AI572" s="49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3"/>
      <c r="AZ572" s="81"/>
      <c r="BB572" s="5"/>
      <c r="BC572" s="5"/>
    </row>
    <row r="573" spans="1:55" x14ac:dyDescent="0.25">
      <c r="A573" s="51">
        <v>42019</v>
      </c>
      <c r="B573" s="54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6"/>
      <c r="AI573" s="49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3"/>
      <c r="AZ573" s="81"/>
      <c r="BB573" s="5"/>
      <c r="BC573" s="5"/>
    </row>
    <row r="574" spans="1:55" x14ac:dyDescent="0.25">
      <c r="A574" s="51">
        <v>42020</v>
      </c>
      <c r="B574" s="54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6"/>
      <c r="AI574" s="49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3"/>
      <c r="AZ574" s="81"/>
      <c r="BB574" s="5"/>
      <c r="BC574" s="5"/>
    </row>
    <row r="575" spans="1:55" x14ac:dyDescent="0.25">
      <c r="A575" s="51">
        <v>42023</v>
      </c>
      <c r="B575" s="54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6"/>
      <c r="AI575" s="49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3"/>
      <c r="AZ575" s="81"/>
      <c r="BB575" s="5"/>
      <c r="BC575" s="5"/>
    </row>
    <row r="576" spans="1:55" x14ac:dyDescent="0.25">
      <c r="A576" s="51">
        <v>42024</v>
      </c>
      <c r="B576" s="54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6"/>
      <c r="AI576" s="49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3"/>
      <c r="AZ576" s="81"/>
      <c r="BB576" s="5"/>
      <c r="BC576" s="5"/>
    </row>
    <row r="577" spans="1:55" x14ac:dyDescent="0.25">
      <c r="A577" s="51">
        <v>42025</v>
      </c>
      <c r="B577" s="54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6"/>
      <c r="AI577" s="49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3"/>
      <c r="AZ577" s="81"/>
      <c r="BB577" s="5"/>
      <c r="BC577" s="5"/>
    </row>
    <row r="578" spans="1:55" x14ac:dyDescent="0.25">
      <c r="A578" s="51">
        <v>42026</v>
      </c>
      <c r="B578" s="54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6"/>
      <c r="AI578" s="49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3"/>
      <c r="AZ578" s="81"/>
      <c r="BB578" s="5"/>
      <c r="BC578" s="5"/>
    </row>
    <row r="579" spans="1:55" x14ac:dyDescent="0.25">
      <c r="A579" s="51">
        <v>42027</v>
      </c>
      <c r="B579" s="54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6"/>
      <c r="AI579" s="49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3"/>
      <c r="AZ579" s="81"/>
      <c r="BB579" s="5"/>
      <c r="BC579" s="5"/>
    </row>
    <row r="580" spans="1:55" x14ac:dyDescent="0.25">
      <c r="A580" s="51">
        <v>42030</v>
      </c>
      <c r="B580" s="54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6"/>
      <c r="AI580" s="49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3"/>
      <c r="AZ580" s="81"/>
      <c r="BB580" s="5"/>
      <c r="BC580" s="5"/>
    </row>
    <row r="581" spans="1:55" x14ac:dyDescent="0.25">
      <c r="A581" s="51">
        <v>42031</v>
      </c>
      <c r="B581" s="54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6"/>
      <c r="AI581" s="49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3"/>
      <c r="AZ581" s="81"/>
      <c r="BB581" s="5"/>
      <c r="BC581" s="5"/>
    </row>
    <row r="582" spans="1:55" x14ac:dyDescent="0.25">
      <c r="A582" s="51">
        <v>42032</v>
      </c>
      <c r="B582" s="54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6"/>
      <c r="AI582" s="49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3"/>
      <c r="AZ582" s="81"/>
      <c r="BB582" s="5"/>
      <c r="BC582" s="5"/>
    </row>
    <row r="583" spans="1:55" x14ac:dyDescent="0.25">
      <c r="A583" s="51">
        <v>42033</v>
      </c>
      <c r="B583" s="5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6"/>
      <c r="AI583" s="49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3"/>
      <c r="AZ583" s="81"/>
      <c r="BB583" s="5"/>
      <c r="BC583" s="5"/>
    </row>
    <row r="584" spans="1:55" x14ac:dyDescent="0.25">
      <c r="A584" s="51">
        <v>42034</v>
      </c>
      <c r="B584" s="5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6"/>
      <c r="AI584" s="49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3"/>
      <c r="AZ584" s="81"/>
      <c r="BB584" s="5"/>
      <c r="BC584" s="5"/>
    </row>
    <row r="585" spans="1:55" x14ac:dyDescent="0.25">
      <c r="A585" s="51">
        <v>42037</v>
      </c>
      <c r="B585" s="54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6"/>
      <c r="AI585" s="49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3"/>
      <c r="AZ585" s="81"/>
      <c r="BB585" s="5"/>
      <c r="BC585" s="5"/>
    </row>
    <row r="586" spans="1:55" x14ac:dyDescent="0.25">
      <c r="A586" s="51">
        <v>42038</v>
      </c>
      <c r="B586" s="54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6"/>
      <c r="AI586" s="49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3"/>
      <c r="AZ586" s="81"/>
      <c r="BB586" s="5"/>
      <c r="BC586" s="5"/>
    </row>
    <row r="587" spans="1:55" x14ac:dyDescent="0.25">
      <c r="A587" s="51">
        <v>42039</v>
      </c>
      <c r="B587" s="54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6"/>
      <c r="AI587" s="49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3"/>
      <c r="AZ587" s="81"/>
      <c r="BB587" s="5"/>
      <c r="BC587" s="5"/>
    </row>
    <row r="588" spans="1:55" x14ac:dyDescent="0.25">
      <c r="A588" s="51">
        <v>42040</v>
      </c>
      <c r="B588" s="54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6"/>
      <c r="AI588" s="49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3"/>
      <c r="AZ588" s="81"/>
      <c r="BB588" s="5"/>
      <c r="BC588" s="5"/>
    </row>
    <row r="589" spans="1:55" x14ac:dyDescent="0.25">
      <c r="A589" s="51">
        <v>42041</v>
      </c>
      <c r="B589" s="54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6"/>
      <c r="AI589" s="49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3"/>
      <c r="AZ589" s="81"/>
      <c r="BB589" s="5"/>
      <c r="BC589" s="5"/>
    </row>
    <row r="590" spans="1:55" x14ac:dyDescent="0.25">
      <c r="A590" s="51">
        <v>42044</v>
      </c>
      <c r="B590" s="54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6"/>
      <c r="AI590" s="49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3"/>
      <c r="AZ590" s="81"/>
      <c r="BB590" s="5"/>
      <c r="BC590" s="5"/>
    </row>
    <row r="591" spans="1:55" x14ac:dyDescent="0.25">
      <c r="A591" s="51">
        <v>42045</v>
      </c>
      <c r="B591" s="54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6"/>
      <c r="AI591" s="49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3"/>
      <c r="AZ591" s="81"/>
      <c r="BB591" s="5"/>
      <c r="BC591" s="5"/>
    </row>
    <row r="592" spans="1:55" x14ac:dyDescent="0.25">
      <c r="A592" s="51">
        <v>42046</v>
      </c>
      <c r="B592" s="54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6"/>
      <c r="AI592" s="49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3"/>
      <c r="AZ592" s="81"/>
      <c r="BB592" s="5"/>
      <c r="BC592" s="5"/>
    </row>
    <row r="593" spans="1:55" x14ac:dyDescent="0.25">
      <c r="A593" s="51">
        <v>42047</v>
      </c>
      <c r="B593" s="54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6"/>
      <c r="AI593" s="49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3"/>
      <c r="AZ593" s="81"/>
      <c r="BB593" s="5"/>
      <c r="BC593" s="5"/>
    </row>
    <row r="594" spans="1:55" x14ac:dyDescent="0.25">
      <c r="A594" s="51">
        <v>42048</v>
      </c>
      <c r="B594" s="54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6"/>
      <c r="AI594" s="49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3"/>
      <c r="AZ594" s="81"/>
      <c r="BB594" s="5"/>
      <c r="BC594" s="5"/>
    </row>
    <row r="595" spans="1:55" x14ac:dyDescent="0.25">
      <c r="A595" s="51">
        <v>42051</v>
      </c>
      <c r="B595" s="54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6"/>
      <c r="AI595" s="49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3"/>
      <c r="AZ595" s="81"/>
      <c r="BB595" s="5"/>
      <c r="BC595" s="5"/>
    </row>
    <row r="596" spans="1:55" x14ac:dyDescent="0.25">
      <c r="A596" s="51">
        <v>42052</v>
      </c>
      <c r="B596" s="54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6"/>
      <c r="AI596" s="49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3"/>
      <c r="AZ596" s="81"/>
      <c r="BB596" s="5"/>
      <c r="BC596" s="5"/>
    </row>
    <row r="597" spans="1:55" x14ac:dyDescent="0.25">
      <c r="A597" s="51">
        <v>42053</v>
      </c>
      <c r="B597" s="54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6"/>
      <c r="AI597" s="49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3"/>
      <c r="AZ597" s="81"/>
      <c r="BB597" s="5"/>
      <c r="BC597" s="5"/>
    </row>
    <row r="598" spans="1:55" x14ac:dyDescent="0.25">
      <c r="A598" s="51">
        <v>42054</v>
      </c>
      <c r="B598" s="54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6"/>
      <c r="AI598" s="49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3"/>
      <c r="AZ598" s="81"/>
      <c r="BB598" s="5"/>
      <c r="BC598" s="5"/>
    </row>
    <row r="599" spans="1:55" x14ac:dyDescent="0.25">
      <c r="A599" s="51">
        <v>42055</v>
      </c>
      <c r="B599" s="54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6"/>
      <c r="AI599" s="49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3"/>
      <c r="AZ599" s="81"/>
      <c r="BB599" s="5"/>
      <c r="BC599" s="5"/>
    </row>
    <row r="600" spans="1:55" x14ac:dyDescent="0.25">
      <c r="A600" s="51">
        <v>42058</v>
      </c>
      <c r="B600" s="54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6"/>
      <c r="AI600" s="49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3"/>
      <c r="AZ600" s="81"/>
      <c r="BB600" s="5"/>
      <c r="BC600" s="5"/>
    </row>
    <row r="601" spans="1:55" x14ac:dyDescent="0.25">
      <c r="A601" s="51">
        <v>42059</v>
      </c>
      <c r="B601" s="5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6"/>
      <c r="AI601" s="49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3"/>
      <c r="AZ601" s="81"/>
      <c r="BB601" s="5"/>
      <c r="BC601" s="5"/>
    </row>
    <row r="602" spans="1:55" x14ac:dyDescent="0.25">
      <c r="A602" s="51">
        <v>42060</v>
      </c>
      <c r="B602" s="5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6"/>
      <c r="AI602" s="49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3"/>
      <c r="AZ602" s="81"/>
      <c r="BB602" s="5"/>
      <c r="BC602" s="5"/>
    </row>
    <row r="603" spans="1:55" x14ac:dyDescent="0.25">
      <c r="A603" s="51">
        <v>42061</v>
      </c>
      <c r="B603" s="54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6"/>
      <c r="AI603" s="49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3"/>
      <c r="AZ603" s="81"/>
      <c r="BB603" s="5"/>
      <c r="BC603" s="5"/>
    </row>
    <row r="604" spans="1:55" x14ac:dyDescent="0.25">
      <c r="A604" s="51">
        <v>42062</v>
      </c>
      <c r="B604" s="54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6"/>
      <c r="AI604" s="49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3"/>
      <c r="AZ604" s="81"/>
      <c r="BB604" s="5"/>
      <c r="BC604" s="5"/>
    </row>
    <row r="605" spans="1:55" x14ac:dyDescent="0.25">
      <c r="A605" s="51">
        <v>42065</v>
      </c>
      <c r="B605" s="54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6"/>
      <c r="AI605" s="49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3"/>
      <c r="AZ605" s="81"/>
      <c r="BB605" s="5"/>
      <c r="BC605" s="5"/>
    </row>
    <row r="606" spans="1:55" x14ac:dyDescent="0.25">
      <c r="A606" s="51">
        <v>42066</v>
      </c>
      <c r="B606" s="54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6"/>
      <c r="AI606" s="49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3"/>
      <c r="AZ606" s="81"/>
      <c r="BB606" s="5"/>
      <c r="BC606" s="5"/>
    </row>
    <row r="607" spans="1:55" x14ac:dyDescent="0.25">
      <c r="A607" s="51">
        <v>42067</v>
      </c>
      <c r="B607" s="54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6"/>
      <c r="AI607" s="49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3"/>
      <c r="AZ607" s="81"/>
      <c r="BB607" s="5"/>
      <c r="BC607" s="5"/>
    </row>
    <row r="608" spans="1:55" x14ac:dyDescent="0.25">
      <c r="A608" s="51">
        <v>42068</v>
      </c>
      <c r="B608" s="54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6"/>
      <c r="AI608" s="49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3"/>
      <c r="AZ608" s="81"/>
      <c r="BB608" s="5"/>
      <c r="BC608" s="5"/>
    </row>
    <row r="609" spans="1:55" x14ac:dyDescent="0.25">
      <c r="A609" s="51">
        <v>42069</v>
      </c>
      <c r="B609" s="54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6"/>
      <c r="AI609" s="49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3"/>
      <c r="AZ609" s="81"/>
      <c r="BB609" s="5"/>
      <c r="BC609" s="5"/>
    </row>
    <row r="610" spans="1:55" x14ac:dyDescent="0.25">
      <c r="A610" s="51">
        <v>42072</v>
      </c>
      <c r="B610" s="54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6"/>
      <c r="AI610" s="49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3"/>
      <c r="AZ610" s="81"/>
      <c r="BB610" s="5"/>
      <c r="BC610" s="5"/>
    </row>
    <row r="611" spans="1:55" x14ac:dyDescent="0.25">
      <c r="A611" s="51">
        <v>42073</v>
      </c>
      <c r="B611" s="54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6"/>
      <c r="AI611" s="49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3"/>
      <c r="AZ611" s="81"/>
      <c r="BB611" s="5"/>
      <c r="BC611" s="5"/>
    </row>
    <row r="612" spans="1:55" x14ac:dyDescent="0.25">
      <c r="A612" s="51">
        <v>42074</v>
      </c>
      <c r="B612" s="54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6"/>
      <c r="AI612" s="49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3"/>
      <c r="AZ612" s="81"/>
      <c r="BB612" s="5"/>
      <c r="BC612" s="5"/>
    </row>
    <row r="613" spans="1:55" x14ac:dyDescent="0.25">
      <c r="A613" s="51">
        <v>42075</v>
      </c>
      <c r="B613" s="54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6"/>
      <c r="AI613" s="49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3"/>
      <c r="AZ613" s="81"/>
      <c r="BB613" s="5"/>
      <c r="BC613" s="5"/>
    </row>
    <row r="614" spans="1:55" x14ac:dyDescent="0.25">
      <c r="A614" s="51">
        <v>42076</v>
      </c>
      <c r="B614" s="54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6"/>
      <c r="AI614" s="49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3"/>
      <c r="AZ614" s="81"/>
      <c r="BB614" s="5"/>
      <c r="BC614" s="5"/>
    </row>
    <row r="615" spans="1:55" x14ac:dyDescent="0.25">
      <c r="A615" s="51">
        <v>42079</v>
      </c>
      <c r="B615" s="54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6"/>
      <c r="AI615" s="49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3"/>
      <c r="AZ615" s="81"/>
      <c r="BB615" s="5"/>
      <c r="BC615" s="5"/>
    </row>
    <row r="616" spans="1:55" x14ac:dyDescent="0.25">
      <c r="A616" s="51">
        <v>42080</v>
      </c>
      <c r="B616" s="54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6"/>
      <c r="AI616" s="49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3"/>
      <c r="AZ616" s="81"/>
      <c r="BB616" s="5"/>
      <c r="BC616" s="5"/>
    </row>
    <row r="617" spans="1:55" x14ac:dyDescent="0.25">
      <c r="A617" s="51">
        <v>42081</v>
      </c>
      <c r="B617" s="54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6"/>
      <c r="AI617" s="49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3"/>
      <c r="AZ617" s="81"/>
      <c r="BB617" s="5"/>
      <c r="BC617" s="5"/>
    </row>
    <row r="618" spans="1:55" x14ac:dyDescent="0.25">
      <c r="A618" s="51">
        <v>42082</v>
      </c>
      <c r="B618" s="54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6"/>
      <c r="AI618" s="49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3"/>
      <c r="AZ618" s="81"/>
      <c r="BB618" s="5"/>
      <c r="BC618" s="5"/>
    </row>
    <row r="619" spans="1:55" x14ac:dyDescent="0.25">
      <c r="A619" s="51">
        <v>42083</v>
      </c>
      <c r="B619" s="54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6"/>
      <c r="AI619" s="49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3"/>
      <c r="AZ619" s="81"/>
      <c r="BB619" s="5"/>
      <c r="BC619" s="5"/>
    </row>
    <row r="620" spans="1:55" x14ac:dyDescent="0.25">
      <c r="A620" s="51">
        <v>42086</v>
      </c>
      <c r="B620" s="54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6"/>
      <c r="AI620" s="49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3"/>
      <c r="AZ620" s="81"/>
      <c r="BB620" s="5"/>
      <c r="BC620" s="5"/>
    </row>
    <row r="621" spans="1:55" x14ac:dyDescent="0.25">
      <c r="A621" s="51">
        <v>42087</v>
      </c>
      <c r="B621" s="54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6"/>
      <c r="AI621" s="49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3"/>
      <c r="AZ621" s="81"/>
      <c r="BB621" s="5"/>
      <c r="BC621" s="5"/>
    </row>
    <row r="622" spans="1:55" x14ac:dyDescent="0.25">
      <c r="A622" s="51">
        <v>42088</v>
      </c>
      <c r="B622" s="54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6"/>
      <c r="AI622" s="49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3"/>
      <c r="AZ622" s="81"/>
      <c r="BB622" s="5"/>
      <c r="BC622" s="5"/>
    </row>
    <row r="623" spans="1:55" x14ac:dyDescent="0.25">
      <c r="A623" s="51">
        <v>42089</v>
      </c>
      <c r="B623" s="54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6"/>
      <c r="AI623" s="49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3"/>
      <c r="AZ623" s="81"/>
      <c r="BB623" s="5"/>
      <c r="BC623" s="5"/>
    </row>
    <row r="624" spans="1:55" x14ac:dyDescent="0.25">
      <c r="A624" s="51">
        <v>42090</v>
      </c>
      <c r="B624" s="54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6"/>
      <c r="AI624" s="49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3"/>
      <c r="AZ624" s="81"/>
      <c r="BB624" s="5"/>
      <c r="BC624" s="5"/>
    </row>
    <row r="625" spans="1:55" x14ac:dyDescent="0.25">
      <c r="A625" s="51">
        <v>42093</v>
      </c>
      <c r="B625" s="54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6"/>
      <c r="AI625" s="49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3"/>
      <c r="AZ625" s="81"/>
      <c r="BB625" s="5"/>
      <c r="BC625" s="5"/>
    </row>
    <row r="626" spans="1:55" x14ac:dyDescent="0.25">
      <c r="A626" s="51">
        <v>42094</v>
      </c>
      <c r="B626" s="54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6"/>
      <c r="AI626" s="49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3"/>
      <c r="AZ626" s="81"/>
      <c r="BB626" s="5"/>
      <c r="BC626" s="5"/>
    </row>
    <row r="627" spans="1:55" x14ac:dyDescent="0.25">
      <c r="A627" s="51">
        <v>42095</v>
      </c>
      <c r="B627" s="54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6"/>
      <c r="AI627" s="49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3"/>
      <c r="AZ627" s="81"/>
      <c r="BB627" s="5"/>
      <c r="BC627" s="5"/>
    </row>
    <row r="628" spans="1:55" x14ac:dyDescent="0.25">
      <c r="A628" s="51">
        <v>42100</v>
      </c>
      <c r="B628" s="54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6"/>
      <c r="AI628" s="49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3"/>
      <c r="AZ628" s="81"/>
      <c r="BB628" s="5"/>
      <c r="BC628" s="5"/>
    </row>
    <row r="629" spans="1:55" x14ac:dyDescent="0.25">
      <c r="A629" s="51">
        <v>42101</v>
      </c>
      <c r="B629" s="54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6"/>
      <c r="AI629" s="49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3"/>
      <c r="AZ629" s="81"/>
      <c r="BB629" s="5"/>
      <c r="BC629" s="5"/>
    </row>
    <row r="630" spans="1:55" x14ac:dyDescent="0.25">
      <c r="A630" s="51">
        <v>42102</v>
      </c>
      <c r="B630" s="54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6"/>
      <c r="AI630" s="49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3"/>
      <c r="AZ630" s="81"/>
      <c r="BB630" s="5"/>
      <c r="BC630" s="5"/>
    </row>
    <row r="631" spans="1:55" x14ac:dyDescent="0.25">
      <c r="A631" s="51">
        <v>42103</v>
      </c>
      <c r="B631" s="54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6"/>
      <c r="AI631" s="49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3"/>
      <c r="AZ631" s="81"/>
      <c r="BB631" s="5"/>
      <c r="BC631" s="5"/>
    </row>
    <row r="632" spans="1:55" x14ac:dyDescent="0.25">
      <c r="A632" s="51">
        <v>42104</v>
      </c>
      <c r="B632" s="54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6"/>
      <c r="AI632" s="49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3"/>
      <c r="AZ632" s="81"/>
      <c r="BB632" s="5"/>
      <c r="BC632" s="5"/>
    </row>
    <row r="633" spans="1:55" x14ac:dyDescent="0.25">
      <c r="A633" s="51">
        <v>42107</v>
      </c>
      <c r="B633" s="54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6"/>
      <c r="AI633" s="49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3"/>
      <c r="AZ633" s="81"/>
      <c r="BB633" s="5"/>
      <c r="BC633" s="5"/>
    </row>
    <row r="634" spans="1:55" x14ac:dyDescent="0.25">
      <c r="A634" s="51">
        <v>42108</v>
      </c>
      <c r="B634" s="54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6"/>
      <c r="AI634" s="49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3"/>
      <c r="AZ634" s="81"/>
      <c r="BB634" s="5"/>
      <c r="BC634" s="5"/>
    </row>
    <row r="635" spans="1:55" x14ac:dyDescent="0.25">
      <c r="A635" s="51">
        <v>42109</v>
      </c>
      <c r="B635" s="54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6"/>
      <c r="AI635" s="49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3"/>
      <c r="AZ635" s="81"/>
      <c r="BB635" s="5"/>
      <c r="BC635" s="5"/>
    </row>
    <row r="636" spans="1:55" x14ac:dyDescent="0.25">
      <c r="A636" s="51">
        <v>42110</v>
      </c>
      <c r="B636" s="54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6"/>
      <c r="AI636" s="49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3"/>
      <c r="AZ636" s="81"/>
      <c r="BB636" s="5"/>
      <c r="BC636" s="5"/>
    </row>
    <row r="637" spans="1:55" x14ac:dyDescent="0.25">
      <c r="A637" s="51">
        <v>42111</v>
      </c>
      <c r="B637" s="54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6"/>
      <c r="AI637" s="49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3"/>
      <c r="AZ637" s="81"/>
      <c r="BB637" s="5"/>
      <c r="BC637" s="5"/>
    </row>
    <row r="638" spans="1:55" x14ac:dyDescent="0.25">
      <c r="A638" s="51">
        <v>42114</v>
      </c>
      <c r="B638" s="54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6"/>
      <c r="AI638" s="49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3"/>
      <c r="AZ638" s="81"/>
      <c r="BB638" s="5"/>
      <c r="BC638" s="5"/>
    </row>
    <row r="639" spans="1:55" x14ac:dyDescent="0.25">
      <c r="A639" s="51">
        <v>42115</v>
      </c>
      <c r="B639" s="54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6"/>
      <c r="AI639" s="49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3"/>
      <c r="AZ639" s="81"/>
      <c r="BB639" s="5"/>
      <c r="BC639" s="5"/>
    </row>
    <row r="640" spans="1:55" x14ac:dyDescent="0.25">
      <c r="A640" s="51">
        <v>42116</v>
      </c>
      <c r="B640" s="54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6"/>
      <c r="AI640" s="49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3"/>
      <c r="AZ640" s="81"/>
      <c r="BB640" s="5"/>
      <c r="BC640" s="5"/>
    </row>
    <row r="641" spans="1:55" x14ac:dyDescent="0.25">
      <c r="A641" s="51">
        <v>42117</v>
      </c>
      <c r="B641" s="54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6"/>
      <c r="AI641" s="49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3"/>
      <c r="AZ641" s="81"/>
      <c r="BB641" s="5"/>
      <c r="BC641" s="5"/>
    </row>
    <row r="642" spans="1:55" x14ac:dyDescent="0.25">
      <c r="A642" s="51">
        <v>42118</v>
      </c>
      <c r="B642" s="54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6"/>
      <c r="AI642" s="49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3"/>
      <c r="AZ642" s="81"/>
      <c r="BB642" s="5"/>
      <c r="BC642" s="5"/>
    </row>
    <row r="643" spans="1:55" x14ac:dyDescent="0.25">
      <c r="A643" s="51">
        <v>42121</v>
      </c>
      <c r="B643" s="54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6"/>
      <c r="AI643" s="49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3"/>
      <c r="AZ643" s="81"/>
      <c r="BB643" s="5"/>
      <c r="BC643" s="5"/>
    </row>
    <row r="644" spans="1:55" x14ac:dyDescent="0.25">
      <c r="A644" s="51">
        <v>42122</v>
      </c>
      <c r="B644" s="54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6"/>
      <c r="AI644" s="49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3"/>
      <c r="AZ644" s="81"/>
      <c r="BB644" s="5"/>
      <c r="BC644" s="5"/>
    </row>
    <row r="645" spans="1:55" x14ac:dyDescent="0.25">
      <c r="A645" s="51">
        <v>42123</v>
      </c>
      <c r="B645" s="54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6"/>
      <c r="AI645" s="49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3"/>
      <c r="AZ645" s="81"/>
      <c r="BB645" s="5"/>
      <c r="BC645" s="5"/>
    </row>
    <row r="646" spans="1:55" x14ac:dyDescent="0.25">
      <c r="A646" s="51">
        <v>42124</v>
      </c>
      <c r="B646" s="54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6"/>
      <c r="AI646" s="49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3"/>
      <c r="AZ646" s="81"/>
      <c r="BB646" s="5"/>
      <c r="BC646" s="5"/>
    </row>
    <row r="647" spans="1:55" x14ac:dyDescent="0.25">
      <c r="A647" s="51">
        <v>42128</v>
      </c>
      <c r="B647" s="54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6"/>
      <c r="AI647" s="49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3"/>
      <c r="AZ647" s="81"/>
      <c r="BB647" s="5"/>
      <c r="BC647" s="5"/>
    </row>
    <row r="648" spans="1:55" x14ac:dyDescent="0.25">
      <c r="A648" s="51">
        <v>42129</v>
      </c>
      <c r="B648" s="54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6"/>
      <c r="AI648" s="49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3"/>
      <c r="AZ648" s="81"/>
      <c r="BB648" s="5"/>
      <c r="BC648" s="5"/>
    </row>
    <row r="649" spans="1:55" x14ac:dyDescent="0.25">
      <c r="A649" s="51">
        <v>42130</v>
      </c>
      <c r="B649" s="54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6"/>
      <c r="AI649" s="49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3"/>
      <c r="AZ649" s="81"/>
      <c r="BB649" s="5"/>
      <c r="BC649" s="5"/>
    </row>
    <row r="650" spans="1:55" x14ac:dyDescent="0.25">
      <c r="A650" s="51">
        <v>42131</v>
      </c>
      <c r="B650" s="54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6"/>
      <c r="AI650" s="49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3"/>
      <c r="AZ650" s="81"/>
      <c r="BB650" s="5"/>
      <c r="BC650" s="5"/>
    </row>
    <row r="651" spans="1:55" x14ac:dyDescent="0.25">
      <c r="A651" s="51">
        <v>42132</v>
      </c>
      <c r="B651" s="54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6"/>
      <c r="AI651" s="49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3"/>
      <c r="AZ651" s="81"/>
      <c r="BB651" s="5"/>
      <c r="BC651" s="5"/>
    </row>
    <row r="652" spans="1:55" x14ac:dyDescent="0.25">
      <c r="A652" s="51">
        <v>42135</v>
      </c>
      <c r="B652" s="54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6"/>
      <c r="AI652" s="49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3"/>
      <c r="AZ652" s="81"/>
      <c r="BB652" s="5"/>
      <c r="BC652" s="5"/>
    </row>
    <row r="653" spans="1:55" x14ac:dyDescent="0.25">
      <c r="A653" s="51">
        <v>42136</v>
      </c>
      <c r="B653" s="54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6"/>
      <c r="AI653" s="49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3"/>
      <c r="AZ653" s="81"/>
      <c r="BB653" s="5"/>
      <c r="BC653" s="5"/>
    </row>
    <row r="654" spans="1:55" x14ac:dyDescent="0.25">
      <c r="A654" s="51">
        <v>42137</v>
      </c>
      <c r="B654" s="54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6"/>
      <c r="AI654" s="49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3"/>
      <c r="AZ654" s="81"/>
      <c r="BB654" s="5"/>
      <c r="BC654" s="5"/>
    </row>
    <row r="655" spans="1:55" x14ac:dyDescent="0.25">
      <c r="A655" s="51">
        <v>42138</v>
      </c>
      <c r="B655" s="54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6"/>
      <c r="AI655" s="49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3"/>
      <c r="AZ655" s="81"/>
      <c r="BB655" s="5"/>
      <c r="BC655" s="5"/>
    </row>
    <row r="656" spans="1:55" x14ac:dyDescent="0.25">
      <c r="A656" s="51">
        <v>42139</v>
      </c>
      <c r="B656" s="54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6"/>
      <c r="AI656" s="49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3"/>
      <c r="AZ656" s="81"/>
      <c r="BB656" s="5"/>
      <c r="BC656" s="5"/>
    </row>
    <row r="657" spans="1:55" x14ac:dyDescent="0.25">
      <c r="A657" s="51">
        <v>42142</v>
      </c>
      <c r="B657" s="54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6"/>
      <c r="AI657" s="49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3"/>
      <c r="AZ657" s="81"/>
      <c r="BB657" s="5"/>
      <c r="BC657" s="5"/>
    </row>
    <row r="658" spans="1:55" x14ac:dyDescent="0.25">
      <c r="A658" s="51">
        <v>42143</v>
      </c>
      <c r="B658" s="54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6"/>
      <c r="AI658" s="49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3"/>
      <c r="AZ658" s="81"/>
      <c r="BB658" s="5"/>
      <c r="BC658" s="5"/>
    </row>
    <row r="659" spans="1:55" x14ac:dyDescent="0.25">
      <c r="A659" s="51">
        <v>42144</v>
      </c>
      <c r="B659" s="54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6"/>
      <c r="AI659" s="49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3"/>
      <c r="AZ659" s="81"/>
      <c r="BB659" s="5"/>
      <c r="BC659" s="5"/>
    </row>
    <row r="660" spans="1:55" x14ac:dyDescent="0.25">
      <c r="A660" s="51">
        <v>42145</v>
      </c>
      <c r="B660" s="54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6"/>
      <c r="AI660" s="49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3"/>
      <c r="AZ660" s="81"/>
      <c r="BB660" s="5"/>
      <c r="BC660" s="5"/>
    </row>
    <row r="661" spans="1:55" x14ac:dyDescent="0.25">
      <c r="A661" s="51">
        <v>42146</v>
      </c>
      <c r="B661" s="54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6"/>
      <c r="AI661" s="49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3"/>
      <c r="AZ661" s="81"/>
      <c r="BB661" s="5"/>
      <c r="BC661" s="5"/>
    </row>
    <row r="662" spans="1:55" x14ac:dyDescent="0.25">
      <c r="A662" s="51">
        <v>42149</v>
      </c>
      <c r="B662" s="54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6"/>
      <c r="AI662" s="49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3"/>
      <c r="AZ662" s="81"/>
      <c r="BB662" s="5"/>
      <c r="BC662" s="5"/>
    </row>
    <row r="663" spans="1:55" x14ac:dyDescent="0.25">
      <c r="A663" s="51">
        <v>42150</v>
      </c>
      <c r="B663" s="54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6"/>
      <c r="AI663" s="49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3"/>
      <c r="AZ663" s="81"/>
      <c r="BB663" s="5"/>
      <c r="BC663" s="5"/>
    </row>
    <row r="664" spans="1:55" x14ac:dyDescent="0.25">
      <c r="A664" s="51">
        <v>42151</v>
      </c>
      <c r="B664" s="54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6"/>
      <c r="AI664" s="49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3"/>
      <c r="AZ664" s="81"/>
      <c r="BB664" s="5"/>
      <c r="BC664" s="5"/>
    </row>
    <row r="665" spans="1:55" x14ac:dyDescent="0.25">
      <c r="A665" s="51">
        <v>42152</v>
      </c>
      <c r="B665" s="54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6"/>
      <c r="AI665" s="49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3"/>
      <c r="AZ665" s="81"/>
      <c r="BB665" s="5"/>
      <c r="BC665" s="5"/>
    </row>
    <row r="666" spans="1:55" x14ac:dyDescent="0.25">
      <c r="A666" s="51">
        <v>42153</v>
      </c>
      <c r="B666" s="54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6"/>
      <c r="AI666" s="49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3"/>
      <c r="AZ666" s="81"/>
      <c r="BB666" s="5"/>
      <c r="BC666" s="5"/>
    </row>
    <row r="667" spans="1:55" x14ac:dyDescent="0.25">
      <c r="A667" s="51">
        <v>42156</v>
      </c>
      <c r="B667" s="54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6"/>
      <c r="AI667" s="49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3"/>
      <c r="AZ667" s="81"/>
      <c r="BB667" s="5"/>
      <c r="BC667" s="5"/>
    </row>
    <row r="668" spans="1:55" x14ac:dyDescent="0.25">
      <c r="A668" s="51">
        <v>42157</v>
      </c>
      <c r="B668" s="54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6"/>
      <c r="AI668" s="49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3"/>
      <c r="AZ668" s="81"/>
      <c r="BB668" s="5"/>
      <c r="BC668" s="5"/>
    </row>
    <row r="669" spans="1:55" x14ac:dyDescent="0.25">
      <c r="A669" s="51">
        <v>42158</v>
      </c>
      <c r="B669" s="54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6"/>
      <c r="AI669" s="49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3"/>
      <c r="AZ669" s="81"/>
      <c r="BB669" s="5"/>
      <c r="BC669" s="5"/>
    </row>
    <row r="670" spans="1:55" x14ac:dyDescent="0.25">
      <c r="A670" s="51">
        <v>42159</v>
      </c>
      <c r="B670" s="54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6"/>
      <c r="AI670" s="49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3"/>
      <c r="AZ670" s="81"/>
      <c r="BB670" s="5"/>
      <c r="BC670" s="5"/>
    </row>
    <row r="671" spans="1:55" x14ac:dyDescent="0.25">
      <c r="A671" s="51">
        <v>42160</v>
      </c>
      <c r="B671" s="54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6"/>
      <c r="AI671" s="49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3"/>
      <c r="AZ671" s="81"/>
      <c r="BB671" s="5"/>
      <c r="BC671" s="5"/>
    </row>
    <row r="672" spans="1:55" x14ac:dyDescent="0.25">
      <c r="A672" s="51">
        <v>42163</v>
      </c>
      <c r="B672" s="54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6"/>
      <c r="AI672" s="49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3"/>
      <c r="AZ672" s="81"/>
      <c r="BB672" s="5"/>
      <c r="BC672" s="5"/>
    </row>
    <row r="673" spans="1:55" x14ac:dyDescent="0.25">
      <c r="A673" s="51">
        <v>42164</v>
      </c>
      <c r="B673" s="54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6"/>
      <c r="AI673" s="49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3"/>
      <c r="AZ673" s="81"/>
      <c r="BB673" s="5"/>
      <c r="BC673" s="5"/>
    </row>
    <row r="674" spans="1:55" x14ac:dyDescent="0.25">
      <c r="A674" s="51">
        <v>42165</v>
      </c>
      <c r="B674" s="54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6"/>
      <c r="AI674" s="49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3"/>
      <c r="AZ674" s="81"/>
      <c r="BB674" s="5"/>
      <c r="BC674" s="5"/>
    </row>
    <row r="675" spans="1:55" x14ac:dyDescent="0.25">
      <c r="A675" s="51">
        <v>42166</v>
      </c>
      <c r="B675" s="54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6"/>
      <c r="AI675" s="49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3"/>
      <c r="AZ675" s="81"/>
      <c r="BB675" s="5"/>
      <c r="BC675" s="5"/>
    </row>
    <row r="676" spans="1:55" x14ac:dyDescent="0.25">
      <c r="A676" s="51">
        <v>42167</v>
      </c>
      <c r="B676" s="54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6"/>
      <c r="AI676" s="49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3"/>
      <c r="AZ676" s="81"/>
      <c r="BB676" s="5"/>
      <c r="BC676" s="5"/>
    </row>
    <row r="677" spans="1:55" x14ac:dyDescent="0.25">
      <c r="A677" s="51">
        <v>42170</v>
      </c>
      <c r="B677" s="54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6"/>
      <c r="AI677" s="49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3"/>
      <c r="AZ677" s="81"/>
      <c r="BB677" s="5"/>
      <c r="BC677" s="5"/>
    </row>
    <row r="678" spans="1:55" x14ac:dyDescent="0.25">
      <c r="A678" s="51">
        <v>42171</v>
      </c>
      <c r="B678" s="54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6"/>
      <c r="AI678" s="49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3"/>
      <c r="AZ678" s="81"/>
      <c r="BB678" s="5"/>
      <c r="BC678" s="5"/>
    </row>
    <row r="679" spans="1:55" x14ac:dyDescent="0.25">
      <c r="A679" s="51">
        <v>42172</v>
      </c>
      <c r="B679" s="54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6"/>
      <c r="AI679" s="49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3"/>
      <c r="AZ679" s="81"/>
      <c r="BB679" s="5"/>
      <c r="BC679" s="5"/>
    </row>
    <row r="680" spans="1:55" x14ac:dyDescent="0.25">
      <c r="A680" s="51">
        <v>42173</v>
      </c>
      <c r="B680" s="54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6"/>
      <c r="AI680" s="49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3"/>
      <c r="AZ680" s="81"/>
      <c r="BB680" s="5"/>
      <c r="BC680" s="5"/>
    </row>
    <row r="681" spans="1:55" x14ac:dyDescent="0.25">
      <c r="A681" s="51">
        <v>42174</v>
      </c>
      <c r="B681" s="54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6"/>
      <c r="AI681" s="49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3"/>
      <c r="AZ681" s="81"/>
      <c r="BB681" s="5"/>
      <c r="BC681" s="5"/>
    </row>
    <row r="682" spans="1:55" x14ac:dyDescent="0.25">
      <c r="A682" s="51">
        <v>42177</v>
      </c>
      <c r="B682" s="54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6"/>
      <c r="AI682" s="49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3"/>
      <c r="AZ682" s="81"/>
      <c r="BB682" s="5"/>
      <c r="BC682" s="5"/>
    </row>
    <row r="683" spans="1:55" x14ac:dyDescent="0.25">
      <c r="A683" s="51">
        <v>42178</v>
      </c>
      <c r="B683" s="54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6"/>
      <c r="AI683" s="49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3"/>
      <c r="AZ683" s="81"/>
      <c r="BB683" s="5"/>
      <c r="BC683" s="5"/>
    </row>
    <row r="684" spans="1:55" x14ac:dyDescent="0.25">
      <c r="A684" s="51">
        <v>42179</v>
      </c>
      <c r="B684" s="54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6"/>
      <c r="AI684" s="49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3"/>
      <c r="AZ684" s="81"/>
      <c r="BB684" s="5"/>
      <c r="BC684" s="5"/>
    </row>
    <row r="685" spans="1:55" x14ac:dyDescent="0.25">
      <c r="A685" s="51">
        <v>42180</v>
      </c>
      <c r="B685" s="54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6"/>
      <c r="AI685" s="49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3"/>
      <c r="AZ685" s="81"/>
      <c r="BB685" s="5"/>
      <c r="BC685" s="5"/>
    </row>
    <row r="686" spans="1:55" x14ac:dyDescent="0.25">
      <c r="A686" s="51">
        <v>42181</v>
      </c>
      <c r="B686" s="54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6"/>
      <c r="AI686" s="49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3"/>
      <c r="AZ686" s="81"/>
      <c r="BB686" s="5"/>
      <c r="BC686" s="5"/>
    </row>
    <row r="687" spans="1:55" x14ac:dyDescent="0.25">
      <c r="A687" s="51">
        <v>42185</v>
      </c>
      <c r="B687" s="54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6"/>
      <c r="AI687" s="49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3"/>
      <c r="AZ687" s="81"/>
      <c r="BB687" s="5"/>
      <c r="BC687" s="5"/>
    </row>
    <row r="688" spans="1:55" x14ac:dyDescent="0.25">
      <c r="A688" s="51">
        <v>42186</v>
      </c>
      <c r="B688" s="54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6"/>
      <c r="AI688" s="49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3"/>
      <c r="AZ688" s="81"/>
      <c r="BB688" s="5"/>
      <c r="BC688" s="5"/>
    </row>
    <row r="689" spans="1:55" x14ac:dyDescent="0.25">
      <c r="A689" s="51">
        <v>42187</v>
      </c>
      <c r="B689" s="54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6"/>
      <c r="AI689" s="49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3"/>
      <c r="AZ689" s="81"/>
      <c r="BB689" s="5"/>
      <c r="BC689" s="5"/>
    </row>
    <row r="690" spans="1:55" x14ac:dyDescent="0.25">
      <c r="A690" s="51">
        <v>42188</v>
      </c>
      <c r="B690" s="54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6"/>
      <c r="AI690" s="49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3"/>
      <c r="AZ690" s="81"/>
      <c r="BB690" s="5"/>
      <c r="BC690" s="5"/>
    </row>
    <row r="691" spans="1:55" x14ac:dyDescent="0.25">
      <c r="A691" s="51">
        <v>42191</v>
      </c>
      <c r="B691" s="54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6"/>
      <c r="AI691" s="49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3"/>
      <c r="AZ691" s="81"/>
      <c r="BB691" s="5"/>
      <c r="BC691" s="5"/>
    </row>
    <row r="692" spans="1:55" x14ac:dyDescent="0.25">
      <c r="A692" s="51">
        <v>42192</v>
      </c>
      <c r="B692" s="54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6"/>
      <c r="AI692" s="49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3"/>
      <c r="AZ692" s="81"/>
      <c r="BB692" s="5"/>
      <c r="BC692" s="5"/>
    </row>
    <row r="693" spans="1:55" x14ac:dyDescent="0.25">
      <c r="A693" s="51">
        <v>42193</v>
      </c>
      <c r="B693" s="54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6"/>
      <c r="AI693" s="49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3"/>
      <c r="AZ693" s="81"/>
      <c r="BB693" s="5"/>
      <c r="BC693" s="5"/>
    </row>
    <row r="694" spans="1:55" x14ac:dyDescent="0.25">
      <c r="A694" s="51">
        <v>42194</v>
      </c>
      <c r="B694" s="54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6"/>
      <c r="AI694" s="49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3"/>
      <c r="AZ694" s="81"/>
      <c r="BB694" s="5"/>
      <c r="BC694" s="5"/>
    </row>
    <row r="695" spans="1:55" x14ac:dyDescent="0.25">
      <c r="A695" s="51">
        <v>42195</v>
      </c>
      <c r="B695" s="54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6"/>
      <c r="AI695" s="49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3"/>
      <c r="AZ695" s="81"/>
      <c r="BB695" s="5"/>
      <c r="BC695" s="5"/>
    </row>
    <row r="696" spans="1:55" x14ac:dyDescent="0.25">
      <c r="A696" s="51">
        <v>42198</v>
      </c>
      <c r="B696" s="54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6"/>
      <c r="AI696" s="49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3"/>
      <c r="AZ696" s="81"/>
      <c r="BB696" s="5"/>
      <c r="BC696" s="5"/>
    </row>
    <row r="697" spans="1:55" x14ac:dyDescent="0.25">
      <c r="A697" s="51">
        <v>42199</v>
      </c>
      <c r="B697" s="54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6"/>
      <c r="AI697" s="49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3"/>
      <c r="AZ697" s="81"/>
      <c r="BB697" s="5"/>
      <c r="BC697" s="5"/>
    </row>
    <row r="698" spans="1:55" x14ac:dyDescent="0.25">
      <c r="A698" s="51">
        <v>42200</v>
      </c>
      <c r="B698" s="54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6"/>
      <c r="AI698" s="49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3"/>
      <c r="AZ698" s="81"/>
      <c r="BB698" s="5"/>
      <c r="BC698" s="5"/>
    </row>
    <row r="699" spans="1:55" x14ac:dyDescent="0.25">
      <c r="A699" s="51">
        <v>42201</v>
      </c>
      <c r="B699" s="54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6"/>
      <c r="AI699" s="49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3"/>
      <c r="AZ699" s="81"/>
      <c r="BB699" s="5"/>
      <c r="BC699" s="5"/>
    </row>
    <row r="700" spans="1:55" x14ac:dyDescent="0.25">
      <c r="A700" s="51">
        <v>42202</v>
      </c>
      <c r="B700" s="54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6"/>
      <c r="AI700" s="49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3"/>
      <c r="AZ700" s="81"/>
      <c r="BB700" s="5"/>
      <c r="BC700" s="5"/>
    </row>
    <row r="701" spans="1:55" x14ac:dyDescent="0.25">
      <c r="A701" s="51">
        <v>42205</v>
      </c>
      <c r="B701" s="54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6"/>
      <c r="AI701" s="49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3"/>
      <c r="AZ701" s="81"/>
      <c r="BB701" s="5"/>
      <c r="BC701" s="5"/>
    </row>
    <row r="702" spans="1:55" x14ac:dyDescent="0.25">
      <c r="A702" s="51">
        <v>42206</v>
      </c>
      <c r="B702" s="54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6"/>
      <c r="AI702" s="49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3"/>
      <c r="AZ702" s="81"/>
      <c r="BB702" s="5"/>
      <c r="BC702" s="5"/>
    </row>
    <row r="703" spans="1:55" x14ac:dyDescent="0.25">
      <c r="A703" s="51">
        <v>42207</v>
      </c>
      <c r="B703" s="54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6"/>
      <c r="AI703" s="49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3"/>
      <c r="AZ703" s="81"/>
      <c r="BB703" s="5"/>
      <c r="BC703" s="5"/>
    </row>
    <row r="704" spans="1:55" x14ac:dyDescent="0.25">
      <c r="A704" s="51">
        <v>42208</v>
      </c>
      <c r="B704" s="54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6"/>
      <c r="AI704" s="49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3"/>
      <c r="AZ704" s="81"/>
      <c r="BB704" s="5"/>
      <c r="BC704" s="5"/>
    </row>
    <row r="705" spans="1:55" x14ac:dyDescent="0.25">
      <c r="A705" s="51">
        <v>42209</v>
      </c>
      <c r="B705" s="54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6"/>
      <c r="AI705" s="49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3"/>
      <c r="AZ705" s="81"/>
      <c r="BB705" s="5"/>
      <c r="BC705" s="5"/>
    </row>
    <row r="706" spans="1:55" x14ac:dyDescent="0.25">
      <c r="A706" s="51">
        <v>42212</v>
      </c>
      <c r="B706" s="54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6"/>
      <c r="AI706" s="49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3"/>
      <c r="AZ706" s="81"/>
      <c r="BB706" s="5"/>
      <c r="BC706" s="5"/>
    </row>
    <row r="707" spans="1:55" x14ac:dyDescent="0.25">
      <c r="A707" s="51">
        <v>42215</v>
      </c>
      <c r="B707" s="54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6"/>
      <c r="AI707" s="49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3"/>
      <c r="AZ707" s="81"/>
      <c r="BB707" s="5"/>
      <c r="BC707" s="5"/>
    </row>
    <row r="708" spans="1:55" x14ac:dyDescent="0.25">
      <c r="A708" s="51">
        <v>42216</v>
      </c>
      <c r="B708" s="54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6"/>
      <c r="AI708" s="49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3"/>
      <c r="AZ708" s="81"/>
      <c r="BB708" s="5"/>
      <c r="BC708" s="5"/>
    </row>
    <row r="709" spans="1:55" x14ac:dyDescent="0.25">
      <c r="A709" s="51">
        <v>42219</v>
      </c>
      <c r="B709" s="54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6"/>
      <c r="AI709" s="49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3"/>
      <c r="AZ709" s="81"/>
      <c r="BB709" s="5"/>
      <c r="BC709" s="5"/>
    </row>
    <row r="710" spans="1:55" x14ac:dyDescent="0.25">
      <c r="A710" s="51">
        <v>42220</v>
      </c>
      <c r="B710" s="54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6"/>
      <c r="AI710" s="49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3"/>
      <c r="AZ710" s="81"/>
      <c r="BB710" s="5"/>
      <c r="BC710" s="5"/>
    </row>
    <row r="711" spans="1:55" x14ac:dyDescent="0.25">
      <c r="A711" s="51">
        <v>42221</v>
      </c>
      <c r="B711" s="54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6"/>
      <c r="AI711" s="49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3"/>
      <c r="AZ711" s="81"/>
      <c r="BB711" s="5"/>
      <c r="BC711" s="5"/>
    </row>
    <row r="712" spans="1:55" x14ac:dyDescent="0.25">
      <c r="A712" s="51">
        <v>42222</v>
      </c>
      <c r="B712" s="54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6"/>
      <c r="AI712" s="49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3"/>
      <c r="AZ712" s="81"/>
      <c r="BB712" s="5"/>
      <c r="BC712" s="5"/>
    </row>
    <row r="713" spans="1:55" x14ac:dyDescent="0.25">
      <c r="A713" s="51">
        <v>42223</v>
      </c>
      <c r="B713" s="54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6"/>
      <c r="AI713" s="49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3"/>
      <c r="AZ713" s="81"/>
      <c r="BB713" s="5"/>
      <c r="BC713" s="5"/>
    </row>
    <row r="714" spans="1:55" x14ac:dyDescent="0.25">
      <c r="A714" s="51">
        <v>42226</v>
      </c>
      <c r="B714" s="54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6"/>
      <c r="AI714" s="49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3"/>
      <c r="AZ714" s="81"/>
      <c r="BB714" s="5"/>
      <c r="BC714" s="5"/>
    </row>
    <row r="715" spans="1:55" x14ac:dyDescent="0.25">
      <c r="A715" s="51">
        <v>42227</v>
      </c>
      <c r="B715" s="54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6"/>
      <c r="AI715" s="49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3"/>
      <c r="AZ715" s="81"/>
      <c r="BB715" s="5"/>
      <c r="BC715" s="5"/>
    </row>
    <row r="716" spans="1:55" x14ac:dyDescent="0.25">
      <c r="A716" s="51">
        <v>42228</v>
      </c>
      <c r="B716" s="54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6"/>
      <c r="AI716" s="49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3"/>
      <c r="AZ716" s="81"/>
      <c r="BB716" s="5"/>
      <c r="BC716" s="5"/>
    </row>
    <row r="717" spans="1:55" x14ac:dyDescent="0.25">
      <c r="A717" s="51">
        <v>42229</v>
      </c>
      <c r="B717" s="54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6"/>
      <c r="AI717" s="49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3"/>
      <c r="AZ717" s="81"/>
      <c r="BB717" s="5"/>
      <c r="BC717" s="5"/>
    </row>
    <row r="718" spans="1:55" x14ac:dyDescent="0.25">
      <c r="A718" s="51">
        <v>42230</v>
      </c>
      <c r="B718" s="54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6"/>
      <c r="AI718" s="49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3"/>
      <c r="AZ718" s="81"/>
      <c r="BB718" s="5"/>
      <c r="BC718" s="5"/>
    </row>
    <row r="719" spans="1:55" x14ac:dyDescent="0.25">
      <c r="A719" s="51">
        <v>42233</v>
      </c>
      <c r="B719" s="54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6"/>
      <c r="AI719" s="49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3"/>
      <c r="AZ719" s="81"/>
      <c r="BB719" s="5"/>
      <c r="BC719" s="5"/>
    </row>
    <row r="720" spans="1:55" x14ac:dyDescent="0.25">
      <c r="A720" s="51">
        <v>42234</v>
      </c>
      <c r="B720" s="54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6"/>
      <c r="AI720" s="49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3"/>
      <c r="AZ720" s="81"/>
      <c r="BB720" s="5"/>
      <c r="BC720" s="5"/>
    </row>
    <row r="721" spans="1:55" x14ac:dyDescent="0.25">
      <c r="A721" s="51">
        <v>42235</v>
      </c>
      <c r="B721" s="54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6"/>
      <c r="AI721" s="49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3"/>
      <c r="AZ721" s="81"/>
      <c r="BB721" s="5"/>
      <c r="BC721" s="5"/>
    </row>
    <row r="722" spans="1:55" x14ac:dyDescent="0.25">
      <c r="A722" s="51">
        <v>42236</v>
      </c>
      <c r="B722" s="54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6"/>
      <c r="AI722" s="49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3"/>
      <c r="AZ722" s="81"/>
      <c r="BB722" s="5"/>
      <c r="BC722" s="5"/>
    </row>
    <row r="723" spans="1:55" x14ac:dyDescent="0.25">
      <c r="A723" s="51">
        <v>42237</v>
      </c>
      <c r="B723" s="54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6"/>
      <c r="AI723" s="49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3"/>
      <c r="AZ723" s="81"/>
      <c r="BB723" s="5"/>
      <c r="BC723" s="5"/>
    </row>
    <row r="724" spans="1:55" x14ac:dyDescent="0.25">
      <c r="A724" s="51">
        <v>42240</v>
      </c>
      <c r="B724" s="54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6"/>
      <c r="AI724" s="49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3"/>
      <c r="AZ724" s="81"/>
      <c r="BB724" s="5"/>
      <c r="BC724" s="5"/>
    </row>
    <row r="725" spans="1:55" x14ac:dyDescent="0.25">
      <c r="A725" s="51">
        <v>42241</v>
      </c>
      <c r="B725" s="54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6"/>
      <c r="AI725" s="49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3"/>
      <c r="AZ725" s="81"/>
      <c r="BB725" s="5"/>
      <c r="BC725" s="5"/>
    </row>
    <row r="726" spans="1:55" x14ac:dyDescent="0.25">
      <c r="A726" s="51">
        <v>42242</v>
      </c>
      <c r="B726" s="54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6"/>
      <c r="AI726" s="49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3"/>
      <c r="AZ726" s="81"/>
      <c r="BB726" s="5"/>
      <c r="BC726" s="5"/>
    </row>
    <row r="727" spans="1:55" x14ac:dyDescent="0.25">
      <c r="A727" s="51">
        <v>42243</v>
      </c>
      <c r="B727" s="54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6"/>
      <c r="AI727" s="49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3"/>
      <c r="AZ727" s="81"/>
      <c r="BB727" s="5"/>
      <c r="BC727" s="5"/>
    </row>
    <row r="728" spans="1:55" x14ac:dyDescent="0.25">
      <c r="A728" s="51">
        <v>42244</v>
      </c>
      <c r="B728" s="54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6"/>
      <c r="AI728" s="49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3"/>
      <c r="AZ728" s="81"/>
      <c r="BB728" s="5"/>
      <c r="BC728" s="5"/>
    </row>
    <row r="729" spans="1:55" x14ac:dyDescent="0.25">
      <c r="A729" s="51">
        <v>42247</v>
      </c>
      <c r="B729" s="54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6"/>
      <c r="AI729" s="49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3"/>
      <c r="AZ729" s="81"/>
      <c r="BB729" s="5"/>
      <c r="BC729" s="5"/>
    </row>
    <row r="730" spans="1:55" x14ac:dyDescent="0.25">
      <c r="A730" s="51">
        <v>42248</v>
      </c>
      <c r="B730" s="54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6"/>
      <c r="AI730" s="49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3"/>
      <c r="AZ730" s="81"/>
      <c r="BB730" s="5"/>
      <c r="BC730" s="5"/>
    </row>
    <row r="731" spans="1:55" x14ac:dyDescent="0.25">
      <c r="A731" s="51">
        <v>42249</v>
      </c>
      <c r="B731" s="54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6"/>
      <c r="AI731" s="49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3"/>
      <c r="AZ731" s="81"/>
      <c r="BB731" s="5"/>
      <c r="BC731" s="5"/>
    </row>
    <row r="732" spans="1:55" x14ac:dyDescent="0.25">
      <c r="A732" s="51">
        <v>42250</v>
      </c>
      <c r="B732" s="54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6"/>
      <c r="AI732" s="49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3"/>
      <c r="AZ732" s="81"/>
      <c r="BB732" s="5"/>
      <c r="BC732" s="5"/>
    </row>
    <row r="733" spans="1:55" x14ac:dyDescent="0.25">
      <c r="A733" s="51">
        <v>42251</v>
      </c>
      <c r="B733" s="54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6"/>
      <c r="AI733" s="49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3"/>
      <c r="AZ733" s="81"/>
      <c r="BB733" s="5"/>
      <c r="BC733" s="5"/>
    </row>
    <row r="734" spans="1:55" x14ac:dyDescent="0.25">
      <c r="A734" s="51">
        <v>42254</v>
      </c>
      <c r="B734" s="54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6"/>
      <c r="AI734" s="49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3"/>
      <c r="AZ734" s="81"/>
      <c r="BB734" s="5"/>
      <c r="BC734" s="5"/>
    </row>
    <row r="735" spans="1:55" x14ac:dyDescent="0.25">
      <c r="A735" s="51">
        <v>42255</v>
      </c>
      <c r="B735" s="54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6"/>
      <c r="AI735" s="49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3"/>
      <c r="AZ735" s="81"/>
      <c r="BB735" s="5"/>
      <c r="BC735" s="5"/>
    </row>
    <row r="736" spans="1:55" x14ac:dyDescent="0.25">
      <c r="A736" s="51">
        <v>42256</v>
      </c>
      <c r="B736" s="54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6"/>
      <c r="AI736" s="49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3"/>
      <c r="AZ736" s="81"/>
      <c r="BB736" s="5"/>
      <c r="BC736" s="5"/>
    </row>
    <row r="737" spans="1:55" x14ac:dyDescent="0.25">
      <c r="A737" s="51">
        <v>42257</v>
      </c>
      <c r="B737" s="54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6"/>
      <c r="AI737" s="49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3"/>
      <c r="AZ737" s="81"/>
      <c r="BB737" s="5"/>
      <c r="BC737" s="5"/>
    </row>
    <row r="738" spans="1:55" x14ac:dyDescent="0.25">
      <c r="A738" s="51">
        <v>42258</v>
      </c>
      <c r="B738" s="54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6"/>
      <c r="AI738" s="49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3"/>
      <c r="AZ738" s="81"/>
      <c r="BB738" s="5"/>
      <c r="BC738" s="5"/>
    </row>
    <row r="739" spans="1:55" x14ac:dyDescent="0.25">
      <c r="A739" s="51">
        <v>42261</v>
      </c>
      <c r="B739" s="54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6"/>
      <c r="AI739" s="49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3"/>
      <c r="AZ739" s="81"/>
      <c r="BB739" s="5"/>
      <c r="BC739" s="5"/>
    </row>
    <row r="740" spans="1:55" x14ac:dyDescent="0.25">
      <c r="A740" s="51">
        <v>42262</v>
      </c>
      <c r="B740" s="54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6"/>
      <c r="AI740" s="49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3"/>
      <c r="AZ740" s="81"/>
      <c r="BB740" s="5"/>
      <c r="BC740" s="5"/>
    </row>
    <row r="741" spans="1:55" x14ac:dyDescent="0.25">
      <c r="A741" s="51">
        <v>42263</v>
      </c>
      <c r="B741" s="54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6"/>
      <c r="AI741" s="49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3"/>
      <c r="AZ741" s="81"/>
      <c r="BB741" s="5"/>
      <c r="BC741" s="5"/>
    </row>
    <row r="742" spans="1:55" x14ac:dyDescent="0.25">
      <c r="A742" s="51">
        <v>42264</v>
      </c>
      <c r="B742" s="54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6"/>
      <c r="AI742" s="49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3"/>
      <c r="AZ742" s="81"/>
      <c r="BB742" s="5"/>
      <c r="BC742" s="5"/>
    </row>
    <row r="743" spans="1:55" x14ac:dyDescent="0.25">
      <c r="A743" s="51">
        <v>42265</v>
      </c>
      <c r="B743" s="54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6"/>
      <c r="AI743" s="49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3"/>
      <c r="AZ743" s="81"/>
      <c r="BB743" s="5"/>
      <c r="BC743" s="5"/>
    </row>
    <row r="744" spans="1:55" x14ac:dyDescent="0.25">
      <c r="A744" s="51">
        <v>42268</v>
      </c>
      <c r="B744" s="54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6"/>
      <c r="AI744" s="49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3"/>
      <c r="AZ744" s="81"/>
      <c r="BB744" s="5"/>
      <c r="BC744" s="5"/>
    </row>
    <row r="745" spans="1:55" x14ac:dyDescent="0.25">
      <c r="A745" s="51">
        <v>42269</v>
      </c>
      <c r="B745" s="54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6"/>
      <c r="AI745" s="49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3"/>
      <c r="AZ745" s="81"/>
      <c r="BB745" s="5"/>
      <c r="BC745" s="5"/>
    </row>
    <row r="746" spans="1:55" x14ac:dyDescent="0.25">
      <c r="A746" s="51">
        <v>42270</v>
      </c>
      <c r="B746" s="54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6"/>
      <c r="AI746" s="49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3"/>
      <c r="AZ746" s="81"/>
      <c r="BB746" s="5"/>
      <c r="BC746" s="5"/>
    </row>
    <row r="747" spans="1:55" x14ac:dyDescent="0.25">
      <c r="A747" s="51">
        <v>42271</v>
      </c>
      <c r="B747" s="54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6"/>
      <c r="AI747" s="49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3"/>
      <c r="AZ747" s="81"/>
      <c r="BB747" s="5"/>
      <c r="BC747" s="5"/>
    </row>
    <row r="748" spans="1:55" x14ac:dyDescent="0.25">
      <c r="A748" s="51">
        <v>42272</v>
      </c>
      <c r="B748" s="54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6"/>
      <c r="AI748" s="49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3"/>
      <c r="AZ748" s="81"/>
      <c r="BB748" s="5"/>
      <c r="BC748" s="5"/>
    </row>
    <row r="749" spans="1:55" x14ac:dyDescent="0.25">
      <c r="A749" s="51">
        <v>42275</v>
      </c>
      <c r="B749" s="54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6"/>
      <c r="AI749" s="49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3"/>
      <c r="AZ749" s="81"/>
      <c r="BB749" s="5"/>
      <c r="BC749" s="5"/>
    </row>
    <row r="750" spans="1:55" x14ac:dyDescent="0.25">
      <c r="A750" s="51">
        <v>42276</v>
      </c>
      <c r="B750" s="54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6"/>
      <c r="AI750" s="49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3"/>
      <c r="AZ750" s="81"/>
      <c r="BB750" s="5"/>
      <c r="BC750" s="5"/>
    </row>
    <row r="751" spans="1:55" x14ac:dyDescent="0.25">
      <c r="A751" s="51">
        <v>42277</v>
      </c>
      <c r="B751" s="54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6"/>
      <c r="AI751" s="49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3"/>
      <c r="AZ751" s="81"/>
      <c r="BB751" s="5"/>
      <c r="BC751" s="5"/>
    </row>
    <row r="752" spans="1:55" x14ac:dyDescent="0.25">
      <c r="A752" s="51">
        <v>42278</v>
      </c>
      <c r="B752" s="54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6"/>
      <c r="AI752" s="49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3"/>
      <c r="AZ752" s="81"/>
      <c r="BB752" s="5"/>
      <c r="BC752" s="5"/>
    </row>
    <row r="753" spans="1:55" x14ac:dyDescent="0.25">
      <c r="A753" s="51">
        <v>42279</v>
      </c>
      <c r="B753" s="54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6"/>
      <c r="AI753" s="49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3"/>
      <c r="AZ753" s="81"/>
      <c r="BB753" s="5"/>
      <c r="BC753" s="5"/>
    </row>
    <row r="754" spans="1:55" x14ac:dyDescent="0.25">
      <c r="A754" s="51">
        <v>42282</v>
      </c>
      <c r="B754" s="54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6"/>
      <c r="AI754" s="49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3"/>
      <c r="AZ754" s="81"/>
      <c r="BB754" s="5"/>
      <c r="BC754" s="5"/>
    </row>
    <row r="755" spans="1:55" x14ac:dyDescent="0.25">
      <c r="A755" s="51">
        <v>42283</v>
      </c>
      <c r="B755" s="54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6"/>
      <c r="AI755" s="49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3"/>
      <c r="AZ755" s="81"/>
      <c r="BB755" s="5"/>
      <c r="BC755" s="5"/>
    </row>
    <row r="756" spans="1:55" x14ac:dyDescent="0.25">
      <c r="A756" s="51">
        <v>42284</v>
      </c>
      <c r="B756" s="54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6"/>
      <c r="AI756" s="49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3"/>
      <c r="AZ756" s="81"/>
      <c r="BB756" s="5"/>
      <c r="BC756" s="5"/>
    </row>
    <row r="757" spans="1:55" x14ac:dyDescent="0.25">
      <c r="A757" s="51">
        <v>42289</v>
      </c>
      <c r="B757" s="54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6"/>
      <c r="AI757" s="49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3"/>
      <c r="AZ757" s="81"/>
      <c r="BB757" s="5"/>
      <c r="BC757" s="5"/>
    </row>
    <row r="758" spans="1:55" x14ac:dyDescent="0.25">
      <c r="A758" s="51">
        <v>42290</v>
      </c>
      <c r="B758" s="54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6"/>
      <c r="AI758" s="49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3"/>
      <c r="AZ758" s="81"/>
      <c r="BB758" s="5"/>
      <c r="BC758" s="5"/>
    </row>
    <row r="759" spans="1:55" x14ac:dyDescent="0.25">
      <c r="A759" s="51">
        <v>42291</v>
      </c>
      <c r="B759" s="54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6"/>
      <c r="AI759" s="49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3"/>
      <c r="AZ759" s="81"/>
      <c r="BB759" s="5"/>
      <c r="BC759" s="5"/>
    </row>
    <row r="760" spans="1:55" x14ac:dyDescent="0.25">
      <c r="A760" s="51">
        <v>42292</v>
      </c>
      <c r="B760" s="54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6"/>
      <c r="AI760" s="49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3"/>
      <c r="AZ760" s="81"/>
      <c r="BB760" s="5"/>
      <c r="BC760" s="5"/>
    </row>
    <row r="761" spans="1:55" x14ac:dyDescent="0.25">
      <c r="A761" s="51">
        <v>42293</v>
      </c>
      <c r="B761" s="54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6"/>
      <c r="AI761" s="49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3"/>
      <c r="AZ761" s="81"/>
      <c r="BB761" s="5"/>
      <c r="BC761" s="5"/>
    </row>
    <row r="762" spans="1:55" x14ac:dyDescent="0.25">
      <c r="A762" s="51">
        <v>42296</v>
      </c>
      <c r="B762" s="54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6"/>
      <c r="AI762" s="49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3"/>
      <c r="AZ762" s="81"/>
      <c r="BB762" s="5"/>
      <c r="BC762" s="5"/>
    </row>
    <row r="763" spans="1:55" x14ac:dyDescent="0.25">
      <c r="A763" s="51">
        <v>42297</v>
      </c>
      <c r="B763" s="54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6"/>
      <c r="AI763" s="49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3"/>
      <c r="AZ763" s="81"/>
      <c r="BB763" s="5"/>
      <c r="BC763" s="5"/>
    </row>
    <row r="764" spans="1:55" x14ac:dyDescent="0.25">
      <c r="A764" s="51">
        <v>42298</v>
      </c>
      <c r="B764" s="54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6"/>
      <c r="AI764" s="49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3"/>
      <c r="AZ764" s="81"/>
      <c r="BB764" s="5"/>
      <c r="BC764" s="5"/>
    </row>
    <row r="765" spans="1:55" x14ac:dyDescent="0.25">
      <c r="A765" s="51">
        <v>42299</v>
      </c>
      <c r="B765" s="54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6"/>
      <c r="AI765" s="49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3"/>
      <c r="AZ765" s="81"/>
      <c r="BB765" s="5"/>
      <c r="BC765" s="5"/>
    </row>
    <row r="766" spans="1:55" x14ac:dyDescent="0.25">
      <c r="A766" s="51">
        <v>42300</v>
      </c>
      <c r="B766" s="54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6"/>
      <c r="AI766" s="49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3"/>
      <c r="AZ766" s="81"/>
      <c r="BB766" s="5"/>
      <c r="BC766" s="5"/>
    </row>
    <row r="767" spans="1:55" x14ac:dyDescent="0.25">
      <c r="A767" s="51">
        <v>42303</v>
      </c>
      <c r="B767" s="54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6"/>
      <c r="AI767" s="49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3"/>
      <c r="AZ767" s="81"/>
      <c r="BB767" s="5"/>
      <c r="BC767" s="5"/>
    </row>
    <row r="768" spans="1:55" x14ac:dyDescent="0.25">
      <c r="A768" s="51">
        <v>42304</v>
      </c>
      <c r="B768" s="54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6"/>
      <c r="AI768" s="49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3"/>
      <c r="AZ768" s="81"/>
      <c r="BB768" s="5"/>
      <c r="BC768" s="5"/>
    </row>
    <row r="769" spans="1:55" x14ac:dyDescent="0.25">
      <c r="A769" s="51">
        <v>42305</v>
      </c>
      <c r="B769" s="54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6"/>
      <c r="AI769" s="49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3"/>
      <c r="AZ769" s="81"/>
      <c r="BB769" s="5"/>
      <c r="BC769" s="5"/>
    </row>
    <row r="770" spans="1:55" x14ac:dyDescent="0.25">
      <c r="A770" s="51">
        <v>42306</v>
      </c>
      <c r="B770" s="54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6"/>
      <c r="AI770" s="49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3"/>
      <c r="AZ770" s="81"/>
      <c r="BB770" s="5"/>
      <c r="BC770" s="5"/>
    </row>
    <row r="771" spans="1:55" x14ac:dyDescent="0.25">
      <c r="A771" s="51">
        <v>42307</v>
      </c>
      <c r="B771" s="54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6"/>
      <c r="AI771" s="49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3"/>
      <c r="AZ771" s="81"/>
      <c r="BB771" s="5"/>
      <c r="BC771" s="5"/>
    </row>
    <row r="772" spans="1:55" x14ac:dyDescent="0.25">
      <c r="A772" s="51">
        <v>42310</v>
      </c>
      <c r="B772" s="54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6"/>
      <c r="AI772" s="49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3"/>
      <c r="AZ772" s="81"/>
      <c r="BB772" s="5"/>
      <c r="BC772" s="5"/>
    </row>
    <row r="773" spans="1:55" x14ac:dyDescent="0.25">
      <c r="A773" s="51">
        <v>42311</v>
      </c>
      <c r="B773" s="54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6"/>
      <c r="AI773" s="49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3"/>
      <c r="AZ773" s="81"/>
      <c r="BB773" s="5"/>
      <c r="BC773" s="5"/>
    </row>
    <row r="774" spans="1:55" x14ac:dyDescent="0.25">
      <c r="A774" s="51">
        <v>42312</v>
      </c>
      <c r="B774" s="54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6"/>
      <c r="AI774" s="49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3"/>
      <c r="AZ774" s="81"/>
      <c r="BB774" s="5"/>
      <c r="BC774" s="5"/>
    </row>
    <row r="775" spans="1:55" x14ac:dyDescent="0.25">
      <c r="A775" s="51">
        <v>42313</v>
      </c>
      <c r="B775" s="54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6"/>
      <c r="AI775" s="49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3"/>
      <c r="AZ775" s="81"/>
      <c r="BB775" s="5"/>
      <c r="BC775" s="5"/>
    </row>
    <row r="776" spans="1:55" x14ac:dyDescent="0.25">
      <c r="A776" s="51">
        <v>42314</v>
      </c>
      <c r="B776" s="54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6"/>
      <c r="AI776" s="49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3"/>
      <c r="AZ776" s="81"/>
      <c r="BB776" s="5"/>
      <c r="BC776" s="5"/>
    </row>
    <row r="777" spans="1:55" x14ac:dyDescent="0.25">
      <c r="A777" s="51">
        <v>42317</v>
      </c>
      <c r="B777" s="54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6"/>
      <c r="AI777" s="49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3"/>
      <c r="AZ777" s="81"/>
      <c r="BB777" s="5"/>
      <c r="BC777" s="5"/>
    </row>
    <row r="778" spans="1:55" x14ac:dyDescent="0.25">
      <c r="A778" s="51">
        <v>42318</v>
      </c>
      <c r="B778" s="54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6"/>
      <c r="AI778" s="49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3"/>
      <c r="AZ778" s="81"/>
      <c r="BB778" s="5"/>
      <c r="BC778" s="5"/>
    </row>
    <row r="779" spans="1:55" x14ac:dyDescent="0.25">
      <c r="A779" s="51">
        <v>42319</v>
      </c>
      <c r="B779" s="54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6"/>
      <c r="AI779" s="49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3"/>
      <c r="AZ779" s="81"/>
      <c r="BB779" s="5"/>
      <c r="BC779" s="5"/>
    </row>
    <row r="780" spans="1:55" x14ac:dyDescent="0.25">
      <c r="A780" s="51">
        <v>42320</v>
      </c>
      <c r="B780" s="54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6"/>
      <c r="AI780" s="49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3"/>
      <c r="AZ780" s="81"/>
      <c r="BB780" s="5"/>
      <c r="BC780" s="5"/>
    </row>
    <row r="781" spans="1:55" x14ac:dyDescent="0.25">
      <c r="A781" s="51">
        <v>42321</v>
      </c>
      <c r="B781" s="54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6"/>
      <c r="AI781" s="49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3"/>
      <c r="AZ781" s="81"/>
      <c r="BB781" s="5"/>
      <c r="BC781" s="5"/>
    </row>
    <row r="782" spans="1:55" x14ac:dyDescent="0.25">
      <c r="A782" s="51">
        <v>42324</v>
      </c>
      <c r="B782" s="54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6"/>
      <c r="AI782" s="49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3"/>
      <c r="AZ782" s="81"/>
      <c r="BB782" s="5"/>
      <c r="BC782" s="5"/>
    </row>
    <row r="783" spans="1:55" x14ac:dyDescent="0.25">
      <c r="A783" s="51">
        <v>42325</v>
      </c>
      <c r="B783" s="54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6"/>
      <c r="AI783" s="49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3"/>
      <c r="AZ783" s="81"/>
      <c r="BB783" s="5"/>
      <c r="BC783" s="5"/>
    </row>
    <row r="784" spans="1:55" x14ac:dyDescent="0.25">
      <c r="A784" s="51">
        <v>42326</v>
      </c>
      <c r="B784" s="54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6"/>
      <c r="AI784" s="49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3"/>
      <c r="AZ784" s="81"/>
      <c r="BB784" s="5"/>
      <c r="BC784" s="5"/>
    </row>
    <row r="785" spans="1:55" x14ac:dyDescent="0.25">
      <c r="A785" s="51">
        <v>42327</v>
      </c>
      <c r="B785" s="54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6"/>
      <c r="AI785" s="49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3"/>
      <c r="AZ785" s="81"/>
      <c r="BB785" s="5"/>
      <c r="BC785" s="5"/>
    </row>
    <row r="786" spans="1:55" x14ac:dyDescent="0.25">
      <c r="A786" s="51">
        <v>42328</v>
      </c>
      <c r="B786" s="54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6"/>
      <c r="AI786" s="49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3"/>
      <c r="AZ786" s="81"/>
      <c r="BB786" s="5"/>
      <c r="BC786" s="5"/>
    </row>
    <row r="787" spans="1:55" x14ac:dyDescent="0.25">
      <c r="A787" s="51">
        <v>42331</v>
      </c>
      <c r="B787" s="54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6"/>
      <c r="AI787" s="49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3"/>
      <c r="AZ787" s="81"/>
      <c r="BB787" s="5"/>
      <c r="BC787" s="5"/>
    </row>
    <row r="788" spans="1:55" x14ac:dyDescent="0.25">
      <c r="A788" s="51">
        <v>42332</v>
      </c>
      <c r="B788" s="54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6"/>
      <c r="AI788" s="49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3"/>
      <c r="AZ788" s="81"/>
      <c r="BB788" s="5"/>
      <c r="BC788" s="5"/>
    </row>
    <row r="789" spans="1:55" x14ac:dyDescent="0.25">
      <c r="A789" s="51">
        <v>42333</v>
      </c>
      <c r="B789" s="54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6"/>
      <c r="AI789" s="49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3"/>
      <c r="AZ789" s="81"/>
      <c r="BB789" s="5"/>
      <c r="BC789" s="5"/>
    </row>
    <row r="790" spans="1:55" x14ac:dyDescent="0.25">
      <c r="A790" s="51">
        <v>42334</v>
      </c>
      <c r="B790" s="54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6"/>
      <c r="AI790" s="49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3"/>
      <c r="AZ790" s="81"/>
      <c r="BB790" s="5"/>
      <c r="BC790" s="5"/>
    </row>
    <row r="791" spans="1:55" x14ac:dyDescent="0.25">
      <c r="A791" s="51">
        <v>42335</v>
      </c>
      <c r="B791" s="54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6"/>
      <c r="AI791" s="49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3"/>
      <c r="AZ791" s="81"/>
      <c r="BB791" s="5"/>
      <c r="BC791" s="5"/>
    </row>
    <row r="792" spans="1:55" x14ac:dyDescent="0.25">
      <c r="A792" s="51">
        <v>42338</v>
      </c>
      <c r="B792" s="54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6"/>
      <c r="AI792" s="49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3"/>
      <c r="AZ792" s="81"/>
      <c r="BB792" s="5"/>
      <c r="BC792" s="5"/>
    </row>
    <row r="793" spans="1:55" x14ac:dyDescent="0.25">
      <c r="A793" s="51">
        <v>42339</v>
      </c>
      <c r="B793" s="54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6"/>
      <c r="AI793" s="49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3"/>
      <c r="AZ793" s="81"/>
      <c r="BB793" s="5"/>
      <c r="BC793" s="5"/>
    </row>
    <row r="794" spans="1:55" x14ac:dyDescent="0.25">
      <c r="A794" s="51">
        <v>42340</v>
      </c>
      <c r="B794" s="54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6"/>
      <c r="AI794" s="49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3"/>
      <c r="AZ794" s="81"/>
      <c r="BB794" s="5"/>
      <c r="BC794" s="5"/>
    </row>
    <row r="795" spans="1:55" x14ac:dyDescent="0.25">
      <c r="A795" s="51">
        <v>42341</v>
      </c>
      <c r="B795" s="54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6"/>
      <c r="AI795" s="49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3"/>
      <c r="AZ795" s="81"/>
      <c r="BB795" s="5"/>
      <c r="BC795" s="5"/>
    </row>
    <row r="796" spans="1:55" x14ac:dyDescent="0.25">
      <c r="A796" s="51">
        <v>42342</v>
      </c>
      <c r="B796" s="54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6"/>
      <c r="AI796" s="49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3"/>
      <c r="AZ796" s="81"/>
      <c r="BB796" s="5"/>
      <c r="BC796" s="5"/>
    </row>
    <row r="797" spans="1:55" x14ac:dyDescent="0.25">
      <c r="A797" s="51">
        <v>42345</v>
      </c>
      <c r="B797" s="54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6"/>
      <c r="AI797" s="49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3"/>
      <c r="AZ797" s="81"/>
      <c r="BB797" s="5"/>
      <c r="BC797" s="5"/>
    </row>
    <row r="798" spans="1:55" x14ac:dyDescent="0.25">
      <c r="A798" s="51">
        <v>42347</v>
      </c>
      <c r="B798" s="54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6"/>
      <c r="AI798" s="49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3"/>
      <c r="AZ798" s="81"/>
      <c r="BB798" s="5"/>
      <c r="BC798" s="5"/>
    </row>
    <row r="799" spans="1:55" x14ac:dyDescent="0.25">
      <c r="A799" s="51">
        <v>42348</v>
      </c>
      <c r="B799" s="54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6"/>
      <c r="AI799" s="49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3"/>
      <c r="AZ799" s="81"/>
      <c r="BB799" s="5"/>
      <c r="BC799" s="5"/>
    </row>
    <row r="800" spans="1:55" x14ac:dyDescent="0.25">
      <c r="A800" s="51">
        <v>42349</v>
      </c>
      <c r="B800" s="54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6"/>
      <c r="AI800" s="49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3"/>
      <c r="AZ800" s="81"/>
      <c r="BB800" s="5"/>
      <c r="BC800" s="5"/>
    </row>
    <row r="801" spans="1:55" x14ac:dyDescent="0.25">
      <c r="A801" s="51">
        <v>42352</v>
      </c>
      <c r="B801" s="54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6"/>
      <c r="AI801" s="49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3"/>
      <c r="AZ801" s="81"/>
      <c r="BB801" s="5"/>
      <c r="BC801" s="5"/>
    </row>
    <row r="802" spans="1:55" x14ac:dyDescent="0.25">
      <c r="A802" s="51">
        <v>42353</v>
      </c>
      <c r="B802" s="54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6"/>
      <c r="AI802" s="49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3"/>
      <c r="AZ802" s="81"/>
      <c r="BB802" s="5"/>
      <c r="BC802" s="5"/>
    </row>
    <row r="803" spans="1:55" x14ac:dyDescent="0.25">
      <c r="A803" s="51">
        <v>42354</v>
      </c>
      <c r="B803" s="54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6"/>
      <c r="AI803" s="49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3"/>
      <c r="AZ803" s="81"/>
      <c r="BB803" s="5"/>
      <c r="BC803" s="5"/>
    </row>
    <row r="804" spans="1:55" x14ac:dyDescent="0.25">
      <c r="A804" s="51">
        <v>42355</v>
      </c>
      <c r="B804" s="54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6"/>
      <c r="AI804" s="49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3"/>
      <c r="AZ804" s="81"/>
      <c r="BB804" s="5"/>
      <c r="BC804" s="5"/>
    </row>
    <row r="805" spans="1:55" x14ac:dyDescent="0.25">
      <c r="A805" s="51">
        <v>42356</v>
      </c>
      <c r="B805" s="54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6"/>
      <c r="AI805" s="49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3"/>
      <c r="AZ805" s="81"/>
      <c r="BB805" s="5"/>
      <c r="BC805" s="5"/>
    </row>
    <row r="806" spans="1:55" x14ac:dyDescent="0.25">
      <c r="A806" s="51">
        <v>42359</v>
      </c>
      <c r="B806" s="54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6"/>
      <c r="AI806" s="49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3"/>
      <c r="AZ806" s="81"/>
      <c r="BB806" s="5"/>
      <c r="BC806" s="5"/>
    </row>
    <row r="807" spans="1:55" x14ac:dyDescent="0.25">
      <c r="A807" s="51">
        <v>42360</v>
      </c>
      <c r="B807" s="54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6"/>
      <c r="AI807" s="49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3"/>
      <c r="AZ807" s="81"/>
      <c r="BB807" s="5"/>
      <c r="BC807" s="5"/>
    </row>
    <row r="808" spans="1:55" x14ac:dyDescent="0.25">
      <c r="A808" s="51">
        <v>42361</v>
      </c>
      <c r="B808" s="54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6"/>
      <c r="AI808" s="49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3"/>
      <c r="AZ808" s="81"/>
      <c r="BB808" s="5"/>
      <c r="BC808" s="5"/>
    </row>
    <row r="809" spans="1:55" x14ac:dyDescent="0.25">
      <c r="A809" s="51">
        <v>42362</v>
      </c>
      <c r="B809" s="54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6"/>
      <c r="AI809" s="49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3"/>
      <c r="AZ809" s="81"/>
      <c r="BB809" s="5"/>
      <c r="BC809" s="5"/>
    </row>
    <row r="810" spans="1:55" x14ac:dyDescent="0.25">
      <c r="A810" s="51">
        <v>42366</v>
      </c>
      <c r="B810" s="54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6"/>
      <c r="AI810" s="49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3"/>
      <c r="AZ810" s="81"/>
      <c r="BB810" s="5"/>
      <c r="BC810" s="5"/>
    </row>
    <row r="811" spans="1:55" x14ac:dyDescent="0.25">
      <c r="A811" s="51">
        <v>42367</v>
      </c>
      <c r="B811" s="54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6"/>
      <c r="AI811" s="49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3"/>
      <c r="AZ811" s="81"/>
      <c r="BB811" s="5"/>
      <c r="BC811" s="5"/>
    </row>
    <row r="812" spans="1:55" x14ac:dyDescent="0.25">
      <c r="A812" s="51">
        <v>42368</v>
      </c>
      <c r="B812" s="54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6"/>
      <c r="AI812" s="49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3"/>
      <c r="AZ812" s="81"/>
      <c r="BB812" s="5"/>
      <c r="BC812" s="5"/>
    </row>
    <row r="813" spans="1:55" x14ac:dyDescent="0.25">
      <c r="A813" s="51">
        <v>42369</v>
      </c>
      <c r="B813" s="54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6"/>
      <c r="AI813" s="49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3"/>
      <c r="AZ813" s="81"/>
      <c r="BB813" s="5"/>
      <c r="BC813" s="5"/>
    </row>
    <row r="814" spans="1:55" x14ac:dyDescent="0.25">
      <c r="A814" s="51">
        <v>42373</v>
      </c>
      <c r="B814" s="54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6"/>
      <c r="AI814" s="49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3"/>
      <c r="AZ814" s="81"/>
      <c r="BB814" s="5"/>
      <c r="BC814" s="5"/>
    </row>
    <row r="815" spans="1:55" x14ac:dyDescent="0.25">
      <c r="A815" s="51">
        <v>42374</v>
      </c>
      <c r="B815" s="54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6"/>
      <c r="AI815" s="49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3"/>
      <c r="AZ815" s="81"/>
      <c r="BB815" s="5"/>
      <c r="BC815" s="5"/>
    </row>
    <row r="816" spans="1:55" x14ac:dyDescent="0.25">
      <c r="A816" s="51">
        <v>42375</v>
      </c>
      <c r="B816" s="54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6"/>
      <c r="AI816" s="49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3"/>
      <c r="AZ816" s="81"/>
      <c r="BB816" s="5"/>
      <c r="BC816" s="5"/>
    </row>
    <row r="817" spans="1:55" x14ac:dyDescent="0.25">
      <c r="A817" s="51">
        <v>42376</v>
      </c>
      <c r="B817" s="54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6"/>
      <c r="AI817" s="49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3"/>
      <c r="AZ817" s="81"/>
      <c r="BB817" s="5"/>
      <c r="BC817" s="5"/>
    </row>
    <row r="818" spans="1:55" x14ac:dyDescent="0.25">
      <c r="A818" s="51">
        <v>42377</v>
      </c>
      <c r="B818" s="54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6"/>
      <c r="AI818" s="49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3"/>
      <c r="AZ818" s="81"/>
      <c r="BB818" s="5"/>
      <c r="BC818" s="5"/>
    </row>
    <row r="819" spans="1:55" x14ac:dyDescent="0.25">
      <c r="A819" s="51">
        <v>42380</v>
      </c>
      <c r="B819" s="54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6"/>
      <c r="AI819" s="49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3"/>
      <c r="AZ819" s="81"/>
      <c r="BB819" s="5"/>
      <c r="BC819" s="5"/>
    </row>
    <row r="820" spans="1:55" x14ac:dyDescent="0.25">
      <c r="A820" s="51">
        <v>42381</v>
      </c>
      <c r="B820" s="54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6"/>
      <c r="AI820" s="49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3"/>
      <c r="AZ820" s="81"/>
      <c r="BB820" s="5"/>
      <c r="BC820" s="5"/>
    </row>
    <row r="821" spans="1:55" x14ac:dyDescent="0.25">
      <c r="A821" s="51">
        <v>42382</v>
      </c>
      <c r="B821" s="54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6"/>
      <c r="AI821" s="49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3"/>
      <c r="AZ821" s="81"/>
      <c r="BB821" s="5"/>
      <c r="BC821" s="5"/>
    </row>
    <row r="822" spans="1:55" x14ac:dyDescent="0.25">
      <c r="A822" s="51">
        <v>42383</v>
      </c>
      <c r="B822" s="54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6"/>
      <c r="AI822" s="49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3"/>
      <c r="AZ822" s="81"/>
      <c r="BB822" s="5"/>
      <c r="BC822" s="5"/>
    </row>
    <row r="823" spans="1:55" x14ac:dyDescent="0.25">
      <c r="A823" s="51">
        <v>42384</v>
      </c>
      <c r="B823" s="54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6"/>
      <c r="AI823" s="49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3"/>
      <c r="AZ823" s="81"/>
      <c r="BB823" s="5"/>
      <c r="BC823" s="5"/>
    </row>
    <row r="824" spans="1:55" x14ac:dyDescent="0.25">
      <c r="A824" s="51">
        <v>42387</v>
      </c>
      <c r="B824" s="54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6"/>
      <c r="AI824" s="49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3"/>
      <c r="AZ824" s="81"/>
      <c r="BB824" s="5"/>
      <c r="BC824" s="5"/>
    </row>
    <row r="825" spans="1:55" x14ac:dyDescent="0.25">
      <c r="A825" s="51">
        <v>42388</v>
      </c>
      <c r="B825" s="54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6"/>
      <c r="AI825" s="49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3"/>
      <c r="AZ825" s="81"/>
      <c r="BB825" s="5"/>
      <c r="BC825" s="5"/>
    </row>
    <row r="826" spans="1:55" x14ac:dyDescent="0.25">
      <c r="A826" s="51">
        <v>42389</v>
      </c>
      <c r="B826" s="54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6"/>
      <c r="AI826" s="49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3"/>
      <c r="AZ826" s="81"/>
      <c r="BB826" s="5"/>
      <c r="BC826" s="5"/>
    </row>
    <row r="827" spans="1:55" x14ac:dyDescent="0.25">
      <c r="A827" s="51">
        <v>42390</v>
      </c>
      <c r="B827" s="54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6"/>
      <c r="AI827" s="49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3"/>
      <c r="AZ827" s="81"/>
      <c r="BB827" s="5"/>
      <c r="BC827" s="5"/>
    </row>
    <row r="828" spans="1:55" x14ac:dyDescent="0.25">
      <c r="A828" s="51">
        <v>42391</v>
      </c>
      <c r="B828" s="54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6"/>
      <c r="AI828" s="49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3"/>
      <c r="AZ828" s="81"/>
      <c r="BB828" s="5"/>
      <c r="BC828" s="5"/>
    </row>
    <row r="829" spans="1:55" x14ac:dyDescent="0.25">
      <c r="A829" s="51">
        <v>42394</v>
      </c>
      <c r="B829" s="54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6"/>
      <c r="AI829" s="49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3"/>
      <c r="AZ829" s="81"/>
      <c r="BB829" s="5"/>
      <c r="BC829" s="5"/>
    </row>
    <row r="830" spans="1:55" x14ac:dyDescent="0.25">
      <c r="A830" s="51">
        <v>42395</v>
      </c>
      <c r="B830" s="54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6"/>
      <c r="AI830" s="49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3"/>
      <c r="AZ830" s="81"/>
      <c r="BB830" s="5"/>
      <c r="BC830" s="5"/>
    </row>
    <row r="831" spans="1:55" x14ac:dyDescent="0.25">
      <c r="A831" s="51">
        <v>42396</v>
      </c>
      <c r="B831" s="54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6"/>
      <c r="AI831" s="49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3"/>
      <c r="AZ831" s="81"/>
      <c r="BB831" s="5"/>
      <c r="BC831" s="5"/>
    </row>
    <row r="832" spans="1:55" x14ac:dyDescent="0.25">
      <c r="A832" s="51">
        <v>42397</v>
      </c>
      <c r="B832" s="54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6"/>
      <c r="AI832" s="49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3"/>
      <c r="AZ832" s="81"/>
      <c r="BB832" s="5"/>
      <c r="BC832" s="5"/>
    </row>
    <row r="833" spans="1:55" x14ac:dyDescent="0.25">
      <c r="A833" s="51">
        <v>42398</v>
      </c>
      <c r="B833" s="54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6"/>
      <c r="AI833" s="49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3"/>
      <c r="AZ833" s="81"/>
      <c r="BB833" s="5"/>
      <c r="BC833" s="5"/>
    </row>
    <row r="834" spans="1:55" x14ac:dyDescent="0.25">
      <c r="A834" s="51">
        <v>42401</v>
      </c>
      <c r="B834" s="54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6"/>
      <c r="AI834" s="49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3"/>
      <c r="AZ834" s="81"/>
      <c r="BB834" s="5"/>
      <c r="BC834" s="5"/>
    </row>
    <row r="835" spans="1:55" x14ac:dyDescent="0.25">
      <c r="A835" s="51">
        <v>42402</v>
      </c>
      <c r="B835" s="54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6"/>
      <c r="AI835" s="49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3"/>
      <c r="AZ835" s="81"/>
      <c r="BB835" s="5"/>
      <c r="BC835" s="5"/>
    </row>
    <row r="836" spans="1:55" x14ac:dyDescent="0.25">
      <c r="A836" s="51">
        <v>42403</v>
      </c>
      <c r="B836" s="54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6"/>
      <c r="AI836" s="49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3"/>
      <c r="AZ836" s="81"/>
      <c r="BB836" s="5"/>
      <c r="BC836" s="5"/>
    </row>
    <row r="837" spans="1:55" x14ac:dyDescent="0.25">
      <c r="A837" s="51">
        <v>42404</v>
      </c>
      <c r="B837" s="54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6"/>
      <c r="AI837" s="49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3"/>
      <c r="AZ837" s="81"/>
      <c r="BB837" s="5"/>
      <c r="BC837" s="5"/>
    </row>
    <row r="838" spans="1:55" x14ac:dyDescent="0.25">
      <c r="A838" s="51">
        <v>42405</v>
      </c>
      <c r="B838" s="54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6"/>
      <c r="AI838" s="49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3"/>
      <c r="AZ838" s="81"/>
      <c r="BB838" s="5"/>
      <c r="BC838" s="5"/>
    </row>
    <row r="839" spans="1:55" x14ac:dyDescent="0.25">
      <c r="A839" s="51">
        <v>42408</v>
      </c>
      <c r="B839" s="54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6"/>
      <c r="AI839" s="49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3"/>
      <c r="AZ839" s="81"/>
      <c r="BB839" s="5"/>
      <c r="BC839" s="5"/>
    </row>
    <row r="840" spans="1:55" x14ac:dyDescent="0.25">
      <c r="A840" s="51">
        <v>42409</v>
      </c>
      <c r="B840" s="54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6"/>
      <c r="AI840" s="49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3"/>
      <c r="AZ840" s="81"/>
      <c r="BB840" s="5"/>
      <c r="BC840" s="5"/>
    </row>
    <row r="841" spans="1:55" x14ac:dyDescent="0.25">
      <c r="A841" s="51">
        <v>42410</v>
      </c>
      <c r="B841" s="54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6"/>
      <c r="AI841" s="49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3"/>
      <c r="AZ841" s="81"/>
      <c r="BB841" s="5"/>
      <c r="BC841" s="5"/>
    </row>
    <row r="842" spans="1:55" x14ac:dyDescent="0.25">
      <c r="A842" s="51">
        <v>42411</v>
      </c>
      <c r="B842" s="54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6"/>
      <c r="AI842" s="49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3"/>
      <c r="AZ842" s="81"/>
      <c r="BB842" s="5"/>
      <c r="BC842" s="5"/>
    </row>
    <row r="843" spans="1:55" x14ac:dyDescent="0.25">
      <c r="A843" s="51">
        <v>42412</v>
      </c>
      <c r="B843" s="54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6"/>
      <c r="AI843" s="49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3"/>
      <c r="AZ843" s="81"/>
      <c r="BB843" s="5"/>
      <c r="BC843" s="5"/>
    </row>
    <row r="844" spans="1:55" x14ac:dyDescent="0.25">
      <c r="A844" s="51">
        <v>42415</v>
      </c>
      <c r="B844" s="54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6"/>
      <c r="AI844" s="49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3"/>
      <c r="AZ844" s="81"/>
      <c r="BB844" s="5"/>
      <c r="BC844" s="5"/>
    </row>
    <row r="845" spans="1:55" x14ac:dyDescent="0.25">
      <c r="A845" s="51">
        <v>42416</v>
      </c>
      <c r="B845" s="54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6"/>
      <c r="AI845" s="49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3"/>
      <c r="AZ845" s="81"/>
      <c r="BB845" s="5"/>
      <c r="BC845" s="5"/>
    </row>
    <row r="846" spans="1:55" x14ac:dyDescent="0.25">
      <c r="A846" s="51">
        <v>42417</v>
      </c>
      <c r="B846" s="54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6"/>
      <c r="AI846" s="49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3"/>
      <c r="AZ846" s="81"/>
      <c r="BB846" s="5"/>
      <c r="BC846" s="5"/>
    </row>
    <row r="847" spans="1:55" x14ac:dyDescent="0.25">
      <c r="A847" s="51">
        <v>42418</v>
      </c>
      <c r="B847" s="54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6"/>
      <c r="AI847" s="49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3"/>
      <c r="AZ847" s="81"/>
      <c r="BB847" s="5"/>
      <c r="BC847" s="5"/>
    </row>
    <row r="848" spans="1:55" x14ac:dyDescent="0.25">
      <c r="A848" s="51">
        <v>42419</v>
      </c>
      <c r="B848" s="54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6"/>
      <c r="AI848" s="49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3"/>
      <c r="AZ848" s="81"/>
      <c r="BB848" s="5"/>
      <c r="BC848" s="5"/>
    </row>
    <row r="849" spans="1:55" x14ac:dyDescent="0.25">
      <c r="A849" s="51">
        <v>42422</v>
      </c>
      <c r="B849" s="54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6"/>
      <c r="AI849" s="49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3"/>
      <c r="AZ849" s="81"/>
      <c r="BB849" s="5"/>
      <c r="BC849" s="5"/>
    </row>
    <row r="850" spans="1:55" x14ac:dyDescent="0.25">
      <c r="A850" s="51">
        <v>42423</v>
      </c>
      <c r="B850" s="54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6"/>
      <c r="AI850" s="49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3"/>
      <c r="AZ850" s="81"/>
      <c r="BB850" s="5"/>
      <c r="BC850" s="5"/>
    </row>
    <row r="851" spans="1:55" x14ac:dyDescent="0.25">
      <c r="A851" s="51">
        <v>42424</v>
      </c>
      <c r="B851" s="54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6"/>
      <c r="AI851" s="49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3"/>
      <c r="AZ851" s="81"/>
      <c r="BB851" s="5"/>
      <c r="BC851" s="5"/>
    </row>
    <row r="852" spans="1:55" x14ac:dyDescent="0.25">
      <c r="A852" s="51">
        <v>42425</v>
      </c>
      <c r="B852" s="54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6"/>
      <c r="AI852" s="49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3"/>
      <c r="AZ852" s="81"/>
      <c r="BB852" s="5"/>
      <c r="BC852" s="5"/>
    </row>
    <row r="853" spans="1:55" x14ac:dyDescent="0.25">
      <c r="A853" s="51">
        <v>42426</v>
      </c>
      <c r="B853" s="54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6"/>
      <c r="AI853" s="49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3"/>
      <c r="AZ853" s="81"/>
      <c r="BB853" s="5"/>
      <c r="BC853" s="5"/>
    </row>
    <row r="854" spans="1:55" x14ac:dyDescent="0.25">
      <c r="A854" s="51">
        <v>42429</v>
      </c>
      <c r="B854" s="54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6"/>
      <c r="AI854" s="49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3"/>
      <c r="AZ854" s="81"/>
      <c r="BB854" s="5"/>
      <c r="BC854" s="5"/>
    </row>
    <row r="855" spans="1:55" x14ac:dyDescent="0.25">
      <c r="A855" s="51">
        <v>42430</v>
      </c>
      <c r="B855" s="54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6"/>
      <c r="AI855" s="49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3"/>
      <c r="AZ855" s="81"/>
      <c r="BB855" s="5"/>
      <c r="BC855" s="5"/>
    </row>
    <row r="856" spans="1:55" x14ac:dyDescent="0.25">
      <c r="A856" s="51">
        <v>42431</v>
      </c>
      <c r="B856" s="54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6"/>
      <c r="AI856" s="49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3"/>
      <c r="AZ856" s="81"/>
      <c r="BB856" s="5"/>
      <c r="BC856" s="5"/>
    </row>
    <row r="857" spans="1:55" x14ac:dyDescent="0.25">
      <c r="A857" s="51">
        <v>42432</v>
      </c>
      <c r="B857" s="54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6"/>
      <c r="AI857" s="49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3"/>
      <c r="AZ857" s="81"/>
      <c r="BB857" s="5"/>
      <c r="BC857" s="5"/>
    </row>
    <row r="858" spans="1:55" x14ac:dyDescent="0.25">
      <c r="A858" s="51">
        <v>42433</v>
      </c>
      <c r="B858" s="54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6"/>
      <c r="AI858" s="49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3"/>
      <c r="AZ858" s="81"/>
      <c r="BB858" s="5"/>
      <c r="BC858" s="5"/>
    </row>
    <row r="859" spans="1:55" x14ac:dyDescent="0.25">
      <c r="A859" s="51">
        <v>42436</v>
      </c>
      <c r="B859" s="54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6"/>
      <c r="AI859" s="49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3"/>
      <c r="AZ859" s="81"/>
      <c r="BB859" s="5"/>
      <c r="BC859" s="5"/>
    </row>
    <row r="860" spans="1:55" x14ac:dyDescent="0.25">
      <c r="A860" s="51">
        <v>42437</v>
      </c>
      <c r="B860" s="54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6"/>
      <c r="AI860" s="49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3"/>
      <c r="AZ860" s="81"/>
      <c r="BB860" s="5"/>
      <c r="BC860" s="5"/>
    </row>
    <row r="861" spans="1:55" x14ac:dyDescent="0.25">
      <c r="A861" s="51">
        <v>42438</v>
      </c>
      <c r="B861" s="54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6"/>
      <c r="AI861" s="49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3"/>
      <c r="AZ861" s="81"/>
      <c r="BB861" s="5"/>
      <c r="BC861" s="5"/>
    </row>
    <row r="862" spans="1:55" x14ac:dyDescent="0.25">
      <c r="A862" s="51">
        <v>42439</v>
      </c>
      <c r="B862" s="54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6"/>
      <c r="AI862" s="49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3"/>
      <c r="AZ862" s="81"/>
      <c r="BB862" s="5"/>
      <c r="BC862" s="5"/>
    </row>
    <row r="863" spans="1:55" x14ac:dyDescent="0.25">
      <c r="A863" s="51">
        <v>42440</v>
      </c>
      <c r="B863" s="54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6"/>
      <c r="AI863" s="49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3"/>
      <c r="AZ863" s="81"/>
      <c r="BB863" s="5"/>
      <c r="BC863" s="5"/>
    </row>
    <row r="864" spans="1:55" x14ac:dyDescent="0.25">
      <c r="A864" s="51">
        <v>42443</v>
      </c>
      <c r="B864" s="54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6"/>
      <c r="AI864" s="49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3"/>
      <c r="AZ864" s="81"/>
      <c r="BB864" s="5"/>
      <c r="BC864" s="5"/>
    </row>
    <row r="865" spans="1:55" x14ac:dyDescent="0.25">
      <c r="A865" s="51">
        <v>42444</v>
      </c>
      <c r="B865" s="54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6"/>
      <c r="AI865" s="49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3"/>
      <c r="AZ865" s="81"/>
      <c r="BB865" s="5"/>
      <c r="BC865" s="5"/>
    </row>
    <row r="866" spans="1:55" x14ac:dyDescent="0.25">
      <c r="A866" s="51">
        <v>42445</v>
      </c>
      <c r="B866" s="54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6"/>
      <c r="AI866" s="49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3"/>
      <c r="AZ866" s="81"/>
      <c r="BB866" s="5"/>
      <c r="BC866" s="5"/>
    </row>
    <row r="867" spans="1:55" x14ac:dyDescent="0.25">
      <c r="A867" s="51">
        <v>42446</v>
      </c>
      <c r="B867" s="54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6"/>
      <c r="AI867" s="49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3"/>
      <c r="AZ867" s="81"/>
      <c r="BB867" s="5"/>
      <c r="BC867" s="5"/>
    </row>
    <row r="868" spans="1:55" x14ac:dyDescent="0.25">
      <c r="A868" s="51">
        <v>42447</v>
      </c>
      <c r="B868" s="54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6"/>
      <c r="AI868" s="49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3"/>
      <c r="AZ868" s="81"/>
      <c r="BB868" s="5"/>
      <c r="BC868" s="5"/>
    </row>
    <row r="869" spans="1:55" x14ac:dyDescent="0.25">
      <c r="A869" s="51">
        <v>42450</v>
      </c>
      <c r="B869" s="54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6"/>
      <c r="AI869" s="49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3"/>
      <c r="AZ869" s="81"/>
      <c r="BB869" s="5"/>
      <c r="BC869" s="5"/>
    </row>
    <row r="870" spans="1:55" x14ac:dyDescent="0.25">
      <c r="A870" s="51">
        <v>42451</v>
      </c>
      <c r="B870" s="54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6"/>
      <c r="AI870" s="49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3"/>
      <c r="AZ870" s="81"/>
      <c r="BB870" s="5"/>
      <c r="BC870" s="5"/>
    </row>
    <row r="871" spans="1:55" x14ac:dyDescent="0.25">
      <c r="A871" s="51">
        <v>42452</v>
      </c>
      <c r="B871" s="54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6"/>
      <c r="AI871" s="49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3"/>
      <c r="AZ871" s="81"/>
      <c r="BB871" s="5"/>
      <c r="BC871" s="5"/>
    </row>
    <row r="872" spans="1:55" x14ac:dyDescent="0.25">
      <c r="A872" s="51">
        <v>42457</v>
      </c>
      <c r="B872" s="54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6"/>
      <c r="AI872" s="49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3"/>
      <c r="AZ872" s="81"/>
      <c r="BB872" s="5"/>
      <c r="BC872" s="5"/>
    </row>
    <row r="873" spans="1:55" x14ac:dyDescent="0.25">
      <c r="A873" s="51">
        <v>42458</v>
      </c>
      <c r="B873" s="54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6"/>
      <c r="AI873" s="49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3"/>
      <c r="AZ873" s="81"/>
      <c r="BB873" s="5"/>
      <c r="BC873" s="5"/>
    </row>
    <row r="874" spans="1:55" x14ac:dyDescent="0.25">
      <c r="A874" s="51">
        <v>42459</v>
      </c>
      <c r="B874" s="54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6"/>
      <c r="AI874" s="49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3"/>
      <c r="AZ874" s="81"/>
      <c r="BB874" s="5"/>
      <c r="BC874" s="5"/>
    </row>
    <row r="875" spans="1:55" x14ac:dyDescent="0.25">
      <c r="A875" s="51">
        <v>42460</v>
      </c>
      <c r="B875" s="54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6"/>
      <c r="AI875" s="49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3"/>
      <c r="AZ875" s="81"/>
      <c r="BB875" s="5"/>
      <c r="BC875" s="5"/>
    </row>
    <row r="876" spans="1:55" x14ac:dyDescent="0.25">
      <c r="A876" s="51">
        <v>42461</v>
      </c>
      <c r="B876" s="54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6"/>
      <c r="AI876" s="49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3"/>
      <c r="AZ876" s="81"/>
      <c r="BB876" s="5"/>
      <c r="BC876" s="5"/>
    </row>
    <row r="877" spans="1:55" x14ac:dyDescent="0.25">
      <c r="A877" s="51">
        <v>42464</v>
      </c>
      <c r="B877" s="54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6"/>
      <c r="AI877" s="49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3"/>
      <c r="AZ877" s="81"/>
      <c r="BB877" s="5"/>
      <c r="BC877" s="5"/>
    </row>
    <row r="878" spans="1:55" x14ac:dyDescent="0.25">
      <c r="A878" s="51">
        <v>42465</v>
      </c>
      <c r="B878" s="54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6"/>
      <c r="AI878" s="49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3"/>
      <c r="AZ878" s="81"/>
      <c r="BB878" s="5"/>
      <c r="BC878" s="5"/>
    </row>
    <row r="879" spans="1:55" x14ac:dyDescent="0.25">
      <c r="A879" s="51">
        <v>42466</v>
      </c>
      <c r="B879" s="54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6"/>
      <c r="AI879" s="49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3"/>
      <c r="AZ879" s="81"/>
      <c r="BB879" s="5"/>
      <c r="BC879" s="5"/>
    </row>
    <row r="880" spans="1:55" x14ac:dyDescent="0.25">
      <c r="A880" s="51">
        <v>42467</v>
      </c>
      <c r="B880" s="54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6"/>
      <c r="AI880" s="49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3"/>
      <c r="AZ880" s="81"/>
      <c r="BB880" s="5"/>
      <c r="BC880" s="5"/>
    </row>
    <row r="881" spans="1:55" x14ac:dyDescent="0.25">
      <c r="A881" s="51">
        <v>42468</v>
      </c>
      <c r="B881" s="54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6"/>
      <c r="AI881" s="49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3"/>
      <c r="AZ881" s="81"/>
      <c r="BB881" s="5"/>
      <c r="BC881" s="5"/>
    </row>
    <row r="882" spans="1:55" x14ac:dyDescent="0.25">
      <c r="A882" s="51">
        <v>42471</v>
      </c>
      <c r="B882" s="54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6"/>
      <c r="AI882" s="49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3"/>
      <c r="AZ882" s="81"/>
      <c r="BB882" s="5"/>
      <c r="BC882" s="5"/>
    </row>
    <row r="883" spans="1:55" x14ac:dyDescent="0.25">
      <c r="A883" s="51">
        <v>42472</v>
      </c>
      <c r="B883" s="54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6"/>
      <c r="AI883" s="49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3"/>
      <c r="AZ883" s="81"/>
      <c r="BB883" s="5"/>
      <c r="BC883" s="5"/>
    </row>
    <row r="884" spans="1:55" x14ac:dyDescent="0.25">
      <c r="A884" s="51">
        <v>42473</v>
      </c>
      <c r="B884" s="54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6"/>
      <c r="AI884" s="49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3"/>
      <c r="AZ884" s="81"/>
      <c r="BB884" s="5"/>
      <c r="BC884" s="5"/>
    </row>
    <row r="885" spans="1:55" x14ac:dyDescent="0.25">
      <c r="A885" s="51">
        <v>42474</v>
      </c>
      <c r="B885" s="54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6"/>
      <c r="AI885" s="49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3"/>
      <c r="AZ885" s="81"/>
      <c r="BB885" s="5"/>
      <c r="BC885" s="5"/>
    </row>
    <row r="886" spans="1:55" x14ac:dyDescent="0.25">
      <c r="A886" s="51">
        <v>42475</v>
      </c>
      <c r="B886" s="54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6"/>
      <c r="AI886" s="49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3"/>
      <c r="AZ886" s="81"/>
      <c r="BB886" s="5"/>
      <c r="BC886" s="5"/>
    </row>
    <row r="887" spans="1:55" x14ac:dyDescent="0.25">
      <c r="A887" s="51">
        <v>42478</v>
      </c>
      <c r="B887" s="54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6"/>
      <c r="AI887" s="49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3"/>
      <c r="AZ887" s="81"/>
      <c r="BB887" s="5"/>
      <c r="BC887" s="5"/>
    </row>
    <row r="888" spans="1:55" x14ac:dyDescent="0.25">
      <c r="A888" s="51">
        <v>42479</v>
      </c>
      <c r="B888" s="54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6"/>
      <c r="AI888" s="49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3"/>
      <c r="AZ888" s="81"/>
      <c r="BB888" s="5"/>
      <c r="BC888" s="5"/>
    </row>
    <row r="889" spans="1:55" x14ac:dyDescent="0.25">
      <c r="A889" s="51">
        <v>42480</v>
      </c>
      <c r="B889" s="54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6"/>
      <c r="AI889" s="49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3"/>
      <c r="AZ889" s="81"/>
      <c r="BB889" s="5"/>
      <c r="BC889" s="5"/>
    </row>
    <row r="890" spans="1:55" x14ac:dyDescent="0.25">
      <c r="A890" s="51">
        <v>42481</v>
      </c>
      <c r="B890" s="54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6"/>
      <c r="AI890" s="49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3"/>
      <c r="AZ890" s="81"/>
      <c r="BB890" s="5"/>
      <c r="BC890" s="5"/>
    </row>
    <row r="891" spans="1:55" x14ac:dyDescent="0.25">
      <c r="A891" s="51">
        <v>42482</v>
      </c>
      <c r="B891" s="54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6"/>
      <c r="AI891" s="49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3"/>
      <c r="AZ891" s="81"/>
      <c r="BB891" s="5"/>
      <c r="BC891" s="5"/>
    </row>
    <row r="892" spans="1:55" x14ac:dyDescent="0.25">
      <c r="A892" s="51">
        <v>42485</v>
      </c>
      <c r="B892" s="54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6"/>
      <c r="AI892" s="49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3"/>
      <c r="AZ892" s="81"/>
      <c r="BB892" s="5"/>
      <c r="BC892" s="5"/>
    </row>
    <row r="893" spans="1:55" x14ac:dyDescent="0.25">
      <c r="A893" s="51">
        <v>42486</v>
      </c>
      <c r="B893" s="54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6"/>
      <c r="AI893" s="49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3"/>
      <c r="AZ893" s="81"/>
      <c r="BB893" s="5"/>
      <c r="BC893" s="5"/>
    </row>
    <row r="894" spans="1:55" x14ac:dyDescent="0.25">
      <c r="A894" s="51">
        <v>42487</v>
      </c>
      <c r="B894" s="54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6"/>
      <c r="AI894" s="49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3"/>
      <c r="AZ894" s="81"/>
      <c r="BB894" s="5"/>
      <c r="BC894" s="5"/>
    </row>
    <row r="895" spans="1:55" x14ac:dyDescent="0.25">
      <c r="A895" s="51">
        <v>42488</v>
      </c>
      <c r="B895" s="54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6"/>
      <c r="AI895" s="49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3"/>
      <c r="AZ895" s="81"/>
      <c r="BB895" s="5"/>
      <c r="BC895" s="5"/>
    </row>
    <row r="896" spans="1:55" x14ac:dyDescent="0.25">
      <c r="A896" s="51">
        <v>42489</v>
      </c>
      <c r="B896" s="54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6"/>
      <c r="AI896" s="49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3"/>
      <c r="AZ896" s="81"/>
      <c r="BB896" s="5"/>
      <c r="BC896" s="5"/>
    </row>
    <row r="897" spans="1:55" x14ac:dyDescent="0.25">
      <c r="A897" s="51">
        <v>42492</v>
      </c>
      <c r="B897" s="54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6"/>
      <c r="AI897" s="49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3"/>
      <c r="AZ897" s="81"/>
      <c r="BB897" s="5"/>
      <c r="BC897" s="5"/>
    </row>
    <row r="898" spans="1:55" x14ac:dyDescent="0.25">
      <c r="A898" s="51">
        <v>42493</v>
      </c>
      <c r="B898" s="54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6"/>
      <c r="AI898" s="49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3"/>
      <c r="AZ898" s="81"/>
      <c r="BB898" s="5"/>
      <c r="BC898" s="5"/>
    </row>
    <row r="899" spans="1:55" x14ac:dyDescent="0.25">
      <c r="A899" s="51">
        <v>42494</v>
      </c>
      <c r="B899" s="54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6"/>
      <c r="AI899" s="49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3"/>
      <c r="AZ899" s="81"/>
      <c r="BB899" s="5"/>
      <c r="BC899" s="5"/>
    </row>
    <row r="900" spans="1:55" x14ac:dyDescent="0.25">
      <c r="A900" s="51">
        <v>42495</v>
      </c>
      <c r="B900" s="54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6"/>
      <c r="AI900" s="49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3"/>
      <c r="AZ900" s="81"/>
      <c r="BB900" s="5"/>
      <c r="BC900" s="5"/>
    </row>
    <row r="901" spans="1:55" x14ac:dyDescent="0.25">
      <c r="A901" s="51">
        <v>42496</v>
      </c>
      <c r="B901" s="54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6"/>
      <c r="AI901" s="49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3"/>
      <c r="AZ901" s="81"/>
      <c r="BB901" s="5"/>
      <c r="BC901" s="5"/>
    </row>
    <row r="902" spans="1:55" x14ac:dyDescent="0.25">
      <c r="A902" s="51">
        <v>42499</v>
      </c>
      <c r="B902" s="54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6"/>
      <c r="AI902" s="49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3"/>
      <c r="AZ902" s="81"/>
      <c r="BB902" s="5"/>
      <c r="BC902" s="5"/>
    </row>
    <row r="903" spans="1:55" x14ac:dyDescent="0.25">
      <c r="A903" s="51">
        <v>42500</v>
      </c>
      <c r="B903" s="54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6"/>
      <c r="AI903" s="49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3"/>
      <c r="AZ903" s="81"/>
      <c r="BB903" s="5"/>
      <c r="BC903" s="5"/>
    </row>
    <row r="904" spans="1:55" x14ac:dyDescent="0.25">
      <c r="A904" s="51">
        <v>42501</v>
      </c>
      <c r="B904" s="54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6"/>
      <c r="AI904" s="49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3"/>
      <c r="AZ904" s="81"/>
      <c r="BB904" s="5"/>
      <c r="BC904" s="5"/>
    </row>
    <row r="905" spans="1:55" x14ac:dyDescent="0.25">
      <c r="A905" s="51">
        <v>42502</v>
      </c>
      <c r="B905" s="54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6"/>
      <c r="AI905" s="49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3"/>
      <c r="AZ905" s="81"/>
      <c r="BB905" s="5"/>
      <c r="BC905" s="5"/>
    </row>
    <row r="906" spans="1:55" x14ac:dyDescent="0.25">
      <c r="A906" s="51">
        <v>42503</v>
      </c>
      <c r="B906" s="54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6"/>
      <c r="AI906" s="49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3"/>
      <c r="AZ906" s="81"/>
      <c r="BB906" s="5"/>
      <c r="BC906" s="5"/>
    </row>
    <row r="907" spans="1:55" x14ac:dyDescent="0.25">
      <c r="A907" s="51">
        <v>42506</v>
      </c>
      <c r="B907" s="54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6"/>
      <c r="AI907" s="49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3"/>
      <c r="AZ907" s="81"/>
      <c r="BB907" s="5"/>
      <c r="BC907" s="5"/>
    </row>
    <row r="908" spans="1:55" x14ac:dyDescent="0.25">
      <c r="A908" s="51">
        <v>42507</v>
      </c>
      <c r="B908" s="54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6"/>
      <c r="AI908" s="49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3"/>
      <c r="AZ908" s="81"/>
      <c r="BB908" s="5"/>
      <c r="BC908" s="5"/>
    </row>
    <row r="909" spans="1:55" x14ac:dyDescent="0.25">
      <c r="A909" s="51">
        <v>42508</v>
      </c>
      <c r="B909" s="54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6"/>
      <c r="AI909" s="49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3"/>
      <c r="AZ909" s="81"/>
      <c r="BB909" s="5"/>
      <c r="BC909" s="5"/>
    </row>
    <row r="910" spans="1:55" x14ac:dyDescent="0.25">
      <c r="A910" s="51">
        <v>42509</v>
      </c>
      <c r="B910" s="54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6"/>
      <c r="AI910" s="49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3"/>
      <c r="AZ910" s="81"/>
      <c r="BB910" s="5"/>
      <c r="BC910" s="5"/>
    </row>
    <row r="911" spans="1:55" x14ac:dyDescent="0.25">
      <c r="A911" s="51">
        <v>42510</v>
      </c>
      <c r="B911" s="54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6"/>
      <c r="AI911" s="49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3"/>
      <c r="AZ911" s="81"/>
      <c r="BB911" s="5"/>
      <c r="BC911" s="5"/>
    </row>
    <row r="912" spans="1:55" x14ac:dyDescent="0.25">
      <c r="A912" s="51">
        <v>42513</v>
      </c>
      <c r="B912" s="54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6"/>
      <c r="AI912" s="49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3"/>
      <c r="AZ912" s="81"/>
      <c r="BB912" s="5"/>
      <c r="BC912" s="5"/>
    </row>
    <row r="913" spans="1:55" x14ac:dyDescent="0.25">
      <c r="A913" s="51">
        <v>42514</v>
      </c>
      <c r="B913" s="54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6"/>
      <c r="AI913" s="49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3"/>
      <c r="AZ913" s="81"/>
      <c r="BB913" s="5"/>
      <c r="BC913" s="5"/>
    </row>
    <row r="914" spans="1:55" x14ac:dyDescent="0.25">
      <c r="A914" s="51">
        <v>42515</v>
      </c>
      <c r="B914" s="54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6"/>
      <c r="AI914" s="49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3"/>
      <c r="AZ914" s="81"/>
      <c r="BB914" s="5"/>
      <c r="BC914" s="5"/>
    </row>
    <row r="915" spans="1:55" x14ac:dyDescent="0.25">
      <c r="A915" s="51">
        <v>42516</v>
      </c>
      <c r="B915" s="54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6"/>
      <c r="AI915" s="49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3"/>
      <c r="AZ915" s="81"/>
      <c r="BB915" s="5"/>
      <c r="BC915" s="5"/>
    </row>
    <row r="916" spans="1:55" x14ac:dyDescent="0.25">
      <c r="A916" s="51">
        <v>42517</v>
      </c>
      <c r="B916" s="54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6"/>
      <c r="AI916" s="49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3"/>
      <c r="AZ916" s="81"/>
      <c r="BB916" s="5"/>
      <c r="BC916" s="5"/>
    </row>
    <row r="917" spans="1:55" x14ac:dyDescent="0.25">
      <c r="A917" s="51">
        <v>42520</v>
      </c>
      <c r="B917" s="54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6"/>
      <c r="AI917" s="49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3"/>
      <c r="AZ917" s="81"/>
      <c r="BB917" s="5"/>
      <c r="BC917" s="5"/>
    </row>
    <row r="918" spans="1:55" x14ac:dyDescent="0.25">
      <c r="A918" s="51">
        <v>42521</v>
      </c>
      <c r="B918" s="54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6"/>
      <c r="AI918" s="49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3"/>
      <c r="AZ918" s="81"/>
      <c r="BB918" s="5"/>
      <c r="BC918" s="5"/>
    </row>
    <row r="919" spans="1:55" x14ac:dyDescent="0.25">
      <c r="A919" s="51">
        <v>42522</v>
      </c>
      <c r="B919" s="54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6"/>
      <c r="AI919" s="49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3"/>
      <c r="AZ919" s="81"/>
      <c r="BB919" s="5"/>
      <c r="BC919" s="5"/>
    </row>
    <row r="920" spans="1:55" x14ac:dyDescent="0.25">
      <c r="A920" s="51">
        <v>42523</v>
      </c>
      <c r="B920" s="54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6"/>
      <c r="AI920" s="49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3"/>
      <c r="AZ920" s="81"/>
      <c r="BB920" s="5"/>
      <c r="BC920" s="5"/>
    </row>
    <row r="921" spans="1:55" x14ac:dyDescent="0.25">
      <c r="A921" s="51">
        <v>42524</v>
      </c>
      <c r="B921" s="54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6"/>
      <c r="AI921" s="49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3"/>
      <c r="AZ921" s="81"/>
      <c r="BB921" s="5"/>
      <c r="BC921" s="5"/>
    </row>
    <row r="922" spans="1:55" x14ac:dyDescent="0.25">
      <c r="A922" s="51">
        <v>42527</v>
      </c>
      <c r="B922" s="54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6"/>
      <c r="AI922" s="49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3"/>
      <c r="AZ922" s="81"/>
      <c r="BB922" s="5"/>
      <c r="BC922" s="5"/>
    </row>
    <row r="923" spans="1:55" x14ac:dyDescent="0.25">
      <c r="A923" s="51">
        <v>42528</v>
      </c>
      <c r="B923" s="54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6"/>
      <c r="AI923" s="49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3"/>
      <c r="AZ923" s="81"/>
      <c r="BB923" s="5"/>
      <c r="BC923" s="5"/>
    </row>
    <row r="924" spans="1:55" x14ac:dyDescent="0.25">
      <c r="A924" s="51">
        <v>42529</v>
      </c>
      <c r="B924" s="54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6"/>
      <c r="AI924" s="49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3"/>
      <c r="AZ924" s="81"/>
      <c r="BB924" s="5"/>
      <c r="BC924" s="5"/>
    </row>
    <row r="925" spans="1:55" x14ac:dyDescent="0.25">
      <c r="A925" s="51">
        <v>42530</v>
      </c>
      <c r="B925" s="54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6"/>
      <c r="AI925" s="49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3"/>
      <c r="AZ925" s="81"/>
      <c r="BB925" s="5"/>
      <c r="BC925" s="5"/>
    </row>
    <row r="926" spans="1:55" x14ac:dyDescent="0.25">
      <c r="A926" s="51">
        <v>42531</v>
      </c>
      <c r="B926" s="54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6"/>
      <c r="AI926" s="49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3"/>
      <c r="AZ926" s="81"/>
      <c r="BB926" s="5"/>
      <c r="BC926" s="5"/>
    </row>
    <row r="927" spans="1:55" x14ac:dyDescent="0.25">
      <c r="A927" s="51">
        <v>42534</v>
      </c>
      <c r="B927" s="54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6"/>
      <c r="AI927" s="49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3"/>
      <c r="AZ927" s="81"/>
      <c r="BB927" s="5"/>
      <c r="BC927" s="5"/>
    </row>
    <row r="928" spans="1:55" x14ac:dyDescent="0.25">
      <c r="A928" s="51">
        <v>42535</v>
      </c>
      <c r="B928" s="54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6"/>
      <c r="AI928" s="49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3"/>
      <c r="AZ928" s="81"/>
      <c r="BB928" s="5"/>
      <c r="BC928" s="5"/>
    </row>
    <row r="929" spans="1:55" x14ac:dyDescent="0.25">
      <c r="A929" s="51">
        <v>42536</v>
      </c>
      <c r="B929" s="54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6"/>
      <c r="AI929" s="49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3"/>
      <c r="AZ929" s="81"/>
      <c r="BB929" s="5"/>
      <c r="BC929" s="5"/>
    </row>
    <row r="930" spans="1:55" x14ac:dyDescent="0.25">
      <c r="A930" s="51">
        <v>42537</v>
      </c>
      <c r="B930" s="54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6"/>
      <c r="AI930" s="49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3"/>
      <c r="AZ930" s="81"/>
      <c r="BB930" s="5"/>
      <c r="BC930" s="5"/>
    </row>
    <row r="931" spans="1:55" x14ac:dyDescent="0.25">
      <c r="A931" s="51">
        <v>42538</v>
      </c>
      <c r="B931" s="54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6"/>
      <c r="AI931" s="49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3"/>
      <c r="AZ931" s="81"/>
      <c r="BB931" s="5"/>
      <c r="BC931" s="5"/>
    </row>
    <row r="932" spans="1:55" x14ac:dyDescent="0.25">
      <c r="A932" s="51">
        <v>42541</v>
      </c>
      <c r="B932" s="54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6"/>
      <c r="AI932" s="49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3"/>
      <c r="AZ932" s="81"/>
      <c r="BB932" s="5"/>
      <c r="BC932" s="5"/>
    </row>
    <row r="933" spans="1:55" x14ac:dyDescent="0.25">
      <c r="A933" s="51">
        <v>42542</v>
      </c>
      <c r="B933" s="54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6"/>
      <c r="AI933" s="49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3"/>
      <c r="AZ933" s="81"/>
      <c r="BB933" s="5"/>
      <c r="BC933" s="5"/>
    </row>
    <row r="934" spans="1:55" x14ac:dyDescent="0.25">
      <c r="A934" s="51">
        <v>42543</v>
      </c>
      <c r="B934" s="54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6"/>
      <c r="AI934" s="49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3"/>
      <c r="AZ934" s="81"/>
      <c r="BB934" s="5"/>
      <c r="BC934" s="5"/>
    </row>
    <row r="935" spans="1:55" x14ac:dyDescent="0.25">
      <c r="A935" s="51">
        <v>42544</v>
      </c>
      <c r="B935" s="54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6"/>
      <c r="AI935" s="49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3"/>
      <c r="AZ935" s="81"/>
      <c r="BB935" s="5"/>
      <c r="BC935" s="5"/>
    </row>
    <row r="936" spans="1:55" x14ac:dyDescent="0.25">
      <c r="A936" s="51">
        <v>42545</v>
      </c>
      <c r="B936" s="54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6"/>
      <c r="AI936" s="49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3"/>
      <c r="AZ936" s="81"/>
      <c r="BB936" s="5"/>
      <c r="BC936" s="5"/>
    </row>
    <row r="937" spans="1:55" x14ac:dyDescent="0.25">
      <c r="A937" s="51">
        <v>42548</v>
      </c>
      <c r="B937" s="54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6"/>
      <c r="AI937" s="49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3"/>
      <c r="AZ937" s="81"/>
      <c r="BB937" s="5"/>
      <c r="BC937" s="5"/>
    </row>
    <row r="938" spans="1:55" x14ac:dyDescent="0.25">
      <c r="A938" s="51">
        <v>42549</v>
      </c>
      <c r="B938" s="54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6"/>
      <c r="AI938" s="49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3"/>
      <c r="AZ938" s="81"/>
      <c r="BB938" s="5"/>
      <c r="BC938" s="5"/>
    </row>
    <row r="939" spans="1:55" x14ac:dyDescent="0.25">
      <c r="A939" s="51">
        <v>42551</v>
      </c>
      <c r="B939" s="54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6"/>
      <c r="AI939" s="49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3"/>
      <c r="AZ939" s="81"/>
      <c r="BB939" s="5"/>
      <c r="BC939" s="5"/>
    </row>
    <row r="940" spans="1:55" x14ac:dyDescent="0.25">
      <c r="A940" s="51">
        <v>42552</v>
      </c>
      <c r="B940" s="54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6"/>
      <c r="AI940" s="49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3"/>
      <c r="AZ940" s="81"/>
      <c r="BB940" s="5"/>
      <c r="BC940" s="5"/>
    </row>
    <row r="941" spans="1:55" x14ac:dyDescent="0.25">
      <c r="A941" s="51">
        <v>42555</v>
      </c>
      <c r="B941" s="54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6"/>
      <c r="AI941" s="49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3"/>
      <c r="AZ941" s="81"/>
      <c r="BB941" s="5"/>
      <c r="BC941" s="5"/>
    </row>
    <row r="942" spans="1:55" x14ac:dyDescent="0.25">
      <c r="A942" s="51">
        <v>42556</v>
      </c>
      <c r="B942" s="54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6"/>
      <c r="AI942" s="49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3"/>
      <c r="AZ942" s="81"/>
      <c r="BB942" s="5"/>
      <c r="BC942" s="5"/>
    </row>
    <row r="943" spans="1:55" x14ac:dyDescent="0.25">
      <c r="A943" s="51">
        <v>42557</v>
      </c>
      <c r="B943" s="54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6"/>
      <c r="AI943" s="49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3"/>
      <c r="AZ943" s="81"/>
      <c r="BB943" s="5"/>
      <c r="BC943" s="5"/>
    </row>
    <row r="944" spans="1:55" x14ac:dyDescent="0.25">
      <c r="A944" s="51">
        <v>42558</v>
      </c>
      <c r="B944" s="54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6"/>
      <c r="AI944" s="49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3"/>
      <c r="AZ944" s="81"/>
      <c r="BB944" s="5"/>
      <c r="BC944" s="5"/>
    </row>
    <row r="945" spans="1:55" x14ac:dyDescent="0.25">
      <c r="A945" s="51">
        <v>42559</v>
      </c>
      <c r="B945" s="54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6"/>
      <c r="AI945" s="49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3"/>
      <c r="AZ945" s="81"/>
      <c r="BB945" s="5"/>
      <c r="BC945" s="5"/>
    </row>
    <row r="946" spans="1:55" x14ac:dyDescent="0.25">
      <c r="A946" s="51">
        <v>42562</v>
      </c>
      <c r="B946" s="54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6"/>
      <c r="AI946" s="49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3"/>
      <c r="AZ946" s="81"/>
      <c r="BB946" s="5"/>
      <c r="BC946" s="5"/>
    </row>
    <row r="947" spans="1:55" x14ac:dyDescent="0.25">
      <c r="A947" s="51">
        <v>42563</v>
      </c>
      <c r="B947" s="54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6"/>
      <c r="AI947" s="49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3"/>
      <c r="AZ947" s="81"/>
      <c r="BB947" s="5"/>
      <c r="BC947" s="5"/>
    </row>
    <row r="948" spans="1:55" x14ac:dyDescent="0.25">
      <c r="A948" s="51">
        <v>42564</v>
      </c>
      <c r="B948" s="54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6"/>
      <c r="AI948" s="49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3"/>
      <c r="AZ948" s="81"/>
      <c r="BB948" s="5"/>
      <c r="BC948" s="5"/>
    </row>
    <row r="949" spans="1:55" x14ac:dyDescent="0.25">
      <c r="A949" s="51">
        <v>42565</v>
      </c>
      <c r="B949" s="54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6"/>
      <c r="AI949" s="49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3"/>
      <c r="AZ949" s="81"/>
      <c r="BB949" s="5"/>
      <c r="BC949" s="5"/>
    </row>
    <row r="950" spans="1:55" x14ac:dyDescent="0.25">
      <c r="A950" s="51">
        <v>42566</v>
      </c>
      <c r="B950" s="54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6"/>
      <c r="AI950" s="49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3"/>
      <c r="AZ950" s="81"/>
      <c r="BB950" s="5"/>
      <c r="BC950" s="5"/>
    </row>
    <row r="951" spans="1:55" x14ac:dyDescent="0.25">
      <c r="A951" s="51">
        <v>42569</v>
      </c>
      <c r="B951" s="54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6"/>
      <c r="AI951" s="49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3"/>
      <c r="AZ951" s="81"/>
      <c r="BB951" s="5"/>
      <c r="BC951" s="5"/>
    </row>
    <row r="952" spans="1:55" x14ac:dyDescent="0.25">
      <c r="A952" s="51">
        <v>42570</v>
      </c>
      <c r="B952" s="54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6"/>
      <c r="AI952" s="49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3"/>
      <c r="AZ952" s="81"/>
      <c r="BB952" s="5"/>
      <c r="BC952" s="5"/>
    </row>
    <row r="953" spans="1:55" x14ac:dyDescent="0.25">
      <c r="A953" s="51">
        <v>42571</v>
      </c>
      <c r="B953" s="54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6"/>
      <c r="AI953" s="49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3"/>
      <c r="AZ953" s="81"/>
      <c r="BB953" s="5"/>
      <c r="BC953" s="5"/>
    </row>
    <row r="954" spans="1:55" x14ac:dyDescent="0.25">
      <c r="A954" s="51">
        <v>42572</v>
      </c>
      <c r="B954" s="54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6"/>
      <c r="AI954" s="49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3"/>
      <c r="AZ954" s="81"/>
      <c r="BB954" s="5"/>
      <c r="BC954" s="5"/>
    </row>
    <row r="955" spans="1:55" x14ac:dyDescent="0.25">
      <c r="A955" s="51">
        <v>42573</v>
      </c>
      <c r="B955" s="54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6"/>
      <c r="AI955" s="49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3"/>
      <c r="AZ955" s="81"/>
      <c r="BB955" s="5"/>
      <c r="BC955" s="5"/>
    </row>
    <row r="956" spans="1:55" x14ac:dyDescent="0.25">
      <c r="A956" s="51">
        <v>42576</v>
      </c>
      <c r="B956" s="54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6"/>
      <c r="AI956" s="49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3"/>
      <c r="AZ956" s="81"/>
      <c r="BB956" s="5"/>
      <c r="BC956" s="5"/>
    </row>
    <row r="957" spans="1:55" x14ac:dyDescent="0.25">
      <c r="A957" s="51">
        <v>42577</v>
      </c>
      <c r="B957" s="54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6"/>
      <c r="AI957" s="49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3"/>
      <c r="AZ957" s="81"/>
      <c r="BB957" s="5"/>
      <c r="BC957" s="5"/>
    </row>
    <row r="958" spans="1:55" x14ac:dyDescent="0.25">
      <c r="A958" s="51">
        <v>42578</v>
      </c>
      <c r="B958" s="54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6"/>
      <c r="AI958" s="49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3"/>
      <c r="AZ958" s="81"/>
      <c r="BB958" s="5"/>
      <c r="BC958" s="5"/>
    </row>
    <row r="959" spans="1:55" x14ac:dyDescent="0.25">
      <c r="A959" s="51">
        <v>42583</v>
      </c>
      <c r="B959" s="54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6"/>
      <c r="AI959" s="49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3"/>
      <c r="AZ959" s="81"/>
      <c r="BB959" s="5"/>
      <c r="BC959" s="5"/>
    </row>
    <row r="960" spans="1:55" x14ac:dyDescent="0.25">
      <c r="A960" s="51">
        <v>42584</v>
      </c>
      <c r="B960" s="54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6"/>
      <c r="AI960" s="49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3"/>
      <c r="AZ960" s="81"/>
      <c r="BB960" s="5"/>
      <c r="BC960" s="5"/>
    </row>
    <row r="961" spans="1:55" x14ac:dyDescent="0.25">
      <c r="A961" s="51">
        <v>42585</v>
      </c>
      <c r="B961" s="54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6"/>
      <c r="AI961" s="49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3"/>
      <c r="AZ961" s="81"/>
      <c r="BB961" s="5"/>
      <c r="BC961" s="5"/>
    </row>
    <row r="962" spans="1:55" x14ac:dyDescent="0.25">
      <c r="A962" s="51">
        <v>42586</v>
      </c>
      <c r="B962" s="54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6"/>
      <c r="AI962" s="49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3"/>
      <c r="AZ962" s="81"/>
      <c r="BB962" s="5"/>
      <c r="BC962" s="5"/>
    </row>
    <row r="963" spans="1:55" x14ac:dyDescent="0.25">
      <c r="A963" s="51">
        <v>42587</v>
      </c>
      <c r="B963" s="54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6"/>
      <c r="AI963" s="49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3"/>
      <c r="AZ963" s="81"/>
      <c r="BB963" s="5"/>
      <c r="BC963" s="5"/>
    </row>
    <row r="964" spans="1:55" x14ac:dyDescent="0.25">
      <c r="A964" s="51">
        <v>42590</v>
      </c>
      <c r="B964" s="54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6"/>
      <c r="AI964" s="49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3"/>
      <c r="AZ964" s="81"/>
      <c r="BB964" s="5"/>
      <c r="BC964" s="5"/>
    </row>
    <row r="965" spans="1:55" x14ac:dyDescent="0.25">
      <c r="A965" s="51">
        <v>42591</v>
      </c>
      <c r="B965" s="54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6"/>
      <c r="AI965" s="49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3"/>
      <c r="AZ965" s="81"/>
      <c r="BB965" s="5"/>
      <c r="BC965" s="5"/>
    </row>
    <row r="966" spans="1:55" x14ac:dyDescent="0.25">
      <c r="A966" s="51">
        <v>42592</v>
      </c>
      <c r="B966" s="54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6"/>
      <c r="AI966" s="49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3"/>
      <c r="AZ966" s="81"/>
      <c r="BB966" s="5"/>
      <c r="BC966" s="5"/>
    </row>
    <row r="967" spans="1:55" x14ac:dyDescent="0.25">
      <c r="A967" s="51">
        <v>42593</v>
      </c>
      <c r="B967" s="54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6"/>
      <c r="AI967" s="49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3"/>
      <c r="AZ967" s="81"/>
      <c r="BB967" s="5"/>
      <c r="BC967" s="5"/>
    </row>
    <row r="968" spans="1:55" x14ac:dyDescent="0.25">
      <c r="A968" s="51">
        <v>42594</v>
      </c>
      <c r="B968" s="54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6"/>
      <c r="AI968" s="49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3"/>
      <c r="AZ968" s="81"/>
      <c r="BB968" s="5"/>
      <c r="BC968" s="5"/>
    </row>
    <row r="969" spans="1:55" x14ac:dyDescent="0.25">
      <c r="A969" s="51">
        <v>42597</v>
      </c>
      <c r="B969" s="54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6"/>
      <c r="AI969" s="49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3"/>
      <c r="AZ969" s="81"/>
      <c r="BB969" s="5"/>
      <c r="BC969" s="5"/>
    </row>
    <row r="970" spans="1:55" x14ac:dyDescent="0.25">
      <c r="A970" s="51">
        <v>42598</v>
      </c>
      <c r="B970" s="54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6"/>
      <c r="AI970" s="49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3"/>
      <c r="AZ970" s="81"/>
      <c r="BB970" s="5"/>
      <c r="BC970" s="5"/>
    </row>
    <row r="971" spans="1:55" x14ac:dyDescent="0.25">
      <c r="A971" s="51">
        <v>42599</v>
      </c>
      <c r="B971" s="54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6"/>
      <c r="AI971" s="49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3"/>
      <c r="AZ971" s="81"/>
      <c r="BB971" s="5"/>
      <c r="BC971" s="5"/>
    </row>
    <row r="972" spans="1:55" x14ac:dyDescent="0.25">
      <c r="A972" s="51">
        <v>42600</v>
      </c>
      <c r="B972" s="54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6"/>
      <c r="AI972" s="49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3"/>
      <c r="AZ972" s="81"/>
      <c r="BB972" s="5"/>
      <c r="BC972" s="5"/>
    </row>
    <row r="973" spans="1:55" x14ac:dyDescent="0.25">
      <c r="A973" s="51">
        <v>42601</v>
      </c>
      <c r="B973" s="54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6"/>
      <c r="AI973" s="49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3"/>
      <c r="AZ973" s="81"/>
      <c r="BB973" s="5"/>
      <c r="BC973" s="5"/>
    </row>
    <row r="974" spans="1:55" x14ac:dyDescent="0.25">
      <c r="A974" s="51">
        <v>42604</v>
      </c>
      <c r="B974" s="54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6"/>
      <c r="AI974" s="49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3"/>
      <c r="AZ974" s="81"/>
      <c r="BB974" s="5"/>
      <c r="BC974" s="5"/>
    </row>
    <row r="975" spans="1:55" x14ac:dyDescent="0.25">
      <c r="A975" s="51">
        <v>42605</v>
      </c>
      <c r="B975" s="54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6"/>
      <c r="AI975" s="49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3"/>
      <c r="AZ975" s="81"/>
      <c r="BB975" s="5"/>
      <c r="BC975" s="5"/>
    </row>
    <row r="976" spans="1:55" x14ac:dyDescent="0.25">
      <c r="A976" s="51">
        <v>42606</v>
      </c>
      <c r="B976" s="54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6"/>
      <c r="AI976" s="49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3"/>
      <c r="AZ976" s="81"/>
      <c r="BB976" s="5"/>
      <c r="BC976" s="5"/>
    </row>
    <row r="977" spans="1:55" x14ac:dyDescent="0.25">
      <c r="A977" s="51">
        <v>42607</v>
      </c>
      <c r="B977" s="54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6"/>
      <c r="AI977" s="49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3"/>
      <c r="AZ977" s="81"/>
      <c r="BB977" s="5"/>
      <c r="BC977" s="5"/>
    </row>
    <row r="978" spans="1:55" x14ac:dyDescent="0.25">
      <c r="A978" s="51">
        <v>42608</v>
      </c>
      <c r="B978" s="54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6"/>
      <c r="AI978" s="49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3"/>
      <c r="AZ978" s="81"/>
      <c r="BB978" s="5"/>
      <c r="BC978" s="5"/>
    </row>
    <row r="979" spans="1:55" x14ac:dyDescent="0.25">
      <c r="A979" s="51">
        <v>42611</v>
      </c>
      <c r="B979" s="54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6"/>
      <c r="AI979" s="49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3"/>
      <c r="AZ979" s="81"/>
      <c r="BB979" s="5"/>
      <c r="BC979" s="5"/>
    </row>
    <row r="980" spans="1:55" x14ac:dyDescent="0.25">
      <c r="A980" s="51">
        <v>42613</v>
      </c>
      <c r="B980" s="54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6"/>
      <c r="AI980" s="49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3"/>
      <c r="AZ980" s="81"/>
      <c r="BB980" s="5"/>
      <c r="BC980" s="5"/>
    </row>
    <row r="981" spans="1:55" x14ac:dyDescent="0.25">
      <c r="A981" s="51">
        <v>42614</v>
      </c>
      <c r="B981" s="54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6"/>
      <c r="AI981" s="49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3"/>
      <c r="AZ981" s="81"/>
      <c r="BB981" s="5"/>
      <c r="BC981" s="5"/>
    </row>
    <row r="982" spans="1:55" x14ac:dyDescent="0.25">
      <c r="A982" s="51">
        <v>42615</v>
      </c>
      <c r="B982" s="54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6"/>
      <c r="AI982" s="49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3"/>
      <c r="AZ982" s="81"/>
      <c r="BB982" s="5"/>
      <c r="BC982" s="5"/>
    </row>
    <row r="983" spans="1:55" x14ac:dyDescent="0.25">
      <c r="A983" s="51">
        <v>42618</v>
      </c>
      <c r="B983" s="54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6"/>
      <c r="AI983" s="49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3"/>
      <c r="AZ983" s="81"/>
      <c r="BB983" s="5"/>
      <c r="BC983" s="5"/>
    </row>
    <row r="984" spans="1:55" x14ac:dyDescent="0.25">
      <c r="A984" s="51">
        <v>42619</v>
      </c>
      <c r="B984" s="54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6"/>
      <c r="AI984" s="49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3"/>
      <c r="AZ984" s="81"/>
      <c r="BB984" s="5"/>
      <c r="BC984" s="5"/>
    </row>
    <row r="985" spans="1:55" x14ac:dyDescent="0.25">
      <c r="A985" s="51">
        <v>42620</v>
      </c>
      <c r="B985" s="54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6"/>
      <c r="AI985" s="49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3"/>
      <c r="AZ985" s="81"/>
      <c r="BB985" s="5"/>
      <c r="BC985" s="5"/>
    </row>
    <row r="986" spans="1:55" x14ac:dyDescent="0.25">
      <c r="A986" s="51">
        <v>42621</v>
      </c>
      <c r="B986" s="54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6"/>
      <c r="AI986" s="49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3"/>
      <c r="AZ986" s="81"/>
      <c r="BB986" s="5"/>
      <c r="BC986" s="5"/>
    </row>
    <row r="987" spans="1:55" x14ac:dyDescent="0.25">
      <c r="A987" s="51">
        <v>42622</v>
      </c>
      <c r="B987" s="54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6"/>
      <c r="AI987" s="49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3"/>
      <c r="AZ987" s="81"/>
      <c r="BB987" s="5"/>
      <c r="BC987" s="5"/>
    </row>
    <row r="988" spans="1:55" x14ac:dyDescent="0.25">
      <c r="A988" s="51">
        <v>42625</v>
      </c>
      <c r="B988" s="54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6"/>
      <c r="AI988" s="49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3"/>
      <c r="AZ988" s="81"/>
      <c r="BB988" s="5"/>
      <c r="BC988" s="5"/>
    </row>
    <row r="989" spans="1:55" x14ac:dyDescent="0.25">
      <c r="A989" s="51">
        <v>42626</v>
      </c>
      <c r="B989" s="54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6"/>
      <c r="AI989" s="49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3"/>
      <c r="AZ989" s="81"/>
      <c r="BB989" s="5"/>
      <c r="BC989" s="5"/>
    </row>
    <row r="990" spans="1:55" x14ac:dyDescent="0.25">
      <c r="A990" s="51">
        <v>42627</v>
      </c>
      <c r="B990" s="54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6"/>
      <c r="AI990" s="49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3"/>
      <c r="AZ990" s="81"/>
      <c r="BB990" s="5"/>
      <c r="BC990" s="5"/>
    </row>
    <row r="991" spans="1:55" x14ac:dyDescent="0.25">
      <c r="A991" s="51">
        <v>42628</v>
      </c>
      <c r="B991" s="54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6"/>
      <c r="AI991" s="49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3"/>
      <c r="AZ991" s="81"/>
      <c r="BB991" s="5"/>
      <c r="BC991" s="5"/>
    </row>
    <row r="992" spans="1:55" x14ac:dyDescent="0.25">
      <c r="A992" s="51">
        <v>42629</v>
      </c>
      <c r="B992" s="54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6"/>
      <c r="AI992" s="49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3"/>
      <c r="AZ992" s="81"/>
      <c r="BB992" s="5"/>
      <c r="BC992" s="5"/>
    </row>
    <row r="993" spans="1:55" x14ac:dyDescent="0.25">
      <c r="A993" s="51">
        <v>42632</v>
      </c>
      <c r="B993" s="54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6"/>
      <c r="AI993" s="49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3"/>
      <c r="AZ993" s="81"/>
      <c r="BB993" s="5"/>
      <c r="BC993" s="5"/>
    </row>
    <row r="994" spans="1:55" x14ac:dyDescent="0.25">
      <c r="A994" s="51">
        <v>42633</v>
      </c>
      <c r="B994" s="54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6"/>
      <c r="AI994" s="49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3"/>
      <c r="AZ994" s="81"/>
      <c r="BB994" s="5"/>
      <c r="BC994" s="5"/>
    </row>
    <row r="995" spans="1:55" x14ac:dyDescent="0.25">
      <c r="A995" s="51">
        <v>42634</v>
      </c>
      <c r="B995" s="54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6"/>
      <c r="AI995" s="49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3"/>
      <c r="AZ995" s="81"/>
      <c r="BB995" s="5"/>
      <c r="BC995" s="5"/>
    </row>
    <row r="996" spans="1:55" x14ac:dyDescent="0.25">
      <c r="A996" s="51">
        <v>42635</v>
      </c>
      <c r="B996" s="54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6"/>
      <c r="AI996" s="49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3"/>
      <c r="AZ996" s="81"/>
      <c r="BB996" s="5"/>
      <c r="BC996" s="5"/>
    </row>
    <row r="997" spans="1:55" x14ac:dyDescent="0.25">
      <c r="A997" s="51">
        <v>42636</v>
      </c>
      <c r="B997" s="54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6"/>
      <c r="AI997" s="49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3"/>
      <c r="AZ997" s="81"/>
      <c r="BB997" s="5"/>
      <c r="BC997" s="5"/>
    </row>
    <row r="998" spans="1:55" x14ac:dyDescent="0.25">
      <c r="A998" s="51">
        <v>42639</v>
      </c>
      <c r="B998" s="54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6"/>
      <c r="AI998" s="49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3"/>
      <c r="AZ998" s="81"/>
      <c r="BB998" s="5"/>
      <c r="BC998" s="5"/>
    </row>
    <row r="999" spans="1:55" x14ac:dyDescent="0.25">
      <c r="A999" s="51">
        <v>42640</v>
      </c>
      <c r="B999" s="54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6"/>
      <c r="AI999" s="49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3"/>
      <c r="AZ999" s="81"/>
      <c r="BB999" s="5"/>
      <c r="BC999" s="5"/>
    </row>
    <row r="1000" spans="1:55" x14ac:dyDescent="0.25">
      <c r="A1000" s="51">
        <v>42641</v>
      </c>
      <c r="B1000" s="54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6"/>
      <c r="AI1000" s="49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3"/>
      <c r="AZ1000" s="81"/>
      <c r="BB1000" s="5"/>
      <c r="BC1000" s="5"/>
    </row>
    <row r="1001" spans="1:55" x14ac:dyDescent="0.25">
      <c r="A1001" s="51">
        <v>42642</v>
      </c>
      <c r="B1001" s="54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6"/>
      <c r="AI1001" s="49"/>
      <c r="AJ1001" s="78"/>
      <c r="AK1001" s="78"/>
      <c r="AL1001" s="78"/>
      <c r="AM1001" s="78"/>
      <c r="AN1001" s="78"/>
      <c r="AO1001" s="78"/>
      <c r="AP1001" s="78"/>
      <c r="AQ1001" s="78"/>
      <c r="AR1001" s="78"/>
      <c r="AS1001" s="78"/>
      <c r="AT1001" s="78"/>
      <c r="AU1001" s="78"/>
      <c r="AV1001" s="78"/>
      <c r="AW1001" s="78"/>
      <c r="AX1001" s="78"/>
      <c r="AY1001" s="3"/>
      <c r="AZ1001" s="81"/>
      <c r="BB1001" s="5"/>
      <c r="BC1001" s="5"/>
    </row>
    <row r="1002" spans="1:55" x14ac:dyDescent="0.25">
      <c r="A1002" s="51">
        <v>42643</v>
      </c>
      <c r="B1002" s="54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6"/>
      <c r="AI1002" s="49"/>
      <c r="AJ1002" s="78"/>
      <c r="AK1002" s="78"/>
      <c r="AL1002" s="78"/>
      <c r="AM1002" s="78"/>
      <c r="AN1002" s="78"/>
      <c r="AO1002" s="78"/>
      <c r="AP1002" s="78"/>
      <c r="AQ1002" s="78"/>
      <c r="AR1002" s="78"/>
      <c r="AS1002" s="78"/>
      <c r="AT1002" s="78"/>
      <c r="AU1002" s="78"/>
      <c r="AV1002" s="78"/>
      <c r="AW1002" s="78"/>
      <c r="AX1002" s="78"/>
      <c r="AY1002" s="3"/>
      <c r="AZ1002" s="81"/>
      <c r="BB1002" s="5"/>
      <c r="BC1002" s="5"/>
    </row>
    <row r="1003" spans="1:55" x14ac:dyDescent="0.25">
      <c r="A1003" s="51">
        <v>42646</v>
      </c>
      <c r="B1003" s="54"/>
      <c r="C1003" s="55"/>
      <c r="D1003" s="55"/>
      <c r="E1003" s="55"/>
      <c r="F1003" s="55"/>
      <c r="G1003" s="55"/>
      <c r="H1003" s="55"/>
      <c r="I1003" s="55"/>
      <c r="J1003" s="55"/>
      <c r="K1003" s="55"/>
      <c r="L1003" s="55"/>
      <c r="M1003" s="55"/>
      <c r="N1003" s="55"/>
      <c r="O1003" s="55"/>
      <c r="P1003" s="56"/>
      <c r="AI1003" s="49"/>
      <c r="AJ1003" s="78"/>
      <c r="AK1003" s="78"/>
      <c r="AL1003" s="78"/>
      <c r="AM1003" s="78"/>
      <c r="AN1003" s="78"/>
      <c r="AO1003" s="78"/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3"/>
      <c r="AZ1003" s="81"/>
      <c r="BB1003" s="5"/>
      <c r="BC1003" s="5"/>
    </row>
    <row r="1004" spans="1:55" x14ac:dyDescent="0.25">
      <c r="A1004" s="51">
        <v>42647</v>
      </c>
      <c r="B1004" s="54"/>
      <c r="C1004" s="55"/>
      <c r="D1004" s="55"/>
      <c r="E1004" s="55"/>
      <c r="F1004" s="55"/>
      <c r="G1004" s="55"/>
      <c r="H1004" s="55"/>
      <c r="I1004" s="55"/>
      <c r="J1004" s="55"/>
      <c r="K1004" s="55"/>
      <c r="L1004" s="55"/>
      <c r="M1004" s="55"/>
      <c r="N1004" s="55"/>
      <c r="O1004" s="55"/>
      <c r="P1004" s="56"/>
      <c r="AI1004" s="49"/>
      <c r="AJ1004" s="78"/>
      <c r="AK1004" s="78"/>
      <c r="AL1004" s="78"/>
      <c r="AM1004" s="78"/>
      <c r="AN1004" s="78"/>
      <c r="AO1004" s="78"/>
      <c r="AP1004" s="78"/>
      <c r="AQ1004" s="78"/>
      <c r="AR1004" s="78"/>
      <c r="AS1004" s="78"/>
      <c r="AT1004" s="78"/>
      <c r="AU1004" s="78"/>
      <c r="AV1004" s="78"/>
      <c r="AW1004" s="78"/>
      <c r="AX1004" s="78"/>
      <c r="AY1004" s="3"/>
      <c r="AZ1004" s="81"/>
      <c r="BB1004" s="5"/>
      <c r="BC1004" s="5"/>
    </row>
    <row r="1005" spans="1:55" x14ac:dyDescent="0.25">
      <c r="A1005" s="51">
        <v>42648</v>
      </c>
      <c r="B1005" s="54"/>
      <c r="C1005" s="55"/>
      <c r="D1005" s="55"/>
      <c r="E1005" s="55"/>
      <c r="F1005" s="55"/>
      <c r="G1005" s="55"/>
      <c r="H1005" s="55"/>
      <c r="I1005" s="55"/>
      <c r="J1005" s="55"/>
      <c r="K1005" s="55"/>
      <c r="L1005" s="55"/>
      <c r="M1005" s="55"/>
      <c r="N1005" s="55"/>
      <c r="O1005" s="55"/>
      <c r="P1005" s="56"/>
      <c r="AI1005" s="49"/>
      <c r="AJ1005" s="78"/>
      <c r="AK1005" s="78"/>
      <c r="AL1005" s="78"/>
      <c r="AM1005" s="78"/>
      <c r="AN1005" s="78"/>
      <c r="AO1005" s="78"/>
      <c r="AP1005" s="78"/>
      <c r="AQ1005" s="78"/>
      <c r="AR1005" s="78"/>
      <c r="AS1005" s="78"/>
      <c r="AT1005" s="78"/>
      <c r="AU1005" s="78"/>
      <c r="AV1005" s="78"/>
      <c r="AW1005" s="78"/>
      <c r="AX1005" s="78"/>
      <c r="AY1005" s="3"/>
      <c r="AZ1005" s="81"/>
      <c r="BB1005" s="5"/>
      <c r="BC1005" s="5"/>
    </row>
    <row r="1006" spans="1:55" x14ac:dyDescent="0.25">
      <c r="A1006" s="51">
        <v>42649</v>
      </c>
      <c r="B1006" s="54"/>
      <c r="C1006" s="55"/>
      <c r="D1006" s="55"/>
      <c r="E1006" s="55"/>
      <c r="F1006" s="55"/>
      <c r="G1006" s="55"/>
      <c r="H1006" s="55"/>
      <c r="I1006" s="55"/>
      <c r="J1006" s="55"/>
      <c r="K1006" s="55"/>
      <c r="L1006" s="55"/>
      <c r="M1006" s="55"/>
      <c r="N1006" s="55"/>
      <c r="O1006" s="55"/>
      <c r="P1006" s="56"/>
      <c r="AI1006" s="49"/>
      <c r="AJ1006" s="78"/>
      <c r="AK1006" s="78"/>
      <c r="AL1006" s="78"/>
      <c r="AM1006" s="78"/>
      <c r="AN1006" s="78"/>
      <c r="AO1006" s="78"/>
      <c r="AP1006" s="78"/>
      <c r="AQ1006" s="78"/>
      <c r="AR1006" s="78"/>
      <c r="AS1006" s="78"/>
      <c r="AT1006" s="78"/>
      <c r="AU1006" s="78"/>
      <c r="AV1006" s="78"/>
      <c r="AW1006" s="78"/>
      <c r="AX1006" s="78"/>
      <c r="AY1006" s="3"/>
      <c r="AZ1006" s="81"/>
      <c r="BB1006" s="5"/>
      <c r="BC1006" s="5"/>
    </row>
    <row r="1007" spans="1:55" x14ac:dyDescent="0.25">
      <c r="A1007" s="51">
        <v>42650</v>
      </c>
      <c r="B1007" s="54"/>
      <c r="C1007" s="55"/>
      <c r="D1007" s="55"/>
      <c r="E1007" s="55"/>
      <c r="F1007" s="55"/>
      <c r="G1007" s="55"/>
      <c r="H1007" s="55"/>
      <c r="I1007" s="55"/>
      <c r="J1007" s="55"/>
      <c r="K1007" s="55"/>
      <c r="L1007" s="55"/>
      <c r="M1007" s="55"/>
      <c r="N1007" s="55"/>
      <c r="O1007" s="55"/>
      <c r="P1007" s="56"/>
      <c r="AI1007" s="49"/>
      <c r="AJ1007" s="78"/>
      <c r="AK1007" s="78"/>
      <c r="AL1007" s="78"/>
      <c r="AM1007" s="78"/>
      <c r="AN1007" s="78"/>
      <c r="AO1007" s="78"/>
      <c r="AP1007" s="78"/>
      <c r="AQ1007" s="78"/>
      <c r="AR1007" s="78"/>
      <c r="AS1007" s="78"/>
      <c r="AT1007" s="78"/>
      <c r="AU1007" s="78"/>
      <c r="AV1007" s="78"/>
      <c r="AW1007" s="78"/>
      <c r="AX1007" s="78"/>
      <c r="AY1007" s="3"/>
      <c r="AZ1007" s="81"/>
      <c r="BB1007" s="5"/>
      <c r="BC1007" s="5"/>
    </row>
    <row r="1008" spans="1:55" x14ac:dyDescent="0.25">
      <c r="A1008" s="51">
        <v>42653</v>
      </c>
      <c r="B1008" s="54"/>
      <c r="C1008" s="55"/>
      <c r="D1008" s="55"/>
      <c r="E1008" s="55"/>
      <c r="F1008" s="55"/>
      <c r="G1008" s="55"/>
      <c r="H1008" s="55"/>
      <c r="I1008" s="55"/>
      <c r="J1008" s="55"/>
      <c r="K1008" s="55"/>
      <c r="L1008" s="55"/>
      <c r="M1008" s="55"/>
      <c r="N1008" s="55"/>
      <c r="O1008" s="55"/>
      <c r="P1008" s="56"/>
      <c r="AI1008" s="49"/>
      <c r="AJ1008" s="78"/>
      <c r="AK1008" s="78"/>
      <c r="AL1008" s="78"/>
      <c r="AM1008" s="78"/>
      <c r="AN1008" s="78"/>
      <c r="AO1008" s="78"/>
      <c r="AP1008" s="78"/>
      <c r="AQ1008" s="78"/>
      <c r="AR1008" s="78"/>
      <c r="AS1008" s="78"/>
      <c r="AT1008" s="78"/>
      <c r="AU1008" s="78"/>
      <c r="AV1008" s="78"/>
      <c r="AW1008" s="78"/>
      <c r="AX1008" s="78"/>
      <c r="AY1008" s="3"/>
      <c r="AZ1008" s="81"/>
      <c r="BB1008" s="5"/>
      <c r="BC1008" s="5"/>
    </row>
    <row r="1009" spans="1:55" x14ac:dyDescent="0.25">
      <c r="A1009" s="51">
        <v>42654</v>
      </c>
      <c r="B1009" s="54"/>
      <c r="C1009" s="55"/>
      <c r="D1009" s="55"/>
      <c r="E1009" s="55"/>
      <c r="F1009" s="55"/>
      <c r="G1009" s="55"/>
      <c r="H1009" s="55"/>
      <c r="I1009" s="55"/>
      <c r="J1009" s="55"/>
      <c r="K1009" s="55"/>
      <c r="L1009" s="55"/>
      <c r="M1009" s="55"/>
      <c r="N1009" s="55"/>
      <c r="O1009" s="55"/>
      <c r="P1009" s="56"/>
      <c r="AI1009" s="49"/>
      <c r="AJ1009" s="78"/>
      <c r="AK1009" s="78"/>
      <c r="AL1009" s="78"/>
      <c r="AM1009" s="78"/>
      <c r="AN1009" s="78"/>
      <c r="AO1009" s="78"/>
      <c r="AP1009" s="78"/>
      <c r="AQ1009" s="78"/>
      <c r="AR1009" s="78"/>
      <c r="AS1009" s="78"/>
      <c r="AT1009" s="78"/>
      <c r="AU1009" s="78"/>
      <c r="AV1009" s="78"/>
      <c r="AW1009" s="78"/>
      <c r="AX1009" s="78"/>
      <c r="AY1009" s="3"/>
      <c r="AZ1009" s="81"/>
      <c r="BB1009" s="5"/>
      <c r="BC1009" s="5"/>
    </row>
    <row r="1010" spans="1:55" x14ac:dyDescent="0.25">
      <c r="A1010" s="51">
        <v>42655</v>
      </c>
      <c r="B1010" s="54"/>
      <c r="C1010" s="55"/>
      <c r="D1010" s="55"/>
      <c r="E1010" s="55"/>
      <c r="F1010" s="55"/>
      <c r="G1010" s="55"/>
      <c r="H1010" s="55"/>
      <c r="I1010" s="55"/>
      <c r="J1010" s="55"/>
      <c r="K1010" s="55"/>
      <c r="L1010" s="55"/>
      <c r="M1010" s="55"/>
      <c r="N1010" s="55"/>
      <c r="O1010" s="55"/>
      <c r="P1010" s="56"/>
      <c r="AI1010" s="49"/>
      <c r="AJ1010" s="78"/>
      <c r="AK1010" s="78"/>
      <c r="AL1010" s="78"/>
      <c r="AM1010" s="78"/>
      <c r="AN1010" s="78"/>
      <c r="AO1010" s="78"/>
      <c r="AP1010" s="78"/>
      <c r="AQ1010" s="78"/>
      <c r="AR1010" s="78"/>
      <c r="AS1010" s="78"/>
      <c r="AT1010" s="78"/>
      <c r="AU1010" s="78"/>
      <c r="AV1010" s="78"/>
      <c r="AW1010" s="78"/>
      <c r="AX1010" s="78"/>
      <c r="AY1010" s="3"/>
      <c r="AZ1010" s="81"/>
      <c r="BB1010" s="5"/>
      <c r="BC1010" s="5"/>
    </row>
    <row r="1011" spans="1:55" x14ac:dyDescent="0.25">
      <c r="A1011" s="51">
        <v>42656</v>
      </c>
      <c r="B1011" s="54"/>
      <c r="C1011" s="55"/>
      <c r="D1011" s="55"/>
      <c r="E1011" s="55"/>
      <c r="F1011" s="55"/>
      <c r="G1011" s="55"/>
      <c r="H1011" s="55"/>
      <c r="I1011" s="55"/>
      <c r="J1011" s="55"/>
      <c r="K1011" s="55"/>
      <c r="L1011" s="55"/>
      <c r="M1011" s="55"/>
      <c r="N1011" s="55"/>
      <c r="O1011" s="55"/>
      <c r="P1011" s="56"/>
      <c r="AI1011" s="49"/>
      <c r="AJ1011" s="78"/>
      <c r="AK1011" s="78"/>
      <c r="AL1011" s="78"/>
      <c r="AM1011" s="78"/>
      <c r="AN1011" s="78"/>
      <c r="AO1011" s="78"/>
      <c r="AP1011" s="78"/>
      <c r="AQ1011" s="78"/>
      <c r="AR1011" s="78"/>
      <c r="AS1011" s="78"/>
      <c r="AT1011" s="78"/>
      <c r="AU1011" s="78"/>
      <c r="AV1011" s="78"/>
      <c r="AW1011" s="78"/>
      <c r="AX1011" s="78"/>
      <c r="AY1011" s="3"/>
      <c r="AZ1011" s="81"/>
      <c r="BB1011" s="5"/>
      <c r="BC1011" s="5"/>
    </row>
    <row r="1012" spans="1:55" x14ac:dyDescent="0.25">
      <c r="A1012" s="51">
        <v>42657</v>
      </c>
      <c r="B1012" s="54"/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6"/>
      <c r="AI1012" s="49"/>
      <c r="AJ1012" s="78"/>
      <c r="AK1012" s="78"/>
      <c r="AL1012" s="78"/>
      <c r="AM1012" s="78"/>
      <c r="AN1012" s="78"/>
      <c r="AO1012" s="78"/>
      <c r="AP1012" s="78"/>
      <c r="AQ1012" s="78"/>
      <c r="AR1012" s="78"/>
      <c r="AS1012" s="78"/>
      <c r="AT1012" s="78"/>
      <c r="AU1012" s="78"/>
      <c r="AV1012" s="78"/>
      <c r="AW1012" s="78"/>
      <c r="AX1012" s="78"/>
      <c r="AY1012" s="3"/>
      <c r="AZ1012" s="81"/>
      <c r="BB1012" s="5"/>
      <c r="BC1012" s="5"/>
    </row>
    <row r="1013" spans="1:55" x14ac:dyDescent="0.25">
      <c r="A1013" s="51">
        <v>42660</v>
      </c>
      <c r="B1013" s="54"/>
      <c r="C1013" s="55"/>
      <c r="D1013" s="55"/>
      <c r="E1013" s="55"/>
      <c r="F1013" s="55"/>
      <c r="G1013" s="55"/>
      <c r="H1013" s="55"/>
      <c r="I1013" s="55"/>
      <c r="J1013" s="55"/>
      <c r="K1013" s="55"/>
      <c r="L1013" s="55"/>
      <c r="M1013" s="55"/>
      <c r="N1013" s="55"/>
      <c r="O1013" s="55"/>
      <c r="P1013" s="56"/>
      <c r="AI1013" s="49"/>
      <c r="AJ1013" s="78"/>
      <c r="AK1013" s="78"/>
      <c r="AL1013" s="78"/>
      <c r="AM1013" s="78"/>
      <c r="AN1013" s="78"/>
      <c r="AO1013" s="78"/>
      <c r="AP1013" s="78"/>
      <c r="AQ1013" s="78"/>
      <c r="AR1013" s="78"/>
      <c r="AS1013" s="78"/>
      <c r="AT1013" s="78"/>
      <c r="AU1013" s="78"/>
      <c r="AV1013" s="78"/>
      <c r="AW1013" s="78"/>
      <c r="AX1013" s="78"/>
      <c r="AY1013" s="3"/>
      <c r="AZ1013" s="81"/>
      <c r="BB1013" s="5"/>
      <c r="BC1013" s="5"/>
    </row>
    <row r="1014" spans="1:55" x14ac:dyDescent="0.25">
      <c r="A1014" s="51">
        <v>42661</v>
      </c>
      <c r="B1014" s="54"/>
      <c r="C1014" s="55"/>
      <c r="D1014" s="55"/>
      <c r="E1014" s="55"/>
      <c r="F1014" s="55"/>
      <c r="G1014" s="55"/>
      <c r="H1014" s="55"/>
      <c r="I1014" s="55"/>
      <c r="J1014" s="55"/>
      <c r="K1014" s="55"/>
      <c r="L1014" s="55"/>
      <c r="M1014" s="55"/>
      <c r="N1014" s="55"/>
      <c r="O1014" s="55"/>
      <c r="P1014" s="56"/>
      <c r="AI1014" s="49"/>
      <c r="AJ1014" s="78"/>
      <c r="AK1014" s="78"/>
      <c r="AL1014" s="78"/>
      <c r="AM1014" s="78"/>
      <c r="AN1014" s="78"/>
      <c r="AO1014" s="78"/>
      <c r="AP1014" s="78"/>
      <c r="AQ1014" s="78"/>
      <c r="AR1014" s="78"/>
      <c r="AS1014" s="78"/>
      <c r="AT1014" s="78"/>
      <c r="AU1014" s="78"/>
      <c r="AV1014" s="78"/>
      <c r="AW1014" s="78"/>
      <c r="AX1014" s="78"/>
      <c r="AY1014" s="3"/>
      <c r="AZ1014" s="81"/>
      <c r="BB1014" s="5"/>
      <c r="BC1014" s="5"/>
    </row>
    <row r="1015" spans="1:55" x14ac:dyDescent="0.25">
      <c r="A1015" s="51">
        <v>42662</v>
      </c>
      <c r="B1015" s="54"/>
      <c r="C1015" s="55"/>
      <c r="D1015" s="55"/>
      <c r="E1015" s="55"/>
      <c r="F1015" s="55"/>
      <c r="G1015" s="55"/>
      <c r="H1015" s="55"/>
      <c r="I1015" s="55"/>
      <c r="J1015" s="55"/>
      <c r="K1015" s="55"/>
      <c r="L1015" s="55"/>
      <c r="M1015" s="55"/>
      <c r="N1015" s="55"/>
      <c r="O1015" s="55"/>
      <c r="P1015" s="56"/>
      <c r="AI1015" s="49"/>
      <c r="AJ1015" s="78"/>
      <c r="AK1015" s="78"/>
      <c r="AL1015" s="78"/>
      <c r="AM1015" s="78"/>
      <c r="AN1015" s="78"/>
      <c r="AO1015" s="78"/>
      <c r="AP1015" s="78"/>
      <c r="AQ1015" s="78"/>
      <c r="AR1015" s="78"/>
      <c r="AS1015" s="78"/>
      <c r="AT1015" s="78"/>
      <c r="AU1015" s="78"/>
      <c r="AV1015" s="78"/>
      <c r="AW1015" s="78"/>
      <c r="AX1015" s="78"/>
      <c r="AY1015" s="3"/>
      <c r="AZ1015" s="81"/>
      <c r="BB1015" s="5"/>
      <c r="BC1015" s="5"/>
    </row>
    <row r="1016" spans="1:55" x14ac:dyDescent="0.25">
      <c r="A1016" s="51">
        <v>42663</v>
      </c>
      <c r="B1016" s="54"/>
      <c r="C1016" s="55"/>
      <c r="D1016" s="55"/>
      <c r="E1016" s="55"/>
      <c r="F1016" s="55"/>
      <c r="G1016" s="55"/>
      <c r="H1016" s="55"/>
      <c r="I1016" s="55"/>
      <c r="J1016" s="55"/>
      <c r="K1016" s="55"/>
      <c r="L1016" s="55"/>
      <c r="M1016" s="55"/>
      <c r="N1016" s="55"/>
      <c r="O1016" s="55"/>
      <c r="P1016" s="56"/>
      <c r="AI1016" s="49"/>
      <c r="AJ1016" s="78"/>
      <c r="AK1016" s="78"/>
      <c r="AL1016" s="78"/>
      <c r="AM1016" s="78"/>
      <c r="AN1016" s="78"/>
      <c r="AO1016" s="78"/>
      <c r="AP1016" s="78"/>
      <c r="AQ1016" s="78"/>
      <c r="AR1016" s="78"/>
      <c r="AS1016" s="78"/>
      <c r="AT1016" s="78"/>
      <c r="AU1016" s="78"/>
      <c r="AV1016" s="78"/>
      <c r="AW1016" s="78"/>
      <c r="AX1016" s="78"/>
      <c r="AY1016" s="3"/>
      <c r="AZ1016" s="81"/>
      <c r="BB1016" s="5"/>
      <c r="BC1016" s="5"/>
    </row>
    <row r="1017" spans="1:55" x14ac:dyDescent="0.25">
      <c r="A1017" s="51">
        <v>42664</v>
      </c>
      <c r="B1017" s="54"/>
      <c r="C1017" s="55"/>
      <c r="D1017" s="55"/>
      <c r="E1017" s="55"/>
      <c r="F1017" s="55"/>
      <c r="G1017" s="55"/>
      <c r="H1017" s="55"/>
      <c r="I1017" s="55"/>
      <c r="J1017" s="55"/>
      <c r="K1017" s="55"/>
      <c r="L1017" s="55"/>
      <c r="M1017" s="55"/>
      <c r="N1017" s="55"/>
      <c r="O1017" s="55"/>
      <c r="P1017" s="56"/>
      <c r="AI1017" s="49"/>
      <c r="AJ1017" s="78"/>
      <c r="AK1017" s="78"/>
      <c r="AL1017" s="78"/>
      <c r="AM1017" s="78"/>
      <c r="AN1017" s="78"/>
      <c r="AO1017" s="78"/>
      <c r="AP1017" s="78"/>
      <c r="AQ1017" s="78"/>
      <c r="AR1017" s="78"/>
      <c r="AS1017" s="78"/>
      <c r="AT1017" s="78"/>
      <c r="AU1017" s="78"/>
      <c r="AV1017" s="78"/>
      <c r="AW1017" s="78"/>
      <c r="AX1017" s="78"/>
      <c r="AY1017" s="3"/>
      <c r="AZ1017" s="81"/>
      <c r="BB1017" s="5"/>
      <c r="BC1017" s="5"/>
    </row>
    <row r="1018" spans="1:55" x14ac:dyDescent="0.25">
      <c r="A1018" s="51">
        <v>42667</v>
      </c>
      <c r="B1018" s="54"/>
      <c r="C1018" s="55"/>
      <c r="D1018" s="55"/>
      <c r="E1018" s="55"/>
      <c r="F1018" s="55"/>
      <c r="G1018" s="55"/>
      <c r="H1018" s="55"/>
      <c r="I1018" s="55"/>
      <c r="J1018" s="55"/>
      <c r="K1018" s="55"/>
      <c r="L1018" s="55"/>
      <c r="M1018" s="55"/>
      <c r="N1018" s="55"/>
      <c r="O1018" s="55"/>
      <c r="P1018" s="56"/>
      <c r="AI1018" s="49"/>
      <c r="AJ1018" s="78"/>
      <c r="AK1018" s="78"/>
      <c r="AL1018" s="78"/>
      <c r="AM1018" s="78"/>
      <c r="AN1018" s="78"/>
      <c r="AO1018" s="78"/>
      <c r="AP1018" s="78"/>
      <c r="AQ1018" s="78"/>
      <c r="AR1018" s="78"/>
      <c r="AS1018" s="78"/>
      <c r="AT1018" s="78"/>
      <c r="AU1018" s="78"/>
      <c r="AV1018" s="78"/>
      <c r="AW1018" s="78"/>
      <c r="AX1018" s="78"/>
      <c r="AY1018" s="3"/>
      <c r="AZ1018" s="81"/>
      <c r="BB1018" s="5"/>
      <c r="BC1018" s="5"/>
    </row>
    <row r="1019" spans="1:55" x14ac:dyDescent="0.25">
      <c r="A1019" s="51">
        <v>42668</v>
      </c>
      <c r="B1019" s="54"/>
      <c r="C1019" s="55"/>
      <c r="D1019" s="55"/>
      <c r="E1019" s="55"/>
      <c r="F1019" s="55"/>
      <c r="G1019" s="55"/>
      <c r="H1019" s="55"/>
      <c r="I1019" s="55"/>
      <c r="J1019" s="55"/>
      <c r="K1019" s="55"/>
      <c r="L1019" s="55"/>
      <c r="M1019" s="55"/>
      <c r="N1019" s="55"/>
      <c r="O1019" s="55"/>
      <c r="P1019" s="56"/>
      <c r="AI1019" s="49"/>
      <c r="AJ1019" s="78"/>
      <c r="AK1019" s="78"/>
      <c r="AL1019" s="78"/>
      <c r="AM1019" s="78"/>
      <c r="AN1019" s="78"/>
      <c r="AO1019" s="78"/>
      <c r="AP1019" s="78"/>
      <c r="AQ1019" s="78"/>
      <c r="AR1019" s="78"/>
      <c r="AS1019" s="78"/>
      <c r="AT1019" s="78"/>
      <c r="AU1019" s="78"/>
      <c r="AV1019" s="78"/>
      <c r="AW1019" s="78"/>
      <c r="AX1019" s="78"/>
      <c r="AY1019" s="3"/>
      <c r="AZ1019" s="81"/>
      <c r="BB1019" s="5"/>
      <c r="BC1019" s="5"/>
    </row>
    <row r="1020" spans="1:55" x14ac:dyDescent="0.25">
      <c r="A1020" s="51">
        <v>42669</v>
      </c>
      <c r="B1020" s="54"/>
      <c r="C1020" s="55"/>
      <c r="D1020" s="55"/>
      <c r="E1020" s="55"/>
      <c r="F1020" s="55"/>
      <c r="G1020" s="55"/>
      <c r="H1020" s="55"/>
      <c r="I1020" s="55"/>
      <c r="J1020" s="55"/>
      <c r="K1020" s="55"/>
      <c r="L1020" s="55"/>
      <c r="M1020" s="55"/>
      <c r="N1020" s="55"/>
      <c r="O1020" s="55"/>
      <c r="P1020" s="56"/>
      <c r="AI1020" s="49"/>
      <c r="AJ1020" s="78"/>
      <c r="AK1020" s="78"/>
      <c r="AL1020" s="78"/>
      <c r="AM1020" s="78"/>
      <c r="AN1020" s="78"/>
      <c r="AO1020" s="78"/>
      <c r="AP1020" s="78"/>
      <c r="AQ1020" s="78"/>
      <c r="AR1020" s="78"/>
      <c r="AS1020" s="78"/>
      <c r="AT1020" s="78"/>
      <c r="AU1020" s="78"/>
      <c r="AV1020" s="78"/>
      <c r="AW1020" s="78"/>
      <c r="AX1020" s="78"/>
      <c r="AY1020" s="3"/>
      <c r="AZ1020" s="81"/>
      <c r="BB1020" s="5"/>
      <c r="BC1020" s="5"/>
    </row>
    <row r="1021" spans="1:55" x14ac:dyDescent="0.25">
      <c r="A1021" s="51">
        <v>42670</v>
      </c>
      <c r="B1021" s="54"/>
      <c r="C1021" s="55"/>
      <c r="D1021" s="55"/>
      <c r="E1021" s="55"/>
      <c r="F1021" s="55"/>
      <c r="G1021" s="55"/>
      <c r="H1021" s="55"/>
      <c r="I1021" s="55"/>
      <c r="J1021" s="55"/>
      <c r="K1021" s="55"/>
      <c r="L1021" s="55"/>
      <c r="M1021" s="55"/>
      <c r="N1021" s="55"/>
      <c r="O1021" s="55"/>
      <c r="P1021" s="56"/>
      <c r="AI1021" s="49"/>
      <c r="AJ1021" s="78"/>
      <c r="AK1021" s="78"/>
      <c r="AL1021" s="78"/>
      <c r="AM1021" s="78"/>
      <c r="AN1021" s="78"/>
      <c r="AO1021" s="78"/>
      <c r="AP1021" s="78"/>
      <c r="AQ1021" s="78"/>
      <c r="AR1021" s="78"/>
      <c r="AS1021" s="78"/>
      <c r="AT1021" s="78"/>
      <c r="AU1021" s="78"/>
      <c r="AV1021" s="78"/>
      <c r="AW1021" s="78"/>
      <c r="AX1021" s="78"/>
      <c r="AY1021" s="3"/>
      <c r="AZ1021" s="81"/>
      <c r="BB1021" s="5"/>
      <c r="BC1021" s="5"/>
    </row>
    <row r="1022" spans="1:55" x14ac:dyDescent="0.25">
      <c r="A1022" s="51">
        <v>42671</v>
      </c>
      <c r="B1022" s="54"/>
      <c r="C1022" s="55"/>
      <c r="D1022" s="55"/>
      <c r="E1022" s="55"/>
      <c r="F1022" s="55"/>
      <c r="G1022" s="55"/>
      <c r="H1022" s="55"/>
      <c r="I1022" s="55"/>
      <c r="J1022" s="55"/>
      <c r="K1022" s="55"/>
      <c r="L1022" s="55"/>
      <c r="M1022" s="55"/>
      <c r="N1022" s="55"/>
      <c r="O1022" s="55"/>
      <c r="P1022" s="56"/>
      <c r="AI1022" s="49"/>
      <c r="AJ1022" s="78"/>
      <c r="AK1022" s="78"/>
      <c r="AL1022" s="78"/>
      <c r="AM1022" s="78"/>
      <c r="AN1022" s="78"/>
      <c r="AO1022" s="78"/>
      <c r="AP1022" s="78"/>
      <c r="AQ1022" s="78"/>
      <c r="AR1022" s="78"/>
      <c r="AS1022" s="78"/>
      <c r="AT1022" s="78"/>
      <c r="AU1022" s="78"/>
      <c r="AV1022" s="78"/>
      <c r="AW1022" s="78"/>
      <c r="AX1022" s="78"/>
      <c r="AY1022" s="3"/>
      <c r="AZ1022" s="81"/>
      <c r="BB1022" s="5"/>
      <c r="BC1022" s="5"/>
    </row>
    <row r="1023" spans="1:55" x14ac:dyDescent="0.25">
      <c r="A1023" s="51">
        <v>42674</v>
      </c>
      <c r="B1023" s="54"/>
      <c r="C1023" s="55"/>
      <c r="D1023" s="55"/>
      <c r="E1023" s="55"/>
      <c r="F1023" s="55"/>
      <c r="G1023" s="55"/>
      <c r="H1023" s="55"/>
      <c r="I1023" s="55"/>
      <c r="J1023" s="55"/>
      <c r="K1023" s="55"/>
      <c r="L1023" s="55"/>
      <c r="M1023" s="55"/>
      <c r="N1023" s="55"/>
      <c r="O1023" s="55"/>
      <c r="P1023" s="56"/>
      <c r="AI1023" s="49"/>
      <c r="AJ1023" s="78"/>
      <c r="AK1023" s="78"/>
      <c r="AL1023" s="78"/>
      <c r="AM1023" s="78"/>
      <c r="AN1023" s="78"/>
      <c r="AO1023" s="78"/>
      <c r="AP1023" s="78"/>
      <c r="AQ1023" s="78"/>
      <c r="AR1023" s="78"/>
      <c r="AS1023" s="78"/>
      <c r="AT1023" s="78"/>
      <c r="AU1023" s="78"/>
      <c r="AV1023" s="78"/>
      <c r="AW1023" s="78"/>
      <c r="AX1023" s="78"/>
      <c r="AY1023" s="3"/>
      <c r="AZ1023" s="81"/>
      <c r="BB1023" s="5"/>
      <c r="BC1023" s="5"/>
    </row>
    <row r="1024" spans="1:55" x14ac:dyDescent="0.25">
      <c r="A1024" s="51">
        <v>42676</v>
      </c>
      <c r="B1024" s="54"/>
      <c r="C1024" s="55"/>
      <c r="D1024" s="55"/>
      <c r="E1024" s="55"/>
      <c r="F1024" s="55"/>
      <c r="G1024" s="55"/>
      <c r="H1024" s="55"/>
      <c r="I1024" s="55"/>
      <c r="J1024" s="55"/>
      <c r="K1024" s="55"/>
      <c r="L1024" s="55"/>
      <c r="M1024" s="55"/>
      <c r="N1024" s="55"/>
      <c r="O1024" s="55"/>
      <c r="P1024" s="56"/>
      <c r="AI1024" s="49"/>
      <c r="AJ1024" s="78"/>
      <c r="AK1024" s="78"/>
      <c r="AL1024" s="78"/>
      <c r="AM1024" s="78"/>
      <c r="AN1024" s="78"/>
      <c r="AO1024" s="78"/>
      <c r="AP1024" s="78"/>
      <c r="AQ1024" s="78"/>
      <c r="AR1024" s="78"/>
      <c r="AS1024" s="78"/>
      <c r="AT1024" s="78"/>
      <c r="AU1024" s="78"/>
      <c r="AV1024" s="78"/>
      <c r="AW1024" s="78"/>
      <c r="AX1024" s="78"/>
      <c r="AY1024" s="3"/>
      <c r="AZ1024" s="81"/>
      <c r="BB1024" s="5"/>
      <c r="BC1024" s="5"/>
    </row>
    <row r="1025" spans="1:55" x14ac:dyDescent="0.25">
      <c r="A1025" s="51">
        <v>42677</v>
      </c>
      <c r="B1025" s="54"/>
      <c r="C1025" s="55"/>
      <c r="D1025" s="55"/>
      <c r="E1025" s="55"/>
      <c r="F1025" s="55"/>
      <c r="G1025" s="55"/>
      <c r="H1025" s="55"/>
      <c r="I1025" s="55"/>
      <c r="J1025" s="55"/>
      <c r="K1025" s="55"/>
      <c r="L1025" s="55"/>
      <c r="M1025" s="55"/>
      <c r="N1025" s="55"/>
      <c r="O1025" s="55"/>
      <c r="P1025" s="56"/>
      <c r="AI1025" s="49"/>
      <c r="AJ1025" s="78"/>
      <c r="AK1025" s="78"/>
      <c r="AL1025" s="78"/>
      <c r="AM1025" s="78"/>
      <c r="AN1025" s="78"/>
      <c r="AO1025" s="78"/>
      <c r="AP1025" s="78"/>
      <c r="AQ1025" s="78"/>
      <c r="AR1025" s="78"/>
      <c r="AS1025" s="78"/>
      <c r="AT1025" s="78"/>
      <c r="AU1025" s="78"/>
      <c r="AV1025" s="78"/>
      <c r="AW1025" s="78"/>
      <c r="AX1025" s="78"/>
      <c r="AY1025" s="3"/>
      <c r="AZ1025" s="81"/>
      <c r="BB1025" s="5"/>
      <c r="BC1025" s="5"/>
    </row>
    <row r="1026" spans="1:55" x14ac:dyDescent="0.25">
      <c r="A1026" s="51">
        <v>42678</v>
      </c>
      <c r="B1026" s="54"/>
      <c r="C1026" s="55"/>
      <c r="D1026" s="55"/>
      <c r="E1026" s="55"/>
      <c r="F1026" s="55"/>
      <c r="G1026" s="55"/>
      <c r="H1026" s="55"/>
      <c r="I1026" s="55"/>
      <c r="J1026" s="55"/>
      <c r="K1026" s="55"/>
      <c r="L1026" s="55"/>
      <c r="M1026" s="55"/>
      <c r="N1026" s="55"/>
      <c r="O1026" s="55"/>
      <c r="P1026" s="56"/>
      <c r="AI1026" s="49"/>
      <c r="AJ1026" s="78"/>
      <c r="AK1026" s="78"/>
      <c r="AL1026" s="78"/>
      <c r="AM1026" s="78"/>
      <c r="AN1026" s="78"/>
      <c r="AO1026" s="78"/>
      <c r="AP1026" s="78"/>
      <c r="AQ1026" s="78"/>
      <c r="AR1026" s="78"/>
      <c r="AS1026" s="78"/>
      <c r="AT1026" s="78"/>
      <c r="AU1026" s="78"/>
      <c r="AV1026" s="78"/>
      <c r="AW1026" s="78"/>
      <c r="AX1026" s="78"/>
      <c r="AY1026" s="3"/>
      <c r="AZ1026" s="81"/>
      <c r="BB1026" s="5"/>
      <c r="BC1026" s="5"/>
    </row>
    <row r="1027" spans="1:55" x14ac:dyDescent="0.25">
      <c r="A1027" s="51">
        <v>42681</v>
      </c>
      <c r="B1027" s="54"/>
      <c r="C1027" s="55"/>
      <c r="D1027" s="55"/>
      <c r="E1027" s="55"/>
      <c r="F1027" s="55"/>
      <c r="G1027" s="55"/>
      <c r="H1027" s="55"/>
      <c r="I1027" s="55"/>
      <c r="J1027" s="55"/>
      <c r="K1027" s="55"/>
      <c r="L1027" s="55"/>
      <c r="M1027" s="55"/>
      <c r="N1027" s="55"/>
      <c r="O1027" s="55"/>
      <c r="P1027" s="56"/>
      <c r="AI1027" s="49"/>
      <c r="AJ1027" s="78"/>
      <c r="AK1027" s="78"/>
      <c r="AL1027" s="78"/>
      <c r="AM1027" s="78"/>
      <c r="AN1027" s="78"/>
      <c r="AO1027" s="78"/>
      <c r="AP1027" s="78"/>
      <c r="AQ1027" s="78"/>
      <c r="AR1027" s="78"/>
      <c r="AS1027" s="78"/>
      <c r="AT1027" s="78"/>
      <c r="AU1027" s="78"/>
      <c r="AV1027" s="78"/>
      <c r="AW1027" s="78"/>
      <c r="AX1027" s="78"/>
      <c r="AY1027" s="3"/>
      <c r="AZ1027" s="81"/>
      <c r="BB1027" s="5"/>
      <c r="BC1027" s="5"/>
    </row>
    <row r="1028" spans="1:55" x14ac:dyDescent="0.25">
      <c r="A1028" s="51">
        <v>42682</v>
      </c>
      <c r="B1028" s="54"/>
      <c r="C1028" s="55"/>
      <c r="D1028" s="55"/>
      <c r="E1028" s="55"/>
      <c r="F1028" s="55"/>
      <c r="G1028" s="55"/>
      <c r="H1028" s="55"/>
      <c r="I1028" s="55"/>
      <c r="J1028" s="55"/>
      <c r="K1028" s="55"/>
      <c r="L1028" s="55"/>
      <c r="M1028" s="55"/>
      <c r="N1028" s="55"/>
      <c r="O1028" s="55"/>
      <c r="P1028" s="56"/>
      <c r="AI1028" s="49"/>
      <c r="AJ1028" s="78"/>
      <c r="AK1028" s="78"/>
      <c r="AL1028" s="78"/>
      <c r="AM1028" s="78"/>
      <c r="AN1028" s="78"/>
      <c r="AO1028" s="78"/>
      <c r="AP1028" s="78"/>
      <c r="AQ1028" s="78"/>
      <c r="AR1028" s="78"/>
      <c r="AS1028" s="78"/>
      <c r="AT1028" s="78"/>
      <c r="AU1028" s="78"/>
      <c r="AV1028" s="78"/>
      <c r="AW1028" s="78"/>
      <c r="AX1028" s="78"/>
      <c r="AY1028" s="3"/>
      <c r="AZ1028" s="81"/>
      <c r="BB1028" s="5"/>
      <c r="BC1028" s="5"/>
    </row>
    <row r="1029" spans="1:55" x14ac:dyDescent="0.25">
      <c r="A1029" s="51">
        <v>42683</v>
      </c>
      <c r="B1029" s="54"/>
      <c r="C1029" s="55"/>
      <c r="D1029" s="55"/>
      <c r="E1029" s="55"/>
      <c r="F1029" s="55"/>
      <c r="G1029" s="55"/>
      <c r="H1029" s="55"/>
      <c r="I1029" s="55"/>
      <c r="J1029" s="55"/>
      <c r="K1029" s="55"/>
      <c r="L1029" s="55"/>
      <c r="M1029" s="55"/>
      <c r="N1029" s="55"/>
      <c r="O1029" s="55"/>
      <c r="P1029" s="56"/>
      <c r="AI1029" s="49"/>
      <c r="AJ1029" s="78"/>
      <c r="AK1029" s="78"/>
      <c r="AL1029" s="78"/>
      <c r="AM1029" s="78"/>
      <c r="AN1029" s="78"/>
      <c r="AO1029" s="78"/>
      <c r="AP1029" s="78"/>
      <c r="AQ1029" s="78"/>
      <c r="AR1029" s="78"/>
      <c r="AS1029" s="78"/>
      <c r="AT1029" s="78"/>
      <c r="AU1029" s="78"/>
      <c r="AV1029" s="78"/>
      <c r="AW1029" s="78"/>
      <c r="AX1029" s="78"/>
      <c r="AY1029" s="3"/>
      <c r="AZ1029" s="81"/>
      <c r="BB1029" s="5"/>
      <c r="BC1029" s="5"/>
    </row>
    <row r="1030" spans="1:55" x14ac:dyDescent="0.25">
      <c r="A1030" s="51">
        <v>42684</v>
      </c>
      <c r="B1030" s="54"/>
      <c r="C1030" s="55"/>
      <c r="D1030" s="55"/>
      <c r="E1030" s="55"/>
      <c r="F1030" s="55"/>
      <c r="G1030" s="55"/>
      <c r="H1030" s="55"/>
      <c r="I1030" s="55"/>
      <c r="J1030" s="55"/>
      <c r="K1030" s="55"/>
      <c r="L1030" s="55"/>
      <c r="M1030" s="55"/>
      <c r="N1030" s="55"/>
      <c r="O1030" s="55"/>
      <c r="P1030" s="56"/>
      <c r="AI1030" s="49"/>
      <c r="AJ1030" s="78"/>
      <c r="AK1030" s="78"/>
      <c r="AL1030" s="78"/>
      <c r="AM1030" s="78"/>
      <c r="AN1030" s="78"/>
      <c r="AO1030" s="78"/>
      <c r="AP1030" s="78"/>
      <c r="AQ1030" s="78"/>
      <c r="AR1030" s="78"/>
      <c r="AS1030" s="78"/>
      <c r="AT1030" s="78"/>
      <c r="AU1030" s="78"/>
      <c r="AV1030" s="78"/>
      <c r="AW1030" s="78"/>
      <c r="AX1030" s="78"/>
      <c r="AY1030" s="3"/>
      <c r="AZ1030" s="81"/>
      <c r="BB1030" s="5"/>
      <c r="BC1030" s="5"/>
    </row>
    <row r="1031" spans="1:55" x14ac:dyDescent="0.25">
      <c r="A1031" s="51">
        <v>42685</v>
      </c>
      <c r="B1031" s="54"/>
      <c r="C1031" s="55"/>
      <c r="D1031" s="55"/>
      <c r="E1031" s="55"/>
      <c r="F1031" s="55"/>
      <c r="G1031" s="55"/>
      <c r="H1031" s="55"/>
      <c r="I1031" s="55"/>
      <c r="J1031" s="55"/>
      <c r="K1031" s="55"/>
      <c r="L1031" s="55"/>
      <c r="M1031" s="55"/>
      <c r="N1031" s="55"/>
      <c r="O1031" s="55"/>
      <c r="P1031" s="56"/>
      <c r="AI1031" s="49"/>
      <c r="AJ1031" s="78"/>
      <c r="AK1031" s="78"/>
      <c r="AL1031" s="78"/>
      <c r="AM1031" s="78"/>
      <c r="AN1031" s="78"/>
      <c r="AO1031" s="78"/>
      <c r="AP1031" s="78"/>
      <c r="AQ1031" s="78"/>
      <c r="AR1031" s="78"/>
      <c r="AS1031" s="78"/>
      <c r="AT1031" s="78"/>
      <c r="AU1031" s="78"/>
      <c r="AV1031" s="78"/>
      <c r="AW1031" s="78"/>
      <c r="AX1031" s="78"/>
      <c r="AY1031" s="3"/>
      <c r="AZ1031" s="81"/>
      <c r="BB1031" s="5"/>
      <c r="BC1031" s="5"/>
    </row>
    <row r="1032" spans="1:55" x14ac:dyDescent="0.25">
      <c r="A1032" s="51">
        <v>42688</v>
      </c>
      <c r="B1032" s="54"/>
      <c r="C1032" s="55"/>
      <c r="D1032" s="55"/>
      <c r="E1032" s="55"/>
      <c r="F1032" s="55"/>
      <c r="G1032" s="55"/>
      <c r="H1032" s="55"/>
      <c r="I1032" s="55"/>
      <c r="J1032" s="55"/>
      <c r="K1032" s="55"/>
      <c r="L1032" s="55"/>
      <c r="M1032" s="55"/>
      <c r="N1032" s="55"/>
      <c r="O1032" s="55"/>
      <c r="P1032" s="56"/>
      <c r="AI1032" s="49"/>
      <c r="AJ1032" s="78"/>
      <c r="AK1032" s="78"/>
      <c r="AL1032" s="78"/>
      <c r="AM1032" s="78"/>
      <c r="AN1032" s="78"/>
      <c r="AO1032" s="78"/>
      <c r="AP1032" s="78"/>
      <c r="AQ1032" s="78"/>
      <c r="AR1032" s="78"/>
      <c r="AS1032" s="78"/>
      <c r="AT1032" s="78"/>
      <c r="AU1032" s="78"/>
      <c r="AV1032" s="78"/>
      <c r="AW1032" s="78"/>
      <c r="AX1032" s="78"/>
      <c r="AY1032" s="3"/>
      <c r="AZ1032" s="81"/>
      <c r="BB1032" s="5"/>
      <c r="BC1032" s="5"/>
    </row>
    <row r="1033" spans="1:55" x14ac:dyDescent="0.25">
      <c r="A1033" s="51">
        <v>42689</v>
      </c>
      <c r="B1033" s="54"/>
      <c r="C1033" s="55"/>
      <c r="D1033" s="55"/>
      <c r="E1033" s="55"/>
      <c r="F1033" s="55"/>
      <c r="G1033" s="55"/>
      <c r="H1033" s="55"/>
      <c r="I1033" s="55"/>
      <c r="J1033" s="55"/>
      <c r="K1033" s="55"/>
      <c r="L1033" s="55"/>
      <c r="M1033" s="55"/>
      <c r="N1033" s="55"/>
      <c r="O1033" s="55"/>
      <c r="P1033" s="56"/>
      <c r="AI1033" s="49"/>
      <c r="AJ1033" s="78"/>
      <c r="AK1033" s="78"/>
      <c r="AL1033" s="78"/>
      <c r="AM1033" s="78"/>
      <c r="AN1033" s="78"/>
      <c r="AO1033" s="78"/>
      <c r="AP1033" s="78"/>
      <c r="AQ1033" s="78"/>
      <c r="AR1033" s="78"/>
      <c r="AS1033" s="78"/>
      <c r="AT1033" s="78"/>
      <c r="AU1033" s="78"/>
      <c r="AV1033" s="78"/>
      <c r="AW1033" s="78"/>
      <c r="AX1033" s="78"/>
      <c r="AY1033" s="3"/>
      <c r="AZ1033" s="81"/>
      <c r="BB1033" s="5"/>
      <c r="BC1033" s="5"/>
    </row>
    <row r="1034" spans="1:55" x14ac:dyDescent="0.25">
      <c r="A1034" s="51">
        <v>42690</v>
      </c>
      <c r="B1034" s="54"/>
      <c r="C1034" s="55"/>
      <c r="D1034" s="55"/>
      <c r="E1034" s="55"/>
      <c r="F1034" s="55"/>
      <c r="G1034" s="55"/>
      <c r="H1034" s="55"/>
      <c r="I1034" s="55"/>
      <c r="J1034" s="55"/>
      <c r="K1034" s="55"/>
      <c r="L1034" s="55"/>
      <c r="M1034" s="55"/>
      <c r="N1034" s="55"/>
      <c r="O1034" s="55"/>
      <c r="P1034" s="56"/>
      <c r="AI1034" s="49"/>
      <c r="AJ1034" s="78"/>
      <c r="AK1034" s="78"/>
      <c r="AL1034" s="78"/>
      <c r="AM1034" s="78"/>
      <c r="AN1034" s="78"/>
      <c r="AO1034" s="78"/>
      <c r="AP1034" s="78"/>
      <c r="AQ1034" s="78"/>
      <c r="AR1034" s="78"/>
      <c r="AS1034" s="78"/>
      <c r="AT1034" s="78"/>
      <c r="AU1034" s="78"/>
      <c r="AV1034" s="78"/>
      <c r="AW1034" s="78"/>
      <c r="AX1034" s="78"/>
      <c r="AY1034" s="3"/>
      <c r="AZ1034" s="81"/>
      <c r="BB1034" s="5"/>
      <c r="BC1034" s="5"/>
    </row>
    <row r="1035" spans="1:55" x14ac:dyDescent="0.25">
      <c r="A1035" s="51">
        <v>42695</v>
      </c>
      <c r="B1035" s="54"/>
      <c r="C1035" s="55"/>
      <c r="D1035" s="55"/>
      <c r="E1035" s="55"/>
      <c r="F1035" s="55"/>
      <c r="G1035" s="55"/>
      <c r="H1035" s="55"/>
      <c r="I1035" s="55"/>
      <c r="J1035" s="55"/>
      <c r="K1035" s="55"/>
      <c r="L1035" s="55"/>
      <c r="M1035" s="55"/>
      <c r="N1035" s="55"/>
      <c r="O1035" s="55"/>
      <c r="P1035" s="56"/>
      <c r="AI1035" s="49"/>
      <c r="AJ1035" s="78"/>
      <c r="AK1035" s="78"/>
      <c r="AL1035" s="78"/>
      <c r="AM1035" s="78"/>
      <c r="AN1035" s="78"/>
      <c r="AO1035" s="78"/>
      <c r="AP1035" s="78"/>
      <c r="AQ1035" s="78"/>
      <c r="AR1035" s="78"/>
      <c r="AS1035" s="78"/>
      <c r="AT1035" s="78"/>
      <c r="AU1035" s="78"/>
      <c r="AV1035" s="78"/>
      <c r="AW1035" s="78"/>
      <c r="AX1035" s="78"/>
      <c r="AY1035" s="3"/>
      <c r="AZ1035" s="81"/>
      <c r="BB1035" s="5"/>
      <c r="BC1035" s="5"/>
    </row>
    <row r="1036" spans="1:55" x14ac:dyDescent="0.25">
      <c r="A1036" s="51">
        <v>42696</v>
      </c>
      <c r="B1036" s="54"/>
      <c r="C1036" s="55"/>
      <c r="D1036" s="55"/>
      <c r="E1036" s="55"/>
      <c r="F1036" s="55"/>
      <c r="G1036" s="55"/>
      <c r="H1036" s="55"/>
      <c r="I1036" s="55"/>
      <c r="J1036" s="55"/>
      <c r="K1036" s="55"/>
      <c r="L1036" s="55"/>
      <c r="M1036" s="55"/>
      <c r="N1036" s="55"/>
      <c r="O1036" s="55"/>
      <c r="P1036" s="56"/>
      <c r="AI1036" s="49"/>
      <c r="AJ1036" s="78"/>
      <c r="AK1036" s="78"/>
      <c r="AL1036" s="78"/>
      <c r="AM1036" s="78"/>
      <c r="AN1036" s="78"/>
      <c r="AO1036" s="78"/>
      <c r="AP1036" s="78"/>
      <c r="AQ1036" s="78"/>
      <c r="AR1036" s="78"/>
      <c r="AS1036" s="78"/>
      <c r="AT1036" s="78"/>
      <c r="AU1036" s="78"/>
      <c r="AV1036" s="78"/>
      <c r="AW1036" s="78"/>
      <c r="AX1036" s="78"/>
      <c r="AY1036" s="3"/>
      <c r="AZ1036" s="81"/>
      <c r="BB1036" s="5"/>
      <c r="BC1036" s="5"/>
    </row>
    <row r="1037" spans="1:55" x14ac:dyDescent="0.25">
      <c r="A1037" s="51">
        <v>42697</v>
      </c>
      <c r="B1037" s="54"/>
      <c r="C1037" s="55"/>
      <c r="D1037" s="55"/>
      <c r="E1037" s="55"/>
      <c r="F1037" s="55"/>
      <c r="G1037" s="55"/>
      <c r="H1037" s="55"/>
      <c r="I1037" s="55"/>
      <c r="J1037" s="55"/>
      <c r="K1037" s="55"/>
      <c r="L1037" s="55"/>
      <c r="M1037" s="55"/>
      <c r="N1037" s="55"/>
      <c r="O1037" s="55"/>
      <c r="P1037" s="56"/>
      <c r="AI1037" s="49"/>
      <c r="AJ1037" s="78"/>
      <c r="AK1037" s="78"/>
      <c r="AL1037" s="78"/>
      <c r="AM1037" s="78"/>
      <c r="AN1037" s="78"/>
      <c r="AO1037" s="78"/>
      <c r="AP1037" s="78"/>
      <c r="AQ1037" s="78"/>
      <c r="AR1037" s="78"/>
      <c r="AS1037" s="78"/>
      <c r="AT1037" s="78"/>
      <c r="AU1037" s="78"/>
      <c r="AV1037" s="78"/>
      <c r="AW1037" s="78"/>
      <c r="AX1037" s="78"/>
      <c r="AY1037" s="3"/>
      <c r="AZ1037" s="81"/>
      <c r="BB1037" s="5"/>
      <c r="BC1037" s="5"/>
    </row>
    <row r="1038" spans="1:55" x14ac:dyDescent="0.25">
      <c r="A1038" s="51">
        <v>42698</v>
      </c>
      <c r="B1038" s="54"/>
      <c r="C1038" s="55"/>
      <c r="D1038" s="55"/>
      <c r="E1038" s="55"/>
      <c r="F1038" s="55"/>
      <c r="G1038" s="55"/>
      <c r="H1038" s="55"/>
      <c r="I1038" s="55"/>
      <c r="J1038" s="55"/>
      <c r="K1038" s="55"/>
      <c r="L1038" s="55"/>
      <c r="M1038" s="55"/>
      <c r="N1038" s="55"/>
      <c r="O1038" s="55"/>
      <c r="P1038" s="56"/>
      <c r="AI1038" s="49"/>
      <c r="AJ1038" s="78"/>
      <c r="AK1038" s="78"/>
      <c r="AL1038" s="78"/>
      <c r="AM1038" s="78"/>
      <c r="AN1038" s="78"/>
      <c r="AO1038" s="78"/>
      <c r="AP1038" s="78"/>
      <c r="AQ1038" s="78"/>
      <c r="AR1038" s="78"/>
      <c r="AS1038" s="78"/>
      <c r="AT1038" s="78"/>
      <c r="AU1038" s="78"/>
      <c r="AV1038" s="78"/>
      <c r="AW1038" s="78"/>
      <c r="AX1038" s="78"/>
      <c r="AY1038" s="3"/>
      <c r="AZ1038" s="81"/>
      <c r="BB1038" s="5"/>
      <c r="BC1038" s="5"/>
    </row>
    <row r="1039" spans="1:55" x14ac:dyDescent="0.25">
      <c r="A1039" s="51">
        <v>42699</v>
      </c>
      <c r="B1039" s="54"/>
      <c r="C1039" s="55"/>
      <c r="D1039" s="55"/>
      <c r="E1039" s="55"/>
      <c r="F1039" s="55"/>
      <c r="G1039" s="55"/>
      <c r="H1039" s="55"/>
      <c r="I1039" s="55"/>
      <c r="J1039" s="55"/>
      <c r="K1039" s="55"/>
      <c r="L1039" s="55"/>
      <c r="M1039" s="55"/>
      <c r="N1039" s="55"/>
      <c r="O1039" s="55"/>
      <c r="P1039" s="56"/>
      <c r="AI1039" s="49"/>
      <c r="AJ1039" s="78"/>
      <c r="AK1039" s="78"/>
      <c r="AL1039" s="78"/>
      <c r="AM1039" s="78"/>
      <c r="AN1039" s="78"/>
      <c r="AO1039" s="78"/>
      <c r="AP1039" s="78"/>
      <c r="AQ1039" s="78"/>
      <c r="AR1039" s="78"/>
      <c r="AS1039" s="78"/>
      <c r="AT1039" s="78"/>
      <c r="AU1039" s="78"/>
      <c r="AV1039" s="78"/>
      <c r="AW1039" s="78"/>
      <c r="AX1039" s="78"/>
      <c r="AY1039" s="3"/>
      <c r="AZ1039" s="81"/>
      <c r="BB1039" s="5"/>
      <c r="BC1039" s="5"/>
    </row>
    <row r="1040" spans="1:55" x14ac:dyDescent="0.25">
      <c r="A1040" s="51">
        <v>42702</v>
      </c>
      <c r="B1040" s="54"/>
      <c r="C1040" s="55"/>
      <c r="D1040" s="55"/>
      <c r="E1040" s="55"/>
      <c r="F1040" s="55"/>
      <c r="G1040" s="55"/>
      <c r="H1040" s="55"/>
      <c r="I1040" s="55"/>
      <c r="J1040" s="55"/>
      <c r="K1040" s="55"/>
      <c r="L1040" s="55"/>
      <c r="M1040" s="55"/>
      <c r="N1040" s="55"/>
      <c r="O1040" s="55"/>
      <c r="P1040" s="56"/>
      <c r="AI1040" s="49"/>
      <c r="AJ1040" s="78"/>
      <c r="AK1040" s="78"/>
      <c r="AL1040" s="78"/>
      <c r="AM1040" s="78"/>
      <c r="AN1040" s="78"/>
      <c r="AO1040" s="78"/>
      <c r="AP1040" s="78"/>
      <c r="AQ1040" s="78"/>
      <c r="AR1040" s="78"/>
      <c r="AS1040" s="78"/>
      <c r="AT1040" s="78"/>
      <c r="AU1040" s="78"/>
      <c r="AV1040" s="78"/>
      <c r="AW1040" s="78"/>
      <c r="AX1040" s="78"/>
      <c r="AY1040" s="3"/>
      <c r="AZ1040" s="81"/>
      <c r="BB1040" s="5"/>
      <c r="BC1040" s="5"/>
    </row>
    <row r="1041" spans="1:55" x14ac:dyDescent="0.25">
      <c r="A1041" s="51">
        <v>42703</v>
      </c>
      <c r="B1041" s="54"/>
      <c r="C1041" s="55"/>
      <c r="D1041" s="55"/>
      <c r="E1041" s="55"/>
      <c r="F1041" s="55"/>
      <c r="G1041" s="55"/>
      <c r="H1041" s="55"/>
      <c r="I1041" s="55"/>
      <c r="J1041" s="55"/>
      <c r="K1041" s="55"/>
      <c r="L1041" s="55"/>
      <c r="M1041" s="55"/>
      <c r="N1041" s="55"/>
      <c r="O1041" s="55"/>
      <c r="P1041" s="56"/>
      <c r="AI1041" s="49"/>
      <c r="AJ1041" s="78"/>
      <c r="AK1041" s="78"/>
      <c r="AL1041" s="78"/>
      <c r="AM1041" s="78"/>
      <c r="AN1041" s="78"/>
      <c r="AO1041" s="78"/>
      <c r="AP1041" s="78"/>
      <c r="AQ1041" s="78"/>
      <c r="AR1041" s="78"/>
      <c r="AS1041" s="78"/>
      <c r="AT1041" s="78"/>
      <c r="AU1041" s="78"/>
      <c r="AV1041" s="78"/>
      <c r="AW1041" s="78"/>
      <c r="AX1041" s="78"/>
      <c r="AY1041" s="3"/>
      <c r="AZ1041" s="81"/>
      <c r="BB1041" s="5"/>
      <c r="BC1041" s="5"/>
    </row>
    <row r="1042" spans="1:55" x14ac:dyDescent="0.25">
      <c r="A1042" s="51">
        <v>42704</v>
      </c>
      <c r="B1042" s="54"/>
      <c r="C1042" s="55"/>
      <c r="D1042" s="55"/>
      <c r="E1042" s="55"/>
      <c r="F1042" s="55"/>
      <c r="G1042" s="55"/>
      <c r="H1042" s="55"/>
      <c r="I1042" s="55"/>
      <c r="J1042" s="55"/>
      <c r="K1042" s="55"/>
      <c r="L1042" s="55"/>
      <c r="M1042" s="55"/>
      <c r="N1042" s="55"/>
      <c r="O1042" s="55"/>
      <c r="P1042" s="56"/>
      <c r="AI1042" s="49"/>
      <c r="AJ1042" s="78"/>
      <c r="AK1042" s="78"/>
      <c r="AL1042" s="78"/>
      <c r="AM1042" s="78"/>
      <c r="AN1042" s="78"/>
      <c r="AO1042" s="78"/>
      <c r="AP1042" s="78"/>
      <c r="AQ1042" s="78"/>
      <c r="AR1042" s="78"/>
      <c r="AS1042" s="78"/>
      <c r="AT1042" s="78"/>
      <c r="AU1042" s="78"/>
      <c r="AV1042" s="78"/>
      <c r="AW1042" s="78"/>
      <c r="AX1042" s="78"/>
      <c r="AY1042" s="3"/>
      <c r="AZ1042" s="81"/>
      <c r="BB1042" s="5"/>
      <c r="BC1042" s="5"/>
    </row>
    <row r="1043" spans="1:55" x14ac:dyDescent="0.25">
      <c r="A1043" s="51">
        <v>42705</v>
      </c>
      <c r="B1043" s="54"/>
      <c r="C1043" s="55"/>
      <c r="D1043" s="55"/>
      <c r="E1043" s="55"/>
      <c r="F1043" s="55"/>
      <c r="G1043" s="55"/>
      <c r="H1043" s="55"/>
      <c r="I1043" s="55"/>
      <c r="J1043" s="55"/>
      <c r="K1043" s="55"/>
      <c r="L1043" s="55"/>
      <c r="M1043" s="55"/>
      <c r="N1043" s="55"/>
      <c r="O1043" s="55"/>
      <c r="P1043" s="56"/>
      <c r="AI1043" s="49"/>
      <c r="AJ1043" s="78"/>
      <c r="AK1043" s="78"/>
      <c r="AL1043" s="78"/>
      <c r="AM1043" s="78"/>
      <c r="AN1043" s="78"/>
      <c r="AO1043" s="78"/>
      <c r="AP1043" s="78"/>
      <c r="AQ1043" s="78"/>
      <c r="AR1043" s="78"/>
      <c r="AS1043" s="78"/>
      <c r="AT1043" s="78"/>
      <c r="AU1043" s="78"/>
      <c r="AV1043" s="78"/>
      <c r="AW1043" s="78"/>
      <c r="AX1043" s="78"/>
      <c r="AY1043" s="3"/>
      <c r="AZ1043" s="81"/>
      <c r="BB1043" s="5"/>
      <c r="BC1043" s="5"/>
    </row>
    <row r="1044" spans="1:55" x14ac:dyDescent="0.25">
      <c r="A1044" s="51">
        <v>42706</v>
      </c>
      <c r="B1044" s="54"/>
      <c r="C1044" s="55"/>
      <c r="D1044" s="55"/>
      <c r="E1044" s="55"/>
      <c r="F1044" s="55"/>
      <c r="G1044" s="55"/>
      <c r="H1044" s="55"/>
      <c r="I1044" s="55"/>
      <c r="J1044" s="55"/>
      <c r="K1044" s="55"/>
      <c r="L1044" s="55"/>
      <c r="M1044" s="55"/>
      <c r="N1044" s="55"/>
      <c r="O1044" s="55"/>
      <c r="P1044" s="56"/>
      <c r="AI1044" s="49"/>
      <c r="AJ1044" s="78"/>
      <c r="AK1044" s="78"/>
      <c r="AL1044" s="78"/>
      <c r="AM1044" s="78"/>
      <c r="AN1044" s="78"/>
      <c r="AO1044" s="78"/>
      <c r="AP1044" s="78"/>
      <c r="AQ1044" s="78"/>
      <c r="AR1044" s="78"/>
      <c r="AS1044" s="78"/>
      <c r="AT1044" s="78"/>
      <c r="AU1044" s="78"/>
      <c r="AV1044" s="78"/>
      <c r="AW1044" s="78"/>
      <c r="AX1044" s="78"/>
      <c r="AY1044" s="3"/>
      <c r="AZ1044" s="81"/>
      <c r="BB1044" s="5"/>
      <c r="BC1044" s="5"/>
    </row>
    <row r="1045" spans="1:55" x14ac:dyDescent="0.25">
      <c r="A1045" s="51">
        <v>42709</v>
      </c>
      <c r="B1045" s="54"/>
      <c r="C1045" s="55"/>
      <c r="D1045" s="55"/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  <c r="O1045" s="55"/>
      <c r="P1045" s="56"/>
      <c r="AI1045" s="49"/>
      <c r="AJ1045" s="78"/>
      <c r="AK1045" s="78"/>
      <c r="AL1045" s="78"/>
      <c r="AM1045" s="78"/>
      <c r="AN1045" s="78"/>
      <c r="AO1045" s="78"/>
      <c r="AP1045" s="78"/>
      <c r="AQ1045" s="78"/>
      <c r="AR1045" s="78"/>
      <c r="AS1045" s="78"/>
      <c r="AT1045" s="78"/>
      <c r="AU1045" s="78"/>
      <c r="AV1045" s="78"/>
      <c r="AW1045" s="78"/>
      <c r="AX1045" s="78"/>
      <c r="AY1045" s="3"/>
      <c r="AZ1045" s="81"/>
      <c r="BB1045" s="5"/>
      <c r="BC1045" s="5"/>
    </row>
    <row r="1046" spans="1:55" x14ac:dyDescent="0.25">
      <c r="A1046" s="51">
        <v>42710</v>
      </c>
      <c r="B1046" s="54"/>
      <c r="C1046" s="55"/>
      <c r="D1046" s="55"/>
      <c r="E1046" s="55"/>
      <c r="F1046" s="55"/>
      <c r="G1046" s="55"/>
      <c r="H1046" s="55"/>
      <c r="I1046" s="55"/>
      <c r="J1046" s="55"/>
      <c r="K1046" s="55"/>
      <c r="L1046" s="55"/>
      <c r="M1046" s="55"/>
      <c r="N1046" s="55"/>
      <c r="O1046" s="55"/>
      <c r="P1046" s="56"/>
      <c r="AI1046" s="49"/>
      <c r="AJ1046" s="78"/>
      <c r="AK1046" s="78"/>
      <c r="AL1046" s="78"/>
      <c r="AM1046" s="78"/>
      <c r="AN1046" s="78"/>
      <c r="AO1046" s="78"/>
      <c r="AP1046" s="78"/>
      <c r="AQ1046" s="78"/>
      <c r="AR1046" s="78"/>
      <c r="AS1046" s="78"/>
      <c r="AT1046" s="78"/>
      <c r="AU1046" s="78"/>
      <c r="AV1046" s="78"/>
      <c r="AW1046" s="78"/>
      <c r="AX1046" s="78"/>
      <c r="AY1046" s="3"/>
      <c r="AZ1046" s="81"/>
      <c r="BB1046" s="5"/>
      <c r="BC1046" s="5"/>
    </row>
    <row r="1047" spans="1:55" x14ac:dyDescent="0.25">
      <c r="A1047" s="51">
        <v>42711</v>
      </c>
      <c r="B1047" s="54"/>
      <c r="C1047" s="55"/>
      <c r="D1047" s="55"/>
      <c r="E1047" s="55"/>
      <c r="F1047" s="55"/>
      <c r="G1047" s="55"/>
      <c r="H1047" s="55"/>
      <c r="I1047" s="55"/>
      <c r="J1047" s="55"/>
      <c r="K1047" s="55"/>
      <c r="L1047" s="55"/>
      <c r="M1047" s="55"/>
      <c r="N1047" s="55"/>
      <c r="O1047" s="55"/>
      <c r="P1047" s="56"/>
      <c r="AI1047" s="49"/>
      <c r="AJ1047" s="78"/>
      <c r="AK1047" s="78"/>
      <c r="AL1047" s="78"/>
      <c r="AM1047" s="78"/>
      <c r="AN1047" s="78"/>
      <c r="AO1047" s="78"/>
      <c r="AP1047" s="78"/>
      <c r="AQ1047" s="78"/>
      <c r="AR1047" s="78"/>
      <c r="AS1047" s="78"/>
      <c r="AT1047" s="78"/>
      <c r="AU1047" s="78"/>
      <c r="AV1047" s="78"/>
      <c r="AW1047" s="78"/>
      <c r="AX1047" s="78"/>
      <c r="AY1047" s="3"/>
      <c r="AZ1047" s="81"/>
      <c r="BB1047" s="5"/>
      <c r="BC1047" s="5"/>
    </row>
    <row r="1048" spans="1:55" x14ac:dyDescent="0.25">
      <c r="A1048" s="51">
        <v>42713</v>
      </c>
      <c r="B1048" s="54"/>
      <c r="C1048" s="55"/>
      <c r="D1048" s="55"/>
      <c r="E1048" s="55"/>
      <c r="F1048" s="55"/>
      <c r="G1048" s="55"/>
      <c r="H1048" s="55"/>
      <c r="I1048" s="55"/>
      <c r="J1048" s="55"/>
      <c r="K1048" s="55"/>
      <c r="L1048" s="55"/>
      <c r="M1048" s="55"/>
      <c r="N1048" s="55"/>
      <c r="O1048" s="55"/>
      <c r="P1048" s="56"/>
      <c r="AI1048" s="49"/>
      <c r="AJ1048" s="78"/>
      <c r="AK1048" s="78"/>
      <c r="AL1048" s="78"/>
      <c r="AM1048" s="78"/>
      <c r="AN1048" s="78"/>
      <c r="AO1048" s="78"/>
      <c r="AP1048" s="78"/>
      <c r="AQ1048" s="78"/>
      <c r="AR1048" s="78"/>
      <c r="AS1048" s="78"/>
      <c r="AT1048" s="78"/>
      <c r="AU1048" s="78"/>
      <c r="AV1048" s="78"/>
      <c r="AW1048" s="78"/>
      <c r="AX1048" s="78"/>
      <c r="AY1048" s="3"/>
      <c r="AZ1048" s="81"/>
      <c r="BB1048" s="5"/>
      <c r="BC1048" s="5"/>
    </row>
    <row r="1049" spans="1:55" x14ac:dyDescent="0.25">
      <c r="A1049" s="51">
        <v>42716</v>
      </c>
      <c r="B1049" s="54"/>
      <c r="C1049" s="55"/>
      <c r="D1049" s="55"/>
      <c r="E1049" s="55"/>
      <c r="F1049" s="55"/>
      <c r="G1049" s="55"/>
      <c r="H1049" s="55"/>
      <c r="I1049" s="55"/>
      <c r="J1049" s="55"/>
      <c r="K1049" s="55"/>
      <c r="L1049" s="55"/>
      <c r="M1049" s="55"/>
      <c r="N1049" s="55"/>
      <c r="O1049" s="55"/>
      <c r="P1049" s="56"/>
      <c r="AI1049" s="49"/>
      <c r="AJ1049" s="78"/>
      <c r="AK1049" s="78"/>
      <c r="AL1049" s="78"/>
      <c r="AM1049" s="78"/>
      <c r="AN1049" s="78"/>
      <c r="AO1049" s="78"/>
      <c r="AP1049" s="78"/>
      <c r="AQ1049" s="78"/>
      <c r="AR1049" s="78"/>
      <c r="AS1049" s="78"/>
      <c r="AT1049" s="78"/>
      <c r="AU1049" s="78"/>
      <c r="AV1049" s="78"/>
      <c r="AW1049" s="78"/>
      <c r="AX1049" s="78"/>
      <c r="AY1049" s="3"/>
      <c r="AZ1049" s="81"/>
      <c r="BB1049" s="5"/>
      <c r="BC1049" s="5"/>
    </row>
    <row r="1050" spans="1:55" x14ac:dyDescent="0.25">
      <c r="A1050" s="51">
        <v>42717</v>
      </c>
      <c r="B1050" s="54"/>
      <c r="C1050" s="55"/>
      <c r="D1050" s="55"/>
      <c r="E1050" s="55"/>
      <c r="F1050" s="55"/>
      <c r="G1050" s="55"/>
      <c r="H1050" s="55"/>
      <c r="I1050" s="55"/>
      <c r="J1050" s="55"/>
      <c r="K1050" s="55"/>
      <c r="L1050" s="55"/>
      <c r="M1050" s="55"/>
      <c r="N1050" s="55"/>
      <c r="O1050" s="55"/>
      <c r="P1050" s="56"/>
      <c r="AI1050" s="49"/>
      <c r="AJ1050" s="78"/>
      <c r="AK1050" s="78"/>
      <c r="AL1050" s="78"/>
      <c r="AM1050" s="78"/>
      <c r="AN1050" s="78"/>
      <c r="AO1050" s="78"/>
      <c r="AP1050" s="78"/>
      <c r="AQ1050" s="78"/>
      <c r="AR1050" s="78"/>
      <c r="AS1050" s="78"/>
      <c r="AT1050" s="78"/>
      <c r="AU1050" s="78"/>
      <c r="AV1050" s="78"/>
      <c r="AW1050" s="78"/>
      <c r="AX1050" s="78"/>
      <c r="AY1050" s="3"/>
      <c r="AZ1050" s="81"/>
      <c r="BB1050" s="5"/>
      <c r="BC1050" s="5"/>
    </row>
    <row r="1051" spans="1:55" x14ac:dyDescent="0.25">
      <c r="A1051" s="51">
        <v>42718</v>
      </c>
      <c r="B1051" s="54"/>
      <c r="C1051" s="55"/>
      <c r="D1051" s="55"/>
      <c r="E1051" s="55"/>
      <c r="F1051" s="55"/>
      <c r="G1051" s="55"/>
      <c r="H1051" s="55"/>
      <c r="I1051" s="55"/>
      <c r="J1051" s="55"/>
      <c r="K1051" s="55"/>
      <c r="L1051" s="55"/>
      <c r="M1051" s="55"/>
      <c r="N1051" s="55"/>
      <c r="O1051" s="55"/>
      <c r="P1051" s="56"/>
      <c r="AI1051" s="49"/>
      <c r="AJ1051" s="78"/>
      <c r="AK1051" s="78"/>
      <c r="AL1051" s="78"/>
      <c r="AM1051" s="78"/>
      <c r="AN1051" s="78"/>
      <c r="AO1051" s="78"/>
      <c r="AP1051" s="78"/>
      <c r="AQ1051" s="78"/>
      <c r="AR1051" s="78"/>
      <c r="AS1051" s="78"/>
      <c r="AT1051" s="78"/>
      <c r="AU1051" s="78"/>
      <c r="AV1051" s="78"/>
      <c r="AW1051" s="78"/>
      <c r="AX1051" s="78"/>
      <c r="AY1051" s="3"/>
      <c r="AZ1051" s="81"/>
      <c r="BB1051" s="5"/>
      <c r="BC1051" s="5"/>
    </row>
    <row r="1052" spans="1:55" x14ac:dyDescent="0.25">
      <c r="A1052" s="51">
        <v>42719</v>
      </c>
      <c r="B1052" s="54"/>
      <c r="C1052" s="55"/>
      <c r="D1052" s="55"/>
      <c r="E1052" s="55"/>
      <c r="F1052" s="55"/>
      <c r="G1052" s="55"/>
      <c r="H1052" s="55"/>
      <c r="I1052" s="55"/>
      <c r="J1052" s="55"/>
      <c r="K1052" s="55"/>
      <c r="L1052" s="55"/>
      <c r="M1052" s="55"/>
      <c r="N1052" s="55"/>
      <c r="O1052" s="55"/>
      <c r="P1052" s="56"/>
      <c r="AI1052" s="49"/>
      <c r="AJ1052" s="78"/>
      <c r="AK1052" s="78"/>
      <c r="AL1052" s="78"/>
      <c r="AM1052" s="78"/>
      <c r="AN1052" s="78"/>
      <c r="AO1052" s="78"/>
      <c r="AP1052" s="78"/>
      <c r="AQ1052" s="78"/>
      <c r="AR1052" s="78"/>
      <c r="AS1052" s="78"/>
      <c r="AT1052" s="78"/>
      <c r="AU1052" s="78"/>
      <c r="AV1052" s="78"/>
      <c r="AW1052" s="78"/>
      <c r="AX1052" s="78"/>
      <c r="AY1052" s="3"/>
      <c r="AZ1052" s="81"/>
      <c r="BB1052" s="5"/>
      <c r="BC1052" s="5"/>
    </row>
    <row r="1053" spans="1:55" x14ac:dyDescent="0.25">
      <c r="A1053" s="51">
        <v>42720</v>
      </c>
      <c r="B1053" s="54"/>
      <c r="C1053" s="55"/>
      <c r="D1053" s="55"/>
      <c r="E1053" s="55"/>
      <c r="F1053" s="55"/>
      <c r="G1053" s="55"/>
      <c r="H1053" s="55"/>
      <c r="I1053" s="55"/>
      <c r="J1053" s="55"/>
      <c r="K1053" s="55"/>
      <c r="L1053" s="55"/>
      <c r="M1053" s="55"/>
      <c r="N1053" s="55"/>
      <c r="O1053" s="55"/>
      <c r="P1053" s="56"/>
      <c r="AI1053" s="49"/>
      <c r="AJ1053" s="78"/>
      <c r="AK1053" s="78"/>
      <c r="AL1053" s="78"/>
      <c r="AM1053" s="78"/>
      <c r="AN1053" s="78"/>
      <c r="AO1053" s="78"/>
      <c r="AP1053" s="78"/>
      <c r="AQ1053" s="78"/>
      <c r="AR1053" s="78"/>
      <c r="AS1053" s="78"/>
      <c r="AT1053" s="78"/>
      <c r="AU1053" s="78"/>
      <c r="AV1053" s="78"/>
      <c r="AW1053" s="78"/>
      <c r="AX1053" s="78"/>
      <c r="AY1053" s="3"/>
      <c r="AZ1053" s="81"/>
      <c r="BB1053" s="5"/>
      <c r="BC1053" s="5"/>
    </row>
    <row r="1054" spans="1:55" x14ac:dyDescent="0.25">
      <c r="A1054" s="51">
        <v>42723</v>
      </c>
      <c r="B1054" s="54"/>
      <c r="C1054" s="55"/>
      <c r="D1054" s="55"/>
      <c r="E1054" s="55"/>
      <c r="F1054" s="55"/>
      <c r="G1054" s="55"/>
      <c r="H1054" s="55"/>
      <c r="I1054" s="55"/>
      <c r="J1054" s="55"/>
      <c r="K1054" s="55"/>
      <c r="L1054" s="55"/>
      <c r="M1054" s="55"/>
      <c r="N1054" s="55"/>
      <c r="O1054" s="55"/>
      <c r="P1054" s="56"/>
      <c r="AI1054" s="49"/>
      <c r="AJ1054" s="78"/>
      <c r="AK1054" s="78"/>
      <c r="AL1054" s="78"/>
      <c r="AM1054" s="78"/>
      <c r="AN1054" s="78"/>
      <c r="AO1054" s="78"/>
      <c r="AP1054" s="78"/>
      <c r="AQ1054" s="78"/>
      <c r="AR1054" s="78"/>
      <c r="AS1054" s="78"/>
      <c r="AT1054" s="78"/>
      <c r="AU1054" s="78"/>
      <c r="AV1054" s="78"/>
      <c r="AW1054" s="78"/>
      <c r="AX1054" s="78"/>
      <c r="AY1054" s="3"/>
      <c r="AZ1054" s="81"/>
      <c r="BB1054" s="5"/>
      <c r="BC1054" s="5"/>
    </row>
    <row r="1055" spans="1:55" x14ac:dyDescent="0.25">
      <c r="A1055" s="51">
        <v>42724</v>
      </c>
      <c r="B1055" s="54"/>
      <c r="C1055" s="55"/>
      <c r="D1055" s="55"/>
      <c r="E1055" s="55"/>
      <c r="F1055" s="55"/>
      <c r="G1055" s="55"/>
      <c r="H1055" s="55"/>
      <c r="I1055" s="55"/>
      <c r="J1055" s="55"/>
      <c r="K1055" s="55"/>
      <c r="L1055" s="55"/>
      <c r="M1055" s="55"/>
      <c r="N1055" s="55"/>
      <c r="O1055" s="55"/>
      <c r="P1055" s="56"/>
      <c r="AI1055" s="49"/>
      <c r="AJ1055" s="78"/>
      <c r="AK1055" s="78"/>
      <c r="AL1055" s="78"/>
      <c r="AM1055" s="78"/>
      <c r="AN1055" s="78"/>
      <c r="AO1055" s="78"/>
      <c r="AP1055" s="78"/>
      <c r="AQ1055" s="78"/>
      <c r="AR1055" s="78"/>
      <c r="AS1055" s="78"/>
      <c r="AT1055" s="78"/>
      <c r="AU1055" s="78"/>
      <c r="AV1055" s="78"/>
      <c r="AW1055" s="78"/>
      <c r="AX1055" s="78"/>
      <c r="AY1055" s="3"/>
      <c r="AZ1055" s="81"/>
      <c r="BB1055" s="5"/>
      <c r="BC1055" s="5"/>
    </row>
    <row r="1056" spans="1:55" x14ac:dyDescent="0.25">
      <c r="A1056" s="51">
        <v>42725</v>
      </c>
      <c r="B1056" s="54"/>
      <c r="C1056" s="55"/>
      <c r="D1056" s="55"/>
      <c r="E1056" s="55"/>
      <c r="F1056" s="55"/>
      <c r="G1056" s="55"/>
      <c r="H1056" s="55"/>
      <c r="I1056" s="55"/>
      <c r="J1056" s="55"/>
      <c r="K1056" s="55"/>
      <c r="L1056" s="55"/>
      <c r="M1056" s="55"/>
      <c r="N1056" s="55"/>
      <c r="O1056" s="55"/>
      <c r="P1056" s="56"/>
      <c r="AI1056" s="49"/>
      <c r="AJ1056" s="78"/>
      <c r="AK1056" s="78"/>
      <c r="AL1056" s="78"/>
      <c r="AM1056" s="78"/>
      <c r="AN1056" s="78"/>
      <c r="AO1056" s="78"/>
      <c r="AP1056" s="78"/>
      <c r="AQ1056" s="78"/>
      <c r="AR1056" s="78"/>
      <c r="AS1056" s="78"/>
      <c r="AT1056" s="78"/>
      <c r="AU1056" s="78"/>
      <c r="AV1056" s="78"/>
      <c r="AW1056" s="78"/>
      <c r="AX1056" s="78"/>
      <c r="AY1056" s="3"/>
      <c r="AZ1056" s="81"/>
      <c r="BB1056" s="5"/>
      <c r="BC1056" s="5"/>
    </row>
    <row r="1057" spans="1:55" x14ac:dyDescent="0.25">
      <c r="A1057" s="51">
        <v>42726</v>
      </c>
      <c r="B1057" s="54"/>
      <c r="C1057" s="55"/>
      <c r="D1057" s="55"/>
      <c r="E1057" s="55"/>
      <c r="F1057" s="55"/>
      <c r="G1057" s="55"/>
      <c r="H1057" s="55"/>
      <c r="I1057" s="55"/>
      <c r="J1057" s="55"/>
      <c r="K1057" s="55"/>
      <c r="L1057" s="55"/>
      <c r="M1057" s="55"/>
      <c r="N1057" s="55"/>
      <c r="O1057" s="55"/>
      <c r="P1057" s="56"/>
      <c r="AI1057" s="49"/>
      <c r="AJ1057" s="78"/>
      <c r="AK1057" s="78"/>
      <c r="AL1057" s="78"/>
      <c r="AM1057" s="78"/>
      <c r="AN1057" s="78"/>
      <c r="AO1057" s="78"/>
      <c r="AP1057" s="78"/>
      <c r="AQ1057" s="78"/>
      <c r="AR1057" s="78"/>
      <c r="AS1057" s="78"/>
      <c r="AT1057" s="78"/>
      <c r="AU1057" s="78"/>
      <c r="AV1057" s="78"/>
      <c r="AW1057" s="78"/>
      <c r="AX1057" s="78"/>
      <c r="AY1057" s="3"/>
      <c r="AZ1057" s="81"/>
      <c r="BB1057" s="5"/>
      <c r="BC1057" s="5"/>
    </row>
    <row r="1058" spans="1:55" x14ac:dyDescent="0.25">
      <c r="A1058" s="51">
        <v>42727</v>
      </c>
      <c r="B1058" s="54"/>
      <c r="C1058" s="55"/>
      <c r="D1058" s="55"/>
      <c r="E1058" s="55"/>
      <c r="F1058" s="55"/>
      <c r="G1058" s="55"/>
      <c r="H1058" s="55"/>
      <c r="I1058" s="55"/>
      <c r="J1058" s="55"/>
      <c r="K1058" s="55"/>
      <c r="L1058" s="55"/>
      <c r="M1058" s="55"/>
      <c r="N1058" s="55"/>
      <c r="O1058" s="55"/>
      <c r="P1058" s="56"/>
      <c r="AI1058" s="49"/>
      <c r="AJ1058" s="78"/>
      <c r="AK1058" s="78"/>
      <c r="AL1058" s="78"/>
      <c r="AM1058" s="78"/>
      <c r="AN1058" s="78"/>
      <c r="AO1058" s="78"/>
      <c r="AP1058" s="78"/>
      <c r="AQ1058" s="78"/>
      <c r="AR1058" s="78"/>
      <c r="AS1058" s="78"/>
      <c r="AT1058" s="78"/>
      <c r="AU1058" s="78"/>
      <c r="AV1058" s="78"/>
      <c r="AW1058" s="78"/>
      <c r="AX1058" s="78"/>
      <c r="AY1058" s="3"/>
      <c r="AZ1058" s="81"/>
      <c r="BB1058" s="5"/>
      <c r="BC1058" s="5"/>
    </row>
    <row r="1059" spans="1:55" x14ac:dyDescent="0.25">
      <c r="A1059" s="51">
        <v>42730</v>
      </c>
      <c r="B1059" s="54"/>
      <c r="C1059" s="55"/>
      <c r="D1059" s="55"/>
      <c r="E1059" s="55"/>
      <c r="F1059" s="55"/>
      <c r="G1059" s="55"/>
      <c r="H1059" s="55"/>
      <c r="I1059" s="55"/>
      <c r="J1059" s="55"/>
      <c r="K1059" s="55"/>
      <c r="L1059" s="55"/>
      <c r="M1059" s="55"/>
      <c r="N1059" s="55"/>
      <c r="O1059" s="55"/>
      <c r="P1059" s="56"/>
      <c r="AI1059" s="49"/>
      <c r="AJ1059" s="78"/>
      <c r="AK1059" s="78"/>
      <c r="AL1059" s="78"/>
      <c r="AM1059" s="78"/>
      <c r="AN1059" s="78"/>
      <c r="AO1059" s="78"/>
      <c r="AP1059" s="78"/>
      <c r="AQ1059" s="78"/>
      <c r="AR1059" s="78"/>
      <c r="AS1059" s="78"/>
      <c r="AT1059" s="78"/>
      <c r="AU1059" s="78"/>
      <c r="AV1059" s="78"/>
      <c r="AW1059" s="78"/>
      <c r="AX1059" s="78"/>
      <c r="AY1059" s="3"/>
      <c r="AZ1059" s="81"/>
      <c r="BB1059" s="5"/>
      <c r="BC1059" s="5"/>
    </row>
    <row r="1060" spans="1:55" x14ac:dyDescent="0.25">
      <c r="A1060" s="51">
        <v>42731</v>
      </c>
      <c r="B1060" s="54"/>
      <c r="C1060" s="55"/>
      <c r="D1060" s="55"/>
      <c r="E1060" s="55"/>
      <c r="F1060" s="55"/>
      <c r="G1060" s="55"/>
      <c r="H1060" s="55"/>
      <c r="I1060" s="55"/>
      <c r="J1060" s="55"/>
      <c r="K1060" s="55"/>
      <c r="L1060" s="55"/>
      <c r="M1060" s="55"/>
      <c r="N1060" s="55"/>
      <c r="O1060" s="55"/>
      <c r="P1060" s="56"/>
      <c r="AI1060" s="49"/>
      <c r="AJ1060" s="78"/>
      <c r="AK1060" s="78"/>
      <c r="AL1060" s="78"/>
      <c r="AM1060" s="78"/>
      <c r="AN1060" s="78"/>
      <c r="AO1060" s="78"/>
      <c r="AP1060" s="78"/>
      <c r="AQ1060" s="78"/>
      <c r="AR1060" s="78"/>
      <c r="AS1060" s="78"/>
      <c r="AT1060" s="78"/>
      <c r="AU1060" s="78"/>
      <c r="AV1060" s="78"/>
      <c r="AW1060" s="78"/>
      <c r="AX1060" s="78"/>
      <c r="AY1060" s="3"/>
      <c r="AZ1060" s="81"/>
      <c r="BB1060" s="5"/>
      <c r="BC1060" s="5"/>
    </row>
    <row r="1061" spans="1:55" x14ac:dyDescent="0.25">
      <c r="A1061" s="51">
        <v>42732</v>
      </c>
      <c r="B1061" s="54"/>
      <c r="C1061" s="55"/>
      <c r="D1061" s="55"/>
      <c r="E1061" s="55"/>
      <c r="F1061" s="55"/>
      <c r="G1061" s="55"/>
      <c r="H1061" s="55"/>
      <c r="I1061" s="55"/>
      <c r="J1061" s="55"/>
      <c r="K1061" s="55"/>
      <c r="L1061" s="55"/>
      <c r="M1061" s="55"/>
      <c r="N1061" s="55"/>
      <c r="O1061" s="55"/>
      <c r="P1061" s="56"/>
      <c r="AI1061" s="49"/>
      <c r="AJ1061" s="78"/>
      <c r="AK1061" s="78"/>
      <c r="AL1061" s="78"/>
      <c r="AM1061" s="78"/>
      <c r="AN1061" s="78"/>
      <c r="AO1061" s="78"/>
      <c r="AP1061" s="78"/>
      <c r="AQ1061" s="78"/>
      <c r="AR1061" s="78"/>
      <c r="AS1061" s="78"/>
      <c r="AT1061" s="78"/>
      <c r="AU1061" s="78"/>
      <c r="AV1061" s="78"/>
      <c r="AW1061" s="78"/>
      <c r="AX1061" s="78"/>
      <c r="AY1061" s="3"/>
      <c r="AZ1061" s="81"/>
      <c r="BB1061" s="5"/>
      <c r="BC1061" s="5"/>
    </row>
    <row r="1062" spans="1:55" x14ac:dyDescent="0.25">
      <c r="A1062" s="51">
        <v>42733</v>
      </c>
      <c r="B1062" s="54"/>
      <c r="C1062" s="55"/>
      <c r="D1062" s="55"/>
      <c r="E1062" s="55"/>
      <c r="F1062" s="55"/>
      <c r="G1062" s="55"/>
      <c r="H1062" s="55"/>
      <c r="I1062" s="55"/>
      <c r="J1062" s="55"/>
      <c r="K1062" s="55"/>
      <c r="L1062" s="55"/>
      <c r="M1062" s="55"/>
      <c r="N1062" s="55"/>
      <c r="O1062" s="55"/>
      <c r="P1062" s="56"/>
      <c r="AI1062" s="49"/>
      <c r="AJ1062" s="78"/>
      <c r="AK1062" s="78"/>
      <c r="AL1062" s="78"/>
      <c r="AM1062" s="78"/>
      <c r="AN1062" s="78"/>
      <c r="AO1062" s="78"/>
      <c r="AP1062" s="78"/>
      <c r="AQ1062" s="78"/>
      <c r="AR1062" s="78"/>
      <c r="AS1062" s="78"/>
      <c r="AT1062" s="78"/>
      <c r="AU1062" s="78"/>
      <c r="AV1062" s="78"/>
      <c r="AW1062" s="78"/>
      <c r="AX1062" s="78"/>
      <c r="AY1062" s="3"/>
      <c r="AZ1062" s="81"/>
      <c r="BB1062" s="5"/>
      <c r="BC1062" s="5"/>
    </row>
    <row r="1063" spans="1:55" x14ac:dyDescent="0.25">
      <c r="A1063" s="51">
        <v>42734</v>
      </c>
      <c r="B1063" s="54"/>
      <c r="C1063" s="55"/>
      <c r="D1063" s="55"/>
      <c r="E1063" s="55"/>
      <c r="F1063" s="55"/>
      <c r="G1063" s="55"/>
      <c r="H1063" s="55"/>
      <c r="I1063" s="55"/>
      <c r="J1063" s="55"/>
      <c r="K1063" s="55"/>
      <c r="L1063" s="55"/>
      <c r="M1063" s="55"/>
      <c r="N1063" s="55"/>
      <c r="O1063" s="55"/>
      <c r="P1063" s="56"/>
      <c r="AI1063" s="49"/>
      <c r="AJ1063" s="78"/>
      <c r="AK1063" s="78"/>
      <c r="AL1063" s="78"/>
      <c r="AM1063" s="78"/>
      <c r="AN1063" s="78"/>
      <c r="AO1063" s="78"/>
      <c r="AP1063" s="78"/>
      <c r="AQ1063" s="78"/>
      <c r="AR1063" s="78"/>
      <c r="AS1063" s="78"/>
      <c r="AT1063" s="78"/>
      <c r="AU1063" s="78"/>
      <c r="AV1063" s="78"/>
      <c r="AW1063" s="78"/>
      <c r="AX1063" s="78"/>
      <c r="AY1063" s="3"/>
      <c r="AZ1063" s="81"/>
      <c r="BB1063" s="5"/>
      <c r="BC1063" s="5"/>
    </row>
    <row r="1064" spans="1:55" x14ac:dyDescent="0.25">
      <c r="A1064" s="51">
        <v>42737</v>
      </c>
      <c r="B1064" s="54"/>
      <c r="C1064" s="55"/>
      <c r="D1064" s="55"/>
      <c r="E1064" s="55"/>
      <c r="F1064" s="55"/>
      <c r="G1064" s="55"/>
      <c r="H1064" s="55"/>
      <c r="I1064" s="55"/>
      <c r="J1064" s="55"/>
      <c r="K1064" s="55"/>
      <c r="L1064" s="55"/>
      <c r="M1064" s="55"/>
      <c r="N1064" s="55"/>
      <c r="O1064" s="55"/>
      <c r="P1064" s="56"/>
      <c r="AI1064" s="49"/>
      <c r="AJ1064" s="78"/>
      <c r="AK1064" s="78"/>
      <c r="AL1064" s="78"/>
      <c r="AM1064" s="78"/>
      <c r="AN1064" s="78"/>
      <c r="AO1064" s="78"/>
      <c r="AP1064" s="78"/>
      <c r="AQ1064" s="78"/>
      <c r="AR1064" s="78"/>
      <c r="AS1064" s="78"/>
      <c r="AT1064" s="78"/>
      <c r="AU1064" s="78"/>
      <c r="AV1064" s="78"/>
      <c r="AW1064" s="78"/>
      <c r="AX1064" s="78"/>
      <c r="AY1064" s="3"/>
      <c r="AZ1064" s="81"/>
      <c r="BB1064" s="5"/>
      <c r="BC1064" s="5"/>
    </row>
    <row r="1065" spans="1:55" x14ac:dyDescent="0.25">
      <c r="A1065" s="51">
        <v>42738</v>
      </c>
      <c r="B1065" s="54"/>
      <c r="C1065" s="55"/>
      <c r="D1065" s="55"/>
      <c r="E1065" s="55"/>
      <c r="F1065" s="55"/>
      <c r="G1065" s="55"/>
      <c r="H1065" s="55"/>
      <c r="I1065" s="55"/>
      <c r="J1065" s="55"/>
      <c r="K1065" s="55"/>
      <c r="L1065" s="55"/>
      <c r="M1065" s="55"/>
      <c r="N1065" s="55"/>
      <c r="O1065" s="55"/>
      <c r="P1065" s="56"/>
      <c r="AI1065" s="49"/>
      <c r="AJ1065" s="78"/>
      <c r="AK1065" s="78"/>
      <c r="AL1065" s="78"/>
      <c r="AM1065" s="78"/>
      <c r="AN1065" s="78"/>
      <c r="AO1065" s="78"/>
      <c r="AP1065" s="78"/>
      <c r="AQ1065" s="78"/>
      <c r="AR1065" s="78"/>
      <c r="AS1065" s="78"/>
      <c r="AT1065" s="78"/>
      <c r="AU1065" s="78"/>
      <c r="AV1065" s="78"/>
      <c r="AW1065" s="78"/>
      <c r="AX1065" s="78"/>
      <c r="AY1065" s="3"/>
      <c r="AZ1065" s="81"/>
      <c r="BB1065" s="5"/>
      <c r="BC1065" s="5"/>
    </row>
    <row r="1066" spans="1:55" x14ac:dyDescent="0.25">
      <c r="A1066" s="51">
        <v>42739</v>
      </c>
      <c r="B1066" s="54"/>
      <c r="C1066" s="55"/>
      <c r="D1066" s="55"/>
      <c r="E1066" s="55"/>
      <c r="F1066" s="55"/>
      <c r="G1066" s="55"/>
      <c r="H1066" s="55"/>
      <c r="I1066" s="55"/>
      <c r="J1066" s="55"/>
      <c r="K1066" s="55"/>
      <c r="L1066" s="55"/>
      <c r="M1066" s="55"/>
      <c r="N1066" s="55"/>
      <c r="O1066" s="55"/>
      <c r="P1066" s="56"/>
      <c r="AI1066" s="49"/>
      <c r="AJ1066" s="78"/>
      <c r="AK1066" s="78"/>
      <c r="AL1066" s="78"/>
      <c r="AM1066" s="78"/>
      <c r="AN1066" s="78"/>
      <c r="AO1066" s="78"/>
      <c r="AP1066" s="78"/>
      <c r="AQ1066" s="78"/>
      <c r="AR1066" s="78"/>
      <c r="AS1066" s="78"/>
      <c r="AT1066" s="78"/>
      <c r="AU1066" s="78"/>
      <c r="AV1066" s="78"/>
      <c r="AW1066" s="78"/>
      <c r="AX1066" s="78"/>
      <c r="AY1066" s="3"/>
      <c r="AZ1066" s="81"/>
      <c r="BB1066" s="5"/>
      <c r="BC1066" s="5"/>
    </row>
    <row r="1067" spans="1:55" x14ac:dyDescent="0.25">
      <c r="A1067" s="51">
        <v>42740</v>
      </c>
      <c r="B1067" s="54"/>
      <c r="C1067" s="55"/>
      <c r="D1067" s="55"/>
      <c r="E1067" s="55"/>
      <c r="F1067" s="55"/>
      <c r="G1067" s="55"/>
      <c r="H1067" s="55"/>
      <c r="I1067" s="55"/>
      <c r="J1067" s="55"/>
      <c r="K1067" s="55"/>
      <c r="L1067" s="55"/>
      <c r="M1067" s="55"/>
      <c r="N1067" s="55"/>
      <c r="O1067" s="55"/>
      <c r="P1067" s="56"/>
      <c r="AI1067" s="49"/>
      <c r="AJ1067" s="78"/>
      <c r="AK1067" s="78"/>
      <c r="AL1067" s="78"/>
      <c r="AM1067" s="78"/>
      <c r="AN1067" s="78"/>
      <c r="AO1067" s="78"/>
      <c r="AP1067" s="78"/>
      <c r="AQ1067" s="78"/>
      <c r="AR1067" s="78"/>
      <c r="AS1067" s="78"/>
      <c r="AT1067" s="78"/>
      <c r="AU1067" s="78"/>
      <c r="AV1067" s="78"/>
      <c r="AW1067" s="78"/>
      <c r="AX1067" s="78"/>
      <c r="AY1067" s="3"/>
      <c r="AZ1067" s="81"/>
      <c r="BB1067" s="5"/>
      <c r="BC1067" s="5"/>
    </row>
    <row r="1068" spans="1:55" x14ac:dyDescent="0.25">
      <c r="A1068" s="51">
        <v>42741</v>
      </c>
      <c r="B1068" s="54"/>
      <c r="C1068" s="55"/>
      <c r="D1068" s="55"/>
      <c r="E1068" s="55"/>
      <c r="F1068" s="55"/>
      <c r="G1068" s="55"/>
      <c r="H1068" s="55"/>
      <c r="I1068" s="55"/>
      <c r="J1068" s="55"/>
      <c r="K1068" s="55"/>
      <c r="L1068" s="55"/>
      <c r="M1068" s="55"/>
      <c r="N1068" s="55"/>
      <c r="O1068" s="55"/>
      <c r="P1068" s="56"/>
      <c r="AI1068" s="49"/>
      <c r="AJ1068" s="78"/>
      <c r="AK1068" s="78"/>
      <c r="AL1068" s="78"/>
      <c r="AM1068" s="78"/>
      <c r="AN1068" s="78"/>
      <c r="AO1068" s="78"/>
      <c r="AP1068" s="78"/>
      <c r="AQ1068" s="78"/>
      <c r="AR1068" s="78"/>
      <c r="AS1068" s="78"/>
      <c r="AT1068" s="78"/>
      <c r="AU1068" s="78"/>
      <c r="AV1068" s="78"/>
      <c r="AW1068" s="78"/>
      <c r="AX1068" s="78"/>
      <c r="AY1068" s="3"/>
      <c r="AZ1068" s="81"/>
      <c r="BB1068" s="5"/>
      <c r="BC1068" s="5"/>
    </row>
    <row r="1069" spans="1:55" x14ac:dyDescent="0.25">
      <c r="A1069" s="51">
        <v>42744</v>
      </c>
      <c r="B1069" s="54"/>
      <c r="C1069" s="55"/>
      <c r="D1069" s="55"/>
      <c r="E1069" s="55"/>
      <c r="F1069" s="55"/>
      <c r="G1069" s="55"/>
      <c r="H1069" s="55"/>
      <c r="I1069" s="55"/>
      <c r="J1069" s="55"/>
      <c r="K1069" s="55"/>
      <c r="L1069" s="55"/>
      <c r="M1069" s="55"/>
      <c r="N1069" s="55"/>
      <c r="O1069" s="55"/>
      <c r="P1069" s="56"/>
      <c r="AI1069" s="49"/>
      <c r="AJ1069" s="78"/>
      <c r="AK1069" s="78"/>
      <c r="AL1069" s="78"/>
      <c r="AM1069" s="78"/>
      <c r="AN1069" s="78"/>
      <c r="AO1069" s="78"/>
      <c r="AP1069" s="78"/>
      <c r="AQ1069" s="78"/>
      <c r="AR1069" s="78"/>
      <c r="AS1069" s="78"/>
      <c r="AT1069" s="78"/>
      <c r="AU1069" s="78"/>
      <c r="AV1069" s="78"/>
      <c r="AW1069" s="78"/>
      <c r="AX1069" s="78"/>
      <c r="AY1069" s="3"/>
      <c r="AZ1069" s="81"/>
      <c r="BB1069" s="5"/>
      <c r="BC1069" s="5"/>
    </row>
    <row r="1070" spans="1:55" x14ac:dyDescent="0.25">
      <c r="A1070" s="51">
        <v>42745</v>
      </c>
      <c r="B1070" s="54"/>
      <c r="C1070" s="55"/>
      <c r="D1070" s="55"/>
      <c r="E1070" s="55"/>
      <c r="F1070" s="55"/>
      <c r="G1070" s="55"/>
      <c r="H1070" s="55"/>
      <c r="I1070" s="55"/>
      <c r="J1070" s="55"/>
      <c r="K1070" s="55"/>
      <c r="L1070" s="55"/>
      <c r="M1070" s="55"/>
      <c r="N1070" s="55"/>
      <c r="O1070" s="55"/>
      <c r="P1070" s="56"/>
      <c r="AI1070" s="49"/>
      <c r="AJ1070" s="78"/>
      <c r="AK1070" s="78"/>
      <c r="AL1070" s="78"/>
      <c r="AM1070" s="78"/>
      <c r="AN1070" s="78"/>
      <c r="AO1070" s="78"/>
      <c r="AP1070" s="78"/>
      <c r="AQ1070" s="78"/>
      <c r="AR1070" s="78"/>
      <c r="AS1070" s="78"/>
      <c r="AT1070" s="78"/>
      <c r="AU1070" s="78"/>
      <c r="AV1070" s="78"/>
      <c r="AW1070" s="78"/>
      <c r="AX1070" s="78"/>
      <c r="AY1070" s="3"/>
      <c r="AZ1070" s="81"/>
      <c r="BB1070" s="5"/>
      <c r="BC1070" s="5"/>
    </row>
    <row r="1071" spans="1:55" x14ac:dyDescent="0.25">
      <c r="A1071" s="51">
        <v>42746</v>
      </c>
      <c r="B1071" s="54"/>
      <c r="C1071" s="55"/>
      <c r="D1071" s="55"/>
      <c r="E1071" s="55"/>
      <c r="F1071" s="55"/>
      <c r="G1071" s="55"/>
      <c r="H1071" s="55"/>
      <c r="I1071" s="55"/>
      <c r="J1071" s="55"/>
      <c r="K1071" s="55"/>
      <c r="L1071" s="55"/>
      <c r="M1071" s="55"/>
      <c r="N1071" s="55"/>
      <c r="O1071" s="55"/>
      <c r="P1071" s="56"/>
      <c r="AI1071" s="49"/>
      <c r="AJ1071" s="78"/>
      <c r="AK1071" s="78"/>
      <c r="AL1071" s="78"/>
      <c r="AM1071" s="78"/>
      <c r="AN1071" s="78"/>
      <c r="AO1071" s="78"/>
      <c r="AP1071" s="78"/>
      <c r="AQ1071" s="78"/>
      <c r="AR1071" s="78"/>
      <c r="AS1071" s="78"/>
      <c r="AT1071" s="78"/>
      <c r="AU1071" s="78"/>
      <c r="AV1071" s="78"/>
      <c r="AW1071" s="78"/>
      <c r="AX1071" s="78"/>
      <c r="AY1071" s="3"/>
      <c r="AZ1071" s="81"/>
      <c r="BB1071" s="5"/>
      <c r="BC1071" s="5"/>
    </row>
    <row r="1072" spans="1:55" x14ac:dyDescent="0.25">
      <c r="A1072" s="51">
        <v>42747</v>
      </c>
      <c r="B1072" s="54"/>
      <c r="C1072" s="55"/>
      <c r="D1072" s="55"/>
      <c r="E1072" s="55"/>
      <c r="F1072" s="55"/>
      <c r="G1072" s="55"/>
      <c r="H1072" s="55"/>
      <c r="I1072" s="55"/>
      <c r="J1072" s="55"/>
      <c r="K1072" s="55"/>
      <c r="L1072" s="55"/>
      <c r="M1072" s="55"/>
      <c r="N1072" s="55"/>
      <c r="O1072" s="55"/>
      <c r="P1072" s="56"/>
      <c r="AI1072" s="49"/>
      <c r="AJ1072" s="78"/>
      <c r="AK1072" s="78"/>
      <c r="AL1072" s="78"/>
      <c r="AM1072" s="78"/>
      <c r="AN1072" s="78"/>
      <c r="AO1072" s="78"/>
      <c r="AP1072" s="78"/>
      <c r="AQ1072" s="78"/>
      <c r="AR1072" s="78"/>
      <c r="AS1072" s="78"/>
      <c r="AT1072" s="78"/>
      <c r="AU1072" s="78"/>
      <c r="AV1072" s="78"/>
      <c r="AW1072" s="78"/>
      <c r="AX1072" s="78"/>
      <c r="AY1072" s="3"/>
      <c r="AZ1072" s="81"/>
      <c r="BB1072" s="5"/>
      <c r="BC1072" s="5"/>
    </row>
    <row r="1073" spans="1:55" x14ac:dyDescent="0.25">
      <c r="A1073" s="51">
        <v>42748</v>
      </c>
      <c r="B1073" s="54"/>
      <c r="C1073" s="55"/>
      <c r="D1073" s="55"/>
      <c r="E1073" s="55"/>
      <c r="F1073" s="55"/>
      <c r="G1073" s="55"/>
      <c r="H1073" s="55"/>
      <c r="I1073" s="55"/>
      <c r="J1073" s="55"/>
      <c r="K1073" s="55"/>
      <c r="L1073" s="55"/>
      <c r="M1073" s="55"/>
      <c r="N1073" s="55"/>
      <c r="O1073" s="55"/>
      <c r="P1073" s="56"/>
      <c r="AI1073" s="49"/>
      <c r="AJ1073" s="78"/>
      <c r="AK1073" s="78"/>
      <c r="AL1073" s="78"/>
      <c r="AM1073" s="78"/>
      <c r="AN1073" s="78"/>
      <c r="AO1073" s="78"/>
      <c r="AP1073" s="78"/>
      <c r="AQ1073" s="78"/>
      <c r="AR1073" s="78"/>
      <c r="AS1073" s="78"/>
      <c r="AT1073" s="78"/>
      <c r="AU1073" s="78"/>
      <c r="AV1073" s="78"/>
      <c r="AW1073" s="78"/>
      <c r="AX1073" s="78"/>
      <c r="AY1073" s="3"/>
      <c r="AZ1073" s="81"/>
      <c r="BB1073" s="5"/>
      <c r="BC1073" s="5"/>
    </row>
    <row r="1074" spans="1:55" x14ac:dyDescent="0.25">
      <c r="A1074" s="51">
        <v>42751</v>
      </c>
      <c r="B1074" s="54"/>
      <c r="C1074" s="55"/>
      <c r="D1074" s="55"/>
      <c r="E1074" s="55"/>
      <c r="F1074" s="55"/>
      <c r="G1074" s="55"/>
      <c r="H1074" s="55"/>
      <c r="I1074" s="55"/>
      <c r="J1074" s="55"/>
      <c r="K1074" s="55"/>
      <c r="L1074" s="55"/>
      <c r="M1074" s="55"/>
      <c r="N1074" s="55"/>
      <c r="O1074" s="55"/>
      <c r="P1074" s="56"/>
      <c r="AI1074" s="49"/>
      <c r="AJ1074" s="78"/>
      <c r="AK1074" s="78"/>
      <c r="AL1074" s="78"/>
      <c r="AM1074" s="78"/>
      <c r="AN1074" s="78"/>
      <c r="AO1074" s="78"/>
      <c r="AP1074" s="78"/>
      <c r="AQ1074" s="78"/>
      <c r="AR1074" s="78"/>
      <c r="AS1074" s="78"/>
      <c r="AT1074" s="78"/>
      <c r="AU1074" s="78"/>
      <c r="AV1074" s="78"/>
      <c r="AW1074" s="78"/>
      <c r="AX1074" s="78"/>
      <c r="AY1074" s="3"/>
      <c r="AZ1074" s="81"/>
      <c r="BB1074" s="5"/>
      <c r="BC1074" s="5"/>
    </row>
    <row r="1075" spans="1:55" x14ac:dyDescent="0.25">
      <c r="A1075" s="51">
        <v>42752</v>
      </c>
      <c r="B1075" s="54"/>
      <c r="C1075" s="55"/>
      <c r="D1075" s="55"/>
      <c r="E1075" s="55"/>
      <c r="F1075" s="55"/>
      <c r="G1075" s="55"/>
      <c r="H1075" s="55"/>
      <c r="I1075" s="55"/>
      <c r="J1075" s="55"/>
      <c r="K1075" s="55"/>
      <c r="L1075" s="55"/>
      <c r="M1075" s="55"/>
      <c r="N1075" s="55"/>
      <c r="O1075" s="55"/>
      <c r="P1075" s="56"/>
      <c r="AI1075" s="49"/>
      <c r="AJ1075" s="78"/>
      <c r="AK1075" s="78"/>
      <c r="AL1075" s="78"/>
      <c r="AM1075" s="78"/>
      <c r="AN1075" s="78"/>
      <c r="AO1075" s="78"/>
      <c r="AP1075" s="78"/>
      <c r="AQ1075" s="78"/>
      <c r="AR1075" s="78"/>
      <c r="AS1075" s="78"/>
      <c r="AT1075" s="78"/>
      <c r="AU1075" s="78"/>
      <c r="AV1075" s="78"/>
      <c r="AW1075" s="78"/>
      <c r="AX1075" s="78"/>
      <c r="AY1075" s="3"/>
      <c r="AZ1075" s="81"/>
      <c r="BB1075" s="5"/>
      <c r="BC1075" s="5"/>
    </row>
    <row r="1076" spans="1:55" x14ac:dyDescent="0.25">
      <c r="A1076" s="51">
        <v>42753</v>
      </c>
      <c r="B1076" s="54"/>
      <c r="C1076" s="55"/>
      <c r="D1076" s="55"/>
      <c r="E1076" s="55"/>
      <c r="F1076" s="55"/>
      <c r="G1076" s="55"/>
      <c r="H1076" s="55"/>
      <c r="I1076" s="55"/>
      <c r="J1076" s="55"/>
      <c r="K1076" s="55"/>
      <c r="L1076" s="55"/>
      <c r="M1076" s="55"/>
      <c r="N1076" s="55"/>
      <c r="O1076" s="55"/>
      <c r="P1076" s="56"/>
      <c r="AI1076" s="49"/>
      <c r="AJ1076" s="78"/>
      <c r="AK1076" s="78"/>
      <c r="AL1076" s="78"/>
      <c r="AM1076" s="78"/>
      <c r="AN1076" s="78"/>
      <c r="AO1076" s="78"/>
      <c r="AP1076" s="78"/>
      <c r="AQ1076" s="78"/>
      <c r="AR1076" s="78"/>
      <c r="AS1076" s="78"/>
      <c r="AT1076" s="78"/>
      <c r="AU1076" s="78"/>
      <c r="AV1076" s="78"/>
      <c r="AW1076" s="78"/>
      <c r="AX1076" s="78"/>
      <c r="AY1076" s="3"/>
      <c r="AZ1076" s="81"/>
      <c r="BB1076" s="5"/>
      <c r="BC1076" s="5"/>
    </row>
    <row r="1077" spans="1:55" x14ac:dyDescent="0.25">
      <c r="A1077" s="51">
        <v>42754</v>
      </c>
      <c r="B1077" s="54"/>
      <c r="C1077" s="55"/>
      <c r="D1077" s="55"/>
      <c r="E1077" s="55"/>
      <c r="F1077" s="55"/>
      <c r="G1077" s="55"/>
      <c r="H1077" s="55"/>
      <c r="I1077" s="55"/>
      <c r="J1077" s="55"/>
      <c r="K1077" s="55"/>
      <c r="L1077" s="55"/>
      <c r="M1077" s="55"/>
      <c r="N1077" s="55"/>
      <c r="O1077" s="55"/>
      <c r="P1077" s="56"/>
      <c r="AI1077" s="49"/>
      <c r="AJ1077" s="78"/>
      <c r="AK1077" s="78"/>
      <c r="AL1077" s="78"/>
      <c r="AM1077" s="78"/>
      <c r="AN1077" s="78"/>
      <c r="AO1077" s="78"/>
      <c r="AP1077" s="78"/>
      <c r="AQ1077" s="78"/>
      <c r="AR1077" s="78"/>
      <c r="AS1077" s="78"/>
      <c r="AT1077" s="78"/>
      <c r="AU1077" s="78"/>
      <c r="AV1077" s="78"/>
      <c r="AW1077" s="78"/>
      <c r="AX1077" s="78"/>
      <c r="AY1077" s="3"/>
      <c r="AZ1077" s="81"/>
      <c r="BB1077" s="5"/>
      <c r="BC1077" s="5"/>
    </row>
    <row r="1078" spans="1:55" x14ac:dyDescent="0.25">
      <c r="A1078" s="51">
        <v>42755</v>
      </c>
      <c r="B1078" s="54"/>
      <c r="C1078" s="55"/>
      <c r="D1078" s="55"/>
      <c r="E1078" s="55"/>
      <c r="F1078" s="55"/>
      <c r="G1078" s="55"/>
      <c r="H1078" s="55"/>
      <c r="I1078" s="55"/>
      <c r="J1078" s="55"/>
      <c r="K1078" s="55"/>
      <c r="L1078" s="55"/>
      <c r="M1078" s="55"/>
      <c r="N1078" s="55"/>
      <c r="O1078" s="55"/>
      <c r="P1078" s="56"/>
      <c r="AI1078" s="49"/>
      <c r="AJ1078" s="78"/>
      <c r="AK1078" s="78"/>
      <c r="AL1078" s="78"/>
      <c r="AM1078" s="78"/>
      <c r="AN1078" s="78"/>
      <c r="AO1078" s="78"/>
      <c r="AP1078" s="78"/>
      <c r="AQ1078" s="78"/>
      <c r="AR1078" s="78"/>
      <c r="AS1078" s="78"/>
      <c r="AT1078" s="78"/>
      <c r="AU1078" s="78"/>
      <c r="AV1078" s="78"/>
      <c r="AW1078" s="78"/>
      <c r="AX1078" s="78"/>
      <c r="AY1078" s="3"/>
      <c r="AZ1078" s="81"/>
      <c r="BB1078" s="5"/>
      <c r="BC1078" s="5"/>
    </row>
    <row r="1079" spans="1:55" x14ac:dyDescent="0.25">
      <c r="A1079" s="51">
        <v>42758</v>
      </c>
      <c r="B1079" s="54"/>
      <c r="C1079" s="55"/>
      <c r="D1079" s="55"/>
      <c r="E1079" s="55"/>
      <c r="F1079" s="55"/>
      <c r="G1079" s="55"/>
      <c r="H1079" s="55"/>
      <c r="I1079" s="55"/>
      <c r="J1079" s="55"/>
      <c r="K1079" s="55"/>
      <c r="L1079" s="55"/>
      <c r="M1079" s="55"/>
      <c r="N1079" s="55"/>
      <c r="O1079" s="55"/>
      <c r="P1079" s="56"/>
      <c r="AI1079" s="49"/>
      <c r="AJ1079" s="78"/>
      <c r="AK1079" s="78"/>
      <c r="AL1079" s="78"/>
      <c r="AM1079" s="78"/>
      <c r="AN1079" s="78"/>
      <c r="AO1079" s="78"/>
      <c r="AP1079" s="78"/>
      <c r="AQ1079" s="78"/>
      <c r="AR1079" s="78"/>
      <c r="AS1079" s="78"/>
      <c r="AT1079" s="78"/>
      <c r="AU1079" s="78"/>
      <c r="AV1079" s="78"/>
      <c r="AW1079" s="78"/>
      <c r="AX1079" s="78"/>
      <c r="AY1079" s="3"/>
      <c r="AZ1079" s="81"/>
      <c r="BB1079" s="5"/>
      <c r="BC1079" s="5"/>
    </row>
    <row r="1080" spans="1:55" x14ac:dyDescent="0.25">
      <c r="A1080" s="51">
        <v>42759</v>
      </c>
      <c r="B1080" s="54"/>
      <c r="C1080" s="55"/>
      <c r="D1080" s="55"/>
      <c r="E1080" s="55"/>
      <c r="F1080" s="55"/>
      <c r="G1080" s="55"/>
      <c r="H1080" s="55"/>
      <c r="I1080" s="55"/>
      <c r="J1080" s="55"/>
      <c r="K1080" s="55"/>
      <c r="L1080" s="55"/>
      <c r="M1080" s="55"/>
      <c r="N1080" s="55"/>
      <c r="O1080" s="55"/>
      <c r="P1080" s="56"/>
      <c r="AI1080" s="49"/>
      <c r="AJ1080" s="78"/>
      <c r="AK1080" s="78"/>
      <c r="AL1080" s="78"/>
      <c r="AM1080" s="78"/>
      <c r="AN1080" s="78"/>
      <c r="AO1080" s="78"/>
      <c r="AP1080" s="78"/>
      <c r="AQ1080" s="78"/>
      <c r="AR1080" s="78"/>
      <c r="AS1080" s="78"/>
      <c r="AT1080" s="78"/>
      <c r="AU1080" s="78"/>
      <c r="AV1080" s="78"/>
      <c r="AW1080" s="78"/>
      <c r="AX1080" s="78"/>
      <c r="AY1080" s="3"/>
      <c r="AZ1080" s="81"/>
      <c r="BB1080" s="5"/>
      <c r="BC1080" s="5"/>
    </row>
    <row r="1081" spans="1:55" x14ac:dyDescent="0.25">
      <c r="A1081" s="51">
        <v>42760</v>
      </c>
      <c r="B1081" s="54"/>
      <c r="C1081" s="55"/>
      <c r="D1081" s="55"/>
      <c r="E1081" s="55"/>
      <c r="F1081" s="55"/>
      <c r="G1081" s="55"/>
      <c r="H1081" s="55"/>
      <c r="I1081" s="55"/>
      <c r="J1081" s="55"/>
      <c r="K1081" s="55"/>
      <c r="L1081" s="55"/>
      <c r="M1081" s="55"/>
      <c r="N1081" s="55"/>
      <c r="O1081" s="55"/>
      <c r="P1081" s="56"/>
      <c r="AI1081" s="49"/>
      <c r="AJ1081" s="78"/>
      <c r="AK1081" s="78"/>
      <c r="AL1081" s="78"/>
      <c r="AM1081" s="78"/>
      <c r="AN1081" s="78"/>
      <c r="AO1081" s="78"/>
      <c r="AP1081" s="78"/>
      <c r="AQ1081" s="78"/>
      <c r="AR1081" s="78"/>
      <c r="AS1081" s="78"/>
      <c r="AT1081" s="78"/>
      <c r="AU1081" s="78"/>
      <c r="AV1081" s="78"/>
      <c r="AW1081" s="78"/>
      <c r="AX1081" s="78"/>
      <c r="AY1081" s="3"/>
      <c r="AZ1081" s="81"/>
      <c r="BB1081" s="5"/>
      <c r="BC1081" s="5"/>
    </row>
    <row r="1082" spans="1:55" x14ac:dyDescent="0.25">
      <c r="A1082" s="51">
        <v>42761</v>
      </c>
      <c r="B1082" s="54"/>
      <c r="C1082" s="55"/>
      <c r="D1082" s="55"/>
      <c r="E1082" s="55"/>
      <c r="F1082" s="55"/>
      <c r="G1082" s="55"/>
      <c r="H1082" s="55"/>
      <c r="I1082" s="55"/>
      <c r="J1082" s="55"/>
      <c r="K1082" s="55"/>
      <c r="L1082" s="55"/>
      <c r="M1082" s="55"/>
      <c r="N1082" s="55"/>
      <c r="O1082" s="55"/>
      <c r="P1082" s="56"/>
      <c r="AI1082" s="49"/>
      <c r="AJ1082" s="78"/>
      <c r="AK1082" s="78"/>
      <c r="AL1082" s="78"/>
      <c r="AM1082" s="78"/>
      <c r="AN1082" s="78"/>
      <c r="AO1082" s="78"/>
      <c r="AP1082" s="78"/>
      <c r="AQ1082" s="78"/>
      <c r="AR1082" s="78"/>
      <c r="AS1082" s="78"/>
      <c r="AT1082" s="78"/>
      <c r="AU1082" s="78"/>
      <c r="AV1082" s="78"/>
      <c r="AW1082" s="78"/>
      <c r="AX1082" s="78"/>
      <c r="AY1082" s="3"/>
      <c r="AZ1082" s="81"/>
      <c r="BB1082" s="5"/>
      <c r="BC1082" s="5"/>
    </row>
    <row r="1083" spans="1:55" x14ac:dyDescent="0.25">
      <c r="A1083" s="51">
        <v>42762</v>
      </c>
      <c r="B1083" s="54"/>
      <c r="C1083" s="55"/>
      <c r="D1083" s="55"/>
      <c r="E1083" s="55"/>
      <c r="F1083" s="55"/>
      <c r="G1083" s="55"/>
      <c r="H1083" s="55"/>
      <c r="I1083" s="55"/>
      <c r="J1083" s="55"/>
      <c r="K1083" s="55"/>
      <c r="L1083" s="55"/>
      <c r="M1083" s="55"/>
      <c r="N1083" s="55"/>
      <c r="O1083" s="55"/>
      <c r="P1083" s="56"/>
      <c r="AI1083" s="49"/>
      <c r="AJ1083" s="78"/>
      <c r="AK1083" s="78"/>
      <c r="AL1083" s="78"/>
      <c r="AM1083" s="78"/>
      <c r="AN1083" s="78"/>
      <c r="AO1083" s="78"/>
      <c r="AP1083" s="78"/>
      <c r="AQ1083" s="78"/>
      <c r="AR1083" s="78"/>
      <c r="AS1083" s="78"/>
      <c r="AT1083" s="78"/>
      <c r="AU1083" s="78"/>
      <c r="AV1083" s="78"/>
      <c r="AW1083" s="78"/>
      <c r="AX1083" s="78"/>
      <c r="AY1083" s="3"/>
      <c r="AZ1083" s="81"/>
      <c r="BB1083" s="5"/>
      <c r="BC1083" s="5"/>
    </row>
    <row r="1084" spans="1:55" x14ac:dyDescent="0.25">
      <c r="A1084" s="51">
        <v>42765</v>
      </c>
      <c r="B1084" s="54"/>
      <c r="C1084" s="55"/>
      <c r="D1084" s="55"/>
      <c r="E1084" s="55"/>
      <c r="F1084" s="55"/>
      <c r="G1084" s="55"/>
      <c r="H1084" s="55"/>
      <c r="I1084" s="55"/>
      <c r="J1084" s="55"/>
      <c r="K1084" s="55"/>
      <c r="L1084" s="55"/>
      <c r="M1084" s="55"/>
      <c r="N1084" s="55"/>
      <c r="O1084" s="55"/>
      <c r="P1084" s="56"/>
      <c r="AI1084" s="49"/>
      <c r="AJ1084" s="78"/>
      <c r="AK1084" s="78"/>
      <c r="AL1084" s="78"/>
      <c r="AM1084" s="78"/>
      <c r="AN1084" s="78"/>
      <c r="AO1084" s="78"/>
      <c r="AP1084" s="78"/>
      <c r="AQ1084" s="78"/>
      <c r="AR1084" s="78"/>
      <c r="AS1084" s="78"/>
      <c r="AT1084" s="78"/>
      <c r="AU1084" s="78"/>
      <c r="AV1084" s="78"/>
      <c r="AW1084" s="78"/>
      <c r="AX1084" s="78"/>
      <c r="AY1084" s="3"/>
      <c r="AZ1084" s="81"/>
      <c r="BB1084" s="5"/>
      <c r="BC1084" s="5"/>
    </row>
    <row r="1085" spans="1:55" x14ac:dyDescent="0.25">
      <c r="A1085" s="51">
        <v>42766</v>
      </c>
      <c r="B1085" s="54"/>
      <c r="C1085" s="55"/>
      <c r="D1085" s="55"/>
      <c r="E1085" s="55"/>
      <c r="F1085" s="55"/>
      <c r="G1085" s="55"/>
      <c r="H1085" s="55"/>
      <c r="I1085" s="55"/>
      <c r="J1085" s="55"/>
      <c r="K1085" s="55"/>
      <c r="L1085" s="55"/>
      <c r="M1085" s="55"/>
      <c r="N1085" s="55"/>
      <c r="O1085" s="55"/>
      <c r="P1085" s="56"/>
      <c r="AI1085" s="49"/>
      <c r="AJ1085" s="78"/>
      <c r="AK1085" s="78"/>
      <c r="AL1085" s="78"/>
      <c r="AM1085" s="78"/>
      <c r="AN1085" s="78"/>
      <c r="AO1085" s="78"/>
      <c r="AP1085" s="78"/>
      <c r="AQ1085" s="78"/>
      <c r="AR1085" s="78"/>
      <c r="AS1085" s="78"/>
      <c r="AT1085" s="78"/>
      <c r="AU1085" s="78"/>
      <c r="AV1085" s="78"/>
      <c r="AW1085" s="78"/>
      <c r="AX1085" s="78"/>
      <c r="AY1085" s="3"/>
      <c r="AZ1085" s="81"/>
      <c r="BB1085" s="5"/>
      <c r="BC1085" s="5"/>
    </row>
    <row r="1086" spans="1:55" x14ac:dyDescent="0.25">
      <c r="A1086" s="51">
        <v>42767</v>
      </c>
      <c r="B1086" s="54"/>
      <c r="C1086" s="55"/>
      <c r="D1086" s="55"/>
      <c r="E1086" s="55"/>
      <c r="F1086" s="55"/>
      <c r="G1086" s="55"/>
      <c r="H1086" s="55"/>
      <c r="I1086" s="55"/>
      <c r="J1086" s="55"/>
      <c r="K1086" s="55"/>
      <c r="L1086" s="55"/>
      <c r="M1086" s="55"/>
      <c r="N1086" s="55"/>
      <c r="O1086" s="55"/>
      <c r="P1086" s="56"/>
      <c r="AI1086" s="49"/>
      <c r="AJ1086" s="78"/>
      <c r="AK1086" s="78"/>
      <c r="AL1086" s="78"/>
      <c r="AM1086" s="78"/>
      <c r="AN1086" s="78"/>
      <c r="AO1086" s="78"/>
      <c r="AP1086" s="78"/>
      <c r="AQ1086" s="78"/>
      <c r="AR1086" s="78"/>
      <c r="AS1086" s="78"/>
      <c r="AT1086" s="78"/>
      <c r="AU1086" s="78"/>
      <c r="AV1086" s="78"/>
      <c r="AW1086" s="78"/>
      <c r="AX1086" s="78"/>
      <c r="AY1086" s="3"/>
      <c r="AZ1086" s="81"/>
      <c r="BB1086" s="5"/>
      <c r="BC1086" s="5"/>
    </row>
    <row r="1087" spans="1:55" x14ac:dyDescent="0.25">
      <c r="A1087" s="51">
        <v>42768</v>
      </c>
      <c r="B1087" s="54"/>
      <c r="C1087" s="55"/>
      <c r="D1087" s="55"/>
      <c r="E1087" s="55"/>
      <c r="F1087" s="55"/>
      <c r="G1087" s="55"/>
      <c r="H1087" s="55"/>
      <c r="I1087" s="55"/>
      <c r="J1087" s="55"/>
      <c r="K1087" s="55"/>
      <c r="L1087" s="55"/>
      <c r="M1087" s="55"/>
      <c r="N1087" s="55"/>
      <c r="O1087" s="55"/>
      <c r="P1087" s="56"/>
      <c r="AI1087" s="49"/>
      <c r="AJ1087" s="78"/>
      <c r="AK1087" s="78"/>
      <c r="AL1087" s="78"/>
      <c r="AM1087" s="78"/>
      <c r="AN1087" s="78"/>
      <c r="AO1087" s="78"/>
      <c r="AP1087" s="78"/>
      <c r="AQ1087" s="78"/>
      <c r="AR1087" s="78"/>
      <c r="AS1087" s="78"/>
      <c r="AT1087" s="78"/>
      <c r="AU1087" s="78"/>
      <c r="AV1087" s="78"/>
      <c r="AW1087" s="78"/>
      <c r="AX1087" s="78"/>
      <c r="AY1087" s="3"/>
      <c r="AZ1087" s="81"/>
      <c r="BB1087" s="5"/>
      <c r="BC1087" s="5"/>
    </row>
    <row r="1088" spans="1:55" x14ac:dyDescent="0.25">
      <c r="A1088" s="51">
        <v>42769</v>
      </c>
      <c r="B1088" s="54"/>
      <c r="C1088" s="55"/>
      <c r="D1088" s="55"/>
      <c r="E1088" s="55"/>
      <c r="F1088" s="55"/>
      <c r="G1088" s="55"/>
      <c r="H1088" s="55"/>
      <c r="I1088" s="55"/>
      <c r="J1088" s="55"/>
      <c r="K1088" s="55"/>
      <c r="L1088" s="55"/>
      <c r="M1088" s="55"/>
      <c r="N1088" s="55"/>
      <c r="O1088" s="55"/>
      <c r="P1088" s="56"/>
      <c r="AI1088" s="49"/>
      <c r="AJ1088" s="78"/>
      <c r="AK1088" s="78"/>
      <c r="AL1088" s="78"/>
      <c r="AM1088" s="78"/>
      <c r="AN1088" s="78"/>
      <c r="AO1088" s="78"/>
      <c r="AP1088" s="78"/>
      <c r="AQ1088" s="78"/>
      <c r="AR1088" s="78"/>
      <c r="AS1088" s="78"/>
      <c r="AT1088" s="78"/>
      <c r="AU1088" s="78"/>
      <c r="AV1088" s="78"/>
      <c r="AW1088" s="78"/>
      <c r="AX1088" s="78"/>
      <c r="AY1088" s="3"/>
      <c r="AZ1088" s="81"/>
      <c r="BB1088" s="5"/>
      <c r="BC1088" s="5"/>
    </row>
    <row r="1089" spans="1:55" x14ac:dyDescent="0.25">
      <c r="A1089" s="51">
        <v>42772</v>
      </c>
      <c r="B1089" s="54"/>
      <c r="C1089" s="55"/>
      <c r="D1089" s="55"/>
      <c r="E1089" s="55"/>
      <c r="F1089" s="55"/>
      <c r="G1089" s="55"/>
      <c r="H1089" s="55"/>
      <c r="I1089" s="55"/>
      <c r="J1089" s="55"/>
      <c r="K1089" s="55"/>
      <c r="L1089" s="55"/>
      <c r="M1089" s="55"/>
      <c r="N1089" s="55"/>
      <c r="O1089" s="55"/>
      <c r="P1089" s="56"/>
      <c r="AI1089" s="49"/>
      <c r="AJ1089" s="78"/>
      <c r="AK1089" s="78"/>
      <c r="AL1089" s="78"/>
      <c r="AM1089" s="78"/>
      <c r="AN1089" s="78"/>
      <c r="AO1089" s="78"/>
      <c r="AP1089" s="78"/>
      <c r="AQ1089" s="78"/>
      <c r="AR1089" s="78"/>
      <c r="AS1089" s="78"/>
      <c r="AT1089" s="78"/>
      <c r="AU1089" s="78"/>
      <c r="AV1089" s="78"/>
      <c r="AW1089" s="78"/>
      <c r="AX1089" s="78"/>
      <c r="AY1089" s="3"/>
      <c r="AZ1089" s="81"/>
      <c r="BB1089" s="5"/>
      <c r="BC1089" s="5"/>
    </row>
    <row r="1090" spans="1:55" x14ac:dyDescent="0.25">
      <c r="A1090" s="51">
        <v>42773</v>
      </c>
      <c r="B1090" s="54"/>
      <c r="C1090" s="55"/>
      <c r="D1090" s="55"/>
      <c r="E1090" s="55"/>
      <c r="F1090" s="55"/>
      <c r="G1090" s="55"/>
      <c r="H1090" s="55"/>
      <c r="I1090" s="55"/>
      <c r="J1090" s="55"/>
      <c r="K1090" s="55"/>
      <c r="L1090" s="55"/>
      <c r="M1090" s="55"/>
      <c r="N1090" s="55"/>
      <c r="O1090" s="55"/>
      <c r="P1090" s="56"/>
      <c r="AI1090" s="49"/>
      <c r="AJ1090" s="78"/>
      <c r="AK1090" s="78"/>
      <c r="AL1090" s="78"/>
      <c r="AM1090" s="78"/>
      <c r="AN1090" s="78"/>
      <c r="AO1090" s="78"/>
      <c r="AP1090" s="78"/>
      <c r="AQ1090" s="78"/>
      <c r="AR1090" s="78"/>
      <c r="AS1090" s="78"/>
      <c r="AT1090" s="78"/>
      <c r="AU1090" s="78"/>
      <c r="AV1090" s="78"/>
      <c r="AW1090" s="78"/>
      <c r="AX1090" s="78"/>
      <c r="AY1090" s="3"/>
      <c r="AZ1090" s="81"/>
      <c r="BB1090" s="5"/>
      <c r="BC1090" s="5"/>
    </row>
    <row r="1091" spans="1:55" x14ac:dyDescent="0.25">
      <c r="A1091" s="51">
        <v>42774</v>
      </c>
      <c r="B1091" s="54"/>
      <c r="C1091" s="55"/>
      <c r="D1091" s="55"/>
      <c r="E1091" s="55"/>
      <c r="F1091" s="55"/>
      <c r="G1091" s="55"/>
      <c r="H1091" s="55"/>
      <c r="I1091" s="55"/>
      <c r="J1091" s="55"/>
      <c r="K1091" s="55"/>
      <c r="L1091" s="55"/>
      <c r="M1091" s="55"/>
      <c r="N1091" s="55"/>
      <c r="O1091" s="55"/>
      <c r="P1091" s="56"/>
      <c r="AI1091" s="49"/>
      <c r="AJ1091" s="78"/>
      <c r="AK1091" s="78"/>
      <c r="AL1091" s="78"/>
      <c r="AM1091" s="78"/>
      <c r="AN1091" s="78"/>
      <c r="AO1091" s="78"/>
      <c r="AP1091" s="78"/>
      <c r="AQ1091" s="78"/>
      <c r="AR1091" s="78"/>
      <c r="AS1091" s="78"/>
      <c r="AT1091" s="78"/>
      <c r="AU1091" s="78"/>
      <c r="AV1091" s="78"/>
      <c r="AW1091" s="78"/>
      <c r="AX1091" s="78"/>
      <c r="AY1091" s="3"/>
      <c r="AZ1091" s="81"/>
      <c r="BB1091" s="5"/>
      <c r="BC1091" s="5"/>
    </row>
    <row r="1092" spans="1:55" x14ac:dyDescent="0.25">
      <c r="A1092" s="51">
        <v>42775</v>
      </c>
      <c r="B1092" s="54"/>
      <c r="C1092" s="55"/>
      <c r="D1092" s="55"/>
      <c r="E1092" s="55"/>
      <c r="F1092" s="55"/>
      <c r="G1092" s="55"/>
      <c r="H1092" s="55"/>
      <c r="I1092" s="55"/>
      <c r="J1092" s="55"/>
      <c r="K1092" s="55"/>
      <c r="L1092" s="55"/>
      <c r="M1092" s="55"/>
      <c r="N1092" s="55"/>
      <c r="O1092" s="55"/>
      <c r="P1092" s="56"/>
      <c r="AI1092" s="49"/>
      <c r="AJ1092" s="78"/>
      <c r="AK1092" s="78"/>
      <c r="AL1092" s="78"/>
      <c r="AM1092" s="78"/>
      <c r="AN1092" s="78"/>
      <c r="AO1092" s="78"/>
      <c r="AP1092" s="78"/>
      <c r="AQ1092" s="78"/>
      <c r="AR1092" s="78"/>
      <c r="AS1092" s="78"/>
      <c r="AT1092" s="78"/>
      <c r="AU1092" s="78"/>
      <c r="AV1092" s="78"/>
      <c r="AW1092" s="78"/>
      <c r="AX1092" s="78"/>
      <c r="AY1092" s="3"/>
      <c r="AZ1092" s="81"/>
      <c r="BB1092" s="5"/>
      <c r="BC1092" s="5"/>
    </row>
    <row r="1093" spans="1:55" x14ac:dyDescent="0.25">
      <c r="A1093" s="51">
        <v>42776</v>
      </c>
      <c r="B1093" s="54"/>
      <c r="C1093" s="55"/>
      <c r="D1093" s="55"/>
      <c r="E1093" s="55"/>
      <c r="F1093" s="55"/>
      <c r="G1093" s="55"/>
      <c r="H1093" s="55"/>
      <c r="I1093" s="55"/>
      <c r="J1093" s="55"/>
      <c r="K1093" s="55"/>
      <c r="L1093" s="55"/>
      <c r="M1093" s="55"/>
      <c r="N1093" s="55"/>
      <c r="O1093" s="55"/>
      <c r="P1093" s="56"/>
      <c r="AI1093" s="49"/>
      <c r="AJ1093" s="78"/>
      <c r="AK1093" s="78"/>
      <c r="AL1093" s="78"/>
      <c r="AM1093" s="78"/>
      <c r="AN1093" s="78"/>
      <c r="AO1093" s="78"/>
      <c r="AP1093" s="78"/>
      <c r="AQ1093" s="78"/>
      <c r="AR1093" s="78"/>
      <c r="AS1093" s="78"/>
      <c r="AT1093" s="78"/>
      <c r="AU1093" s="78"/>
      <c r="AV1093" s="78"/>
      <c r="AW1093" s="78"/>
      <c r="AX1093" s="78"/>
      <c r="AY1093" s="3"/>
      <c r="AZ1093" s="81"/>
      <c r="BB1093" s="5"/>
      <c r="BC1093" s="5"/>
    </row>
    <row r="1094" spans="1:55" x14ac:dyDescent="0.25">
      <c r="A1094" s="51">
        <v>42779</v>
      </c>
      <c r="B1094" s="54"/>
      <c r="C1094" s="55"/>
      <c r="D1094" s="55"/>
      <c r="E1094" s="55"/>
      <c r="F1094" s="55"/>
      <c r="G1094" s="55"/>
      <c r="H1094" s="55"/>
      <c r="I1094" s="55"/>
      <c r="J1094" s="55"/>
      <c r="K1094" s="55"/>
      <c r="L1094" s="55"/>
      <c r="M1094" s="55"/>
      <c r="N1094" s="55"/>
      <c r="O1094" s="55"/>
      <c r="P1094" s="56"/>
      <c r="AI1094" s="49"/>
      <c r="AJ1094" s="78"/>
      <c r="AK1094" s="78"/>
      <c r="AL1094" s="78"/>
      <c r="AM1094" s="78"/>
      <c r="AN1094" s="78"/>
      <c r="AO1094" s="78"/>
      <c r="AP1094" s="78"/>
      <c r="AQ1094" s="78"/>
      <c r="AR1094" s="78"/>
      <c r="AS1094" s="78"/>
      <c r="AT1094" s="78"/>
      <c r="AU1094" s="78"/>
      <c r="AV1094" s="78"/>
      <c r="AW1094" s="78"/>
      <c r="AX1094" s="78"/>
      <c r="AY1094" s="3"/>
      <c r="AZ1094" s="81"/>
      <c r="BB1094" s="5"/>
      <c r="BC1094" s="5"/>
    </row>
    <row r="1095" spans="1:55" x14ac:dyDescent="0.25">
      <c r="A1095" s="51">
        <v>42780</v>
      </c>
      <c r="B1095" s="54"/>
      <c r="C1095" s="55"/>
      <c r="D1095" s="55"/>
      <c r="E1095" s="55"/>
      <c r="F1095" s="55"/>
      <c r="G1095" s="55"/>
      <c r="H1095" s="55"/>
      <c r="I1095" s="55"/>
      <c r="J1095" s="55"/>
      <c r="K1095" s="55"/>
      <c r="L1095" s="55"/>
      <c r="M1095" s="55"/>
      <c r="N1095" s="55"/>
      <c r="O1095" s="55"/>
      <c r="P1095" s="56"/>
      <c r="AI1095" s="49"/>
      <c r="AJ1095" s="78"/>
      <c r="AK1095" s="78"/>
      <c r="AL1095" s="78"/>
      <c r="AM1095" s="78"/>
      <c r="AN1095" s="78"/>
      <c r="AO1095" s="78"/>
      <c r="AP1095" s="78"/>
      <c r="AQ1095" s="78"/>
      <c r="AR1095" s="78"/>
      <c r="AS1095" s="78"/>
      <c r="AT1095" s="78"/>
      <c r="AU1095" s="78"/>
      <c r="AV1095" s="78"/>
      <c r="AW1095" s="78"/>
      <c r="AX1095" s="78"/>
      <c r="AY1095" s="3"/>
      <c r="AZ1095" s="81"/>
      <c r="BB1095" s="5"/>
      <c r="BC1095" s="5"/>
    </row>
    <row r="1096" spans="1:55" x14ac:dyDescent="0.25">
      <c r="A1096" s="51">
        <v>42781</v>
      </c>
      <c r="B1096" s="54"/>
      <c r="C1096" s="55"/>
      <c r="D1096" s="55"/>
      <c r="E1096" s="55"/>
      <c r="F1096" s="55"/>
      <c r="G1096" s="55"/>
      <c r="H1096" s="55"/>
      <c r="I1096" s="55"/>
      <c r="J1096" s="55"/>
      <c r="K1096" s="55"/>
      <c r="L1096" s="55"/>
      <c r="M1096" s="55"/>
      <c r="N1096" s="55"/>
      <c r="O1096" s="55"/>
      <c r="P1096" s="56"/>
      <c r="AI1096" s="49"/>
      <c r="AJ1096" s="78"/>
      <c r="AK1096" s="78"/>
      <c r="AL1096" s="78"/>
      <c r="AM1096" s="78"/>
      <c r="AN1096" s="78"/>
      <c r="AO1096" s="78"/>
      <c r="AP1096" s="78"/>
      <c r="AQ1096" s="78"/>
      <c r="AR1096" s="78"/>
      <c r="AS1096" s="78"/>
      <c r="AT1096" s="78"/>
      <c r="AU1096" s="78"/>
      <c r="AV1096" s="78"/>
      <c r="AW1096" s="78"/>
      <c r="AX1096" s="78"/>
      <c r="AY1096" s="3"/>
      <c r="AZ1096" s="81"/>
      <c r="BB1096" s="5"/>
      <c r="BC1096" s="5"/>
    </row>
    <row r="1097" spans="1:55" x14ac:dyDescent="0.25">
      <c r="A1097" s="51">
        <v>42782</v>
      </c>
      <c r="B1097" s="54"/>
      <c r="C1097" s="55"/>
      <c r="D1097" s="55"/>
      <c r="E1097" s="55"/>
      <c r="F1097" s="55"/>
      <c r="G1097" s="55"/>
      <c r="H1097" s="55"/>
      <c r="I1097" s="55"/>
      <c r="J1097" s="55"/>
      <c r="K1097" s="55"/>
      <c r="L1097" s="55"/>
      <c r="M1097" s="55"/>
      <c r="N1097" s="55"/>
      <c r="O1097" s="55"/>
      <c r="P1097" s="56"/>
      <c r="AI1097" s="49"/>
      <c r="AJ1097" s="78"/>
      <c r="AK1097" s="78"/>
      <c r="AL1097" s="78"/>
      <c r="AM1097" s="78"/>
      <c r="AN1097" s="78"/>
      <c r="AO1097" s="78"/>
      <c r="AP1097" s="78"/>
      <c r="AQ1097" s="78"/>
      <c r="AR1097" s="78"/>
      <c r="AS1097" s="78"/>
      <c r="AT1097" s="78"/>
      <c r="AU1097" s="78"/>
      <c r="AV1097" s="78"/>
      <c r="AW1097" s="78"/>
      <c r="AX1097" s="78"/>
      <c r="AY1097" s="3"/>
      <c r="AZ1097" s="81"/>
      <c r="BB1097" s="5"/>
      <c r="BC1097" s="5"/>
    </row>
    <row r="1098" spans="1:55" x14ac:dyDescent="0.25">
      <c r="A1098" s="51">
        <v>42783</v>
      </c>
      <c r="B1098" s="54"/>
      <c r="C1098" s="55"/>
      <c r="D1098" s="55"/>
      <c r="E1098" s="55"/>
      <c r="F1098" s="55"/>
      <c r="G1098" s="55"/>
      <c r="H1098" s="55"/>
      <c r="I1098" s="55"/>
      <c r="J1098" s="55"/>
      <c r="K1098" s="55"/>
      <c r="L1098" s="55"/>
      <c r="M1098" s="55"/>
      <c r="N1098" s="55"/>
      <c r="O1098" s="55"/>
      <c r="P1098" s="56"/>
      <c r="AI1098" s="49"/>
      <c r="AJ1098" s="78"/>
      <c r="AK1098" s="78"/>
      <c r="AL1098" s="78"/>
      <c r="AM1098" s="78"/>
      <c r="AN1098" s="78"/>
      <c r="AO1098" s="78"/>
      <c r="AP1098" s="78"/>
      <c r="AQ1098" s="78"/>
      <c r="AR1098" s="78"/>
      <c r="AS1098" s="78"/>
      <c r="AT1098" s="78"/>
      <c r="AU1098" s="78"/>
      <c r="AV1098" s="78"/>
      <c r="AW1098" s="78"/>
      <c r="AX1098" s="78"/>
      <c r="AY1098" s="3"/>
      <c r="AZ1098" s="81"/>
      <c r="BB1098" s="5"/>
      <c r="BC1098" s="5"/>
    </row>
    <row r="1099" spans="1:55" x14ac:dyDescent="0.25">
      <c r="A1099" s="51">
        <v>42786</v>
      </c>
      <c r="B1099" s="54"/>
      <c r="C1099" s="55"/>
      <c r="D1099" s="55"/>
      <c r="E1099" s="55"/>
      <c r="F1099" s="55"/>
      <c r="G1099" s="55"/>
      <c r="H1099" s="55"/>
      <c r="I1099" s="55"/>
      <c r="J1099" s="55"/>
      <c r="K1099" s="55"/>
      <c r="L1099" s="55"/>
      <c r="M1099" s="55"/>
      <c r="N1099" s="55"/>
      <c r="O1099" s="55"/>
      <c r="P1099" s="56"/>
      <c r="AI1099" s="49"/>
      <c r="AJ1099" s="78"/>
      <c r="AK1099" s="78"/>
      <c r="AL1099" s="78"/>
      <c r="AM1099" s="78"/>
      <c r="AN1099" s="78"/>
      <c r="AO1099" s="78"/>
      <c r="AP1099" s="78"/>
      <c r="AQ1099" s="78"/>
      <c r="AR1099" s="78"/>
      <c r="AS1099" s="78"/>
      <c r="AT1099" s="78"/>
      <c r="AU1099" s="78"/>
      <c r="AV1099" s="78"/>
      <c r="AW1099" s="78"/>
      <c r="AX1099" s="78"/>
      <c r="AY1099" s="3"/>
      <c r="AZ1099" s="81"/>
      <c r="BB1099" s="5"/>
      <c r="BC1099" s="5"/>
    </row>
    <row r="1100" spans="1:55" x14ac:dyDescent="0.25">
      <c r="A1100" s="51">
        <v>42787</v>
      </c>
      <c r="B1100" s="54"/>
      <c r="C1100" s="55"/>
      <c r="D1100" s="55"/>
      <c r="E1100" s="55"/>
      <c r="F1100" s="55"/>
      <c r="G1100" s="55"/>
      <c r="H1100" s="55"/>
      <c r="I1100" s="55"/>
      <c r="J1100" s="55"/>
      <c r="K1100" s="55"/>
      <c r="L1100" s="55"/>
      <c r="M1100" s="55"/>
      <c r="N1100" s="55"/>
      <c r="O1100" s="55"/>
      <c r="P1100" s="56"/>
      <c r="AI1100" s="49"/>
      <c r="AJ1100" s="78"/>
      <c r="AK1100" s="78"/>
      <c r="AL1100" s="78"/>
      <c r="AM1100" s="78"/>
      <c r="AN1100" s="78"/>
      <c r="AO1100" s="78"/>
      <c r="AP1100" s="78"/>
      <c r="AQ1100" s="78"/>
      <c r="AR1100" s="78"/>
      <c r="AS1100" s="78"/>
      <c r="AT1100" s="78"/>
      <c r="AU1100" s="78"/>
      <c r="AV1100" s="78"/>
      <c r="AW1100" s="78"/>
      <c r="AX1100" s="78"/>
      <c r="AY1100" s="3"/>
      <c r="AZ1100" s="81"/>
      <c r="BB1100" s="5"/>
      <c r="BC1100" s="5"/>
    </row>
    <row r="1101" spans="1:55" x14ac:dyDescent="0.25">
      <c r="A1101" s="51">
        <v>42788</v>
      </c>
      <c r="B1101" s="54"/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6"/>
      <c r="AI1101" s="49"/>
      <c r="AJ1101" s="78"/>
      <c r="AK1101" s="78"/>
      <c r="AL1101" s="78"/>
      <c r="AM1101" s="78"/>
      <c r="AN1101" s="78"/>
      <c r="AO1101" s="78"/>
      <c r="AP1101" s="78"/>
      <c r="AQ1101" s="78"/>
      <c r="AR1101" s="78"/>
      <c r="AS1101" s="78"/>
      <c r="AT1101" s="78"/>
      <c r="AU1101" s="78"/>
      <c r="AV1101" s="78"/>
      <c r="AW1101" s="78"/>
      <c r="AX1101" s="78"/>
      <c r="AY1101" s="3"/>
      <c r="AZ1101" s="81"/>
      <c r="BB1101" s="5"/>
      <c r="BC1101" s="5"/>
    </row>
    <row r="1102" spans="1:55" x14ac:dyDescent="0.25">
      <c r="A1102" s="51">
        <v>42789</v>
      </c>
      <c r="B1102" s="54"/>
      <c r="C1102" s="55"/>
      <c r="D1102" s="55"/>
      <c r="E1102" s="55"/>
      <c r="F1102" s="55"/>
      <c r="G1102" s="55"/>
      <c r="H1102" s="55"/>
      <c r="I1102" s="55"/>
      <c r="J1102" s="55"/>
      <c r="K1102" s="55"/>
      <c r="L1102" s="55"/>
      <c r="M1102" s="55"/>
      <c r="N1102" s="55"/>
      <c r="O1102" s="55"/>
      <c r="P1102" s="56"/>
      <c r="AI1102" s="49"/>
      <c r="AJ1102" s="78"/>
      <c r="AK1102" s="78"/>
      <c r="AL1102" s="78"/>
      <c r="AM1102" s="78"/>
      <c r="AN1102" s="78"/>
      <c r="AO1102" s="78"/>
      <c r="AP1102" s="78"/>
      <c r="AQ1102" s="78"/>
      <c r="AR1102" s="78"/>
      <c r="AS1102" s="78"/>
      <c r="AT1102" s="78"/>
      <c r="AU1102" s="78"/>
      <c r="AV1102" s="78"/>
      <c r="AW1102" s="78"/>
      <c r="AX1102" s="78"/>
      <c r="AY1102" s="3"/>
      <c r="AZ1102" s="81"/>
      <c r="BB1102" s="5"/>
      <c r="BC1102" s="5"/>
    </row>
    <row r="1103" spans="1:55" x14ac:dyDescent="0.25">
      <c r="A1103" s="51">
        <v>42790</v>
      </c>
      <c r="B1103" s="54"/>
      <c r="C1103" s="55"/>
      <c r="D1103" s="55"/>
      <c r="E1103" s="55"/>
      <c r="F1103" s="55"/>
      <c r="G1103" s="55"/>
      <c r="H1103" s="55"/>
      <c r="I1103" s="55"/>
      <c r="J1103" s="55"/>
      <c r="K1103" s="55"/>
      <c r="L1103" s="55"/>
      <c r="M1103" s="55"/>
      <c r="N1103" s="55"/>
      <c r="O1103" s="55"/>
      <c r="P1103" s="56"/>
      <c r="AI1103" s="49"/>
      <c r="AJ1103" s="78"/>
      <c r="AK1103" s="78"/>
      <c r="AL1103" s="78"/>
      <c r="AM1103" s="78"/>
      <c r="AN1103" s="78"/>
      <c r="AO1103" s="78"/>
      <c r="AP1103" s="78"/>
      <c r="AQ1103" s="78"/>
      <c r="AR1103" s="78"/>
      <c r="AS1103" s="78"/>
      <c r="AT1103" s="78"/>
      <c r="AU1103" s="78"/>
      <c r="AV1103" s="78"/>
      <c r="AW1103" s="78"/>
      <c r="AX1103" s="78"/>
      <c r="AY1103" s="3"/>
      <c r="AZ1103" s="81"/>
      <c r="BB1103" s="5"/>
      <c r="BC1103" s="5"/>
    </row>
    <row r="1104" spans="1:55" x14ac:dyDescent="0.25">
      <c r="A1104" s="51">
        <v>42793</v>
      </c>
      <c r="B1104" s="54"/>
      <c r="C1104" s="55"/>
      <c r="D1104" s="55"/>
      <c r="E1104" s="55"/>
      <c r="F1104" s="55"/>
      <c r="G1104" s="55"/>
      <c r="H1104" s="55"/>
      <c r="I1104" s="55"/>
      <c r="J1104" s="55"/>
      <c r="K1104" s="55"/>
      <c r="L1104" s="55"/>
      <c r="M1104" s="55"/>
      <c r="N1104" s="55"/>
      <c r="O1104" s="55"/>
      <c r="P1104" s="56"/>
      <c r="AI1104" s="49"/>
      <c r="AJ1104" s="78"/>
      <c r="AK1104" s="78"/>
      <c r="AL1104" s="78"/>
      <c r="AM1104" s="78"/>
      <c r="AN1104" s="78"/>
      <c r="AO1104" s="78"/>
      <c r="AP1104" s="78"/>
      <c r="AQ1104" s="78"/>
      <c r="AR1104" s="78"/>
      <c r="AS1104" s="78"/>
      <c r="AT1104" s="78"/>
      <c r="AU1104" s="78"/>
      <c r="AV1104" s="78"/>
      <c r="AW1104" s="78"/>
      <c r="AX1104" s="78"/>
      <c r="AY1104" s="3"/>
      <c r="AZ1104" s="81"/>
      <c r="BB1104" s="5"/>
      <c r="BC1104" s="5"/>
    </row>
    <row r="1105" spans="1:55" x14ac:dyDescent="0.25">
      <c r="A1105" s="51">
        <v>42794</v>
      </c>
      <c r="B1105" s="54"/>
      <c r="C1105" s="55"/>
      <c r="D1105" s="55"/>
      <c r="E1105" s="55"/>
      <c r="F1105" s="55"/>
      <c r="G1105" s="55"/>
      <c r="H1105" s="55"/>
      <c r="I1105" s="55"/>
      <c r="J1105" s="55"/>
      <c r="K1105" s="55"/>
      <c r="L1105" s="55"/>
      <c r="M1105" s="55"/>
      <c r="N1105" s="55"/>
      <c r="O1105" s="55"/>
      <c r="P1105" s="56"/>
      <c r="AI1105" s="49"/>
      <c r="AJ1105" s="78"/>
      <c r="AK1105" s="78"/>
      <c r="AL1105" s="78"/>
      <c r="AM1105" s="78"/>
      <c r="AN1105" s="78"/>
      <c r="AO1105" s="78"/>
      <c r="AP1105" s="78"/>
      <c r="AQ1105" s="78"/>
      <c r="AR1105" s="78"/>
      <c r="AS1105" s="78"/>
      <c r="AT1105" s="78"/>
      <c r="AU1105" s="78"/>
      <c r="AV1105" s="78"/>
      <c r="AW1105" s="78"/>
      <c r="AX1105" s="78"/>
      <c r="AY1105" s="3"/>
      <c r="AZ1105" s="81"/>
      <c r="BB1105" s="5"/>
      <c r="BC1105" s="5"/>
    </row>
    <row r="1106" spans="1:55" x14ac:dyDescent="0.25">
      <c r="A1106" s="51">
        <v>42795</v>
      </c>
      <c r="B1106" s="54"/>
      <c r="C1106" s="55"/>
      <c r="D1106" s="55"/>
      <c r="E1106" s="55"/>
      <c r="F1106" s="55"/>
      <c r="G1106" s="55"/>
      <c r="H1106" s="55"/>
      <c r="I1106" s="55"/>
      <c r="J1106" s="55"/>
      <c r="K1106" s="55"/>
      <c r="L1106" s="55"/>
      <c r="M1106" s="55"/>
      <c r="N1106" s="55"/>
      <c r="O1106" s="55"/>
      <c r="P1106" s="56"/>
      <c r="AI1106" s="49"/>
      <c r="AJ1106" s="78"/>
      <c r="AK1106" s="78"/>
      <c r="AL1106" s="78"/>
      <c r="AM1106" s="78"/>
      <c r="AN1106" s="78"/>
      <c r="AO1106" s="78"/>
      <c r="AP1106" s="78"/>
      <c r="AQ1106" s="78"/>
      <c r="AR1106" s="78"/>
      <c r="AS1106" s="78"/>
      <c r="AT1106" s="78"/>
      <c r="AU1106" s="78"/>
      <c r="AV1106" s="78"/>
      <c r="AW1106" s="78"/>
      <c r="AX1106" s="78"/>
      <c r="AY1106" s="3"/>
      <c r="AZ1106" s="81"/>
      <c r="BB1106" s="5"/>
      <c r="BC1106" s="5"/>
    </row>
    <row r="1107" spans="1:55" x14ac:dyDescent="0.25">
      <c r="A1107" s="51">
        <v>42796</v>
      </c>
      <c r="B1107" s="54"/>
      <c r="C1107" s="55"/>
      <c r="D1107" s="55"/>
      <c r="E1107" s="55"/>
      <c r="F1107" s="55"/>
      <c r="G1107" s="55"/>
      <c r="H1107" s="55"/>
      <c r="I1107" s="55"/>
      <c r="J1107" s="55"/>
      <c r="K1107" s="55"/>
      <c r="L1107" s="55"/>
      <c r="M1107" s="55"/>
      <c r="N1107" s="55"/>
      <c r="O1107" s="55"/>
      <c r="P1107" s="56"/>
      <c r="AI1107" s="49"/>
      <c r="AJ1107" s="78"/>
      <c r="AK1107" s="78"/>
      <c r="AL1107" s="78"/>
      <c r="AM1107" s="78"/>
      <c r="AN1107" s="78"/>
      <c r="AO1107" s="78"/>
      <c r="AP1107" s="78"/>
      <c r="AQ1107" s="78"/>
      <c r="AR1107" s="78"/>
      <c r="AS1107" s="78"/>
      <c r="AT1107" s="78"/>
      <c r="AU1107" s="78"/>
      <c r="AV1107" s="78"/>
      <c r="AW1107" s="78"/>
      <c r="AX1107" s="78"/>
      <c r="AY1107" s="3"/>
      <c r="AZ1107" s="81"/>
      <c r="BB1107" s="5"/>
      <c r="BC1107" s="5"/>
    </row>
    <row r="1108" spans="1:55" x14ac:dyDescent="0.25">
      <c r="A1108" s="51">
        <v>42797</v>
      </c>
      <c r="B1108" s="54"/>
      <c r="C1108" s="55"/>
      <c r="D1108" s="55"/>
      <c r="E1108" s="55"/>
      <c r="F1108" s="55"/>
      <c r="G1108" s="55"/>
      <c r="H1108" s="55"/>
      <c r="I1108" s="55"/>
      <c r="J1108" s="55"/>
      <c r="K1108" s="55"/>
      <c r="L1108" s="55"/>
      <c r="M1108" s="55"/>
      <c r="N1108" s="55"/>
      <c r="O1108" s="55"/>
      <c r="P1108" s="56"/>
      <c r="AI1108" s="49"/>
      <c r="AJ1108" s="78"/>
      <c r="AK1108" s="78"/>
      <c r="AL1108" s="78"/>
      <c r="AM1108" s="78"/>
      <c r="AN1108" s="78"/>
      <c r="AO1108" s="78"/>
      <c r="AP1108" s="78"/>
      <c r="AQ1108" s="78"/>
      <c r="AR1108" s="78"/>
      <c r="AS1108" s="78"/>
      <c r="AT1108" s="78"/>
      <c r="AU1108" s="78"/>
      <c r="AV1108" s="78"/>
      <c r="AW1108" s="78"/>
      <c r="AX1108" s="78"/>
      <c r="AY1108" s="3"/>
      <c r="AZ1108" s="81"/>
      <c r="BB1108" s="5"/>
      <c r="BC1108" s="5"/>
    </row>
    <row r="1109" spans="1:55" x14ac:dyDescent="0.25">
      <c r="A1109" s="51">
        <v>42800</v>
      </c>
      <c r="B1109" s="54"/>
      <c r="C1109" s="55"/>
      <c r="D1109" s="55"/>
      <c r="E1109" s="55"/>
      <c r="F1109" s="55"/>
      <c r="G1109" s="55"/>
      <c r="H1109" s="55"/>
      <c r="I1109" s="55"/>
      <c r="J1109" s="55"/>
      <c r="K1109" s="55"/>
      <c r="L1109" s="55"/>
      <c r="M1109" s="55"/>
      <c r="N1109" s="55"/>
      <c r="O1109" s="55"/>
      <c r="P1109" s="56"/>
      <c r="AI1109" s="49"/>
      <c r="AJ1109" s="78"/>
      <c r="AK1109" s="78"/>
      <c r="AL1109" s="78"/>
      <c r="AM1109" s="78"/>
      <c r="AN1109" s="78"/>
      <c r="AO1109" s="78"/>
      <c r="AP1109" s="78"/>
      <c r="AQ1109" s="78"/>
      <c r="AR1109" s="78"/>
      <c r="AS1109" s="78"/>
      <c r="AT1109" s="78"/>
      <c r="AU1109" s="78"/>
      <c r="AV1109" s="78"/>
      <c r="AW1109" s="78"/>
      <c r="AX1109" s="78"/>
      <c r="AY1109" s="3"/>
      <c r="AZ1109" s="81"/>
      <c r="BB1109" s="5"/>
      <c r="BC1109" s="5"/>
    </row>
    <row r="1110" spans="1:55" x14ac:dyDescent="0.25">
      <c r="A1110" s="51">
        <v>42801</v>
      </c>
      <c r="B1110" s="54"/>
      <c r="C1110" s="55"/>
      <c r="D1110" s="55"/>
      <c r="E1110" s="55"/>
      <c r="F1110" s="55"/>
      <c r="G1110" s="55"/>
      <c r="H1110" s="55"/>
      <c r="I1110" s="55"/>
      <c r="J1110" s="55"/>
      <c r="K1110" s="55"/>
      <c r="L1110" s="55"/>
      <c r="M1110" s="55"/>
      <c r="N1110" s="55"/>
      <c r="O1110" s="55"/>
      <c r="P1110" s="56"/>
      <c r="AI1110" s="49"/>
      <c r="AJ1110" s="78"/>
      <c r="AK1110" s="78"/>
      <c r="AL1110" s="78"/>
      <c r="AM1110" s="78"/>
      <c r="AN1110" s="78"/>
      <c r="AO1110" s="78"/>
      <c r="AP1110" s="78"/>
      <c r="AQ1110" s="78"/>
      <c r="AR1110" s="78"/>
      <c r="AS1110" s="78"/>
      <c r="AT1110" s="78"/>
      <c r="AU1110" s="78"/>
      <c r="AV1110" s="78"/>
      <c r="AW1110" s="78"/>
      <c r="AX1110" s="78"/>
      <c r="AY1110" s="3"/>
      <c r="AZ1110" s="81"/>
      <c r="BB1110" s="5"/>
      <c r="BC1110" s="5"/>
    </row>
    <row r="1111" spans="1:55" x14ac:dyDescent="0.25">
      <c r="A1111" s="51">
        <v>42802</v>
      </c>
      <c r="B1111" s="54"/>
      <c r="C1111" s="55"/>
      <c r="D1111" s="55"/>
      <c r="E1111" s="55"/>
      <c r="F1111" s="55"/>
      <c r="G1111" s="55"/>
      <c r="H1111" s="55"/>
      <c r="I1111" s="55"/>
      <c r="J1111" s="55"/>
      <c r="K1111" s="55"/>
      <c r="L1111" s="55"/>
      <c r="M1111" s="55"/>
      <c r="N1111" s="55"/>
      <c r="O1111" s="55"/>
      <c r="P1111" s="56"/>
      <c r="AI1111" s="49"/>
      <c r="AJ1111" s="78"/>
      <c r="AK1111" s="78"/>
      <c r="AL1111" s="78"/>
      <c r="AM1111" s="78"/>
      <c r="AN1111" s="78"/>
      <c r="AO1111" s="78"/>
      <c r="AP1111" s="78"/>
      <c r="AQ1111" s="78"/>
      <c r="AR1111" s="78"/>
      <c r="AS1111" s="78"/>
      <c r="AT1111" s="78"/>
      <c r="AU1111" s="78"/>
      <c r="AV1111" s="78"/>
      <c r="AW1111" s="78"/>
      <c r="AX1111" s="78"/>
      <c r="AY1111" s="3"/>
      <c r="AZ1111" s="81"/>
      <c r="BB1111" s="5"/>
      <c r="BC1111" s="5"/>
    </row>
    <row r="1112" spans="1:55" x14ac:dyDescent="0.25">
      <c r="A1112" s="51">
        <v>42803</v>
      </c>
      <c r="B1112" s="54"/>
      <c r="C1112" s="55"/>
      <c r="D1112" s="55"/>
      <c r="E1112" s="55"/>
      <c r="F1112" s="55"/>
      <c r="G1112" s="55"/>
      <c r="H1112" s="55"/>
      <c r="I1112" s="55"/>
      <c r="J1112" s="55"/>
      <c r="K1112" s="55"/>
      <c r="L1112" s="55"/>
      <c r="M1112" s="55"/>
      <c r="N1112" s="55"/>
      <c r="O1112" s="55"/>
      <c r="P1112" s="56"/>
      <c r="AI1112" s="49"/>
      <c r="AJ1112" s="78"/>
      <c r="AK1112" s="78"/>
      <c r="AL1112" s="78"/>
      <c r="AM1112" s="78"/>
      <c r="AN1112" s="78"/>
      <c r="AO1112" s="78"/>
      <c r="AP1112" s="78"/>
      <c r="AQ1112" s="78"/>
      <c r="AR1112" s="78"/>
      <c r="AS1112" s="78"/>
      <c r="AT1112" s="78"/>
      <c r="AU1112" s="78"/>
      <c r="AV1112" s="78"/>
      <c r="AW1112" s="78"/>
      <c r="AX1112" s="78"/>
      <c r="AY1112" s="3"/>
      <c r="AZ1112" s="81"/>
      <c r="BB1112" s="5"/>
      <c r="BC1112" s="5"/>
    </row>
    <row r="1113" spans="1:55" x14ac:dyDescent="0.25">
      <c r="A1113" s="51">
        <v>42804</v>
      </c>
      <c r="B1113" s="54"/>
      <c r="C1113" s="55"/>
      <c r="D1113" s="55"/>
      <c r="E1113" s="55"/>
      <c r="F1113" s="55"/>
      <c r="G1113" s="55"/>
      <c r="H1113" s="55"/>
      <c r="I1113" s="55"/>
      <c r="J1113" s="55"/>
      <c r="K1113" s="55"/>
      <c r="L1113" s="55"/>
      <c r="M1113" s="55"/>
      <c r="N1113" s="55"/>
      <c r="O1113" s="55"/>
      <c r="P1113" s="56"/>
      <c r="AI1113" s="49"/>
      <c r="AJ1113" s="78"/>
      <c r="AK1113" s="78"/>
      <c r="AL1113" s="78"/>
      <c r="AM1113" s="78"/>
      <c r="AN1113" s="78"/>
      <c r="AO1113" s="78"/>
      <c r="AP1113" s="78"/>
      <c r="AQ1113" s="78"/>
      <c r="AR1113" s="78"/>
      <c r="AS1113" s="78"/>
      <c r="AT1113" s="78"/>
      <c r="AU1113" s="78"/>
      <c r="AV1113" s="78"/>
      <c r="AW1113" s="78"/>
      <c r="AX1113" s="78"/>
      <c r="AY1113" s="3"/>
      <c r="AZ1113" s="81"/>
      <c r="BB1113" s="5"/>
      <c r="BC1113" s="5"/>
    </row>
    <row r="1114" spans="1:55" x14ac:dyDescent="0.25">
      <c r="A1114" s="51">
        <v>42807</v>
      </c>
      <c r="B1114" s="54"/>
      <c r="C1114" s="55"/>
      <c r="D1114" s="55"/>
      <c r="E1114" s="55"/>
      <c r="F1114" s="55"/>
      <c r="G1114" s="55"/>
      <c r="H1114" s="55"/>
      <c r="I1114" s="55"/>
      <c r="J1114" s="55"/>
      <c r="K1114" s="55"/>
      <c r="L1114" s="55"/>
      <c r="M1114" s="55"/>
      <c r="N1114" s="55"/>
      <c r="O1114" s="55"/>
      <c r="P1114" s="56"/>
      <c r="AI1114" s="49"/>
      <c r="AJ1114" s="78"/>
      <c r="AK1114" s="78"/>
      <c r="AL1114" s="78"/>
      <c r="AM1114" s="78"/>
      <c r="AN1114" s="78"/>
      <c r="AO1114" s="78"/>
      <c r="AP1114" s="78"/>
      <c r="AQ1114" s="78"/>
      <c r="AR1114" s="78"/>
      <c r="AS1114" s="78"/>
      <c r="AT1114" s="78"/>
      <c r="AU1114" s="78"/>
      <c r="AV1114" s="78"/>
      <c r="AW1114" s="78"/>
      <c r="AX1114" s="78"/>
      <c r="AY1114" s="3"/>
      <c r="AZ1114" s="81"/>
      <c r="BB1114" s="5"/>
      <c r="BC1114" s="5"/>
    </row>
    <row r="1115" spans="1:55" x14ac:dyDescent="0.25">
      <c r="A1115" s="51">
        <v>42808</v>
      </c>
      <c r="B1115" s="54"/>
      <c r="C1115" s="55"/>
      <c r="D1115" s="55"/>
      <c r="E1115" s="55"/>
      <c r="F1115" s="55"/>
      <c r="G1115" s="55"/>
      <c r="H1115" s="55"/>
      <c r="I1115" s="55"/>
      <c r="J1115" s="55"/>
      <c r="K1115" s="55"/>
      <c r="L1115" s="55"/>
      <c r="M1115" s="55"/>
      <c r="N1115" s="55"/>
      <c r="O1115" s="55"/>
      <c r="P1115" s="56"/>
      <c r="AI1115" s="49"/>
      <c r="AJ1115" s="78"/>
      <c r="AK1115" s="78"/>
      <c r="AL1115" s="78"/>
      <c r="AM1115" s="78"/>
      <c r="AN1115" s="78"/>
      <c r="AO1115" s="78"/>
      <c r="AP1115" s="78"/>
      <c r="AQ1115" s="78"/>
      <c r="AR1115" s="78"/>
      <c r="AS1115" s="78"/>
      <c r="AT1115" s="78"/>
      <c r="AU1115" s="78"/>
      <c r="AV1115" s="78"/>
      <c r="AW1115" s="78"/>
      <c r="AX1115" s="78"/>
      <c r="AY1115" s="3"/>
      <c r="AZ1115" s="81"/>
      <c r="BB1115" s="5"/>
      <c r="BC1115" s="5"/>
    </row>
    <row r="1116" spans="1:55" x14ac:dyDescent="0.25">
      <c r="A1116" s="51">
        <v>42809</v>
      </c>
      <c r="B1116" s="54"/>
      <c r="C1116" s="55"/>
      <c r="D1116" s="55"/>
      <c r="E1116" s="55"/>
      <c r="F1116" s="55"/>
      <c r="G1116" s="55"/>
      <c r="H1116" s="55"/>
      <c r="I1116" s="55"/>
      <c r="J1116" s="55"/>
      <c r="K1116" s="55"/>
      <c r="L1116" s="55"/>
      <c r="M1116" s="55"/>
      <c r="N1116" s="55"/>
      <c r="O1116" s="55"/>
      <c r="P1116" s="56"/>
      <c r="AI1116" s="49"/>
      <c r="AJ1116" s="78"/>
      <c r="AK1116" s="78"/>
      <c r="AL1116" s="78"/>
      <c r="AM1116" s="78"/>
      <c r="AN1116" s="78"/>
      <c r="AO1116" s="78"/>
      <c r="AP1116" s="78"/>
      <c r="AQ1116" s="78"/>
      <c r="AR1116" s="78"/>
      <c r="AS1116" s="78"/>
      <c r="AT1116" s="78"/>
      <c r="AU1116" s="78"/>
      <c r="AV1116" s="78"/>
      <c r="AW1116" s="78"/>
      <c r="AX1116" s="78"/>
      <c r="AY1116" s="3"/>
      <c r="AZ1116" s="81"/>
      <c r="BB1116" s="5"/>
      <c r="BC1116" s="5"/>
    </row>
    <row r="1117" spans="1:55" x14ac:dyDescent="0.25">
      <c r="A1117" s="51">
        <v>42810</v>
      </c>
      <c r="B1117" s="54"/>
      <c r="C1117" s="55"/>
      <c r="D1117" s="55"/>
      <c r="E1117" s="55"/>
      <c r="F1117" s="55"/>
      <c r="G1117" s="55"/>
      <c r="H1117" s="55"/>
      <c r="I1117" s="55"/>
      <c r="J1117" s="55"/>
      <c r="K1117" s="55"/>
      <c r="L1117" s="55"/>
      <c r="M1117" s="55"/>
      <c r="N1117" s="55"/>
      <c r="O1117" s="55"/>
      <c r="P1117" s="56"/>
      <c r="AI1117" s="49"/>
      <c r="AJ1117" s="78"/>
      <c r="AK1117" s="78"/>
      <c r="AL1117" s="78"/>
      <c r="AM1117" s="78"/>
      <c r="AN1117" s="78"/>
      <c r="AO1117" s="78"/>
      <c r="AP1117" s="78"/>
      <c r="AQ1117" s="78"/>
      <c r="AR1117" s="78"/>
      <c r="AS1117" s="78"/>
      <c r="AT1117" s="78"/>
      <c r="AU1117" s="78"/>
      <c r="AV1117" s="78"/>
      <c r="AW1117" s="78"/>
      <c r="AX1117" s="78"/>
      <c r="AY1117" s="3"/>
      <c r="AZ1117" s="81"/>
      <c r="BB1117" s="5"/>
      <c r="BC1117" s="5"/>
    </row>
    <row r="1118" spans="1:55" x14ac:dyDescent="0.25">
      <c r="A1118" s="51">
        <v>42811</v>
      </c>
      <c r="B1118" s="54"/>
      <c r="C1118" s="55"/>
      <c r="D1118" s="55"/>
      <c r="E1118" s="55"/>
      <c r="F1118" s="55"/>
      <c r="G1118" s="55"/>
      <c r="H1118" s="55"/>
      <c r="I1118" s="55"/>
      <c r="J1118" s="55"/>
      <c r="K1118" s="55"/>
      <c r="L1118" s="55"/>
      <c r="M1118" s="55"/>
      <c r="N1118" s="55"/>
      <c r="O1118" s="55"/>
      <c r="P1118" s="56"/>
      <c r="AI1118" s="49"/>
      <c r="AJ1118" s="78"/>
      <c r="AK1118" s="78"/>
      <c r="AL1118" s="78"/>
      <c r="AM1118" s="78"/>
      <c r="AN1118" s="78"/>
      <c r="AO1118" s="78"/>
      <c r="AP1118" s="78"/>
      <c r="AQ1118" s="78"/>
      <c r="AR1118" s="78"/>
      <c r="AS1118" s="78"/>
      <c r="AT1118" s="78"/>
      <c r="AU1118" s="78"/>
      <c r="AV1118" s="78"/>
      <c r="AW1118" s="78"/>
      <c r="AX1118" s="78"/>
      <c r="AY1118" s="3"/>
      <c r="AZ1118" s="81"/>
      <c r="BB1118" s="5"/>
      <c r="BC1118" s="5"/>
    </row>
    <row r="1119" spans="1:55" x14ac:dyDescent="0.25">
      <c r="A1119" s="51">
        <v>42814</v>
      </c>
      <c r="B1119" s="54"/>
      <c r="C1119" s="55"/>
      <c r="D1119" s="55"/>
      <c r="E1119" s="55"/>
      <c r="F1119" s="55"/>
      <c r="G1119" s="55"/>
      <c r="H1119" s="55"/>
      <c r="I1119" s="55"/>
      <c r="J1119" s="55"/>
      <c r="K1119" s="55"/>
      <c r="L1119" s="55"/>
      <c r="M1119" s="55"/>
      <c r="N1119" s="55"/>
      <c r="O1119" s="55"/>
      <c r="P1119" s="56"/>
      <c r="AI1119" s="49"/>
      <c r="AJ1119" s="78"/>
      <c r="AK1119" s="78"/>
      <c r="AL1119" s="78"/>
      <c r="AM1119" s="78"/>
      <c r="AN1119" s="78"/>
      <c r="AO1119" s="78"/>
      <c r="AP1119" s="78"/>
      <c r="AQ1119" s="78"/>
      <c r="AR1119" s="78"/>
      <c r="AS1119" s="78"/>
      <c r="AT1119" s="78"/>
      <c r="AU1119" s="78"/>
      <c r="AV1119" s="78"/>
      <c r="AW1119" s="78"/>
      <c r="AX1119" s="78"/>
      <c r="AY1119" s="3"/>
      <c r="AZ1119" s="81"/>
      <c r="BB1119" s="5"/>
      <c r="BC1119" s="5"/>
    </row>
    <row r="1120" spans="1:55" x14ac:dyDescent="0.25">
      <c r="A1120" s="51">
        <v>42815</v>
      </c>
      <c r="B1120" s="54"/>
      <c r="C1120" s="55"/>
      <c r="D1120" s="55"/>
      <c r="E1120" s="55"/>
      <c r="F1120" s="55"/>
      <c r="G1120" s="55"/>
      <c r="H1120" s="55"/>
      <c r="I1120" s="55"/>
      <c r="J1120" s="55"/>
      <c r="K1120" s="55"/>
      <c r="L1120" s="55"/>
      <c r="M1120" s="55"/>
      <c r="N1120" s="55"/>
      <c r="O1120" s="55"/>
      <c r="P1120" s="56"/>
      <c r="AI1120" s="49"/>
      <c r="AJ1120" s="78"/>
      <c r="AK1120" s="78"/>
      <c r="AL1120" s="78"/>
      <c r="AM1120" s="78"/>
      <c r="AN1120" s="78"/>
      <c r="AO1120" s="78"/>
      <c r="AP1120" s="78"/>
      <c r="AQ1120" s="78"/>
      <c r="AR1120" s="78"/>
      <c r="AS1120" s="78"/>
      <c r="AT1120" s="78"/>
      <c r="AU1120" s="78"/>
      <c r="AV1120" s="78"/>
      <c r="AW1120" s="78"/>
      <c r="AX1120" s="78"/>
      <c r="AY1120" s="3"/>
      <c r="AZ1120" s="81"/>
      <c r="BB1120" s="5"/>
      <c r="BC1120" s="5"/>
    </row>
    <row r="1121" spans="1:55" x14ac:dyDescent="0.25">
      <c r="A1121" s="51">
        <v>42816</v>
      </c>
      <c r="B1121" s="54"/>
      <c r="C1121" s="55"/>
      <c r="D1121" s="55"/>
      <c r="E1121" s="55"/>
      <c r="F1121" s="55"/>
      <c r="G1121" s="55"/>
      <c r="H1121" s="55"/>
      <c r="I1121" s="55"/>
      <c r="J1121" s="55"/>
      <c r="K1121" s="55"/>
      <c r="L1121" s="55"/>
      <c r="M1121" s="55"/>
      <c r="N1121" s="55"/>
      <c r="O1121" s="55"/>
      <c r="P1121" s="56"/>
      <c r="AI1121" s="49"/>
      <c r="AJ1121" s="78"/>
      <c r="AK1121" s="78"/>
      <c r="AL1121" s="78"/>
      <c r="AM1121" s="78"/>
      <c r="AN1121" s="78"/>
      <c r="AO1121" s="78"/>
      <c r="AP1121" s="78"/>
      <c r="AQ1121" s="78"/>
      <c r="AR1121" s="78"/>
      <c r="AS1121" s="78"/>
      <c r="AT1121" s="78"/>
      <c r="AU1121" s="78"/>
      <c r="AV1121" s="78"/>
      <c r="AW1121" s="78"/>
      <c r="AX1121" s="78"/>
      <c r="AY1121" s="3"/>
      <c r="AZ1121" s="81"/>
      <c r="BB1121" s="5"/>
      <c r="BC1121" s="5"/>
    </row>
    <row r="1122" spans="1:55" x14ac:dyDescent="0.25">
      <c r="A1122" s="51">
        <v>42817</v>
      </c>
      <c r="B1122" s="54"/>
      <c r="C1122" s="55"/>
      <c r="D1122" s="55"/>
      <c r="E1122" s="55"/>
      <c r="F1122" s="55"/>
      <c r="G1122" s="55"/>
      <c r="H1122" s="55"/>
      <c r="I1122" s="55"/>
      <c r="J1122" s="55"/>
      <c r="K1122" s="55"/>
      <c r="L1122" s="55"/>
      <c r="M1122" s="55"/>
      <c r="N1122" s="55"/>
      <c r="O1122" s="55"/>
      <c r="P1122" s="56"/>
      <c r="AI1122" s="49"/>
      <c r="AJ1122" s="78"/>
      <c r="AK1122" s="78"/>
      <c r="AL1122" s="78"/>
      <c r="AM1122" s="78"/>
      <c r="AN1122" s="78"/>
      <c r="AO1122" s="78"/>
      <c r="AP1122" s="78"/>
      <c r="AQ1122" s="78"/>
      <c r="AR1122" s="78"/>
      <c r="AS1122" s="78"/>
      <c r="AT1122" s="78"/>
      <c r="AU1122" s="78"/>
      <c r="AV1122" s="78"/>
      <c r="AW1122" s="78"/>
      <c r="AX1122" s="78"/>
      <c r="AY1122" s="3"/>
      <c r="AZ1122" s="81"/>
      <c r="BB1122" s="5"/>
      <c r="BC1122" s="5"/>
    </row>
    <row r="1123" spans="1:55" x14ac:dyDescent="0.25">
      <c r="A1123" s="51">
        <v>42818</v>
      </c>
      <c r="B1123" s="54"/>
      <c r="C1123" s="55"/>
      <c r="D1123" s="55"/>
      <c r="E1123" s="55"/>
      <c r="F1123" s="55"/>
      <c r="G1123" s="55"/>
      <c r="H1123" s="55"/>
      <c r="I1123" s="55"/>
      <c r="J1123" s="55"/>
      <c r="K1123" s="55"/>
      <c r="L1123" s="55"/>
      <c r="M1123" s="55"/>
      <c r="N1123" s="55"/>
      <c r="O1123" s="55"/>
      <c r="P1123" s="56"/>
      <c r="AI1123" s="49"/>
      <c r="AJ1123" s="78"/>
      <c r="AK1123" s="78"/>
      <c r="AL1123" s="78"/>
      <c r="AM1123" s="78"/>
      <c r="AN1123" s="78"/>
      <c r="AO1123" s="78"/>
      <c r="AP1123" s="78"/>
      <c r="AQ1123" s="78"/>
      <c r="AR1123" s="78"/>
      <c r="AS1123" s="78"/>
      <c r="AT1123" s="78"/>
      <c r="AU1123" s="78"/>
      <c r="AV1123" s="78"/>
      <c r="AW1123" s="78"/>
      <c r="AX1123" s="78"/>
      <c r="AY1123" s="3"/>
      <c r="AZ1123" s="81"/>
      <c r="BB1123" s="5"/>
      <c r="BC1123" s="5"/>
    </row>
    <row r="1124" spans="1:55" x14ac:dyDescent="0.25">
      <c r="A1124" s="51">
        <v>42821</v>
      </c>
      <c r="B1124" s="54"/>
      <c r="C1124" s="55"/>
      <c r="D1124" s="55"/>
      <c r="E1124" s="55"/>
      <c r="F1124" s="55"/>
      <c r="G1124" s="55"/>
      <c r="H1124" s="55"/>
      <c r="I1124" s="55"/>
      <c r="J1124" s="55"/>
      <c r="K1124" s="55"/>
      <c r="L1124" s="55"/>
      <c r="M1124" s="55"/>
      <c r="N1124" s="55"/>
      <c r="O1124" s="55"/>
      <c r="P1124" s="56"/>
      <c r="AI1124" s="49"/>
      <c r="AJ1124" s="78"/>
      <c r="AK1124" s="78"/>
      <c r="AL1124" s="78"/>
      <c r="AM1124" s="78"/>
      <c r="AN1124" s="78"/>
      <c r="AO1124" s="78"/>
      <c r="AP1124" s="78"/>
      <c r="AQ1124" s="78"/>
      <c r="AR1124" s="78"/>
      <c r="AS1124" s="78"/>
      <c r="AT1124" s="78"/>
      <c r="AU1124" s="78"/>
      <c r="AV1124" s="78"/>
      <c r="AW1124" s="78"/>
      <c r="AX1124" s="78"/>
      <c r="AY1124" s="3"/>
      <c r="AZ1124" s="81"/>
      <c r="BB1124" s="5"/>
      <c r="BC1124" s="5"/>
    </row>
    <row r="1125" spans="1:55" x14ac:dyDescent="0.25">
      <c r="A1125" s="51">
        <v>42822</v>
      </c>
      <c r="B1125" s="54"/>
      <c r="C1125" s="55"/>
      <c r="D1125" s="55"/>
      <c r="E1125" s="55"/>
      <c r="F1125" s="55"/>
      <c r="G1125" s="55"/>
      <c r="H1125" s="55"/>
      <c r="I1125" s="55"/>
      <c r="J1125" s="55"/>
      <c r="K1125" s="55"/>
      <c r="L1125" s="55"/>
      <c r="M1125" s="55"/>
      <c r="N1125" s="55"/>
      <c r="O1125" s="55"/>
      <c r="P1125" s="56"/>
      <c r="AI1125" s="49"/>
      <c r="AJ1125" s="78"/>
      <c r="AK1125" s="78"/>
      <c r="AL1125" s="78"/>
      <c r="AM1125" s="78"/>
      <c r="AN1125" s="78"/>
      <c r="AO1125" s="78"/>
      <c r="AP1125" s="78"/>
      <c r="AQ1125" s="78"/>
      <c r="AR1125" s="78"/>
      <c r="AS1125" s="78"/>
      <c r="AT1125" s="78"/>
      <c r="AU1125" s="78"/>
      <c r="AV1125" s="78"/>
      <c r="AW1125" s="78"/>
      <c r="AX1125" s="78"/>
      <c r="AY1125" s="3"/>
      <c r="AZ1125" s="81"/>
      <c r="BB1125" s="5"/>
      <c r="BC1125" s="5"/>
    </row>
    <row r="1126" spans="1:55" x14ac:dyDescent="0.25">
      <c r="A1126" s="51">
        <v>42823</v>
      </c>
      <c r="B1126" s="54"/>
      <c r="C1126" s="55"/>
      <c r="D1126" s="55"/>
      <c r="E1126" s="55"/>
      <c r="F1126" s="55"/>
      <c r="G1126" s="55"/>
      <c r="H1126" s="55"/>
      <c r="I1126" s="55"/>
      <c r="J1126" s="55"/>
      <c r="K1126" s="55"/>
      <c r="L1126" s="55"/>
      <c r="M1126" s="55"/>
      <c r="N1126" s="55"/>
      <c r="O1126" s="55"/>
      <c r="P1126" s="56"/>
      <c r="AI1126" s="49"/>
      <c r="AJ1126" s="78"/>
      <c r="AK1126" s="78"/>
      <c r="AL1126" s="78"/>
      <c r="AM1126" s="78"/>
      <c r="AN1126" s="78"/>
      <c r="AO1126" s="78"/>
      <c r="AP1126" s="78"/>
      <c r="AQ1126" s="78"/>
      <c r="AR1126" s="78"/>
      <c r="AS1126" s="78"/>
      <c r="AT1126" s="78"/>
      <c r="AU1126" s="78"/>
      <c r="AV1126" s="78"/>
      <c r="AW1126" s="78"/>
      <c r="AX1126" s="78"/>
      <c r="AY1126" s="3"/>
      <c r="AZ1126" s="81"/>
      <c r="BB1126" s="5"/>
      <c r="BC1126" s="5"/>
    </row>
    <row r="1127" spans="1:55" x14ac:dyDescent="0.25">
      <c r="A1127" s="51">
        <v>42824</v>
      </c>
      <c r="B1127" s="54"/>
      <c r="C1127" s="55"/>
      <c r="D1127" s="55"/>
      <c r="E1127" s="55"/>
      <c r="F1127" s="55"/>
      <c r="G1127" s="55"/>
      <c r="H1127" s="55"/>
      <c r="I1127" s="55"/>
      <c r="J1127" s="55"/>
      <c r="K1127" s="55"/>
      <c r="L1127" s="55"/>
      <c r="M1127" s="55"/>
      <c r="N1127" s="55"/>
      <c r="O1127" s="55"/>
      <c r="P1127" s="56"/>
      <c r="AI1127" s="49"/>
      <c r="AJ1127" s="78"/>
      <c r="AK1127" s="78"/>
      <c r="AL1127" s="78"/>
      <c r="AM1127" s="78"/>
      <c r="AN1127" s="78"/>
      <c r="AO1127" s="78"/>
      <c r="AP1127" s="78"/>
      <c r="AQ1127" s="78"/>
      <c r="AR1127" s="78"/>
      <c r="AS1127" s="78"/>
      <c r="AT1127" s="78"/>
      <c r="AU1127" s="78"/>
      <c r="AV1127" s="78"/>
      <c r="AW1127" s="78"/>
      <c r="AX1127" s="78"/>
      <c r="AY1127" s="3"/>
      <c r="AZ1127" s="81"/>
      <c r="BB1127" s="5"/>
      <c r="BC1127" s="5"/>
    </row>
    <row r="1128" spans="1:55" x14ac:dyDescent="0.25">
      <c r="A1128" s="51">
        <v>42825</v>
      </c>
      <c r="B1128" s="54"/>
      <c r="C1128" s="55"/>
      <c r="D1128" s="55"/>
      <c r="E1128" s="55"/>
      <c r="F1128" s="55"/>
      <c r="G1128" s="55"/>
      <c r="H1128" s="55"/>
      <c r="I1128" s="55"/>
      <c r="J1128" s="55"/>
      <c r="K1128" s="55"/>
      <c r="L1128" s="55"/>
      <c r="M1128" s="55"/>
      <c r="N1128" s="55"/>
      <c r="O1128" s="55"/>
      <c r="P1128" s="56"/>
      <c r="AI1128" s="49"/>
      <c r="AJ1128" s="78"/>
      <c r="AK1128" s="78"/>
      <c r="AL1128" s="78"/>
      <c r="AM1128" s="78"/>
      <c r="AN1128" s="78"/>
      <c r="AO1128" s="78"/>
      <c r="AP1128" s="78"/>
      <c r="AQ1128" s="78"/>
      <c r="AR1128" s="78"/>
      <c r="AS1128" s="78"/>
      <c r="AT1128" s="78"/>
      <c r="AU1128" s="78"/>
      <c r="AV1128" s="78"/>
      <c r="AW1128" s="78"/>
      <c r="AX1128" s="78"/>
      <c r="AY1128" s="3"/>
      <c r="AZ1128" s="81"/>
      <c r="BB1128" s="5"/>
      <c r="BC1128" s="5"/>
    </row>
    <row r="1129" spans="1:55" x14ac:dyDescent="0.25">
      <c r="A1129" s="51">
        <v>42828</v>
      </c>
      <c r="B1129" s="54"/>
      <c r="C1129" s="55"/>
      <c r="D1129" s="55"/>
      <c r="E1129" s="55"/>
      <c r="F1129" s="55"/>
      <c r="G1129" s="55"/>
      <c r="H1129" s="55"/>
      <c r="I1129" s="55"/>
      <c r="J1129" s="55"/>
      <c r="K1129" s="55"/>
      <c r="L1129" s="55"/>
      <c r="M1129" s="55"/>
      <c r="N1129" s="55"/>
      <c r="O1129" s="55"/>
      <c r="P1129" s="56"/>
      <c r="AI1129" s="49"/>
      <c r="AJ1129" s="78"/>
      <c r="AK1129" s="78"/>
      <c r="AL1129" s="78"/>
      <c r="AM1129" s="78"/>
      <c r="AN1129" s="78"/>
      <c r="AO1129" s="78"/>
      <c r="AP1129" s="78"/>
      <c r="AQ1129" s="78"/>
      <c r="AR1129" s="78"/>
      <c r="AS1129" s="78"/>
      <c r="AT1129" s="78"/>
      <c r="AU1129" s="78"/>
      <c r="AV1129" s="78"/>
      <c r="AW1129" s="78"/>
      <c r="AX1129" s="78"/>
      <c r="AY1129" s="3"/>
      <c r="AZ1129" s="81"/>
      <c r="BB1129" s="5"/>
      <c r="BC1129" s="5"/>
    </row>
    <row r="1130" spans="1:55" x14ac:dyDescent="0.25">
      <c r="A1130" s="51">
        <v>42829</v>
      </c>
      <c r="B1130" s="54"/>
      <c r="C1130" s="55"/>
      <c r="D1130" s="55"/>
      <c r="E1130" s="55"/>
      <c r="F1130" s="55"/>
      <c r="G1130" s="55"/>
      <c r="H1130" s="55"/>
      <c r="I1130" s="55"/>
      <c r="J1130" s="55"/>
      <c r="K1130" s="55"/>
      <c r="L1130" s="55"/>
      <c r="M1130" s="55"/>
      <c r="N1130" s="55"/>
      <c r="O1130" s="55"/>
      <c r="P1130" s="56"/>
      <c r="AI1130" s="49"/>
      <c r="AJ1130" s="78"/>
      <c r="AK1130" s="78"/>
      <c r="AL1130" s="78"/>
      <c r="AM1130" s="78"/>
      <c r="AN1130" s="78"/>
      <c r="AO1130" s="78"/>
      <c r="AP1130" s="78"/>
      <c r="AQ1130" s="78"/>
      <c r="AR1130" s="78"/>
      <c r="AS1130" s="78"/>
      <c r="AT1130" s="78"/>
      <c r="AU1130" s="78"/>
      <c r="AV1130" s="78"/>
      <c r="AW1130" s="78"/>
      <c r="AX1130" s="78"/>
      <c r="AY1130" s="3"/>
      <c r="AZ1130" s="81"/>
      <c r="BB1130" s="5"/>
      <c r="BC1130" s="5"/>
    </row>
    <row r="1131" spans="1:55" x14ac:dyDescent="0.25">
      <c r="A1131" s="51">
        <v>42830</v>
      </c>
      <c r="B1131" s="54"/>
      <c r="C1131" s="55"/>
      <c r="D1131" s="55"/>
      <c r="E1131" s="55"/>
      <c r="F1131" s="55"/>
      <c r="G1131" s="55"/>
      <c r="H1131" s="55"/>
      <c r="I1131" s="55"/>
      <c r="J1131" s="55"/>
      <c r="K1131" s="55"/>
      <c r="L1131" s="55"/>
      <c r="M1131" s="55"/>
      <c r="N1131" s="55"/>
      <c r="O1131" s="55"/>
      <c r="P1131" s="56"/>
      <c r="AI1131" s="49"/>
      <c r="AJ1131" s="78"/>
      <c r="AK1131" s="78"/>
      <c r="AL1131" s="78"/>
      <c r="AM1131" s="78"/>
      <c r="AN1131" s="78"/>
      <c r="AO1131" s="78"/>
      <c r="AP1131" s="78"/>
      <c r="AQ1131" s="78"/>
      <c r="AR1131" s="78"/>
      <c r="AS1131" s="78"/>
      <c r="AT1131" s="78"/>
      <c r="AU1131" s="78"/>
      <c r="AV1131" s="78"/>
      <c r="AW1131" s="78"/>
      <c r="AX1131" s="78"/>
      <c r="AY1131" s="3"/>
      <c r="AZ1131" s="81"/>
      <c r="BB1131" s="5"/>
      <c r="BC1131" s="5"/>
    </row>
    <row r="1132" spans="1:55" x14ac:dyDescent="0.25">
      <c r="A1132" s="51">
        <v>42831</v>
      </c>
      <c r="B1132" s="54"/>
      <c r="C1132" s="55"/>
      <c r="D1132" s="55"/>
      <c r="E1132" s="55"/>
      <c r="F1132" s="55"/>
      <c r="G1132" s="55"/>
      <c r="H1132" s="55"/>
      <c r="I1132" s="55"/>
      <c r="J1132" s="55"/>
      <c r="K1132" s="55"/>
      <c r="L1132" s="55"/>
      <c r="M1132" s="55"/>
      <c r="N1132" s="55"/>
      <c r="O1132" s="55"/>
      <c r="P1132" s="56"/>
      <c r="AI1132" s="49"/>
      <c r="AJ1132" s="78"/>
      <c r="AK1132" s="78"/>
      <c r="AL1132" s="78"/>
      <c r="AM1132" s="78"/>
      <c r="AN1132" s="78"/>
      <c r="AO1132" s="78"/>
      <c r="AP1132" s="78"/>
      <c r="AQ1132" s="78"/>
      <c r="AR1132" s="78"/>
      <c r="AS1132" s="78"/>
      <c r="AT1132" s="78"/>
      <c r="AU1132" s="78"/>
      <c r="AV1132" s="78"/>
      <c r="AW1132" s="78"/>
      <c r="AX1132" s="78"/>
      <c r="AY1132" s="3"/>
      <c r="AZ1132" s="81"/>
      <c r="BB1132" s="5"/>
      <c r="BC1132" s="5"/>
    </row>
    <row r="1133" spans="1:55" x14ac:dyDescent="0.25">
      <c r="A1133" s="51">
        <v>42832</v>
      </c>
      <c r="B1133" s="54"/>
      <c r="C1133" s="55"/>
      <c r="D1133" s="55"/>
      <c r="E1133" s="55"/>
      <c r="F1133" s="55"/>
      <c r="G1133" s="55"/>
      <c r="H1133" s="55"/>
      <c r="I1133" s="55"/>
      <c r="J1133" s="55"/>
      <c r="K1133" s="55"/>
      <c r="L1133" s="55"/>
      <c r="M1133" s="55"/>
      <c r="N1133" s="55"/>
      <c r="O1133" s="55"/>
      <c r="P1133" s="56"/>
      <c r="AI1133" s="49"/>
      <c r="AJ1133" s="78"/>
      <c r="AK1133" s="78"/>
      <c r="AL1133" s="78"/>
      <c r="AM1133" s="78"/>
      <c r="AN1133" s="78"/>
      <c r="AO1133" s="78"/>
      <c r="AP1133" s="78"/>
      <c r="AQ1133" s="78"/>
      <c r="AR1133" s="78"/>
      <c r="AS1133" s="78"/>
      <c r="AT1133" s="78"/>
      <c r="AU1133" s="78"/>
      <c r="AV1133" s="78"/>
      <c r="AW1133" s="78"/>
      <c r="AX1133" s="78"/>
      <c r="AY1133" s="3"/>
      <c r="AZ1133" s="81"/>
      <c r="BB1133" s="5"/>
      <c r="BC1133" s="5"/>
    </row>
    <row r="1134" spans="1:55" x14ac:dyDescent="0.25">
      <c r="A1134" s="51">
        <v>42835</v>
      </c>
      <c r="B1134" s="54"/>
      <c r="C1134" s="55"/>
      <c r="D1134" s="55"/>
      <c r="E1134" s="55"/>
      <c r="F1134" s="55"/>
      <c r="G1134" s="55"/>
      <c r="H1134" s="55"/>
      <c r="I1134" s="55"/>
      <c r="J1134" s="55"/>
      <c r="K1134" s="55"/>
      <c r="L1134" s="55"/>
      <c r="M1134" s="55"/>
      <c r="N1134" s="55"/>
      <c r="O1134" s="55"/>
      <c r="P1134" s="56"/>
      <c r="AI1134" s="49"/>
      <c r="AJ1134" s="78"/>
      <c r="AK1134" s="78"/>
      <c r="AL1134" s="78"/>
      <c r="AM1134" s="78"/>
      <c r="AN1134" s="78"/>
      <c r="AO1134" s="78"/>
      <c r="AP1134" s="78"/>
      <c r="AQ1134" s="78"/>
      <c r="AR1134" s="78"/>
      <c r="AS1134" s="78"/>
      <c r="AT1134" s="78"/>
      <c r="AU1134" s="78"/>
      <c r="AV1134" s="78"/>
      <c r="AW1134" s="78"/>
      <c r="AX1134" s="78"/>
      <c r="AY1134" s="3"/>
      <c r="AZ1134" s="81"/>
      <c r="BB1134" s="5"/>
      <c r="BC1134" s="5"/>
    </row>
    <row r="1135" spans="1:55" x14ac:dyDescent="0.25">
      <c r="A1135" s="51">
        <v>42836</v>
      </c>
      <c r="B1135" s="54"/>
      <c r="C1135" s="55"/>
      <c r="D1135" s="55"/>
      <c r="E1135" s="55"/>
      <c r="F1135" s="55"/>
      <c r="G1135" s="55"/>
      <c r="H1135" s="55"/>
      <c r="I1135" s="55"/>
      <c r="J1135" s="55"/>
      <c r="K1135" s="55"/>
      <c r="L1135" s="55"/>
      <c r="M1135" s="55"/>
      <c r="N1135" s="55"/>
      <c r="O1135" s="55"/>
      <c r="P1135" s="56"/>
      <c r="AI1135" s="49"/>
      <c r="AJ1135" s="78"/>
      <c r="AK1135" s="78"/>
      <c r="AL1135" s="78"/>
      <c r="AM1135" s="78"/>
      <c r="AN1135" s="78"/>
      <c r="AO1135" s="78"/>
      <c r="AP1135" s="78"/>
      <c r="AQ1135" s="78"/>
      <c r="AR1135" s="78"/>
      <c r="AS1135" s="78"/>
      <c r="AT1135" s="78"/>
      <c r="AU1135" s="78"/>
      <c r="AV1135" s="78"/>
      <c r="AW1135" s="78"/>
      <c r="AX1135" s="78"/>
      <c r="AY1135" s="3"/>
      <c r="AZ1135" s="81"/>
      <c r="BB1135" s="5"/>
      <c r="BC1135" s="5"/>
    </row>
    <row r="1136" spans="1:55" x14ac:dyDescent="0.25">
      <c r="A1136" s="51">
        <v>42837</v>
      </c>
      <c r="B1136" s="54"/>
      <c r="C1136" s="55"/>
      <c r="D1136" s="55"/>
      <c r="E1136" s="55"/>
      <c r="F1136" s="55"/>
      <c r="G1136" s="55"/>
      <c r="H1136" s="55"/>
      <c r="I1136" s="55"/>
      <c r="J1136" s="55"/>
      <c r="K1136" s="55"/>
      <c r="L1136" s="55"/>
      <c r="M1136" s="55"/>
      <c r="N1136" s="55"/>
      <c r="O1136" s="55"/>
      <c r="P1136" s="56"/>
      <c r="AI1136" s="49"/>
      <c r="AJ1136" s="78"/>
      <c r="AK1136" s="78"/>
      <c r="AL1136" s="78"/>
      <c r="AM1136" s="78"/>
      <c r="AN1136" s="78"/>
      <c r="AO1136" s="78"/>
      <c r="AP1136" s="78"/>
      <c r="AQ1136" s="78"/>
      <c r="AR1136" s="78"/>
      <c r="AS1136" s="78"/>
      <c r="AT1136" s="78"/>
      <c r="AU1136" s="78"/>
      <c r="AV1136" s="78"/>
      <c r="AW1136" s="78"/>
      <c r="AX1136" s="78"/>
      <c r="AY1136" s="3"/>
      <c r="AZ1136" s="81"/>
      <c r="BB1136" s="5"/>
      <c r="BC1136" s="5"/>
    </row>
    <row r="1137" spans="1:55" x14ac:dyDescent="0.25">
      <c r="A1137" s="51">
        <v>42842</v>
      </c>
      <c r="B1137" s="54"/>
      <c r="C1137" s="55"/>
      <c r="D1137" s="55"/>
      <c r="E1137" s="55"/>
      <c r="F1137" s="55"/>
      <c r="G1137" s="55"/>
      <c r="H1137" s="55"/>
      <c r="I1137" s="55"/>
      <c r="J1137" s="55"/>
      <c r="K1137" s="55"/>
      <c r="L1137" s="55"/>
      <c r="M1137" s="55"/>
      <c r="N1137" s="55"/>
      <c r="O1137" s="55"/>
      <c r="P1137" s="56"/>
      <c r="AI1137" s="49"/>
      <c r="AJ1137" s="78"/>
      <c r="AK1137" s="78"/>
      <c r="AL1137" s="78"/>
      <c r="AM1137" s="78"/>
      <c r="AN1137" s="78"/>
      <c r="AO1137" s="78"/>
      <c r="AP1137" s="78"/>
      <c r="AQ1137" s="78"/>
      <c r="AR1137" s="78"/>
      <c r="AS1137" s="78"/>
      <c r="AT1137" s="78"/>
      <c r="AU1137" s="78"/>
      <c r="AV1137" s="78"/>
      <c r="AW1137" s="78"/>
      <c r="AX1137" s="78"/>
      <c r="AY1137" s="3"/>
      <c r="AZ1137" s="81"/>
      <c r="BB1137" s="5"/>
      <c r="BC1137" s="5"/>
    </row>
    <row r="1138" spans="1:55" x14ac:dyDescent="0.25">
      <c r="A1138" s="51">
        <v>42843</v>
      </c>
      <c r="B1138" s="54"/>
      <c r="C1138" s="55"/>
      <c r="D1138" s="55"/>
      <c r="E1138" s="55"/>
      <c r="F1138" s="55"/>
      <c r="G1138" s="55"/>
      <c r="H1138" s="55"/>
      <c r="I1138" s="55"/>
      <c r="J1138" s="55"/>
      <c r="K1138" s="55"/>
      <c r="L1138" s="55"/>
      <c r="M1138" s="55"/>
      <c r="N1138" s="55"/>
      <c r="O1138" s="55"/>
      <c r="P1138" s="56"/>
      <c r="AI1138" s="49"/>
      <c r="AJ1138" s="78"/>
      <c r="AK1138" s="78"/>
      <c r="AL1138" s="78"/>
      <c r="AM1138" s="78"/>
      <c r="AN1138" s="78"/>
      <c r="AO1138" s="78"/>
      <c r="AP1138" s="78"/>
      <c r="AQ1138" s="78"/>
      <c r="AR1138" s="78"/>
      <c r="AS1138" s="78"/>
      <c r="AT1138" s="78"/>
      <c r="AU1138" s="78"/>
      <c r="AV1138" s="78"/>
      <c r="AW1138" s="78"/>
      <c r="AX1138" s="78"/>
      <c r="AY1138" s="3"/>
      <c r="AZ1138" s="81"/>
      <c r="BB1138" s="5"/>
      <c r="BC1138" s="5"/>
    </row>
    <row r="1139" spans="1:55" x14ac:dyDescent="0.25">
      <c r="A1139" s="51">
        <v>42844</v>
      </c>
      <c r="B1139" s="54"/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5"/>
      <c r="N1139" s="55"/>
      <c r="O1139" s="55"/>
      <c r="P1139" s="56"/>
      <c r="AI1139" s="49"/>
      <c r="AJ1139" s="78"/>
      <c r="AK1139" s="78"/>
      <c r="AL1139" s="78"/>
      <c r="AM1139" s="78"/>
      <c r="AN1139" s="78"/>
      <c r="AO1139" s="78"/>
      <c r="AP1139" s="78"/>
      <c r="AQ1139" s="78"/>
      <c r="AR1139" s="78"/>
      <c r="AS1139" s="78"/>
      <c r="AT1139" s="78"/>
      <c r="AU1139" s="78"/>
      <c r="AV1139" s="78"/>
      <c r="AW1139" s="78"/>
      <c r="AX1139" s="78"/>
      <c r="AY1139" s="3"/>
      <c r="AZ1139" s="81"/>
      <c r="BB1139" s="5"/>
      <c r="BC1139" s="5"/>
    </row>
    <row r="1140" spans="1:55" x14ac:dyDescent="0.25">
      <c r="A1140" s="51">
        <v>42845</v>
      </c>
      <c r="B1140" s="54"/>
      <c r="C1140" s="55"/>
      <c r="D1140" s="55"/>
      <c r="E1140" s="55"/>
      <c r="F1140" s="55"/>
      <c r="G1140" s="55"/>
      <c r="H1140" s="55"/>
      <c r="I1140" s="55"/>
      <c r="J1140" s="55"/>
      <c r="K1140" s="55"/>
      <c r="L1140" s="55"/>
      <c r="M1140" s="55"/>
      <c r="N1140" s="55"/>
      <c r="O1140" s="55"/>
      <c r="P1140" s="56"/>
      <c r="AI1140" s="49"/>
      <c r="AJ1140" s="78"/>
      <c r="AK1140" s="78"/>
      <c r="AL1140" s="78"/>
      <c r="AM1140" s="78"/>
      <c r="AN1140" s="78"/>
      <c r="AO1140" s="78"/>
      <c r="AP1140" s="78"/>
      <c r="AQ1140" s="78"/>
      <c r="AR1140" s="78"/>
      <c r="AS1140" s="78"/>
      <c r="AT1140" s="78"/>
      <c r="AU1140" s="78"/>
      <c r="AV1140" s="78"/>
      <c r="AW1140" s="78"/>
      <c r="AX1140" s="78"/>
      <c r="AY1140" s="3"/>
      <c r="AZ1140" s="81"/>
      <c r="BB1140" s="5"/>
      <c r="BC1140" s="5"/>
    </row>
    <row r="1141" spans="1:55" x14ac:dyDescent="0.25">
      <c r="A1141" s="51">
        <v>42846</v>
      </c>
      <c r="B1141" s="54"/>
      <c r="C1141" s="55"/>
      <c r="D1141" s="55"/>
      <c r="E1141" s="55"/>
      <c r="F1141" s="55"/>
      <c r="G1141" s="55"/>
      <c r="H1141" s="55"/>
      <c r="I1141" s="55"/>
      <c r="J1141" s="55"/>
      <c r="K1141" s="55"/>
      <c r="L1141" s="55"/>
      <c r="M1141" s="55"/>
      <c r="N1141" s="55"/>
      <c r="O1141" s="55"/>
      <c r="P1141" s="56"/>
      <c r="AI1141" s="49"/>
      <c r="AJ1141" s="78"/>
      <c r="AK1141" s="78"/>
      <c r="AL1141" s="78"/>
      <c r="AM1141" s="78"/>
      <c r="AN1141" s="78"/>
      <c r="AO1141" s="78"/>
      <c r="AP1141" s="78"/>
      <c r="AQ1141" s="78"/>
      <c r="AR1141" s="78"/>
      <c r="AS1141" s="78"/>
      <c r="AT1141" s="78"/>
      <c r="AU1141" s="78"/>
      <c r="AV1141" s="78"/>
      <c r="AW1141" s="78"/>
      <c r="AX1141" s="78"/>
      <c r="AY1141" s="3"/>
      <c r="AZ1141" s="81"/>
      <c r="BB1141" s="5"/>
      <c r="BC1141" s="5"/>
    </row>
    <row r="1142" spans="1:55" x14ac:dyDescent="0.25">
      <c r="A1142" s="51">
        <v>42849</v>
      </c>
      <c r="B1142" s="54"/>
      <c r="C1142" s="55"/>
      <c r="D1142" s="55"/>
      <c r="E1142" s="55"/>
      <c r="F1142" s="55"/>
      <c r="G1142" s="55"/>
      <c r="H1142" s="55"/>
      <c r="I1142" s="55"/>
      <c r="J1142" s="55"/>
      <c r="K1142" s="55"/>
      <c r="L1142" s="55"/>
      <c r="M1142" s="55"/>
      <c r="N1142" s="55"/>
      <c r="O1142" s="55"/>
      <c r="P1142" s="56"/>
      <c r="AI1142" s="49"/>
      <c r="AJ1142" s="78"/>
      <c r="AK1142" s="78"/>
      <c r="AL1142" s="78"/>
      <c r="AM1142" s="78"/>
      <c r="AN1142" s="78"/>
      <c r="AO1142" s="78"/>
      <c r="AP1142" s="78"/>
      <c r="AQ1142" s="78"/>
      <c r="AR1142" s="78"/>
      <c r="AS1142" s="78"/>
      <c r="AT1142" s="78"/>
      <c r="AU1142" s="78"/>
      <c r="AV1142" s="78"/>
      <c r="AW1142" s="78"/>
      <c r="AX1142" s="78"/>
      <c r="AY1142" s="3"/>
      <c r="AZ1142" s="81"/>
      <c r="BB1142" s="5"/>
      <c r="BC1142" s="5"/>
    </row>
    <row r="1143" spans="1:55" x14ac:dyDescent="0.25">
      <c r="A1143" s="51">
        <v>42850</v>
      </c>
      <c r="B1143" s="54"/>
      <c r="C1143" s="55"/>
      <c r="D1143" s="55"/>
      <c r="E1143" s="55"/>
      <c r="F1143" s="55"/>
      <c r="G1143" s="55"/>
      <c r="H1143" s="55"/>
      <c r="I1143" s="55"/>
      <c r="J1143" s="55"/>
      <c r="K1143" s="55"/>
      <c r="L1143" s="55"/>
      <c r="M1143" s="55"/>
      <c r="N1143" s="55"/>
      <c r="O1143" s="55"/>
      <c r="P1143" s="56"/>
      <c r="AI1143" s="49"/>
      <c r="AJ1143" s="78"/>
      <c r="AK1143" s="78"/>
      <c r="AL1143" s="78"/>
      <c r="AM1143" s="78"/>
      <c r="AN1143" s="78"/>
      <c r="AO1143" s="78"/>
      <c r="AP1143" s="78"/>
      <c r="AQ1143" s="78"/>
      <c r="AR1143" s="78"/>
      <c r="AS1143" s="78"/>
      <c r="AT1143" s="78"/>
      <c r="AU1143" s="78"/>
      <c r="AV1143" s="78"/>
      <c r="AW1143" s="78"/>
      <c r="AX1143" s="78"/>
      <c r="AY1143" s="3"/>
      <c r="AZ1143" s="81"/>
      <c r="BB1143" s="5"/>
      <c r="BC1143" s="5"/>
    </row>
    <row r="1144" spans="1:55" x14ac:dyDescent="0.25">
      <c r="A1144" s="51">
        <v>42851</v>
      </c>
      <c r="B1144" s="54"/>
      <c r="C1144" s="55"/>
      <c r="D1144" s="55"/>
      <c r="E1144" s="55"/>
      <c r="F1144" s="55"/>
      <c r="G1144" s="55"/>
      <c r="H1144" s="55"/>
      <c r="I1144" s="55"/>
      <c r="J1144" s="55"/>
      <c r="K1144" s="55"/>
      <c r="L1144" s="55"/>
      <c r="M1144" s="55"/>
      <c r="N1144" s="55"/>
      <c r="O1144" s="55"/>
      <c r="P1144" s="56"/>
      <c r="AI1144" s="49"/>
      <c r="AJ1144" s="78"/>
      <c r="AK1144" s="78"/>
      <c r="AL1144" s="78"/>
      <c r="AM1144" s="78"/>
      <c r="AN1144" s="78"/>
      <c r="AO1144" s="78"/>
      <c r="AP1144" s="78"/>
      <c r="AQ1144" s="78"/>
      <c r="AR1144" s="78"/>
      <c r="AS1144" s="78"/>
      <c r="AT1144" s="78"/>
      <c r="AU1144" s="78"/>
      <c r="AV1144" s="78"/>
      <c r="AW1144" s="78"/>
      <c r="AX1144" s="78"/>
      <c r="AY1144" s="3"/>
      <c r="AZ1144" s="81"/>
      <c r="BB1144" s="5"/>
      <c r="BC1144" s="5"/>
    </row>
    <row r="1145" spans="1:55" x14ac:dyDescent="0.25">
      <c r="A1145" s="51">
        <v>42852</v>
      </c>
      <c r="B1145" s="54"/>
      <c r="C1145" s="55"/>
      <c r="D1145" s="55"/>
      <c r="E1145" s="55"/>
      <c r="F1145" s="55"/>
      <c r="G1145" s="55"/>
      <c r="H1145" s="55"/>
      <c r="I1145" s="55"/>
      <c r="J1145" s="55"/>
      <c r="K1145" s="55"/>
      <c r="L1145" s="55"/>
      <c r="M1145" s="55"/>
      <c r="N1145" s="55"/>
      <c r="O1145" s="55"/>
      <c r="P1145" s="56"/>
      <c r="AI1145" s="49"/>
      <c r="AJ1145" s="78"/>
      <c r="AK1145" s="78"/>
      <c r="AL1145" s="78"/>
      <c r="AM1145" s="78"/>
      <c r="AN1145" s="78"/>
      <c r="AO1145" s="78"/>
      <c r="AP1145" s="78"/>
      <c r="AQ1145" s="78"/>
      <c r="AR1145" s="78"/>
      <c r="AS1145" s="78"/>
      <c r="AT1145" s="78"/>
      <c r="AU1145" s="78"/>
      <c r="AV1145" s="78"/>
      <c r="AW1145" s="78"/>
      <c r="AX1145" s="78"/>
      <c r="AY1145" s="3"/>
      <c r="AZ1145" s="81"/>
      <c r="BB1145" s="5"/>
      <c r="BC1145" s="5"/>
    </row>
    <row r="1146" spans="1:55" x14ac:dyDescent="0.25">
      <c r="A1146" s="51">
        <v>42853</v>
      </c>
      <c r="B1146" s="54"/>
      <c r="C1146" s="55"/>
      <c r="D1146" s="55"/>
      <c r="E1146" s="55"/>
      <c r="F1146" s="55"/>
      <c r="G1146" s="55"/>
      <c r="H1146" s="55"/>
      <c r="I1146" s="55"/>
      <c r="J1146" s="55"/>
      <c r="K1146" s="55"/>
      <c r="L1146" s="55"/>
      <c r="M1146" s="55"/>
      <c r="N1146" s="55"/>
      <c r="O1146" s="55"/>
      <c r="P1146" s="56"/>
      <c r="AI1146" s="49"/>
      <c r="AJ1146" s="78"/>
      <c r="AK1146" s="78"/>
      <c r="AL1146" s="78"/>
      <c r="AM1146" s="78"/>
      <c r="AN1146" s="78"/>
      <c r="AO1146" s="78"/>
      <c r="AP1146" s="78"/>
      <c r="AQ1146" s="78"/>
      <c r="AR1146" s="78"/>
      <c r="AS1146" s="78"/>
      <c r="AT1146" s="78"/>
      <c r="AU1146" s="78"/>
      <c r="AV1146" s="78"/>
      <c r="AW1146" s="78"/>
      <c r="AX1146" s="78"/>
      <c r="AY1146" s="3"/>
      <c r="AZ1146" s="81"/>
      <c r="BB1146" s="5"/>
      <c r="BC1146" s="5"/>
    </row>
    <row r="1147" spans="1:55" x14ac:dyDescent="0.25">
      <c r="A1147" s="51">
        <v>42857</v>
      </c>
      <c r="B1147" s="54"/>
      <c r="C1147" s="55"/>
      <c r="D1147" s="55"/>
      <c r="E1147" s="55"/>
      <c r="F1147" s="55"/>
      <c r="G1147" s="55"/>
      <c r="H1147" s="55"/>
      <c r="I1147" s="55"/>
      <c r="J1147" s="55"/>
      <c r="K1147" s="55"/>
      <c r="L1147" s="55"/>
      <c r="M1147" s="55"/>
      <c r="N1147" s="55"/>
      <c r="O1147" s="55"/>
      <c r="P1147" s="56"/>
      <c r="AI1147" s="49"/>
      <c r="AJ1147" s="78"/>
      <c r="AK1147" s="78"/>
      <c r="AL1147" s="78"/>
      <c r="AM1147" s="78"/>
      <c r="AN1147" s="78"/>
      <c r="AO1147" s="78"/>
      <c r="AP1147" s="78"/>
      <c r="AQ1147" s="78"/>
      <c r="AR1147" s="78"/>
      <c r="AS1147" s="78"/>
      <c r="AT1147" s="78"/>
      <c r="AU1147" s="78"/>
      <c r="AV1147" s="78"/>
      <c r="AW1147" s="78"/>
      <c r="AX1147" s="78"/>
      <c r="AY1147" s="3"/>
      <c r="AZ1147" s="81"/>
      <c r="BB1147" s="5"/>
      <c r="BC1147" s="5"/>
    </row>
    <row r="1148" spans="1:55" x14ac:dyDescent="0.25">
      <c r="A1148" s="51">
        <v>42858</v>
      </c>
      <c r="B1148" s="54"/>
      <c r="C1148" s="55"/>
      <c r="D1148" s="55"/>
      <c r="E1148" s="55"/>
      <c r="F1148" s="55"/>
      <c r="G1148" s="55"/>
      <c r="H1148" s="55"/>
      <c r="I1148" s="55"/>
      <c r="J1148" s="55"/>
      <c r="K1148" s="55"/>
      <c r="L1148" s="55"/>
      <c r="M1148" s="55"/>
      <c r="N1148" s="55"/>
      <c r="O1148" s="55"/>
      <c r="P1148" s="56"/>
      <c r="AI1148" s="49"/>
      <c r="AJ1148" s="78"/>
      <c r="AK1148" s="78"/>
      <c r="AL1148" s="78"/>
      <c r="AM1148" s="78"/>
      <c r="AN1148" s="78"/>
      <c r="AO1148" s="78"/>
      <c r="AP1148" s="78"/>
      <c r="AQ1148" s="78"/>
      <c r="AR1148" s="78"/>
      <c r="AS1148" s="78"/>
      <c r="AT1148" s="78"/>
      <c r="AU1148" s="78"/>
      <c r="AV1148" s="78"/>
      <c r="AW1148" s="78"/>
      <c r="AX1148" s="78"/>
      <c r="AY1148" s="3"/>
      <c r="AZ1148" s="81"/>
      <c r="BB1148" s="5"/>
      <c r="BC1148" s="5"/>
    </row>
    <row r="1149" spans="1:55" x14ac:dyDescent="0.25">
      <c r="A1149" s="51">
        <v>42859</v>
      </c>
      <c r="B1149" s="54"/>
      <c r="C1149" s="55"/>
      <c r="D1149" s="55"/>
      <c r="E1149" s="55"/>
      <c r="F1149" s="55"/>
      <c r="G1149" s="55"/>
      <c r="H1149" s="55"/>
      <c r="I1149" s="55"/>
      <c r="J1149" s="55"/>
      <c r="K1149" s="55"/>
      <c r="L1149" s="55"/>
      <c r="M1149" s="55"/>
      <c r="N1149" s="55"/>
      <c r="O1149" s="55"/>
      <c r="P1149" s="56"/>
      <c r="AI1149" s="49"/>
      <c r="AJ1149" s="78"/>
      <c r="AK1149" s="78"/>
      <c r="AL1149" s="78"/>
      <c r="AM1149" s="78"/>
      <c r="AN1149" s="78"/>
      <c r="AO1149" s="78"/>
      <c r="AP1149" s="78"/>
      <c r="AQ1149" s="78"/>
      <c r="AR1149" s="78"/>
      <c r="AS1149" s="78"/>
      <c r="AT1149" s="78"/>
      <c r="AU1149" s="78"/>
      <c r="AV1149" s="78"/>
      <c r="AW1149" s="78"/>
      <c r="AX1149" s="78"/>
      <c r="AY1149" s="3"/>
      <c r="AZ1149" s="81"/>
      <c r="BB1149" s="5"/>
      <c r="BC1149" s="5"/>
    </row>
    <row r="1150" spans="1:55" x14ac:dyDescent="0.25">
      <c r="A1150" s="51">
        <v>42860</v>
      </c>
      <c r="B1150" s="54"/>
      <c r="C1150" s="55"/>
      <c r="D1150" s="55"/>
      <c r="E1150" s="55"/>
      <c r="F1150" s="55"/>
      <c r="G1150" s="55"/>
      <c r="H1150" s="55"/>
      <c r="I1150" s="55"/>
      <c r="J1150" s="55"/>
      <c r="K1150" s="55"/>
      <c r="L1150" s="55"/>
      <c r="M1150" s="55"/>
      <c r="N1150" s="55"/>
      <c r="O1150" s="55"/>
      <c r="P1150" s="56"/>
      <c r="AI1150" s="49"/>
      <c r="AJ1150" s="78"/>
      <c r="AK1150" s="78"/>
      <c r="AL1150" s="78"/>
      <c r="AM1150" s="78"/>
      <c r="AN1150" s="78"/>
      <c r="AO1150" s="78"/>
      <c r="AP1150" s="78"/>
      <c r="AQ1150" s="78"/>
      <c r="AR1150" s="78"/>
      <c r="AS1150" s="78"/>
      <c r="AT1150" s="78"/>
      <c r="AU1150" s="78"/>
      <c r="AV1150" s="78"/>
      <c r="AW1150" s="78"/>
      <c r="AX1150" s="78"/>
      <c r="AY1150" s="3"/>
      <c r="AZ1150" s="81"/>
      <c r="BB1150" s="5"/>
      <c r="BC1150" s="5"/>
    </row>
    <row r="1151" spans="1:55" x14ac:dyDescent="0.25">
      <c r="A1151" s="51">
        <v>42863</v>
      </c>
      <c r="B1151" s="54"/>
      <c r="C1151" s="55"/>
      <c r="D1151" s="55"/>
      <c r="E1151" s="55"/>
      <c r="F1151" s="55"/>
      <c r="G1151" s="55"/>
      <c r="H1151" s="55"/>
      <c r="I1151" s="55"/>
      <c r="J1151" s="55"/>
      <c r="K1151" s="55"/>
      <c r="L1151" s="55"/>
      <c r="M1151" s="55"/>
      <c r="N1151" s="55"/>
      <c r="O1151" s="55"/>
      <c r="P1151" s="56"/>
      <c r="AI1151" s="49"/>
      <c r="AJ1151" s="78"/>
      <c r="AK1151" s="78"/>
      <c r="AL1151" s="78"/>
      <c r="AM1151" s="78"/>
      <c r="AN1151" s="78"/>
      <c r="AO1151" s="78"/>
      <c r="AP1151" s="78"/>
      <c r="AQ1151" s="78"/>
      <c r="AR1151" s="78"/>
      <c r="AS1151" s="78"/>
      <c r="AT1151" s="78"/>
      <c r="AU1151" s="78"/>
      <c r="AV1151" s="78"/>
      <c r="AW1151" s="78"/>
      <c r="AX1151" s="78"/>
      <c r="AY1151" s="3"/>
      <c r="AZ1151" s="81"/>
      <c r="BB1151" s="5"/>
      <c r="BC1151" s="5"/>
    </row>
    <row r="1152" spans="1:55" x14ac:dyDescent="0.25">
      <c r="A1152" s="51">
        <v>42864</v>
      </c>
      <c r="B1152" s="54"/>
      <c r="C1152" s="55"/>
      <c r="D1152" s="55"/>
      <c r="E1152" s="55"/>
      <c r="F1152" s="55"/>
      <c r="G1152" s="55"/>
      <c r="H1152" s="55"/>
      <c r="I1152" s="55"/>
      <c r="J1152" s="55"/>
      <c r="K1152" s="55"/>
      <c r="L1152" s="55"/>
      <c r="M1152" s="55"/>
      <c r="N1152" s="55"/>
      <c r="O1152" s="55"/>
      <c r="P1152" s="56"/>
      <c r="AI1152" s="49"/>
      <c r="AJ1152" s="78"/>
      <c r="AK1152" s="78"/>
      <c r="AL1152" s="78"/>
      <c r="AM1152" s="78"/>
      <c r="AN1152" s="78"/>
      <c r="AO1152" s="78"/>
      <c r="AP1152" s="78"/>
      <c r="AQ1152" s="78"/>
      <c r="AR1152" s="78"/>
      <c r="AS1152" s="78"/>
      <c r="AT1152" s="78"/>
      <c r="AU1152" s="78"/>
      <c r="AV1152" s="78"/>
      <c r="AW1152" s="78"/>
      <c r="AX1152" s="78"/>
      <c r="AY1152" s="3"/>
      <c r="AZ1152" s="81"/>
      <c r="BB1152" s="5"/>
      <c r="BC1152" s="5"/>
    </row>
    <row r="1153" spans="1:55" x14ac:dyDescent="0.25">
      <c r="A1153" s="51">
        <v>42865</v>
      </c>
      <c r="B1153" s="54"/>
      <c r="C1153" s="55"/>
      <c r="D1153" s="55"/>
      <c r="E1153" s="55"/>
      <c r="F1153" s="55"/>
      <c r="G1153" s="55"/>
      <c r="H1153" s="55"/>
      <c r="I1153" s="55"/>
      <c r="J1153" s="55"/>
      <c r="K1153" s="55"/>
      <c r="L1153" s="55"/>
      <c r="M1153" s="55"/>
      <c r="N1153" s="55"/>
      <c r="O1153" s="55"/>
      <c r="P1153" s="56"/>
      <c r="AI1153" s="49"/>
      <c r="AJ1153" s="78"/>
      <c r="AK1153" s="78"/>
      <c r="AL1153" s="78"/>
      <c r="AM1153" s="78"/>
      <c r="AN1153" s="78"/>
      <c r="AO1153" s="78"/>
      <c r="AP1153" s="78"/>
      <c r="AQ1153" s="78"/>
      <c r="AR1153" s="78"/>
      <c r="AS1153" s="78"/>
      <c r="AT1153" s="78"/>
      <c r="AU1153" s="78"/>
      <c r="AV1153" s="78"/>
      <c r="AW1153" s="78"/>
      <c r="AX1153" s="78"/>
      <c r="AY1153" s="3"/>
      <c r="AZ1153" s="81"/>
      <c r="BB1153" s="5"/>
      <c r="BC1153" s="5"/>
    </row>
    <row r="1154" spans="1:55" x14ac:dyDescent="0.25">
      <c r="A1154" s="51">
        <v>42866</v>
      </c>
      <c r="B1154" s="54"/>
      <c r="C1154" s="55"/>
      <c r="D1154" s="55"/>
      <c r="E1154" s="55"/>
      <c r="F1154" s="55"/>
      <c r="G1154" s="55"/>
      <c r="H1154" s="55"/>
      <c r="I1154" s="55"/>
      <c r="J1154" s="55"/>
      <c r="K1154" s="55"/>
      <c r="L1154" s="55"/>
      <c r="M1154" s="55"/>
      <c r="N1154" s="55"/>
      <c r="O1154" s="55"/>
      <c r="P1154" s="56"/>
      <c r="AI1154" s="49"/>
      <c r="AJ1154" s="78"/>
      <c r="AK1154" s="78"/>
      <c r="AL1154" s="78"/>
      <c r="AM1154" s="78"/>
      <c r="AN1154" s="78"/>
      <c r="AO1154" s="78"/>
      <c r="AP1154" s="78"/>
      <c r="AQ1154" s="78"/>
      <c r="AR1154" s="78"/>
      <c r="AS1154" s="78"/>
      <c r="AT1154" s="78"/>
      <c r="AU1154" s="78"/>
      <c r="AV1154" s="78"/>
      <c r="AW1154" s="78"/>
      <c r="AX1154" s="78"/>
      <c r="AY1154" s="3"/>
      <c r="AZ1154" s="81"/>
      <c r="BB1154" s="5"/>
      <c r="BC1154" s="5"/>
    </row>
    <row r="1155" spans="1:55" x14ac:dyDescent="0.25">
      <c r="A1155" s="51">
        <v>42867</v>
      </c>
      <c r="B1155" s="54"/>
      <c r="C1155" s="55"/>
      <c r="D1155" s="55"/>
      <c r="E1155" s="55"/>
      <c r="F1155" s="55"/>
      <c r="G1155" s="55"/>
      <c r="H1155" s="55"/>
      <c r="I1155" s="55"/>
      <c r="J1155" s="55"/>
      <c r="K1155" s="55"/>
      <c r="L1155" s="55"/>
      <c r="M1155" s="55"/>
      <c r="N1155" s="55"/>
      <c r="O1155" s="55"/>
      <c r="P1155" s="56"/>
      <c r="AI1155" s="49"/>
      <c r="AJ1155" s="78"/>
      <c r="AK1155" s="78"/>
      <c r="AL1155" s="78"/>
      <c r="AM1155" s="78"/>
      <c r="AN1155" s="78"/>
      <c r="AO1155" s="78"/>
      <c r="AP1155" s="78"/>
      <c r="AQ1155" s="78"/>
      <c r="AR1155" s="78"/>
      <c r="AS1155" s="78"/>
      <c r="AT1155" s="78"/>
      <c r="AU1155" s="78"/>
      <c r="AV1155" s="78"/>
      <c r="AW1155" s="78"/>
      <c r="AX1155" s="78"/>
      <c r="AY1155" s="3"/>
      <c r="AZ1155" s="81"/>
      <c r="BB1155" s="5"/>
      <c r="BC1155" s="5"/>
    </row>
    <row r="1156" spans="1:55" x14ac:dyDescent="0.25">
      <c r="A1156" s="51">
        <v>42870</v>
      </c>
      <c r="B1156" s="54"/>
      <c r="C1156" s="55"/>
      <c r="D1156" s="55"/>
      <c r="E1156" s="55"/>
      <c r="F1156" s="55"/>
      <c r="G1156" s="55"/>
      <c r="H1156" s="55"/>
      <c r="I1156" s="55"/>
      <c r="J1156" s="55"/>
      <c r="K1156" s="55"/>
      <c r="L1156" s="55"/>
      <c r="M1156" s="55"/>
      <c r="N1156" s="55"/>
      <c r="O1156" s="55"/>
      <c r="P1156" s="56"/>
      <c r="AI1156" s="49"/>
      <c r="AJ1156" s="78"/>
      <c r="AK1156" s="78"/>
      <c r="AL1156" s="78"/>
      <c r="AM1156" s="78"/>
      <c r="AN1156" s="78"/>
      <c r="AO1156" s="78"/>
      <c r="AP1156" s="78"/>
      <c r="AQ1156" s="78"/>
      <c r="AR1156" s="78"/>
      <c r="AS1156" s="78"/>
      <c r="AT1156" s="78"/>
      <c r="AU1156" s="78"/>
      <c r="AV1156" s="78"/>
      <c r="AW1156" s="78"/>
      <c r="AX1156" s="78"/>
      <c r="AY1156" s="3"/>
      <c r="AZ1156" s="81"/>
      <c r="BB1156" s="5"/>
      <c r="BC1156" s="5"/>
    </row>
    <row r="1157" spans="1:55" x14ac:dyDescent="0.25">
      <c r="A1157" s="51">
        <v>42871</v>
      </c>
      <c r="B1157" s="54"/>
      <c r="C1157" s="55"/>
      <c r="D1157" s="55"/>
      <c r="E1157" s="55"/>
      <c r="F1157" s="55"/>
      <c r="G1157" s="55"/>
      <c r="H1157" s="55"/>
      <c r="I1157" s="55"/>
      <c r="J1157" s="55"/>
      <c r="K1157" s="55"/>
      <c r="L1157" s="55"/>
      <c r="M1157" s="55"/>
      <c r="N1157" s="55"/>
      <c r="O1157" s="55"/>
      <c r="P1157" s="56"/>
      <c r="AI1157" s="49"/>
      <c r="AJ1157" s="78"/>
      <c r="AK1157" s="78"/>
      <c r="AL1157" s="78"/>
      <c r="AM1157" s="78"/>
      <c r="AN1157" s="78"/>
      <c r="AO1157" s="78"/>
      <c r="AP1157" s="78"/>
      <c r="AQ1157" s="78"/>
      <c r="AR1157" s="78"/>
      <c r="AS1157" s="78"/>
      <c r="AT1157" s="78"/>
      <c r="AU1157" s="78"/>
      <c r="AV1157" s="78"/>
      <c r="AW1157" s="78"/>
      <c r="AX1157" s="78"/>
      <c r="AY1157" s="3"/>
      <c r="AZ1157" s="81"/>
      <c r="BB1157" s="5"/>
      <c r="BC1157" s="5"/>
    </row>
    <row r="1158" spans="1:55" x14ac:dyDescent="0.25">
      <c r="A1158" s="51">
        <v>42872</v>
      </c>
      <c r="B1158" s="54"/>
      <c r="C1158" s="55"/>
      <c r="D1158" s="55"/>
      <c r="E1158" s="55"/>
      <c r="F1158" s="55"/>
      <c r="G1158" s="55"/>
      <c r="H1158" s="55"/>
      <c r="I1158" s="55"/>
      <c r="J1158" s="55"/>
      <c r="K1158" s="55"/>
      <c r="L1158" s="55"/>
      <c r="M1158" s="55"/>
      <c r="N1158" s="55"/>
      <c r="O1158" s="55"/>
      <c r="P1158" s="56"/>
      <c r="AI1158" s="49"/>
      <c r="AJ1158" s="78"/>
      <c r="AK1158" s="78"/>
      <c r="AL1158" s="78"/>
      <c r="AM1158" s="78"/>
      <c r="AN1158" s="78"/>
      <c r="AO1158" s="78"/>
      <c r="AP1158" s="78"/>
      <c r="AQ1158" s="78"/>
      <c r="AR1158" s="78"/>
      <c r="AS1158" s="78"/>
      <c r="AT1158" s="78"/>
      <c r="AU1158" s="78"/>
      <c r="AV1158" s="78"/>
      <c r="AW1158" s="78"/>
      <c r="AX1158" s="78"/>
      <c r="AY1158" s="3"/>
      <c r="AZ1158" s="81"/>
      <c r="BB1158" s="5"/>
      <c r="BC1158" s="5"/>
    </row>
    <row r="1159" spans="1:55" x14ac:dyDescent="0.25">
      <c r="A1159" s="51">
        <v>42873</v>
      </c>
      <c r="B1159" s="54"/>
      <c r="C1159" s="55"/>
      <c r="D1159" s="55"/>
      <c r="E1159" s="55"/>
      <c r="F1159" s="55"/>
      <c r="G1159" s="55"/>
      <c r="H1159" s="55"/>
      <c r="I1159" s="55"/>
      <c r="J1159" s="55"/>
      <c r="K1159" s="55"/>
      <c r="L1159" s="55"/>
      <c r="M1159" s="55"/>
      <c r="N1159" s="55"/>
      <c r="O1159" s="55"/>
      <c r="P1159" s="56"/>
      <c r="AI1159" s="49"/>
      <c r="AJ1159" s="78"/>
      <c r="AK1159" s="78"/>
      <c r="AL1159" s="78"/>
      <c r="AM1159" s="78"/>
      <c r="AN1159" s="78"/>
      <c r="AO1159" s="78"/>
      <c r="AP1159" s="78"/>
      <c r="AQ1159" s="78"/>
      <c r="AR1159" s="78"/>
      <c r="AS1159" s="78"/>
      <c r="AT1159" s="78"/>
      <c r="AU1159" s="78"/>
      <c r="AV1159" s="78"/>
      <c r="AW1159" s="78"/>
      <c r="AX1159" s="78"/>
      <c r="AY1159" s="3"/>
      <c r="AZ1159" s="81"/>
      <c r="BB1159" s="5"/>
      <c r="BC1159" s="5"/>
    </row>
    <row r="1160" spans="1:55" x14ac:dyDescent="0.25">
      <c r="A1160" s="51">
        <v>42874</v>
      </c>
      <c r="B1160" s="54"/>
      <c r="C1160" s="55"/>
      <c r="D1160" s="55"/>
      <c r="E1160" s="55"/>
      <c r="F1160" s="55"/>
      <c r="G1160" s="55"/>
      <c r="H1160" s="55"/>
      <c r="I1160" s="55"/>
      <c r="J1160" s="55"/>
      <c r="K1160" s="55"/>
      <c r="L1160" s="55"/>
      <c r="M1160" s="55"/>
      <c r="N1160" s="55"/>
      <c r="O1160" s="55"/>
      <c r="P1160" s="56"/>
      <c r="AI1160" s="49"/>
      <c r="AJ1160" s="78"/>
      <c r="AK1160" s="78"/>
      <c r="AL1160" s="78"/>
      <c r="AM1160" s="78"/>
      <c r="AN1160" s="78"/>
      <c r="AO1160" s="78"/>
      <c r="AP1160" s="78"/>
      <c r="AQ1160" s="78"/>
      <c r="AR1160" s="78"/>
      <c r="AS1160" s="78"/>
      <c r="AT1160" s="78"/>
      <c r="AU1160" s="78"/>
      <c r="AV1160" s="78"/>
      <c r="AW1160" s="78"/>
      <c r="AX1160" s="78"/>
      <c r="AY1160" s="3"/>
      <c r="AZ1160" s="81"/>
      <c r="BB1160" s="5"/>
      <c r="BC1160" s="5"/>
    </row>
    <row r="1161" spans="1:55" x14ac:dyDescent="0.25">
      <c r="A1161" s="51">
        <v>42877</v>
      </c>
      <c r="B1161" s="54"/>
      <c r="C1161" s="55"/>
      <c r="D1161" s="55"/>
      <c r="E1161" s="55"/>
      <c r="F1161" s="55"/>
      <c r="G1161" s="55"/>
      <c r="H1161" s="55"/>
      <c r="I1161" s="55"/>
      <c r="J1161" s="55"/>
      <c r="K1161" s="55"/>
      <c r="L1161" s="55"/>
      <c r="M1161" s="55"/>
      <c r="N1161" s="55"/>
      <c r="O1161" s="55"/>
      <c r="P1161" s="56"/>
      <c r="AI1161" s="49"/>
      <c r="AJ1161" s="78"/>
      <c r="AK1161" s="78"/>
      <c r="AL1161" s="78"/>
      <c r="AM1161" s="78"/>
      <c r="AN1161" s="78"/>
      <c r="AO1161" s="78"/>
      <c r="AP1161" s="78"/>
      <c r="AQ1161" s="78"/>
      <c r="AR1161" s="78"/>
      <c r="AS1161" s="78"/>
      <c r="AT1161" s="78"/>
      <c r="AU1161" s="78"/>
      <c r="AV1161" s="78"/>
      <c r="AW1161" s="78"/>
      <c r="AX1161" s="78"/>
      <c r="AY1161" s="3"/>
      <c r="AZ1161" s="81"/>
      <c r="BB1161" s="5"/>
      <c r="BC1161" s="5"/>
    </row>
    <row r="1162" spans="1:55" x14ac:dyDescent="0.25">
      <c r="A1162" s="51">
        <v>42878</v>
      </c>
      <c r="B1162" s="54"/>
      <c r="C1162" s="55"/>
      <c r="D1162" s="55"/>
      <c r="E1162" s="55"/>
      <c r="F1162" s="55"/>
      <c r="G1162" s="55"/>
      <c r="H1162" s="55"/>
      <c r="I1162" s="55"/>
      <c r="J1162" s="55"/>
      <c r="K1162" s="55"/>
      <c r="L1162" s="55"/>
      <c r="M1162" s="55"/>
      <c r="N1162" s="55"/>
      <c r="O1162" s="55"/>
      <c r="P1162" s="56"/>
      <c r="AI1162" s="49"/>
      <c r="AJ1162" s="78"/>
      <c r="AK1162" s="78"/>
      <c r="AL1162" s="78"/>
      <c r="AM1162" s="78"/>
      <c r="AN1162" s="78"/>
      <c r="AO1162" s="78"/>
      <c r="AP1162" s="78"/>
      <c r="AQ1162" s="78"/>
      <c r="AR1162" s="78"/>
      <c r="AS1162" s="78"/>
      <c r="AT1162" s="78"/>
      <c r="AU1162" s="78"/>
      <c r="AV1162" s="78"/>
      <c r="AW1162" s="78"/>
      <c r="AX1162" s="78"/>
      <c r="AY1162" s="3"/>
      <c r="AZ1162" s="81"/>
      <c r="BB1162" s="5"/>
      <c r="BC1162" s="5"/>
    </row>
    <row r="1163" spans="1:55" x14ac:dyDescent="0.25">
      <c r="A1163" s="51">
        <v>42879</v>
      </c>
      <c r="B1163" s="54"/>
      <c r="C1163" s="55"/>
      <c r="D1163" s="55"/>
      <c r="E1163" s="55"/>
      <c r="F1163" s="55"/>
      <c r="G1163" s="55"/>
      <c r="H1163" s="55"/>
      <c r="I1163" s="55"/>
      <c r="J1163" s="55"/>
      <c r="K1163" s="55"/>
      <c r="L1163" s="55"/>
      <c r="M1163" s="55"/>
      <c r="N1163" s="55"/>
      <c r="O1163" s="55"/>
      <c r="P1163" s="56"/>
      <c r="AI1163" s="49"/>
      <c r="AJ1163" s="78"/>
      <c r="AK1163" s="78"/>
      <c r="AL1163" s="78"/>
      <c r="AM1163" s="78"/>
      <c r="AN1163" s="78"/>
      <c r="AO1163" s="78"/>
      <c r="AP1163" s="78"/>
      <c r="AQ1163" s="78"/>
      <c r="AR1163" s="78"/>
      <c r="AS1163" s="78"/>
      <c r="AT1163" s="78"/>
      <c r="AU1163" s="78"/>
      <c r="AV1163" s="78"/>
      <c r="AW1163" s="78"/>
      <c r="AX1163" s="78"/>
      <c r="AY1163" s="3"/>
      <c r="AZ1163" s="81"/>
      <c r="BB1163" s="5"/>
      <c r="BC1163" s="5"/>
    </row>
    <row r="1164" spans="1:55" x14ac:dyDescent="0.25">
      <c r="A1164" s="51">
        <v>42880</v>
      </c>
      <c r="B1164" s="54"/>
      <c r="C1164" s="55"/>
      <c r="D1164" s="55"/>
      <c r="E1164" s="55"/>
      <c r="F1164" s="55"/>
      <c r="G1164" s="55"/>
      <c r="H1164" s="55"/>
      <c r="I1164" s="55"/>
      <c r="J1164" s="55"/>
      <c r="K1164" s="55"/>
      <c r="L1164" s="55"/>
      <c r="M1164" s="55"/>
      <c r="N1164" s="55"/>
      <c r="O1164" s="55"/>
      <c r="P1164" s="56"/>
      <c r="AI1164" s="49"/>
      <c r="AJ1164" s="78"/>
      <c r="AK1164" s="78"/>
      <c r="AL1164" s="78"/>
      <c r="AM1164" s="78"/>
      <c r="AN1164" s="78"/>
      <c r="AO1164" s="78"/>
      <c r="AP1164" s="78"/>
      <c r="AQ1164" s="78"/>
      <c r="AR1164" s="78"/>
      <c r="AS1164" s="78"/>
      <c r="AT1164" s="78"/>
      <c r="AU1164" s="78"/>
      <c r="AV1164" s="78"/>
      <c r="AW1164" s="78"/>
      <c r="AX1164" s="78"/>
      <c r="AY1164" s="3"/>
      <c r="AZ1164" s="81"/>
      <c r="BB1164" s="5"/>
      <c r="BC1164" s="5"/>
    </row>
    <row r="1165" spans="1:55" x14ac:dyDescent="0.25">
      <c r="A1165" s="51">
        <v>42881</v>
      </c>
      <c r="B1165" s="54"/>
      <c r="C1165" s="55"/>
      <c r="D1165" s="55"/>
      <c r="E1165" s="55"/>
      <c r="F1165" s="55"/>
      <c r="G1165" s="55"/>
      <c r="H1165" s="55"/>
      <c r="I1165" s="55"/>
      <c r="J1165" s="55"/>
      <c r="K1165" s="55"/>
      <c r="L1165" s="55"/>
      <c r="M1165" s="55"/>
      <c r="N1165" s="55"/>
      <c r="O1165" s="55"/>
      <c r="P1165" s="56"/>
      <c r="AI1165" s="49"/>
      <c r="AJ1165" s="78"/>
      <c r="AK1165" s="78"/>
      <c r="AL1165" s="78"/>
      <c r="AM1165" s="78"/>
      <c r="AN1165" s="78"/>
      <c r="AO1165" s="78"/>
      <c r="AP1165" s="78"/>
      <c r="AQ1165" s="78"/>
      <c r="AR1165" s="78"/>
      <c r="AS1165" s="78"/>
      <c r="AT1165" s="78"/>
      <c r="AU1165" s="78"/>
      <c r="AV1165" s="78"/>
      <c r="AW1165" s="78"/>
      <c r="AX1165" s="78"/>
      <c r="AY1165" s="3"/>
      <c r="AZ1165" s="81"/>
      <c r="BB1165" s="5"/>
      <c r="BC1165" s="5"/>
    </row>
    <row r="1166" spans="1:55" x14ac:dyDescent="0.25">
      <c r="A1166" s="51">
        <v>42884</v>
      </c>
      <c r="B1166" s="54"/>
      <c r="C1166" s="55"/>
      <c r="D1166" s="55"/>
      <c r="E1166" s="55"/>
      <c r="F1166" s="55"/>
      <c r="G1166" s="55"/>
      <c r="H1166" s="55"/>
      <c r="I1166" s="55"/>
      <c r="J1166" s="55"/>
      <c r="K1166" s="55"/>
      <c r="L1166" s="55"/>
      <c r="M1166" s="55"/>
      <c r="N1166" s="55"/>
      <c r="O1166" s="55"/>
      <c r="P1166" s="56"/>
      <c r="AI1166" s="49"/>
      <c r="AJ1166" s="78"/>
      <c r="AK1166" s="78"/>
      <c r="AL1166" s="78"/>
      <c r="AM1166" s="78"/>
      <c r="AN1166" s="78"/>
      <c r="AO1166" s="78"/>
      <c r="AP1166" s="78"/>
      <c r="AQ1166" s="78"/>
      <c r="AR1166" s="78"/>
      <c r="AS1166" s="78"/>
      <c r="AT1166" s="78"/>
      <c r="AU1166" s="78"/>
      <c r="AV1166" s="78"/>
      <c r="AW1166" s="78"/>
      <c r="AX1166" s="78"/>
      <c r="AY1166" s="3"/>
      <c r="AZ1166" s="81"/>
      <c r="BB1166" s="5"/>
      <c r="BC1166" s="5"/>
    </row>
    <row r="1167" spans="1:55" x14ac:dyDescent="0.25">
      <c r="A1167" s="51">
        <v>42885</v>
      </c>
      <c r="B1167" s="54"/>
      <c r="C1167" s="55"/>
      <c r="D1167" s="55"/>
      <c r="E1167" s="55"/>
      <c r="F1167" s="55"/>
      <c r="G1167" s="55"/>
      <c r="H1167" s="55"/>
      <c r="I1167" s="55"/>
      <c r="J1167" s="55"/>
      <c r="K1167" s="55"/>
      <c r="L1167" s="55"/>
      <c r="M1167" s="55"/>
      <c r="N1167" s="55"/>
      <c r="O1167" s="55"/>
      <c r="P1167" s="56"/>
      <c r="AI1167" s="49"/>
      <c r="AJ1167" s="78"/>
      <c r="AK1167" s="78"/>
      <c r="AL1167" s="78"/>
      <c r="AM1167" s="78"/>
      <c r="AN1167" s="78"/>
      <c r="AO1167" s="78"/>
      <c r="AP1167" s="78"/>
      <c r="AQ1167" s="78"/>
      <c r="AR1167" s="78"/>
      <c r="AS1167" s="78"/>
      <c r="AT1167" s="78"/>
      <c r="AU1167" s="78"/>
      <c r="AV1167" s="78"/>
      <c r="AW1167" s="78"/>
      <c r="AX1167" s="78"/>
      <c r="AY1167" s="3"/>
      <c r="AZ1167" s="81"/>
      <c r="BB1167" s="5"/>
      <c r="BC1167" s="5"/>
    </row>
    <row r="1168" spans="1:55" x14ac:dyDescent="0.25">
      <c r="A1168" s="51">
        <v>42886</v>
      </c>
      <c r="B1168" s="54"/>
      <c r="C1168" s="55"/>
      <c r="D1168" s="55"/>
      <c r="E1168" s="55"/>
      <c r="F1168" s="55"/>
      <c r="G1168" s="55"/>
      <c r="H1168" s="55"/>
      <c r="I1168" s="55"/>
      <c r="J1168" s="55"/>
      <c r="K1168" s="55"/>
      <c r="L1168" s="55"/>
      <c r="M1168" s="55"/>
      <c r="N1168" s="55"/>
      <c r="O1168" s="55"/>
      <c r="P1168" s="56"/>
      <c r="AI1168" s="49"/>
      <c r="AJ1168" s="78"/>
      <c r="AK1168" s="78"/>
      <c r="AL1168" s="78"/>
      <c r="AM1168" s="78"/>
      <c r="AN1168" s="78"/>
      <c r="AO1168" s="78"/>
      <c r="AP1168" s="78"/>
      <c r="AQ1168" s="78"/>
      <c r="AR1168" s="78"/>
      <c r="AS1168" s="78"/>
      <c r="AT1168" s="78"/>
      <c r="AU1168" s="78"/>
      <c r="AV1168" s="78"/>
      <c r="AW1168" s="78"/>
      <c r="AX1168" s="78"/>
      <c r="AY1168" s="3"/>
      <c r="AZ1168" s="81"/>
      <c r="BB1168" s="5"/>
      <c r="BC1168" s="5"/>
    </row>
    <row r="1169" spans="1:55" x14ac:dyDescent="0.25">
      <c r="A1169" s="51">
        <v>42887</v>
      </c>
      <c r="B1169" s="54"/>
      <c r="C1169" s="55"/>
      <c r="D1169" s="55"/>
      <c r="E1169" s="55"/>
      <c r="F1169" s="55"/>
      <c r="G1169" s="55"/>
      <c r="H1169" s="55"/>
      <c r="I1169" s="55"/>
      <c r="J1169" s="55"/>
      <c r="K1169" s="55"/>
      <c r="L1169" s="55"/>
      <c r="M1169" s="55"/>
      <c r="N1169" s="55"/>
      <c r="O1169" s="55"/>
      <c r="P1169" s="56"/>
      <c r="AI1169" s="49"/>
      <c r="AJ1169" s="78"/>
      <c r="AK1169" s="78"/>
      <c r="AL1169" s="78"/>
      <c r="AM1169" s="78"/>
      <c r="AN1169" s="78"/>
      <c r="AO1169" s="78"/>
      <c r="AP1169" s="78"/>
      <c r="AQ1169" s="78"/>
      <c r="AR1169" s="78"/>
      <c r="AS1169" s="78"/>
      <c r="AT1169" s="78"/>
      <c r="AU1169" s="78"/>
      <c r="AV1169" s="78"/>
      <c r="AW1169" s="78"/>
      <c r="AX1169" s="78"/>
      <c r="AY1169" s="3"/>
      <c r="AZ1169" s="81"/>
      <c r="BB1169" s="5"/>
      <c r="BC1169" s="5"/>
    </row>
    <row r="1170" spans="1:55" x14ac:dyDescent="0.25">
      <c r="A1170" s="51">
        <v>42888</v>
      </c>
      <c r="B1170" s="54"/>
      <c r="C1170" s="55"/>
      <c r="D1170" s="55"/>
      <c r="E1170" s="55"/>
      <c r="F1170" s="55"/>
      <c r="G1170" s="55"/>
      <c r="H1170" s="55"/>
      <c r="I1170" s="55"/>
      <c r="J1170" s="55"/>
      <c r="K1170" s="55"/>
      <c r="L1170" s="55"/>
      <c r="M1170" s="55"/>
      <c r="N1170" s="55"/>
      <c r="O1170" s="55"/>
      <c r="P1170" s="56"/>
      <c r="AI1170" s="49"/>
      <c r="AJ1170" s="78"/>
      <c r="AK1170" s="78"/>
      <c r="AL1170" s="78"/>
      <c r="AM1170" s="78"/>
      <c r="AN1170" s="78"/>
      <c r="AO1170" s="78"/>
      <c r="AP1170" s="78"/>
      <c r="AQ1170" s="78"/>
      <c r="AR1170" s="78"/>
      <c r="AS1170" s="78"/>
      <c r="AT1170" s="78"/>
      <c r="AU1170" s="78"/>
      <c r="AV1170" s="78"/>
      <c r="AW1170" s="78"/>
      <c r="AX1170" s="78"/>
      <c r="AY1170" s="3"/>
      <c r="AZ1170" s="81"/>
      <c r="BB1170" s="5"/>
      <c r="BC1170" s="5"/>
    </row>
    <row r="1171" spans="1:55" x14ac:dyDescent="0.25">
      <c r="A1171" s="51">
        <v>42891</v>
      </c>
      <c r="B1171" s="54"/>
      <c r="C1171" s="55"/>
      <c r="D1171" s="55"/>
      <c r="E1171" s="55"/>
      <c r="F1171" s="55"/>
      <c r="G1171" s="55"/>
      <c r="H1171" s="55"/>
      <c r="I1171" s="55"/>
      <c r="J1171" s="55"/>
      <c r="K1171" s="55"/>
      <c r="L1171" s="55"/>
      <c r="M1171" s="55"/>
      <c r="N1171" s="55"/>
      <c r="O1171" s="55"/>
      <c r="P1171" s="56"/>
      <c r="AI1171" s="49"/>
      <c r="AJ1171" s="78"/>
      <c r="AK1171" s="78"/>
      <c r="AL1171" s="78"/>
      <c r="AM1171" s="78"/>
      <c r="AN1171" s="78"/>
      <c r="AO1171" s="78"/>
      <c r="AP1171" s="78"/>
      <c r="AQ1171" s="78"/>
      <c r="AR1171" s="78"/>
      <c r="AS1171" s="78"/>
      <c r="AT1171" s="78"/>
      <c r="AU1171" s="78"/>
      <c r="AV1171" s="78"/>
      <c r="AW1171" s="78"/>
      <c r="AX1171" s="78"/>
      <c r="AY1171" s="3"/>
      <c r="AZ1171" s="81"/>
      <c r="BB1171" s="5"/>
      <c r="BC1171" s="5"/>
    </row>
    <row r="1172" spans="1:55" x14ac:dyDescent="0.25">
      <c r="A1172" s="51">
        <v>42892</v>
      </c>
      <c r="B1172" s="54"/>
      <c r="C1172" s="55"/>
      <c r="D1172" s="55"/>
      <c r="E1172" s="55"/>
      <c r="F1172" s="55"/>
      <c r="G1172" s="55"/>
      <c r="H1172" s="55"/>
      <c r="I1172" s="55"/>
      <c r="J1172" s="55"/>
      <c r="K1172" s="55"/>
      <c r="L1172" s="55"/>
      <c r="M1172" s="55"/>
      <c r="N1172" s="55"/>
      <c r="O1172" s="55"/>
      <c r="P1172" s="56"/>
      <c r="AI1172" s="49"/>
      <c r="AJ1172" s="78"/>
      <c r="AK1172" s="78"/>
      <c r="AL1172" s="78"/>
      <c r="AM1172" s="78"/>
      <c r="AN1172" s="78"/>
      <c r="AO1172" s="78"/>
      <c r="AP1172" s="78"/>
      <c r="AQ1172" s="78"/>
      <c r="AR1172" s="78"/>
      <c r="AS1172" s="78"/>
      <c r="AT1172" s="78"/>
      <c r="AU1172" s="78"/>
      <c r="AV1172" s="78"/>
      <c r="AW1172" s="78"/>
      <c r="AX1172" s="78"/>
      <c r="AY1172" s="3"/>
      <c r="AZ1172" s="81"/>
      <c r="BB1172" s="5"/>
      <c r="BC1172" s="5"/>
    </row>
    <row r="1173" spans="1:55" x14ac:dyDescent="0.25">
      <c r="A1173" s="51">
        <v>42893</v>
      </c>
      <c r="B1173" s="54"/>
      <c r="C1173" s="55"/>
      <c r="D1173" s="55"/>
      <c r="E1173" s="55"/>
      <c r="F1173" s="55"/>
      <c r="G1173" s="55"/>
      <c r="H1173" s="55"/>
      <c r="I1173" s="55"/>
      <c r="J1173" s="55"/>
      <c r="K1173" s="55"/>
      <c r="L1173" s="55"/>
      <c r="M1173" s="55"/>
      <c r="N1173" s="55"/>
      <c r="O1173" s="55"/>
      <c r="P1173" s="56"/>
      <c r="AI1173" s="49"/>
      <c r="AJ1173" s="78"/>
      <c r="AK1173" s="78"/>
      <c r="AL1173" s="78"/>
      <c r="AM1173" s="78"/>
      <c r="AN1173" s="78"/>
      <c r="AO1173" s="78"/>
      <c r="AP1173" s="78"/>
      <c r="AQ1173" s="78"/>
      <c r="AR1173" s="78"/>
      <c r="AS1173" s="78"/>
      <c r="AT1173" s="78"/>
      <c r="AU1173" s="78"/>
      <c r="AV1173" s="78"/>
      <c r="AW1173" s="78"/>
      <c r="AX1173" s="78"/>
      <c r="AY1173" s="3"/>
      <c r="AZ1173" s="81"/>
      <c r="BB1173" s="5"/>
      <c r="BC1173" s="5"/>
    </row>
    <row r="1174" spans="1:55" x14ac:dyDescent="0.25">
      <c r="A1174" s="51">
        <v>42894</v>
      </c>
      <c r="B1174" s="54"/>
      <c r="C1174" s="55"/>
      <c r="D1174" s="55"/>
      <c r="E1174" s="55"/>
      <c r="F1174" s="55"/>
      <c r="G1174" s="55"/>
      <c r="H1174" s="55"/>
      <c r="I1174" s="55"/>
      <c r="J1174" s="55"/>
      <c r="K1174" s="55"/>
      <c r="L1174" s="55"/>
      <c r="M1174" s="55"/>
      <c r="N1174" s="55"/>
      <c r="O1174" s="55"/>
      <c r="P1174" s="56"/>
      <c r="AI1174" s="49"/>
      <c r="AJ1174" s="78"/>
      <c r="AK1174" s="78"/>
      <c r="AL1174" s="78"/>
      <c r="AM1174" s="78"/>
      <c r="AN1174" s="78"/>
      <c r="AO1174" s="78"/>
      <c r="AP1174" s="78"/>
      <c r="AQ1174" s="78"/>
      <c r="AR1174" s="78"/>
      <c r="AS1174" s="78"/>
      <c r="AT1174" s="78"/>
      <c r="AU1174" s="78"/>
      <c r="AV1174" s="78"/>
      <c r="AW1174" s="78"/>
      <c r="AX1174" s="78"/>
      <c r="AY1174" s="3"/>
      <c r="AZ1174" s="81"/>
      <c r="BB1174" s="5"/>
      <c r="BC1174" s="5"/>
    </row>
    <row r="1175" spans="1:55" x14ac:dyDescent="0.25">
      <c r="A1175" s="51">
        <v>42895</v>
      </c>
      <c r="B1175" s="54"/>
      <c r="C1175" s="55"/>
      <c r="D1175" s="55"/>
      <c r="E1175" s="55"/>
      <c r="F1175" s="55"/>
      <c r="G1175" s="55"/>
      <c r="H1175" s="55"/>
      <c r="I1175" s="55"/>
      <c r="J1175" s="55"/>
      <c r="K1175" s="55"/>
      <c r="L1175" s="55"/>
      <c r="M1175" s="55"/>
      <c r="N1175" s="55"/>
      <c r="O1175" s="55"/>
      <c r="P1175" s="56"/>
      <c r="AI1175" s="49"/>
      <c r="AJ1175" s="78"/>
      <c r="AK1175" s="78"/>
      <c r="AL1175" s="78"/>
      <c r="AM1175" s="78"/>
      <c r="AN1175" s="78"/>
      <c r="AO1175" s="78"/>
      <c r="AP1175" s="78"/>
      <c r="AQ1175" s="78"/>
      <c r="AR1175" s="78"/>
      <c r="AS1175" s="78"/>
      <c r="AT1175" s="78"/>
      <c r="AU1175" s="78"/>
      <c r="AV1175" s="78"/>
      <c r="AW1175" s="78"/>
      <c r="AX1175" s="78"/>
      <c r="AY1175" s="3"/>
      <c r="AZ1175" s="81"/>
      <c r="BB1175" s="5"/>
      <c r="BC1175" s="5"/>
    </row>
    <row r="1176" spans="1:55" x14ac:dyDescent="0.25">
      <c r="A1176" s="51">
        <v>42898</v>
      </c>
      <c r="B1176" s="54"/>
      <c r="C1176" s="55"/>
      <c r="D1176" s="55"/>
      <c r="E1176" s="55"/>
      <c r="F1176" s="55"/>
      <c r="G1176" s="55"/>
      <c r="H1176" s="55"/>
      <c r="I1176" s="55"/>
      <c r="J1176" s="55"/>
      <c r="K1176" s="55"/>
      <c r="L1176" s="55"/>
      <c r="M1176" s="55"/>
      <c r="N1176" s="55"/>
      <c r="O1176" s="55"/>
      <c r="P1176" s="56"/>
      <c r="AI1176" s="49"/>
      <c r="AJ1176" s="78"/>
      <c r="AK1176" s="78"/>
      <c r="AL1176" s="78"/>
      <c r="AM1176" s="78"/>
      <c r="AN1176" s="78"/>
      <c r="AO1176" s="78"/>
      <c r="AP1176" s="78"/>
      <c r="AQ1176" s="78"/>
      <c r="AR1176" s="78"/>
      <c r="AS1176" s="78"/>
      <c r="AT1176" s="78"/>
      <c r="AU1176" s="78"/>
      <c r="AV1176" s="78"/>
      <c r="AW1176" s="78"/>
      <c r="AX1176" s="78"/>
      <c r="AY1176" s="3"/>
      <c r="AZ1176" s="81"/>
      <c r="BB1176" s="5"/>
      <c r="BC1176" s="5"/>
    </row>
    <row r="1177" spans="1:55" x14ac:dyDescent="0.25">
      <c r="A1177" s="51">
        <v>42899</v>
      </c>
      <c r="B1177" s="54"/>
      <c r="C1177" s="55"/>
      <c r="D1177" s="55"/>
      <c r="E1177" s="55"/>
      <c r="F1177" s="55"/>
      <c r="G1177" s="55"/>
      <c r="H1177" s="55"/>
      <c r="I1177" s="55"/>
      <c r="J1177" s="55"/>
      <c r="K1177" s="55"/>
      <c r="L1177" s="55"/>
      <c r="M1177" s="55"/>
      <c r="N1177" s="55"/>
      <c r="O1177" s="55"/>
      <c r="P1177" s="56"/>
      <c r="AI1177" s="49"/>
      <c r="AJ1177" s="78"/>
      <c r="AK1177" s="78"/>
      <c r="AL1177" s="78"/>
      <c r="AM1177" s="78"/>
      <c r="AN1177" s="78"/>
      <c r="AO1177" s="78"/>
      <c r="AP1177" s="78"/>
      <c r="AQ1177" s="78"/>
      <c r="AR1177" s="78"/>
      <c r="AS1177" s="78"/>
      <c r="AT1177" s="78"/>
      <c r="AU1177" s="78"/>
      <c r="AV1177" s="78"/>
      <c r="AW1177" s="78"/>
      <c r="AX1177" s="78"/>
      <c r="AY1177" s="3"/>
      <c r="AZ1177" s="81"/>
      <c r="BB1177" s="5"/>
      <c r="BC1177" s="5"/>
    </row>
    <row r="1178" spans="1:55" x14ac:dyDescent="0.25">
      <c r="A1178" s="51">
        <v>42900</v>
      </c>
      <c r="B1178" s="54"/>
      <c r="C1178" s="55"/>
      <c r="D1178" s="55"/>
      <c r="E1178" s="55"/>
      <c r="F1178" s="55"/>
      <c r="G1178" s="55"/>
      <c r="H1178" s="55"/>
      <c r="I1178" s="55"/>
      <c r="J1178" s="55"/>
      <c r="K1178" s="55"/>
      <c r="L1178" s="55"/>
      <c r="M1178" s="55"/>
      <c r="N1178" s="55"/>
      <c r="O1178" s="55"/>
      <c r="P1178" s="56"/>
      <c r="AI1178" s="49"/>
      <c r="AJ1178" s="78"/>
      <c r="AK1178" s="78"/>
      <c r="AL1178" s="78"/>
      <c r="AM1178" s="78"/>
      <c r="AN1178" s="78"/>
      <c r="AO1178" s="78"/>
      <c r="AP1178" s="78"/>
      <c r="AQ1178" s="78"/>
      <c r="AR1178" s="78"/>
      <c r="AS1178" s="78"/>
      <c r="AT1178" s="78"/>
      <c r="AU1178" s="78"/>
      <c r="AV1178" s="78"/>
      <c r="AW1178" s="78"/>
      <c r="AX1178" s="78"/>
      <c r="AY1178" s="3"/>
      <c r="AZ1178" s="81"/>
      <c r="BB1178" s="5"/>
      <c r="BC1178" s="5"/>
    </row>
    <row r="1179" spans="1:55" x14ac:dyDescent="0.25">
      <c r="A1179" s="51">
        <v>42901</v>
      </c>
      <c r="B1179" s="54"/>
      <c r="C1179" s="55"/>
      <c r="D1179" s="55"/>
      <c r="E1179" s="55"/>
      <c r="F1179" s="55"/>
      <c r="G1179" s="55"/>
      <c r="H1179" s="55"/>
      <c r="I1179" s="55"/>
      <c r="J1179" s="55"/>
      <c r="K1179" s="55"/>
      <c r="L1179" s="55"/>
      <c r="M1179" s="55"/>
      <c r="N1179" s="55"/>
      <c r="O1179" s="55"/>
      <c r="P1179" s="56"/>
      <c r="AI1179" s="49"/>
      <c r="AJ1179" s="78"/>
      <c r="AK1179" s="78"/>
      <c r="AL1179" s="78"/>
      <c r="AM1179" s="78"/>
      <c r="AN1179" s="78"/>
      <c r="AO1179" s="78"/>
      <c r="AP1179" s="78"/>
      <c r="AQ1179" s="78"/>
      <c r="AR1179" s="78"/>
      <c r="AS1179" s="78"/>
      <c r="AT1179" s="78"/>
      <c r="AU1179" s="78"/>
      <c r="AV1179" s="78"/>
      <c r="AW1179" s="78"/>
      <c r="AX1179" s="78"/>
      <c r="AY1179" s="3"/>
      <c r="AZ1179" s="81"/>
      <c r="BB1179" s="5"/>
      <c r="BC1179" s="5"/>
    </row>
    <row r="1180" spans="1:55" x14ac:dyDescent="0.25">
      <c r="A1180" s="51">
        <v>42902</v>
      </c>
      <c r="B1180" s="54"/>
      <c r="C1180" s="55"/>
      <c r="D1180" s="55"/>
      <c r="E1180" s="55"/>
      <c r="F1180" s="55"/>
      <c r="G1180" s="55"/>
      <c r="H1180" s="55"/>
      <c r="I1180" s="55"/>
      <c r="J1180" s="55"/>
      <c r="K1180" s="55"/>
      <c r="L1180" s="55"/>
      <c r="M1180" s="55"/>
      <c r="N1180" s="55"/>
      <c r="O1180" s="55"/>
      <c r="P1180" s="56"/>
      <c r="AI1180" s="49"/>
      <c r="AJ1180" s="78"/>
      <c r="AK1180" s="78"/>
      <c r="AL1180" s="78"/>
      <c r="AM1180" s="78"/>
      <c r="AN1180" s="78"/>
      <c r="AO1180" s="78"/>
      <c r="AP1180" s="78"/>
      <c r="AQ1180" s="78"/>
      <c r="AR1180" s="78"/>
      <c r="AS1180" s="78"/>
      <c r="AT1180" s="78"/>
      <c r="AU1180" s="78"/>
      <c r="AV1180" s="78"/>
      <c r="AW1180" s="78"/>
      <c r="AX1180" s="78"/>
      <c r="AY1180" s="3"/>
      <c r="AZ1180" s="81"/>
      <c r="BB1180" s="5"/>
      <c r="BC1180" s="5"/>
    </row>
    <row r="1181" spans="1:55" x14ac:dyDescent="0.25">
      <c r="A1181" s="51">
        <v>42905</v>
      </c>
      <c r="B1181" s="54"/>
      <c r="C1181" s="55"/>
      <c r="D1181" s="55"/>
      <c r="E1181" s="55"/>
      <c r="F1181" s="55"/>
      <c r="G1181" s="55"/>
      <c r="H1181" s="55"/>
      <c r="I1181" s="55"/>
      <c r="J1181" s="55"/>
      <c r="K1181" s="55"/>
      <c r="L1181" s="55"/>
      <c r="M1181" s="55"/>
      <c r="N1181" s="55"/>
      <c r="O1181" s="55"/>
      <c r="P1181" s="56"/>
      <c r="AI1181" s="49"/>
      <c r="AJ1181" s="78"/>
      <c r="AK1181" s="78"/>
      <c r="AL1181" s="78"/>
      <c r="AM1181" s="78"/>
      <c r="AN1181" s="78"/>
      <c r="AO1181" s="78"/>
      <c r="AP1181" s="78"/>
      <c r="AQ1181" s="78"/>
      <c r="AR1181" s="78"/>
      <c r="AS1181" s="78"/>
      <c r="AT1181" s="78"/>
      <c r="AU1181" s="78"/>
      <c r="AV1181" s="78"/>
      <c r="AW1181" s="78"/>
      <c r="AX1181" s="78"/>
      <c r="AY1181" s="3"/>
      <c r="AZ1181" s="81"/>
      <c r="BB1181" s="5"/>
      <c r="BC1181" s="5"/>
    </row>
    <row r="1182" spans="1:55" x14ac:dyDescent="0.25">
      <c r="A1182" s="51">
        <v>42906</v>
      </c>
      <c r="B1182" s="54"/>
      <c r="C1182" s="55"/>
      <c r="D1182" s="55"/>
      <c r="E1182" s="55"/>
      <c r="F1182" s="55"/>
      <c r="G1182" s="55"/>
      <c r="H1182" s="55"/>
      <c r="I1182" s="55"/>
      <c r="J1182" s="55"/>
      <c r="K1182" s="55"/>
      <c r="L1182" s="55"/>
      <c r="M1182" s="55"/>
      <c r="N1182" s="55"/>
      <c r="O1182" s="55"/>
      <c r="P1182" s="56"/>
      <c r="AI1182" s="49"/>
      <c r="AJ1182" s="78"/>
      <c r="AK1182" s="78"/>
      <c r="AL1182" s="78"/>
      <c r="AM1182" s="78"/>
      <c r="AN1182" s="78"/>
      <c r="AO1182" s="78"/>
      <c r="AP1182" s="78"/>
      <c r="AQ1182" s="78"/>
      <c r="AR1182" s="78"/>
      <c r="AS1182" s="78"/>
      <c r="AT1182" s="78"/>
      <c r="AU1182" s="78"/>
      <c r="AV1182" s="78"/>
      <c r="AW1182" s="78"/>
      <c r="AX1182" s="78"/>
      <c r="AY1182" s="3"/>
      <c r="AZ1182" s="81"/>
      <c r="BB1182" s="5"/>
      <c r="BC1182" s="5"/>
    </row>
    <row r="1183" spans="1:55" x14ac:dyDescent="0.25">
      <c r="A1183" s="51">
        <v>42907</v>
      </c>
      <c r="B1183" s="54"/>
      <c r="C1183" s="55"/>
      <c r="D1183" s="55"/>
      <c r="E1183" s="55"/>
      <c r="F1183" s="55"/>
      <c r="G1183" s="55"/>
      <c r="H1183" s="55"/>
      <c r="I1183" s="55"/>
      <c r="J1183" s="55"/>
      <c r="K1183" s="55"/>
      <c r="L1183" s="55"/>
      <c r="M1183" s="55"/>
      <c r="N1183" s="55"/>
      <c r="O1183" s="55"/>
      <c r="P1183" s="56"/>
      <c r="AI1183" s="49"/>
      <c r="AJ1183" s="78"/>
      <c r="AK1183" s="78"/>
      <c r="AL1183" s="78"/>
      <c r="AM1183" s="78"/>
      <c r="AN1183" s="78"/>
      <c r="AO1183" s="78"/>
      <c r="AP1183" s="78"/>
      <c r="AQ1183" s="78"/>
      <c r="AR1183" s="78"/>
      <c r="AS1183" s="78"/>
      <c r="AT1183" s="78"/>
      <c r="AU1183" s="78"/>
      <c r="AV1183" s="78"/>
      <c r="AW1183" s="78"/>
      <c r="AX1183" s="78"/>
      <c r="AY1183" s="3"/>
      <c r="AZ1183" s="81"/>
      <c r="BB1183" s="5"/>
      <c r="BC1183" s="5"/>
    </row>
    <row r="1184" spans="1:55" x14ac:dyDescent="0.25">
      <c r="A1184" s="51">
        <v>42908</v>
      </c>
      <c r="B1184" s="54"/>
      <c r="C1184" s="55"/>
      <c r="D1184" s="55"/>
      <c r="E1184" s="55"/>
      <c r="F1184" s="55"/>
      <c r="G1184" s="55"/>
      <c r="H1184" s="55"/>
      <c r="I1184" s="55"/>
      <c r="J1184" s="55"/>
      <c r="K1184" s="55"/>
      <c r="L1184" s="55"/>
      <c r="M1184" s="55"/>
      <c r="N1184" s="55"/>
      <c r="O1184" s="55"/>
      <c r="P1184" s="56"/>
      <c r="AI1184" s="49"/>
      <c r="AJ1184" s="78"/>
      <c r="AK1184" s="78"/>
      <c r="AL1184" s="78"/>
      <c r="AM1184" s="78"/>
      <c r="AN1184" s="78"/>
      <c r="AO1184" s="78"/>
      <c r="AP1184" s="78"/>
      <c r="AQ1184" s="78"/>
      <c r="AR1184" s="78"/>
      <c r="AS1184" s="78"/>
      <c r="AT1184" s="78"/>
      <c r="AU1184" s="78"/>
      <c r="AV1184" s="78"/>
      <c r="AW1184" s="78"/>
      <c r="AX1184" s="78"/>
      <c r="AY1184" s="3"/>
      <c r="AZ1184" s="81"/>
      <c r="BB1184" s="5"/>
      <c r="BC1184" s="5"/>
    </row>
    <row r="1185" spans="1:55" x14ac:dyDescent="0.25">
      <c r="A1185" s="51">
        <v>42909</v>
      </c>
      <c r="B1185" s="54"/>
      <c r="C1185" s="55"/>
      <c r="D1185" s="55"/>
      <c r="E1185" s="55"/>
      <c r="F1185" s="55"/>
      <c r="G1185" s="55"/>
      <c r="H1185" s="55"/>
      <c r="I1185" s="55"/>
      <c r="J1185" s="55"/>
      <c r="K1185" s="55"/>
      <c r="L1185" s="55"/>
      <c r="M1185" s="55"/>
      <c r="N1185" s="55"/>
      <c r="O1185" s="55"/>
      <c r="P1185" s="56"/>
      <c r="AI1185" s="49"/>
      <c r="AJ1185" s="78"/>
      <c r="AK1185" s="78"/>
      <c r="AL1185" s="78"/>
      <c r="AM1185" s="78"/>
      <c r="AN1185" s="78"/>
      <c r="AO1185" s="78"/>
      <c r="AP1185" s="78"/>
      <c r="AQ1185" s="78"/>
      <c r="AR1185" s="78"/>
      <c r="AS1185" s="78"/>
      <c r="AT1185" s="78"/>
      <c r="AU1185" s="78"/>
      <c r="AV1185" s="78"/>
      <c r="AW1185" s="78"/>
      <c r="AX1185" s="78"/>
      <c r="AY1185" s="3"/>
      <c r="AZ1185" s="81"/>
      <c r="BB1185" s="5"/>
      <c r="BC1185" s="5"/>
    </row>
    <row r="1186" spans="1:55" x14ac:dyDescent="0.25">
      <c r="A1186" s="51">
        <v>42912</v>
      </c>
      <c r="B1186" s="54"/>
      <c r="C1186" s="55"/>
      <c r="D1186" s="55"/>
      <c r="E1186" s="55"/>
      <c r="F1186" s="55"/>
      <c r="G1186" s="55"/>
      <c r="H1186" s="55"/>
      <c r="I1186" s="55"/>
      <c r="J1186" s="55"/>
      <c r="K1186" s="55"/>
      <c r="L1186" s="55"/>
      <c r="M1186" s="55"/>
      <c r="N1186" s="55"/>
      <c r="O1186" s="55"/>
      <c r="P1186" s="56"/>
      <c r="AI1186" s="49"/>
      <c r="AJ1186" s="78"/>
      <c r="AK1186" s="78"/>
      <c r="AL1186" s="78"/>
      <c r="AM1186" s="78"/>
      <c r="AN1186" s="78"/>
      <c r="AO1186" s="78"/>
      <c r="AP1186" s="78"/>
      <c r="AQ1186" s="78"/>
      <c r="AR1186" s="78"/>
      <c r="AS1186" s="78"/>
      <c r="AT1186" s="78"/>
      <c r="AU1186" s="78"/>
      <c r="AV1186" s="78"/>
      <c r="AW1186" s="78"/>
      <c r="AX1186" s="78"/>
      <c r="AY1186" s="3"/>
      <c r="AZ1186" s="81"/>
      <c r="BB1186" s="5"/>
      <c r="BC1186" s="5"/>
    </row>
    <row r="1187" spans="1:55" x14ac:dyDescent="0.25">
      <c r="A1187" s="51">
        <v>42913</v>
      </c>
      <c r="B1187" s="54"/>
      <c r="C1187" s="55"/>
      <c r="D1187" s="55"/>
      <c r="E1187" s="55"/>
      <c r="F1187" s="55"/>
      <c r="G1187" s="55"/>
      <c r="H1187" s="55"/>
      <c r="I1187" s="55"/>
      <c r="J1187" s="55"/>
      <c r="K1187" s="55"/>
      <c r="L1187" s="55"/>
      <c r="M1187" s="55"/>
      <c r="N1187" s="55"/>
      <c r="O1187" s="55"/>
      <c r="P1187" s="56"/>
      <c r="AI1187" s="49"/>
      <c r="AJ1187" s="78"/>
      <c r="AK1187" s="78"/>
      <c r="AL1187" s="78"/>
      <c r="AM1187" s="78"/>
      <c r="AN1187" s="78"/>
      <c r="AO1187" s="78"/>
      <c r="AP1187" s="78"/>
      <c r="AQ1187" s="78"/>
      <c r="AR1187" s="78"/>
      <c r="AS1187" s="78"/>
      <c r="AT1187" s="78"/>
      <c r="AU1187" s="78"/>
      <c r="AV1187" s="78"/>
      <c r="AW1187" s="78"/>
      <c r="AX1187" s="78"/>
      <c r="AY1187" s="3"/>
      <c r="AZ1187" s="81"/>
      <c r="BB1187" s="5"/>
      <c r="BC1187" s="5"/>
    </row>
    <row r="1188" spans="1:55" x14ac:dyDescent="0.25">
      <c r="A1188" s="51">
        <v>42914</v>
      </c>
      <c r="B1188" s="54"/>
      <c r="C1188" s="55"/>
      <c r="D1188" s="55"/>
      <c r="E1188" s="55"/>
      <c r="F1188" s="55"/>
      <c r="G1188" s="55"/>
      <c r="H1188" s="55"/>
      <c r="I1188" s="55"/>
      <c r="J1188" s="55"/>
      <c r="K1188" s="55"/>
      <c r="L1188" s="55"/>
      <c r="M1188" s="55"/>
      <c r="N1188" s="55"/>
      <c r="O1188" s="55"/>
      <c r="P1188" s="56"/>
      <c r="AI1188" s="49"/>
      <c r="AJ1188" s="78"/>
      <c r="AK1188" s="78"/>
      <c r="AL1188" s="78"/>
      <c r="AM1188" s="78"/>
      <c r="AN1188" s="78"/>
      <c r="AO1188" s="78"/>
      <c r="AP1188" s="78"/>
      <c r="AQ1188" s="78"/>
      <c r="AR1188" s="78"/>
      <c r="AS1188" s="78"/>
      <c r="AT1188" s="78"/>
      <c r="AU1188" s="78"/>
      <c r="AV1188" s="78"/>
      <c r="AW1188" s="78"/>
      <c r="AX1188" s="78"/>
      <c r="AY1188" s="3"/>
      <c r="AZ1188" s="81"/>
      <c r="BB1188" s="5"/>
      <c r="BC1188" s="5"/>
    </row>
    <row r="1189" spans="1:55" x14ac:dyDescent="0.25">
      <c r="A1189" s="51">
        <v>42916</v>
      </c>
      <c r="B1189" s="54"/>
      <c r="C1189" s="55"/>
      <c r="D1189" s="55"/>
      <c r="E1189" s="55"/>
      <c r="F1189" s="55"/>
      <c r="G1189" s="55"/>
      <c r="H1189" s="55"/>
      <c r="I1189" s="55"/>
      <c r="J1189" s="55"/>
      <c r="K1189" s="55"/>
      <c r="L1189" s="55"/>
      <c r="M1189" s="55"/>
      <c r="N1189" s="55"/>
      <c r="O1189" s="55"/>
      <c r="P1189" s="56"/>
      <c r="AI1189" s="49"/>
      <c r="AJ1189" s="78"/>
      <c r="AK1189" s="78"/>
      <c r="AL1189" s="78"/>
      <c r="AM1189" s="78"/>
      <c r="AN1189" s="78"/>
      <c r="AO1189" s="78"/>
      <c r="AP1189" s="78"/>
      <c r="AQ1189" s="78"/>
      <c r="AR1189" s="78"/>
      <c r="AS1189" s="78"/>
      <c r="AT1189" s="78"/>
      <c r="AU1189" s="78"/>
      <c r="AV1189" s="78"/>
      <c r="AW1189" s="78"/>
      <c r="AX1189" s="78"/>
      <c r="AY1189" s="3"/>
      <c r="AZ1189" s="81"/>
      <c r="BB1189" s="5"/>
      <c r="BC1189" s="5"/>
    </row>
    <row r="1190" spans="1:55" x14ac:dyDescent="0.25">
      <c r="A1190" s="51">
        <v>42919</v>
      </c>
      <c r="B1190" s="54"/>
      <c r="C1190" s="55"/>
      <c r="D1190" s="55"/>
      <c r="E1190" s="55"/>
      <c r="F1190" s="55"/>
      <c r="G1190" s="55"/>
      <c r="H1190" s="55"/>
      <c r="I1190" s="55"/>
      <c r="J1190" s="55"/>
      <c r="K1190" s="55"/>
      <c r="L1190" s="55"/>
      <c r="M1190" s="55"/>
      <c r="N1190" s="55"/>
      <c r="O1190" s="55"/>
      <c r="P1190" s="56"/>
      <c r="AI1190" s="49"/>
      <c r="AJ1190" s="78"/>
      <c r="AK1190" s="78"/>
      <c r="AL1190" s="78"/>
      <c r="AM1190" s="78"/>
      <c r="AN1190" s="78"/>
      <c r="AO1190" s="78"/>
      <c r="AP1190" s="78"/>
      <c r="AQ1190" s="78"/>
      <c r="AR1190" s="78"/>
      <c r="AS1190" s="78"/>
      <c r="AT1190" s="78"/>
      <c r="AU1190" s="78"/>
      <c r="AV1190" s="78"/>
      <c r="AW1190" s="78"/>
      <c r="AX1190" s="78"/>
      <c r="AY1190" s="3"/>
      <c r="AZ1190" s="81"/>
      <c r="BB1190" s="5"/>
      <c r="BC1190" s="5"/>
    </row>
    <row r="1191" spans="1:55" x14ac:dyDescent="0.25">
      <c r="A1191" s="51">
        <v>42920</v>
      </c>
      <c r="B1191" s="54"/>
      <c r="C1191" s="55"/>
      <c r="D1191" s="55"/>
      <c r="E1191" s="55"/>
      <c r="F1191" s="55"/>
      <c r="G1191" s="55"/>
      <c r="H1191" s="55"/>
      <c r="I1191" s="55"/>
      <c r="J1191" s="55"/>
      <c r="K1191" s="55"/>
      <c r="L1191" s="55"/>
      <c r="M1191" s="55"/>
      <c r="N1191" s="55"/>
      <c r="O1191" s="55"/>
      <c r="P1191" s="56"/>
      <c r="AI1191" s="49"/>
      <c r="AJ1191" s="78"/>
      <c r="AK1191" s="78"/>
      <c r="AL1191" s="78"/>
      <c r="AM1191" s="78"/>
      <c r="AN1191" s="78"/>
      <c r="AO1191" s="78"/>
      <c r="AP1191" s="78"/>
      <c r="AQ1191" s="78"/>
      <c r="AR1191" s="78"/>
      <c r="AS1191" s="78"/>
      <c r="AT1191" s="78"/>
      <c r="AU1191" s="78"/>
      <c r="AV1191" s="78"/>
      <c r="AW1191" s="78"/>
      <c r="AX1191" s="78"/>
      <c r="AY1191" s="3"/>
      <c r="AZ1191" s="81"/>
      <c r="BB1191" s="5"/>
      <c r="BC1191" s="5"/>
    </row>
    <row r="1192" spans="1:55" x14ac:dyDescent="0.25">
      <c r="A1192" s="51">
        <v>42921</v>
      </c>
      <c r="B1192" s="54"/>
      <c r="C1192" s="55"/>
      <c r="D1192" s="55"/>
      <c r="E1192" s="55"/>
      <c r="F1192" s="55"/>
      <c r="G1192" s="55"/>
      <c r="H1192" s="55"/>
      <c r="I1192" s="55"/>
      <c r="J1192" s="55"/>
      <c r="K1192" s="55"/>
      <c r="L1192" s="55"/>
      <c r="M1192" s="55"/>
      <c r="N1192" s="55"/>
      <c r="O1192" s="55"/>
      <c r="P1192" s="56"/>
      <c r="AI1192" s="49"/>
      <c r="AJ1192" s="78"/>
      <c r="AK1192" s="78"/>
      <c r="AL1192" s="78"/>
      <c r="AM1192" s="78"/>
      <c r="AN1192" s="78"/>
      <c r="AO1192" s="78"/>
      <c r="AP1192" s="78"/>
      <c r="AQ1192" s="78"/>
      <c r="AR1192" s="78"/>
      <c r="AS1192" s="78"/>
      <c r="AT1192" s="78"/>
      <c r="AU1192" s="78"/>
      <c r="AV1192" s="78"/>
      <c r="AW1192" s="78"/>
      <c r="AX1192" s="78"/>
      <c r="AY1192" s="3"/>
      <c r="AZ1192" s="81"/>
      <c r="BB1192" s="5"/>
      <c r="BC1192" s="5"/>
    </row>
    <row r="1193" spans="1:55" x14ac:dyDescent="0.25">
      <c r="A1193" s="51">
        <v>42922</v>
      </c>
      <c r="B1193" s="54"/>
      <c r="C1193" s="55"/>
      <c r="D1193" s="55"/>
      <c r="E1193" s="55"/>
      <c r="F1193" s="55"/>
      <c r="G1193" s="55"/>
      <c r="H1193" s="55"/>
      <c r="I1193" s="55"/>
      <c r="J1193" s="55"/>
      <c r="K1193" s="55"/>
      <c r="L1193" s="55"/>
      <c r="M1193" s="55"/>
      <c r="N1193" s="55"/>
      <c r="O1193" s="55"/>
      <c r="P1193" s="56"/>
      <c r="AI1193" s="49"/>
      <c r="AJ1193" s="78"/>
      <c r="AK1193" s="78"/>
      <c r="AL1193" s="78"/>
      <c r="AM1193" s="78"/>
      <c r="AN1193" s="78"/>
      <c r="AO1193" s="78"/>
      <c r="AP1193" s="78"/>
      <c r="AQ1193" s="78"/>
      <c r="AR1193" s="78"/>
      <c r="AS1193" s="78"/>
      <c r="AT1193" s="78"/>
      <c r="AU1193" s="78"/>
      <c r="AV1193" s="78"/>
      <c r="AW1193" s="78"/>
      <c r="AX1193" s="78"/>
      <c r="AY1193" s="3"/>
      <c r="AZ1193" s="81"/>
      <c r="BB1193" s="5"/>
      <c r="BC1193" s="5"/>
    </row>
    <row r="1194" spans="1:55" x14ac:dyDescent="0.25">
      <c r="A1194" s="51">
        <v>42923</v>
      </c>
      <c r="B1194" s="54"/>
      <c r="C1194" s="55"/>
      <c r="D1194" s="55"/>
      <c r="E1194" s="55"/>
      <c r="F1194" s="55"/>
      <c r="G1194" s="55"/>
      <c r="H1194" s="55"/>
      <c r="I1194" s="55"/>
      <c r="J1194" s="55"/>
      <c r="K1194" s="55"/>
      <c r="L1194" s="55"/>
      <c r="M1194" s="55"/>
      <c r="N1194" s="55"/>
      <c r="O1194" s="55"/>
      <c r="P1194" s="56"/>
      <c r="AI1194" s="49"/>
      <c r="AJ1194" s="78"/>
      <c r="AK1194" s="78"/>
      <c r="AL1194" s="78"/>
      <c r="AM1194" s="78"/>
      <c r="AN1194" s="78"/>
      <c r="AO1194" s="78"/>
      <c r="AP1194" s="78"/>
      <c r="AQ1194" s="78"/>
      <c r="AR1194" s="78"/>
      <c r="AS1194" s="78"/>
      <c r="AT1194" s="78"/>
      <c r="AU1194" s="78"/>
      <c r="AV1194" s="78"/>
      <c r="AW1194" s="78"/>
      <c r="AX1194" s="78"/>
      <c r="AY1194" s="3"/>
      <c r="AZ1194" s="81"/>
      <c r="BB1194" s="5"/>
      <c r="BC1194" s="5"/>
    </row>
    <row r="1195" spans="1:55" x14ac:dyDescent="0.25">
      <c r="A1195" s="51">
        <v>42926</v>
      </c>
      <c r="B1195" s="54"/>
      <c r="C1195" s="55"/>
      <c r="D1195" s="55"/>
      <c r="E1195" s="55"/>
      <c r="F1195" s="55"/>
      <c r="G1195" s="55"/>
      <c r="H1195" s="55"/>
      <c r="I1195" s="55"/>
      <c r="J1195" s="55"/>
      <c r="K1195" s="55"/>
      <c r="L1195" s="55"/>
      <c r="M1195" s="55"/>
      <c r="N1195" s="55"/>
      <c r="O1195" s="55"/>
      <c r="P1195" s="56"/>
      <c r="AI1195" s="49"/>
      <c r="AJ1195" s="78"/>
      <c r="AK1195" s="78"/>
      <c r="AL1195" s="78"/>
      <c r="AM1195" s="78"/>
      <c r="AN1195" s="78"/>
      <c r="AO1195" s="78"/>
      <c r="AP1195" s="78"/>
      <c r="AQ1195" s="78"/>
      <c r="AR1195" s="78"/>
      <c r="AS1195" s="78"/>
      <c r="AT1195" s="78"/>
      <c r="AU1195" s="78"/>
      <c r="AV1195" s="78"/>
      <c r="AW1195" s="78"/>
      <c r="AX1195" s="78"/>
      <c r="AY1195" s="3"/>
      <c r="AZ1195" s="81"/>
      <c r="BB1195" s="5"/>
      <c r="BC1195" s="5"/>
    </row>
    <row r="1196" spans="1:55" x14ac:dyDescent="0.25">
      <c r="A1196" s="51">
        <v>42927</v>
      </c>
      <c r="B1196" s="54"/>
      <c r="C1196" s="55"/>
      <c r="D1196" s="55"/>
      <c r="E1196" s="55"/>
      <c r="F1196" s="55"/>
      <c r="G1196" s="55"/>
      <c r="H1196" s="55"/>
      <c r="I1196" s="55"/>
      <c r="J1196" s="55"/>
      <c r="K1196" s="55"/>
      <c r="L1196" s="55"/>
      <c r="M1196" s="55"/>
      <c r="N1196" s="55"/>
      <c r="O1196" s="55"/>
      <c r="P1196" s="56"/>
      <c r="AI1196" s="49"/>
      <c r="AJ1196" s="78"/>
      <c r="AK1196" s="78"/>
      <c r="AL1196" s="78"/>
      <c r="AM1196" s="78"/>
      <c r="AN1196" s="78"/>
      <c r="AO1196" s="78"/>
      <c r="AP1196" s="78"/>
      <c r="AQ1196" s="78"/>
      <c r="AR1196" s="78"/>
      <c r="AS1196" s="78"/>
      <c r="AT1196" s="78"/>
      <c r="AU1196" s="78"/>
      <c r="AV1196" s="78"/>
      <c r="AW1196" s="78"/>
      <c r="AX1196" s="78"/>
      <c r="AY1196" s="3"/>
      <c r="AZ1196" s="81"/>
      <c r="BB1196" s="5"/>
      <c r="BC1196" s="5"/>
    </row>
    <row r="1197" spans="1:55" x14ac:dyDescent="0.25">
      <c r="A1197" s="51">
        <v>42928</v>
      </c>
      <c r="B1197" s="54"/>
      <c r="C1197" s="55"/>
      <c r="D1197" s="55"/>
      <c r="E1197" s="55"/>
      <c r="F1197" s="55"/>
      <c r="G1197" s="55"/>
      <c r="H1197" s="55"/>
      <c r="I1197" s="55"/>
      <c r="J1197" s="55"/>
      <c r="K1197" s="55"/>
      <c r="L1197" s="55"/>
      <c r="M1197" s="55"/>
      <c r="N1197" s="55"/>
      <c r="O1197" s="55"/>
      <c r="P1197" s="56"/>
      <c r="AI1197" s="49"/>
      <c r="AJ1197" s="78"/>
      <c r="AK1197" s="78"/>
      <c r="AL1197" s="78"/>
      <c r="AM1197" s="78"/>
      <c r="AN1197" s="78"/>
      <c r="AO1197" s="78"/>
      <c r="AP1197" s="78"/>
      <c r="AQ1197" s="78"/>
      <c r="AR1197" s="78"/>
      <c r="AS1197" s="78"/>
      <c r="AT1197" s="78"/>
      <c r="AU1197" s="78"/>
      <c r="AV1197" s="78"/>
      <c r="AW1197" s="78"/>
      <c r="AX1197" s="78"/>
      <c r="AY1197" s="3"/>
      <c r="AZ1197" s="81"/>
      <c r="BB1197" s="5"/>
      <c r="BC1197" s="5"/>
    </row>
    <row r="1198" spans="1:55" x14ac:dyDescent="0.25">
      <c r="A1198" s="51">
        <v>42929</v>
      </c>
      <c r="B1198" s="54"/>
      <c r="C1198" s="55"/>
      <c r="D1198" s="55"/>
      <c r="E1198" s="55"/>
      <c r="F1198" s="55"/>
      <c r="G1198" s="55"/>
      <c r="H1198" s="55"/>
      <c r="I1198" s="55"/>
      <c r="J1198" s="55"/>
      <c r="K1198" s="55"/>
      <c r="L1198" s="55"/>
      <c r="M1198" s="55"/>
      <c r="N1198" s="55"/>
      <c r="O1198" s="55"/>
      <c r="P1198" s="56"/>
      <c r="AI1198" s="49"/>
      <c r="AJ1198" s="78"/>
      <c r="AK1198" s="78"/>
      <c r="AL1198" s="78"/>
      <c r="AM1198" s="78"/>
      <c r="AN1198" s="78"/>
      <c r="AO1198" s="78"/>
      <c r="AP1198" s="78"/>
      <c r="AQ1198" s="78"/>
      <c r="AR1198" s="78"/>
      <c r="AS1198" s="78"/>
      <c r="AT1198" s="78"/>
      <c r="AU1198" s="78"/>
      <c r="AV1198" s="78"/>
      <c r="AW1198" s="78"/>
      <c r="AX1198" s="78"/>
      <c r="AY1198" s="3"/>
      <c r="AZ1198" s="81"/>
      <c r="BB1198" s="5"/>
      <c r="BC1198" s="5"/>
    </row>
    <row r="1199" spans="1:55" x14ac:dyDescent="0.25">
      <c r="A1199" s="51">
        <v>42930</v>
      </c>
      <c r="B1199" s="54"/>
      <c r="C1199" s="55"/>
      <c r="D1199" s="55"/>
      <c r="E1199" s="55"/>
      <c r="F1199" s="55"/>
      <c r="G1199" s="55"/>
      <c r="H1199" s="55"/>
      <c r="I1199" s="55"/>
      <c r="J1199" s="55"/>
      <c r="K1199" s="55"/>
      <c r="L1199" s="55"/>
      <c r="M1199" s="55"/>
      <c r="N1199" s="55"/>
      <c r="O1199" s="55"/>
      <c r="P1199" s="56"/>
      <c r="AI1199" s="49"/>
      <c r="AJ1199" s="78"/>
      <c r="AK1199" s="78"/>
      <c r="AL1199" s="78"/>
      <c r="AM1199" s="78"/>
      <c r="AN1199" s="78"/>
      <c r="AO1199" s="78"/>
      <c r="AP1199" s="78"/>
      <c r="AQ1199" s="78"/>
      <c r="AR1199" s="78"/>
      <c r="AS1199" s="78"/>
      <c r="AT1199" s="78"/>
      <c r="AU1199" s="78"/>
      <c r="AV1199" s="78"/>
      <c r="AW1199" s="78"/>
      <c r="AX1199" s="78"/>
      <c r="AY1199" s="3"/>
      <c r="AZ1199" s="81"/>
      <c r="BB1199" s="5"/>
      <c r="BC1199" s="5"/>
    </row>
    <row r="1200" spans="1:55" x14ac:dyDescent="0.25">
      <c r="A1200" s="51">
        <v>42933</v>
      </c>
      <c r="B1200" s="54"/>
      <c r="C1200" s="55"/>
      <c r="D1200" s="55"/>
      <c r="E1200" s="55"/>
      <c r="F1200" s="55"/>
      <c r="G1200" s="55"/>
      <c r="H1200" s="55"/>
      <c r="I1200" s="55"/>
      <c r="J1200" s="55"/>
      <c r="K1200" s="55"/>
      <c r="L1200" s="55"/>
      <c r="M1200" s="55"/>
      <c r="N1200" s="55"/>
      <c r="O1200" s="55"/>
      <c r="P1200" s="56"/>
      <c r="AI1200" s="49"/>
      <c r="AJ1200" s="78"/>
      <c r="AK1200" s="78"/>
      <c r="AL1200" s="78"/>
      <c r="AM1200" s="78"/>
      <c r="AN1200" s="78"/>
      <c r="AO1200" s="78"/>
      <c r="AP1200" s="78"/>
      <c r="AQ1200" s="78"/>
      <c r="AR1200" s="78"/>
      <c r="AS1200" s="78"/>
      <c r="AT1200" s="78"/>
      <c r="AU1200" s="78"/>
      <c r="AV1200" s="78"/>
      <c r="AW1200" s="78"/>
      <c r="AX1200" s="78"/>
      <c r="AY1200" s="3"/>
      <c r="AZ1200" s="81"/>
      <c r="BB1200" s="5"/>
      <c r="BC1200" s="5"/>
    </row>
    <row r="1201" spans="1:55" x14ac:dyDescent="0.25">
      <c r="A1201" s="51">
        <v>42934</v>
      </c>
      <c r="B1201" s="54"/>
      <c r="C1201" s="55"/>
      <c r="D1201" s="55"/>
      <c r="E1201" s="55"/>
      <c r="F1201" s="55"/>
      <c r="G1201" s="55"/>
      <c r="H1201" s="55"/>
      <c r="I1201" s="55"/>
      <c r="J1201" s="55"/>
      <c r="K1201" s="55"/>
      <c r="L1201" s="55"/>
      <c r="M1201" s="55"/>
      <c r="N1201" s="55"/>
      <c r="O1201" s="55"/>
      <c r="P1201" s="56"/>
      <c r="AI1201" s="49"/>
      <c r="AJ1201" s="78"/>
      <c r="AK1201" s="78"/>
      <c r="AL1201" s="78"/>
      <c r="AM1201" s="78"/>
      <c r="AN1201" s="78"/>
      <c r="AO1201" s="78"/>
      <c r="AP1201" s="78"/>
      <c r="AQ1201" s="78"/>
      <c r="AR1201" s="78"/>
      <c r="AS1201" s="78"/>
      <c r="AT1201" s="78"/>
      <c r="AU1201" s="78"/>
      <c r="AV1201" s="78"/>
      <c r="AW1201" s="78"/>
      <c r="AX1201" s="78"/>
      <c r="AY1201" s="3"/>
      <c r="AZ1201" s="81"/>
      <c r="BB1201" s="5"/>
      <c r="BC1201" s="5"/>
    </row>
    <row r="1202" spans="1:55" x14ac:dyDescent="0.25">
      <c r="A1202" s="51">
        <v>42935</v>
      </c>
      <c r="B1202" s="54"/>
      <c r="C1202" s="55"/>
      <c r="D1202" s="55"/>
      <c r="E1202" s="55"/>
      <c r="F1202" s="55"/>
      <c r="G1202" s="55"/>
      <c r="H1202" s="55"/>
      <c r="I1202" s="55"/>
      <c r="J1202" s="55"/>
      <c r="K1202" s="55"/>
      <c r="L1202" s="55"/>
      <c r="M1202" s="55"/>
      <c r="N1202" s="55"/>
      <c r="O1202" s="55"/>
      <c r="P1202" s="56"/>
      <c r="AI1202" s="49"/>
      <c r="AJ1202" s="78"/>
      <c r="AK1202" s="78"/>
      <c r="AL1202" s="78"/>
      <c r="AM1202" s="78"/>
      <c r="AN1202" s="78"/>
      <c r="AO1202" s="78"/>
      <c r="AP1202" s="78"/>
      <c r="AQ1202" s="78"/>
      <c r="AR1202" s="78"/>
      <c r="AS1202" s="78"/>
      <c r="AT1202" s="78"/>
      <c r="AU1202" s="78"/>
      <c r="AV1202" s="78"/>
      <c r="AW1202" s="78"/>
      <c r="AX1202" s="78"/>
      <c r="AY1202" s="3"/>
      <c r="AZ1202" s="81"/>
      <c r="BB1202" s="5"/>
      <c r="BC1202" s="5"/>
    </row>
    <row r="1203" spans="1:55" x14ac:dyDescent="0.25">
      <c r="A1203" s="51">
        <v>42936</v>
      </c>
      <c r="B1203" s="54"/>
      <c r="C1203" s="55"/>
      <c r="D1203" s="55"/>
      <c r="E1203" s="55"/>
      <c r="F1203" s="55"/>
      <c r="G1203" s="55"/>
      <c r="H1203" s="55"/>
      <c r="I1203" s="55"/>
      <c r="J1203" s="55"/>
      <c r="K1203" s="55"/>
      <c r="L1203" s="55"/>
      <c r="M1203" s="55"/>
      <c r="N1203" s="55"/>
      <c r="O1203" s="55"/>
      <c r="P1203" s="56"/>
      <c r="AI1203" s="49"/>
      <c r="AJ1203" s="78"/>
      <c r="AK1203" s="78"/>
      <c r="AL1203" s="78"/>
      <c r="AM1203" s="78"/>
      <c r="AN1203" s="78"/>
      <c r="AO1203" s="78"/>
      <c r="AP1203" s="78"/>
      <c r="AQ1203" s="78"/>
      <c r="AR1203" s="78"/>
      <c r="AS1203" s="78"/>
      <c r="AT1203" s="78"/>
      <c r="AU1203" s="78"/>
      <c r="AV1203" s="78"/>
      <c r="AW1203" s="78"/>
      <c r="AX1203" s="78"/>
      <c r="AY1203" s="3"/>
      <c r="AZ1203" s="81"/>
      <c r="BB1203" s="5"/>
      <c r="BC1203" s="5"/>
    </row>
    <row r="1204" spans="1:55" x14ac:dyDescent="0.25">
      <c r="A1204" s="51">
        <v>42937</v>
      </c>
      <c r="B1204" s="54"/>
      <c r="C1204" s="55"/>
      <c r="D1204" s="55"/>
      <c r="E1204" s="55"/>
      <c r="F1204" s="55"/>
      <c r="G1204" s="55"/>
      <c r="H1204" s="55"/>
      <c r="I1204" s="55"/>
      <c r="J1204" s="55"/>
      <c r="K1204" s="55"/>
      <c r="L1204" s="55"/>
      <c r="M1204" s="55"/>
      <c r="N1204" s="55"/>
      <c r="O1204" s="55"/>
      <c r="P1204" s="56"/>
      <c r="AI1204" s="49"/>
      <c r="AJ1204" s="78"/>
      <c r="AK1204" s="78"/>
      <c r="AL1204" s="78"/>
      <c r="AM1204" s="78"/>
      <c r="AN1204" s="78"/>
      <c r="AO1204" s="78"/>
      <c r="AP1204" s="78"/>
      <c r="AQ1204" s="78"/>
      <c r="AR1204" s="78"/>
      <c r="AS1204" s="78"/>
      <c r="AT1204" s="78"/>
      <c r="AU1204" s="78"/>
      <c r="AV1204" s="78"/>
      <c r="AW1204" s="78"/>
      <c r="AX1204" s="78"/>
      <c r="AY1204" s="3"/>
      <c r="AZ1204" s="81"/>
      <c r="BB1204" s="5"/>
      <c r="BC1204" s="5"/>
    </row>
    <row r="1205" spans="1:55" x14ac:dyDescent="0.25">
      <c r="A1205" s="51">
        <v>42940</v>
      </c>
      <c r="B1205" s="54"/>
      <c r="C1205" s="55"/>
      <c r="D1205" s="55"/>
      <c r="E1205" s="55"/>
      <c r="F1205" s="55"/>
      <c r="G1205" s="55"/>
      <c r="H1205" s="55"/>
      <c r="I1205" s="55"/>
      <c r="J1205" s="55"/>
      <c r="K1205" s="55"/>
      <c r="L1205" s="55"/>
      <c r="M1205" s="55"/>
      <c r="N1205" s="55"/>
      <c r="O1205" s="55"/>
      <c r="P1205" s="56"/>
      <c r="AI1205" s="49"/>
      <c r="AJ1205" s="78"/>
      <c r="AK1205" s="78"/>
      <c r="AL1205" s="78"/>
      <c r="AM1205" s="78"/>
      <c r="AN1205" s="78"/>
      <c r="AO1205" s="78"/>
      <c r="AP1205" s="78"/>
      <c r="AQ1205" s="78"/>
      <c r="AR1205" s="78"/>
      <c r="AS1205" s="78"/>
      <c r="AT1205" s="78"/>
      <c r="AU1205" s="78"/>
      <c r="AV1205" s="78"/>
      <c r="AW1205" s="78"/>
      <c r="AX1205" s="78"/>
      <c r="AY1205" s="3"/>
      <c r="AZ1205" s="81"/>
      <c r="BB1205" s="5"/>
      <c r="BC1205" s="5"/>
    </row>
    <row r="1206" spans="1:55" x14ac:dyDescent="0.25">
      <c r="A1206" s="51">
        <v>42941</v>
      </c>
      <c r="B1206" s="54"/>
      <c r="C1206" s="55"/>
      <c r="D1206" s="55"/>
      <c r="E1206" s="55"/>
      <c r="F1206" s="55"/>
      <c r="G1206" s="55"/>
      <c r="H1206" s="55"/>
      <c r="I1206" s="55"/>
      <c r="J1206" s="55"/>
      <c r="K1206" s="55"/>
      <c r="L1206" s="55"/>
      <c r="M1206" s="55"/>
      <c r="N1206" s="55"/>
      <c r="O1206" s="55"/>
      <c r="P1206" s="56"/>
      <c r="AI1206" s="49"/>
      <c r="AJ1206" s="78"/>
      <c r="AK1206" s="78"/>
      <c r="AL1206" s="78"/>
      <c r="AM1206" s="78"/>
      <c r="AN1206" s="78"/>
      <c r="AO1206" s="78"/>
      <c r="AP1206" s="78"/>
      <c r="AQ1206" s="78"/>
      <c r="AR1206" s="78"/>
      <c r="AS1206" s="78"/>
      <c r="AT1206" s="78"/>
      <c r="AU1206" s="78"/>
      <c r="AV1206" s="78"/>
      <c r="AW1206" s="78"/>
      <c r="AX1206" s="78"/>
      <c r="AY1206" s="3"/>
      <c r="AZ1206" s="81"/>
      <c r="BB1206" s="5"/>
      <c r="BC1206" s="5"/>
    </row>
    <row r="1207" spans="1:55" x14ac:dyDescent="0.25">
      <c r="A1207" s="51">
        <v>42942</v>
      </c>
      <c r="B1207" s="54"/>
      <c r="C1207" s="55"/>
      <c r="D1207" s="55"/>
      <c r="E1207" s="55"/>
      <c r="F1207" s="55"/>
      <c r="G1207" s="55"/>
      <c r="H1207" s="55"/>
      <c r="I1207" s="55"/>
      <c r="J1207" s="55"/>
      <c r="K1207" s="55"/>
      <c r="L1207" s="55"/>
      <c r="M1207" s="55"/>
      <c r="N1207" s="55"/>
      <c r="O1207" s="55"/>
      <c r="P1207" s="56"/>
      <c r="AI1207" s="49"/>
      <c r="AJ1207" s="78"/>
      <c r="AK1207" s="78"/>
      <c r="AL1207" s="78"/>
      <c r="AM1207" s="78"/>
      <c r="AN1207" s="78"/>
      <c r="AO1207" s="78"/>
      <c r="AP1207" s="78"/>
      <c r="AQ1207" s="78"/>
      <c r="AR1207" s="78"/>
      <c r="AS1207" s="78"/>
      <c r="AT1207" s="78"/>
      <c r="AU1207" s="78"/>
      <c r="AV1207" s="78"/>
      <c r="AW1207" s="78"/>
      <c r="AX1207" s="78"/>
      <c r="AY1207" s="3"/>
      <c r="AZ1207" s="81"/>
      <c r="BB1207" s="5"/>
      <c r="BC1207" s="5"/>
    </row>
    <row r="1208" spans="1:55" x14ac:dyDescent="0.25">
      <c r="A1208" s="51">
        <v>42943</v>
      </c>
      <c r="B1208" s="54"/>
      <c r="C1208" s="55"/>
      <c r="D1208" s="55"/>
      <c r="E1208" s="55"/>
      <c r="F1208" s="55"/>
      <c r="G1208" s="55"/>
      <c r="H1208" s="55"/>
      <c r="I1208" s="55"/>
      <c r="J1208" s="55"/>
      <c r="K1208" s="55"/>
      <c r="L1208" s="55"/>
      <c r="M1208" s="55"/>
      <c r="N1208" s="55"/>
      <c r="O1208" s="55"/>
      <c r="P1208" s="56"/>
      <c r="AI1208" s="49"/>
      <c r="AJ1208" s="78"/>
      <c r="AK1208" s="78"/>
      <c r="AL1208" s="78"/>
      <c r="AM1208" s="78"/>
      <c r="AN1208" s="78"/>
      <c r="AO1208" s="78"/>
      <c r="AP1208" s="78"/>
      <c r="AQ1208" s="78"/>
      <c r="AR1208" s="78"/>
      <c r="AS1208" s="78"/>
      <c r="AT1208" s="78"/>
      <c r="AU1208" s="78"/>
      <c r="AV1208" s="78"/>
      <c r="AW1208" s="78"/>
      <c r="AX1208" s="78"/>
      <c r="AY1208" s="3"/>
      <c r="AZ1208" s="81"/>
      <c r="BB1208" s="5"/>
      <c r="BC1208" s="5"/>
    </row>
    <row r="1209" spans="1:55" x14ac:dyDescent="0.25">
      <c r="A1209" s="51">
        <v>42947</v>
      </c>
      <c r="B1209" s="54"/>
      <c r="C1209" s="55"/>
      <c r="D1209" s="55"/>
      <c r="E1209" s="55"/>
      <c r="F1209" s="55"/>
      <c r="G1209" s="55"/>
      <c r="H1209" s="55"/>
      <c r="I1209" s="55"/>
      <c r="J1209" s="55"/>
      <c r="K1209" s="55"/>
      <c r="L1209" s="55"/>
      <c r="M1209" s="55"/>
      <c r="N1209" s="55"/>
      <c r="O1209" s="55"/>
      <c r="P1209" s="56"/>
      <c r="AI1209" s="49"/>
      <c r="AJ1209" s="78"/>
      <c r="AK1209" s="78"/>
      <c r="AL1209" s="78"/>
      <c r="AM1209" s="78"/>
      <c r="AN1209" s="78"/>
      <c r="AO1209" s="78"/>
      <c r="AP1209" s="78"/>
      <c r="AQ1209" s="78"/>
      <c r="AR1209" s="78"/>
      <c r="AS1209" s="78"/>
      <c r="AT1209" s="78"/>
      <c r="AU1209" s="78"/>
      <c r="AV1209" s="78"/>
      <c r="AW1209" s="78"/>
      <c r="AX1209" s="78"/>
      <c r="AY1209" s="3"/>
      <c r="AZ1209" s="81"/>
      <c r="BB1209" s="5"/>
      <c r="BC1209" s="5"/>
    </row>
    <row r="1210" spans="1:55" x14ac:dyDescent="0.25">
      <c r="A1210" s="51">
        <v>42948</v>
      </c>
      <c r="B1210" s="54"/>
      <c r="C1210" s="55"/>
      <c r="D1210" s="55"/>
      <c r="E1210" s="55"/>
      <c r="F1210" s="55"/>
      <c r="G1210" s="55"/>
      <c r="H1210" s="55"/>
      <c r="I1210" s="55"/>
      <c r="J1210" s="55"/>
      <c r="K1210" s="55"/>
      <c r="L1210" s="55"/>
      <c r="M1210" s="55"/>
      <c r="N1210" s="55"/>
      <c r="O1210" s="55"/>
      <c r="P1210" s="56"/>
      <c r="AI1210" s="49"/>
      <c r="AJ1210" s="78"/>
      <c r="AK1210" s="78"/>
      <c r="AL1210" s="78"/>
      <c r="AM1210" s="78"/>
      <c r="AN1210" s="78"/>
      <c r="AO1210" s="78"/>
      <c r="AP1210" s="78"/>
      <c r="AQ1210" s="78"/>
      <c r="AR1210" s="78"/>
      <c r="AS1210" s="78"/>
      <c r="AT1210" s="78"/>
      <c r="AU1210" s="78"/>
      <c r="AV1210" s="78"/>
      <c r="AW1210" s="78"/>
      <c r="AX1210" s="78"/>
      <c r="AY1210" s="3"/>
      <c r="AZ1210" s="81"/>
      <c r="BB1210" s="5"/>
      <c r="BC1210" s="5"/>
    </row>
    <row r="1211" spans="1:55" x14ac:dyDescent="0.25">
      <c r="A1211" s="51">
        <v>42949</v>
      </c>
      <c r="B1211" s="54"/>
      <c r="C1211" s="55"/>
      <c r="D1211" s="55"/>
      <c r="E1211" s="55"/>
      <c r="F1211" s="55"/>
      <c r="G1211" s="55"/>
      <c r="H1211" s="55"/>
      <c r="I1211" s="55"/>
      <c r="J1211" s="55"/>
      <c r="K1211" s="55"/>
      <c r="L1211" s="55"/>
      <c r="M1211" s="55"/>
      <c r="N1211" s="55"/>
      <c r="O1211" s="55"/>
      <c r="P1211" s="56"/>
      <c r="AI1211" s="49"/>
      <c r="AJ1211" s="78"/>
      <c r="AK1211" s="78"/>
      <c r="AL1211" s="78"/>
      <c r="AM1211" s="78"/>
      <c r="AN1211" s="78"/>
      <c r="AO1211" s="78"/>
      <c r="AP1211" s="78"/>
      <c r="AQ1211" s="78"/>
      <c r="AR1211" s="78"/>
      <c r="AS1211" s="78"/>
      <c r="AT1211" s="78"/>
      <c r="AU1211" s="78"/>
      <c r="AV1211" s="78"/>
      <c r="AW1211" s="78"/>
      <c r="AX1211" s="78"/>
      <c r="AY1211" s="3"/>
      <c r="AZ1211" s="81"/>
      <c r="BB1211" s="5"/>
      <c r="BC1211" s="5"/>
    </row>
    <row r="1212" spans="1:55" x14ac:dyDescent="0.25">
      <c r="A1212" s="51">
        <v>42950</v>
      </c>
      <c r="B1212" s="54"/>
      <c r="C1212" s="55"/>
      <c r="D1212" s="55"/>
      <c r="E1212" s="55"/>
      <c r="F1212" s="55"/>
      <c r="G1212" s="55"/>
      <c r="H1212" s="55"/>
      <c r="I1212" s="55"/>
      <c r="J1212" s="55"/>
      <c r="K1212" s="55"/>
      <c r="L1212" s="55"/>
      <c r="M1212" s="55"/>
      <c r="N1212" s="55"/>
      <c r="O1212" s="55"/>
      <c r="P1212" s="56"/>
      <c r="AI1212" s="49"/>
      <c r="AJ1212" s="78"/>
      <c r="AK1212" s="78"/>
      <c r="AL1212" s="78"/>
      <c r="AM1212" s="78"/>
      <c r="AN1212" s="78"/>
      <c r="AO1212" s="78"/>
      <c r="AP1212" s="78"/>
      <c r="AQ1212" s="78"/>
      <c r="AR1212" s="78"/>
      <c r="AS1212" s="78"/>
      <c r="AT1212" s="78"/>
      <c r="AU1212" s="78"/>
      <c r="AV1212" s="78"/>
      <c r="AW1212" s="78"/>
      <c r="AX1212" s="78"/>
      <c r="AY1212" s="3"/>
      <c r="AZ1212" s="81"/>
      <c r="BB1212" s="5"/>
      <c r="BC1212" s="5"/>
    </row>
    <row r="1213" spans="1:55" x14ac:dyDescent="0.25">
      <c r="A1213" s="51">
        <v>42951</v>
      </c>
      <c r="B1213" s="54"/>
      <c r="C1213" s="55"/>
      <c r="D1213" s="55"/>
      <c r="E1213" s="55"/>
      <c r="F1213" s="55"/>
      <c r="G1213" s="55"/>
      <c r="H1213" s="55"/>
      <c r="I1213" s="55"/>
      <c r="J1213" s="55"/>
      <c r="K1213" s="55"/>
      <c r="L1213" s="55"/>
      <c r="M1213" s="55"/>
      <c r="N1213" s="55"/>
      <c r="O1213" s="55"/>
      <c r="P1213" s="56"/>
      <c r="AI1213" s="49"/>
      <c r="AJ1213" s="78"/>
      <c r="AK1213" s="78"/>
      <c r="AL1213" s="78"/>
      <c r="AM1213" s="78"/>
      <c r="AN1213" s="78"/>
      <c r="AO1213" s="78"/>
      <c r="AP1213" s="78"/>
      <c r="AQ1213" s="78"/>
      <c r="AR1213" s="78"/>
      <c r="AS1213" s="78"/>
      <c r="AT1213" s="78"/>
      <c r="AU1213" s="78"/>
      <c r="AV1213" s="78"/>
      <c r="AW1213" s="78"/>
      <c r="AX1213" s="78"/>
      <c r="AY1213" s="3"/>
      <c r="AZ1213" s="81"/>
      <c r="BB1213" s="5"/>
      <c r="BC1213" s="5"/>
    </row>
    <row r="1214" spans="1:55" x14ac:dyDescent="0.25">
      <c r="A1214" s="51">
        <v>42954</v>
      </c>
      <c r="B1214" s="54"/>
      <c r="C1214" s="55"/>
      <c r="D1214" s="55"/>
      <c r="E1214" s="55"/>
      <c r="F1214" s="55"/>
      <c r="G1214" s="55"/>
      <c r="H1214" s="55"/>
      <c r="I1214" s="55"/>
      <c r="J1214" s="55"/>
      <c r="K1214" s="55"/>
      <c r="L1214" s="55"/>
      <c r="M1214" s="55"/>
      <c r="N1214" s="55"/>
      <c r="O1214" s="55"/>
      <c r="P1214" s="56"/>
      <c r="AI1214" s="49"/>
      <c r="AJ1214" s="78"/>
      <c r="AK1214" s="78"/>
      <c r="AL1214" s="78"/>
      <c r="AM1214" s="78"/>
      <c r="AN1214" s="78"/>
      <c r="AO1214" s="78"/>
      <c r="AP1214" s="78"/>
      <c r="AQ1214" s="78"/>
      <c r="AR1214" s="78"/>
      <c r="AS1214" s="78"/>
      <c r="AT1214" s="78"/>
      <c r="AU1214" s="78"/>
      <c r="AV1214" s="78"/>
      <c r="AW1214" s="78"/>
      <c r="AX1214" s="78"/>
      <c r="AY1214" s="3"/>
      <c r="AZ1214" s="81"/>
      <c r="BB1214" s="5"/>
      <c r="BC1214" s="5"/>
    </row>
    <row r="1215" spans="1:55" x14ac:dyDescent="0.25">
      <c r="A1215" s="51">
        <v>42955</v>
      </c>
      <c r="B1215" s="54"/>
      <c r="C1215" s="55"/>
      <c r="D1215" s="55"/>
      <c r="E1215" s="55"/>
      <c r="F1215" s="55"/>
      <c r="G1215" s="55"/>
      <c r="H1215" s="55"/>
      <c r="I1215" s="55"/>
      <c r="J1215" s="55"/>
      <c r="K1215" s="55"/>
      <c r="L1215" s="55"/>
      <c r="M1215" s="55"/>
      <c r="N1215" s="55"/>
      <c r="O1215" s="55"/>
      <c r="P1215" s="56"/>
      <c r="AI1215" s="49"/>
      <c r="AJ1215" s="78"/>
      <c r="AK1215" s="78"/>
      <c r="AL1215" s="78"/>
      <c r="AM1215" s="78"/>
      <c r="AN1215" s="78"/>
      <c r="AO1215" s="78"/>
      <c r="AP1215" s="78"/>
      <c r="AQ1215" s="78"/>
      <c r="AR1215" s="78"/>
      <c r="AS1215" s="78"/>
      <c r="AT1215" s="78"/>
      <c r="AU1215" s="78"/>
      <c r="AV1215" s="78"/>
      <c r="AW1215" s="78"/>
      <c r="AX1215" s="78"/>
      <c r="AY1215" s="3"/>
      <c r="AZ1215" s="81"/>
      <c r="BB1215" s="5"/>
      <c r="BC1215" s="5"/>
    </row>
    <row r="1216" spans="1:55" x14ac:dyDescent="0.25">
      <c r="A1216" s="51">
        <v>42956</v>
      </c>
      <c r="B1216" s="54"/>
      <c r="C1216" s="55"/>
      <c r="D1216" s="55"/>
      <c r="E1216" s="55"/>
      <c r="F1216" s="55"/>
      <c r="G1216" s="55"/>
      <c r="H1216" s="55"/>
      <c r="I1216" s="55"/>
      <c r="J1216" s="55"/>
      <c r="K1216" s="55"/>
      <c r="L1216" s="55"/>
      <c r="M1216" s="55"/>
      <c r="N1216" s="55"/>
      <c r="O1216" s="55"/>
      <c r="P1216" s="56"/>
      <c r="AI1216" s="49"/>
      <c r="AJ1216" s="78"/>
      <c r="AK1216" s="78"/>
      <c r="AL1216" s="78"/>
      <c r="AM1216" s="78"/>
      <c r="AN1216" s="78"/>
      <c r="AO1216" s="78"/>
      <c r="AP1216" s="78"/>
      <c r="AQ1216" s="78"/>
      <c r="AR1216" s="78"/>
      <c r="AS1216" s="78"/>
      <c r="AT1216" s="78"/>
      <c r="AU1216" s="78"/>
      <c r="AV1216" s="78"/>
      <c r="AW1216" s="78"/>
      <c r="AX1216" s="78"/>
      <c r="AY1216" s="3"/>
      <c r="AZ1216" s="81"/>
      <c r="BB1216" s="5"/>
      <c r="BC1216" s="5"/>
    </row>
    <row r="1217" spans="1:55" x14ac:dyDescent="0.25">
      <c r="A1217" s="51">
        <v>42957</v>
      </c>
      <c r="B1217" s="54"/>
      <c r="C1217" s="55"/>
      <c r="D1217" s="55"/>
      <c r="E1217" s="55"/>
      <c r="F1217" s="55"/>
      <c r="G1217" s="55"/>
      <c r="H1217" s="55"/>
      <c r="I1217" s="55"/>
      <c r="J1217" s="55"/>
      <c r="K1217" s="55"/>
      <c r="L1217" s="55"/>
      <c r="M1217" s="55"/>
      <c r="N1217" s="55"/>
      <c r="O1217" s="55"/>
      <c r="P1217" s="56"/>
      <c r="AI1217" s="49"/>
      <c r="AJ1217" s="78"/>
      <c r="AK1217" s="78"/>
      <c r="AL1217" s="78"/>
      <c r="AM1217" s="78"/>
      <c r="AN1217" s="78"/>
      <c r="AO1217" s="78"/>
      <c r="AP1217" s="78"/>
      <c r="AQ1217" s="78"/>
      <c r="AR1217" s="78"/>
      <c r="AS1217" s="78"/>
      <c r="AT1217" s="78"/>
      <c r="AU1217" s="78"/>
      <c r="AV1217" s="78"/>
      <c r="AW1217" s="78"/>
      <c r="AX1217" s="78"/>
      <c r="AY1217" s="3"/>
      <c r="AZ1217" s="81"/>
      <c r="BB1217" s="5"/>
      <c r="BC1217" s="5"/>
    </row>
    <row r="1218" spans="1:55" x14ac:dyDescent="0.25">
      <c r="A1218" s="51">
        <v>42958</v>
      </c>
      <c r="B1218" s="54"/>
      <c r="C1218" s="55"/>
      <c r="D1218" s="55"/>
      <c r="E1218" s="55"/>
      <c r="F1218" s="55"/>
      <c r="G1218" s="55"/>
      <c r="H1218" s="55"/>
      <c r="I1218" s="55"/>
      <c r="J1218" s="55"/>
      <c r="K1218" s="55"/>
      <c r="L1218" s="55"/>
      <c r="M1218" s="55"/>
      <c r="N1218" s="55"/>
      <c r="O1218" s="55"/>
      <c r="P1218" s="56"/>
      <c r="AI1218" s="49"/>
      <c r="AJ1218" s="78"/>
      <c r="AK1218" s="78"/>
      <c r="AL1218" s="78"/>
      <c r="AM1218" s="78"/>
      <c r="AN1218" s="78"/>
      <c r="AO1218" s="78"/>
      <c r="AP1218" s="78"/>
      <c r="AQ1218" s="78"/>
      <c r="AR1218" s="78"/>
      <c r="AS1218" s="78"/>
      <c r="AT1218" s="78"/>
      <c r="AU1218" s="78"/>
      <c r="AV1218" s="78"/>
      <c r="AW1218" s="78"/>
      <c r="AX1218" s="78"/>
      <c r="AY1218" s="3"/>
      <c r="AZ1218" s="81"/>
      <c r="BB1218" s="5"/>
      <c r="BC1218" s="5"/>
    </row>
    <row r="1219" spans="1:55" x14ac:dyDescent="0.25">
      <c r="A1219" s="51">
        <v>42961</v>
      </c>
      <c r="B1219" s="54"/>
      <c r="C1219" s="55"/>
      <c r="D1219" s="55"/>
      <c r="E1219" s="55"/>
      <c r="F1219" s="55"/>
      <c r="G1219" s="55"/>
      <c r="H1219" s="55"/>
      <c r="I1219" s="55"/>
      <c r="J1219" s="55"/>
      <c r="K1219" s="55"/>
      <c r="L1219" s="55"/>
      <c r="M1219" s="55"/>
      <c r="N1219" s="55"/>
      <c r="O1219" s="55"/>
      <c r="P1219" s="56"/>
      <c r="AI1219" s="49"/>
      <c r="AJ1219" s="78"/>
      <c r="AK1219" s="78"/>
      <c r="AL1219" s="78"/>
      <c r="AM1219" s="78"/>
      <c r="AN1219" s="78"/>
      <c r="AO1219" s="78"/>
      <c r="AP1219" s="78"/>
      <c r="AQ1219" s="78"/>
      <c r="AR1219" s="78"/>
      <c r="AS1219" s="78"/>
      <c r="AT1219" s="78"/>
      <c r="AU1219" s="78"/>
      <c r="AV1219" s="78"/>
      <c r="AW1219" s="78"/>
      <c r="AX1219" s="78"/>
      <c r="AY1219" s="3"/>
      <c r="AZ1219" s="81"/>
      <c r="BB1219" s="5"/>
      <c r="BC1219" s="5"/>
    </row>
    <row r="1220" spans="1:55" x14ac:dyDescent="0.25">
      <c r="A1220" s="51">
        <v>42962</v>
      </c>
      <c r="B1220" s="54"/>
      <c r="C1220" s="55"/>
      <c r="D1220" s="55"/>
      <c r="E1220" s="55"/>
      <c r="F1220" s="55"/>
      <c r="G1220" s="55"/>
      <c r="H1220" s="55"/>
      <c r="I1220" s="55"/>
      <c r="J1220" s="55"/>
      <c r="K1220" s="55"/>
      <c r="L1220" s="55"/>
      <c r="M1220" s="55"/>
      <c r="N1220" s="55"/>
      <c r="O1220" s="55"/>
      <c r="P1220" s="56"/>
      <c r="AI1220" s="49"/>
      <c r="AJ1220" s="78"/>
      <c r="AK1220" s="78"/>
      <c r="AL1220" s="78"/>
      <c r="AM1220" s="78"/>
      <c r="AN1220" s="78"/>
      <c r="AO1220" s="78"/>
      <c r="AP1220" s="78"/>
      <c r="AQ1220" s="78"/>
      <c r="AR1220" s="78"/>
      <c r="AS1220" s="78"/>
      <c r="AT1220" s="78"/>
      <c r="AU1220" s="78"/>
      <c r="AV1220" s="78"/>
      <c r="AW1220" s="78"/>
      <c r="AX1220" s="78"/>
      <c r="AY1220" s="3"/>
      <c r="AZ1220" s="81"/>
      <c r="BB1220" s="5"/>
      <c r="BC1220" s="5"/>
    </row>
    <row r="1221" spans="1:55" x14ac:dyDescent="0.25">
      <c r="A1221" s="51">
        <v>42963</v>
      </c>
      <c r="B1221" s="54"/>
      <c r="C1221" s="55"/>
      <c r="D1221" s="55"/>
      <c r="E1221" s="55"/>
      <c r="F1221" s="55"/>
      <c r="G1221" s="55"/>
      <c r="H1221" s="55"/>
      <c r="I1221" s="55"/>
      <c r="J1221" s="55"/>
      <c r="K1221" s="55"/>
      <c r="L1221" s="55"/>
      <c r="M1221" s="55"/>
      <c r="N1221" s="55"/>
      <c r="O1221" s="55"/>
      <c r="P1221" s="56"/>
      <c r="AI1221" s="49"/>
      <c r="AJ1221" s="78"/>
      <c r="AK1221" s="78"/>
      <c r="AL1221" s="78"/>
      <c r="AM1221" s="78"/>
      <c r="AN1221" s="78"/>
      <c r="AO1221" s="78"/>
      <c r="AP1221" s="78"/>
      <c r="AQ1221" s="78"/>
      <c r="AR1221" s="78"/>
      <c r="AS1221" s="78"/>
      <c r="AT1221" s="78"/>
      <c r="AU1221" s="78"/>
      <c r="AV1221" s="78"/>
      <c r="AW1221" s="78"/>
      <c r="AX1221" s="78"/>
      <c r="AY1221" s="3"/>
      <c r="AZ1221" s="81"/>
      <c r="BB1221" s="5"/>
      <c r="BC1221" s="5"/>
    </row>
    <row r="1222" spans="1:55" x14ac:dyDescent="0.25">
      <c r="A1222" s="51">
        <v>42964</v>
      </c>
      <c r="B1222" s="54"/>
      <c r="C1222" s="55"/>
      <c r="D1222" s="55"/>
      <c r="E1222" s="55"/>
      <c r="F1222" s="55"/>
      <c r="G1222" s="55"/>
      <c r="H1222" s="55"/>
      <c r="I1222" s="55"/>
      <c r="J1222" s="55"/>
      <c r="K1222" s="55"/>
      <c r="L1222" s="55"/>
      <c r="M1222" s="55"/>
      <c r="N1222" s="55"/>
      <c r="O1222" s="55"/>
      <c r="P1222" s="56"/>
      <c r="AI1222" s="49"/>
      <c r="AJ1222" s="78"/>
      <c r="AK1222" s="78"/>
      <c r="AL1222" s="78"/>
      <c r="AM1222" s="78"/>
      <c r="AN1222" s="78"/>
      <c r="AO1222" s="78"/>
      <c r="AP1222" s="78"/>
      <c r="AQ1222" s="78"/>
      <c r="AR1222" s="78"/>
      <c r="AS1222" s="78"/>
      <c r="AT1222" s="78"/>
      <c r="AU1222" s="78"/>
      <c r="AV1222" s="78"/>
      <c r="AW1222" s="78"/>
      <c r="AX1222" s="78"/>
      <c r="AY1222" s="3"/>
      <c r="AZ1222" s="81"/>
      <c r="BB1222" s="5"/>
      <c r="BC1222" s="5"/>
    </row>
    <row r="1223" spans="1:55" x14ac:dyDescent="0.25">
      <c r="A1223" s="51">
        <v>42965</v>
      </c>
      <c r="B1223" s="54"/>
      <c r="C1223" s="55"/>
      <c r="D1223" s="55"/>
      <c r="E1223" s="55"/>
      <c r="F1223" s="55"/>
      <c r="G1223" s="55"/>
      <c r="H1223" s="55"/>
      <c r="I1223" s="55"/>
      <c r="J1223" s="55"/>
      <c r="K1223" s="55"/>
      <c r="L1223" s="55"/>
      <c r="M1223" s="55"/>
      <c r="N1223" s="55"/>
      <c r="O1223" s="55"/>
      <c r="P1223" s="56"/>
      <c r="AI1223" s="49"/>
      <c r="AJ1223" s="78"/>
      <c r="AK1223" s="78"/>
      <c r="AL1223" s="78"/>
      <c r="AM1223" s="78"/>
      <c r="AN1223" s="78"/>
      <c r="AO1223" s="78"/>
      <c r="AP1223" s="78"/>
      <c r="AQ1223" s="78"/>
      <c r="AR1223" s="78"/>
      <c r="AS1223" s="78"/>
      <c r="AT1223" s="78"/>
      <c r="AU1223" s="78"/>
      <c r="AV1223" s="78"/>
      <c r="AW1223" s="78"/>
      <c r="AX1223" s="78"/>
      <c r="AY1223" s="3"/>
      <c r="AZ1223" s="81"/>
      <c r="BB1223" s="5"/>
      <c r="BC1223" s="5"/>
    </row>
    <row r="1224" spans="1:55" x14ac:dyDescent="0.25">
      <c r="A1224" s="51">
        <v>42968</v>
      </c>
      <c r="B1224" s="54"/>
      <c r="C1224" s="55"/>
      <c r="D1224" s="55"/>
      <c r="E1224" s="55"/>
      <c r="F1224" s="55"/>
      <c r="G1224" s="55"/>
      <c r="H1224" s="55"/>
      <c r="I1224" s="55"/>
      <c r="J1224" s="55"/>
      <c r="K1224" s="55"/>
      <c r="L1224" s="55"/>
      <c r="M1224" s="55"/>
      <c r="N1224" s="55"/>
      <c r="O1224" s="55"/>
      <c r="P1224" s="56"/>
      <c r="AI1224" s="49"/>
      <c r="AJ1224" s="78"/>
      <c r="AK1224" s="78"/>
      <c r="AL1224" s="78"/>
      <c r="AM1224" s="78"/>
      <c r="AN1224" s="78"/>
      <c r="AO1224" s="78"/>
      <c r="AP1224" s="78"/>
      <c r="AQ1224" s="78"/>
      <c r="AR1224" s="78"/>
      <c r="AS1224" s="78"/>
      <c r="AT1224" s="78"/>
      <c r="AU1224" s="78"/>
      <c r="AV1224" s="78"/>
      <c r="AW1224" s="78"/>
      <c r="AX1224" s="78"/>
      <c r="AY1224" s="3"/>
      <c r="AZ1224" s="81"/>
      <c r="BB1224" s="5"/>
      <c r="BC1224" s="5"/>
    </row>
    <row r="1225" spans="1:55" x14ac:dyDescent="0.25">
      <c r="A1225" s="51">
        <v>42969</v>
      </c>
      <c r="B1225" s="54"/>
      <c r="C1225" s="55"/>
      <c r="D1225" s="55"/>
      <c r="E1225" s="55"/>
      <c r="F1225" s="55"/>
      <c r="G1225" s="55"/>
      <c r="H1225" s="55"/>
      <c r="I1225" s="55"/>
      <c r="J1225" s="55"/>
      <c r="K1225" s="55"/>
      <c r="L1225" s="55"/>
      <c r="M1225" s="55"/>
      <c r="N1225" s="55"/>
      <c r="O1225" s="55"/>
      <c r="P1225" s="56"/>
      <c r="AI1225" s="49"/>
      <c r="AJ1225" s="78"/>
      <c r="AK1225" s="78"/>
      <c r="AL1225" s="78"/>
      <c r="AM1225" s="78"/>
      <c r="AN1225" s="78"/>
      <c r="AO1225" s="78"/>
      <c r="AP1225" s="78"/>
      <c r="AQ1225" s="78"/>
      <c r="AR1225" s="78"/>
      <c r="AS1225" s="78"/>
      <c r="AT1225" s="78"/>
      <c r="AU1225" s="78"/>
      <c r="AV1225" s="78"/>
      <c r="AW1225" s="78"/>
      <c r="AX1225" s="78"/>
      <c r="AY1225" s="3"/>
      <c r="AZ1225" s="81"/>
      <c r="BB1225" s="5"/>
      <c r="BC1225" s="5"/>
    </row>
    <row r="1226" spans="1:55" x14ac:dyDescent="0.25">
      <c r="A1226" s="51">
        <v>42970</v>
      </c>
      <c r="B1226" s="54"/>
      <c r="C1226" s="55"/>
      <c r="D1226" s="55"/>
      <c r="E1226" s="55"/>
      <c r="F1226" s="55"/>
      <c r="G1226" s="55"/>
      <c r="H1226" s="55"/>
      <c r="I1226" s="55"/>
      <c r="J1226" s="55"/>
      <c r="K1226" s="55"/>
      <c r="L1226" s="55"/>
      <c r="M1226" s="55"/>
      <c r="N1226" s="55"/>
      <c r="O1226" s="55"/>
      <c r="P1226" s="56"/>
      <c r="AI1226" s="49"/>
      <c r="AJ1226" s="78"/>
      <c r="AK1226" s="78"/>
      <c r="AL1226" s="78"/>
      <c r="AM1226" s="78"/>
      <c r="AN1226" s="78"/>
      <c r="AO1226" s="78"/>
      <c r="AP1226" s="78"/>
      <c r="AQ1226" s="78"/>
      <c r="AR1226" s="78"/>
      <c r="AS1226" s="78"/>
      <c r="AT1226" s="78"/>
      <c r="AU1226" s="78"/>
      <c r="AV1226" s="78"/>
      <c r="AW1226" s="78"/>
      <c r="AX1226" s="78"/>
      <c r="AY1226" s="3"/>
      <c r="AZ1226" s="81"/>
      <c r="BB1226" s="5"/>
      <c r="BC1226" s="5"/>
    </row>
    <row r="1227" spans="1:55" x14ac:dyDescent="0.25">
      <c r="A1227" s="51">
        <v>42971</v>
      </c>
      <c r="B1227" s="54"/>
      <c r="C1227" s="55"/>
      <c r="D1227" s="55"/>
      <c r="E1227" s="55"/>
      <c r="F1227" s="55"/>
      <c r="G1227" s="55"/>
      <c r="H1227" s="55"/>
      <c r="I1227" s="55"/>
      <c r="J1227" s="55"/>
      <c r="K1227" s="55"/>
      <c r="L1227" s="55"/>
      <c r="M1227" s="55"/>
      <c r="N1227" s="55"/>
      <c r="O1227" s="55"/>
      <c r="P1227" s="56"/>
      <c r="AI1227" s="49"/>
      <c r="AJ1227" s="78"/>
      <c r="AK1227" s="78"/>
      <c r="AL1227" s="78"/>
      <c r="AM1227" s="78"/>
      <c r="AN1227" s="78"/>
      <c r="AO1227" s="78"/>
      <c r="AP1227" s="78"/>
      <c r="AQ1227" s="78"/>
      <c r="AR1227" s="78"/>
      <c r="AS1227" s="78"/>
      <c r="AT1227" s="78"/>
      <c r="AU1227" s="78"/>
      <c r="AV1227" s="78"/>
      <c r="AW1227" s="78"/>
      <c r="AX1227" s="78"/>
      <c r="AY1227" s="3"/>
      <c r="AZ1227" s="81"/>
      <c r="BB1227" s="5"/>
      <c r="BC1227" s="5"/>
    </row>
    <row r="1228" spans="1:55" x14ac:dyDescent="0.25">
      <c r="A1228" s="51">
        <v>42972</v>
      </c>
      <c r="B1228" s="54"/>
      <c r="C1228" s="55"/>
      <c r="D1228" s="55"/>
      <c r="E1228" s="55"/>
      <c r="F1228" s="55"/>
      <c r="G1228" s="55"/>
      <c r="H1228" s="55"/>
      <c r="I1228" s="55"/>
      <c r="J1228" s="55"/>
      <c r="K1228" s="55"/>
      <c r="L1228" s="55"/>
      <c r="M1228" s="55"/>
      <c r="N1228" s="55"/>
      <c r="O1228" s="55"/>
      <c r="P1228" s="56"/>
      <c r="AI1228" s="49"/>
      <c r="AJ1228" s="78"/>
      <c r="AK1228" s="78"/>
      <c r="AL1228" s="78"/>
      <c r="AM1228" s="78"/>
      <c r="AN1228" s="78"/>
      <c r="AO1228" s="78"/>
      <c r="AP1228" s="78"/>
      <c r="AQ1228" s="78"/>
      <c r="AR1228" s="78"/>
      <c r="AS1228" s="78"/>
      <c r="AT1228" s="78"/>
      <c r="AU1228" s="78"/>
      <c r="AV1228" s="78"/>
      <c r="AW1228" s="78"/>
      <c r="AX1228" s="78"/>
      <c r="AY1228" s="3"/>
      <c r="AZ1228" s="81"/>
      <c r="BB1228" s="5"/>
      <c r="BC1228" s="5"/>
    </row>
    <row r="1229" spans="1:55" x14ac:dyDescent="0.25">
      <c r="A1229" s="51">
        <v>42975</v>
      </c>
      <c r="B1229" s="54"/>
      <c r="C1229" s="55"/>
      <c r="D1229" s="55"/>
      <c r="E1229" s="55"/>
      <c r="F1229" s="55"/>
      <c r="G1229" s="55"/>
      <c r="H1229" s="55"/>
      <c r="I1229" s="55"/>
      <c r="J1229" s="55"/>
      <c r="K1229" s="55"/>
      <c r="L1229" s="55"/>
      <c r="M1229" s="55"/>
      <c r="N1229" s="55"/>
      <c r="O1229" s="55"/>
      <c r="P1229" s="56"/>
      <c r="AI1229" s="49"/>
      <c r="AJ1229" s="78"/>
      <c r="AK1229" s="78"/>
      <c r="AL1229" s="78"/>
      <c r="AM1229" s="78"/>
      <c r="AN1229" s="78"/>
      <c r="AO1229" s="78"/>
      <c r="AP1229" s="78"/>
      <c r="AQ1229" s="78"/>
      <c r="AR1229" s="78"/>
      <c r="AS1229" s="78"/>
      <c r="AT1229" s="78"/>
      <c r="AU1229" s="78"/>
      <c r="AV1229" s="78"/>
      <c r="AW1229" s="78"/>
      <c r="AX1229" s="78"/>
      <c r="AY1229" s="3"/>
      <c r="AZ1229" s="81"/>
      <c r="BB1229" s="5"/>
      <c r="BC1229" s="5"/>
    </row>
    <row r="1230" spans="1:55" x14ac:dyDescent="0.25">
      <c r="A1230" s="51">
        <v>42976</v>
      </c>
      <c r="B1230" s="54"/>
      <c r="C1230" s="55"/>
      <c r="D1230" s="55"/>
      <c r="E1230" s="55"/>
      <c r="F1230" s="55"/>
      <c r="G1230" s="55"/>
      <c r="H1230" s="55"/>
      <c r="I1230" s="55"/>
      <c r="J1230" s="55"/>
      <c r="K1230" s="55"/>
      <c r="L1230" s="55"/>
      <c r="M1230" s="55"/>
      <c r="N1230" s="55"/>
      <c r="O1230" s="55"/>
      <c r="P1230" s="56"/>
      <c r="AI1230" s="49"/>
      <c r="AJ1230" s="78"/>
      <c r="AK1230" s="78"/>
      <c r="AL1230" s="78"/>
      <c r="AM1230" s="78"/>
      <c r="AN1230" s="78"/>
      <c r="AO1230" s="78"/>
      <c r="AP1230" s="78"/>
      <c r="AQ1230" s="78"/>
      <c r="AR1230" s="78"/>
      <c r="AS1230" s="78"/>
      <c r="AT1230" s="78"/>
      <c r="AU1230" s="78"/>
      <c r="AV1230" s="78"/>
      <c r="AW1230" s="78"/>
      <c r="AX1230" s="78"/>
      <c r="AY1230" s="3"/>
      <c r="AZ1230" s="81"/>
      <c r="BB1230" s="5"/>
      <c r="BC1230" s="5"/>
    </row>
    <row r="1231" spans="1:55" x14ac:dyDescent="0.25">
      <c r="A1231" s="51">
        <v>42978</v>
      </c>
      <c r="B1231" s="54"/>
      <c r="C1231" s="55"/>
      <c r="D1231" s="55"/>
      <c r="E1231" s="55"/>
      <c r="F1231" s="55"/>
      <c r="G1231" s="55"/>
      <c r="H1231" s="55"/>
      <c r="I1231" s="55"/>
      <c r="J1231" s="55"/>
      <c r="K1231" s="55"/>
      <c r="L1231" s="55"/>
      <c r="M1231" s="55"/>
      <c r="N1231" s="55"/>
      <c r="O1231" s="55"/>
      <c r="P1231" s="56"/>
      <c r="AI1231" s="49"/>
      <c r="AJ1231" s="78"/>
      <c r="AK1231" s="78"/>
      <c r="AL1231" s="78"/>
      <c r="AM1231" s="78"/>
      <c r="AN1231" s="78"/>
      <c r="AO1231" s="78"/>
      <c r="AP1231" s="78"/>
      <c r="AQ1231" s="78"/>
      <c r="AR1231" s="78"/>
      <c r="AS1231" s="78"/>
      <c r="AT1231" s="78"/>
      <c r="AU1231" s="78"/>
      <c r="AV1231" s="78"/>
      <c r="AW1231" s="78"/>
      <c r="AX1231" s="78"/>
      <c r="AY1231" s="3"/>
      <c r="AZ1231" s="81"/>
      <c r="BB1231" s="5"/>
      <c r="BC1231" s="5"/>
    </row>
    <row r="1232" spans="1:55" x14ac:dyDescent="0.25">
      <c r="A1232" s="51">
        <v>42979</v>
      </c>
      <c r="B1232" s="54"/>
      <c r="C1232" s="55"/>
      <c r="D1232" s="55"/>
      <c r="E1232" s="55"/>
      <c r="F1232" s="55"/>
      <c r="G1232" s="55"/>
      <c r="H1232" s="55"/>
      <c r="I1232" s="55"/>
      <c r="J1232" s="55"/>
      <c r="K1232" s="55"/>
      <c r="L1232" s="55"/>
      <c r="M1232" s="55"/>
      <c r="N1232" s="55"/>
      <c r="O1232" s="55"/>
      <c r="P1232" s="56"/>
      <c r="AI1232" s="49"/>
      <c r="AJ1232" s="78"/>
      <c r="AK1232" s="78"/>
      <c r="AL1232" s="78"/>
      <c r="AM1232" s="78"/>
      <c r="AN1232" s="78"/>
      <c r="AO1232" s="78"/>
      <c r="AP1232" s="78"/>
      <c r="AQ1232" s="78"/>
      <c r="AR1232" s="78"/>
      <c r="AS1232" s="78"/>
      <c r="AT1232" s="78"/>
      <c r="AU1232" s="78"/>
      <c r="AV1232" s="78"/>
      <c r="AW1232" s="78"/>
      <c r="AX1232" s="78"/>
      <c r="AY1232" s="3"/>
      <c r="AZ1232" s="81"/>
      <c r="BB1232" s="5"/>
      <c r="BC1232" s="5"/>
    </row>
    <row r="1233" spans="1:55" x14ac:dyDescent="0.25">
      <c r="A1233" s="51">
        <v>42982</v>
      </c>
      <c r="B1233" s="54"/>
      <c r="C1233" s="55"/>
      <c r="D1233" s="55"/>
      <c r="E1233" s="55"/>
      <c r="F1233" s="55"/>
      <c r="G1233" s="55"/>
      <c r="H1233" s="55"/>
      <c r="I1233" s="55"/>
      <c r="J1233" s="55"/>
      <c r="K1233" s="55"/>
      <c r="L1233" s="55"/>
      <c r="M1233" s="55"/>
      <c r="N1233" s="55"/>
      <c r="O1233" s="55"/>
      <c r="P1233" s="56"/>
      <c r="AI1233" s="49"/>
      <c r="AJ1233" s="78"/>
      <c r="AK1233" s="78"/>
      <c r="AL1233" s="78"/>
      <c r="AM1233" s="78"/>
      <c r="AN1233" s="78"/>
      <c r="AO1233" s="78"/>
      <c r="AP1233" s="78"/>
      <c r="AQ1233" s="78"/>
      <c r="AR1233" s="78"/>
      <c r="AS1233" s="78"/>
      <c r="AT1233" s="78"/>
      <c r="AU1233" s="78"/>
      <c r="AV1233" s="78"/>
      <c r="AW1233" s="78"/>
      <c r="AX1233" s="78"/>
      <c r="AY1233" s="3"/>
      <c r="AZ1233" s="81"/>
      <c r="BB1233" s="5"/>
      <c r="BC1233" s="5"/>
    </row>
    <row r="1234" spans="1:55" x14ac:dyDescent="0.25">
      <c r="A1234" s="51">
        <v>42983</v>
      </c>
      <c r="B1234" s="54"/>
      <c r="C1234" s="55"/>
      <c r="D1234" s="55"/>
      <c r="E1234" s="55"/>
      <c r="F1234" s="55"/>
      <c r="G1234" s="55"/>
      <c r="H1234" s="55"/>
      <c r="I1234" s="55"/>
      <c r="J1234" s="55"/>
      <c r="K1234" s="55"/>
      <c r="L1234" s="55"/>
      <c r="M1234" s="55"/>
      <c r="N1234" s="55"/>
      <c r="O1234" s="55"/>
      <c r="P1234" s="56"/>
      <c r="AI1234" s="49"/>
      <c r="AJ1234" s="78"/>
      <c r="AK1234" s="78"/>
      <c r="AL1234" s="78"/>
      <c r="AM1234" s="78"/>
      <c r="AN1234" s="78"/>
      <c r="AO1234" s="78"/>
      <c r="AP1234" s="78"/>
      <c r="AQ1234" s="78"/>
      <c r="AR1234" s="78"/>
      <c r="AS1234" s="78"/>
      <c r="AT1234" s="78"/>
      <c r="AU1234" s="78"/>
      <c r="AV1234" s="78"/>
      <c r="AW1234" s="78"/>
      <c r="AX1234" s="78"/>
      <c r="AY1234" s="3"/>
      <c r="AZ1234" s="81"/>
      <c r="BB1234" s="5"/>
      <c r="BC1234" s="5"/>
    </row>
    <row r="1235" spans="1:55" x14ac:dyDescent="0.25">
      <c r="A1235" s="51">
        <v>42984</v>
      </c>
      <c r="B1235" s="54"/>
      <c r="C1235" s="55"/>
      <c r="D1235" s="55"/>
      <c r="E1235" s="55"/>
      <c r="F1235" s="55"/>
      <c r="G1235" s="55"/>
      <c r="H1235" s="55"/>
      <c r="I1235" s="55"/>
      <c r="J1235" s="55"/>
      <c r="K1235" s="55"/>
      <c r="L1235" s="55"/>
      <c r="M1235" s="55"/>
      <c r="N1235" s="55"/>
      <c r="O1235" s="55"/>
      <c r="P1235" s="56"/>
      <c r="AI1235" s="49"/>
      <c r="AJ1235" s="78"/>
      <c r="AK1235" s="78"/>
      <c r="AL1235" s="78"/>
      <c r="AM1235" s="78"/>
      <c r="AN1235" s="78"/>
      <c r="AO1235" s="78"/>
      <c r="AP1235" s="78"/>
      <c r="AQ1235" s="78"/>
      <c r="AR1235" s="78"/>
      <c r="AS1235" s="78"/>
      <c r="AT1235" s="78"/>
      <c r="AU1235" s="78"/>
      <c r="AV1235" s="78"/>
      <c r="AW1235" s="78"/>
      <c r="AX1235" s="78"/>
      <c r="AY1235" s="3"/>
      <c r="AZ1235" s="81"/>
      <c r="BB1235" s="5"/>
      <c r="BC1235" s="5"/>
    </row>
    <row r="1236" spans="1:55" x14ac:dyDescent="0.25">
      <c r="A1236" s="51">
        <v>42985</v>
      </c>
      <c r="B1236" s="54"/>
      <c r="C1236" s="55"/>
      <c r="D1236" s="55"/>
      <c r="E1236" s="55"/>
      <c r="F1236" s="55"/>
      <c r="G1236" s="55"/>
      <c r="H1236" s="55"/>
      <c r="I1236" s="55"/>
      <c r="J1236" s="55"/>
      <c r="K1236" s="55"/>
      <c r="L1236" s="55"/>
      <c r="M1236" s="55"/>
      <c r="N1236" s="55"/>
      <c r="O1236" s="55"/>
      <c r="P1236" s="56"/>
      <c r="AI1236" s="49"/>
      <c r="AJ1236" s="78"/>
      <c r="AK1236" s="78"/>
      <c r="AL1236" s="78"/>
      <c r="AM1236" s="78"/>
      <c r="AN1236" s="78"/>
      <c r="AO1236" s="78"/>
      <c r="AP1236" s="78"/>
      <c r="AQ1236" s="78"/>
      <c r="AR1236" s="78"/>
      <c r="AS1236" s="78"/>
      <c r="AT1236" s="78"/>
      <c r="AU1236" s="78"/>
      <c r="AV1236" s="78"/>
      <c r="AW1236" s="78"/>
      <c r="AX1236" s="78"/>
      <c r="AY1236" s="3"/>
      <c r="AZ1236" s="81"/>
      <c r="BB1236" s="5"/>
      <c r="BC1236" s="5"/>
    </row>
    <row r="1237" spans="1:55" x14ac:dyDescent="0.25">
      <c r="A1237" s="51">
        <v>42986</v>
      </c>
      <c r="B1237" s="54"/>
      <c r="C1237" s="55"/>
      <c r="D1237" s="55"/>
      <c r="E1237" s="55"/>
      <c r="F1237" s="55"/>
      <c r="G1237" s="55"/>
      <c r="H1237" s="55"/>
      <c r="I1237" s="55"/>
      <c r="J1237" s="55"/>
      <c r="K1237" s="55"/>
      <c r="L1237" s="55"/>
      <c r="M1237" s="55"/>
      <c r="N1237" s="55"/>
      <c r="O1237" s="55"/>
      <c r="P1237" s="56"/>
      <c r="AI1237" s="49"/>
      <c r="AJ1237" s="78"/>
      <c r="AK1237" s="78"/>
      <c r="AL1237" s="78"/>
      <c r="AM1237" s="78"/>
      <c r="AN1237" s="78"/>
      <c r="AO1237" s="78"/>
      <c r="AP1237" s="78"/>
      <c r="AQ1237" s="78"/>
      <c r="AR1237" s="78"/>
      <c r="AS1237" s="78"/>
      <c r="AT1237" s="78"/>
      <c r="AU1237" s="78"/>
      <c r="AV1237" s="78"/>
      <c r="AW1237" s="78"/>
      <c r="AX1237" s="78"/>
      <c r="AY1237" s="3"/>
      <c r="AZ1237" s="81"/>
      <c r="BB1237" s="5"/>
      <c r="BC1237" s="5"/>
    </row>
    <row r="1238" spans="1:55" x14ac:dyDescent="0.25">
      <c r="A1238" s="51">
        <v>42989</v>
      </c>
      <c r="B1238" s="54"/>
      <c r="C1238" s="55"/>
      <c r="D1238" s="55"/>
      <c r="E1238" s="55"/>
      <c r="F1238" s="55"/>
      <c r="G1238" s="55"/>
      <c r="H1238" s="55"/>
      <c r="I1238" s="55"/>
      <c r="J1238" s="55"/>
      <c r="K1238" s="55"/>
      <c r="L1238" s="55"/>
      <c r="M1238" s="55"/>
      <c r="N1238" s="55"/>
      <c r="O1238" s="55"/>
      <c r="P1238" s="56"/>
      <c r="AI1238" s="49"/>
      <c r="AJ1238" s="78"/>
      <c r="AK1238" s="78"/>
      <c r="AL1238" s="78"/>
      <c r="AM1238" s="78"/>
      <c r="AN1238" s="78"/>
      <c r="AO1238" s="78"/>
      <c r="AP1238" s="78"/>
      <c r="AQ1238" s="78"/>
      <c r="AR1238" s="78"/>
      <c r="AS1238" s="78"/>
      <c r="AT1238" s="78"/>
      <c r="AU1238" s="78"/>
      <c r="AV1238" s="78"/>
      <c r="AW1238" s="78"/>
      <c r="AX1238" s="78"/>
      <c r="AY1238" s="3"/>
      <c r="AZ1238" s="81"/>
      <c r="BB1238" s="5"/>
      <c r="BC1238" s="5"/>
    </row>
    <row r="1239" spans="1:55" x14ac:dyDescent="0.25">
      <c r="A1239" s="51">
        <v>42990</v>
      </c>
      <c r="B1239" s="54"/>
      <c r="C1239" s="55"/>
      <c r="D1239" s="55"/>
      <c r="E1239" s="55"/>
      <c r="F1239" s="55"/>
      <c r="G1239" s="55"/>
      <c r="H1239" s="55"/>
      <c r="I1239" s="55"/>
      <c r="J1239" s="55"/>
      <c r="K1239" s="55"/>
      <c r="L1239" s="55"/>
      <c r="M1239" s="55"/>
      <c r="N1239" s="55"/>
      <c r="O1239" s="55"/>
      <c r="P1239" s="56"/>
      <c r="AI1239" s="49"/>
      <c r="AJ1239" s="78"/>
      <c r="AK1239" s="78"/>
      <c r="AL1239" s="78"/>
      <c r="AM1239" s="78"/>
      <c r="AN1239" s="78"/>
      <c r="AO1239" s="78"/>
      <c r="AP1239" s="78"/>
      <c r="AQ1239" s="78"/>
      <c r="AR1239" s="78"/>
      <c r="AS1239" s="78"/>
      <c r="AT1239" s="78"/>
      <c r="AU1239" s="78"/>
      <c r="AV1239" s="78"/>
      <c r="AW1239" s="78"/>
      <c r="AX1239" s="78"/>
      <c r="AY1239" s="3"/>
      <c r="AZ1239" s="81"/>
      <c r="BB1239" s="5"/>
      <c r="BC1239" s="5"/>
    </row>
    <row r="1240" spans="1:55" x14ac:dyDescent="0.25">
      <c r="A1240" s="51">
        <v>42991</v>
      </c>
      <c r="B1240" s="54"/>
      <c r="C1240" s="55"/>
      <c r="D1240" s="55"/>
      <c r="E1240" s="55"/>
      <c r="F1240" s="55"/>
      <c r="G1240" s="55"/>
      <c r="H1240" s="55"/>
      <c r="I1240" s="55"/>
      <c r="J1240" s="55"/>
      <c r="K1240" s="55"/>
      <c r="L1240" s="55"/>
      <c r="M1240" s="55"/>
      <c r="N1240" s="55"/>
      <c r="O1240" s="55"/>
      <c r="P1240" s="56"/>
      <c r="AI1240" s="49"/>
      <c r="AJ1240" s="78"/>
      <c r="AK1240" s="78"/>
      <c r="AL1240" s="78"/>
      <c r="AM1240" s="78"/>
      <c r="AN1240" s="78"/>
      <c r="AO1240" s="78"/>
      <c r="AP1240" s="78"/>
      <c r="AQ1240" s="78"/>
      <c r="AR1240" s="78"/>
      <c r="AS1240" s="78"/>
      <c r="AT1240" s="78"/>
      <c r="AU1240" s="78"/>
      <c r="AV1240" s="78"/>
      <c r="AW1240" s="78"/>
      <c r="AX1240" s="78"/>
      <c r="AY1240" s="3"/>
      <c r="AZ1240" s="81"/>
      <c r="BB1240" s="5"/>
      <c r="BC1240" s="5"/>
    </row>
    <row r="1241" spans="1:55" x14ac:dyDescent="0.25">
      <c r="A1241" s="51">
        <v>42992</v>
      </c>
      <c r="B1241" s="54"/>
      <c r="C1241" s="55"/>
      <c r="D1241" s="55"/>
      <c r="E1241" s="55"/>
      <c r="F1241" s="55"/>
      <c r="G1241" s="55"/>
      <c r="H1241" s="55"/>
      <c r="I1241" s="55"/>
      <c r="J1241" s="55"/>
      <c r="K1241" s="55"/>
      <c r="L1241" s="55"/>
      <c r="M1241" s="55"/>
      <c r="N1241" s="55"/>
      <c r="O1241" s="55"/>
      <c r="P1241" s="56"/>
      <c r="AI1241" s="49"/>
      <c r="AJ1241" s="78"/>
      <c r="AK1241" s="78"/>
      <c r="AL1241" s="78"/>
      <c r="AM1241" s="78"/>
      <c r="AN1241" s="78"/>
      <c r="AO1241" s="78"/>
      <c r="AP1241" s="78"/>
      <c r="AQ1241" s="78"/>
      <c r="AR1241" s="78"/>
      <c r="AS1241" s="78"/>
      <c r="AT1241" s="78"/>
      <c r="AU1241" s="78"/>
      <c r="AV1241" s="78"/>
      <c r="AW1241" s="78"/>
      <c r="AX1241" s="78"/>
      <c r="AY1241" s="3"/>
      <c r="AZ1241" s="81"/>
      <c r="BB1241" s="5"/>
      <c r="BC1241" s="5"/>
    </row>
    <row r="1242" spans="1:55" x14ac:dyDescent="0.25">
      <c r="A1242" s="51">
        <v>42993</v>
      </c>
      <c r="B1242" s="54"/>
      <c r="C1242" s="55"/>
      <c r="D1242" s="55"/>
      <c r="E1242" s="55"/>
      <c r="F1242" s="55"/>
      <c r="G1242" s="55"/>
      <c r="H1242" s="55"/>
      <c r="I1242" s="55"/>
      <c r="J1242" s="55"/>
      <c r="K1242" s="55"/>
      <c r="L1242" s="55"/>
      <c r="M1242" s="55"/>
      <c r="N1242" s="55"/>
      <c r="O1242" s="55"/>
      <c r="P1242" s="56"/>
      <c r="AI1242" s="49"/>
      <c r="AJ1242" s="78"/>
      <c r="AK1242" s="78"/>
      <c r="AL1242" s="78"/>
      <c r="AM1242" s="78"/>
      <c r="AN1242" s="78"/>
      <c r="AO1242" s="78"/>
      <c r="AP1242" s="78"/>
      <c r="AQ1242" s="78"/>
      <c r="AR1242" s="78"/>
      <c r="AS1242" s="78"/>
      <c r="AT1242" s="78"/>
      <c r="AU1242" s="78"/>
      <c r="AV1242" s="78"/>
      <c r="AW1242" s="78"/>
      <c r="AX1242" s="78"/>
      <c r="AY1242" s="3"/>
      <c r="AZ1242" s="81"/>
      <c r="BB1242" s="5"/>
      <c r="BC1242" s="5"/>
    </row>
    <row r="1243" spans="1:55" x14ac:dyDescent="0.25">
      <c r="A1243" s="51">
        <v>42996</v>
      </c>
      <c r="B1243" s="54"/>
      <c r="C1243" s="55"/>
      <c r="D1243" s="55"/>
      <c r="E1243" s="55"/>
      <c r="F1243" s="55"/>
      <c r="G1243" s="55"/>
      <c r="H1243" s="55"/>
      <c r="I1243" s="55"/>
      <c r="J1243" s="55"/>
      <c r="K1243" s="55"/>
      <c r="L1243" s="55"/>
      <c r="M1243" s="55"/>
      <c r="N1243" s="55"/>
      <c r="O1243" s="55"/>
      <c r="P1243" s="56"/>
      <c r="AI1243" s="49"/>
      <c r="AJ1243" s="78"/>
      <c r="AK1243" s="78"/>
      <c r="AL1243" s="78"/>
      <c r="AM1243" s="78"/>
      <c r="AN1243" s="78"/>
      <c r="AO1243" s="78"/>
      <c r="AP1243" s="78"/>
      <c r="AQ1243" s="78"/>
      <c r="AR1243" s="78"/>
      <c r="AS1243" s="78"/>
      <c r="AT1243" s="78"/>
      <c r="AU1243" s="78"/>
      <c r="AV1243" s="78"/>
      <c r="AW1243" s="78"/>
      <c r="AX1243" s="78"/>
      <c r="AY1243" s="3"/>
      <c r="AZ1243" s="81"/>
      <c r="BB1243" s="5"/>
      <c r="BC1243" s="5"/>
    </row>
    <row r="1244" spans="1:55" x14ac:dyDescent="0.25">
      <c r="A1244" s="51">
        <v>42997</v>
      </c>
      <c r="B1244" s="54"/>
      <c r="C1244" s="55"/>
      <c r="D1244" s="55"/>
      <c r="E1244" s="55"/>
      <c r="F1244" s="55"/>
      <c r="G1244" s="55"/>
      <c r="H1244" s="55"/>
      <c r="I1244" s="55"/>
      <c r="J1244" s="55"/>
      <c r="K1244" s="55"/>
      <c r="L1244" s="55"/>
      <c r="M1244" s="55"/>
      <c r="N1244" s="55"/>
      <c r="O1244" s="55"/>
      <c r="P1244" s="56"/>
      <c r="AI1244" s="49"/>
      <c r="AJ1244" s="78"/>
      <c r="AK1244" s="78"/>
      <c r="AL1244" s="78"/>
      <c r="AM1244" s="78"/>
      <c r="AN1244" s="78"/>
      <c r="AO1244" s="78"/>
      <c r="AP1244" s="78"/>
      <c r="AQ1244" s="78"/>
      <c r="AR1244" s="78"/>
      <c r="AS1244" s="78"/>
      <c r="AT1244" s="78"/>
      <c r="AU1244" s="78"/>
      <c r="AV1244" s="78"/>
      <c r="AW1244" s="78"/>
      <c r="AX1244" s="78"/>
      <c r="AY1244" s="3"/>
      <c r="AZ1244" s="81"/>
      <c r="BB1244" s="5"/>
      <c r="BC1244" s="5"/>
    </row>
    <row r="1245" spans="1:55" x14ac:dyDescent="0.25">
      <c r="A1245" s="51">
        <v>42998</v>
      </c>
      <c r="B1245" s="54"/>
      <c r="C1245" s="55"/>
      <c r="D1245" s="55"/>
      <c r="E1245" s="55"/>
      <c r="F1245" s="55"/>
      <c r="G1245" s="55"/>
      <c r="H1245" s="55"/>
      <c r="I1245" s="55"/>
      <c r="J1245" s="55"/>
      <c r="K1245" s="55"/>
      <c r="L1245" s="55"/>
      <c r="M1245" s="55"/>
      <c r="N1245" s="55"/>
      <c r="O1245" s="55"/>
      <c r="P1245" s="56"/>
      <c r="AI1245" s="49"/>
      <c r="AJ1245" s="78"/>
      <c r="AK1245" s="78"/>
      <c r="AL1245" s="78"/>
      <c r="AM1245" s="78"/>
      <c r="AN1245" s="78"/>
      <c r="AO1245" s="78"/>
      <c r="AP1245" s="78"/>
      <c r="AQ1245" s="78"/>
      <c r="AR1245" s="78"/>
      <c r="AS1245" s="78"/>
      <c r="AT1245" s="78"/>
      <c r="AU1245" s="78"/>
      <c r="AV1245" s="78"/>
      <c r="AW1245" s="78"/>
      <c r="AX1245" s="78"/>
      <c r="AY1245" s="3"/>
      <c r="AZ1245" s="81"/>
      <c r="BB1245" s="5"/>
      <c r="BC1245" s="5"/>
    </row>
    <row r="1246" spans="1:55" x14ac:dyDescent="0.25">
      <c r="A1246" s="51">
        <v>42999</v>
      </c>
      <c r="B1246" s="54"/>
      <c r="C1246" s="55"/>
      <c r="D1246" s="55"/>
      <c r="E1246" s="55"/>
      <c r="F1246" s="55"/>
      <c r="G1246" s="55"/>
      <c r="H1246" s="55"/>
      <c r="I1246" s="55"/>
      <c r="J1246" s="55"/>
      <c r="K1246" s="55"/>
      <c r="L1246" s="55"/>
      <c r="M1246" s="55"/>
      <c r="N1246" s="55"/>
      <c r="O1246" s="55"/>
      <c r="P1246" s="56"/>
      <c r="AI1246" s="49"/>
      <c r="AJ1246" s="78"/>
      <c r="AK1246" s="78"/>
      <c r="AL1246" s="78"/>
      <c r="AM1246" s="78"/>
      <c r="AN1246" s="78"/>
      <c r="AO1246" s="78"/>
      <c r="AP1246" s="78"/>
      <c r="AQ1246" s="78"/>
      <c r="AR1246" s="78"/>
      <c r="AS1246" s="78"/>
      <c r="AT1246" s="78"/>
      <c r="AU1246" s="78"/>
      <c r="AV1246" s="78"/>
      <c r="AW1246" s="78"/>
      <c r="AX1246" s="78"/>
      <c r="AY1246" s="3"/>
      <c r="AZ1246" s="81"/>
      <c r="BB1246" s="5"/>
      <c r="BC1246" s="5"/>
    </row>
    <row r="1247" spans="1:55" x14ac:dyDescent="0.25">
      <c r="A1247" s="51">
        <v>43000</v>
      </c>
      <c r="B1247" s="54"/>
      <c r="C1247" s="55"/>
      <c r="D1247" s="55"/>
      <c r="E1247" s="55"/>
      <c r="F1247" s="55"/>
      <c r="G1247" s="55"/>
      <c r="H1247" s="55"/>
      <c r="I1247" s="55"/>
      <c r="J1247" s="55"/>
      <c r="K1247" s="55"/>
      <c r="L1247" s="55"/>
      <c r="M1247" s="55"/>
      <c r="N1247" s="55"/>
      <c r="O1247" s="55"/>
      <c r="P1247" s="56"/>
      <c r="AI1247" s="49"/>
      <c r="AJ1247" s="78"/>
      <c r="AK1247" s="78"/>
      <c r="AL1247" s="78"/>
      <c r="AM1247" s="78"/>
      <c r="AN1247" s="78"/>
      <c r="AO1247" s="78"/>
      <c r="AP1247" s="78"/>
      <c r="AQ1247" s="78"/>
      <c r="AR1247" s="78"/>
      <c r="AS1247" s="78"/>
      <c r="AT1247" s="78"/>
      <c r="AU1247" s="78"/>
      <c r="AV1247" s="78"/>
      <c r="AW1247" s="78"/>
      <c r="AX1247" s="78"/>
      <c r="AY1247" s="3"/>
      <c r="AZ1247" s="81"/>
      <c r="BB1247" s="5"/>
      <c r="BC1247" s="5"/>
    </row>
    <row r="1248" spans="1:55" x14ac:dyDescent="0.25">
      <c r="A1248" s="51">
        <v>43003</v>
      </c>
      <c r="B1248" s="54"/>
      <c r="C1248" s="55"/>
      <c r="D1248" s="55"/>
      <c r="E1248" s="55"/>
      <c r="F1248" s="55"/>
      <c r="G1248" s="55"/>
      <c r="H1248" s="55"/>
      <c r="I1248" s="55"/>
      <c r="J1248" s="55"/>
      <c r="K1248" s="55"/>
      <c r="L1248" s="55"/>
      <c r="M1248" s="55"/>
      <c r="N1248" s="55"/>
      <c r="O1248" s="55"/>
      <c r="P1248" s="56"/>
      <c r="AI1248" s="49"/>
      <c r="AJ1248" s="78"/>
      <c r="AK1248" s="78"/>
      <c r="AL1248" s="78"/>
      <c r="AM1248" s="78"/>
      <c r="AN1248" s="78"/>
      <c r="AO1248" s="78"/>
      <c r="AP1248" s="78"/>
      <c r="AQ1248" s="78"/>
      <c r="AR1248" s="78"/>
      <c r="AS1248" s="78"/>
      <c r="AT1248" s="78"/>
      <c r="AU1248" s="78"/>
      <c r="AV1248" s="78"/>
      <c r="AW1248" s="78"/>
      <c r="AX1248" s="78"/>
      <c r="AY1248" s="3"/>
      <c r="AZ1248" s="81"/>
      <c r="BB1248" s="5"/>
      <c r="BC1248" s="5"/>
    </row>
    <row r="1249" spans="1:55" x14ac:dyDescent="0.25">
      <c r="A1249" s="51">
        <v>43004</v>
      </c>
      <c r="B1249" s="54"/>
      <c r="C1249" s="55"/>
      <c r="D1249" s="55"/>
      <c r="E1249" s="55"/>
      <c r="F1249" s="55"/>
      <c r="G1249" s="55"/>
      <c r="H1249" s="55"/>
      <c r="I1249" s="55"/>
      <c r="J1249" s="55"/>
      <c r="K1249" s="55"/>
      <c r="L1249" s="55"/>
      <c r="M1249" s="55"/>
      <c r="N1249" s="55"/>
      <c r="O1249" s="55"/>
      <c r="P1249" s="56"/>
      <c r="AI1249" s="49"/>
      <c r="AJ1249" s="78"/>
      <c r="AK1249" s="78"/>
      <c r="AL1249" s="78"/>
      <c r="AM1249" s="78"/>
      <c r="AN1249" s="78"/>
      <c r="AO1249" s="78"/>
      <c r="AP1249" s="78"/>
      <c r="AQ1249" s="78"/>
      <c r="AR1249" s="78"/>
      <c r="AS1249" s="78"/>
      <c r="AT1249" s="78"/>
      <c r="AU1249" s="78"/>
      <c r="AV1249" s="78"/>
      <c r="AW1249" s="78"/>
      <c r="AX1249" s="78"/>
      <c r="AY1249" s="3"/>
      <c r="AZ1249" s="81"/>
      <c r="BB1249" s="5"/>
      <c r="BC1249" s="5"/>
    </row>
    <row r="1250" spans="1:55" x14ac:dyDescent="0.25">
      <c r="A1250" s="51">
        <v>43005</v>
      </c>
      <c r="B1250" s="54"/>
      <c r="C1250" s="55"/>
      <c r="D1250" s="55"/>
      <c r="E1250" s="55"/>
      <c r="F1250" s="55"/>
      <c r="G1250" s="55"/>
      <c r="H1250" s="55"/>
      <c r="I1250" s="55"/>
      <c r="J1250" s="55"/>
      <c r="K1250" s="55"/>
      <c r="L1250" s="55"/>
      <c r="M1250" s="55"/>
      <c r="N1250" s="55"/>
      <c r="O1250" s="55"/>
      <c r="P1250" s="56"/>
      <c r="AI1250" s="49"/>
      <c r="AJ1250" s="78"/>
      <c r="AK1250" s="78"/>
      <c r="AL1250" s="78"/>
      <c r="AM1250" s="78"/>
      <c r="AN1250" s="78"/>
      <c r="AO1250" s="78"/>
      <c r="AP1250" s="78"/>
      <c r="AQ1250" s="78"/>
      <c r="AR1250" s="78"/>
      <c r="AS1250" s="78"/>
      <c r="AT1250" s="78"/>
      <c r="AU1250" s="78"/>
      <c r="AV1250" s="78"/>
      <c r="AW1250" s="78"/>
      <c r="AX1250" s="78"/>
      <c r="AY1250" s="3"/>
      <c r="AZ1250" s="81"/>
      <c r="BB1250" s="5"/>
      <c r="BC1250" s="5"/>
    </row>
    <row r="1251" spans="1:55" x14ac:dyDescent="0.25">
      <c r="A1251" s="51">
        <v>43006</v>
      </c>
      <c r="B1251" s="54"/>
      <c r="C1251" s="55"/>
      <c r="D1251" s="55"/>
      <c r="E1251" s="55"/>
      <c r="F1251" s="55"/>
      <c r="G1251" s="55"/>
      <c r="H1251" s="55"/>
      <c r="I1251" s="55"/>
      <c r="J1251" s="55"/>
      <c r="K1251" s="55"/>
      <c r="L1251" s="55"/>
      <c r="M1251" s="55"/>
      <c r="N1251" s="55"/>
      <c r="O1251" s="55"/>
      <c r="P1251" s="56"/>
      <c r="AI1251" s="49"/>
      <c r="AJ1251" s="78"/>
      <c r="AK1251" s="78"/>
      <c r="AL1251" s="78"/>
      <c r="AM1251" s="78"/>
      <c r="AN1251" s="78"/>
      <c r="AO1251" s="78"/>
      <c r="AP1251" s="78"/>
      <c r="AQ1251" s="78"/>
      <c r="AR1251" s="78"/>
      <c r="AS1251" s="78"/>
      <c r="AT1251" s="78"/>
      <c r="AU1251" s="78"/>
      <c r="AV1251" s="78"/>
      <c r="AW1251" s="78"/>
      <c r="AX1251" s="78"/>
      <c r="AY1251" s="3"/>
      <c r="AZ1251" s="81"/>
      <c r="BB1251" s="5"/>
      <c r="BC1251" s="5"/>
    </row>
    <row r="1252" spans="1:55" x14ac:dyDescent="0.25">
      <c r="A1252" s="51">
        <v>43007</v>
      </c>
      <c r="B1252" s="54"/>
      <c r="C1252" s="55"/>
      <c r="D1252" s="55"/>
      <c r="E1252" s="55"/>
      <c r="F1252" s="55"/>
      <c r="G1252" s="55"/>
      <c r="H1252" s="55"/>
      <c r="I1252" s="55"/>
      <c r="J1252" s="55"/>
      <c r="K1252" s="55"/>
      <c r="L1252" s="55"/>
      <c r="M1252" s="55"/>
      <c r="N1252" s="55"/>
      <c r="O1252" s="55"/>
      <c r="P1252" s="56"/>
      <c r="AI1252" s="49"/>
      <c r="AJ1252" s="78"/>
      <c r="AK1252" s="78"/>
      <c r="AL1252" s="78"/>
      <c r="AM1252" s="78"/>
      <c r="AN1252" s="78"/>
      <c r="AO1252" s="78"/>
      <c r="AP1252" s="78"/>
      <c r="AQ1252" s="78"/>
      <c r="AR1252" s="78"/>
      <c r="AS1252" s="78"/>
      <c r="AT1252" s="78"/>
      <c r="AU1252" s="78"/>
      <c r="AV1252" s="78"/>
      <c r="AW1252" s="78"/>
      <c r="AX1252" s="78"/>
      <c r="AY1252" s="3"/>
      <c r="AZ1252" s="81"/>
      <c r="BB1252" s="5"/>
      <c r="BC1252" s="5"/>
    </row>
    <row r="1253" spans="1:55" x14ac:dyDescent="0.25">
      <c r="A1253" s="51">
        <v>43010</v>
      </c>
      <c r="B1253" s="54"/>
      <c r="C1253" s="55"/>
      <c r="D1253" s="55"/>
      <c r="E1253" s="55"/>
      <c r="F1253" s="55"/>
      <c r="G1253" s="55"/>
      <c r="H1253" s="55"/>
      <c r="I1253" s="55"/>
      <c r="J1253" s="55"/>
      <c r="K1253" s="55"/>
      <c r="L1253" s="55"/>
      <c r="M1253" s="55"/>
      <c r="N1253" s="55"/>
      <c r="O1253" s="55"/>
      <c r="P1253" s="56"/>
      <c r="AI1253" s="49"/>
      <c r="AJ1253" s="78"/>
      <c r="AK1253" s="78"/>
      <c r="AL1253" s="78"/>
      <c r="AM1253" s="78"/>
      <c r="AN1253" s="78"/>
      <c r="AO1253" s="78"/>
      <c r="AP1253" s="78"/>
      <c r="AQ1253" s="78"/>
      <c r="AR1253" s="78"/>
      <c r="AS1253" s="78"/>
      <c r="AT1253" s="78"/>
      <c r="AU1253" s="78"/>
      <c r="AV1253" s="78"/>
      <c r="AW1253" s="78"/>
      <c r="AX1253" s="78"/>
      <c r="AY1253" s="3"/>
      <c r="AZ1253" s="81"/>
      <c r="BB1253" s="5"/>
      <c r="BC1253" s="5"/>
    </row>
    <row r="1254" spans="1:55" x14ac:dyDescent="0.25">
      <c r="A1254" s="51">
        <v>43011</v>
      </c>
      <c r="B1254" s="54"/>
      <c r="C1254" s="55"/>
      <c r="D1254" s="55"/>
      <c r="E1254" s="55"/>
      <c r="F1254" s="55"/>
      <c r="G1254" s="55"/>
      <c r="H1254" s="55"/>
      <c r="I1254" s="55"/>
      <c r="J1254" s="55"/>
      <c r="K1254" s="55"/>
      <c r="L1254" s="55"/>
      <c r="M1254" s="55"/>
      <c r="N1254" s="55"/>
      <c r="O1254" s="55"/>
      <c r="P1254" s="56"/>
      <c r="AI1254" s="49"/>
      <c r="AJ1254" s="78"/>
      <c r="AK1254" s="78"/>
      <c r="AL1254" s="78"/>
      <c r="AM1254" s="78"/>
      <c r="AN1254" s="78"/>
      <c r="AO1254" s="78"/>
      <c r="AP1254" s="78"/>
      <c r="AQ1254" s="78"/>
      <c r="AR1254" s="78"/>
      <c r="AS1254" s="78"/>
      <c r="AT1254" s="78"/>
      <c r="AU1254" s="78"/>
      <c r="AV1254" s="78"/>
      <c r="AW1254" s="78"/>
      <c r="AX1254" s="78"/>
      <c r="AY1254" s="3"/>
      <c r="AZ1254" s="81"/>
      <c r="BB1254" s="5"/>
      <c r="BC1254" s="5"/>
    </row>
    <row r="1255" spans="1:55" x14ac:dyDescent="0.25">
      <c r="A1255" s="51">
        <v>43012</v>
      </c>
      <c r="B1255" s="54"/>
      <c r="C1255" s="55"/>
      <c r="D1255" s="55"/>
      <c r="E1255" s="55"/>
      <c r="F1255" s="55"/>
      <c r="G1255" s="55"/>
      <c r="H1255" s="55"/>
      <c r="I1255" s="55"/>
      <c r="J1255" s="55"/>
      <c r="K1255" s="55"/>
      <c r="L1255" s="55"/>
      <c r="M1255" s="55"/>
      <c r="N1255" s="55"/>
      <c r="O1255" s="55"/>
      <c r="P1255" s="56"/>
      <c r="AI1255" s="49"/>
      <c r="AJ1255" s="78"/>
      <c r="AK1255" s="78"/>
      <c r="AL1255" s="78"/>
      <c r="AM1255" s="78"/>
      <c r="AN1255" s="78"/>
      <c r="AO1255" s="78"/>
      <c r="AP1255" s="78"/>
      <c r="AQ1255" s="78"/>
      <c r="AR1255" s="78"/>
      <c r="AS1255" s="78"/>
      <c r="AT1255" s="78"/>
      <c r="AU1255" s="78"/>
      <c r="AV1255" s="78"/>
      <c r="AW1255" s="78"/>
      <c r="AX1255" s="78"/>
      <c r="AY1255" s="3"/>
      <c r="AZ1255" s="81"/>
      <c r="BB1255" s="5"/>
      <c r="BC1255" s="5"/>
    </row>
    <row r="1256" spans="1:55" x14ac:dyDescent="0.25">
      <c r="A1256" s="51">
        <v>43013</v>
      </c>
      <c r="B1256" s="54"/>
      <c r="C1256" s="55"/>
      <c r="D1256" s="55"/>
      <c r="E1256" s="55"/>
      <c r="F1256" s="55"/>
      <c r="G1256" s="55"/>
      <c r="H1256" s="55"/>
      <c r="I1256" s="55"/>
      <c r="J1256" s="55"/>
      <c r="K1256" s="55"/>
      <c r="L1256" s="55"/>
      <c r="M1256" s="55"/>
      <c r="N1256" s="55"/>
      <c r="O1256" s="55"/>
      <c r="P1256" s="56"/>
      <c r="AI1256" s="49"/>
      <c r="AJ1256" s="78"/>
      <c r="AK1256" s="78"/>
      <c r="AL1256" s="78"/>
      <c r="AM1256" s="78"/>
      <c r="AN1256" s="78"/>
      <c r="AO1256" s="78"/>
      <c r="AP1256" s="78"/>
      <c r="AQ1256" s="78"/>
      <c r="AR1256" s="78"/>
      <c r="AS1256" s="78"/>
      <c r="AT1256" s="78"/>
      <c r="AU1256" s="78"/>
      <c r="AV1256" s="78"/>
      <c r="AW1256" s="78"/>
      <c r="AX1256" s="78"/>
      <c r="AY1256" s="3"/>
      <c r="AZ1256" s="81"/>
      <c r="BB1256" s="5"/>
      <c r="BC1256" s="5"/>
    </row>
    <row r="1257" spans="1:55" x14ac:dyDescent="0.25">
      <c r="A1257" s="51">
        <v>43014</v>
      </c>
      <c r="B1257" s="54"/>
      <c r="C1257" s="55"/>
      <c r="D1257" s="55"/>
      <c r="E1257" s="55"/>
      <c r="F1257" s="55"/>
      <c r="G1257" s="55"/>
      <c r="H1257" s="55"/>
      <c r="I1257" s="55"/>
      <c r="J1257" s="55"/>
      <c r="K1257" s="55"/>
      <c r="L1257" s="55"/>
      <c r="M1257" s="55"/>
      <c r="N1257" s="55"/>
      <c r="O1257" s="55"/>
      <c r="P1257" s="56"/>
      <c r="AI1257" s="49"/>
      <c r="AJ1257" s="78"/>
      <c r="AK1257" s="78"/>
      <c r="AL1257" s="78"/>
      <c r="AM1257" s="78"/>
      <c r="AN1257" s="78"/>
      <c r="AO1257" s="78"/>
      <c r="AP1257" s="78"/>
      <c r="AQ1257" s="78"/>
      <c r="AR1257" s="78"/>
      <c r="AS1257" s="78"/>
      <c r="AT1257" s="78"/>
      <c r="AU1257" s="78"/>
      <c r="AV1257" s="78"/>
      <c r="AW1257" s="78"/>
      <c r="AX1257" s="78"/>
      <c r="AY1257" s="3"/>
      <c r="AZ1257" s="81"/>
      <c r="BB1257" s="5"/>
      <c r="BC1257" s="5"/>
    </row>
    <row r="1258" spans="1:55" x14ac:dyDescent="0.25">
      <c r="A1258" s="51">
        <v>43017</v>
      </c>
      <c r="B1258" s="54"/>
      <c r="C1258" s="55"/>
      <c r="D1258" s="55"/>
      <c r="E1258" s="55"/>
      <c r="F1258" s="55"/>
      <c r="G1258" s="55"/>
      <c r="H1258" s="55"/>
      <c r="I1258" s="55"/>
      <c r="J1258" s="55"/>
      <c r="K1258" s="55"/>
      <c r="L1258" s="55"/>
      <c r="M1258" s="55"/>
      <c r="N1258" s="55"/>
      <c r="O1258" s="55"/>
      <c r="P1258" s="56"/>
      <c r="AI1258" s="49"/>
      <c r="AJ1258" s="78"/>
      <c r="AK1258" s="78"/>
      <c r="AL1258" s="78"/>
      <c r="AM1258" s="78"/>
      <c r="AN1258" s="78"/>
      <c r="AO1258" s="78"/>
      <c r="AP1258" s="78"/>
      <c r="AQ1258" s="78"/>
      <c r="AR1258" s="78"/>
      <c r="AS1258" s="78"/>
      <c r="AT1258" s="78"/>
      <c r="AU1258" s="78"/>
      <c r="AV1258" s="78"/>
      <c r="AW1258" s="78"/>
      <c r="AX1258" s="78"/>
      <c r="AY1258" s="3"/>
      <c r="AZ1258" s="81"/>
      <c r="BB1258" s="5"/>
      <c r="BC1258" s="5"/>
    </row>
    <row r="1259" spans="1:55" x14ac:dyDescent="0.25">
      <c r="A1259" s="51">
        <v>43018</v>
      </c>
      <c r="B1259" s="54"/>
      <c r="C1259" s="55"/>
      <c r="D1259" s="55"/>
      <c r="E1259" s="55"/>
      <c r="F1259" s="55"/>
      <c r="G1259" s="55"/>
      <c r="H1259" s="55"/>
      <c r="I1259" s="55"/>
      <c r="J1259" s="55"/>
      <c r="K1259" s="55"/>
      <c r="L1259" s="55"/>
      <c r="M1259" s="55"/>
      <c r="N1259" s="55"/>
      <c r="O1259" s="55"/>
      <c r="P1259" s="56"/>
      <c r="AI1259" s="49"/>
      <c r="AJ1259" s="78"/>
      <c r="AK1259" s="78"/>
      <c r="AL1259" s="78"/>
      <c r="AM1259" s="78"/>
      <c r="AN1259" s="78"/>
      <c r="AO1259" s="78"/>
      <c r="AP1259" s="78"/>
      <c r="AQ1259" s="78"/>
      <c r="AR1259" s="78"/>
      <c r="AS1259" s="78"/>
      <c r="AT1259" s="78"/>
      <c r="AU1259" s="78"/>
      <c r="AV1259" s="78"/>
      <c r="AW1259" s="78"/>
      <c r="AX1259" s="78"/>
      <c r="AY1259" s="3"/>
      <c r="AZ1259" s="81"/>
      <c r="BB1259" s="5"/>
      <c r="BC1259" s="5"/>
    </row>
    <row r="1260" spans="1:55" x14ac:dyDescent="0.25">
      <c r="A1260" s="51">
        <v>43019</v>
      </c>
      <c r="B1260" s="54"/>
      <c r="C1260" s="55"/>
      <c r="D1260" s="55"/>
      <c r="E1260" s="55"/>
      <c r="F1260" s="55"/>
      <c r="G1260" s="55"/>
      <c r="H1260" s="55"/>
      <c r="I1260" s="55"/>
      <c r="J1260" s="55"/>
      <c r="K1260" s="55"/>
      <c r="L1260" s="55"/>
      <c r="M1260" s="55"/>
      <c r="N1260" s="55"/>
      <c r="O1260" s="55"/>
      <c r="P1260" s="56"/>
      <c r="AI1260" s="49"/>
      <c r="AJ1260" s="78"/>
      <c r="AK1260" s="78"/>
      <c r="AL1260" s="78"/>
      <c r="AM1260" s="78"/>
      <c r="AN1260" s="78"/>
      <c r="AO1260" s="78"/>
      <c r="AP1260" s="78"/>
      <c r="AQ1260" s="78"/>
      <c r="AR1260" s="78"/>
      <c r="AS1260" s="78"/>
      <c r="AT1260" s="78"/>
      <c r="AU1260" s="78"/>
      <c r="AV1260" s="78"/>
      <c r="AW1260" s="78"/>
      <c r="AX1260" s="78"/>
      <c r="AY1260" s="3"/>
      <c r="AZ1260" s="81"/>
      <c r="BB1260" s="5"/>
      <c r="BC1260" s="5"/>
    </row>
    <row r="1261" spans="1:55" x14ac:dyDescent="0.25">
      <c r="A1261" s="51">
        <v>43020</v>
      </c>
      <c r="B1261" s="54"/>
      <c r="C1261" s="55"/>
      <c r="D1261" s="55"/>
      <c r="E1261" s="55"/>
      <c r="F1261" s="55"/>
      <c r="G1261" s="55"/>
      <c r="H1261" s="55"/>
      <c r="I1261" s="55"/>
      <c r="J1261" s="55"/>
      <c r="K1261" s="55"/>
      <c r="L1261" s="55"/>
      <c r="M1261" s="55"/>
      <c r="N1261" s="55"/>
      <c r="O1261" s="55"/>
      <c r="P1261" s="56"/>
      <c r="AI1261" s="49"/>
      <c r="AJ1261" s="78"/>
      <c r="AK1261" s="78"/>
      <c r="AL1261" s="78"/>
      <c r="AM1261" s="78"/>
      <c r="AN1261" s="78"/>
      <c r="AO1261" s="78"/>
      <c r="AP1261" s="78"/>
      <c r="AQ1261" s="78"/>
      <c r="AR1261" s="78"/>
      <c r="AS1261" s="78"/>
      <c r="AT1261" s="78"/>
      <c r="AU1261" s="78"/>
      <c r="AV1261" s="78"/>
      <c r="AW1261" s="78"/>
      <c r="AX1261" s="78"/>
      <c r="AY1261" s="3"/>
      <c r="AZ1261" s="81"/>
      <c r="BB1261" s="5"/>
      <c r="BC1261" s="5"/>
    </row>
    <row r="1262" spans="1:55" x14ac:dyDescent="0.25">
      <c r="A1262" s="51">
        <v>43021</v>
      </c>
      <c r="B1262" s="54"/>
      <c r="C1262" s="55"/>
      <c r="D1262" s="55"/>
      <c r="E1262" s="55"/>
      <c r="F1262" s="55"/>
      <c r="G1262" s="55"/>
      <c r="H1262" s="55"/>
      <c r="I1262" s="55"/>
      <c r="J1262" s="55"/>
      <c r="K1262" s="55"/>
      <c r="L1262" s="55"/>
      <c r="M1262" s="55"/>
      <c r="N1262" s="55"/>
      <c r="O1262" s="55"/>
      <c r="P1262" s="56"/>
      <c r="AI1262" s="49"/>
      <c r="AJ1262" s="78"/>
      <c r="AK1262" s="78"/>
      <c r="AL1262" s="78"/>
      <c r="AM1262" s="78"/>
      <c r="AN1262" s="78"/>
      <c r="AO1262" s="78"/>
      <c r="AP1262" s="78"/>
      <c r="AQ1262" s="78"/>
      <c r="AR1262" s="78"/>
      <c r="AS1262" s="78"/>
      <c r="AT1262" s="78"/>
      <c r="AU1262" s="78"/>
      <c r="AV1262" s="78"/>
      <c r="AW1262" s="78"/>
      <c r="AX1262" s="78"/>
      <c r="AY1262" s="3"/>
      <c r="AZ1262" s="81"/>
      <c r="BB1262" s="5"/>
      <c r="BC1262" s="5"/>
    </row>
    <row r="1263" spans="1:55" x14ac:dyDescent="0.25">
      <c r="A1263" s="51">
        <v>43024</v>
      </c>
      <c r="B1263" s="54"/>
      <c r="C1263" s="55"/>
      <c r="D1263" s="55"/>
      <c r="E1263" s="55"/>
      <c r="F1263" s="55"/>
      <c r="G1263" s="55"/>
      <c r="H1263" s="55"/>
      <c r="I1263" s="55"/>
      <c r="J1263" s="55"/>
      <c r="K1263" s="55"/>
      <c r="L1263" s="55"/>
      <c r="M1263" s="55"/>
      <c r="N1263" s="55"/>
      <c r="O1263" s="55"/>
      <c r="P1263" s="56"/>
      <c r="AI1263" s="49"/>
      <c r="AJ1263" s="78"/>
      <c r="AK1263" s="78"/>
      <c r="AL1263" s="78"/>
      <c r="AM1263" s="78"/>
      <c r="AN1263" s="78"/>
      <c r="AO1263" s="78"/>
      <c r="AP1263" s="78"/>
      <c r="AQ1263" s="78"/>
      <c r="AR1263" s="78"/>
      <c r="AS1263" s="78"/>
      <c r="AT1263" s="78"/>
      <c r="AU1263" s="78"/>
      <c r="AV1263" s="78"/>
      <c r="AW1263" s="78"/>
      <c r="AX1263" s="78"/>
      <c r="AY1263" s="3"/>
      <c r="AZ1263" s="81"/>
      <c r="BB1263" s="5"/>
      <c r="BC1263" s="5"/>
    </row>
    <row r="1264" spans="1:55" x14ac:dyDescent="0.25">
      <c r="A1264" s="51">
        <v>43025</v>
      </c>
      <c r="B1264" s="54"/>
      <c r="C1264" s="55"/>
      <c r="D1264" s="55"/>
      <c r="E1264" s="55"/>
      <c r="F1264" s="55"/>
      <c r="G1264" s="55"/>
      <c r="H1264" s="55"/>
      <c r="I1264" s="55"/>
      <c r="J1264" s="55"/>
      <c r="K1264" s="55"/>
      <c r="L1264" s="55"/>
      <c r="M1264" s="55"/>
      <c r="N1264" s="55"/>
      <c r="O1264" s="55"/>
      <c r="P1264" s="56"/>
      <c r="AI1264" s="49"/>
      <c r="AJ1264" s="78"/>
      <c r="AK1264" s="78"/>
      <c r="AL1264" s="78"/>
      <c r="AM1264" s="78"/>
      <c r="AN1264" s="78"/>
      <c r="AO1264" s="78"/>
      <c r="AP1264" s="78"/>
      <c r="AQ1264" s="78"/>
      <c r="AR1264" s="78"/>
      <c r="AS1264" s="78"/>
      <c r="AT1264" s="78"/>
      <c r="AU1264" s="78"/>
      <c r="AV1264" s="78"/>
      <c r="AW1264" s="78"/>
      <c r="AX1264" s="78"/>
      <c r="AY1264" s="3"/>
      <c r="AZ1264" s="81"/>
      <c r="BB1264" s="5"/>
      <c r="BC1264" s="5"/>
    </row>
    <row r="1265" spans="1:55" x14ac:dyDescent="0.25">
      <c r="A1265" s="51">
        <v>43026</v>
      </c>
      <c r="B1265" s="54"/>
      <c r="C1265" s="55"/>
      <c r="D1265" s="55"/>
      <c r="E1265" s="55"/>
      <c r="F1265" s="55"/>
      <c r="G1265" s="55"/>
      <c r="H1265" s="55"/>
      <c r="I1265" s="55"/>
      <c r="J1265" s="55"/>
      <c r="K1265" s="55"/>
      <c r="L1265" s="55"/>
      <c r="M1265" s="55"/>
      <c r="N1265" s="55"/>
      <c r="O1265" s="55"/>
      <c r="P1265" s="56"/>
      <c r="AI1265" s="49"/>
      <c r="AJ1265" s="78"/>
      <c r="AK1265" s="78"/>
      <c r="AL1265" s="78"/>
      <c r="AM1265" s="78"/>
      <c r="AN1265" s="78"/>
      <c r="AO1265" s="78"/>
      <c r="AP1265" s="78"/>
      <c r="AQ1265" s="78"/>
      <c r="AR1265" s="78"/>
      <c r="AS1265" s="78"/>
      <c r="AT1265" s="78"/>
      <c r="AU1265" s="78"/>
      <c r="AV1265" s="78"/>
      <c r="AW1265" s="78"/>
      <c r="AX1265" s="78"/>
      <c r="AY1265" s="3"/>
      <c r="AZ1265" s="81"/>
      <c r="BB1265" s="5"/>
      <c r="BC1265" s="5"/>
    </row>
    <row r="1266" spans="1:55" x14ac:dyDescent="0.25">
      <c r="A1266" s="51">
        <v>43027</v>
      </c>
      <c r="B1266" s="54"/>
      <c r="C1266" s="55"/>
      <c r="D1266" s="55"/>
      <c r="E1266" s="55"/>
      <c r="F1266" s="55"/>
      <c r="G1266" s="55"/>
      <c r="H1266" s="55"/>
      <c r="I1266" s="55"/>
      <c r="J1266" s="55"/>
      <c r="K1266" s="55"/>
      <c r="L1266" s="55"/>
      <c r="M1266" s="55"/>
      <c r="N1266" s="55"/>
      <c r="O1266" s="55"/>
      <c r="P1266" s="56"/>
      <c r="AI1266" s="49"/>
      <c r="AJ1266" s="78"/>
      <c r="AK1266" s="78"/>
      <c r="AL1266" s="78"/>
      <c r="AM1266" s="78"/>
      <c r="AN1266" s="78"/>
      <c r="AO1266" s="78"/>
      <c r="AP1266" s="78"/>
      <c r="AQ1266" s="78"/>
      <c r="AR1266" s="78"/>
      <c r="AS1266" s="78"/>
      <c r="AT1266" s="78"/>
      <c r="AU1266" s="78"/>
      <c r="AV1266" s="78"/>
      <c r="AW1266" s="78"/>
      <c r="AX1266" s="78"/>
      <c r="AY1266" s="3"/>
      <c r="AZ1266" s="81"/>
      <c r="BB1266" s="5"/>
      <c r="BC1266" s="5"/>
    </row>
    <row r="1267" spans="1:55" x14ac:dyDescent="0.25">
      <c r="A1267" s="51">
        <v>43028</v>
      </c>
      <c r="B1267" s="54"/>
      <c r="C1267" s="55"/>
      <c r="D1267" s="55"/>
      <c r="E1267" s="55"/>
      <c r="F1267" s="55"/>
      <c r="G1267" s="55"/>
      <c r="H1267" s="55"/>
      <c r="I1267" s="55"/>
      <c r="J1267" s="55"/>
      <c r="K1267" s="55"/>
      <c r="L1267" s="55"/>
      <c r="M1267" s="55"/>
      <c r="N1267" s="55"/>
      <c r="O1267" s="55"/>
      <c r="P1267" s="56"/>
      <c r="AI1267" s="49"/>
      <c r="AJ1267" s="78"/>
      <c r="AK1267" s="78"/>
      <c r="AL1267" s="78"/>
      <c r="AM1267" s="78"/>
      <c r="AN1267" s="78"/>
      <c r="AO1267" s="78"/>
      <c r="AP1267" s="78"/>
      <c r="AQ1267" s="78"/>
      <c r="AR1267" s="78"/>
      <c r="AS1267" s="78"/>
      <c r="AT1267" s="78"/>
      <c r="AU1267" s="78"/>
      <c r="AV1267" s="78"/>
      <c r="AW1267" s="78"/>
      <c r="AX1267" s="78"/>
      <c r="AY1267" s="3"/>
      <c r="AZ1267" s="81"/>
      <c r="BB1267" s="5"/>
      <c r="BC1267" s="5"/>
    </row>
    <row r="1268" spans="1:55" x14ac:dyDescent="0.25">
      <c r="A1268" s="51">
        <v>43031</v>
      </c>
      <c r="B1268" s="54"/>
      <c r="C1268" s="55"/>
      <c r="D1268" s="55"/>
      <c r="E1268" s="55"/>
      <c r="F1268" s="55"/>
      <c r="G1268" s="55"/>
      <c r="H1268" s="55"/>
      <c r="I1268" s="55"/>
      <c r="J1268" s="55"/>
      <c r="K1268" s="55"/>
      <c r="L1268" s="55"/>
      <c r="M1268" s="55"/>
      <c r="N1268" s="55"/>
      <c r="O1268" s="55"/>
      <c r="P1268" s="56"/>
      <c r="AI1268" s="49"/>
      <c r="AJ1268" s="78"/>
      <c r="AK1268" s="78"/>
      <c r="AL1268" s="78"/>
      <c r="AM1268" s="78"/>
      <c r="AN1268" s="78"/>
      <c r="AO1268" s="78"/>
      <c r="AP1268" s="78"/>
      <c r="AQ1268" s="78"/>
      <c r="AR1268" s="78"/>
      <c r="AS1268" s="78"/>
      <c r="AT1268" s="78"/>
      <c r="AU1268" s="78"/>
      <c r="AV1268" s="78"/>
      <c r="AW1268" s="78"/>
      <c r="AX1268" s="78"/>
      <c r="AY1268" s="3"/>
      <c r="AZ1268" s="81"/>
      <c r="BB1268" s="5"/>
      <c r="BC1268" s="5"/>
    </row>
    <row r="1269" spans="1:55" x14ac:dyDescent="0.25">
      <c r="A1269" s="51">
        <v>43032</v>
      </c>
      <c r="B1269" s="54"/>
      <c r="C1269" s="55"/>
      <c r="D1269" s="55"/>
      <c r="E1269" s="55"/>
      <c r="F1269" s="55"/>
      <c r="G1269" s="55"/>
      <c r="H1269" s="55"/>
      <c r="I1269" s="55"/>
      <c r="J1269" s="55"/>
      <c r="K1269" s="55"/>
      <c r="L1269" s="55"/>
      <c r="M1269" s="55"/>
      <c r="N1269" s="55"/>
      <c r="O1269" s="55"/>
      <c r="P1269" s="56"/>
      <c r="AI1269" s="49"/>
      <c r="AJ1269" s="78"/>
      <c r="AK1269" s="78"/>
      <c r="AL1269" s="78"/>
      <c r="AM1269" s="78"/>
      <c r="AN1269" s="78"/>
      <c r="AO1269" s="78"/>
      <c r="AP1269" s="78"/>
      <c r="AQ1269" s="78"/>
      <c r="AR1269" s="78"/>
      <c r="AS1269" s="78"/>
      <c r="AT1269" s="78"/>
      <c r="AU1269" s="78"/>
      <c r="AV1269" s="78"/>
      <c r="AW1269" s="78"/>
      <c r="AX1269" s="78"/>
      <c r="AY1269" s="3"/>
      <c r="AZ1269" s="81"/>
      <c r="BB1269" s="5"/>
      <c r="BC1269" s="5"/>
    </row>
    <row r="1270" spans="1:55" x14ac:dyDescent="0.25">
      <c r="A1270" s="51">
        <v>43033</v>
      </c>
      <c r="B1270" s="54"/>
      <c r="C1270" s="55"/>
      <c r="D1270" s="55"/>
      <c r="E1270" s="55"/>
      <c r="F1270" s="55"/>
      <c r="G1270" s="55"/>
      <c r="H1270" s="55"/>
      <c r="I1270" s="55"/>
      <c r="J1270" s="55"/>
      <c r="K1270" s="55"/>
      <c r="L1270" s="55"/>
      <c r="M1270" s="55"/>
      <c r="N1270" s="55"/>
      <c r="O1270" s="55"/>
      <c r="P1270" s="56"/>
      <c r="AI1270" s="49"/>
      <c r="AJ1270" s="78"/>
      <c r="AK1270" s="78"/>
      <c r="AL1270" s="78"/>
      <c r="AM1270" s="78"/>
      <c r="AN1270" s="78"/>
      <c r="AO1270" s="78"/>
      <c r="AP1270" s="78"/>
      <c r="AQ1270" s="78"/>
      <c r="AR1270" s="78"/>
      <c r="AS1270" s="78"/>
      <c r="AT1270" s="78"/>
      <c r="AU1270" s="78"/>
      <c r="AV1270" s="78"/>
      <c r="AW1270" s="78"/>
      <c r="AX1270" s="78"/>
      <c r="AY1270" s="3"/>
      <c r="AZ1270" s="81"/>
      <c r="BB1270" s="5"/>
      <c r="BC1270" s="5"/>
    </row>
    <row r="1271" spans="1:55" x14ac:dyDescent="0.25">
      <c r="A1271" s="51">
        <v>43034</v>
      </c>
      <c r="B1271" s="54"/>
      <c r="C1271" s="55"/>
      <c r="D1271" s="55"/>
      <c r="E1271" s="55"/>
      <c r="F1271" s="55"/>
      <c r="G1271" s="55"/>
      <c r="H1271" s="55"/>
      <c r="I1271" s="55"/>
      <c r="J1271" s="55"/>
      <c r="K1271" s="55"/>
      <c r="L1271" s="55"/>
      <c r="M1271" s="55"/>
      <c r="N1271" s="55"/>
      <c r="O1271" s="55"/>
      <c r="P1271" s="56"/>
      <c r="AI1271" s="49"/>
      <c r="AJ1271" s="78"/>
      <c r="AK1271" s="78"/>
      <c r="AL1271" s="78"/>
      <c r="AM1271" s="78"/>
      <c r="AN1271" s="78"/>
      <c r="AO1271" s="78"/>
      <c r="AP1271" s="78"/>
      <c r="AQ1271" s="78"/>
      <c r="AR1271" s="78"/>
      <c r="AS1271" s="78"/>
      <c r="AT1271" s="78"/>
      <c r="AU1271" s="78"/>
      <c r="AV1271" s="78"/>
      <c r="AW1271" s="78"/>
      <c r="AX1271" s="78"/>
      <c r="AY1271" s="3"/>
      <c r="AZ1271" s="81"/>
      <c r="BB1271" s="5"/>
      <c r="BC1271" s="5"/>
    </row>
    <row r="1272" spans="1:55" x14ac:dyDescent="0.25">
      <c r="A1272" s="51">
        <v>43035</v>
      </c>
      <c r="B1272" s="54"/>
      <c r="C1272" s="55"/>
      <c r="D1272" s="55"/>
      <c r="E1272" s="55"/>
      <c r="F1272" s="55"/>
      <c r="G1272" s="55"/>
      <c r="H1272" s="55"/>
      <c r="I1272" s="55"/>
      <c r="J1272" s="55"/>
      <c r="K1272" s="55"/>
      <c r="L1272" s="55"/>
      <c r="M1272" s="55"/>
      <c r="N1272" s="55"/>
      <c r="O1272" s="55"/>
      <c r="P1272" s="56"/>
      <c r="AI1272" s="49"/>
      <c r="AJ1272" s="78"/>
      <c r="AK1272" s="78"/>
      <c r="AL1272" s="78"/>
      <c r="AM1272" s="78"/>
      <c r="AN1272" s="78"/>
      <c r="AO1272" s="78"/>
      <c r="AP1272" s="78"/>
      <c r="AQ1272" s="78"/>
      <c r="AR1272" s="78"/>
      <c r="AS1272" s="78"/>
      <c r="AT1272" s="78"/>
      <c r="AU1272" s="78"/>
      <c r="AV1272" s="78"/>
      <c r="AW1272" s="78"/>
      <c r="AX1272" s="78"/>
      <c r="AY1272" s="3"/>
      <c r="AZ1272" s="81"/>
      <c r="BB1272" s="5"/>
      <c r="BC1272" s="5"/>
    </row>
    <row r="1273" spans="1:55" x14ac:dyDescent="0.25">
      <c r="A1273" s="51">
        <v>43038</v>
      </c>
      <c r="B1273" s="54"/>
      <c r="C1273" s="55"/>
      <c r="D1273" s="55"/>
      <c r="E1273" s="55"/>
      <c r="F1273" s="55"/>
      <c r="G1273" s="55"/>
      <c r="H1273" s="55"/>
      <c r="I1273" s="55"/>
      <c r="J1273" s="55"/>
      <c r="K1273" s="55"/>
      <c r="L1273" s="55"/>
      <c r="M1273" s="55"/>
      <c r="N1273" s="55"/>
      <c r="O1273" s="55"/>
      <c r="P1273" s="56"/>
      <c r="AI1273" s="49"/>
      <c r="AJ1273" s="78"/>
      <c r="AK1273" s="78"/>
      <c r="AL1273" s="78"/>
      <c r="AM1273" s="78"/>
      <c r="AN1273" s="78"/>
      <c r="AO1273" s="78"/>
      <c r="AP1273" s="78"/>
      <c r="AQ1273" s="78"/>
      <c r="AR1273" s="78"/>
      <c r="AS1273" s="78"/>
      <c r="AT1273" s="78"/>
      <c r="AU1273" s="78"/>
      <c r="AV1273" s="78"/>
      <c r="AW1273" s="78"/>
      <c r="AX1273" s="78"/>
      <c r="AY1273" s="3"/>
      <c r="AZ1273" s="81"/>
      <c r="BB1273" s="5"/>
      <c r="BC1273" s="5"/>
    </row>
    <row r="1274" spans="1:55" x14ac:dyDescent="0.25">
      <c r="A1274" s="51">
        <v>43039</v>
      </c>
      <c r="B1274" s="54"/>
      <c r="C1274" s="55"/>
      <c r="D1274" s="55"/>
      <c r="E1274" s="55"/>
      <c r="F1274" s="55"/>
      <c r="G1274" s="55"/>
      <c r="H1274" s="55"/>
      <c r="I1274" s="55"/>
      <c r="J1274" s="55"/>
      <c r="K1274" s="55"/>
      <c r="L1274" s="55"/>
      <c r="M1274" s="55"/>
      <c r="N1274" s="55"/>
      <c r="O1274" s="55"/>
      <c r="P1274" s="56"/>
      <c r="AI1274" s="49"/>
      <c r="AJ1274" s="78"/>
      <c r="AK1274" s="78"/>
      <c r="AL1274" s="78"/>
      <c r="AM1274" s="78"/>
      <c r="AN1274" s="78"/>
      <c r="AO1274" s="78"/>
      <c r="AP1274" s="78"/>
      <c r="AQ1274" s="78"/>
      <c r="AR1274" s="78"/>
      <c r="AS1274" s="78"/>
      <c r="AT1274" s="78"/>
      <c r="AU1274" s="78"/>
      <c r="AV1274" s="78"/>
      <c r="AW1274" s="78"/>
      <c r="AX1274" s="78"/>
      <c r="AY1274" s="3"/>
      <c r="AZ1274" s="81"/>
      <c r="BB1274" s="5"/>
      <c r="BC1274" s="5"/>
    </row>
    <row r="1275" spans="1:55" x14ac:dyDescent="0.25">
      <c r="A1275" s="51">
        <v>43041</v>
      </c>
      <c r="B1275" s="54"/>
      <c r="C1275" s="55"/>
      <c r="D1275" s="55"/>
      <c r="E1275" s="55"/>
      <c r="F1275" s="55"/>
      <c r="G1275" s="55"/>
      <c r="H1275" s="55"/>
      <c r="I1275" s="55"/>
      <c r="J1275" s="55"/>
      <c r="K1275" s="55"/>
      <c r="L1275" s="55"/>
      <c r="M1275" s="55"/>
      <c r="N1275" s="55"/>
      <c r="O1275" s="55"/>
      <c r="P1275" s="56"/>
      <c r="AI1275" s="49"/>
      <c r="AJ1275" s="78"/>
      <c r="AK1275" s="78"/>
      <c r="AL1275" s="78"/>
      <c r="AM1275" s="78"/>
      <c r="AN1275" s="78"/>
      <c r="AO1275" s="78"/>
      <c r="AP1275" s="78"/>
      <c r="AQ1275" s="78"/>
      <c r="AR1275" s="78"/>
      <c r="AS1275" s="78"/>
      <c r="AT1275" s="78"/>
      <c r="AU1275" s="78"/>
      <c r="AV1275" s="78"/>
      <c r="AW1275" s="78"/>
      <c r="AX1275" s="78"/>
      <c r="AY1275" s="3"/>
      <c r="AZ1275" s="81"/>
      <c r="BB1275" s="5"/>
      <c r="BC1275" s="5"/>
    </row>
    <row r="1276" spans="1:55" x14ac:dyDescent="0.25">
      <c r="A1276" s="51">
        <v>43042</v>
      </c>
      <c r="B1276" s="54"/>
      <c r="C1276" s="55"/>
      <c r="D1276" s="55"/>
      <c r="E1276" s="55"/>
      <c r="F1276" s="55"/>
      <c r="G1276" s="55"/>
      <c r="H1276" s="55"/>
      <c r="I1276" s="55"/>
      <c r="J1276" s="55"/>
      <c r="K1276" s="55"/>
      <c r="L1276" s="55"/>
      <c r="M1276" s="55"/>
      <c r="N1276" s="55"/>
      <c r="O1276" s="55"/>
      <c r="P1276" s="56"/>
      <c r="AI1276" s="49"/>
      <c r="AJ1276" s="78"/>
      <c r="AK1276" s="78"/>
      <c r="AL1276" s="78"/>
      <c r="AM1276" s="78"/>
      <c r="AN1276" s="78"/>
      <c r="AO1276" s="78"/>
      <c r="AP1276" s="78"/>
      <c r="AQ1276" s="78"/>
      <c r="AR1276" s="78"/>
      <c r="AS1276" s="78"/>
      <c r="AT1276" s="78"/>
      <c r="AU1276" s="78"/>
      <c r="AV1276" s="78"/>
      <c r="AW1276" s="78"/>
      <c r="AX1276" s="78"/>
      <c r="AY1276" s="3"/>
      <c r="AZ1276" s="81"/>
      <c r="BB1276" s="5"/>
      <c r="BC1276" s="5"/>
    </row>
    <row r="1277" spans="1:55" x14ac:dyDescent="0.25">
      <c r="A1277" s="51">
        <v>43045</v>
      </c>
      <c r="B1277" s="54"/>
      <c r="C1277" s="55"/>
      <c r="D1277" s="55"/>
      <c r="E1277" s="55"/>
      <c r="F1277" s="55"/>
      <c r="G1277" s="55"/>
      <c r="H1277" s="55"/>
      <c r="I1277" s="55"/>
      <c r="J1277" s="55"/>
      <c r="K1277" s="55"/>
      <c r="L1277" s="55"/>
      <c r="M1277" s="55"/>
      <c r="N1277" s="55"/>
      <c r="O1277" s="55"/>
      <c r="P1277" s="56"/>
      <c r="AI1277" s="49"/>
      <c r="AJ1277" s="78"/>
      <c r="AK1277" s="78"/>
      <c r="AL1277" s="78"/>
      <c r="AM1277" s="78"/>
      <c r="AN1277" s="78"/>
      <c r="AO1277" s="78"/>
      <c r="AP1277" s="78"/>
      <c r="AQ1277" s="78"/>
      <c r="AR1277" s="78"/>
      <c r="AS1277" s="78"/>
      <c r="AT1277" s="78"/>
      <c r="AU1277" s="78"/>
      <c r="AV1277" s="78"/>
      <c r="AW1277" s="78"/>
      <c r="AX1277" s="78"/>
      <c r="AY1277" s="3"/>
      <c r="AZ1277" s="81"/>
      <c r="BB1277" s="5"/>
      <c r="BC1277" s="5"/>
    </row>
    <row r="1278" spans="1:55" x14ac:dyDescent="0.25">
      <c r="A1278" s="51">
        <v>43046</v>
      </c>
      <c r="B1278" s="54"/>
      <c r="C1278" s="55"/>
      <c r="D1278" s="55"/>
      <c r="E1278" s="55"/>
      <c r="F1278" s="55"/>
      <c r="G1278" s="55"/>
      <c r="H1278" s="55"/>
      <c r="I1278" s="55"/>
      <c r="J1278" s="55"/>
      <c r="K1278" s="55"/>
      <c r="L1278" s="55"/>
      <c r="M1278" s="55"/>
      <c r="N1278" s="55"/>
      <c r="O1278" s="55"/>
      <c r="P1278" s="56"/>
      <c r="AI1278" s="49"/>
      <c r="AJ1278" s="78"/>
      <c r="AK1278" s="78"/>
      <c r="AL1278" s="78"/>
      <c r="AM1278" s="78"/>
      <c r="AN1278" s="78"/>
      <c r="AO1278" s="78"/>
      <c r="AP1278" s="78"/>
      <c r="AQ1278" s="78"/>
      <c r="AR1278" s="78"/>
      <c r="AS1278" s="78"/>
      <c r="AT1278" s="78"/>
      <c r="AU1278" s="78"/>
      <c r="AV1278" s="78"/>
      <c r="AW1278" s="78"/>
      <c r="AX1278" s="78"/>
      <c r="AY1278" s="3"/>
      <c r="AZ1278" s="81"/>
      <c r="BB1278" s="5"/>
      <c r="BC1278" s="5"/>
    </row>
    <row r="1279" spans="1:55" x14ac:dyDescent="0.25">
      <c r="A1279" s="51">
        <v>43047</v>
      </c>
      <c r="B1279" s="54"/>
      <c r="C1279" s="55"/>
      <c r="D1279" s="55"/>
      <c r="E1279" s="55"/>
      <c r="F1279" s="55"/>
      <c r="G1279" s="55"/>
      <c r="H1279" s="55"/>
      <c r="I1279" s="55"/>
      <c r="J1279" s="55"/>
      <c r="K1279" s="55"/>
      <c r="L1279" s="55"/>
      <c r="M1279" s="55"/>
      <c r="N1279" s="55"/>
      <c r="O1279" s="55"/>
      <c r="P1279" s="56"/>
      <c r="AI1279" s="49"/>
      <c r="AJ1279" s="78"/>
      <c r="AK1279" s="78"/>
      <c r="AL1279" s="78"/>
      <c r="AM1279" s="78"/>
      <c r="AN1279" s="78"/>
      <c r="AO1279" s="78"/>
      <c r="AP1279" s="78"/>
      <c r="AQ1279" s="78"/>
      <c r="AR1279" s="78"/>
      <c r="AS1279" s="78"/>
      <c r="AT1279" s="78"/>
      <c r="AU1279" s="78"/>
      <c r="AV1279" s="78"/>
      <c r="AW1279" s="78"/>
      <c r="AX1279" s="78"/>
      <c r="AY1279" s="3"/>
      <c r="AZ1279" s="81"/>
      <c r="BB1279" s="5"/>
      <c r="BC1279" s="5"/>
    </row>
    <row r="1280" spans="1:55" x14ac:dyDescent="0.25">
      <c r="A1280" s="51">
        <v>43048</v>
      </c>
      <c r="B1280" s="54"/>
      <c r="C1280" s="55"/>
      <c r="D1280" s="55"/>
      <c r="E1280" s="55"/>
      <c r="F1280" s="55"/>
      <c r="G1280" s="55"/>
      <c r="H1280" s="55"/>
      <c r="I1280" s="55"/>
      <c r="J1280" s="55"/>
      <c r="K1280" s="55"/>
      <c r="L1280" s="55"/>
      <c r="M1280" s="55"/>
      <c r="N1280" s="55"/>
      <c r="O1280" s="55"/>
      <c r="P1280" s="56"/>
      <c r="AI1280" s="49"/>
      <c r="AJ1280" s="78"/>
      <c r="AK1280" s="78"/>
      <c r="AL1280" s="78"/>
      <c r="AM1280" s="78"/>
      <c r="AN1280" s="78"/>
      <c r="AO1280" s="78"/>
      <c r="AP1280" s="78"/>
      <c r="AQ1280" s="78"/>
      <c r="AR1280" s="78"/>
      <c r="AS1280" s="78"/>
      <c r="AT1280" s="78"/>
      <c r="AU1280" s="78"/>
      <c r="AV1280" s="78"/>
      <c r="AW1280" s="78"/>
      <c r="AX1280" s="78"/>
      <c r="AY1280" s="3"/>
      <c r="AZ1280" s="81"/>
      <c r="BB1280" s="5"/>
      <c r="BC1280" s="5"/>
    </row>
    <row r="1281" spans="1:55" x14ac:dyDescent="0.25">
      <c r="A1281" s="51">
        <v>43049</v>
      </c>
      <c r="B1281" s="54"/>
      <c r="C1281" s="55"/>
      <c r="D1281" s="55"/>
      <c r="E1281" s="55"/>
      <c r="F1281" s="55"/>
      <c r="G1281" s="55"/>
      <c r="H1281" s="55"/>
      <c r="I1281" s="55"/>
      <c r="J1281" s="55"/>
      <c r="K1281" s="55"/>
      <c r="L1281" s="55"/>
      <c r="M1281" s="55"/>
      <c r="N1281" s="55"/>
      <c r="O1281" s="55"/>
      <c r="P1281" s="56"/>
      <c r="AI1281" s="49"/>
      <c r="AJ1281" s="78"/>
      <c r="AK1281" s="78"/>
      <c r="AL1281" s="78"/>
      <c r="AM1281" s="78"/>
      <c r="AN1281" s="78"/>
      <c r="AO1281" s="78"/>
      <c r="AP1281" s="78"/>
      <c r="AQ1281" s="78"/>
      <c r="AR1281" s="78"/>
      <c r="AS1281" s="78"/>
      <c r="AT1281" s="78"/>
      <c r="AU1281" s="78"/>
      <c r="AV1281" s="78"/>
      <c r="AW1281" s="78"/>
      <c r="AX1281" s="78"/>
      <c r="AY1281" s="3"/>
      <c r="AZ1281" s="81"/>
      <c r="BB1281" s="5"/>
      <c r="BC1281" s="5"/>
    </row>
    <row r="1282" spans="1:55" x14ac:dyDescent="0.25">
      <c r="A1282" s="51">
        <v>43052</v>
      </c>
      <c r="B1282" s="54"/>
      <c r="C1282" s="55"/>
      <c r="D1282" s="55"/>
      <c r="E1282" s="55"/>
      <c r="F1282" s="55"/>
      <c r="G1282" s="55"/>
      <c r="H1282" s="55"/>
      <c r="I1282" s="55"/>
      <c r="J1282" s="55"/>
      <c r="K1282" s="55"/>
      <c r="L1282" s="55"/>
      <c r="M1282" s="55"/>
      <c r="N1282" s="55"/>
      <c r="O1282" s="55"/>
      <c r="P1282" s="56"/>
      <c r="AI1282" s="49"/>
      <c r="AJ1282" s="78"/>
      <c r="AK1282" s="78"/>
      <c r="AL1282" s="78"/>
      <c r="AM1282" s="78"/>
      <c r="AN1282" s="78"/>
      <c r="AO1282" s="78"/>
      <c r="AP1282" s="78"/>
      <c r="AQ1282" s="78"/>
      <c r="AR1282" s="78"/>
      <c r="AS1282" s="78"/>
      <c r="AT1282" s="78"/>
      <c r="AU1282" s="78"/>
      <c r="AV1282" s="78"/>
      <c r="AW1282" s="78"/>
      <c r="AX1282" s="78"/>
      <c r="AY1282" s="3"/>
      <c r="AZ1282" s="81"/>
      <c r="BB1282" s="5"/>
      <c r="BC1282" s="5"/>
    </row>
    <row r="1283" spans="1:55" x14ac:dyDescent="0.25">
      <c r="A1283" s="51">
        <v>43053</v>
      </c>
      <c r="B1283" s="54"/>
      <c r="C1283" s="55"/>
      <c r="D1283" s="55"/>
      <c r="E1283" s="55"/>
      <c r="F1283" s="55"/>
      <c r="G1283" s="55"/>
      <c r="H1283" s="55"/>
      <c r="I1283" s="55"/>
      <c r="J1283" s="55"/>
      <c r="K1283" s="55"/>
      <c r="L1283" s="55"/>
      <c r="M1283" s="55"/>
      <c r="N1283" s="55"/>
      <c r="O1283" s="55"/>
      <c r="P1283" s="56"/>
      <c r="AI1283" s="49"/>
      <c r="AJ1283" s="78"/>
      <c r="AK1283" s="78"/>
      <c r="AL1283" s="78"/>
      <c r="AM1283" s="78"/>
      <c r="AN1283" s="78"/>
      <c r="AO1283" s="78"/>
      <c r="AP1283" s="78"/>
      <c r="AQ1283" s="78"/>
      <c r="AR1283" s="78"/>
      <c r="AS1283" s="78"/>
      <c r="AT1283" s="78"/>
      <c r="AU1283" s="78"/>
      <c r="AV1283" s="78"/>
      <c r="AW1283" s="78"/>
      <c r="AX1283" s="78"/>
      <c r="AY1283" s="3"/>
      <c r="AZ1283" s="81"/>
      <c r="BB1283" s="5"/>
      <c r="BC1283" s="5"/>
    </row>
    <row r="1284" spans="1:55" x14ac:dyDescent="0.25">
      <c r="A1284" s="51">
        <v>43054</v>
      </c>
      <c r="B1284" s="54"/>
      <c r="C1284" s="55"/>
      <c r="D1284" s="55"/>
      <c r="E1284" s="55"/>
      <c r="F1284" s="55"/>
      <c r="G1284" s="55"/>
      <c r="H1284" s="55"/>
      <c r="I1284" s="55"/>
      <c r="J1284" s="55"/>
      <c r="K1284" s="55"/>
      <c r="L1284" s="55"/>
      <c r="M1284" s="55"/>
      <c r="N1284" s="55"/>
      <c r="O1284" s="55"/>
      <c r="P1284" s="56"/>
      <c r="AI1284" s="49"/>
      <c r="AJ1284" s="78"/>
      <c r="AK1284" s="78"/>
      <c r="AL1284" s="78"/>
      <c r="AM1284" s="78"/>
      <c r="AN1284" s="78"/>
      <c r="AO1284" s="78"/>
      <c r="AP1284" s="78"/>
      <c r="AQ1284" s="78"/>
      <c r="AR1284" s="78"/>
      <c r="AS1284" s="78"/>
      <c r="AT1284" s="78"/>
      <c r="AU1284" s="78"/>
      <c r="AV1284" s="78"/>
      <c r="AW1284" s="78"/>
      <c r="AX1284" s="78"/>
      <c r="AY1284" s="3"/>
      <c r="AZ1284" s="81"/>
      <c r="BB1284" s="5"/>
      <c r="BC1284" s="5"/>
    </row>
    <row r="1285" spans="1:55" x14ac:dyDescent="0.25">
      <c r="A1285" s="51">
        <v>43055</v>
      </c>
      <c r="B1285" s="54"/>
      <c r="C1285" s="55"/>
      <c r="D1285" s="55"/>
      <c r="E1285" s="55"/>
      <c r="F1285" s="55"/>
      <c r="G1285" s="55"/>
      <c r="H1285" s="55"/>
      <c r="I1285" s="55"/>
      <c r="J1285" s="55"/>
      <c r="K1285" s="55"/>
      <c r="L1285" s="55"/>
      <c r="M1285" s="55"/>
      <c r="N1285" s="55"/>
      <c r="O1285" s="55"/>
      <c r="P1285" s="56"/>
      <c r="AI1285" s="49"/>
      <c r="AJ1285" s="78"/>
      <c r="AK1285" s="78"/>
      <c r="AL1285" s="78"/>
      <c r="AM1285" s="78"/>
      <c r="AN1285" s="78"/>
      <c r="AO1285" s="78"/>
      <c r="AP1285" s="78"/>
      <c r="AQ1285" s="78"/>
      <c r="AR1285" s="78"/>
      <c r="AS1285" s="78"/>
      <c r="AT1285" s="78"/>
      <c r="AU1285" s="78"/>
      <c r="AV1285" s="78"/>
      <c r="AW1285" s="78"/>
      <c r="AX1285" s="78"/>
      <c r="AY1285" s="3"/>
      <c r="AZ1285" s="81"/>
      <c r="BB1285" s="5"/>
      <c r="BC1285" s="5"/>
    </row>
    <row r="1286" spans="1:55" x14ac:dyDescent="0.25">
      <c r="A1286" s="51">
        <v>43056</v>
      </c>
      <c r="B1286" s="54"/>
      <c r="C1286" s="55"/>
      <c r="D1286" s="55"/>
      <c r="E1286" s="55"/>
      <c r="F1286" s="55"/>
      <c r="G1286" s="55"/>
      <c r="H1286" s="55"/>
      <c r="I1286" s="55"/>
      <c r="J1286" s="55"/>
      <c r="K1286" s="55"/>
      <c r="L1286" s="55"/>
      <c r="M1286" s="55"/>
      <c r="N1286" s="55"/>
      <c r="O1286" s="55"/>
      <c r="P1286" s="56"/>
      <c r="AI1286" s="49"/>
      <c r="AJ1286" s="78"/>
      <c r="AK1286" s="78"/>
      <c r="AL1286" s="78"/>
      <c r="AM1286" s="78"/>
      <c r="AN1286" s="78"/>
      <c r="AO1286" s="78"/>
      <c r="AP1286" s="78"/>
      <c r="AQ1286" s="78"/>
      <c r="AR1286" s="78"/>
      <c r="AS1286" s="78"/>
      <c r="AT1286" s="78"/>
      <c r="AU1286" s="78"/>
      <c r="AV1286" s="78"/>
      <c r="AW1286" s="78"/>
      <c r="AX1286" s="78"/>
      <c r="AY1286" s="3"/>
      <c r="AZ1286" s="81"/>
      <c r="BB1286" s="5"/>
      <c r="BC1286" s="5"/>
    </row>
    <row r="1287" spans="1:55" x14ac:dyDescent="0.25">
      <c r="A1287" s="51">
        <v>43059</v>
      </c>
      <c r="B1287" s="54"/>
      <c r="C1287" s="55"/>
      <c r="D1287" s="55"/>
      <c r="E1287" s="55"/>
      <c r="F1287" s="55"/>
      <c r="G1287" s="55"/>
      <c r="H1287" s="55"/>
      <c r="I1287" s="55"/>
      <c r="J1287" s="55"/>
      <c r="K1287" s="55"/>
      <c r="L1287" s="55"/>
      <c r="M1287" s="55"/>
      <c r="N1287" s="55"/>
      <c r="O1287" s="55"/>
      <c r="P1287" s="56"/>
      <c r="AI1287" s="49"/>
      <c r="AJ1287" s="78"/>
      <c r="AK1287" s="78"/>
      <c r="AL1287" s="78"/>
      <c r="AM1287" s="78"/>
      <c r="AN1287" s="78"/>
      <c r="AO1287" s="78"/>
      <c r="AP1287" s="78"/>
      <c r="AQ1287" s="78"/>
      <c r="AR1287" s="78"/>
      <c r="AS1287" s="78"/>
      <c r="AT1287" s="78"/>
      <c r="AU1287" s="78"/>
      <c r="AV1287" s="78"/>
      <c r="AW1287" s="78"/>
      <c r="AX1287" s="78"/>
      <c r="AY1287" s="3"/>
      <c r="AZ1287" s="81"/>
      <c r="BB1287" s="5"/>
      <c r="BC1287" s="5"/>
    </row>
    <row r="1288" spans="1:55" x14ac:dyDescent="0.25">
      <c r="A1288" s="51">
        <v>43060</v>
      </c>
      <c r="B1288" s="54"/>
      <c r="C1288" s="55"/>
      <c r="D1288" s="55"/>
      <c r="E1288" s="55"/>
      <c r="F1288" s="55"/>
      <c r="G1288" s="55"/>
      <c r="H1288" s="55"/>
      <c r="I1288" s="55"/>
      <c r="J1288" s="55"/>
      <c r="K1288" s="55"/>
      <c r="L1288" s="55"/>
      <c r="M1288" s="55"/>
      <c r="N1288" s="55"/>
      <c r="O1288" s="55"/>
      <c r="P1288" s="56"/>
      <c r="AI1288" s="49"/>
      <c r="AJ1288" s="78"/>
      <c r="AK1288" s="78"/>
      <c r="AL1288" s="78"/>
      <c r="AM1288" s="78"/>
      <c r="AN1288" s="78"/>
      <c r="AO1288" s="78"/>
      <c r="AP1288" s="78"/>
      <c r="AQ1288" s="78"/>
      <c r="AR1288" s="78"/>
      <c r="AS1288" s="78"/>
      <c r="AT1288" s="78"/>
      <c r="AU1288" s="78"/>
      <c r="AV1288" s="78"/>
      <c r="AW1288" s="78"/>
      <c r="AX1288" s="78"/>
      <c r="AY1288" s="3"/>
      <c r="AZ1288" s="81"/>
      <c r="BB1288" s="5"/>
      <c r="BC1288" s="5"/>
    </row>
    <row r="1289" spans="1:55" x14ac:dyDescent="0.25">
      <c r="A1289" s="51">
        <v>43061</v>
      </c>
      <c r="B1289" s="54"/>
      <c r="C1289" s="55"/>
      <c r="D1289" s="55"/>
      <c r="E1289" s="55"/>
      <c r="F1289" s="55"/>
      <c r="G1289" s="55"/>
      <c r="H1289" s="55"/>
      <c r="I1289" s="55"/>
      <c r="J1289" s="55"/>
      <c r="K1289" s="55"/>
      <c r="L1289" s="55"/>
      <c r="M1289" s="55"/>
      <c r="N1289" s="55"/>
      <c r="O1289" s="55"/>
      <c r="P1289" s="56"/>
      <c r="AI1289" s="49"/>
      <c r="AJ1289" s="78"/>
      <c r="AK1289" s="78"/>
      <c r="AL1289" s="78"/>
      <c r="AM1289" s="78"/>
      <c r="AN1289" s="78"/>
      <c r="AO1289" s="78"/>
      <c r="AP1289" s="78"/>
      <c r="AQ1289" s="78"/>
      <c r="AR1289" s="78"/>
      <c r="AS1289" s="78"/>
      <c r="AT1289" s="78"/>
      <c r="AU1289" s="78"/>
      <c r="AV1289" s="78"/>
      <c r="AW1289" s="78"/>
      <c r="AX1289" s="78"/>
      <c r="AY1289" s="3"/>
      <c r="AZ1289" s="81"/>
      <c r="BB1289" s="5"/>
      <c r="BC1289" s="5"/>
    </row>
    <row r="1290" spans="1:55" x14ac:dyDescent="0.25">
      <c r="A1290" s="51">
        <v>43062</v>
      </c>
      <c r="B1290" s="54"/>
      <c r="C1290" s="55"/>
      <c r="D1290" s="55"/>
      <c r="E1290" s="55"/>
      <c r="F1290" s="55"/>
      <c r="G1290" s="55"/>
      <c r="H1290" s="55"/>
      <c r="I1290" s="55"/>
      <c r="J1290" s="55"/>
      <c r="K1290" s="55"/>
      <c r="L1290" s="55"/>
      <c r="M1290" s="55"/>
      <c r="N1290" s="55"/>
      <c r="O1290" s="55"/>
      <c r="P1290" s="56"/>
      <c r="AI1290" s="49"/>
      <c r="AJ1290" s="78"/>
      <c r="AK1290" s="78"/>
      <c r="AL1290" s="78"/>
      <c r="AM1290" s="78"/>
      <c r="AN1290" s="78"/>
      <c r="AO1290" s="78"/>
      <c r="AP1290" s="78"/>
      <c r="AQ1290" s="78"/>
      <c r="AR1290" s="78"/>
      <c r="AS1290" s="78"/>
      <c r="AT1290" s="78"/>
      <c r="AU1290" s="78"/>
      <c r="AV1290" s="78"/>
      <c r="AW1290" s="78"/>
      <c r="AX1290" s="78"/>
      <c r="AY1290" s="3"/>
      <c r="AZ1290" s="81"/>
      <c r="BB1290" s="5"/>
      <c r="BC1290" s="5"/>
    </row>
    <row r="1291" spans="1:55" x14ac:dyDescent="0.25">
      <c r="A1291" s="51">
        <v>43063</v>
      </c>
      <c r="B1291" s="54"/>
      <c r="C1291" s="55"/>
      <c r="D1291" s="55"/>
      <c r="E1291" s="55"/>
      <c r="F1291" s="55"/>
      <c r="G1291" s="55"/>
      <c r="H1291" s="55"/>
      <c r="I1291" s="55"/>
      <c r="J1291" s="55"/>
      <c r="K1291" s="55"/>
      <c r="L1291" s="55"/>
      <c r="M1291" s="55"/>
      <c r="N1291" s="55"/>
      <c r="O1291" s="55"/>
      <c r="P1291" s="56"/>
      <c r="AI1291" s="49"/>
      <c r="AJ1291" s="78"/>
      <c r="AK1291" s="78"/>
      <c r="AL1291" s="78"/>
      <c r="AM1291" s="78"/>
      <c r="AN1291" s="78"/>
      <c r="AO1291" s="78"/>
      <c r="AP1291" s="78"/>
      <c r="AQ1291" s="78"/>
      <c r="AR1291" s="78"/>
      <c r="AS1291" s="78"/>
      <c r="AT1291" s="78"/>
      <c r="AU1291" s="78"/>
      <c r="AV1291" s="78"/>
      <c r="AW1291" s="78"/>
      <c r="AX1291" s="78"/>
      <c r="AY1291" s="3"/>
      <c r="AZ1291" s="81"/>
      <c r="BB1291" s="5"/>
      <c r="BC1291" s="5"/>
    </row>
    <row r="1292" spans="1:55" x14ac:dyDescent="0.25">
      <c r="A1292" s="51">
        <v>43066</v>
      </c>
      <c r="B1292" s="54"/>
      <c r="C1292" s="55"/>
      <c r="D1292" s="55"/>
      <c r="E1292" s="55"/>
      <c r="F1292" s="55"/>
      <c r="G1292" s="55"/>
      <c r="H1292" s="55"/>
      <c r="I1292" s="55"/>
      <c r="J1292" s="55"/>
      <c r="K1292" s="55"/>
      <c r="L1292" s="55"/>
      <c r="M1292" s="55"/>
      <c r="N1292" s="55"/>
      <c r="O1292" s="55"/>
      <c r="P1292" s="56"/>
      <c r="AI1292" s="49"/>
      <c r="AJ1292" s="78"/>
      <c r="AK1292" s="78"/>
      <c r="AL1292" s="78"/>
      <c r="AM1292" s="78"/>
      <c r="AN1292" s="78"/>
      <c r="AO1292" s="78"/>
      <c r="AP1292" s="78"/>
      <c r="AQ1292" s="78"/>
      <c r="AR1292" s="78"/>
      <c r="AS1292" s="78"/>
      <c r="AT1292" s="78"/>
      <c r="AU1292" s="78"/>
      <c r="AV1292" s="78"/>
      <c r="AW1292" s="78"/>
      <c r="AX1292" s="78"/>
      <c r="AY1292" s="3"/>
      <c r="AZ1292" s="81"/>
      <c r="BB1292" s="5"/>
      <c r="BC1292" s="5"/>
    </row>
    <row r="1293" spans="1:55" x14ac:dyDescent="0.25">
      <c r="A1293" s="51">
        <v>43067</v>
      </c>
      <c r="B1293" s="54"/>
      <c r="C1293" s="55"/>
      <c r="D1293" s="55"/>
      <c r="E1293" s="55"/>
      <c r="F1293" s="55"/>
      <c r="G1293" s="55"/>
      <c r="H1293" s="55"/>
      <c r="I1293" s="55"/>
      <c r="J1293" s="55"/>
      <c r="K1293" s="55"/>
      <c r="L1293" s="55"/>
      <c r="M1293" s="55"/>
      <c r="N1293" s="55"/>
      <c r="O1293" s="55"/>
      <c r="P1293" s="56"/>
      <c r="AI1293" s="49"/>
      <c r="AJ1293" s="78"/>
      <c r="AK1293" s="78"/>
      <c r="AL1293" s="78"/>
      <c r="AM1293" s="78"/>
      <c r="AN1293" s="78"/>
      <c r="AO1293" s="78"/>
      <c r="AP1293" s="78"/>
      <c r="AQ1293" s="78"/>
      <c r="AR1293" s="78"/>
      <c r="AS1293" s="78"/>
      <c r="AT1293" s="78"/>
      <c r="AU1293" s="78"/>
      <c r="AV1293" s="78"/>
      <c r="AW1293" s="78"/>
      <c r="AX1293" s="78"/>
      <c r="AY1293" s="3"/>
      <c r="AZ1293" s="81"/>
      <c r="BB1293" s="5"/>
      <c r="BC1293" s="5"/>
    </row>
    <row r="1294" spans="1:55" x14ac:dyDescent="0.25">
      <c r="A1294" s="51">
        <v>43068</v>
      </c>
      <c r="B1294" s="54"/>
      <c r="C1294" s="55"/>
      <c r="D1294" s="55"/>
      <c r="E1294" s="55"/>
      <c r="F1294" s="55"/>
      <c r="G1294" s="55"/>
      <c r="H1294" s="55"/>
      <c r="I1294" s="55"/>
      <c r="J1294" s="55"/>
      <c r="K1294" s="55"/>
      <c r="L1294" s="55"/>
      <c r="M1294" s="55"/>
      <c r="N1294" s="55"/>
      <c r="O1294" s="55"/>
      <c r="P1294" s="56"/>
      <c r="AI1294" s="49"/>
      <c r="AJ1294" s="78"/>
      <c r="AK1294" s="78"/>
      <c r="AL1294" s="78"/>
      <c r="AM1294" s="78"/>
      <c r="AN1294" s="78"/>
      <c r="AO1294" s="78"/>
      <c r="AP1294" s="78"/>
      <c r="AQ1294" s="78"/>
      <c r="AR1294" s="78"/>
      <c r="AS1294" s="78"/>
      <c r="AT1294" s="78"/>
      <c r="AU1294" s="78"/>
      <c r="AV1294" s="78"/>
      <c r="AW1294" s="78"/>
      <c r="AX1294" s="78"/>
      <c r="AY1294" s="3"/>
      <c r="AZ1294" s="81"/>
      <c r="BB1294" s="5"/>
      <c r="BC1294" s="5"/>
    </row>
    <row r="1295" spans="1:55" x14ac:dyDescent="0.25">
      <c r="A1295" s="51">
        <v>43069</v>
      </c>
      <c r="B1295" s="54"/>
      <c r="C1295" s="55"/>
      <c r="D1295" s="55"/>
      <c r="E1295" s="55"/>
      <c r="F1295" s="55"/>
      <c r="G1295" s="55"/>
      <c r="H1295" s="55"/>
      <c r="I1295" s="55"/>
      <c r="J1295" s="55"/>
      <c r="K1295" s="55"/>
      <c r="L1295" s="55"/>
      <c r="M1295" s="55"/>
      <c r="N1295" s="55"/>
      <c r="O1295" s="55"/>
      <c r="P1295" s="56"/>
      <c r="AI1295" s="49"/>
      <c r="AJ1295" s="78"/>
      <c r="AK1295" s="78"/>
      <c r="AL1295" s="78"/>
      <c r="AM1295" s="78"/>
      <c r="AN1295" s="78"/>
      <c r="AO1295" s="78"/>
      <c r="AP1295" s="78"/>
      <c r="AQ1295" s="78"/>
      <c r="AR1295" s="78"/>
      <c r="AS1295" s="78"/>
      <c r="AT1295" s="78"/>
      <c r="AU1295" s="78"/>
      <c r="AV1295" s="78"/>
      <c r="AW1295" s="78"/>
      <c r="AX1295" s="78"/>
      <c r="AY1295" s="3"/>
      <c r="AZ1295" s="81"/>
      <c r="BB1295" s="5"/>
      <c r="BC1295" s="5"/>
    </row>
    <row r="1296" spans="1:55" x14ac:dyDescent="0.25">
      <c r="A1296" s="51">
        <v>43070</v>
      </c>
      <c r="B1296" s="54"/>
      <c r="C1296" s="55"/>
      <c r="D1296" s="55"/>
      <c r="E1296" s="55"/>
      <c r="F1296" s="55"/>
      <c r="G1296" s="55"/>
      <c r="H1296" s="55"/>
      <c r="I1296" s="55"/>
      <c r="J1296" s="55"/>
      <c r="K1296" s="55"/>
      <c r="L1296" s="55"/>
      <c r="M1296" s="55"/>
      <c r="N1296" s="55"/>
      <c r="O1296" s="55"/>
      <c r="P1296" s="56"/>
      <c r="AI1296" s="49"/>
      <c r="AJ1296" s="78"/>
      <c r="AK1296" s="78"/>
      <c r="AL1296" s="78"/>
      <c r="AM1296" s="78"/>
      <c r="AN1296" s="78"/>
      <c r="AO1296" s="78"/>
      <c r="AP1296" s="78"/>
      <c r="AQ1296" s="78"/>
      <c r="AR1296" s="78"/>
      <c r="AS1296" s="78"/>
      <c r="AT1296" s="78"/>
      <c r="AU1296" s="78"/>
      <c r="AV1296" s="78"/>
      <c r="AW1296" s="78"/>
      <c r="AX1296" s="78"/>
      <c r="AY1296" s="3"/>
      <c r="AZ1296" s="81"/>
      <c r="BB1296" s="5"/>
      <c r="BC1296" s="5"/>
    </row>
    <row r="1297" spans="1:55" x14ac:dyDescent="0.25">
      <c r="A1297" s="51">
        <v>43073</v>
      </c>
      <c r="B1297" s="54"/>
      <c r="C1297" s="55"/>
      <c r="D1297" s="55"/>
      <c r="E1297" s="55"/>
      <c r="F1297" s="55"/>
      <c r="G1297" s="55"/>
      <c r="H1297" s="55"/>
      <c r="I1297" s="55"/>
      <c r="J1297" s="55"/>
      <c r="K1297" s="55"/>
      <c r="L1297" s="55"/>
      <c r="M1297" s="55"/>
      <c r="N1297" s="55"/>
      <c r="O1297" s="55"/>
      <c r="P1297" s="56"/>
      <c r="AI1297" s="49"/>
      <c r="AJ1297" s="78"/>
      <c r="AK1297" s="78"/>
      <c r="AL1297" s="78"/>
      <c r="AM1297" s="78"/>
      <c r="AN1297" s="78"/>
      <c r="AO1297" s="78"/>
      <c r="AP1297" s="78"/>
      <c r="AQ1297" s="78"/>
      <c r="AR1297" s="78"/>
      <c r="AS1297" s="78"/>
      <c r="AT1297" s="78"/>
      <c r="AU1297" s="78"/>
      <c r="AV1297" s="78"/>
      <c r="AW1297" s="78"/>
      <c r="AX1297" s="78"/>
      <c r="AY1297" s="3"/>
      <c r="AZ1297" s="81"/>
      <c r="BB1297" s="5"/>
      <c r="BC1297" s="5"/>
    </row>
    <row r="1298" spans="1:55" x14ac:dyDescent="0.25">
      <c r="A1298" s="51">
        <v>43074</v>
      </c>
      <c r="B1298" s="54"/>
      <c r="C1298" s="55"/>
      <c r="D1298" s="55"/>
      <c r="E1298" s="55"/>
      <c r="F1298" s="55"/>
      <c r="G1298" s="55"/>
      <c r="H1298" s="55"/>
      <c r="I1298" s="55"/>
      <c r="J1298" s="55"/>
      <c r="K1298" s="55"/>
      <c r="L1298" s="55"/>
      <c r="M1298" s="55"/>
      <c r="N1298" s="55"/>
      <c r="O1298" s="55"/>
      <c r="P1298" s="56"/>
      <c r="AI1298" s="49"/>
      <c r="AJ1298" s="78"/>
      <c r="AK1298" s="78"/>
      <c r="AL1298" s="78"/>
      <c r="AM1298" s="78"/>
      <c r="AN1298" s="78"/>
      <c r="AO1298" s="78"/>
      <c r="AP1298" s="78"/>
      <c r="AQ1298" s="78"/>
      <c r="AR1298" s="78"/>
      <c r="AS1298" s="78"/>
      <c r="AT1298" s="78"/>
      <c r="AU1298" s="78"/>
      <c r="AV1298" s="78"/>
      <c r="AW1298" s="78"/>
      <c r="AX1298" s="78"/>
      <c r="AY1298" s="3"/>
      <c r="AZ1298" s="81"/>
      <c r="BB1298" s="5"/>
      <c r="BC1298" s="5"/>
    </row>
    <row r="1299" spans="1:55" x14ac:dyDescent="0.25">
      <c r="A1299" s="51">
        <v>43075</v>
      </c>
      <c r="B1299" s="54"/>
      <c r="C1299" s="55"/>
      <c r="D1299" s="55"/>
      <c r="E1299" s="55"/>
      <c r="F1299" s="55"/>
      <c r="G1299" s="55"/>
      <c r="H1299" s="55"/>
      <c r="I1299" s="55"/>
      <c r="J1299" s="55"/>
      <c r="K1299" s="55"/>
      <c r="L1299" s="55"/>
      <c r="M1299" s="55"/>
      <c r="N1299" s="55"/>
      <c r="O1299" s="55"/>
      <c r="P1299" s="56"/>
      <c r="AI1299" s="49"/>
      <c r="AJ1299" s="78"/>
      <c r="AK1299" s="78"/>
      <c r="AL1299" s="78"/>
      <c r="AM1299" s="78"/>
      <c r="AN1299" s="78"/>
      <c r="AO1299" s="78"/>
      <c r="AP1299" s="78"/>
      <c r="AQ1299" s="78"/>
      <c r="AR1299" s="78"/>
      <c r="AS1299" s="78"/>
      <c r="AT1299" s="78"/>
      <c r="AU1299" s="78"/>
      <c r="AV1299" s="78"/>
      <c r="AW1299" s="78"/>
      <c r="AX1299" s="78"/>
      <c r="AY1299" s="3"/>
      <c r="AZ1299" s="81"/>
      <c r="BB1299" s="5"/>
      <c r="BC1299" s="5"/>
    </row>
    <row r="1300" spans="1:55" x14ac:dyDescent="0.25">
      <c r="A1300" s="51">
        <v>43076</v>
      </c>
      <c r="B1300" s="54"/>
      <c r="C1300" s="55"/>
      <c r="D1300" s="55"/>
      <c r="E1300" s="55"/>
      <c r="F1300" s="55"/>
      <c r="G1300" s="55"/>
      <c r="H1300" s="55"/>
      <c r="I1300" s="55"/>
      <c r="J1300" s="55"/>
      <c r="K1300" s="55"/>
      <c r="L1300" s="55"/>
      <c r="M1300" s="55"/>
      <c r="N1300" s="55"/>
      <c r="O1300" s="55"/>
      <c r="P1300" s="56"/>
      <c r="AI1300" s="49"/>
      <c r="AJ1300" s="78"/>
      <c r="AK1300" s="78"/>
      <c r="AL1300" s="78"/>
      <c r="AM1300" s="78"/>
      <c r="AN1300" s="78"/>
      <c r="AO1300" s="78"/>
      <c r="AP1300" s="78"/>
      <c r="AQ1300" s="78"/>
      <c r="AR1300" s="78"/>
      <c r="AS1300" s="78"/>
      <c r="AT1300" s="78"/>
      <c r="AU1300" s="78"/>
      <c r="AV1300" s="78"/>
      <c r="AW1300" s="78"/>
      <c r="AX1300" s="78"/>
      <c r="AY1300" s="3"/>
      <c r="AZ1300" s="81"/>
      <c r="BB1300" s="5"/>
      <c r="BC1300" s="5"/>
    </row>
    <row r="1301" spans="1:55" x14ac:dyDescent="0.25">
      <c r="A1301" s="51">
        <v>43080</v>
      </c>
      <c r="B1301" s="54"/>
      <c r="C1301" s="55"/>
      <c r="D1301" s="55"/>
      <c r="E1301" s="55"/>
      <c r="F1301" s="55"/>
      <c r="G1301" s="55"/>
      <c r="H1301" s="55"/>
      <c r="I1301" s="55"/>
      <c r="J1301" s="55"/>
      <c r="K1301" s="55"/>
      <c r="L1301" s="55"/>
      <c r="M1301" s="55"/>
      <c r="N1301" s="55"/>
      <c r="O1301" s="55"/>
      <c r="P1301" s="56"/>
      <c r="AI1301" s="49"/>
      <c r="AJ1301" s="78"/>
      <c r="AK1301" s="78"/>
      <c r="AL1301" s="78"/>
      <c r="AM1301" s="78"/>
      <c r="AN1301" s="78"/>
      <c r="AO1301" s="78"/>
      <c r="AP1301" s="78"/>
      <c r="AQ1301" s="78"/>
      <c r="AR1301" s="78"/>
      <c r="AS1301" s="78"/>
      <c r="AT1301" s="78"/>
      <c r="AU1301" s="78"/>
      <c r="AV1301" s="78"/>
      <c r="AW1301" s="78"/>
      <c r="AX1301" s="78"/>
      <c r="AY1301" s="3"/>
      <c r="AZ1301" s="81"/>
      <c r="BB1301" s="5"/>
      <c r="BC1301" s="5"/>
    </row>
    <row r="1302" spans="1:55" x14ac:dyDescent="0.25">
      <c r="A1302" s="51">
        <v>43081</v>
      </c>
      <c r="B1302" s="54"/>
      <c r="C1302" s="55"/>
      <c r="D1302" s="55"/>
      <c r="E1302" s="55"/>
      <c r="F1302" s="55"/>
      <c r="G1302" s="55"/>
      <c r="H1302" s="55"/>
      <c r="I1302" s="55"/>
      <c r="J1302" s="55"/>
      <c r="K1302" s="55"/>
      <c r="L1302" s="55"/>
      <c r="M1302" s="55"/>
      <c r="N1302" s="55"/>
      <c r="O1302" s="55"/>
      <c r="P1302" s="56"/>
      <c r="AI1302" s="49"/>
      <c r="AJ1302" s="78"/>
      <c r="AK1302" s="78"/>
      <c r="AL1302" s="78"/>
      <c r="AM1302" s="78"/>
      <c r="AN1302" s="78"/>
      <c r="AO1302" s="78"/>
      <c r="AP1302" s="78"/>
      <c r="AQ1302" s="78"/>
      <c r="AR1302" s="78"/>
      <c r="AS1302" s="78"/>
      <c r="AT1302" s="78"/>
      <c r="AU1302" s="78"/>
      <c r="AV1302" s="78"/>
      <c r="AW1302" s="78"/>
      <c r="AX1302" s="78"/>
      <c r="AY1302" s="3"/>
      <c r="AZ1302" s="81"/>
      <c r="BB1302" s="5"/>
      <c r="BC1302" s="5"/>
    </row>
    <row r="1303" spans="1:55" x14ac:dyDescent="0.25">
      <c r="A1303" s="51">
        <v>43082</v>
      </c>
      <c r="B1303" s="54"/>
      <c r="C1303" s="55"/>
      <c r="D1303" s="55"/>
      <c r="E1303" s="55"/>
      <c r="F1303" s="55"/>
      <c r="G1303" s="55"/>
      <c r="H1303" s="55"/>
      <c r="I1303" s="55"/>
      <c r="J1303" s="55"/>
      <c r="K1303" s="55"/>
      <c r="L1303" s="55"/>
      <c r="M1303" s="55"/>
      <c r="N1303" s="55"/>
      <c r="O1303" s="55"/>
      <c r="P1303" s="56"/>
      <c r="AI1303" s="49"/>
      <c r="AJ1303" s="78"/>
      <c r="AK1303" s="78"/>
      <c r="AL1303" s="78"/>
      <c r="AM1303" s="78"/>
      <c r="AN1303" s="78"/>
      <c r="AO1303" s="78"/>
      <c r="AP1303" s="78"/>
      <c r="AQ1303" s="78"/>
      <c r="AR1303" s="78"/>
      <c r="AS1303" s="78"/>
      <c r="AT1303" s="78"/>
      <c r="AU1303" s="78"/>
      <c r="AV1303" s="78"/>
      <c r="AW1303" s="78"/>
      <c r="AX1303" s="78"/>
      <c r="AY1303" s="3"/>
      <c r="AZ1303" s="81"/>
      <c r="BB1303" s="5"/>
      <c r="BC1303" s="5"/>
    </row>
    <row r="1304" spans="1:55" x14ac:dyDescent="0.25">
      <c r="A1304" s="51">
        <v>43083</v>
      </c>
      <c r="B1304" s="54"/>
      <c r="C1304" s="55"/>
      <c r="D1304" s="55"/>
      <c r="E1304" s="55"/>
      <c r="F1304" s="55"/>
      <c r="G1304" s="55"/>
      <c r="H1304" s="55"/>
      <c r="I1304" s="55"/>
      <c r="J1304" s="55"/>
      <c r="K1304" s="55"/>
      <c r="L1304" s="55"/>
      <c r="M1304" s="55"/>
      <c r="N1304" s="55"/>
      <c r="O1304" s="55"/>
      <c r="P1304" s="56"/>
      <c r="AI1304" s="49"/>
      <c r="AJ1304" s="78"/>
      <c r="AK1304" s="78"/>
      <c r="AL1304" s="78"/>
      <c r="AM1304" s="78"/>
      <c r="AN1304" s="78"/>
      <c r="AO1304" s="78"/>
      <c r="AP1304" s="78"/>
      <c r="AQ1304" s="78"/>
      <c r="AR1304" s="78"/>
      <c r="AS1304" s="78"/>
      <c r="AT1304" s="78"/>
      <c r="AU1304" s="78"/>
      <c r="AV1304" s="78"/>
      <c r="AW1304" s="78"/>
      <c r="AX1304" s="78"/>
      <c r="AY1304" s="3"/>
      <c r="AZ1304" s="81"/>
      <c r="BB1304" s="5"/>
      <c r="BC1304" s="5"/>
    </row>
    <row r="1305" spans="1:55" x14ac:dyDescent="0.25">
      <c r="A1305" s="51">
        <v>43084</v>
      </c>
      <c r="B1305" s="54"/>
      <c r="C1305" s="55"/>
      <c r="D1305" s="55"/>
      <c r="E1305" s="55"/>
      <c r="F1305" s="55"/>
      <c r="G1305" s="55"/>
      <c r="H1305" s="55"/>
      <c r="I1305" s="55"/>
      <c r="J1305" s="55"/>
      <c r="K1305" s="55"/>
      <c r="L1305" s="55"/>
      <c r="M1305" s="55"/>
      <c r="N1305" s="55"/>
      <c r="O1305" s="55"/>
      <c r="P1305" s="56"/>
      <c r="AI1305" s="49"/>
      <c r="AJ1305" s="78"/>
      <c r="AK1305" s="78"/>
      <c r="AL1305" s="78"/>
      <c r="AM1305" s="78"/>
      <c r="AN1305" s="78"/>
      <c r="AO1305" s="78"/>
      <c r="AP1305" s="78"/>
      <c r="AQ1305" s="78"/>
      <c r="AR1305" s="78"/>
      <c r="AS1305" s="78"/>
      <c r="AT1305" s="78"/>
      <c r="AU1305" s="78"/>
      <c r="AV1305" s="78"/>
      <c r="AW1305" s="78"/>
      <c r="AX1305" s="78"/>
      <c r="AY1305" s="3"/>
      <c r="AZ1305" s="81"/>
      <c r="BB1305" s="5"/>
      <c r="BC1305" s="5"/>
    </row>
    <row r="1306" spans="1:55" x14ac:dyDescent="0.25">
      <c r="A1306" s="51">
        <v>43087</v>
      </c>
      <c r="B1306" s="54"/>
      <c r="C1306" s="55"/>
      <c r="D1306" s="55"/>
      <c r="E1306" s="55"/>
      <c r="F1306" s="55"/>
      <c r="G1306" s="55"/>
      <c r="H1306" s="55"/>
      <c r="I1306" s="55"/>
      <c r="J1306" s="55"/>
      <c r="K1306" s="55"/>
      <c r="L1306" s="55"/>
      <c r="M1306" s="55"/>
      <c r="N1306" s="55"/>
      <c r="O1306" s="55"/>
      <c r="P1306" s="56"/>
      <c r="AI1306" s="49"/>
      <c r="AJ1306" s="78"/>
      <c r="AK1306" s="78"/>
      <c r="AL1306" s="78"/>
      <c r="AM1306" s="78"/>
      <c r="AN1306" s="78"/>
      <c r="AO1306" s="78"/>
      <c r="AP1306" s="78"/>
      <c r="AQ1306" s="78"/>
      <c r="AR1306" s="78"/>
      <c r="AS1306" s="78"/>
      <c r="AT1306" s="78"/>
      <c r="AU1306" s="78"/>
      <c r="AV1306" s="78"/>
      <c r="AW1306" s="78"/>
      <c r="AX1306" s="78"/>
      <c r="AY1306" s="3"/>
      <c r="AZ1306" s="81"/>
      <c r="BB1306" s="5"/>
      <c r="BC1306" s="5"/>
    </row>
    <row r="1307" spans="1:55" x14ac:dyDescent="0.25">
      <c r="A1307" s="51">
        <v>43088</v>
      </c>
      <c r="B1307" s="54"/>
      <c r="C1307" s="55"/>
      <c r="D1307" s="55"/>
      <c r="E1307" s="55"/>
      <c r="F1307" s="55"/>
      <c r="G1307" s="55"/>
      <c r="H1307" s="55"/>
      <c r="I1307" s="55"/>
      <c r="J1307" s="55"/>
      <c r="K1307" s="55"/>
      <c r="L1307" s="55"/>
      <c r="M1307" s="55"/>
      <c r="N1307" s="55"/>
      <c r="O1307" s="55"/>
      <c r="P1307" s="56"/>
      <c r="AI1307" s="49"/>
      <c r="AJ1307" s="78"/>
      <c r="AK1307" s="78"/>
      <c r="AL1307" s="78"/>
      <c r="AM1307" s="78"/>
      <c r="AN1307" s="78"/>
      <c r="AO1307" s="78"/>
      <c r="AP1307" s="78"/>
      <c r="AQ1307" s="78"/>
      <c r="AR1307" s="78"/>
      <c r="AS1307" s="78"/>
      <c r="AT1307" s="78"/>
      <c r="AU1307" s="78"/>
      <c r="AV1307" s="78"/>
      <c r="AW1307" s="78"/>
      <c r="AX1307" s="78"/>
      <c r="AY1307" s="3"/>
      <c r="AZ1307" s="81"/>
      <c r="BB1307" s="5"/>
      <c r="BC1307" s="5"/>
    </row>
    <row r="1308" spans="1:55" x14ac:dyDescent="0.25">
      <c r="A1308" s="51">
        <v>43089</v>
      </c>
      <c r="B1308" s="54"/>
      <c r="C1308" s="55"/>
      <c r="D1308" s="55"/>
      <c r="E1308" s="55"/>
      <c r="F1308" s="55"/>
      <c r="G1308" s="55"/>
      <c r="H1308" s="55"/>
      <c r="I1308" s="55"/>
      <c r="J1308" s="55"/>
      <c r="K1308" s="55"/>
      <c r="L1308" s="55"/>
      <c r="M1308" s="55"/>
      <c r="N1308" s="55"/>
      <c r="O1308" s="55"/>
      <c r="P1308" s="56"/>
      <c r="AI1308" s="49"/>
      <c r="AJ1308" s="78"/>
      <c r="AK1308" s="78"/>
      <c r="AL1308" s="78"/>
      <c r="AM1308" s="78"/>
      <c r="AN1308" s="78"/>
      <c r="AO1308" s="78"/>
      <c r="AP1308" s="78"/>
      <c r="AQ1308" s="78"/>
      <c r="AR1308" s="78"/>
      <c r="AS1308" s="78"/>
      <c r="AT1308" s="78"/>
      <c r="AU1308" s="78"/>
      <c r="AV1308" s="78"/>
      <c r="AW1308" s="78"/>
      <c r="AX1308" s="78"/>
      <c r="AY1308" s="3"/>
      <c r="AZ1308" s="81"/>
      <c r="BB1308" s="5"/>
      <c r="BC1308" s="5"/>
    </row>
    <row r="1309" spans="1:55" x14ac:dyDescent="0.25">
      <c r="A1309" s="51">
        <v>43090</v>
      </c>
      <c r="B1309" s="54"/>
      <c r="C1309" s="55"/>
      <c r="D1309" s="55"/>
      <c r="E1309" s="55"/>
      <c r="F1309" s="55"/>
      <c r="G1309" s="55"/>
      <c r="H1309" s="55"/>
      <c r="I1309" s="55"/>
      <c r="J1309" s="55"/>
      <c r="K1309" s="55"/>
      <c r="L1309" s="55"/>
      <c r="M1309" s="55"/>
      <c r="N1309" s="55"/>
      <c r="O1309" s="55"/>
      <c r="P1309" s="56"/>
      <c r="AI1309" s="49"/>
      <c r="AJ1309" s="78"/>
      <c r="AK1309" s="78"/>
      <c r="AL1309" s="78"/>
      <c r="AM1309" s="78"/>
      <c r="AN1309" s="78"/>
      <c r="AO1309" s="78"/>
      <c r="AP1309" s="78"/>
      <c r="AQ1309" s="78"/>
      <c r="AR1309" s="78"/>
      <c r="AS1309" s="78"/>
      <c r="AT1309" s="78"/>
      <c r="AU1309" s="78"/>
      <c r="AV1309" s="78"/>
      <c r="AW1309" s="78"/>
      <c r="AX1309" s="78"/>
      <c r="AY1309" s="3"/>
      <c r="AZ1309" s="81"/>
      <c r="BB1309" s="5"/>
      <c r="BC1309" s="5"/>
    </row>
    <row r="1310" spans="1:55" x14ac:dyDescent="0.25">
      <c r="A1310" s="51">
        <v>43091</v>
      </c>
      <c r="B1310" s="54"/>
      <c r="C1310" s="55"/>
      <c r="D1310" s="55"/>
      <c r="E1310" s="55"/>
      <c r="F1310" s="55"/>
      <c r="G1310" s="55"/>
      <c r="H1310" s="55"/>
      <c r="I1310" s="55"/>
      <c r="J1310" s="55"/>
      <c r="K1310" s="55"/>
      <c r="L1310" s="55"/>
      <c r="M1310" s="55"/>
      <c r="N1310" s="55"/>
      <c r="O1310" s="55"/>
      <c r="P1310" s="56"/>
      <c r="AI1310" s="49"/>
      <c r="AJ1310" s="78"/>
      <c r="AK1310" s="78"/>
      <c r="AL1310" s="78"/>
      <c r="AM1310" s="78"/>
      <c r="AN1310" s="78"/>
      <c r="AO1310" s="78"/>
      <c r="AP1310" s="78"/>
      <c r="AQ1310" s="78"/>
      <c r="AR1310" s="78"/>
      <c r="AS1310" s="78"/>
      <c r="AT1310" s="78"/>
      <c r="AU1310" s="78"/>
      <c r="AV1310" s="78"/>
      <c r="AW1310" s="78"/>
      <c r="AX1310" s="78"/>
      <c r="AY1310" s="3"/>
      <c r="AZ1310" s="81"/>
      <c r="BB1310" s="5"/>
      <c r="BC1310" s="5"/>
    </row>
    <row r="1311" spans="1:55" x14ac:dyDescent="0.25">
      <c r="A1311" s="51">
        <v>43095</v>
      </c>
      <c r="B1311" s="54"/>
      <c r="C1311" s="55"/>
      <c r="D1311" s="55"/>
      <c r="E1311" s="55"/>
      <c r="F1311" s="55"/>
      <c r="G1311" s="55"/>
      <c r="H1311" s="55"/>
      <c r="I1311" s="55"/>
      <c r="J1311" s="55"/>
      <c r="K1311" s="55"/>
      <c r="L1311" s="55"/>
      <c r="M1311" s="55"/>
      <c r="N1311" s="55"/>
      <c r="O1311" s="55"/>
      <c r="P1311" s="56"/>
      <c r="AI1311" s="49"/>
      <c r="AJ1311" s="78"/>
      <c r="AK1311" s="78"/>
      <c r="AL1311" s="78"/>
      <c r="AM1311" s="78"/>
      <c r="AN1311" s="78"/>
      <c r="AO1311" s="78"/>
      <c r="AP1311" s="78"/>
      <c r="AQ1311" s="78"/>
      <c r="AR1311" s="78"/>
      <c r="AS1311" s="78"/>
      <c r="AT1311" s="78"/>
      <c r="AU1311" s="78"/>
      <c r="AV1311" s="78"/>
      <c r="AW1311" s="78"/>
      <c r="AX1311" s="78"/>
      <c r="AY1311" s="3"/>
      <c r="AZ1311" s="81"/>
      <c r="BB1311" s="5"/>
      <c r="BC1311" s="5"/>
    </row>
    <row r="1312" spans="1:55" x14ac:dyDescent="0.25">
      <c r="A1312" s="51">
        <v>43096</v>
      </c>
      <c r="B1312" s="54"/>
      <c r="C1312" s="55"/>
      <c r="D1312" s="55"/>
      <c r="E1312" s="55"/>
      <c r="F1312" s="55"/>
      <c r="G1312" s="55"/>
      <c r="H1312" s="55"/>
      <c r="I1312" s="55"/>
      <c r="J1312" s="55"/>
      <c r="K1312" s="55"/>
      <c r="L1312" s="55"/>
      <c r="M1312" s="55"/>
      <c r="N1312" s="55"/>
      <c r="O1312" s="55"/>
      <c r="P1312" s="56"/>
      <c r="AI1312" s="49"/>
      <c r="AJ1312" s="78"/>
      <c r="AK1312" s="78"/>
      <c r="AL1312" s="78"/>
      <c r="AM1312" s="78"/>
      <c r="AN1312" s="78"/>
      <c r="AO1312" s="78"/>
      <c r="AP1312" s="78"/>
      <c r="AQ1312" s="78"/>
      <c r="AR1312" s="78"/>
      <c r="AS1312" s="78"/>
      <c r="AT1312" s="78"/>
      <c r="AU1312" s="78"/>
      <c r="AV1312" s="78"/>
      <c r="AW1312" s="78"/>
      <c r="AX1312" s="78"/>
      <c r="AY1312" s="3"/>
      <c r="AZ1312" s="81"/>
      <c r="BB1312" s="5"/>
      <c r="BC1312" s="5"/>
    </row>
    <row r="1313" spans="1:55" x14ac:dyDescent="0.25">
      <c r="A1313" s="51">
        <v>43097</v>
      </c>
      <c r="B1313" s="54"/>
      <c r="C1313" s="55"/>
      <c r="D1313" s="55"/>
      <c r="E1313" s="55"/>
      <c r="F1313" s="55"/>
      <c r="G1313" s="55"/>
      <c r="H1313" s="55"/>
      <c r="I1313" s="55"/>
      <c r="J1313" s="55"/>
      <c r="K1313" s="55"/>
      <c r="L1313" s="55"/>
      <c r="M1313" s="55"/>
      <c r="N1313" s="55"/>
      <c r="O1313" s="55"/>
      <c r="P1313" s="56"/>
      <c r="AI1313" s="49"/>
      <c r="AJ1313" s="78"/>
      <c r="AK1313" s="78"/>
      <c r="AL1313" s="78"/>
      <c r="AM1313" s="78"/>
      <c r="AN1313" s="78"/>
      <c r="AO1313" s="78"/>
      <c r="AP1313" s="78"/>
      <c r="AQ1313" s="78"/>
      <c r="AR1313" s="78"/>
      <c r="AS1313" s="78"/>
      <c r="AT1313" s="78"/>
      <c r="AU1313" s="78"/>
      <c r="AV1313" s="78"/>
      <c r="AW1313" s="78"/>
      <c r="AX1313" s="78"/>
      <c r="AY1313" s="3"/>
      <c r="AZ1313" s="81"/>
      <c r="BB1313" s="5"/>
      <c r="BC1313" s="5"/>
    </row>
    <row r="1314" spans="1:55" x14ac:dyDescent="0.25">
      <c r="A1314" s="51">
        <v>43098</v>
      </c>
      <c r="B1314" s="54"/>
      <c r="C1314" s="55"/>
      <c r="D1314" s="55"/>
      <c r="E1314" s="55"/>
      <c r="F1314" s="55"/>
      <c r="G1314" s="55"/>
      <c r="H1314" s="55"/>
      <c r="I1314" s="55"/>
      <c r="J1314" s="55"/>
      <c r="K1314" s="55"/>
      <c r="L1314" s="55"/>
      <c r="M1314" s="55"/>
      <c r="N1314" s="55"/>
      <c r="O1314" s="55"/>
      <c r="P1314" s="56"/>
      <c r="AI1314" s="49"/>
      <c r="AJ1314" s="78"/>
      <c r="AK1314" s="78"/>
      <c r="AL1314" s="78"/>
      <c r="AM1314" s="78"/>
      <c r="AN1314" s="78"/>
      <c r="AO1314" s="78"/>
      <c r="AP1314" s="78"/>
      <c r="AQ1314" s="78"/>
      <c r="AR1314" s="78"/>
      <c r="AS1314" s="78"/>
      <c r="AT1314" s="78"/>
      <c r="AU1314" s="78"/>
      <c r="AV1314" s="78"/>
      <c r="AW1314" s="78"/>
      <c r="AX1314" s="78"/>
      <c r="AY1314" s="3"/>
      <c r="AZ1314" s="81"/>
      <c r="BB1314" s="5"/>
      <c r="BC1314" s="5"/>
    </row>
    <row r="1315" spans="1:55" x14ac:dyDescent="0.25">
      <c r="A1315" s="51">
        <v>43102</v>
      </c>
      <c r="B1315" s="54"/>
      <c r="C1315" s="55"/>
      <c r="D1315" s="55"/>
      <c r="E1315" s="55"/>
      <c r="F1315" s="55"/>
      <c r="G1315" s="55"/>
      <c r="H1315" s="55"/>
      <c r="I1315" s="55"/>
      <c r="J1315" s="55"/>
      <c r="K1315" s="55"/>
      <c r="L1315" s="55"/>
      <c r="M1315" s="55"/>
      <c r="N1315" s="55"/>
      <c r="O1315" s="55"/>
      <c r="P1315" s="56"/>
      <c r="AI1315" s="49"/>
      <c r="AJ1315" s="78"/>
      <c r="AK1315" s="78"/>
      <c r="AL1315" s="78"/>
      <c r="AM1315" s="78"/>
      <c r="AN1315" s="78"/>
      <c r="AO1315" s="78"/>
      <c r="AP1315" s="78"/>
      <c r="AQ1315" s="78"/>
      <c r="AR1315" s="78"/>
      <c r="AS1315" s="78"/>
      <c r="AT1315" s="78"/>
      <c r="AU1315" s="78"/>
      <c r="AV1315" s="78"/>
      <c r="AW1315" s="78"/>
      <c r="AX1315" s="78"/>
      <c r="AY1315" s="3"/>
      <c r="AZ1315" s="81"/>
      <c r="BB1315" s="5"/>
      <c r="BC1315" s="5"/>
    </row>
    <row r="1316" spans="1:55" x14ac:dyDescent="0.25">
      <c r="A1316" s="51">
        <v>43103</v>
      </c>
      <c r="B1316" s="54"/>
      <c r="C1316" s="55"/>
      <c r="D1316" s="55"/>
      <c r="E1316" s="55"/>
      <c r="F1316" s="55"/>
      <c r="G1316" s="55"/>
      <c r="H1316" s="55"/>
      <c r="I1316" s="55"/>
      <c r="J1316" s="55"/>
      <c r="K1316" s="55"/>
      <c r="L1316" s="55"/>
      <c r="M1316" s="55"/>
      <c r="N1316" s="55"/>
      <c r="O1316" s="55"/>
      <c r="P1316" s="56"/>
      <c r="AI1316" s="49"/>
      <c r="AJ1316" s="78"/>
      <c r="AK1316" s="78"/>
      <c r="AL1316" s="78"/>
      <c r="AM1316" s="78"/>
      <c r="AN1316" s="78"/>
      <c r="AO1316" s="78"/>
      <c r="AP1316" s="78"/>
      <c r="AQ1316" s="78"/>
      <c r="AR1316" s="78"/>
      <c r="AS1316" s="78"/>
      <c r="AT1316" s="78"/>
      <c r="AU1316" s="78"/>
      <c r="AV1316" s="78"/>
      <c r="AW1316" s="78"/>
      <c r="AX1316" s="78"/>
      <c r="AY1316" s="3"/>
      <c r="AZ1316" s="81"/>
      <c r="BB1316" s="5"/>
      <c r="BC1316" s="5"/>
    </row>
    <row r="1317" spans="1:55" x14ac:dyDescent="0.25">
      <c r="A1317" s="51">
        <v>43104</v>
      </c>
      <c r="B1317" s="54"/>
      <c r="C1317" s="55"/>
      <c r="D1317" s="55"/>
      <c r="E1317" s="55"/>
      <c r="F1317" s="55"/>
      <c r="G1317" s="55"/>
      <c r="H1317" s="55"/>
      <c r="I1317" s="55"/>
      <c r="J1317" s="55"/>
      <c r="K1317" s="55"/>
      <c r="L1317" s="55"/>
      <c r="M1317" s="55"/>
      <c r="N1317" s="55"/>
      <c r="O1317" s="55"/>
      <c r="P1317" s="56"/>
      <c r="AI1317" s="49"/>
      <c r="AJ1317" s="78"/>
      <c r="AK1317" s="78"/>
      <c r="AL1317" s="78"/>
      <c r="AM1317" s="78"/>
      <c r="AN1317" s="78"/>
      <c r="AO1317" s="78"/>
      <c r="AP1317" s="78"/>
      <c r="AQ1317" s="78"/>
      <c r="AR1317" s="78"/>
      <c r="AS1317" s="78"/>
      <c r="AT1317" s="78"/>
      <c r="AU1317" s="78"/>
      <c r="AV1317" s="78"/>
      <c r="AW1317" s="78"/>
      <c r="AX1317" s="78"/>
      <c r="AY1317" s="3"/>
      <c r="AZ1317" s="81"/>
      <c r="BB1317" s="5"/>
      <c r="BC1317" s="5"/>
    </row>
    <row r="1318" spans="1:55" x14ac:dyDescent="0.25">
      <c r="A1318" s="51">
        <v>43105</v>
      </c>
      <c r="B1318" s="54"/>
      <c r="C1318" s="55"/>
      <c r="D1318" s="55"/>
      <c r="E1318" s="55"/>
      <c r="F1318" s="55"/>
      <c r="G1318" s="55"/>
      <c r="H1318" s="55"/>
      <c r="I1318" s="55"/>
      <c r="J1318" s="55"/>
      <c r="K1318" s="55"/>
      <c r="L1318" s="55"/>
      <c r="M1318" s="55"/>
      <c r="N1318" s="55"/>
      <c r="O1318" s="55"/>
      <c r="P1318" s="56"/>
      <c r="AI1318" s="49"/>
      <c r="AJ1318" s="78"/>
      <c r="AK1318" s="78"/>
      <c r="AL1318" s="78"/>
      <c r="AM1318" s="78"/>
      <c r="AN1318" s="78"/>
      <c r="AO1318" s="78"/>
      <c r="AP1318" s="78"/>
      <c r="AQ1318" s="78"/>
      <c r="AR1318" s="78"/>
      <c r="AS1318" s="78"/>
      <c r="AT1318" s="78"/>
      <c r="AU1318" s="78"/>
      <c r="AV1318" s="78"/>
      <c r="AW1318" s="78"/>
      <c r="AX1318" s="78"/>
      <c r="AY1318" s="3"/>
      <c r="AZ1318" s="81"/>
      <c r="BB1318" s="5"/>
      <c r="BC1318" s="5"/>
    </row>
    <row r="1319" spans="1:55" x14ac:dyDescent="0.25">
      <c r="A1319" s="51">
        <v>43108</v>
      </c>
      <c r="B1319" s="54"/>
      <c r="C1319" s="55"/>
      <c r="D1319" s="55"/>
      <c r="E1319" s="55"/>
      <c r="F1319" s="55"/>
      <c r="G1319" s="55"/>
      <c r="H1319" s="55"/>
      <c r="I1319" s="55"/>
      <c r="J1319" s="55"/>
      <c r="K1319" s="55"/>
      <c r="L1319" s="55"/>
      <c r="M1319" s="55"/>
      <c r="N1319" s="55"/>
      <c r="O1319" s="55"/>
      <c r="P1319" s="56"/>
      <c r="AI1319" s="49"/>
      <c r="AJ1319" s="78"/>
      <c r="AK1319" s="78"/>
      <c r="AL1319" s="78"/>
      <c r="AM1319" s="78"/>
      <c r="AN1319" s="78"/>
      <c r="AO1319" s="78"/>
      <c r="AP1319" s="78"/>
      <c r="AQ1319" s="78"/>
      <c r="AR1319" s="78"/>
      <c r="AS1319" s="78"/>
      <c r="AT1319" s="78"/>
      <c r="AU1319" s="78"/>
      <c r="AV1319" s="78"/>
      <c r="AW1319" s="78"/>
      <c r="AX1319" s="78"/>
      <c r="AY1319" s="3"/>
      <c r="AZ1319" s="81"/>
      <c r="BB1319" s="5"/>
      <c r="BC1319" s="5"/>
    </row>
    <row r="1320" spans="1:55" x14ac:dyDescent="0.25">
      <c r="A1320" s="51">
        <v>43109</v>
      </c>
      <c r="B1320" s="54"/>
      <c r="C1320" s="55"/>
      <c r="D1320" s="55"/>
      <c r="E1320" s="55"/>
      <c r="F1320" s="55"/>
      <c r="G1320" s="55"/>
      <c r="H1320" s="55"/>
      <c r="I1320" s="55"/>
      <c r="J1320" s="55"/>
      <c r="K1320" s="55"/>
      <c r="L1320" s="55"/>
      <c r="M1320" s="55"/>
      <c r="N1320" s="55"/>
      <c r="O1320" s="55"/>
      <c r="P1320" s="56"/>
      <c r="AI1320" s="49"/>
      <c r="AJ1320" s="78"/>
      <c r="AK1320" s="78"/>
      <c r="AL1320" s="78"/>
      <c r="AM1320" s="78"/>
      <c r="AN1320" s="78"/>
      <c r="AO1320" s="78"/>
      <c r="AP1320" s="78"/>
      <c r="AQ1320" s="78"/>
      <c r="AR1320" s="78"/>
      <c r="AS1320" s="78"/>
      <c r="AT1320" s="78"/>
      <c r="AU1320" s="78"/>
      <c r="AV1320" s="78"/>
      <c r="AW1320" s="78"/>
      <c r="AX1320" s="78"/>
      <c r="AY1320" s="3"/>
      <c r="AZ1320" s="81"/>
      <c r="BB1320" s="5"/>
      <c r="BC1320" s="5"/>
    </row>
    <row r="1321" spans="1:55" x14ac:dyDescent="0.25">
      <c r="A1321" s="51">
        <v>43110</v>
      </c>
      <c r="B1321" s="54"/>
      <c r="C1321" s="55"/>
      <c r="D1321" s="55"/>
      <c r="E1321" s="55"/>
      <c r="F1321" s="55"/>
      <c r="G1321" s="55"/>
      <c r="H1321" s="55"/>
      <c r="I1321" s="55"/>
      <c r="J1321" s="55"/>
      <c r="K1321" s="55"/>
      <c r="L1321" s="55"/>
      <c r="M1321" s="55"/>
      <c r="N1321" s="55"/>
      <c r="O1321" s="55"/>
      <c r="P1321" s="56"/>
      <c r="AI1321" s="49"/>
      <c r="AJ1321" s="78"/>
      <c r="AK1321" s="78"/>
      <c r="AL1321" s="78"/>
      <c r="AM1321" s="78"/>
      <c r="AN1321" s="78"/>
      <c r="AO1321" s="78"/>
      <c r="AP1321" s="78"/>
      <c r="AQ1321" s="78"/>
      <c r="AR1321" s="78"/>
      <c r="AS1321" s="78"/>
      <c r="AT1321" s="78"/>
      <c r="AU1321" s="78"/>
      <c r="AV1321" s="78"/>
      <c r="AW1321" s="78"/>
      <c r="AX1321" s="78"/>
      <c r="AY1321" s="3"/>
      <c r="AZ1321" s="81"/>
      <c r="BB1321" s="5"/>
      <c r="BC1321" s="5"/>
    </row>
    <row r="1322" spans="1:55" x14ac:dyDescent="0.25">
      <c r="A1322" s="51">
        <v>43111</v>
      </c>
      <c r="B1322" s="54"/>
      <c r="C1322" s="55"/>
      <c r="D1322" s="55"/>
      <c r="E1322" s="55"/>
      <c r="F1322" s="55"/>
      <c r="G1322" s="55"/>
      <c r="H1322" s="55"/>
      <c r="I1322" s="55"/>
      <c r="J1322" s="55"/>
      <c r="K1322" s="55"/>
      <c r="L1322" s="55"/>
      <c r="M1322" s="55"/>
      <c r="N1322" s="55"/>
      <c r="O1322" s="55"/>
      <c r="P1322" s="56"/>
      <c r="AI1322" s="49"/>
      <c r="AJ1322" s="78"/>
      <c r="AK1322" s="78"/>
      <c r="AL1322" s="78"/>
      <c r="AM1322" s="78"/>
      <c r="AN1322" s="78"/>
      <c r="AO1322" s="78"/>
      <c r="AP1322" s="78"/>
      <c r="AQ1322" s="78"/>
      <c r="AR1322" s="78"/>
      <c r="AS1322" s="78"/>
      <c r="AT1322" s="78"/>
      <c r="AU1322" s="78"/>
      <c r="AV1322" s="78"/>
      <c r="AW1322" s="78"/>
      <c r="AX1322" s="78"/>
      <c r="AY1322" s="3"/>
      <c r="AZ1322" s="81"/>
      <c r="BB1322" s="5"/>
      <c r="BC1322" s="5"/>
    </row>
    <row r="1323" spans="1:55" x14ac:dyDescent="0.25">
      <c r="A1323" s="51">
        <v>43112</v>
      </c>
      <c r="B1323" s="54"/>
      <c r="C1323" s="55"/>
      <c r="D1323" s="55"/>
      <c r="E1323" s="55"/>
      <c r="F1323" s="55"/>
      <c r="G1323" s="55"/>
      <c r="H1323" s="55"/>
      <c r="I1323" s="55"/>
      <c r="J1323" s="55"/>
      <c r="K1323" s="55"/>
      <c r="L1323" s="55"/>
      <c r="M1323" s="55"/>
      <c r="N1323" s="55"/>
      <c r="O1323" s="55"/>
      <c r="P1323" s="56"/>
      <c r="AI1323" s="49"/>
      <c r="AJ1323" s="78"/>
      <c r="AK1323" s="78"/>
      <c r="AL1323" s="78"/>
      <c r="AM1323" s="78"/>
      <c r="AN1323" s="78"/>
      <c r="AO1323" s="78"/>
      <c r="AP1323" s="78"/>
      <c r="AQ1323" s="78"/>
      <c r="AR1323" s="78"/>
      <c r="AS1323" s="78"/>
      <c r="AT1323" s="78"/>
      <c r="AU1323" s="78"/>
      <c r="AV1323" s="78"/>
      <c r="AW1323" s="78"/>
      <c r="AX1323" s="78"/>
      <c r="AY1323" s="3"/>
      <c r="AZ1323" s="81"/>
      <c r="BB1323" s="5"/>
      <c r="BC1323" s="5"/>
    </row>
    <row r="1324" spans="1:55" x14ac:dyDescent="0.25">
      <c r="A1324" s="51">
        <v>43115</v>
      </c>
      <c r="B1324" s="54"/>
      <c r="C1324" s="55"/>
      <c r="D1324" s="55"/>
      <c r="E1324" s="55"/>
      <c r="F1324" s="55"/>
      <c r="G1324" s="55"/>
      <c r="H1324" s="55"/>
      <c r="I1324" s="55"/>
      <c r="J1324" s="55"/>
      <c r="K1324" s="55"/>
      <c r="L1324" s="55"/>
      <c r="M1324" s="55"/>
      <c r="N1324" s="55"/>
      <c r="O1324" s="55"/>
      <c r="P1324" s="56"/>
      <c r="AI1324" s="49"/>
      <c r="AJ1324" s="78"/>
      <c r="AK1324" s="78"/>
      <c r="AL1324" s="78"/>
      <c r="AM1324" s="78"/>
      <c r="AN1324" s="78"/>
      <c r="AO1324" s="78"/>
      <c r="AP1324" s="78"/>
      <c r="AQ1324" s="78"/>
      <c r="AR1324" s="78"/>
      <c r="AS1324" s="78"/>
      <c r="AT1324" s="78"/>
      <c r="AU1324" s="78"/>
      <c r="AV1324" s="78"/>
      <c r="AW1324" s="78"/>
      <c r="AX1324" s="78"/>
      <c r="AY1324" s="3"/>
      <c r="AZ1324" s="81"/>
      <c r="BB1324" s="5"/>
      <c r="BC1324" s="5"/>
    </row>
    <row r="1325" spans="1:55" x14ac:dyDescent="0.25">
      <c r="A1325" s="51">
        <v>43116</v>
      </c>
      <c r="B1325" s="54"/>
      <c r="C1325" s="55"/>
      <c r="D1325" s="55"/>
      <c r="E1325" s="55"/>
      <c r="F1325" s="55"/>
      <c r="G1325" s="55"/>
      <c r="H1325" s="55"/>
      <c r="I1325" s="55"/>
      <c r="J1325" s="55"/>
      <c r="K1325" s="55"/>
      <c r="L1325" s="55"/>
      <c r="M1325" s="55"/>
      <c r="N1325" s="55"/>
      <c r="O1325" s="55"/>
      <c r="P1325" s="56"/>
      <c r="AI1325" s="49"/>
      <c r="AJ1325" s="78"/>
      <c r="AK1325" s="78"/>
      <c r="AL1325" s="78"/>
      <c r="AM1325" s="78"/>
      <c r="AN1325" s="78"/>
      <c r="AO1325" s="78"/>
      <c r="AP1325" s="78"/>
      <c r="AQ1325" s="78"/>
      <c r="AR1325" s="78"/>
      <c r="AS1325" s="78"/>
      <c r="AT1325" s="78"/>
      <c r="AU1325" s="78"/>
      <c r="AV1325" s="78"/>
      <c r="AW1325" s="78"/>
      <c r="AX1325" s="78"/>
      <c r="AY1325" s="3"/>
      <c r="AZ1325" s="81"/>
      <c r="BB1325" s="5"/>
      <c r="BC1325" s="5"/>
    </row>
    <row r="1326" spans="1:55" x14ac:dyDescent="0.25">
      <c r="A1326" s="51">
        <v>43117</v>
      </c>
      <c r="B1326" s="54"/>
      <c r="C1326" s="55"/>
      <c r="D1326" s="55"/>
      <c r="E1326" s="55"/>
      <c r="F1326" s="55"/>
      <c r="G1326" s="55"/>
      <c r="H1326" s="55"/>
      <c r="I1326" s="55"/>
      <c r="J1326" s="55"/>
      <c r="K1326" s="55"/>
      <c r="L1326" s="55"/>
      <c r="M1326" s="55"/>
      <c r="N1326" s="55"/>
      <c r="O1326" s="55"/>
      <c r="P1326" s="56"/>
      <c r="AI1326" s="49"/>
      <c r="AJ1326" s="78"/>
      <c r="AK1326" s="78"/>
      <c r="AL1326" s="78"/>
      <c r="AM1326" s="78"/>
      <c r="AN1326" s="78"/>
      <c r="AO1326" s="78"/>
      <c r="AP1326" s="78"/>
      <c r="AQ1326" s="78"/>
      <c r="AR1326" s="78"/>
      <c r="AS1326" s="78"/>
      <c r="AT1326" s="78"/>
      <c r="AU1326" s="78"/>
      <c r="AV1326" s="78"/>
      <c r="AW1326" s="78"/>
      <c r="AX1326" s="78"/>
      <c r="AY1326" s="3"/>
      <c r="AZ1326" s="81"/>
      <c r="BB1326" s="5"/>
      <c r="BC1326" s="5"/>
    </row>
    <row r="1327" spans="1:55" x14ac:dyDescent="0.25">
      <c r="A1327" s="51">
        <v>43118</v>
      </c>
      <c r="B1327" s="54"/>
      <c r="C1327" s="55"/>
      <c r="D1327" s="55"/>
      <c r="E1327" s="55"/>
      <c r="F1327" s="55"/>
      <c r="G1327" s="55"/>
      <c r="H1327" s="55"/>
      <c r="I1327" s="55"/>
      <c r="J1327" s="55"/>
      <c r="K1327" s="55"/>
      <c r="L1327" s="55"/>
      <c r="M1327" s="55"/>
      <c r="N1327" s="55"/>
      <c r="O1327" s="55"/>
      <c r="P1327" s="56"/>
      <c r="AI1327" s="49"/>
      <c r="AJ1327" s="78"/>
      <c r="AK1327" s="78"/>
      <c r="AL1327" s="78"/>
      <c r="AM1327" s="78"/>
      <c r="AN1327" s="78"/>
      <c r="AO1327" s="78"/>
      <c r="AP1327" s="78"/>
      <c r="AQ1327" s="78"/>
      <c r="AR1327" s="78"/>
      <c r="AS1327" s="78"/>
      <c r="AT1327" s="78"/>
      <c r="AU1327" s="78"/>
      <c r="AV1327" s="78"/>
      <c r="AW1327" s="78"/>
      <c r="AX1327" s="78"/>
      <c r="AY1327" s="3"/>
      <c r="AZ1327" s="81"/>
      <c r="BB1327" s="5"/>
      <c r="BC1327" s="5"/>
    </row>
    <row r="1328" spans="1:55" x14ac:dyDescent="0.25">
      <c r="A1328" s="51">
        <v>43119</v>
      </c>
      <c r="B1328" s="54"/>
      <c r="C1328" s="55"/>
      <c r="D1328" s="55"/>
      <c r="E1328" s="55"/>
      <c r="F1328" s="55"/>
      <c r="G1328" s="55"/>
      <c r="H1328" s="55"/>
      <c r="I1328" s="55"/>
      <c r="J1328" s="55"/>
      <c r="K1328" s="55"/>
      <c r="L1328" s="55"/>
      <c r="M1328" s="55"/>
      <c r="N1328" s="55"/>
      <c r="O1328" s="55"/>
      <c r="P1328" s="56"/>
      <c r="AI1328" s="49"/>
      <c r="AJ1328" s="78"/>
      <c r="AK1328" s="78"/>
      <c r="AL1328" s="78"/>
      <c r="AM1328" s="78"/>
      <c r="AN1328" s="78"/>
      <c r="AO1328" s="78"/>
      <c r="AP1328" s="78"/>
      <c r="AQ1328" s="78"/>
      <c r="AR1328" s="78"/>
      <c r="AS1328" s="78"/>
      <c r="AT1328" s="78"/>
      <c r="AU1328" s="78"/>
      <c r="AV1328" s="78"/>
      <c r="AW1328" s="78"/>
      <c r="AX1328" s="78"/>
      <c r="AY1328" s="3"/>
      <c r="AZ1328" s="81"/>
      <c r="BB1328" s="5"/>
      <c r="BC1328" s="5"/>
    </row>
    <row r="1329" spans="1:55" x14ac:dyDescent="0.25">
      <c r="A1329" s="51">
        <v>43122</v>
      </c>
      <c r="B1329" s="54"/>
      <c r="C1329" s="55"/>
      <c r="D1329" s="55"/>
      <c r="E1329" s="55"/>
      <c r="F1329" s="55"/>
      <c r="G1329" s="55"/>
      <c r="H1329" s="55"/>
      <c r="I1329" s="55"/>
      <c r="J1329" s="55"/>
      <c r="K1329" s="55"/>
      <c r="L1329" s="55"/>
      <c r="M1329" s="55"/>
      <c r="N1329" s="55"/>
      <c r="O1329" s="55"/>
      <c r="P1329" s="56"/>
      <c r="AI1329" s="49"/>
      <c r="AJ1329" s="78"/>
      <c r="AK1329" s="78"/>
      <c r="AL1329" s="78"/>
      <c r="AM1329" s="78"/>
      <c r="AN1329" s="78"/>
      <c r="AO1329" s="78"/>
      <c r="AP1329" s="78"/>
      <c r="AQ1329" s="78"/>
      <c r="AR1329" s="78"/>
      <c r="AS1329" s="78"/>
      <c r="AT1329" s="78"/>
      <c r="AU1329" s="78"/>
      <c r="AV1329" s="78"/>
      <c r="AW1329" s="78"/>
      <c r="AX1329" s="78"/>
      <c r="AY1329" s="3"/>
      <c r="AZ1329" s="81"/>
      <c r="BB1329" s="5"/>
      <c r="BC1329" s="5"/>
    </row>
    <row r="1330" spans="1:55" x14ac:dyDescent="0.25">
      <c r="A1330" s="51">
        <v>43123</v>
      </c>
      <c r="B1330" s="54"/>
      <c r="C1330" s="55"/>
      <c r="D1330" s="55"/>
      <c r="E1330" s="55"/>
      <c r="F1330" s="55"/>
      <c r="G1330" s="55"/>
      <c r="H1330" s="55"/>
      <c r="I1330" s="55"/>
      <c r="J1330" s="55"/>
      <c r="K1330" s="55"/>
      <c r="L1330" s="55"/>
      <c r="M1330" s="55"/>
      <c r="N1330" s="55"/>
      <c r="O1330" s="55"/>
      <c r="P1330" s="56"/>
      <c r="AI1330" s="49"/>
      <c r="AJ1330" s="78"/>
      <c r="AK1330" s="78"/>
      <c r="AL1330" s="78"/>
      <c r="AM1330" s="78"/>
      <c r="AN1330" s="78"/>
      <c r="AO1330" s="78"/>
      <c r="AP1330" s="78"/>
      <c r="AQ1330" s="78"/>
      <c r="AR1330" s="78"/>
      <c r="AS1330" s="78"/>
      <c r="AT1330" s="78"/>
      <c r="AU1330" s="78"/>
      <c r="AV1330" s="78"/>
      <c r="AW1330" s="78"/>
      <c r="AX1330" s="78"/>
      <c r="AY1330" s="3"/>
      <c r="AZ1330" s="81"/>
      <c r="BB1330" s="5"/>
      <c r="BC1330" s="5"/>
    </row>
    <row r="1331" spans="1:55" x14ac:dyDescent="0.25">
      <c r="A1331" s="51">
        <v>43124</v>
      </c>
      <c r="B1331" s="54"/>
      <c r="C1331" s="55"/>
      <c r="D1331" s="55"/>
      <c r="E1331" s="55"/>
      <c r="F1331" s="55"/>
      <c r="G1331" s="55"/>
      <c r="H1331" s="55"/>
      <c r="I1331" s="55"/>
      <c r="J1331" s="55"/>
      <c r="K1331" s="55"/>
      <c r="L1331" s="55"/>
      <c r="M1331" s="55"/>
      <c r="N1331" s="55"/>
      <c r="O1331" s="55"/>
      <c r="P1331" s="56"/>
      <c r="AI1331" s="49"/>
      <c r="AJ1331" s="78"/>
      <c r="AK1331" s="78"/>
      <c r="AL1331" s="78"/>
      <c r="AM1331" s="78"/>
      <c r="AN1331" s="78"/>
      <c r="AO1331" s="78"/>
      <c r="AP1331" s="78"/>
      <c r="AQ1331" s="78"/>
      <c r="AR1331" s="78"/>
      <c r="AS1331" s="78"/>
      <c r="AT1331" s="78"/>
      <c r="AU1331" s="78"/>
      <c r="AV1331" s="78"/>
      <c r="AW1331" s="78"/>
      <c r="AX1331" s="78"/>
      <c r="AY1331" s="3"/>
      <c r="AZ1331" s="81"/>
      <c r="BB1331" s="5"/>
      <c r="BC1331" s="5"/>
    </row>
    <row r="1332" spans="1:55" x14ac:dyDescent="0.25">
      <c r="A1332" s="51">
        <v>43125</v>
      </c>
      <c r="B1332" s="54"/>
      <c r="C1332" s="55"/>
      <c r="D1332" s="55"/>
      <c r="E1332" s="55"/>
      <c r="F1332" s="55"/>
      <c r="G1332" s="55"/>
      <c r="H1332" s="55"/>
      <c r="I1332" s="55"/>
      <c r="J1332" s="55"/>
      <c r="K1332" s="55"/>
      <c r="L1332" s="55"/>
      <c r="M1332" s="55"/>
      <c r="N1332" s="55"/>
      <c r="O1332" s="55"/>
      <c r="P1332" s="56"/>
      <c r="AI1332" s="49"/>
      <c r="AJ1332" s="78"/>
      <c r="AK1332" s="78"/>
      <c r="AL1332" s="78"/>
      <c r="AM1332" s="78"/>
      <c r="AN1332" s="78"/>
      <c r="AO1332" s="78"/>
      <c r="AP1332" s="78"/>
      <c r="AQ1332" s="78"/>
      <c r="AR1332" s="78"/>
      <c r="AS1332" s="78"/>
      <c r="AT1332" s="78"/>
      <c r="AU1332" s="78"/>
      <c r="AV1332" s="78"/>
      <c r="AW1332" s="78"/>
      <c r="AX1332" s="78"/>
      <c r="AY1332" s="3"/>
      <c r="AZ1332" s="81"/>
      <c r="BB1332" s="5"/>
      <c r="BC1332" s="5"/>
    </row>
    <row r="1333" spans="1:55" x14ac:dyDescent="0.25">
      <c r="A1333" s="51">
        <v>43126</v>
      </c>
      <c r="B1333" s="54"/>
      <c r="C1333" s="55"/>
      <c r="D1333" s="55"/>
      <c r="E1333" s="55"/>
      <c r="F1333" s="55"/>
      <c r="G1333" s="55"/>
      <c r="H1333" s="55"/>
      <c r="I1333" s="55"/>
      <c r="J1333" s="55"/>
      <c r="K1333" s="55"/>
      <c r="L1333" s="55"/>
      <c r="M1333" s="55"/>
      <c r="N1333" s="55"/>
      <c r="O1333" s="55"/>
      <c r="P1333" s="56"/>
      <c r="AI1333" s="49"/>
      <c r="AJ1333" s="78"/>
      <c r="AK1333" s="78"/>
      <c r="AL1333" s="78"/>
      <c r="AM1333" s="78"/>
      <c r="AN1333" s="78"/>
      <c r="AO1333" s="78"/>
      <c r="AP1333" s="78"/>
      <c r="AQ1333" s="78"/>
      <c r="AR1333" s="78"/>
      <c r="AS1333" s="78"/>
      <c r="AT1333" s="78"/>
      <c r="AU1333" s="78"/>
      <c r="AV1333" s="78"/>
      <c r="AW1333" s="78"/>
      <c r="AX1333" s="78"/>
      <c r="AY1333" s="3"/>
      <c r="AZ1333" s="81"/>
      <c r="BB1333" s="5"/>
      <c r="BC1333" s="5"/>
    </row>
    <row r="1334" spans="1:55" x14ac:dyDescent="0.25">
      <c r="A1334" s="51">
        <v>43129</v>
      </c>
      <c r="B1334" s="54"/>
      <c r="C1334" s="55"/>
      <c r="D1334" s="55"/>
      <c r="E1334" s="55"/>
      <c r="F1334" s="55"/>
      <c r="G1334" s="55"/>
      <c r="H1334" s="55"/>
      <c r="I1334" s="55"/>
      <c r="J1334" s="55"/>
      <c r="K1334" s="55"/>
      <c r="L1334" s="55"/>
      <c r="M1334" s="55"/>
      <c r="N1334" s="55"/>
      <c r="O1334" s="55"/>
      <c r="P1334" s="56"/>
      <c r="AI1334" s="49"/>
      <c r="AJ1334" s="78"/>
      <c r="AK1334" s="78"/>
      <c r="AL1334" s="78"/>
      <c r="AM1334" s="78"/>
      <c r="AN1334" s="78"/>
      <c r="AO1334" s="78"/>
      <c r="AP1334" s="78"/>
      <c r="AQ1334" s="78"/>
      <c r="AR1334" s="78"/>
      <c r="AS1334" s="78"/>
      <c r="AT1334" s="78"/>
      <c r="AU1334" s="78"/>
      <c r="AV1334" s="78"/>
      <c r="AW1334" s="78"/>
      <c r="AX1334" s="78"/>
      <c r="AY1334" s="3"/>
      <c r="AZ1334" s="81"/>
      <c r="BB1334" s="5"/>
      <c r="BC1334" s="5"/>
    </row>
    <row r="1335" spans="1:55" x14ac:dyDescent="0.25">
      <c r="A1335" s="51">
        <v>43130</v>
      </c>
      <c r="B1335" s="54"/>
      <c r="C1335" s="55"/>
      <c r="D1335" s="55"/>
      <c r="E1335" s="55"/>
      <c r="F1335" s="55"/>
      <c r="G1335" s="55"/>
      <c r="H1335" s="55"/>
      <c r="I1335" s="55"/>
      <c r="J1335" s="55"/>
      <c r="K1335" s="55"/>
      <c r="L1335" s="55"/>
      <c r="M1335" s="55"/>
      <c r="N1335" s="55"/>
      <c r="O1335" s="55"/>
      <c r="P1335" s="56"/>
      <c r="AI1335" s="49"/>
      <c r="AJ1335" s="78"/>
      <c r="AK1335" s="78"/>
      <c r="AL1335" s="78"/>
      <c r="AM1335" s="78"/>
      <c r="AN1335" s="78"/>
      <c r="AO1335" s="78"/>
      <c r="AP1335" s="78"/>
      <c r="AQ1335" s="78"/>
      <c r="AR1335" s="78"/>
      <c r="AS1335" s="78"/>
      <c r="AT1335" s="78"/>
      <c r="AU1335" s="78"/>
      <c r="AV1335" s="78"/>
      <c r="AW1335" s="78"/>
      <c r="AX1335" s="78"/>
      <c r="AY1335" s="3"/>
      <c r="AZ1335" s="81"/>
      <c r="BB1335" s="5"/>
      <c r="BC1335" s="5"/>
    </row>
    <row r="1336" spans="1:55" x14ac:dyDescent="0.25">
      <c r="A1336" s="51">
        <v>43131</v>
      </c>
      <c r="B1336" s="54"/>
      <c r="C1336" s="55"/>
      <c r="D1336" s="55"/>
      <c r="E1336" s="55"/>
      <c r="F1336" s="55"/>
      <c r="G1336" s="55"/>
      <c r="H1336" s="55"/>
      <c r="I1336" s="55"/>
      <c r="J1336" s="55"/>
      <c r="K1336" s="55"/>
      <c r="L1336" s="55"/>
      <c r="M1336" s="55"/>
      <c r="N1336" s="55"/>
      <c r="O1336" s="55"/>
      <c r="P1336" s="56"/>
      <c r="AI1336" s="49"/>
      <c r="AJ1336" s="78"/>
      <c r="AK1336" s="78"/>
      <c r="AL1336" s="78"/>
      <c r="AM1336" s="78"/>
      <c r="AN1336" s="78"/>
      <c r="AO1336" s="78"/>
      <c r="AP1336" s="78"/>
      <c r="AQ1336" s="78"/>
      <c r="AR1336" s="78"/>
      <c r="AS1336" s="78"/>
      <c r="AT1336" s="78"/>
      <c r="AU1336" s="78"/>
      <c r="AV1336" s="78"/>
      <c r="AW1336" s="78"/>
      <c r="AX1336" s="78"/>
      <c r="AY1336" s="3"/>
      <c r="AZ1336" s="81"/>
      <c r="BB1336" s="5"/>
      <c r="BC1336" s="5"/>
    </row>
    <row r="1337" spans="1:55" x14ac:dyDescent="0.25">
      <c r="A1337" s="51">
        <v>43132</v>
      </c>
      <c r="B1337" s="54"/>
      <c r="C1337" s="55"/>
      <c r="D1337" s="55"/>
      <c r="E1337" s="55"/>
      <c r="F1337" s="55"/>
      <c r="G1337" s="55"/>
      <c r="H1337" s="55"/>
      <c r="I1337" s="55"/>
      <c r="J1337" s="55"/>
      <c r="K1337" s="55"/>
      <c r="L1337" s="55"/>
      <c r="M1337" s="55"/>
      <c r="N1337" s="55"/>
      <c r="O1337" s="55"/>
      <c r="P1337" s="56"/>
      <c r="AI1337" s="49"/>
      <c r="AJ1337" s="78"/>
      <c r="AK1337" s="78"/>
      <c r="AL1337" s="78"/>
      <c r="AM1337" s="78"/>
      <c r="AN1337" s="78"/>
      <c r="AO1337" s="78"/>
      <c r="AP1337" s="78"/>
      <c r="AQ1337" s="78"/>
      <c r="AR1337" s="78"/>
      <c r="AS1337" s="78"/>
      <c r="AT1337" s="78"/>
      <c r="AU1337" s="78"/>
      <c r="AV1337" s="78"/>
      <c r="AW1337" s="78"/>
      <c r="AX1337" s="78"/>
      <c r="AY1337" s="3"/>
      <c r="AZ1337" s="81"/>
      <c r="BB1337" s="5"/>
      <c r="BC1337" s="5"/>
    </row>
    <row r="1338" spans="1:55" x14ac:dyDescent="0.25">
      <c r="A1338" s="51">
        <v>43133</v>
      </c>
      <c r="B1338" s="54"/>
      <c r="C1338" s="55"/>
      <c r="D1338" s="55"/>
      <c r="E1338" s="55"/>
      <c r="F1338" s="55"/>
      <c r="G1338" s="55"/>
      <c r="H1338" s="55"/>
      <c r="I1338" s="55"/>
      <c r="J1338" s="55"/>
      <c r="K1338" s="55"/>
      <c r="L1338" s="55"/>
      <c r="M1338" s="55"/>
      <c r="N1338" s="55"/>
      <c r="O1338" s="55"/>
      <c r="P1338" s="56"/>
      <c r="AI1338" s="49"/>
      <c r="AJ1338" s="78"/>
      <c r="AK1338" s="78"/>
      <c r="AL1338" s="78"/>
      <c r="AM1338" s="78"/>
      <c r="AN1338" s="78"/>
      <c r="AO1338" s="78"/>
      <c r="AP1338" s="78"/>
      <c r="AQ1338" s="78"/>
      <c r="AR1338" s="78"/>
      <c r="AS1338" s="78"/>
      <c r="AT1338" s="78"/>
      <c r="AU1338" s="78"/>
      <c r="AV1338" s="78"/>
      <c r="AW1338" s="78"/>
      <c r="AX1338" s="78"/>
      <c r="AY1338" s="3"/>
      <c r="AZ1338" s="81"/>
      <c r="BB1338" s="5"/>
      <c r="BC1338" s="5"/>
    </row>
    <row r="1339" spans="1:55" x14ac:dyDescent="0.25">
      <c r="A1339" s="51">
        <v>43136</v>
      </c>
      <c r="B1339" s="54"/>
      <c r="C1339" s="55"/>
      <c r="D1339" s="55"/>
      <c r="E1339" s="55"/>
      <c r="F1339" s="55"/>
      <c r="G1339" s="55"/>
      <c r="H1339" s="55"/>
      <c r="I1339" s="55"/>
      <c r="J1339" s="55"/>
      <c r="K1339" s="55"/>
      <c r="L1339" s="55"/>
      <c r="M1339" s="55"/>
      <c r="N1339" s="55"/>
      <c r="O1339" s="55"/>
      <c r="P1339" s="56"/>
      <c r="AI1339" s="49"/>
      <c r="AJ1339" s="78"/>
      <c r="AK1339" s="78"/>
      <c r="AL1339" s="78"/>
      <c r="AM1339" s="78"/>
      <c r="AN1339" s="78"/>
      <c r="AO1339" s="78"/>
      <c r="AP1339" s="78"/>
      <c r="AQ1339" s="78"/>
      <c r="AR1339" s="78"/>
      <c r="AS1339" s="78"/>
      <c r="AT1339" s="78"/>
      <c r="AU1339" s="78"/>
      <c r="AV1339" s="78"/>
      <c r="AW1339" s="78"/>
      <c r="AX1339" s="78"/>
      <c r="AY1339" s="3"/>
      <c r="AZ1339" s="81"/>
      <c r="BB1339" s="5"/>
      <c r="BC1339" s="5"/>
    </row>
    <row r="1340" spans="1:55" x14ac:dyDescent="0.25">
      <c r="A1340" s="51">
        <v>43137</v>
      </c>
      <c r="B1340" s="54"/>
      <c r="C1340" s="55"/>
      <c r="D1340" s="55"/>
      <c r="E1340" s="55"/>
      <c r="F1340" s="55"/>
      <c r="G1340" s="55"/>
      <c r="H1340" s="55"/>
      <c r="I1340" s="55"/>
      <c r="J1340" s="55"/>
      <c r="K1340" s="55"/>
      <c r="L1340" s="55"/>
      <c r="M1340" s="55"/>
      <c r="N1340" s="55"/>
      <c r="O1340" s="55"/>
      <c r="P1340" s="56"/>
      <c r="AI1340" s="49"/>
      <c r="AJ1340" s="78"/>
      <c r="AK1340" s="78"/>
      <c r="AL1340" s="78"/>
      <c r="AM1340" s="78"/>
      <c r="AN1340" s="78"/>
      <c r="AO1340" s="78"/>
      <c r="AP1340" s="78"/>
      <c r="AQ1340" s="78"/>
      <c r="AR1340" s="78"/>
      <c r="AS1340" s="78"/>
      <c r="AT1340" s="78"/>
      <c r="AU1340" s="78"/>
      <c r="AV1340" s="78"/>
      <c r="AW1340" s="78"/>
      <c r="AX1340" s="78"/>
      <c r="AY1340" s="3"/>
      <c r="AZ1340" s="81"/>
      <c r="BB1340" s="5"/>
      <c r="BC1340" s="5"/>
    </row>
    <row r="1341" spans="1:55" x14ac:dyDescent="0.25">
      <c r="A1341" s="51">
        <v>43138</v>
      </c>
      <c r="B1341" s="54"/>
      <c r="C1341" s="55"/>
      <c r="D1341" s="55"/>
      <c r="E1341" s="55"/>
      <c r="F1341" s="55"/>
      <c r="G1341" s="55"/>
      <c r="H1341" s="55"/>
      <c r="I1341" s="55"/>
      <c r="J1341" s="55"/>
      <c r="K1341" s="55"/>
      <c r="L1341" s="55"/>
      <c r="M1341" s="55"/>
      <c r="N1341" s="55"/>
      <c r="O1341" s="55"/>
      <c r="P1341" s="56"/>
      <c r="AI1341" s="49"/>
      <c r="AJ1341" s="78"/>
      <c r="AK1341" s="78"/>
      <c r="AL1341" s="78"/>
      <c r="AM1341" s="78"/>
      <c r="AN1341" s="78"/>
      <c r="AO1341" s="78"/>
      <c r="AP1341" s="78"/>
      <c r="AQ1341" s="78"/>
      <c r="AR1341" s="78"/>
      <c r="AS1341" s="78"/>
      <c r="AT1341" s="78"/>
      <c r="AU1341" s="78"/>
      <c r="AV1341" s="78"/>
      <c r="AW1341" s="78"/>
      <c r="AX1341" s="78"/>
      <c r="AY1341" s="3"/>
      <c r="AZ1341" s="81"/>
      <c r="BB1341" s="5"/>
      <c r="BC1341" s="5"/>
    </row>
    <row r="1342" spans="1:55" x14ac:dyDescent="0.25">
      <c r="A1342" s="51">
        <v>43139</v>
      </c>
      <c r="B1342" s="54"/>
      <c r="C1342" s="55"/>
      <c r="D1342" s="55"/>
      <c r="E1342" s="55"/>
      <c r="F1342" s="55"/>
      <c r="G1342" s="55"/>
      <c r="H1342" s="55"/>
      <c r="I1342" s="55"/>
      <c r="J1342" s="55"/>
      <c r="K1342" s="55"/>
      <c r="L1342" s="55"/>
      <c r="M1342" s="55"/>
      <c r="N1342" s="55"/>
      <c r="O1342" s="55"/>
      <c r="P1342" s="56"/>
      <c r="AI1342" s="49"/>
      <c r="AJ1342" s="78"/>
      <c r="AK1342" s="78"/>
      <c r="AL1342" s="78"/>
      <c r="AM1342" s="78"/>
      <c r="AN1342" s="78"/>
      <c r="AO1342" s="78"/>
      <c r="AP1342" s="78"/>
      <c r="AQ1342" s="78"/>
      <c r="AR1342" s="78"/>
      <c r="AS1342" s="78"/>
      <c r="AT1342" s="78"/>
      <c r="AU1342" s="78"/>
      <c r="AV1342" s="78"/>
      <c r="AW1342" s="78"/>
      <c r="AX1342" s="78"/>
      <c r="AY1342" s="3"/>
      <c r="AZ1342" s="81"/>
      <c r="BB1342" s="5"/>
      <c r="BC1342" s="5"/>
    </row>
    <row r="1343" spans="1:55" x14ac:dyDescent="0.25">
      <c r="A1343" s="51">
        <v>43140</v>
      </c>
      <c r="B1343" s="54"/>
      <c r="C1343" s="55"/>
      <c r="D1343" s="55"/>
      <c r="E1343" s="55"/>
      <c r="F1343" s="55"/>
      <c r="G1343" s="55"/>
      <c r="H1343" s="55"/>
      <c r="I1343" s="55"/>
      <c r="J1343" s="55"/>
      <c r="K1343" s="55"/>
      <c r="L1343" s="55"/>
      <c r="M1343" s="55"/>
      <c r="N1343" s="55"/>
      <c r="O1343" s="55"/>
      <c r="P1343" s="56"/>
      <c r="AI1343" s="49"/>
      <c r="AJ1343" s="78"/>
      <c r="AK1343" s="78"/>
      <c r="AL1343" s="78"/>
      <c r="AM1343" s="78"/>
      <c r="AN1343" s="78"/>
      <c r="AO1343" s="78"/>
      <c r="AP1343" s="78"/>
      <c r="AQ1343" s="78"/>
      <c r="AR1343" s="78"/>
      <c r="AS1343" s="78"/>
      <c r="AT1343" s="78"/>
      <c r="AU1343" s="78"/>
      <c r="AV1343" s="78"/>
      <c r="AW1343" s="78"/>
      <c r="AX1343" s="78"/>
      <c r="AY1343" s="3"/>
      <c r="AZ1343" s="81"/>
      <c r="BB1343" s="5"/>
      <c r="BC1343" s="5"/>
    </row>
    <row r="1344" spans="1:55" x14ac:dyDescent="0.25">
      <c r="A1344" s="51">
        <v>43143</v>
      </c>
      <c r="B1344" s="54"/>
      <c r="C1344" s="55"/>
      <c r="D1344" s="55"/>
      <c r="E1344" s="55"/>
      <c r="F1344" s="55"/>
      <c r="G1344" s="55"/>
      <c r="H1344" s="55"/>
      <c r="I1344" s="55"/>
      <c r="J1344" s="55"/>
      <c r="K1344" s="55"/>
      <c r="L1344" s="55"/>
      <c r="M1344" s="55"/>
      <c r="N1344" s="55"/>
      <c r="O1344" s="55"/>
      <c r="P1344" s="56"/>
      <c r="AI1344" s="49"/>
      <c r="AJ1344" s="78"/>
      <c r="AK1344" s="78"/>
      <c r="AL1344" s="78"/>
      <c r="AM1344" s="78"/>
      <c r="AN1344" s="78"/>
      <c r="AO1344" s="78"/>
      <c r="AP1344" s="78"/>
      <c r="AQ1344" s="78"/>
      <c r="AR1344" s="78"/>
      <c r="AS1344" s="78"/>
      <c r="AT1344" s="78"/>
      <c r="AU1344" s="78"/>
      <c r="AV1344" s="78"/>
      <c r="AW1344" s="78"/>
      <c r="AX1344" s="78"/>
      <c r="AY1344" s="3"/>
      <c r="AZ1344" s="81"/>
      <c r="BB1344" s="5"/>
      <c r="BC1344" s="5"/>
    </row>
    <row r="1345" spans="1:55" x14ac:dyDescent="0.25">
      <c r="A1345" s="51">
        <v>43144</v>
      </c>
      <c r="B1345" s="54"/>
      <c r="C1345" s="55"/>
      <c r="D1345" s="55"/>
      <c r="E1345" s="55"/>
      <c r="F1345" s="55"/>
      <c r="G1345" s="55"/>
      <c r="H1345" s="55"/>
      <c r="I1345" s="55"/>
      <c r="J1345" s="55"/>
      <c r="K1345" s="55"/>
      <c r="L1345" s="55"/>
      <c r="M1345" s="55"/>
      <c r="N1345" s="55"/>
      <c r="O1345" s="55"/>
      <c r="P1345" s="56"/>
      <c r="AI1345" s="49"/>
      <c r="AJ1345" s="78"/>
      <c r="AK1345" s="78"/>
      <c r="AL1345" s="78"/>
      <c r="AM1345" s="78"/>
      <c r="AN1345" s="78"/>
      <c r="AO1345" s="78"/>
      <c r="AP1345" s="78"/>
      <c r="AQ1345" s="78"/>
      <c r="AR1345" s="78"/>
      <c r="AS1345" s="78"/>
      <c r="AT1345" s="78"/>
      <c r="AU1345" s="78"/>
      <c r="AV1345" s="78"/>
      <c r="AW1345" s="78"/>
      <c r="AX1345" s="78"/>
      <c r="AY1345" s="3"/>
      <c r="AZ1345" s="81"/>
      <c r="BB1345" s="5"/>
      <c r="BC1345" s="5"/>
    </row>
    <row r="1346" spans="1:55" x14ac:dyDescent="0.25">
      <c r="A1346" s="51">
        <v>43145</v>
      </c>
      <c r="B1346" s="54"/>
      <c r="C1346" s="55"/>
      <c r="D1346" s="55"/>
      <c r="E1346" s="55"/>
      <c r="F1346" s="55"/>
      <c r="G1346" s="55"/>
      <c r="H1346" s="55"/>
      <c r="I1346" s="55"/>
      <c r="J1346" s="55"/>
      <c r="K1346" s="55"/>
      <c r="L1346" s="55"/>
      <c r="M1346" s="55"/>
      <c r="N1346" s="55"/>
      <c r="O1346" s="55"/>
      <c r="P1346" s="56"/>
      <c r="AI1346" s="49"/>
      <c r="AJ1346" s="78"/>
      <c r="AK1346" s="78"/>
      <c r="AL1346" s="78"/>
      <c r="AM1346" s="78"/>
      <c r="AN1346" s="78"/>
      <c r="AO1346" s="78"/>
      <c r="AP1346" s="78"/>
      <c r="AQ1346" s="78"/>
      <c r="AR1346" s="78"/>
      <c r="AS1346" s="78"/>
      <c r="AT1346" s="78"/>
      <c r="AU1346" s="78"/>
      <c r="AV1346" s="78"/>
      <c r="AW1346" s="78"/>
      <c r="AX1346" s="78"/>
      <c r="AY1346" s="3"/>
      <c r="AZ1346" s="81"/>
      <c r="BB1346" s="5"/>
      <c r="BC1346" s="5"/>
    </row>
    <row r="1347" spans="1:55" x14ac:dyDescent="0.25">
      <c r="A1347" s="51">
        <v>43146</v>
      </c>
      <c r="B1347" s="54"/>
      <c r="C1347" s="55"/>
      <c r="D1347" s="55"/>
      <c r="E1347" s="55"/>
      <c r="F1347" s="55"/>
      <c r="G1347" s="55"/>
      <c r="H1347" s="55"/>
      <c r="I1347" s="55"/>
      <c r="J1347" s="55"/>
      <c r="K1347" s="55"/>
      <c r="L1347" s="55"/>
      <c r="M1347" s="55"/>
      <c r="N1347" s="55"/>
      <c r="O1347" s="55"/>
      <c r="P1347" s="56"/>
      <c r="AI1347" s="49"/>
      <c r="AJ1347" s="78"/>
      <c r="AK1347" s="78"/>
      <c r="AL1347" s="78"/>
      <c r="AM1347" s="78"/>
      <c r="AN1347" s="78"/>
      <c r="AO1347" s="78"/>
      <c r="AP1347" s="78"/>
      <c r="AQ1347" s="78"/>
      <c r="AR1347" s="78"/>
      <c r="AS1347" s="78"/>
      <c r="AT1347" s="78"/>
      <c r="AU1347" s="78"/>
      <c r="AV1347" s="78"/>
      <c r="AW1347" s="78"/>
      <c r="AX1347" s="78"/>
      <c r="AY1347" s="3"/>
      <c r="AZ1347" s="81"/>
      <c r="BB1347" s="5"/>
      <c r="BC1347" s="5"/>
    </row>
    <row r="1348" spans="1:55" x14ac:dyDescent="0.25">
      <c r="A1348" s="51">
        <v>43147</v>
      </c>
      <c r="B1348" s="54"/>
      <c r="C1348" s="55"/>
      <c r="D1348" s="55"/>
      <c r="E1348" s="55"/>
      <c r="F1348" s="55"/>
      <c r="G1348" s="55"/>
      <c r="H1348" s="55"/>
      <c r="I1348" s="55"/>
      <c r="J1348" s="55"/>
      <c r="K1348" s="55"/>
      <c r="L1348" s="55"/>
      <c r="M1348" s="55"/>
      <c r="N1348" s="55"/>
      <c r="O1348" s="55"/>
      <c r="P1348" s="56"/>
      <c r="AI1348" s="49"/>
      <c r="AJ1348" s="78"/>
      <c r="AK1348" s="78"/>
      <c r="AL1348" s="78"/>
      <c r="AM1348" s="78"/>
      <c r="AN1348" s="78"/>
      <c r="AO1348" s="78"/>
      <c r="AP1348" s="78"/>
      <c r="AQ1348" s="78"/>
      <c r="AR1348" s="78"/>
      <c r="AS1348" s="78"/>
      <c r="AT1348" s="78"/>
      <c r="AU1348" s="78"/>
      <c r="AV1348" s="78"/>
      <c r="AW1348" s="78"/>
      <c r="AX1348" s="78"/>
      <c r="AY1348" s="3"/>
      <c r="AZ1348" s="81"/>
      <c r="BB1348" s="5"/>
      <c r="BC1348" s="5"/>
    </row>
    <row r="1349" spans="1:55" x14ac:dyDescent="0.25">
      <c r="A1349" s="51">
        <v>43150</v>
      </c>
      <c r="B1349" s="54"/>
      <c r="C1349" s="55"/>
      <c r="D1349" s="55"/>
      <c r="E1349" s="55"/>
      <c r="F1349" s="55"/>
      <c r="G1349" s="55"/>
      <c r="H1349" s="55"/>
      <c r="I1349" s="55"/>
      <c r="J1349" s="55"/>
      <c r="K1349" s="55"/>
      <c r="L1349" s="55"/>
      <c r="M1349" s="55"/>
      <c r="N1349" s="55"/>
      <c r="O1349" s="55"/>
      <c r="P1349" s="56"/>
      <c r="AI1349" s="49"/>
      <c r="AJ1349" s="78"/>
      <c r="AK1349" s="78"/>
      <c r="AL1349" s="78"/>
      <c r="AM1349" s="78"/>
      <c r="AN1349" s="78"/>
      <c r="AO1349" s="78"/>
      <c r="AP1349" s="78"/>
      <c r="AQ1349" s="78"/>
      <c r="AR1349" s="78"/>
      <c r="AS1349" s="78"/>
      <c r="AT1349" s="78"/>
      <c r="AU1349" s="78"/>
      <c r="AV1349" s="78"/>
      <c r="AW1349" s="78"/>
      <c r="AX1349" s="78"/>
      <c r="AY1349" s="3"/>
      <c r="AZ1349" s="81"/>
      <c r="BB1349" s="5"/>
      <c r="BC1349" s="5"/>
    </row>
    <row r="1350" spans="1:55" x14ac:dyDescent="0.25">
      <c r="A1350" s="51">
        <v>43151</v>
      </c>
      <c r="B1350" s="54"/>
      <c r="C1350" s="55"/>
      <c r="D1350" s="55"/>
      <c r="E1350" s="55"/>
      <c r="F1350" s="55"/>
      <c r="G1350" s="55"/>
      <c r="H1350" s="55"/>
      <c r="I1350" s="55"/>
      <c r="J1350" s="55"/>
      <c r="K1350" s="55"/>
      <c r="L1350" s="55"/>
      <c r="M1350" s="55"/>
      <c r="N1350" s="55"/>
      <c r="O1350" s="55"/>
      <c r="P1350" s="56"/>
      <c r="AI1350" s="49"/>
      <c r="AJ1350" s="78"/>
      <c r="AK1350" s="78"/>
      <c r="AL1350" s="78"/>
      <c r="AM1350" s="78"/>
      <c r="AN1350" s="78"/>
      <c r="AO1350" s="78"/>
      <c r="AP1350" s="78"/>
      <c r="AQ1350" s="78"/>
      <c r="AR1350" s="78"/>
      <c r="AS1350" s="78"/>
      <c r="AT1350" s="78"/>
      <c r="AU1350" s="78"/>
      <c r="AV1350" s="78"/>
      <c r="AW1350" s="78"/>
      <c r="AX1350" s="78"/>
      <c r="AY1350" s="3"/>
      <c r="AZ1350" s="81"/>
      <c r="BB1350" s="5"/>
      <c r="BC1350" s="5"/>
    </row>
    <row r="1351" spans="1:55" x14ac:dyDescent="0.25">
      <c r="A1351" s="51">
        <v>43152</v>
      </c>
      <c r="B1351" s="54"/>
      <c r="C1351" s="55"/>
      <c r="D1351" s="55"/>
      <c r="E1351" s="55"/>
      <c r="F1351" s="55"/>
      <c r="G1351" s="55"/>
      <c r="H1351" s="55"/>
      <c r="I1351" s="55"/>
      <c r="J1351" s="55"/>
      <c r="K1351" s="55"/>
      <c r="L1351" s="55"/>
      <c r="M1351" s="55"/>
      <c r="N1351" s="55"/>
      <c r="O1351" s="55"/>
      <c r="P1351" s="56"/>
      <c r="AI1351" s="49"/>
      <c r="AJ1351" s="78"/>
      <c r="AK1351" s="78"/>
      <c r="AL1351" s="78"/>
      <c r="AM1351" s="78"/>
      <c r="AN1351" s="78"/>
      <c r="AO1351" s="78"/>
      <c r="AP1351" s="78"/>
      <c r="AQ1351" s="78"/>
      <c r="AR1351" s="78"/>
      <c r="AS1351" s="78"/>
      <c r="AT1351" s="78"/>
      <c r="AU1351" s="78"/>
      <c r="AV1351" s="78"/>
      <c r="AW1351" s="78"/>
      <c r="AX1351" s="78"/>
      <c r="AY1351" s="3"/>
      <c r="AZ1351" s="81"/>
      <c r="BB1351" s="5"/>
      <c r="BC1351" s="5"/>
    </row>
    <row r="1352" spans="1:55" x14ac:dyDescent="0.25">
      <c r="A1352" s="51">
        <v>43153</v>
      </c>
      <c r="B1352" s="54"/>
      <c r="C1352" s="55"/>
      <c r="D1352" s="55"/>
      <c r="E1352" s="55"/>
      <c r="F1352" s="55"/>
      <c r="G1352" s="55"/>
      <c r="H1352" s="55"/>
      <c r="I1352" s="55"/>
      <c r="J1352" s="55"/>
      <c r="K1352" s="55"/>
      <c r="L1352" s="55"/>
      <c r="M1352" s="55"/>
      <c r="N1352" s="55"/>
      <c r="O1352" s="55"/>
      <c r="P1352" s="56"/>
      <c r="AI1352" s="49"/>
      <c r="AJ1352" s="78"/>
      <c r="AK1352" s="78"/>
      <c r="AL1352" s="78"/>
      <c r="AM1352" s="78"/>
      <c r="AN1352" s="78"/>
      <c r="AO1352" s="78"/>
      <c r="AP1352" s="78"/>
      <c r="AQ1352" s="78"/>
      <c r="AR1352" s="78"/>
      <c r="AS1352" s="78"/>
      <c r="AT1352" s="78"/>
      <c r="AU1352" s="78"/>
      <c r="AV1352" s="78"/>
      <c r="AW1352" s="78"/>
      <c r="AX1352" s="78"/>
      <c r="AY1352" s="3"/>
      <c r="AZ1352" s="81"/>
      <c r="BB1352" s="5"/>
      <c r="BC1352" s="5"/>
    </row>
    <row r="1353" spans="1:55" x14ac:dyDescent="0.25">
      <c r="A1353" s="51">
        <v>43154</v>
      </c>
      <c r="B1353" s="54"/>
      <c r="C1353" s="55"/>
      <c r="D1353" s="55"/>
      <c r="E1353" s="55"/>
      <c r="F1353" s="55"/>
      <c r="G1353" s="55"/>
      <c r="H1353" s="55"/>
      <c r="I1353" s="55"/>
      <c r="J1353" s="55"/>
      <c r="K1353" s="55"/>
      <c r="L1353" s="55"/>
      <c r="M1353" s="55"/>
      <c r="N1353" s="55"/>
      <c r="O1353" s="55"/>
      <c r="P1353" s="56"/>
      <c r="AI1353" s="49"/>
      <c r="AJ1353" s="78"/>
      <c r="AK1353" s="78"/>
      <c r="AL1353" s="78"/>
      <c r="AM1353" s="78"/>
      <c r="AN1353" s="78"/>
      <c r="AO1353" s="78"/>
      <c r="AP1353" s="78"/>
      <c r="AQ1353" s="78"/>
      <c r="AR1353" s="78"/>
      <c r="AS1353" s="78"/>
      <c r="AT1353" s="78"/>
      <c r="AU1353" s="78"/>
      <c r="AV1353" s="78"/>
      <c r="AW1353" s="78"/>
      <c r="AX1353" s="78"/>
      <c r="AY1353" s="3"/>
      <c r="AZ1353" s="81"/>
      <c r="BB1353" s="5"/>
      <c r="BC1353" s="5"/>
    </row>
    <row r="1354" spans="1:55" x14ac:dyDescent="0.25">
      <c r="A1354" s="51">
        <v>43157</v>
      </c>
      <c r="B1354" s="54"/>
      <c r="C1354" s="55"/>
      <c r="D1354" s="55"/>
      <c r="E1354" s="55"/>
      <c r="F1354" s="55"/>
      <c r="G1354" s="55"/>
      <c r="H1354" s="55"/>
      <c r="I1354" s="55"/>
      <c r="J1354" s="55"/>
      <c r="K1354" s="55"/>
      <c r="L1354" s="55"/>
      <c r="M1354" s="55"/>
      <c r="N1354" s="55"/>
      <c r="O1354" s="55"/>
      <c r="P1354" s="56"/>
      <c r="AI1354" s="49"/>
      <c r="AJ1354" s="78"/>
      <c r="AK1354" s="78"/>
      <c r="AL1354" s="78"/>
      <c r="AM1354" s="78"/>
      <c r="AN1354" s="78"/>
      <c r="AO1354" s="78"/>
      <c r="AP1354" s="78"/>
      <c r="AQ1354" s="78"/>
      <c r="AR1354" s="78"/>
      <c r="AS1354" s="78"/>
      <c r="AT1354" s="78"/>
      <c r="AU1354" s="78"/>
      <c r="AV1354" s="78"/>
      <c r="AW1354" s="78"/>
      <c r="AX1354" s="78"/>
      <c r="AY1354" s="3"/>
      <c r="AZ1354" s="81"/>
      <c r="BB1354" s="5"/>
      <c r="BC1354" s="5"/>
    </row>
    <row r="1355" spans="1:55" x14ac:dyDescent="0.25">
      <c r="A1355" s="51">
        <v>43158</v>
      </c>
      <c r="B1355" s="54"/>
      <c r="C1355" s="55"/>
      <c r="D1355" s="55"/>
      <c r="E1355" s="55"/>
      <c r="F1355" s="55"/>
      <c r="G1355" s="55"/>
      <c r="H1355" s="55"/>
      <c r="I1355" s="55"/>
      <c r="J1355" s="55"/>
      <c r="K1355" s="55"/>
      <c r="L1355" s="55"/>
      <c r="M1355" s="55"/>
      <c r="N1355" s="55"/>
      <c r="O1355" s="55"/>
      <c r="P1355" s="56"/>
      <c r="AI1355" s="49"/>
      <c r="AJ1355" s="78"/>
      <c r="AK1355" s="78"/>
      <c r="AL1355" s="78"/>
      <c r="AM1355" s="78"/>
      <c r="AN1355" s="78"/>
      <c r="AO1355" s="78"/>
      <c r="AP1355" s="78"/>
      <c r="AQ1355" s="78"/>
      <c r="AR1355" s="78"/>
      <c r="AS1355" s="78"/>
      <c r="AT1355" s="78"/>
      <c r="AU1355" s="78"/>
      <c r="AV1355" s="78"/>
      <c r="AW1355" s="78"/>
      <c r="AX1355" s="78"/>
      <c r="AY1355" s="3"/>
      <c r="AZ1355" s="81"/>
      <c r="BB1355" s="5"/>
      <c r="BC1355" s="5"/>
    </row>
    <row r="1356" spans="1:55" x14ac:dyDescent="0.25">
      <c r="A1356" s="51">
        <v>43159</v>
      </c>
      <c r="B1356" s="54"/>
      <c r="C1356" s="55"/>
      <c r="D1356" s="55"/>
      <c r="E1356" s="55"/>
      <c r="F1356" s="55"/>
      <c r="G1356" s="55"/>
      <c r="H1356" s="55"/>
      <c r="I1356" s="55"/>
      <c r="J1356" s="55"/>
      <c r="K1356" s="55"/>
      <c r="L1356" s="55"/>
      <c r="M1356" s="55"/>
      <c r="N1356" s="55"/>
      <c r="O1356" s="55"/>
      <c r="P1356" s="56"/>
      <c r="AI1356" s="49"/>
      <c r="AJ1356" s="78"/>
      <c r="AK1356" s="78"/>
      <c r="AL1356" s="78"/>
      <c r="AM1356" s="78"/>
      <c r="AN1356" s="78"/>
      <c r="AO1356" s="78"/>
      <c r="AP1356" s="78"/>
      <c r="AQ1356" s="78"/>
      <c r="AR1356" s="78"/>
      <c r="AS1356" s="78"/>
      <c r="AT1356" s="78"/>
      <c r="AU1356" s="78"/>
      <c r="AV1356" s="78"/>
      <c r="AW1356" s="78"/>
      <c r="AX1356" s="78"/>
      <c r="AY1356" s="3"/>
      <c r="AZ1356" s="81"/>
      <c r="BB1356" s="5"/>
      <c r="BC1356" s="5"/>
    </row>
    <row r="1357" spans="1:55" x14ac:dyDescent="0.25">
      <c r="A1357" s="51">
        <v>43160</v>
      </c>
      <c r="B1357" s="54"/>
      <c r="C1357" s="55"/>
      <c r="D1357" s="55"/>
      <c r="E1357" s="55"/>
      <c r="F1357" s="55"/>
      <c r="G1357" s="55"/>
      <c r="H1357" s="55"/>
      <c r="I1357" s="55"/>
      <c r="J1357" s="55"/>
      <c r="K1357" s="55"/>
      <c r="L1357" s="55"/>
      <c r="M1357" s="55"/>
      <c r="N1357" s="55"/>
      <c r="O1357" s="55"/>
      <c r="P1357" s="56"/>
      <c r="AI1357" s="49"/>
      <c r="AJ1357" s="78"/>
      <c r="AK1357" s="78"/>
      <c r="AL1357" s="78"/>
      <c r="AM1357" s="78"/>
      <c r="AN1357" s="78"/>
      <c r="AO1357" s="78"/>
      <c r="AP1357" s="78"/>
      <c r="AQ1357" s="78"/>
      <c r="AR1357" s="78"/>
      <c r="AS1357" s="78"/>
      <c r="AT1357" s="78"/>
      <c r="AU1357" s="78"/>
      <c r="AV1357" s="78"/>
      <c r="AW1357" s="78"/>
      <c r="AX1357" s="78"/>
      <c r="AY1357" s="3"/>
      <c r="AZ1357" s="81"/>
      <c r="BB1357" s="5"/>
      <c r="BC1357" s="5"/>
    </row>
    <row r="1358" spans="1:55" x14ac:dyDescent="0.25">
      <c r="A1358" s="51">
        <v>43161</v>
      </c>
      <c r="B1358" s="54"/>
      <c r="C1358" s="55"/>
      <c r="D1358" s="55"/>
      <c r="E1358" s="55"/>
      <c r="F1358" s="55"/>
      <c r="G1358" s="55"/>
      <c r="H1358" s="55"/>
      <c r="I1358" s="55"/>
      <c r="J1358" s="55"/>
      <c r="K1358" s="55"/>
      <c r="L1358" s="55"/>
      <c r="M1358" s="55"/>
      <c r="N1358" s="55"/>
      <c r="O1358" s="55"/>
      <c r="P1358" s="56"/>
      <c r="AI1358" s="49"/>
      <c r="AJ1358" s="78"/>
      <c r="AK1358" s="78"/>
      <c r="AL1358" s="78"/>
      <c r="AM1358" s="78"/>
      <c r="AN1358" s="78"/>
      <c r="AO1358" s="78"/>
      <c r="AP1358" s="78"/>
      <c r="AQ1358" s="78"/>
      <c r="AR1358" s="78"/>
      <c r="AS1358" s="78"/>
      <c r="AT1358" s="78"/>
      <c r="AU1358" s="78"/>
      <c r="AV1358" s="78"/>
      <c r="AW1358" s="78"/>
      <c r="AX1358" s="78"/>
      <c r="AY1358" s="3"/>
      <c r="AZ1358" s="81"/>
      <c r="BB1358" s="5"/>
      <c r="BC1358" s="5"/>
    </row>
    <row r="1359" spans="1:55" x14ac:dyDescent="0.25">
      <c r="A1359" s="51">
        <v>43164</v>
      </c>
      <c r="B1359" s="54"/>
      <c r="C1359" s="55"/>
      <c r="D1359" s="55"/>
      <c r="E1359" s="55"/>
      <c r="F1359" s="55"/>
      <c r="G1359" s="55"/>
      <c r="H1359" s="55"/>
      <c r="I1359" s="55"/>
      <c r="J1359" s="55"/>
      <c r="K1359" s="55"/>
      <c r="L1359" s="55"/>
      <c r="M1359" s="55"/>
      <c r="N1359" s="55"/>
      <c r="O1359" s="55"/>
      <c r="P1359" s="56"/>
      <c r="AI1359" s="49"/>
      <c r="AJ1359" s="78"/>
      <c r="AK1359" s="78"/>
      <c r="AL1359" s="78"/>
      <c r="AM1359" s="78"/>
      <c r="AN1359" s="78"/>
      <c r="AO1359" s="78"/>
      <c r="AP1359" s="78"/>
      <c r="AQ1359" s="78"/>
      <c r="AR1359" s="78"/>
      <c r="AS1359" s="78"/>
      <c r="AT1359" s="78"/>
      <c r="AU1359" s="78"/>
      <c r="AV1359" s="78"/>
      <c r="AW1359" s="78"/>
      <c r="AX1359" s="78"/>
      <c r="AY1359" s="3"/>
      <c r="AZ1359" s="81"/>
      <c r="BB1359" s="5"/>
      <c r="BC1359" s="5"/>
    </row>
    <row r="1360" spans="1:55" x14ac:dyDescent="0.25">
      <c r="A1360" s="51">
        <v>43165</v>
      </c>
      <c r="B1360" s="54"/>
      <c r="C1360" s="55"/>
      <c r="D1360" s="55"/>
      <c r="E1360" s="55"/>
      <c r="F1360" s="55"/>
      <c r="G1360" s="55"/>
      <c r="H1360" s="55"/>
      <c r="I1360" s="55"/>
      <c r="J1360" s="55"/>
      <c r="K1360" s="55"/>
      <c r="L1360" s="55"/>
      <c r="M1360" s="55"/>
      <c r="N1360" s="55"/>
      <c r="O1360" s="55"/>
      <c r="P1360" s="56"/>
      <c r="AI1360" s="49"/>
      <c r="AJ1360" s="78"/>
      <c r="AK1360" s="78"/>
      <c r="AL1360" s="78"/>
      <c r="AM1360" s="78"/>
      <c r="AN1360" s="78"/>
      <c r="AO1360" s="78"/>
      <c r="AP1360" s="78"/>
      <c r="AQ1360" s="78"/>
      <c r="AR1360" s="78"/>
      <c r="AS1360" s="78"/>
      <c r="AT1360" s="78"/>
      <c r="AU1360" s="78"/>
      <c r="AV1360" s="78"/>
      <c r="AW1360" s="78"/>
      <c r="AX1360" s="78"/>
      <c r="AY1360" s="3"/>
      <c r="AZ1360" s="81"/>
      <c r="BB1360" s="5"/>
      <c r="BC1360" s="5"/>
    </row>
    <row r="1361" spans="1:55" x14ac:dyDescent="0.25">
      <c r="A1361" s="51">
        <v>43166</v>
      </c>
      <c r="B1361" s="54"/>
      <c r="C1361" s="55"/>
      <c r="D1361" s="55"/>
      <c r="E1361" s="55"/>
      <c r="F1361" s="55"/>
      <c r="G1361" s="55"/>
      <c r="H1361" s="55"/>
      <c r="I1361" s="55"/>
      <c r="J1361" s="55"/>
      <c r="K1361" s="55"/>
      <c r="L1361" s="55"/>
      <c r="M1361" s="55"/>
      <c r="N1361" s="55"/>
      <c r="O1361" s="55"/>
      <c r="P1361" s="56"/>
      <c r="AI1361" s="49"/>
      <c r="AJ1361" s="78"/>
      <c r="AK1361" s="78"/>
      <c r="AL1361" s="78"/>
      <c r="AM1361" s="78"/>
      <c r="AN1361" s="78"/>
      <c r="AO1361" s="78"/>
      <c r="AP1361" s="78"/>
      <c r="AQ1361" s="78"/>
      <c r="AR1361" s="78"/>
      <c r="AS1361" s="78"/>
      <c r="AT1361" s="78"/>
      <c r="AU1361" s="78"/>
      <c r="AV1361" s="78"/>
      <c r="AW1361" s="78"/>
      <c r="AX1361" s="78"/>
      <c r="AY1361" s="3"/>
      <c r="AZ1361" s="81"/>
      <c r="BB1361" s="5"/>
      <c r="BC1361" s="5"/>
    </row>
    <row r="1362" spans="1:55" x14ac:dyDescent="0.25">
      <c r="A1362" s="51">
        <v>43167</v>
      </c>
      <c r="B1362" s="54"/>
      <c r="C1362" s="55"/>
      <c r="D1362" s="55"/>
      <c r="E1362" s="55"/>
      <c r="F1362" s="55"/>
      <c r="G1362" s="55"/>
      <c r="H1362" s="55"/>
      <c r="I1362" s="55"/>
      <c r="J1362" s="55"/>
      <c r="K1362" s="55"/>
      <c r="L1362" s="55"/>
      <c r="M1362" s="55"/>
      <c r="N1362" s="55"/>
      <c r="O1362" s="55"/>
      <c r="P1362" s="56"/>
      <c r="AI1362" s="49"/>
      <c r="AJ1362" s="78"/>
      <c r="AK1362" s="78"/>
      <c r="AL1362" s="78"/>
      <c r="AM1362" s="78"/>
      <c r="AN1362" s="78"/>
      <c r="AO1362" s="78"/>
      <c r="AP1362" s="78"/>
      <c r="AQ1362" s="78"/>
      <c r="AR1362" s="78"/>
      <c r="AS1362" s="78"/>
      <c r="AT1362" s="78"/>
      <c r="AU1362" s="78"/>
      <c r="AV1362" s="78"/>
      <c r="AW1362" s="78"/>
      <c r="AX1362" s="78"/>
      <c r="AY1362" s="3"/>
      <c r="AZ1362" s="81"/>
      <c r="BB1362" s="5"/>
      <c r="BC1362" s="5"/>
    </row>
    <row r="1363" spans="1:55" x14ac:dyDescent="0.25">
      <c r="A1363" s="51">
        <v>43168</v>
      </c>
      <c r="B1363" s="54"/>
      <c r="C1363" s="55"/>
      <c r="D1363" s="55"/>
      <c r="E1363" s="55"/>
      <c r="F1363" s="55"/>
      <c r="G1363" s="55"/>
      <c r="H1363" s="55"/>
      <c r="I1363" s="55"/>
      <c r="J1363" s="55"/>
      <c r="K1363" s="55"/>
      <c r="L1363" s="55"/>
      <c r="M1363" s="55"/>
      <c r="N1363" s="55"/>
      <c r="O1363" s="55"/>
      <c r="P1363" s="56"/>
      <c r="AI1363" s="49"/>
      <c r="AJ1363" s="78"/>
      <c r="AK1363" s="78"/>
      <c r="AL1363" s="78"/>
      <c r="AM1363" s="78"/>
      <c r="AN1363" s="78"/>
      <c r="AO1363" s="78"/>
      <c r="AP1363" s="78"/>
      <c r="AQ1363" s="78"/>
      <c r="AR1363" s="78"/>
      <c r="AS1363" s="78"/>
      <c r="AT1363" s="78"/>
      <c r="AU1363" s="78"/>
      <c r="AV1363" s="78"/>
      <c r="AW1363" s="78"/>
      <c r="AX1363" s="78"/>
      <c r="AY1363" s="3"/>
      <c r="AZ1363" s="81"/>
      <c r="BB1363" s="5"/>
      <c r="BC1363" s="5"/>
    </row>
    <row r="1364" spans="1:55" x14ac:dyDescent="0.25">
      <c r="A1364" s="51">
        <v>43171</v>
      </c>
      <c r="B1364" s="54"/>
      <c r="C1364" s="55"/>
      <c r="D1364" s="55"/>
      <c r="E1364" s="55"/>
      <c r="F1364" s="55"/>
      <c r="G1364" s="55"/>
      <c r="H1364" s="55"/>
      <c r="I1364" s="55"/>
      <c r="J1364" s="55"/>
      <c r="K1364" s="55"/>
      <c r="L1364" s="55"/>
      <c r="M1364" s="55"/>
      <c r="N1364" s="55"/>
      <c r="O1364" s="55"/>
      <c r="P1364" s="56"/>
      <c r="AI1364" s="49"/>
      <c r="AJ1364" s="78"/>
      <c r="AK1364" s="78"/>
      <c r="AL1364" s="78"/>
      <c r="AM1364" s="78"/>
      <c r="AN1364" s="78"/>
      <c r="AO1364" s="78"/>
      <c r="AP1364" s="78"/>
      <c r="AQ1364" s="78"/>
      <c r="AR1364" s="78"/>
      <c r="AS1364" s="78"/>
      <c r="AT1364" s="78"/>
      <c r="AU1364" s="78"/>
      <c r="AV1364" s="78"/>
      <c r="AW1364" s="78"/>
      <c r="AX1364" s="78"/>
      <c r="AY1364" s="3"/>
      <c r="AZ1364" s="81"/>
      <c r="BB1364" s="5"/>
      <c r="BC1364" s="5"/>
    </row>
    <row r="1365" spans="1:55" x14ac:dyDescent="0.25">
      <c r="A1365" s="51">
        <v>43172</v>
      </c>
      <c r="B1365" s="54"/>
      <c r="C1365" s="55"/>
      <c r="D1365" s="55"/>
      <c r="E1365" s="55"/>
      <c r="F1365" s="55"/>
      <c r="G1365" s="55"/>
      <c r="H1365" s="55"/>
      <c r="I1365" s="55"/>
      <c r="J1365" s="55"/>
      <c r="K1365" s="55"/>
      <c r="L1365" s="55"/>
      <c r="M1365" s="55"/>
      <c r="N1365" s="55"/>
      <c r="O1365" s="55"/>
      <c r="P1365" s="56"/>
      <c r="AI1365" s="49"/>
      <c r="AJ1365" s="78"/>
      <c r="AK1365" s="78"/>
      <c r="AL1365" s="78"/>
      <c r="AM1365" s="78"/>
      <c r="AN1365" s="78"/>
      <c r="AO1365" s="78"/>
      <c r="AP1365" s="78"/>
      <c r="AQ1365" s="78"/>
      <c r="AR1365" s="78"/>
      <c r="AS1365" s="78"/>
      <c r="AT1365" s="78"/>
      <c r="AU1365" s="78"/>
      <c r="AV1365" s="78"/>
      <c r="AW1365" s="78"/>
      <c r="AX1365" s="78"/>
      <c r="AY1365" s="3"/>
      <c r="AZ1365" s="81"/>
      <c r="BB1365" s="5"/>
      <c r="BC1365" s="5"/>
    </row>
    <row r="1366" spans="1:55" x14ac:dyDescent="0.25">
      <c r="A1366" s="51">
        <v>43173</v>
      </c>
      <c r="B1366" s="54"/>
      <c r="C1366" s="55"/>
      <c r="D1366" s="55"/>
      <c r="E1366" s="55"/>
      <c r="F1366" s="55"/>
      <c r="G1366" s="55"/>
      <c r="H1366" s="55"/>
      <c r="I1366" s="55"/>
      <c r="J1366" s="55"/>
      <c r="K1366" s="55"/>
      <c r="L1366" s="55"/>
      <c r="M1366" s="55"/>
      <c r="N1366" s="55"/>
      <c r="O1366" s="55"/>
      <c r="P1366" s="56"/>
      <c r="AI1366" s="49"/>
      <c r="AJ1366" s="78"/>
      <c r="AK1366" s="78"/>
      <c r="AL1366" s="78"/>
      <c r="AM1366" s="78"/>
      <c r="AN1366" s="78"/>
      <c r="AO1366" s="78"/>
      <c r="AP1366" s="78"/>
      <c r="AQ1366" s="78"/>
      <c r="AR1366" s="78"/>
      <c r="AS1366" s="78"/>
      <c r="AT1366" s="78"/>
      <c r="AU1366" s="78"/>
      <c r="AV1366" s="78"/>
      <c r="AW1366" s="78"/>
      <c r="AX1366" s="78"/>
      <c r="AY1366" s="3"/>
      <c r="AZ1366" s="81"/>
      <c r="BB1366" s="5"/>
      <c r="BC1366" s="5"/>
    </row>
    <row r="1367" spans="1:55" x14ac:dyDescent="0.25">
      <c r="A1367" s="51">
        <v>43174</v>
      </c>
      <c r="B1367" s="54"/>
      <c r="C1367" s="55"/>
      <c r="D1367" s="55"/>
      <c r="E1367" s="55"/>
      <c r="F1367" s="55"/>
      <c r="G1367" s="55"/>
      <c r="H1367" s="55"/>
      <c r="I1367" s="55"/>
      <c r="J1367" s="55"/>
      <c r="K1367" s="55"/>
      <c r="L1367" s="55"/>
      <c r="M1367" s="55"/>
      <c r="N1367" s="55"/>
      <c r="O1367" s="55"/>
      <c r="P1367" s="56"/>
      <c r="AI1367" s="49"/>
      <c r="AJ1367" s="78"/>
      <c r="AK1367" s="78"/>
      <c r="AL1367" s="78"/>
      <c r="AM1367" s="78"/>
      <c r="AN1367" s="78"/>
      <c r="AO1367" s="78"/>
      <c r="AP1367" s="78"/>
      <c r="AQ1367" s="78"/>
      <c r="AR1367" s="78"/>
      <c r="AS1367" s="78"/>
      <c r="AT1367" s="78"/>
      <c r="AU1367" s="78"/>
      <c r="AV1367" s="78"/>
      <c r="AW1367" s="78"/>
      <c r="AX1367" s="78"/>
      <c r="AY1367" s="3"/>
      <c r="AZ1367" s="81"/>
      <c r="BB1367" s="5"/>
      <c r="BC1367" s="5"/>
    </row>
    <row r="1368" spans="1:55" x14ac:dyDescent="0.25">
      <c r="A1368" s="51">
        <v>43175</v>
      </c>
      <c r="B1368" s="54"/>
      <c r="C1368" s="55"/>
      <c r="D1368" s="55"/>
      <c r="E1368" s="55"/>
      <c r="F1368" s="55"/>
      <c r="G1368" s="55"/>
      <c r="H1368" s="55"/>
      <c r="I1368" s="55"/>
      <c r="J1368" s="55"/>
      <c r="K1368" s="55"/>
      <c r="L1368" s="55"/>
      <c r="M1368" s="55"/>
      <c r="N1368" s="55"/>
      <c r="O1368" s="55"/>
      <c r="P1368" s="56"/>
      <c r="AI1368" s="49"/>
      <c r="AJ1368" s="78"/>
      <c r="AK1368" s="78"/>
      <c r="AL1368" s="78"/>
      <c r="AM1368" s="78"/>
      <c r="AN1368" s="78"/>
      <c r="AO1368" s="78"/>
      <c r="AP1368" s="78"/>
      <c r="AQ1368" s="78"/>
      <c r="AR1368" s="78"/>
      <c r="AS1368" s="78"/>
      <c r="AT1368" s="78"/>
      <c r="AU1368" s="78"/>
      <c r="AV1368" s="78"/>
      <c r="AW1368" s="78"/>
      <c r="AX1368" s="78"/>
      <c r="AY1368" s="3"/>
      <c r="AZ1368" s="81"/>
      <c r="BB1368" s="5"/>
      <c r="BC1368" s="5"/>
    </row>
    <row r="1369" spans="1:55" x14ac:dyDescent="0.25">
      <c r="A1369" s="51">
        <v>43178</v>
      </c>
      <c r="B1369" s="54"/>
      <c r="C1369" s="55"/>
      <c r="D1369" s="55"/>
      <c r="E1369" s="55"/>
      <c r="F1369" s="55"/>
      <c r="G1369" s="55"/>
      <c r="H1369" s="55"/>
      <c r="I1369" s="55"/>
      <c r="J1369" s="55"/>
      <c r="K1369" s="55"/>
      <c r="L1369" s="55"/>
      <c r="M1369" s="55"/>
      <c r="N1369" s="55"/>
      <c r="O1369" s="55"/>
      <c r="P1369" s="56"/>
      <c r="AI1369" s="49"/>
      <c r="AJ1369" s="78"/>
      <c r="AK1369" s="78"/>
      <c r="AL1369" s="78"/>
      <c r="AM1369" s="78"/>
      <c r="AN1369" s="78"/>
      <c r="AO1369" s="78"/>
      <c r="AP1369" s="78"/>
      <c r="AQ1369" s="78"/>
      <c r="AR1369" s="78"/>
      <c r="AS1369" s="78"/>
      <c r="AT1369" s="78"/>
      <c r="AU1369" s="78"/>
      <c r="AV1369" s="78"/>
      <c r="AW1369" s="78"/>
      <c r="AX1369" s="78"/>
      <c r="AY1369" s="3"/>
      <c r="AZ1369" s="81"/>
      <c r="BB1369" s="5"/>
      <c r="BC1369" s="5"/>
    </row>
    <row r="1370" spans="1:55" x14ac:dyDescent="0.25">
      <c r="A1370" s="51">
        <v>43179</v>
      </c>
      <c r="B1370" s="54"/>
      <c r="C1370" s="55"/>
      <c r="D1370" s="55"/>
      <c r="E1370" s="55"/>
      <c r="F1370" s="55"/>
      <c r="G1370" s="55"/>
      <c r="H1370" s="55"/>
      <c r="I1370" s="55"/>
      <c r="J1370" s="55"/>
      <c r="K1370" s="55"/>
      <c r="L1370" s="55"/>
      <c r="M1370" s="55"/>
      <c r="N1370" s="55"/>
      <c r="O1370" s="55"/>
      <c r="P1370" s="56"/>
      <c r="AI1370" s="49"/>
      <c r="AJ1370" s="78"/>
      <c r="AK1370" s="78"/>
      <c r="AL1370" s="78"/>
      <c r="AM1370" s="78"/>
      <c r="AN1370" s="78"/>
      <c r="AO1370" s="78"/>
      <c r="AP1370" s="78"/>
      <c r="AQ1370" s="78"/>
      <c r="AR1370" s="78"/>
      <c r="AS1370" s="78"/>
      <c r="AT1370" s="78"/>
      <c r="AU1370" s="78"/>
      <c r="AV1370" s="78"/>
      <c r="AW1370" s="78"/>
      <c r="AX1370" s="78"/>
      <c r="AY1370" s="3"/>
      <c r="AZ1370" s="81"/>
      <c r="BB1370" s="5"/>
      <c r="BC1370" s="5"/>
    </row>
    <row r="1371" spans="1:55" x14ac:dyDescent="0.25">
      <c r="A1371" s="51">
        <v>43180</v>
      </c>
      <c r="B1371" s="54"/>
      <c r="C1371" s="55"/>
      <c r="D1371" s="55"/>
      <c r="E1371" s="55"/>
      <c r="F1371" s="55"/>
      <c r="G1371" s="55"/>
      <c r="H1371" s="55"/>
      <c r="I1371" s="55"/>
      <c r="J1371" s="55"/>
      <c r="K1371" s="55"/>
      <c r="L1371" s="55"/>
      <c r="M1371" s="55"/>
      <c r="N1371" s="55"/>
      <c r="O1371" s="55"/>
      <c r="P1371" s="56"/>
      <c r="AI1371" s="49"/>
      <c r="AJ1371" s="78"/>
      <c r="AK1371" s="78"/>
      <c r="AL1371" s="78"/>
      <c r="AM1371" s="78"/>
      <c r="AN1371" s="78"/>
      <c r="AO1371" s="78"/>
      <c r="AP1371" s="78"/>
      <c r="AQ1371" s="78"/>
      <c r="AR1371" s="78"/>
      <c r="AS1371" s="78"/>
      <c r="AT1371" s="78"/>
      <c r="AU1371" s="78"/>
      <c r="AV1371" s="78"/>
      <c r="AW1371" s="78"/>
      <c r="AX1371" s="78"/>
      <c r="AY1371" s="3"/>
      <c r="AZ1371" s="81"/>
      <c r="BB1371" s="5"/>
      <c r="BC1371" s="5"/>
    </row>
    <row r="1372" spans="1:55" x14ac:dyDescent="0.25">
      <c r="A1372" s="51">
        <v>43181</v>
      </c>
      <c r="B1372" s="54"/>
      <c r="C1372" s="55"/>
      <c r="D1372" s="55"/>
      <c r="E1372" s="55"/>
      <c r="F1372" s="55"/>
      <c r="G1372" s="55"/>
      <c r="H1372" s="55"/>
      <c r="I1372" s="55"/>
      <c r="J1372" s="55"/>
      <c r="K1372" s="55"/>
      <c r="L1372" s="55"/>
      <c r="M1372" s="55"/>
      <c r="N1372" s="55"/>
      <c r="O1372" s="55"/>
      <c r="P1372" s="56"/>
      <c r="AI1372" s="49"/>
      <c r="AJ1372" s="78"/>
      <c r="AK1372" s="78"/>
      <c r="AL1372" s="78"/>
      <c r="AM1372" s="78"/>
      <c r="AN1372" s="78"/>
      <c r="AO1372" s="78"/>
      <c r="AP1372" s="78"/>
      <c r="AQ1372" s="78"/>
      <c r="AR1372" s="78"/>
      <c r="AS1372" s="78"/>
      <c r="AT1372" s="78"/>
      <c r="AU1372" s="78"/>
      <c r="AV1372" s="78"/>
      <c r="AW1372" s="78"/>
      <c r="AX1372" s="78"/>
      <c r="AY1372" s="3"/>
      <c r="AZ1372" s="81"/>
      <c r="BB1372" s="5"/>
      <c r="BC1372" s="5"/>
    </row>
    <row r="1373" spans="1:55" x14ac:dyDescent="0.25">
      <c r="A1373" s="51">
        <v>43182</v>
      </c>
      <c r="B1373" s="54"/>
      <c r="C1373" s="55"/>
      <c r="D1373" s="55"/>
      <c r="E1373" s="55"/>
      <c r="F1373" s="55"/>
      <c r="G1373" s="55"/>
      <c r="H1373" s="55"/>
      <c r="I1373" s="55"/>
      <c r="J1373" s="55"/>
      <c r="K1373" s="55"/>
      <c r="L1373" s="55"/>
      <c r="M1373" s="55"/>
      <c r="N1373" s="55"/>
      <c r="O1373" s="55"/>
      <c r="P1373" s="56"/>
      <c r="AI1373" s="49"/>
      <c r="AJ1373" s="78"/>
      <c r="AK1373" s="78"/>
      <c r="AL1373" s="78"/>
      <c r="AM1373" s="78"/>
      <c r="AN1373" s="78"/>
      <c r="AO1373" s="78"/>
      <c r="AP1373" s="78"/>
      <c r="AQ1373" s="78"/>
      <c r="AR1373" s="78"/>
      <c r="AS1373" s="78"/>
      <c r="AT1373" s="78"/>
      <c r="AU1373" s="78"/>
      <c r="AV1373" s="78"/>
      <c r="AW1373" s="78"/>
      <c r="AX1373" s="78"/>
      <c r="AY1373" s="3"/>
      <c r="AZ1373" s="81"/>
      <c r="BB1373" s="5"/>
      <c r="BC1373" s="5"/>
    </row>
    <row r="1374" spans="1:55" x14ac:dyDescent="0.25">
      <c r="A1374" s="51">
        <v>43185</v>
      </c>
      <c r="B1374" s="54"/>
      <c r="C1374" s="55"/>
      <c r="D1374" s="55"/>
      <c r="E1374" s="55"/>
      <c r="F1374" s="55"/>
      <c r="G1374" s="55"/>
      <c r="H1374" s="55"/>
      <c r="I1374" s="55"/>
      <c r="J1374" s="55"/>
      <c r="K1374" s="55"/>
      <c r="L1374" s="55"/>
      <c r="M1374" s="55"/>
      <c r="N1374" s="55"/>
      <c r="O1374" s="55"/>
      <c r="P1374" s="56"/>
      <c r="AI1374" s="49"/>
      <c r="AJ1374" s="78"/>
      <c r="AK1374" s="78"/>
      <c r="AL1374" s="78"/>
      <c r="AM1374" s="78"/>
      <c r="AN1374" s="78"/>
      <c r="AO1374" s="78"/>
      <c r="AP1374" s="78"/>
      <c r="AQ1374" s="78"/>
      <c r="AR1374" s="78"/>
      <c r="AS1374" s="78"/>
      <c r="AT1374" s="78"/>
      <c r="AU1374" s="78"/>
      <c r="AV1374" s="78"/>
      <c r="AW1374" s="78"/>
      <c r="AX1374" s="78"/>
      <c r="AY1374" s="3"/>
      <c r="AZ1374" s="81"/>
      <c r="BB1374" s="5"/>
      <c r="BC1374" s="5"/>
    </row>
    <row r="1375" spans="1:55" x14ac:dyDescent="0.25">
      <c r="A1375" s="51">
        <v>43186</v>
      </c>
      <c r="B1375" s="54"/>
      <c r="C1375" s="55"/>
      <c r="D1375" s="55"/>
      <c r="E1375" s="55"/>
      <c r="F1375" s="55"/>
      <c r="G1375" s="55"/>
      <c r="H1375" s="55"/>
      <c r="I1375" s="55"/>
      <c r="J1375" s="55"/>
      <c r="K1375" s="55"/>
      <c r="L1375" s="55"/>
      <c r="M1375" s="55"/>
      <c r="N1375" s="55"/>
      <c r="O1375" s="55"/>
      <c r="P1375" s="56"/>
      <c r="AI1375" s="49"/>
      <c r="AJ1375" s="78"/>
      <c r="AK1375" s="78"/>
      <c r="AL1375" s="78"/>
      <c r="AM1375" s="78"/>
      <c r="AN1375" s="78"/>
      <c r="AO1375" s="78"/>
      <c r="AP1375" s="78"/>
      <c r="AQ1375" s="78"/>
      <c r="AR1375" s="78"/>
      <c r="AS1375" s="78"/>
      <c r="AT1375" s="78"/>
      <c r="AU1375" s="78"/>
      <c r="AV1375" s="78"/>
      <c r="AW1375" s="78"/>
      <c r="AX1375" s="78"/>
      <c r="AY1375" s="3"/>
      <c r="AZ1375" s="81"/>
      <c r="BB1375" s="5"/>
      <c r="BC1375" s="5"/>
    </row>
    <row r="1376" spans="1:55" x14ac:dyDescent="0.25">
      <c r="A1376" s="51">
        <v>43187</v>
      </c>
      <c r="B1376" s="54"/>
      <c r="C1376" s="55"/>
      <c r="D1376" s="55"/>
      <c r="E1376" s="55"/>
      <c r="F1376" s="55"/>
      <c r="G1376" s="55"/>
      <c r="H1376" s="55"/>
      <c r="I1376" s="55"/>
      <c r="J1376" s="55"/>
      <c r="K1376" s="55"/>
      <c r="L1376" s="55"/>
      <c r="M1376" s="55"/>
      <c r="N1376" s="55"/>
      <c r="O1376" s="55"/>
      <c r="P1376" s="56"/>
      <c r="AI1376" s="49"/>
      <c r="AJ1376" s="78"/>
      <c r="AK1376" s="78"/>
      <c r="AL1376" s="78"/>
      <c r="AM1376" s="78"/>
      <c r="AN1376" s="78"/>
      <c r="AO1376" s="78"/>
      <c r="AP1376" s="78"/>
      <c r="AQ1376" s="78"/>
      <c r="AR1376" s="78"/>
      <c r="AS1376" s="78"/>
      <c r="AT1376" s="78"/>
      <c r="AU1376" s="78"/>
      <c r="AV1376" s="78"/>
      <c r="AW1376" s="78"/>
      <c r="AX1376" s="78"/>
      <c r="AY1376" s="3"/>
      <c r="AZ1376" s="81"/>
      <c r="BB1376" s="5"/>
      <c r="BC1376" s="5"/>
    </row>
    <row r="1377" spans="1:55" x14ac:dyDescent="0.25">
      <c r="A1377" s="51">
        <v>43192</v>
      </c>
      <c r="B1377" s="54"/>
      <c r="C1377" s="55"/>
      <c r="D1377" s="55"/>
      <c r="E1377" s="55"/>
      <c r="F1377" s="55"/>
      <c r="G1377" s="55"/>
      <c r="H1377" s="55"/>
      <c r="I1377" s="55"/>
      <c r="J1377" s="55"/>
      <c r="K1377" s="55"/>
      <c r="L1377" s="55"/>
      <c r="M1377" s="55"/>
      <c r="N1377" s="55"/>
      <c r="O1377" s="55"/>
      <c r="P1377" s="56"/>
      <c r="AI1377" s="49"/>
      <c r="AJ1377" s="78"/>
      <c r="AK1377" s="78"/>
      <c r="AL1377" s="78"/>
      <c r="AM1377" s="78"/>
      <c r="AN1377" s="78"/>
      <c r="AO1377" s="78"/>
      <c r="AP1377" s="78"/>
      <c r="AQ1377" s="78"/>
      <c r="AR1377" s="78"/>
      <c r="AS1377" s="78"/>
      <c r="AT1377" s="78"/>
      <c r="AU1377" s="78"/>
      <c r="AV1377" s="78"/>
      <c r="AW1377" s="78"/>
      <c r="AX1377" s="78"/>
      <c r="AY1377" s="3"/>
      <c r="AZ1377" s="81"/>
      <c r="BB1377" s="5"/>
      <c r="BC1377" s="5"/>
    </row>
    <row r="1378" spans="1:55" x14ac:dyDescent="0.25">
      <c r="A1378" s="51">
        <v>43193</v>
      </c>
      <c r="B1378" s="54"/>
      <c r="C1378" s="55"/>
      <c r="D1378" s="55"/>
      <c r="E1378" s="55"/>
      <c r="F1378" s="55"/>
      <c r="G1378" s="55"/>
      <c r="H1378" s="55"/>
      <c r="I1378" s="55"/>
      <c r="J1378" s="55"/>
      <c r="K1378" s="55"/>
      <c r="L1378" s="55"/>
      <c r="M1378" s="55"/>
      <c r="N1378" s="55"/>
      <c r="O1378" s="55"/>
      <c r="P1378" s="56"/>
      <c r="AI1378" s="49"/>
      <c r="AJ1378" s="78"/>
      <c r="AK1378" s="78"/>
      <c r="AL1378" s="78"/>
      <c r="AM1378" s="78"/>
      <c r="AN1378" s="78"/>
      <c r="AO1378" s="78"/>
      <c r="AP1378" s="78"/>
      <c r="AQ1378" s="78"/>
      <c r="AR1378" s="78"/>
      <c r="AS1378" s="78"/>
      <c r="AT1378" s="78"/>
      <c r="AU1378" s="78"/>
      <c r="AV1378" s="78"/>
      <c r="AW1378" s="78"/>
      <c r="AX1378" s="78"/>
      <c r="AY1378" s="3"/>
      <c r="AZ1378" s="81"/>
      <c r="BB1378" s="5"/>
      <c r="BC1378" s="5"/>
    </row>
    <row r="1379" spans="1:55" x14ac:dyDescent="0.25">
      <c r="A1379" s="51">
        <v>43194</v>
      </c>
      <c r="B1379" s="54"/>
      <c r="C1379" s="55"/>
      <c r="D1379" s="55"/>
      <c r="E1379" s="55"/>
      <c r="F1379" s="55"/>
      <c r="G1379" s="55"/>
      <c r="H1379" s="55"/>
      <c r="I1379" s="55"/>
      <c r="J1379" s="55"/>
      <c r="K1379" s="55"/>
      <c r="L1379" s="55"/>
      <c r="M1379" s="55"/>
      <c r="N1379" s="55"/>
      <c r="O1379" s="55"/>
      <c r="P1379" s="56"/>
      <c r="AI1379" s="49"/>
      <c r="AJ1379" s="78"/>
      <c r="AK1379" s="78"/>
      <c r="AL1379" s="78"/>
      <c r="AM1379" s="78"/>
      <c r="AN1379" s="78"/>
      <c r="AO1379" s="78"/>
      <c r="AP1379" s="78"/>
      <c r="AQ1379" s="78"/>
      <c r="AR1379" s="78"/>
      <c r="AS1379" s="78"/>
      <c r="AT1379" s="78"/>
      <c r="AU1379" s="78"/>
      <c r="AV1379" s="78"/>
      <c r="AW1379" s="78"/>
      <c r="AX1379" s="78"/>
      <c r="AY1379" s="3"/>
      <c r="AZ1379" s="81"/>
      <c r="BB1379" s="5"/>
      <c r="BC1379" s="5"/>
    </row>
    <row r="1380" spans="1:55" x14ac:dyDescent="0.25">
      <c r="A1380" s="51">
        <v>43195</v>
      </c>
      <c r="B1380" s="54"/>
      <c r="C1380" s="55"/>
      <c r="D1380" s="55"/>
      <c r="E1380" s="55"/>
      <c r="F1380" s="55"/>
      <c r="G1380" s="55"/>
      <c r="H1380" s="55"/>
      <c r="I1380" s="55"/>
      <c r="J1380" s="55"/>
      <c r="K1380" s="55"/>
      <c r="L1380" s="55"/>
      <c r="M1380" s="55"/>
      <c r="N1380" s="55"/>
      <c r="O1380" s="55"/>
      <c r="P1380" s="56"/>
      <c r="AI1380" s="49"/>
      <c r="AJ1380" s="78"/>
      <c r="AK1380" s="78"/>
      <c r="AL1380" s="78"/>
      <c r="AM1380" s="78"/>
      <c r="AN1380" s="78"/>
      <c r="AO1380" s="78"/>
      <c r="AP1380" s="78"/>
      <c r="AQ1380" s="78"/>
      <c r="AR1380" s="78"/>
      <c r="AS1380" s="78"/>
      <c r="AT1380" s="78"/>
      <c r="AU1380" s="78"/>
      <c r="AV1380" s="78"/>
      <c r="AW1380" s="78"/>
      <c r="AX1380" s="78"/>
      <c r="AY1380" s="3"/>
      <c r="AZ1380" s="81"/>
      <c r="BB1380" s="5"/>
      <c r="BC1380" s="5"/>
    </row>
    <row r="1381" spans="1:55" x14ac:dyDescent="0.25">
      <c r="A1381" s="51">
        <v>43196</v>
      </c>
      <c r="B1381" s="54"/>
      <c r="C1381" s="55"/>
      <c r="D1381" s="55"/>
      <c r="E1381" s="55"/>
      <c r="F1381" s="55"/>
      <c r="G1381" s="55"/>
      <c r="H1381" s="55"/>
      <c r="I1381" s="55"/>
      <c r="J1381" s="55"/>
      <c r="K1381" s="55"/>
      <c r="L1381" s="55"/>
      <c r="M1381" s="55"/>
      <c r="N1381" s="55"/>
      <c r="O1381" s="55"/>
      <c r="P1381" s="56"/>
      <c r="AI1381" s="49"/>
      <c r="AJ1381" s="78"/>
      <c r="AK1381" s="78"/>
      <c r="AL1381" s="78"/>
      <c r="AM1381" s="78"/>
      <c r="AN1381" s="78"/>
      <c r="AO1381" s="78"/>
      <c r="AP1381" s="78"/>
      <c r="AQ1381" s="78"/>
      <c r="AR1381" s="78"/>
      <c r="AS1381" s="78"/>
      <c r="AT1381" s="78"/>
      <c r="AU1381" s="78"/>
      <c r="AV1381" s="78"/>
      <c r="AW1381" s="78"/>
      <c r="AX1381" s="78"/>
      <c r="AY1381" s="3"/>
      <c r="AZ1381" s="81"/>
      <c r="BB1381" s="5"/>
      <c r="BC1381" s="5"/>
    </row>
    <row r="1382" spans="1:55" x14ac:dyDescent="0.25">
      <c r="A1382" s="51">
        <v>43199</v>
      </c>
      <c r="B1382" s="54"/>
      <c r="C1382" s="55"/>
      <c r="D1382" s="55"/>
      <c r="E1382" s="55"/>
      <c r="F1382" s="55"/>
      <c r="G1382" s="55"/>
      <c r="H1382" s="55"/>
      <c r="I1382" s="55"/>
      <c r="J1382" s="55"/>
      <c r="K1382" s="55"/>
      <c r="L1382" s="55"/>
      <c r="M1382" s="55"/>
      <c r="N1382" s="55"/>
      <c r="O1382" s="55"/>
      <c r="P1382" s="56"/>
      <c r="AI1382" s="49"/>
      <c r="AJ1382" s="78"/>
      <c r="AK1382" s="78"/>
      <c r="AL1382" s="78"/>
      <c r="AM1382" s="78"/>
      <c r="AN1382" s="78"/>
      <c r="AO1382" s="78"/>
      <c r="AP1382" s="78"/>
      <c r="AQ1382" s="78"/>
      <c r="AR1382" s="78"/>
      <c r="AS1382" s="78"/>
      <c r="AT1382" s="78"/>
      <c r="AU1382" s="78"/>
      <c r="AV1382" s="78"/>
      <c r="AW1382" s="78"/>
      <c r="AX1382" s="78"/>
      <c r="AY1382" s="3"/>
      <c r="AZ1382" s="81"/>
      <c r="BB1382" s="5"/>
      <c r="BC1382" s="5"/>
    </row>
    <row r="1383" spans="1:55" x14ac:dyDescent="0.25">
      <c r="A1383" s="51">
        <v>43200</v>
      </c>
      <c r="B1383" s="54"/>
      <c r="C1383" s="55"/>
      <c r="D1383" s="55"/>
      <c r="E1383" s="55"/>
      <c r="F1383" s="55"/>
      <c r="G1383" s="55"/>
      <c r="H1383" s="55"/>
      <c r="I1383" s="55"/>
      <c r="J1383" s="55"/>
      <c r="K1383" s="55"/>
      <c r="L1383" s="55"/>
      <c r="M1383" s="55"/>
      <c r="N1383" s="55"/>
      <c r="O1383" s="55"/>
      <c r="P1383" s="56"/>
      <c r="AI1383" s="49"/>
      <c r="AJ1383" s="78"/>
      <c r="AK1383" s="78"/>
      <c r="AL1383" s="78"/>
      <c r="AM1383" s="78"/>
      <c r="AN1383" s="78"/>
      <c r="AO1383" s="78"/>
      <c r="AP1383" s="78"/>
      <c r="AQ1383" s="78"/>
      <c r="AR1383" s="78"/>
      <c r="AS1383" s="78"/>
      <c r="AT1383" s="78"/>
      <c r="AU1383" s="78"/>
      <c r="AV1383" s="78"/>
      <c r="AW1383" s="78"/>
      <c r="AX1383" s="78"/>
      <c r="AY1383" s="3"/>
      <c r="AZ1383" s="81"/>
      <c r="BB1383" s="5"/>
      <c r="BC1383" s="5"/>
    </row>
    <row r="1384" spans="1:55" x14ac:dyDescent="0.25">
      <c r="A1384" s="51">
        <v>43201</v>
      </c>
      <c r="B1384" s="54"/>
      <c r="C1384" s="55"/>
      <c r="D1384" s="55"/>
      <c r="E1384" s="55"/>
      <c r="F1384" s="55"/>
      <c r="G1384" s="55"/>
      <c r="H1384" s="55"/>
      <c r="I1384" s="55"/>
      <c r="J1384" s="55"/>
      <c r="K1384" s="55"/>
      <c r="L1384" s="55"/>
      <c r="M1384" s="55"/>
      <c r="N1384" s="55"/>
      <c r="O1384" s="55"/>
      <c r="P1384" s="56"/>
      <c r="AI1384" s="49"/>
      <c r="AJ1384" s="78"/>
      <c r="AK1384" s="78"/>
      <c r="AL1384" s="78"/>
      <c r="AM1384" s="78"/>
      <c r="AN1384" s="78"/>
      <c r="AO1384" s="78"/>
      <c r="AP1384" s="78"/>
      <c r="AQ1384" s="78"/>
      <c r="AR1384" s="78"/>
      <c r="AS1384" s="78"/>
      <c r="AT1384" s="78"/>
      <c r="AU1384" s="78"/>
      <c r="AV1384" s="78"/>
      <c r="AW1384" s="78"/>
      <c r="AX1384" s="78"/>
      <c r="AY1384" s="3"/>
      <c r="AZ1384" s="81"/>
      <c r="BB1384" s="5"/>
      <c r="BC1384" s="5"/>
    </row>
    <row r="1385" spans="1:55" x14ac:dyDescent="0.25">
      <c r="A1385" s="51">
        <v>43202</v>
      </c>
      <c r="B1385" s="54"/>
      <c r="C1385" s="55"/>
      <c r="D1385" s="55"/>
      <c r="E1385" s="55"/>
      <c r="F1385" s="55"/>
      <c r="G1385" s="55"/>
      <c r="H1385" s="55"/>
      <c r="I1385" s="55"/>
      <c r="J1385" s="55"/>
      <c r="K1385" s="55"/>
      <c r="L1385" s="55"/>
      <c r="M1385" s="55"/>
      <c r="N1385" s="55"/>
      <c r="O1385" s="55"/>
      <c r="P1385" s="56"/>
      <c r="AI1385" s="49"/>
      <c r="AJ1385" s="78"/>
      <c r="AK1385" s="78"/>
      <c r="AL1385" s="78"/>
      <c r="AM1385" s="78"/>
      <c r="AN1385" s="78"/>
      <c r="AO1385" s="78"/>
      <c r="AP1385" s="78"/>
      <c r="AQ1385" s="78"/>
      <c r="AR1385" s="78"/>
      <c r="AS1385" s="78"/>
      <c r="AT1385" s="78"/>
      <c r="AU1385" s="78"/>
      <c r="AV1385" s="78"/>
      <c r="AW1385" s="78"/>
      <c r="AX1385" s="78"/>
      <c r="AY1385" s="3"/>
      <c r="AZ1385" s="81"/>
      <c r="BB1385" s="5"/>
      <c r="BC1385" s="5"/>
    </row>
    <row r="1386" spans="1:55" x14ac:dyDescent="0.25">
      <c r="A1386" s="51">
        <v>43206</v>
      </c>
      <c r="B1386" s="54"/>
      <c r="C1386" s="55"/>
      <c r="D1386" s="55"/>
      <c r="E1386" s="55"/>
      <c r="F1386" s="55"/>
      <c r="G1386" s="55"/>
      <c r="H1386" s="55"/>
      <c r="I1386" s="55"/>
      <c r="J1386" s="55"/>
      <c r="K1386" s="55"/>
      <c r="L1386" s="55"/>
      <c r="M1386" s="55"/>
      <c r="N1386" s="55"/>
      <c r="O1386" s="55"/>
      <c r="P1386" s="56"/>
      <c r="AI1386" s="49"/>
      <c r="AJ1386" s="78"/>
      <c r="AK1386" s="78"/>
      <c r="AL1386" s="78"/>
      <c r="AM1386" s="78"/>
      <c r="AN1386" s="78"/>
      <c r="AO1386" s="78"/>
      <c r="AP1386" s="78"/>
      <c r="AQ1386" s="78"/>
      <c r="AR1386" s="78"/>
      <c r="AS1386" s="78"/>
      <c r="AT1386" s="78"/>
      <c r="AU1386" s="78"/>
      <c r="AV1386" s="78"/>
      <c r="AW1386" s="78"/>
      <c r="AX1386" s="78"/>
      <c r="AY1386" s="3"/>
      <c r="AZ1386" s="81"/>
      <c r="BB1386" s="5"/>
      <c r="BC1386" s="5"/>
    </row>
    <row r="1387" spans="1:55" x14ac:dyDescent="0.25">
      <c r="A1387" s="51">
        <v>43207</v>
      </c>
      <c r="B1387" s="54"/>
      <c r="C1387" s="55"/>
      <c r="D1387" s="55"/>
      <c r="E1387" s="55"/>
      <c r="F1387" s="55"/>
      <c r="G1387" s="55"/>
      <c r="H1387" s="55"/>
      <c r="I1387" s="55"/>
      <c r="J1387" s="55"/>
      <c r="K1387" s="55"/>
      <c r="L1387" s="55"/>
      <c r="M1387" s="55"/>
      <c r="N1387" s="55"/>
      <c r="O1387" s="55"/>
      <c r="P1387" s="56"/>
      <c r="AI1387" s="49"/>
      <c r="AJ1387" s="78"/>
      <c r="AK1387" s="78"/>
      <c r="AL1387" s="78"/>
      <c r="AM1387" s="78"/>
      <c r="AN1387" s="78"/>
      <c r="AO1387" s="78"/>
      <c r="AP1387" s="78"/>
      <c r="AQ1387" s="78"/>
      <c r="AR1387" s="78"/>
      <c r="AS1387" s="78"/>
      <c r="AT1387" s="78"/>
      <c r="AU1387" s="78"/>
      <c r="AV1387" s="78"/>
      <c r="AW1387" s="78"/>
      <c r="AX1387" s="78"/>
      <c r="AY1387" s="3"/>
      <c r="AZ1387" s="81"/>
      <c r="BB1387" s="5"/>
      <c r="BC1387" s="5"/>
    </row>
    <row r="1388" spans="1:55" x14ac:dyDescent="0.25">
      <c r="A1388" s="51">
        <v>43208</v>
      </c>
      <c r="B1388" s="54"/>
      <c r="C1388" s="55"/>
      <c r="D1388" s="55"/>
      <c r="E1388" s="55"/>
      <c r="F1388" s="55"/>
      <c r="G1388" s="55"/>
      <c r="H1388" s="55"/>
      <c r="I1388" s="55"/>
      <c r="J1388" s="55"/>
      <c r="K1388" s="55"/>
      <c r="L1388" s="55"/>
      <c r="M1388" s="55"/>
      <c r="N1388" s="55"/>
      <c r="O1388" s="55"/>
      <c r="P1388" s="56"/>
      <c r="AI1388" s="49"/>
      <c r="AJ1388" s="78"/>
      <c r="AK1388" s="78"/>
      <c r="AL1388" s="78"/>
      <c r="AM1388" s="78"/>
      <c r="AN1388" s="78"/>
      <c r="AO1388" s="78"/>
      <c r="AP1388" s="78"/>
      <c r="AQ1388" s="78"/>
      <c r="AR1388" s="78"/>
      <c r="AS1388" s="78"/>
      <c r="AT1388" s="78"/>
      <c r="AU1388" s="78"/>
      <c r="AV1388" s="78"/>
      <c r="AW1388" s="78"/>
      <c r="AX1388" s="78"/>
      <c r="AY1388" s="3"/>
      <c r="AZ1388" s="81"/>
      <c r="BB1388" s="5"/>
      <c r="BC1388" s="5"/>
    </row>
    <row r="1389" spans="1:55" x14ac:dyDescent="0.25">
      <c r="A1389" s="51">
        <v>43209</v>
      </c>
      <c r="B1389" s="54"/>
      <c r="C1389" s="55"/>
      <c r="D1389" s="55"/>
      <c r="E1389" s="55"/>
      <c r="F1389" s="55"/>
      <c r="G1389" s="55"/>
      <c r="H1389" s="55"/>
      <c r="I1389" s="55"/>
      <c r="J1389" s="55"/>
      <c r="K1389" s="55"/>
      <c r="L1389" s="55"/>
      <c r="M1389" s="55"/>
      <c r="N1389" s="55"/>
      <c r="O1389" s="55"/>
      <c r="P1389" s="56"/>
      <c r="AI1389" s="49"/>
      <c r="AJ1389" s="78"/>
      <c r="AK1389" s="78"/>
      <c r="AL1389" s="78"/>
      <c r="AM1389" s="78"/>
      <c r="AN1389" s="78"/>
      <c r="AO1389" s="78"/>
      <c r="AP1389" s="78"/>
      <c r="AQ1389" s="78"/>
      <c r="AR1389" s="78"/>
      <c r="AS1389" s="78"/>
      <c r="AT1389" s="78"/>
      <c r="AU1389" s="78"/>
      <c r="AV1389" s="78"/>
      <c r="AW1389" s="78"/>
      <c r="AX1389" s="78"/>
      <c r="AY1389" s="3"/>
      <c r="AZ1389" s="81"/>
      <c r="BB1389" s="5"/>
      <c r="BC1389" s="5"/>
    </row>
    <row r="1390" spans="1:55" x14ac:dyDescent="0.25">
      <c r="A1390" s="51">
        <v>43210</v>
      </c>
      <c r="B1390" s="54"/>
      <c r="C1390" s="55"/>
      <c r="D1390" s="55"/>
      <c r="E1390" s="55"/>
      <c r="F1390" s="55"/>
      <c r="G1390" s="55"/>
      <c r="H1390" s="55"/>
      <c r="I1390" s="55"/>
      <c r="J1390" s="55"/>
      <c r="K1390" s="55"/>
      <c r="L1390" s="55"/>
      <c r="M1390" s="55"/>
      <c r="N1390" s="55"/>
      <c r="O1390" s="55"/>
      <c r="P1390" s="56"/>
      <c r="AI1390" s="49"/>
      <c r="AJ1390" s="78"/>
      <c r="AK1390" s="78"/>
      <c r="AL1390" s="78"/>
      <c r="AM1390" s="78"/>
      <c r="AN1390" s="78"/>
      <c r="AO1390" s="78"/>
      <c r="AP1390" s="78"/>
      <c r="AQ1390" s="78"/>
      <c r="AR1390" s="78"/>
      <c r="AS1390" s="78"/>
      <c r="AT1390" s="78"/>
      <c r="AU1390" s="78"/>
      <c r="AV1390" s="78"/>
      <c r="AW1390" s="78"/>
      <c r="AX1390" s="78"/>
      <c r="AY1390" s="3"/>
      <c r="AZ1390" s="81"/>
      <c r="BB1390" s="5"/>
      <c r="BC1390" s="5"/>
    </row>
    <row r="1391" spans="1:55" x14ac:dyDescent="0.25">
      <c r="A1391" s="51">
        <v>43213</v>
      </c>
      <c r="B1391" s="54"/>
      <c r="C1391" s="55"/>
      <c r="D1391" s="55"/>
      <c r="E1391" s="55"/>
      <c r="F1391" s="55"/>
      <c r="G1391" s="55"/>
      <c r="H1391" s="55"/>
      <c r="I1391" s="55"/>
      <c r="J1391" s="55"/>
      <c r="K1391" s="55"/>
      <c r="L1391" s="55"/>
      <c r="M1391" s="55"/>
      <c r="N1391" s="55"/>
      <c r="O1391" s="55"/>
      <c r="P1391" s="56"/>
      <c r="AI1391" s="49"/>
      <c r="AJ1391" s="78"/>
      <c r="AK1391" s="78"/>
      <c r="AL1391" s="78"/>
      <c r="AM1391" s="78"/>
      <c r="AN1391" s="78"/>
      <c r="AO1391" s="78"/>
      <c r="AP1391" s="78"/>
      <c r="AQ1391" s="78"/>
      <c r="AR1391" s="78"/>
      <c r="AS1391" s="78"/>
      <c r="AT1391" s="78"/>
      <c r="AU1391" s="78"/>
      <c r="AV1391" s="78"/>
      <c r="AW1391" s="78"/>
      <c r="AX1391" s="78"/>
      <c r="AY1391" s="3"/>
      <c r="AZ1391" s="81"/>
      <c r="BB1391" s="5"/>
      <c r="BC1391" s="5"/>
    </row>
    <row r="1392" spans="1:55" x14ac:dyDescent="0.25">
      <c r="A1392" s="51">
        <v>43214</v>
      </c>
      <c r="B1392" s="54"/>
      <c r="C1392" s="55"/>
      <c r="D1392" s="55"/>
      <c r="E1392" s="55"/>
      <c r="F1392" s="55"/>
      <c r="G1392" s="55"/>
      <c r="H1392" s="55"/>
      <c r="I1392" s="55"/>
      <c r="J1392" s="55"/>
      <c r="K1392" s="55"/>
      <c r="L1392" s="55"/>
      <c r="M1392" s="55"/>
      <c r="N1392" s="55"/>
      <c r="O1392" s="55"/>
      <c r="P1392" s="56"/>
      <c r="AI1392" s="49"/>
      <c r="AJ1392" s="78"/>
      <c r="AK1392" s="78"/>
      <c r="AL1392" s="78"/>
      <c r="AM1392" s="78"/>
      <c r="AN1392" s="78"/>
      <c r="AO1392" s="78"/>
      <c r="AP1392" s="78"/>
      <c r="AQ1392" s="78"/>
      <c r="AR1392" s="78"/>
      <c r="AS1392" s="78"/>
      <c r="AT1392" s="78"/>
      <c r="AU1392" s="78"/>
      <c r="AV1392" s="78"/>
      <c r="AW1392" s="78"/>
      <c r="AX1392" s="78"/>
      <c r="AY1392" s="3"/>
      <c r="AZ1392" s="81"/>
      <c r="BB1392" s="5"/>
      <c r="BC1392" s="5"/>
    </row>
    <row r="1393" spans="1:55" x14ac:dyDescent="0.25">
      <c r="A1393" s="51">
        <v>43215</v>
      </c>
      <c r="B1393" s="54"/>
      <c r="C1393" s="55"/>
      <c r="D1393" s="55"/>
      <c r="E1393" s="55"/>
      <c r="F1393" s="55"/>
      <c r="G1393" s="55"/>
      <c r="H1393" s="55"/>
      <c r="I1393" s="55"/>
      <c r="J1393" s="55"/>
      <c r="K1393" s="55"/>
      <c r="L1393" s="55"/>
      <c r="M1393" s="55"/>
      <c r="N1393" s="55"/>
      <c r="O1393" s="55"/>
      <c r="P1393" s="56"/>
      <c r="AI1393" s="49"/>
      <c r="AJ1393" s="78"/>
      <c r="AK1393" s="78"/>
      <c r="AL1393" s="78"/>
      <c r="AM1393" s="78"/>
      <c r="AN1393" s="78"/>
      <c r="AO1393" s="78"/>
      <c r="AP1393" s="78"/>
      <c r="AQ1393" s="78"/>
      <c r="AR1393" s="78"/>
      <c r="AS1393" s="78"/>
      <c r="AT1393" s="78"/>
      <c r="AU1393" s="78"/>
      <c r="AV1393" s="78"/>
      <c r="AW1393" s="78"/>
      <c r="AX1393" s="78"/>
      <c r="AY1393" s="3"/>
      <c r="AZ1393" s="81"/>
      <c r="BB1393" s="5"/>
      <c r="BC1393" s="5"/>
    </row>
    <row r="1394" spans="1:55" x14ac:dyDescent="0.25">
      <c r="A1394" s="51">
        <v>43216</v>
      </c>
      <c r="B1394" s="54"/>
      <c r="C1394" s="55"/>
      <c r="D1394" s="55"/>
      <c r="E1394" s="55"/>
      <c r="F1394" s="55"/>
      <c r="G1394" s="55"/>
      <c r="H1394" s="55"/>
      <c r="I1394" s="55"/>
      <c r="J1394" s="55"/>
      <c r="K1394" s="55"/>
      <c r="L1394" s="55"/>
      <c r="M1394" s="55"/>
      <c r="N1394" s="55"/>
      <c r="O1394" s="55"/>
      <c r="P1394" s="56"/>
      <c r="AI1394" s="49"/>
      <c r="AJ1394" s="78"/>
      <c r="AK1394" s="78"/>
      <c r="AL1394" s="78"/>
      <c r="AM1394" s="78"/>
      <c r="AN1394" s="78"/>
      <c r="AO1394" s="78"/>
      <c r="AP1394" s="78"/>
      <c r="AQ1394" s="78"/>
      <c r="AR1394" s="78"/>
      <c r="AS1394" s="78"/>
      <c r="AT1394" s="78"/>
      <c r="AU1394" s="78"/>
      <c r="AV1394" s="78"/>
      <c r="AW1394" s="78"/>
      <c r="AX1394" s="78"/>
      <c r="AY1394" s="3"/>
      <c r="AZ1394" s="81"/>
      <c r="BB1394" s="5"/>
      <c r="BC1394" s="5"/>
    </row>
    <row r="1395" spans="1:55" x14ac:dyDescent="0.25">
      <c r="A1395" s="51">
        <v>43217</v>
      </c>
      <c r="B1395" s="54"/>
      <c r="C1395" s="55"/>
      <c r="D1395" s="55"/>
      <c r="E1395" s="55"/>
      <c r="F1395" s="55"/>
      <c r="G1395" s="55"/>
      <c r="H1395" s="55"/>
      <c r="I1395" s="55"/>
      <c r="J1395" s="55"/>
      <c r="K1395" s="55"/>
      <c r="L1395" s="55"/>
      <c r="M1395" s="55"/>
      <c r="N1395" s="55"/>
      <c r="O1395" s="55"/>
      <c r="P1395" s="56"/>
      <c r="AI1395" s="49"/>
      <c r="AJ1395" s="78"/>
      <c r="AK1395" s="78"/>
      <c r="AL1395" s="78"/>
      <c r="AM1395" s="78"/>
      <c r="AN1395" s="78"/>
      <c r="AO1395" s="78"/>
      <c r="AP1395" s="78"/>
      <c r="AQ1395" s="78"/>
      <c r="AR1395" s="78"/>
      <c r="AS1395" s="78"/>
      <c r="AT1395" s="78"/>
      <c r="AU1395" s="78"/>
      <c r="AV1395" s="78"/>
      <c r="AW1395" s="78"/>
      <c r="AX1395" s="78"/>
      <c r="AY1395" s="3"/>
      <c r="AZ1395" s="81"/>
      <c r="BB1395" s="5"/>
      <c r="BC1395" s="5"/>
    </row>
    <row r="1396" spans="1:55" x14ac:dyDescent="0.25">
      <c r="A1396" s="51">
        <v>43220</v>
      </c>
      <c r="B1396" s="54"/>
      <c r="C1396" s="55"/>
      <c r="D1396" s="55"/>
      <c r="E1396" s="55"/>
      <c r="F1396" s="55"/>
      <c r="G1396" s="55"/>
      <c r="H1396" s="55"/>
      <c r="I1396" s="55"/>
      <c r="J1396" s="55"/>
      <c r="K1396" s="55"/>
      <c r="L1396" s="55"/>
      <c r="M1396" s="55"/>
      <c r="N1396" s="55"/>
      <c r="O1396" s="55"/>
      <c r="P1396" s="56"/>
      <c r="AI1396" s="49"/>
      <c r="AJ1396" s="78"/>
      <c r="AK1396" s="78"/>
      <c r="AL1396" s="78"/>
      <c r="AM1396" s="78"/>
      <c r="AN1396" s="78"/>
      <c r="AO1396" s="78"/>
      <c r="AP1396" s="78"/>
      <c r="AQ1396" s="78"/>
      <c r="AR1396" s="78"/>
      <c r="AS1396" s="78"/>
      <c r="AT1396" s="78"/>
      <c r="AU1396" s="78"/>
      <c r="AV1396" s="78"/>
      <c r="AW1396" s="78"/>
      <c r="AX1396" s="78"/>
      <c r="AY1396" s="3"/>
      <c r="AZ1396" s="81"/>
      <c r="BB1396" s="5"/>
      <c r="BC1396" s="5"/>
    </row>
    <row r="1397" spans="1:55" x14ac:dyDescent="0.25">
      <c r="A1397" s="51">
        <v>43222</v>
      </c>
      <c r="B1397" s="54"/>
      <c r="C1397" s="55"/>
      <c r="D1397" s="55"/>
      <c r="E1397" s="55"/>
      <c r="F1397" s="55"/>
      <c r="G1397" s="55"/>
      <c r="H1397" s="55"/>
      <c r="I1397" s="55"/>
      <c r="J1397" s="55"/>
      <c r="K1397" s="55"/>
      <c r="L1397" s="55"/>
      <c r="M1397" s="55"/>
      <c r="N1397" s="55"/>
      <c r="O1397" s="55"/>
      <c r="P1397" s="56"/>
      <c r="AI1397" s="49"/>
      <c r="AJ1397" s="78"/>
      <c r="AK1397" s="78"/>
      <c r="AL1397" s="78"/>
      <c r="AM1397" s="78"/>
      <c r="AN1397" s="78"/>
      <c r="AO1397" s="78"/>
      <c r="AP1397" s="78"/>
      <c r="AQ1397" s="78"/>
      <c r="AR1397" s="78"/>
      <c r="AS1397" s="78"/>
      <c r="AT1397" s="78"/>
      <c r="AU1397" s="78"/>
      <c r="AV1397" s="78"/>
      <c r="AW1397" s="78"/>
      <c r="AX1397" s="78"/>
      <c r="AY1397" s="3"/>
      <c r="AZ1397" s="81"/>
      <c r="BB1397" s="5"/>
      <c r="BC1397" s="5"/>
    </row>
    <row r="1398" spans="1:55" x14ac:dyDescent="0.25">
      <c r="A1398" s="51">
        <v>43223</v>
      </c>
      <c r="B1398" s="54"/>
      <c r="C1398" s="55"/>
      <c r="D1398" s="55"/>
      <c r="E1398" s="55"/>
      <c r="F1398" s="55"/>
      <c r="G1398" s="55"/>
      <c r="H1398" s="55"/>
      <c r="I1398" s="55"/>
      <c r="J1398" s="55"/>
      <c r="K1398" s="55"/>
      <c r="L1398" s="55"/>
      <c r="M1398" s="55"/>
      <c r="N1398" s="55"/>
      <c r="O1398" s="55"/>
      <c r="P1398" s="56"/>
      <c r="AI1398" s="49"/>
      <c r="AJ1398" s="78"/>
      <c r="AK1398" s="78"/>
      <c r="AL1398" s="78"/>
      <c r="AM1398" s="78"/>
      <c r="AN1398" s="78"/>
      <c r="AO1398" s="78"/>
      <c r="AP1398" s="78"/>
      <c r="AQ1398" s="78"/>
      <c r="AR1398" s="78"/>
      <c r="AS1398" s="78"/>
      <c r="AT1398" s="78"/>
      <c r="AU1398" s="78"/>
      <c r="AV1398" s="78"/>
      <c r="AW1398" s="78"/>
      <c r="AX1398" s="78"/>
      <c r="AY1398" s="3"/>
      <c r="AZ1398" s="81"/>
      <c r="BB1398" s="5"/>
      <c r="BC1398" s="5"/>
    </row>
    <row r="1399" spans="1:55" x14ac:dyDescent="0.25">
      <c r="A1399" s="51">
        <v>43224</v>
      </c>
      <c r="B1399" s="54"/>
      <c r="C1399" s="55"/>
      <c r="D1399" s="55"/>
      <c r="E1399" s="55"/>
      <c r="F1399" s="55"/>
      <c r="G1399" s="55"/>
      <c r="H1399" s="55"/>
      <c r="I1399" s="55"/>
      <c r="J1399" s="55"/>
      <c r="K1399" s="55"/>
      <c r="L1399" s="55"/>
      <c r="M1399" s="55"/>
      <c r="N1399" s="55"/>
      <c r="O1399" s="55"/>
      <c r="P1399" s="56"/>
      <c r="AI1399" s="49"/>
      <c r="AJ1399" s="78"/>
      <c r="AK1399" s="78"/>
      <c r="AL1399" s="78"/>
      <c r="AM1399" s="78"/>
      <c r="AN1399" s="78"/>
      <c r="AO1399" s="78"/>
      <c r="AP1399" s="78"/>
      <c r="AQ1399" s="78"/>
      <c r="AR1399" s="78"/>
      <c r="AS1399" s="78"/>
      <c r="AT1399" s="78"/>
      <c r="AU1399" s="78"/>
      <c r="AV1399" s="78"/>
      <c r="AW1399" s="78"/>
      <c r="AX1399" s="78"/>
      <c r="AY1399" s="3"/>
      <c r="AZ1399" s="81"/>
      <c r="BB1399" s="5"/>
      <c r="BC1399" s="5"/>
    </row>
    <row r="1400" spans="1:55" x14ac:dyDescent="0.25">
      <c r="A1400" s="51">
        <v>43227</v>
      </c>
      <c r="B1400" s="54"/>
      <c r="C1400" s="55"/>
      <c r="D1400" s="55"/>
      <c r="E1400" s="55"/>
      <c r="F1400" s="55"/>
      <c r="G1400" s="55"/>
      <c r="H1400" s="55"/>
      <c r="I1400" s="55"/>
      <c r="J1400" s="55"/>
      <c r="K1400" s="55"/>
      <c r="L1400" s="55"/>
      <c r="M1400" s="55"/>
      <c r="N1400" s="55"/>
      <c r="O1400" s="55"/>
      <c r="P1400" s="56"/>
      <c r="AI1400" s="49"/>
      <c r="AJ1400" s="78"/>
      <c r="AK1400" s="78"/>
      <c r="AL1400" s="78"/>
      <c r="AM1400" s="78"/>
      <c r="AN1400" s="78"/>
      <c r="AO1400" s="78"/>
      <c r="AP1400" s="78"/>
      <c r="AQ1400" s="78"/>
      <c r="AR1400" s="78"/>
      <c r="AS1400" s="78"/>
      <c r="AT1400" s="78"/>
      <c r="AU1400" s="78"/>
      <c r="AV1400" s="78"/>
      <c r="AW1400" s="78"/>
      <c r="AX1400" s="78"/>
      <c r="AY1400" s="3"/>
      <c r="AZ1400" s="81"/>
      <c r="BB1400" s="5"/>
      <c r="BC1400" s="5"/>
    </row>
    <row r="1401" spans="1:55" x14ac:dyDescent="0.25">
      <c r="A1401" s="51">
        <v>43228</v>
      </c>
      <c r="B1401" s="54"/>
      <c r="C1401" s="55"/>
      <c r="D1401" s="55"/>
      <c r="E1401" s="55"/>
      <c r="F1401" s="55"/>
      <c r="G1401" s="55"/>
      <c r="H1401" s="55"/>
      <c r="I1401" s="55"/>
      <c r="J1401" s="55"/>
      <c r="K1401" s="55"/>
      <c r="L1401" s="55"/>
      <c r="M1401" s="55"/>
      <c r="N1401" s="55"/>
      <c r="O1401" s="55"/>
      <c r="P1401" s="56"/>
      <c r="AI1401" s="49"/>
      <c r="AJ1401" s="78"/>
      <c r="AK1401" s="78"/>
      <c r="AL1401" s="78"/>
      <c r="AM1401" s="78"/>
      <c r="AN1401" s="78"/>
      <c r="AO1401" s="78"/>
      <c r="AP1401" s="78"/>
      <c r="AQ1401" s="78"/>
      <c r="AR1401" s="78"/>
      <c r="AS1401" s="78"/>
      <c r="AT1401" s="78"/>
      <c r="AU1401" s="78"/>
      <c r="AV1401" s="78"/>
      <c r="AW1401" s="78"/>
      <c r="AX1401" s="78"/>
      <c r="AY1401" s="3"/>
      <c r="AZ1401" s="81"/>
      <c r="BB1401" s="5"/>
      <c r="BC1401" s="5"/>
    </row>
    <row r="1402" spans="1:55" x14ac:dyDescent="0.25">
      <c r="A1402" s="51">
        <v>43229</v>
      </c>
      <c r="B1402" s="54"/>
      <c r="C1402" s="55"/>
      <c r="D1402" s="55"/>
      <c r="E1402" s="55"/>
      <c r="F1402" s="55"/>
      <c r="G1402" s="55"/>
      <c r="H1402" s="55"/>
      <c r="I1402" s="55"/>
      <c r="J1402" s="55"/>
      <c r="K1402" s="55"/>
      <c r="L1402" s="55"/>
      <c r="M1402" s="55"/>
      <c r="N1402" s="55"/>
      <c r="O1402" s="55"/>
      <c r="P1402" s="56"/>
      <c r="AI1402" s="49"/>
      <c r="AJ1402" s="78"/>
      <c r="AK1402" s="78"/>
      <c r="AL1402" s="78"/>
      <c r="AM1402" s="78"/>
      <c r="AN1402" s="78"/>
      <c r="AO1402" s="78"/>
      <c r="AP1402" s="78"/>
      <c r="AQ1402" s="78"/>
      <c r="AR1402" s="78"/>
      <c r="AS1402" s="78"/>
      <c r="AT1402" s="78"/>
      <c r="AU1402" s="78"/>
      <c r="AV1402" s="78"/>
      <c r="AW1402" s="78"/>
      <c r="AX1402" s="78"/>
      <c r="AY1402" s="3"/>
      <c r="AZ1402" s="81"/>
      <c r="BB1402" s="5"/>
      <c r="BC1402" s="5"/>
    </row>
    <row r="1403" spans="1:55" x14ac:dyDescent="0.25">
      <c r="A1403" s="51">
        <v>43230</v>
      </c>
      <c r="B1403" s="54"/>
      <c r="C1403" s="55"/>
      <c r="D1403" s="55"/>
      <c r="E1403" s="55"/>
      <c r="F1403" s="55"/>
      <c r="G1403" s="55"/>
      <c r="H1403" s="55"/>
      <c r="I1403" s="55"/>
      <c r="J1403" s="55"/>
      <c r="K1403" s="55"/>
      <c r="L1403" s="55"/>
      <c r="M1403" s="55"/>
      <c r="N1403" s="55"/>
      <c r="O1403" s="55"/>
      <c r="P1403" s="56"/>
      <c r="AI1403" s="49"/>
      <c r="AJ1403" s="78"/>
      <c r="AK1403" s="78"/>
      <c r="AL1403" s="78"/>
      <c r="AM1403" s="78"/>
      <c r="AN1403" s="78"/>
      <c r="AO1403" s="78"/>
      <c r="AP1403" s="78"/>
      <c r="AQ1403" s="78"/>
      <c r="AR1403" s="78"/>
      <c r="AS1403" s="78"/>
      <c r="AT1403" s="78"/>
      <c r="AU1403" s="78"/>
      <c r="AV1403" s="78"/>
      <c r="AW1403" s="78"/>
      <c r="AX1403" s="78"/>
      <c r="AY1403" s="3"/>
      <c r="AZ1403" s="81"/>
      <c r="BB1403" s="5"/>
      <c r="BC1403" s="5"/>
    </row>
    <row r="1404" spans="1:55" x14ac:dyDescent="0.25">
      <c r="A1404" s="51">
        <v>43231</v>
      </c>
      <c r="B1404" s="54"/>
      <c r="C1404" s="55"/>
      <c r="D1404" s="55"/>
      <c r="E1404" s="55"/>
      <c r="F1404" s="55"/>
      <c r="G1404" s="55"/>
      <c r="H1404" s="55"/>
      <c r="I1404" s="55"/>
      <c r="J1404" s="55"/>
      <c r="K1404" s="55"/>
      <c r="L1404" s="55"/>
      <c r="M1404" s="55"/>
      <c r="N1404" s="55"/>
      <c r="O1404" s="55"/>
      <c r="P1404" s="56"/>
      <c r="AI1404" s="49"/>
      <c r="AJ1404" s="78"/>
      <c r="AK1404" s="78"/>
      <c r="AL1404" s="78"/>
      <c r="AM1404" s="78"/>
      <c r="AN1404" s="78"/>
      <c r="AO1404" s="78"/>
      <c r="AP1404" s="78"/>
      <c r="AQ1404" s="78"/>
      <c r="AR1404" s="78"/>
      <c r="AS1404" s="78"/>
      <c r="AT1404" s="78"/>
      <c r="AU1404" s="78"/>
      <c r="AV1404" s="78"/>
      <c r="AW1404" s="78"/>
      <c r="AX1404" s="78"/>
      <c r="AY1404" s="3"/>
      <c r="AZ1404" s="81"/>
      <c r="BB1404" s="5"/>
      <c r="BC1404" s="5"/>
    </row>
    <row r="1405" spans="1:55" x14ac:dyDescent="0.25">
      <c r="A1405" s="51">
        <v>43234</v>
      </c>
      <c r="B1405" s="54"/>
      <c r="C1405" s="55"/>
      <c r="D1405" s="55"/>
      <c r="E1405" s="55"/>
      <c r="F1405" s="55"/>
      <c r="G1405" s="55"/>
      <c r="H1405" s="55"/>
      <c r="I1405" s="55"/>
      <c r="J1405" s="55"/>
      <c r="K1405" s="55"/>
      <c r="L1405" s="55"/>
      <c r="M1405" s="55"/>
      <c r="N1405" s="55"/>
      <c r="O1405" s="55"/>
      <c r="P1405" s="56"/>
      <c r="AI1405" s="49"/>
      <c r="AJ1405" s="78"/>
      <c r="AK1405" s="78"/>
      <c r="AL1405" s="78"/>
      <c r="AM1405" s="78"/>
      <c r="AN1405" s="78"/>
      <c r="AO1405" s="78"/>
      <c r="AP1405" s="78"/>
      <c r="AQ1405" s="78"/>
      <c r="AR1405" s="78"/>
      <c r="AS1405" s="78"/>
      <c r="AT1405" s="78"/>
      <c r="AU1405" s="78"/>
      <c r="AV1405" s="78"/>
      <c r="AW1405" s="78"/>
      <c r="AX1405" s="78"/>
      <c r="AY1405" s="3"/>
      <c r="AZ1405" s="81"/>
      <c r="BB1405" s="5"/>
      <c r="BC1405" s="5"/>
    </row>
    <row r="1406" spans="1:55" x14ac:dyDescent="0.25">
      <c r="A1406" s="51">
        <v>43235</v>
      </c>
      <c r="B1406" s="54"/>
      <c r="C1406" s="55"/>
      <c r="D1406" s="55"/>
      <c r="E1406" s="55"/>
      <c r="F1406" s="55"/>
      <c r="G1406" s="55"/>
      <c r="H1406" s="55"/>
      <c r="I1406" s="55"/>
      <c r="J1406" s="55"/>
      <c r="K1406" s="55"/>
      <c r="L1406" s="55"/>
      <c r="M1406" s="55"/>
      <c r="N1406" s="55"/>
      <c r="O1406" s="55"/>
      <c r="P1406" s="56"/>
      <c r="AI1406" s="49"/>
      <c r="AJ1406" s="78"/>
      <c r="AK1406" s="78"/>
      <c r="AL1406" s="78"/>
      <c r="AM1406" s="78"/>
      <c r="AN1406" s="78"/>
      <c r="AO1406" s="78"/>
      <c r="AP1406" s="78"/>
      <c r="AQ1406" s="78"/>
      <c r="AR1406" s="78"/>
      <c r="AS1406" s="78"/>
      <c r="AT1406" s="78"/>
      <c r="AU1406" s="78"/>
      <c r="AV1406" s="78"/>
      <c r="AW1406" s="78"/>
      <c r="AX1406" s="78"/>
      <c r="AY1406" s="3"/>
      <c r="AZ1406" s="81"/>
      <c r="BB1406" s="5"/>
      <c r="BC1406" s="5"/>
    </row>
    <row r="1407" spans="1:55" x14ac:dyDescent="0.25">
      <c r="A1407" s="51">
        <v>43236</v>
      </c>
      <c r="B1407" s="54"/>
      <c r="C1407" s="55"/>
      <c r="D1407" s="55"/>
      <c r="E1407" s="55"/>
      <c r="F1407" s="55"/>
      <c r="G1407" s="55"/>
      <c r="H1407" s="55"/>
      <c r="I1407" s="55"/>
      <c r="J1407" s="55"/>
      <c r="K1407" s="55"/>
      <c r="L1407" s="55"/>
      <c r="M1407" s="55"/>
      <c r="N1407" s="55"/>
      <c r="O1407" s="55"/>
      <c r="P1407" s="56"/>
      <c r="AI1407" s="49"/>
      <c r="AJ1407" s="78"/>
      <c r="AK1407" s="78"/>
      <c r="AL1407" s="78"/>
      <c r="AM1407" s="78"/>
      <c r="AN1407" s="78"/>
      <c r="AO1407" s="78"/>
      <c r="AP1407" s="78"/>
      <c r="AQ1407" s="78"/>
      <c r="AR1407" s="78"/>
      <c r="AS1407" s="78"/>
      <c r="AT1407" s="78"/>
      <c r="AU1407" s="78"/>
      <c r="AV1407" s="78"/>
      <c r="AW1407" s="78"/>
      <c r="AX1407" s="78"/>
      <c r="AY1407" s="3"/>
      <c r="AZ1407" s="81"/>
      <c r="BB1407" s="5"/>
      <c r="BC1407" s="5"/>
    </row>
    <row r="1408" spans="1:55" x14ac:dyDescent="0.25">
      <c r="A1408" s="51">
        <v>43237</v>
      </c>
      <c r="B1408" s="54"/>
      <c r="C1408" s="55"/>
      <c r="D1408" s="55"/>
      <c r="E1408" s="55"/>
      <c r="F1408" s="55"/>
      <c r="G1408" s="55"/>
      <c r="H1408" s="55"/>
      <c r="I1408" s="55"/>
      <c r="J1408" s="55"/>
      <c r="K1408" s="55"/>
      <c r="L1408" s="55"/>
      <c r="M1408" s="55"/>
      <c r="N1408" s="55"/>
      <c r="O1408" s="55"/>
      <c r="P1408" s="56"/>
      <c r="AI1408" s="49"/>
      <c r="AJ1408" s="78"/>
      <c r="AK1408" s="78"/>
      <c r="AL1408" s="78"/>
      <c r="AM1408" s="78"/>
      <c r="AN1408" s="78"/>
      <c r="AO1408" s="78"/>
      <c r="AP1408" s="78"/>
      <c r="AQ1408" s="78"/>
      <c r="AR1408" s="78"/>
      <c r="AS1408" s="78"/>
      <c r="AT1408" s="78"/>
      <c r="AU1408" s="78"/>
      <c r="AV1408" s="78"/>
      <c r="AW1408" s="78"/>
      <c r="AX1408" s="78"/>
      <c r="AY1408" s="3"/>
      <c r="AZ1408" s="81"/>
      <c r="BB1408" s="5"/>
      <c r="BC1408" s="5"/>
    </row>
    <row r="1409" spans="1:55" x14ac:dyDescent="0.25">
      <c r="A1409" s="51">
        <v>43238</v>
      </c>
      <c r="B1409" s="54"/>
      <c r="C1409" s="55"/>
      <c r="D1409" s="55"/>
      <c r="E1409" s="55"/>
      <c r="F1409" s="55"/>
      <c r="G1409" s="55"/>
      <c r="H1409" s="55"/>
      <c r="I1409" s="55"/>
      <c r="J1409" s="55"/>
      <c r="K1409" s="55"/>
      <c r="L1409" s="55"/>
      <c r="M1409" s="55"/>
      <c r="N1409" s="55"/>
      <c r="O1409" s="55"/>
      <c r="P1409" s="56"/>
      <c r="AI1409" s="49"/>
      <c r="AJ1409" s="78"/>
      <c r="AK1409" s="78"/>
      <c r="AL1409" s="78"/>
      <c r="AM1409" s="78"/>
      <c r="AN1409" s="78"/>
      <c r="AO1409" s="78"/>
      <c r="AP1409" s="78"/>
      <c r="AQ1409" s="78"/>
      <c r="AR1409" s="78"/>
      <c r="AS1409" s="78"/>
      <c r="AT1409" s="78"/>
      <c r="AU1409" s="78"/>
      <c r="AV1409" s="78"/>
      <c r="AW1409" s="78"/>
      <c r="AX1409" s="78"/>
      <c r="AY1409" s="3"/>
      <c r="AZ1409" s="81"/>
      <c r="BB1409" s="5"/>
      <c r="BC1409" s="5"/>
    </row>
    <row r="1410" spans="1:55" x14ac:dyDescent="0.25">
      <c r="A1410" s="51">
        <v>43241</v>
      </c>
      <c r="B1410" s="54"/>
      <c r="C1410" s="55"/>
      <c r="D1410" s="55"/>
      <c r="E1410" s="55"/>
      <c r="F1410" s="55"/>
      <c r="G1410" s="55"/>
      <c r="H1410" s="55"/>
      <c r="I1410" s="55"/>
      <c r="J1410" s="55"/>
      <c r="K1410" s="55"/>
      <c r="L1410" s="55"/>
      <c r="M1410" s="55"/>
      <c r="N1410" s="55"/>
      <c r="O1410" s="55"/>
      <c r="P1410" s="56"/>
      <c r="AI1410" s="49"/>
      <c r="AJ1410" s="78"/>
      <c r="AK1410" s="78"/>
      <c r="AL1410" s="78"/>
      <c r="AM1410" s="78"/>
      <c r="AN1410" s="78"/>
      <c r="AO1410" s="78"/>
      <c r="AP1410" s="78"/>
      <c r="AQ1410" s="78"/>
      <c r="AR1410" s="78"/>
      <c r="AS1410" s="78"/>
      <c r="AT1410" s="78"/>
      <c r="AU1410" s="78"/>
      <c r="AV1410" s="78"/>
      <c r="AW1410" s="78"/>
      <c r="AX1410" s="78"/>
      <c r="AY1410" s="3"/>
      <c r="AZ1410" s="81"/>
      <c r="BB1410" s="5"/>
      <c r="BC1410" s="5"/>
    </row>
    <row r="1411" spans="1:55" x14ac:dyDescent="0.25">
      <c r="A1411" s="51">
        <v>43242</v>
      </c>
      <c r="B1411" s="54"/>
      <c r="C1411" s="55"/>
      <c r="D1411" s="55"/>
      <c r="E1411" s="55"/>
      <c r="F1411" s="55"/>
      <c r="G1411" s="55"/>
      <c r="H1411" s="55"/>
      <c r="I1411" s="55"/>
      <c r="J1411" s="55"/>
      <c r="K1411" s="55"/>
      <c r="L1411" s="55"/>
      <c r="M1411" s="55"/>
      <c r="N1411" s="55"/>
      <c r="O1411" s="55"/>
      <c r="P1411" s="56"/>
      <c r="AI1411" s="49"/>
      <c r="AJ1411" s="78"/>
      <c r="AK1411" s="78"/>
      <c r="AL1411" s="78"/>
      <c r="AM1411" s="78"/>
      <c r="AN1411" s="78"/>
      <c r="AO1411" s="78"/>
      <c r="AP1411" s="78"/>
      <c r="AQ1411" s="78"/>
      <c r="AR1411" s="78"/>
      <c r="AS1411" s="78"/>
      <c r="AT1411" s="78"/>
      <c r="AU1411" s="78"/>
      <c r="AV1411" s="78"/>
      <c r="AW1411" s="78"/>
      <c r="AX1411" s="78"/>
      <c r="AY1411" s="3"/>
      <c r="AZ1411" s="81"/>
      <c r="BB1411" s="5"/>
      <c r="BC1411" s="5"/>
    </row>
    <row r="1412" spans="1:55" x14ac:dyDescent="0.25">
      <c r="A1412" s="51">
        <v>43243</v>
      </c>
      <c r="B1412" s="54"/>
      <c r="C1412" s="55"/>
      <c r="D1412" s="55"/>
      <c r="E1412" s="55"/>
      <c r="F1412" s="55"/>
      <c r="G1412" s="55"/>
      <c r="H1412" s="55"/>
      <c r="I1412" s="55"/>
      <c r="J1412" s="55"/>
      <c r="K1412" s="55"/>
      <c r="L1412" s="55"/>
      <c r="M1412" s="55"/>
      <c r="N1412" s="55"/>
      <c r="O1412" s="55"/>
      <c r="P1412" s="56"/>
      <c r="AI1412" s="49"/>
      <c r="AJ1412" s="78"/>
      <c r="AK1412" s="78"/>
      <c r="AL1412" s="78"/>
      <c r="AM1412" s="78"/>
      <c r="AN1412" s="78"/>
      <c r="AO1412" s="78"/>
      <c r="AP1412" s="78"/>
      <c r="AQ1412" s="78"/>
      <c r="AR1412" s="78"/>
      <c r="AS1412" s="78"/>
      <c r="AT1412" s="78"/>
      <c r="AU1412" s="78"/>
      <c r="AV1412" s="78"/>
      <c r="AW1412" s="78"/>
      <c r="AX1412" s="78"/>
      <c r="AY1412" s="3"/>
      <c r="AZ1412" s="81"/>
      <c r="BB1412" s="5"/>
      <c r="BC1412" s="5"/>
    </row>
    <row r="1413" spans="1:55" x14ac:dyDescent="0.25">
      <c r="A1413" s="51">
        <v>43244</v>
      </c>
      <c r="B1413" s="54"/>
      <c r="C1413" s="55"/>
      <c r="D1413" s="55"/>
      <c r="E1413" s="55"/>
      <c r="F1413" s="55"/>
      <c r="G1413" s="55"/>
      <c r="H1413" s="55"/>
      <c r="I1413" s="55"/>
      <c r="J1413" s="55"/>
      <c r="K1413" s="55"/>
      <c r="L1413" s="55"/>
      <c r="M1413" s="55"/>
      <c r="N1413" s="55"/>
      <c r="O1413" s="55"/>
      <c r="P1413" s="56"/>
      <c r="AI1413" s="49"/>
      <c r="AJ1413" s="78"/>
      <c r="AK1413" s="78"/>
      <c r="AL1413" s="78"/>
      <c r="AM1413" s="78"/>
      <c r="AN1413" s="78"/>
      <c r="AO1413" s="78"/>
      <c r="AP1413" s="78"/>
      <c r="AQ1413" s="78"/>
      <c r="AR1413" s="78"/>
      <c r="AS1413" s="78"/>
      <c r="AT1413" s="78"/>
      <c r="AU1413" s="78"/>
      <c r="AV1413" s="78"/>
      <c r="AW1413" s="78"/>
      <c r="AX1413" s="78"/>
      <c r="AY1413" s="3"/>
      <c r="AZ1413" s="81"/>
      <c r="BB1413" s="5"/>
      <c r="BC1413" s="5"/>
    </row>
    <row r="1414" spans="1:55" x14ac:dyDescent="0.25">
      <c r="A1414" s="51">
        <v>43245</v>
      </c>
      <c r="B1414" s="54"/>
      <c r="C1414" s="55"/>
      <c r="D1414" s="55"/>
      <c r="E1414" s="55"/>
      <c r="F1414" s="55"/>
      <c r="G1414" s="55"/>
      <c r="H1414" s="55"/>
      <c r="I1414" s="55"/>
      <c r="J1414" s="55"/>
      <c r="K1414" s="55"/>
      <c r="L1414" s="55"/>
      <c r="M1414" s="55"/>
      <c r="N1414" s="55"/>
      <c r="O1414" s="55"/>
      <c r="P1414" s="56"/>
      <c r="AI1414" s="49"/>
      <c r="AJ1414" s="78"/>
      <c r="AK1414" s="78"/>
      <c r="AL1414" s="78"/>
      <c r="AM1414" s="78"/>
      <c r="AN1414" s="78"/>
      <c r="AO1414" s="78"/>
      <c r="AP1414" s="78"/>
      <c r="AQ1414" s="78"/>
      <c r="AR1414" s="78"/>
      <c r="AS1414" s="78"/>
      <c r="AT1414" s="78"/>
      <c r="AU1414" s="78"/>
      <c r="AV1414" s="78"/>
      <c r="AW1414" s="78"/>
      <c r="AX1414" s="78"/>
      <c r="AY1414" s="3"/>
      <c r="AZ1414" s="81"/>
      <c r="BB1414" s="5"/>
      <c r="BC1414" s="5"/>
    </row>
    <row r="1415" spans="1:55" x14ac:dyDescent="0.25">
      <c r="A1415" s="51">
        <v>43248</v>
      </c>
      <c r="B1415" s="54"/>
      <c r="C1415" s="55"/>
      <c r="D1415" s="55"/>
      <c r="E1415" s="55"/>
      <c r="F1415" s="55"/>
      <c r="G1415" s="55"/>
      <c r="H1415" s="55"/>
      <c r="I1415" s="55"/>
      <c r="J1415" s="55"/>
      <c r="K1415" s="55"/>
      <c r="L1415" s="55"/>
      <c r="M1415" s="55"/>
      <c r="N1415" s="55"/>
      <c r="O1415" s="55"/>
      <c r="P1415" s="56"/>
      <c r="AI1415" s="49"/>
      <c r="AJ1415" s="78"/>
      <c r="AK1415" s="78"/>
      <c r="AL1415" s="78"/>
      <c r="AM1415" s="78"/>
      <c r="AN1415" s="78"/>
      <c r="AO1415" s="78"/>
      <c r="AP1415" s="78"/>
      <c r="AQ1415" s="78"/>
      <c r="AR1415" s="78"/>
      <c r="AS1415" s="78"/>
      <c r="AT1415" s="78"/>
      <c r="AU1415" s="78"/>
      <c r="AV1415" s="78"/>
      <c r="AW1415" s="78"/>
      <c r="AX1415" s="78"/>
      <c r="AY1415" s="3"/>
      <c r="AZ1415" s="81"/>
      <c r="BB1415" s="5"/>
      <c r="BC1415" s="5"/>
    </row>
    <row r="1416" spans="1:55" x14ac:dyDescent="0.25">
      <c r="A1416" s="51">
        <v>43249</v>
      </c>
      <c r="B1416" s="54"/>
      <c r="C1416" s="55"/>
      <c r="D1416" s="55"/>
      <c r="E1416" s="55"/>
      <c r="F1416" s="55"/>
      <c r="G1416" s="55"/>
      <c r="H1416" s="55"/>
      <c r="I1416" s="55"/>
      <c r="J1416" s="55"/>
      <c r="K1416" s="55"/>
      <c r="L1416" s="55"/>
      <c r="M1416" s="55"/>
      <c r="N1416" s="55"/>
      <c r="O1416" s="55"/>
      <c r="P1416" s="56"/>
      <c r="AI1416" s="49"/>
      <c r="AJ1416" s="78"/>
      <c r="AK1416" s="78"/>
      <c r="AL1416" s="78"/>
      <c r="AM1416" s="78"/>
      <c r="AN1416" s="78"/>
      <c r="AO1416" s="78"/>
      <c r="AP1416" s="78"/>
      <c r="AQ1416" s="78"/>
      <c r="AR1416" s="78"/>
      <c r="AS1416" s="78"/>
      <c r="AT1416" s="78"/>
      <c r="AU1416" s="78"/>
      <c r="AV1416" s="78"/>
      <c r="AW1416" s="78"/>
      <c r="AX1416" s="78"/>
      <c r="AY1416" s="3"/>
      <c r="AZ1416" s="81"/>
      <c r="BB1416" s="5"/>
      <c r="BC1416" s="5"/>
    </row>
    <row r="1417" spans="1:55" x14ac:dyDescent="0.25">
      <c r="A1417" s="51">
        <v>43250</v>
      </c>
      <c r="B1417" s="54"/>
      <c r="C1417" s="55"/>
      <c r="D1417" s="55"/>
      <c r="E1417" s="55"/>
      <c r="F1417" s="55"/>
      <c r="G1417" s="55"/>
      <c r="H1417" s="55"/>
      <c r="I1417" s="55"/>
      <c r="J1417" s="55"/>
      <c r="K1417" s="55"/>
      <c r="L1417" s="55"/>
      <c r="M1417" s="55"/>
      <c r="N1417" s="55"/>
      <c r="O1417" s="55"/>
      <c r="P1417" s="56"/>
      <c r="AI1417" s="49"/>
      <c r="AJ1417" s="78"/>
      <c r="AK1417" s="78"/>
      <c r="AL1417" s="78"/>
      <c r="AM1417" s="78"/>
      <c r="AN1417" s="78"/>
      <c r="AO1417" s="78"/>
      <c r="AP1417" s="78"/>
      <c r="AQ1417" s="78"/>
      <c r="AR1417" s="78"/>
      <c r="AS1417" s="78"/>
      <c r="AT1417" s="78"/>
      <c r="AU1417" s="78"/>
      <c r="AV1417" s="78"/>
      <c r="AW1417" s="78"/>
      <c r="AX1417" s="78"/>
      <c r="AY1417" s="3"/>
      <c r="AZ1417" s="81"/>
      <c r="BB1417" s="5"/>
      <c r="BC1417" s="5"/>
    </row>
    <row r="1418" spans="1:55" x14ac:dyDescent="0.25">
      <c r="A1418" s="51">
        <v>43251</v>
      </c>
      <c r="B1418" s="54"/>
      <c r="C1418" s="55"/>
      <c r="D1418" s="55"/>
      <c r="E1418" s="55"/>
      <c r="F1418" s="55"/>
      <c r="G1418" s="55"/>
      <c r="H1418" s="55"/>
      <c r="I1418" s="55"/>
      <c r="J1418" s="55"/>
      <c r="K1418" s="55"/>
      <c r="L1418" s="55"/>
      <c r="M1418" s="55"/>
      <c r="N1418" s="55"/>
      <c r="O1418" s="55"/>
      <c r="P1418" s="56"/>
      <c r="AI1418" s="49"/>
      <c r="AJ1418" s="78"/>
      <c r="AK1418" s="78"/>
      <c r="AL1418" s="78"/>
      <c r="AM1418" s="78"/>
      <c r="AN1418" s="78"/>
      <c r="AO1418" s="78"/>
      <c r="AP1418" s="78"/>
      <c r="AQ1418" s="78"/>
      <c r="AR1418" s="78"/>
      <c r="AS1418" s="78"/>
      <c r="AT1418" s="78"/>
      <c r="AU1418" s="78"/>
      <c r="AV1418" s="78"/>
      <c r="AW1418" s="78"/>
      <c r="AX1418" s="78"/>
      <c r="AY1418" s="3"/>
      <c r="AZ1418" s="81"/>
      <c r="BB1418" s="5"/>
      <c r="BC1418" s="5"/>
    </row>
    <row r="1419" spans="1:55" x14ac:dyDescent="0.25">
      <c r="A1419" s="51">
        <v>43252</v>
      </c>
      <c r="B1419" s="54"/>
      <c r="C1419" s="55"/>
      <c r="D1419" s="55"/>
      <c r="E1419" s="55"/>
      <c r="F1419" s="55"/>
      <c r="G1419" s="55"/>
      <c r="H1419" s="55"/>
      <c r="I1419" s="55"/>
      <c r="J1419" s="55"/>
      <c r="K1419" s="55"/>
      <c r="L1419" s="55"/>
      <c r="M1419" s="55"/>
      <c r="N1419" s="55"/>
      <c r="O1419" s="55"/>
      <c r="P1419" s="56"/>
      <c r="AI1419" s="49"/>
      <c r="AJ1419" s="78"/>
      <c r="AK1419" s="78"/>
      <c r="AL1419" s="78"/>
      <c r="AM1419" s="78"/>
      <c r="AN1419" s="78"/>
      <c r="AO1419" s="78"/>
      <c r="AP1419" s="78"/>
      <c r="AQ1419" s="78"/>
      <c r="AR1419" s="78"/>
      <c r="AS1419" s="78"/>
      <c r="AT1419" s="78"/>
      <c r="AU1419" s="78"/>
      <c r="AV1419" s="78"/>
      <c r="AW1419" s="78"/>
      <c r="AX1419" s="78"/>
      <c r="AY1419" s="3"/>
      <c r="AZ1419" s="81"/>
      <c r="BB1419" s="5"/>
      <c r="BC1419" s="5"/>
    </row>
    <row r="1420" spans="1:55" x14ac:dyDescent="0.25">
      <c r="A1420" s="51">
        <v>43255</v>
      </c>
      <c r="B1420" s="54"/>
      <c r="C1420" s="55"/>
      <c r="D1420" s="55"/>
      <c r="E1420" s="55"/>
      <c r="F1420" s="55"/>
      <c r="G1420" s="55"/>
      <c r="H1420" s="55"/>
      <c r="I1420" s="55"/>
      <c r="J1420" s="55"/>
      <c r="K1420" s="55"/>
      <c r="L1420" s="55"/>
      <c r="M1420" s="55"/>
      <c r="N1420" s="55"/>
      <c r="O1420" s="55"/>
      <c r="P1420" s="56"/>
      <c r="AI1420" s="49"/>
      <c r="AJ1420" s="78"/>
      <c r="AK1420" s="78"/>
      <c r="AL1420" s="78"/>
      <c r="AM1420" s="78"/>
      <c r="AN1420" s="78"/>
      <c r="AO1420" s="78"/>
      <c r="AP1420" s="78"/>
      <c r="AQ1420" s="78"/>
      <c r="AR1420" s="78"/>
      <c r="AS1420" s="78"/>
      <c r="AT1420" s="78"/>
      <c r="AU1420" s="78"/>
      <c r="AV1420" s="78"/>
      <c r="AW1420" s="78"/>
      <c r="AX1420" s="78"/>
      <c r="AY1420" s="3"/>
      <c r="AZ1420" s="81"/>
      <c r="BB1420" s="5"/>
      <c r="BC1420" s="5"/>
    </row>
    <row r="1421" spans="1:55" x14ac:dyDescent="0.25">
      <c r="A1421" s="51">
        <v>43256</v>
      </c>
      <c r="B1421" s="54"/>
      <c r="C1421" s="55"/>
      <c r="D1421" s="55"/>
      <c r="E1421" s="55"/>
      <c r="F1421" s="55"/>
      <c r="G1421" s="55"/>
      <c r="H1421" s="55"/>
      <c r="I1421" s="55"/>
      <c r="J1421" s="55"/>
      <c r="K1421" s="55"/>
      <c r="L1421" s="55"/>
      <c r="M1421" s="55"/>
      <c r="N1421" s="55"/>
      <c r="O1421" s="55"/>
      <c r="P1421" s="56"/>
      <c r="AI1421" s="49"/>
      <c r="AJ1421" s="78"/>
      <c r="AK1421" s="78"/>
      <c r="AL1421" s="78"/>
      <c r="AM1421" s="78"/>
      <c r="AN1421" s="78"/>
      <c r="AO1421" s="78"/>
      <c r="AP1421" s="78"/>
      <c r="AQ1421" s="78"/>
      <c r="AR1421" s="78"/>
      <c r="AS1421" s="78"/>
      <c r="AT1421" s="78"/>
      <c r="AU1421" s="78"/>
      <c r="AV1421" s="78"/>
      <c r="AW1421" s="78"/>
      <c r="AX1421" s="78"/>
      <c r="AY1421" s="3"/>
      <c r="AZ1421" s="81"/>
      <c r="BB1421" s="5"/>
      <c r="BC1421" s="5"/>
    </row>
    <row r="1422" spans="1:55" x14ac:dyDescent="0.25">
      <c r="A1422" s="51">
        <v>43257</v>
      </c>
      <c r="B1422" s="54"/>
      <c r="C1422" s="55"/>
      <c r="D1422" s="55"/>
      <c r="E1422" s="55"/>
      <c r="F1422" s="55"/>
      <c r="G1422" s="55"/>
      <c r="H1422" s="55"/>
      <c r="I1422" s="55"/>
      <c r="J1422" s="55"/>
      <c r="K1422" s="55"/>
      <c r="L1422" s="55"/>
      <c r="M1422" s="55"/>
      <c r="N1422" s="55"/>
      <c r="O1422" s="55"/>
      <c r="P1422" s="56"/>
      <c r="AI1422" s="49"/>
      <c r="AJ1422" s="78"/>
      <c r="AK1422" s="78"/>
      <c r="AL1422" s="78"/>
      <c r="AM1422" s="78"/>
      <c r="AN1422" s="78"/>
      <c r="AO1422" s="78"/>
      <c r="AP1422" s="78"/>
      <c r="AQ1422" s="78"/>
      <c r="AR1422" s="78"/>
      <c r="AS1422" s="78"/>
      <c r="AT1422" s="78"/>
      <c r="AU1422" s="78"/>
      <c r="AV1422" s="78"/>
      <c r="AW1422" s="78"/>
      <c r="AX1422" s="78"/>
      <c r="AY1422" s="3"/>
      <c r="AZ1422" s="81"/>
      <c r="BB1422" s="5"/>
      <c r="BC1422" s="5"/>
    </row>
    <row r="1423" spans="1:55" x14ac:dyDescent="0.25">
      <c r="A1423" s="51">
        <v>43258</v>
      </c>
      <c r="B1423" s="54"/>
      <c r="C1423" s="55"/>
      <c r="D1423" s="55"/>
      <c r="E1423" s="55"/>
      <c r="F1423" s="55"/>
      <c r="G1423" s="55"/>
      <c r="H1423" s="55"/>
      <c r="I1423" s="55"/>
      <c r="J1423" s="55"/>
      <c r="K1423" s="55"/>
      <c r="L1423" s="55"/>
      <c r="M1423" s="55"/>
      <c r="N1423" s="55"/>
      <c r="O1423" s="55"/>
      <c r="P1423" s="56"/>
      <c r="AI1423" s="49"/>
      <c r="AJ1423" s="78"/>
      <c r="AK1423" s="78"/>
      <c r="AL1423" s="78"/>
      <c r="AM1423" s="78"/>
      <c r="AN1423" s="78"/>
      <c r="AO1423" s="78"/>
      <c r="AP1423" s="78"/>
      <c r="AQ1423" s="78"/>
      <c r="AR1423" s="78"/>
      <c r="AS1423" s="78"/>
      <c r="AT1423" s="78"/>
      <c r="AU1423" s="78"/>
      <c r="AV1423" s="78"/>
      <c r="AW1423" s="78"/>
      <c r="AX1423" s="78"/>
      <c r="AY1423" s="3"/>
      <c r="AZ1423" s="81"/>
      <c r="BB1423" s="5"/>
      <c r="BC1423" s="5"/>
    </row>
    <row r="1424" spans="1:55" x14ac:dyDescent="0.25">
      <c r="A1424" s="51">
        <v>43259</v>
      </c>
      <c r="B1424" s="54"/>
      <c r="C1424" s="55"/>
      <c r="D1424" s="55"/>
      <c r="E1424" s="55"/>
      <c r="F1424" s="55"/>
      <c r="G1424" s="55"/>
      <c r="H1424" s="55"/>
      <c r="I1424" s="55"/>
      <c r="J1424" s="55"/>
      <c r="K1424" s="55"/>
      <c r="L1424" s="55"/>
      <c r="M1424" s="55"/>
      <c r="N1424" s="55"/>
      <c r="O1424" s="55"/>
      <c r="P1424" s="56"/>
      <c r="AI1424" s="49"/>
      <c r="AJ1424" s="78"/>
      <c r="AK1424" s="78"/>
      <c r="AL1424" s="78"/>
      <c r="AM1424" s="78"/>
      <c r="AN1424" s="78"/>
      <c r="AO1424" s="78"/>
      <c r="AP1424" s="78"/>
      <c r="AQ1424" s="78"/>
      <c r="AR1424" s="78"/>
      <c r="AS1424" s="78"/>
      <c r="AT1424" s="78"/>
      <c r="AU1424" s="78"/>
      <c r="AV1424" s="78"/>
      <c r="AW1424" s="78"/>
      <c r="AX1424" s="78"/>
      <c r="AY1424" s="3"/>
      <c r="AZ1424" s="81"/>
      <c r="BB1424" s="5"/>
      <c r="BC1424" s="5"/>
    </row>
    <row r="1425" spans="1:55" x14ac:dyDescent="0.25">
      <c r="A1425" s="51">
        <v>43262</v>
      </c>
      <c r="B1425" s="54"/>
      <c r="C1425" s="55"/>
      <c r="D1425" s="55"/>
      <c r="E1425" s="55"/>
      <c r="F1425" s="55"/>
      <c r="G1425" s="55"/>
      <c r="H1425" s="55"/>
      <c r="I1425" s="55"/>
      <c r="J1425" s="55"/>
      <c r="K1425" s="55"/>
      <c r="L1425" s="55"/>
      <c r="M1425" s="55"/>
      <c r="N1425" s="55"/>
      <c r="O1425" s="55"/>
      <c r="P1425" s="56"/>
      <c r="AI1425" s="49"/>
      <c r="AJ1425" s="78"/>
      <c r="AK1425" s="78"/>
      <c r="AL1425" s="78"/>
      <c r="AM1425" s="78"/>
      <c r="AN1425" s="78"/>
      <c r="AO1425" s="78"/>
      <c r="AP1425" s="78"/>
      <c r="AQ1425" s="78"/>
      <c r="AR1425" s="78"/>
      <c r="AS1425" s="78"/>
      <c r="AT1425" s="78"/>
      <c r="AU1425" s="78"/>
      <c r="AV1425" s="78"/>
      <c r="AW1425" s="78"/>
      <c r="AX1425" s="78"/>
      <c r="AY1425" s="3"/>
      <c r="AZ1425" s="81"/>
      <c r="BB1425" s="5"/>
      <c r="BC1425" s="5"/>
    </row>
    <row r="1426" spans="1:55" x14ac:dyDescent="0.25">
      <c r="A1426" s="51">
        <v>43263</v>
      </c>
      <c r="B1426" s="54"/>
      <c r="C1426" s="55"/>
      <c r="D1426" s="55"/>
      <c r="E1426" s="55"/>
      <c r="F1426" s="55"/>
      <c r="G1426" s="55"/>
      <c r="H1426" s="55"/>
      <c r="I1426" s="55"/>
      <c r="J1426" s="55"/>
      <c r="K1426" s="55"/>
      <c r="L1426" s="55"/>
      <c r="M1426" s="55"/>
      <c r="N1426" s="55"/>
      <c r="O1426" s="55"/>
      <c r="P1426" s="56"/>
      <c r="AI1426" s="49"/>
      <c r="AJ1426" s="78"/>
      <c r="AK1426" s="78"/>
      <c r="AL1426" s="78"/>
      <c r="AM1426" s="78"/>
      <c r="AN1426" s="78"/>
      <c r="AO1426" s="78"/>
      <c r="AP1426" s="78"/>
      <c r="AQ1426" s="78"/>
      <c r="AR1426" s="78"/>
      <c r="AS1426" s="78"/>
      <c r="AT1426" s="78"/>
      <c r="AU1426" s="78"/>
      <c r="AV1426" s="78"/>
      <c r="AW1426" s="78"/>
      <c r="AX1426" s="78"/>
      <c r="AY1426" s="3"/>
      <c r="AZ1426" s="81"/>
      <c r="BB1426" s="5"/>
      <c r="BC1426" s="5"/>
    </row>
    <row r="1427" spans="1:55" x14ac:dyDescent="0.25">
      <c r="A1427" s="51">
        <v>43264</v>
      </c>
      <c r="B1427" s="54"/>
      <c r="C1427" s="55"/>
      <c r="D1427" s="55"/>
      <c r="E1427" s="55"/>
      <c r="F1427" s="55"/>
      <c r="G1427" s="55"/>
      <c r="H1427" s="55"/>
      <c r="I1427" s="55"/>
      <c r="J1427" s="55"/>
      <c r="K1427" s="55"/>
      <c r="L1427" s="55"/>
      <c r="M1427" s="55"/>
      <c r="N1427" s="55"/>
      <c r="O1427" s="55"/>
      <c r="P1427" s="56"/>
      <c r="AI1427" s="49"/>
      <c r="AJ1427" s="78"/>
      <c r="AK1427" s="78"/>
      <c r="AL1427" s="78"/>
      <c r="AM1427" s="78"/>
      <c r="AN1427" s="78"/>
      <c r="AO1427" s="78"/>
      <c r="AP1427" s="78"/>
      <c r="AQ1427" s="78"/>
      <c r="AR1427" s="78"/>
      <c r="AS1427" s="78"/>
      <c r="AT1427" s="78"/>
      <c r="AU1427" s="78"/>
      <c r="AV1427" s="78"/>
      <c r="AW1427" s="78"/>
      <c r="AX1427" s="78"/>
      <c r="AY1427" s="3"/>
      <c r="AZ1427" s="81"/>
      <c r="BB1427" s="5"/>
      <c r="BC1427" s="5"/>
    </row>
    <row r="1428" spans="1:55" x14ac:dyDescent="0.25">
      <c r="A1428" s="51">
        <v>43265</v>
      </c>
      <c r="B1428" s="54"/>
      <c r="C1428" s="55"/>
      <c r="D1428" s="55"/>
      <c r="E1428" s="55"/>
      <c r="F1428" s="55"/>
      <c r="G1428" s="55"/>
      <c r="H1428" s="55"/>
      <c r="I1428" s="55"/>
      <c r="J1428" s="55"/>
      <c r="K1428" s="55"/>
      <c r="L1428" s="55"/>
      <c r="M1428" s="55"/>
      <c r="N1428" s="55"/>
      <c r="O1428" s="55"/>
      <c r="P1428" s="56"/>
      <c r="AI1428" s="49"/>
      <c r="AJ1428" s="78"/>
      <c r="AK1428" s="78"/>
      <c r="AL1428" s="78"/>
      <c r="AM1428" s="78"/>
      <c r="AN1428" s="78"/>
      <c r="AO1428" s="78"/>
      <c r="AP1428" s="78"/>
      <c r="AQ1428" s="78"/>
      <c r="AR1428" s="78"/>
      <c r="AS1428" s="78"/>
      <c r="AT1428" s="78"/>
      <c r="AU1428" s="78"/>
      <c r="AV1428" s="78"/>
      <c r="AW1428" s="78"/>
      <c r="AX1428" s="78"/>
      <c r="AY1428" s="3"/>
      <c r="AZ1428" s="81"/>
      <c r="BB1428" s="5"/>
      <c r="BC1428" s="5"/>
    </row>
    <row r="1429" spans="1:55" x14ac:dyDescent="0.25">
      <c r="A1429" s="51">
        <v>43266</v>
      </c>
      <c r="B1429" s="54"/>
      <c r="C1429" s="55"/>
      <c r="D1429" s="55"/>
      <c r="E1429" s="55"/>
      <c r="F1429" s="55"/>
      <c r="G1429" s="55"/>
      <c r="H1429" s="55"/>
      <c r="I1429" s="55"/>
      <c r="J1429" s="55"/>
      <c r="K1429" s="55"/>
      <c r="L1429" s="55"/>
      <c r="M1429" s="55"/>
      <c r="N1429" s="55"/>
      <c r="O1429" s="55"/>
      <c r="P1429" s="56"/>
      <c r="AI1429" s="49"/>
      <c r="AJ1429" s="78"/>
      <c r="AK1429" s="78"/>
      <c r="AL1429" s="78"/>
      <c r="AM1429" s="78"/>
      <c r="AN1429" s="78"/>
      <c r="AO1429" s="78"/>
      <c r="AP1429" s="78"/>
      <c r="AQ1429" s="78"/>
      <c r="AR1429" s="78"/>
      <c r="AS1429" s="78"/>
      <c r="AT1429" s="78"/>
      <c r="AU1429" s="78"/>
      <c r="AV1429" s="78"/>
      <c r="AW1429" s="78"/>
      <c r="AX1429" s="78"/>
      <c r="AY1429" s="3"/>
      <c r="AZ1429" s="81"/>
      <c r="BB1429" s="5"/>
      <c r="BC1429" s="5"/>
    </row>
    <row r="1430" spans="1:55" x14ac:dyDescent="0.25">
      <c r="A1430" s="51">
        <v>43269</v>
      </c>
      <c r="B1430" s="54"/>
      <c r="C1430" s="55"/>
      <c r="D1430" s="55"/>
      <c r="E1430" s="55"/>
      <c r="F1430" s="55"/>
      <c r="G1430" s="55"/>
      <c r="H1430" s="55"/>
      <c r="I1430" s="55"/>
      <c r="J1430" s="55"/>
      <c r="K1430" s="55"/>
      <c r="L1430" s="55"/>
      <c r="M1430" s="55"/>
      <c r="N1430" s="55"/>
      <c r="O1430" s="55"/>
      <c r="P1430" s="56"/>
      <c r="AI1430" s="49"/>
      <c r="AJ1430" s="78"/>
      <c r="AK1430" s="78"/>
      <c r="AL1430" s="78"/>
      <c r="AM1430" s="78"/>
      <c r="AN1430" s="78"/>
      <c r="AO1430" s="78"/>
      <c r="AP1430" s="78"/>
      <c r="AQ1430" s="78"/>
      <c r="AR1430" s="78"/>
      <c r="AS1430" s="78"/>
      <c r="AT1430" s="78"/>
      <c r="AU1430" s="78"/>
      <c r="AV1430" s="78"/>
      <c r="AW1430" s="78"/>
      <c r="AX1430" s="78"/>
      <c r="AY1430" s="3"/>
      <c r="AZ1430" s="81"/>
      <c r="BB1430" s="5"/>
      <c r="BC1430" s="5"/>
    </row>
    <row r="1431" spans="1:55" x14ac:dyDescent="0.25">
      <c r="A1431" s="51">
        <v>43270</v>
      </c>
      <c r="B1431" s="54"/>
      <c r="C1431" s="55"/>
      <c r="D1431" s="55"/>
      <c r="E1431" s="55"/>
      <c r="F1431" s="55"/>
      <c r="G1431" s="55"/>
      <c r="H1431" s="55"/>
      <c r="I1431" s="55"/>
      <c r="J1431" s="55"/>
      <c r="K1431" s="55"/>
      <c r="L1431" s="55"/>
      <c r="M1431" s="55"/>
      <c r="N1431" s="55"/>
      <c r="O1431" s="55"/>
      <c r="P1431" s="56"/>
      <c r="AI1431" s="49"/>
      <c r="AJ1431" s="78"/>
      <c r="AK1431" s="78"/>
      <c r="AL1431" s="78"/>
      <c r="AM1431" s="78"/>
      <c r="AN1431" s="78"/>
      <c r="AO1431" s="78"/>
      <c r="AP1431" s="78"/>
      <c r="AQ1431" s="78"/>
      <c r="AR1431" s="78"/>
      <c r="AS1431" s="78"/>
      <c r="AT1431" s="78"/>
      <c r="AU1431" s="78"/>
      <c r="AV1431" s="78"/>
      <c r="AW1431" s="78"/>
      <c r="AX1431" s="78"/>
      <c r="AY1431" s="3"/>
      <c r="AZ1431" s="81"/>
      <c r="BB1431" s="5"/>
      <c r="BC1431" s="5"/>
    </row>
    <row r="1432" spans="1:55" x14ac:dyDescent="0.25">
      <c r="A1432" s="51">
        <v>43271</v>
      </c>
      <c r="B1432" s="54"/>
      <c r="C1432" s="55"/>
      <c r="D1432" s="55"/>
      <c r="E1432" s="55"/>
      <c r="F1432" s="55"/>
      <c r="G1432" s="55"/>
      <c r="H1432" s="55"/>
      <c r="I1432" s="55"/>
      <c r="J1432" s="55"/>
      <c r="K1432" s="55"/>
      <c r="L1432" s="55"/>
      <c r="M1432" s="55"/>
      <c r="N1432" s="55"/>
      <c r="O1432" s="55"/>
      <c r="P1432" s="56"/>
      <c r="AI1432" s="49"/>
      <c r="AJ1432" s="78"/>
      <c r="AK1432" s="78"/>
      <c r="AL1432" s="78"/>
      <c r="AM1432" s="78"/>
      <c r="AN1432" s="78"/>
      <c r="AO1432" s="78"/>
      <c r="AP1432" s="78"/>
      <c r="AQ1432" s="78"/>
      <c r="AR1432" s="78"/>
      <c r="AS1432" s="78"/>
      <c r="AT1432" s="78"/>
      <c r="AU1432" s="78"/>
      <c r="AV1432" s="78"/>
      <c r="AW1432" s="78"/>
      <c r="AX1432" s="78"/>
      <c r="AY1432" s="3"/>
      <c r="AZ1432" s="81"/>
      <c r="BB1432" s="5"/>
      <c r="BC1432" s="5"/>
    </row>
    <row r="1433" spans="1:55" x14ac:dyDescent="0.25">
      <c r="A1433" s="51">
        <v>43272</v>
      </c>
      <c r="B1433" s="54"/>
      <c r="C1433" s="55"/>
      <c r="D1433" s="55"/>
      <c r="E1433" s="55"/>
      <c r="F1433" s="55"/>
      <c r="G1433" s="55"/>
      <c r="H1433" s="55"/>
      <c r="I1433" s="55"/>
      <c r="J1433" s="55"/>
      <c r="K1433" s="55"/>
      <c r="L1433" s="55"/>
      <c r="M1433" s="55"/>
      <c r="N1433" s="55"/>
      <c r="O1433" s="55"/>
      <c r="P1433" s="56"/>
      <c r="AI1433" s="49"/>
      <c r="AJ1433" s="78"/>
      <c r="AK1433" s="78"/>
      <c r="AL1433" s="78"/>
      <c r="AM1433" s="78"/>
      <c r="AN1433" s="78"/>
      <c r="AO1433" s="78"/>
      <c r="AP1433" s="78"/>
      <c r="AQ1433" s="78"/>
      <c r="AR1433" s="78"/>
      <c r="AS1433" s="78"/>
      <c r="AT1433" s="78"/>
      <c r="AU1433" s="78"/>
      <c r="AV1433" s="78"/>
      <c r="AW1433" s="78"/>
      <c r="AX1433" s="78"/>
      <c r="AY1433" s="3"/>
      <c r="AZ1433" s="81"/>
      <c r="BB1433" s="5"/>
      <c r="BC1433" s="5"/>
    </row>
    <row r="1434" spans="1:55" x14ac:dyDescent="0.25">
      <c r="A1434" s="51">
        <v>43273</v>
      </c>
      <c r="B1434" s="54"/>
      <c r="C1434" s="55"/>
      <c r="D1434" s="55"/>
      <c r="E1434" s="55"/>
      <c r="F1434" s="55"/>
      <c r="G1434" s="55"/>
      <c r="H1434" s="55"/>
      <c r="I1434" s="55"/>
      <c r="J1434" s="55"/>
      <c r="K1434" s="55"/>
      <c r="L1434" s="55"/>
      <c r="M1434" s="55"/>
      <c r="N1434" s="55"/>
      <c r="O1434" s="55"/>
      <c r="P1434" s="56"/>
      <c r="AI1434" s="49"/>
      <c r="AJ1434" s="78"/>
      <c r="AK1434" s="78"/>
      <c r="AL1434" s="78"/>
      <c r="AM1434" s="78"/>
      <c r="AN1434" s="78"/>
      <c r="AO1434" s="78"/>
      <c r="AP1434" s="78"/>
      <c r="AQ1434" s="78"/>
      <c r="AR1434" s="78"/>
      <c r="AS1434" s="78"/>
      <c r="AT1434" s="78"/>
      <c r="AU1434" s="78"/>
      <c r="AV1434" s="78"/>
      <c r="AW1434" s="78"/>
      <c r="AX1434" s="78"/>
      <c r="AY1434" s="3"/>
      <c r="AZ1434" s="81"/>
      <c r="BB1434" s="5"/>
      <c r="BC1434" s="5"/>
    </row>
    <row r="1435" spans="1:55" x14ac:dyDescent="0.25">
      <c r="A1435" s="51">
        <v>43276</v>
      </c>
      <c r="B1435" s="54"/>
      <c r="C1435" s="55"/>
      <c r="D1435" s="55"/>
      <c r="E1435" s="55"/>
      <c r="F1435" s="55"/>
      <c r="G1435" s="55"/>
      <c r="H1435" s="55"/>
      <c r="I1435" s="55"/>
      <c r="J1435" s="55"/>
      <c r="K1435" s="55"/>
      <c r="L1435" s="55"/>
      <c r="M1435" s="55"/>
      <c r="N1435" s="55"/>
      <c r="O1435" s="55"/>
      <c r="P1435" s="56"/>
      <c r="AI1435" s="49"/>
      <c r="AJ1435" s="78"/>
      <c r="AK1435" s="78"/>
      <c r="AL1435" s="78"/>
      <c r="AM1435" s="78"/>
      <c r="AN1435" s="78"/>
      <c r="AO1435" s="78"/>
      <c r="AP1435" s="78"/>
      <c r="AQ1435" s="78"/>
      <c r="AR1435" s="78"/>
      <c r="AS1435" s="78"/>
      <c r="AT1435" s="78"/>
      <c r="AU1435" s="78"/>
      <c r="AV1435" s="78"/>
      <c r="AW1435" s="78"/>
      <c r="AX1435" s="78"/>
      <c r="AY1435" s="3"/>
      <c r="AZ1435" s="81"/>
      <c r="BB1435" s="5"/>
      <c r="BC1435" s="5"/>
    </row>
    <row r="1436" spans="1:55" x14ac:dyDescent="0.25">
      <c r="A1436" s="51">
        <v>43277</v>
      </c>
      <c r="B1436" s="54"/>
      <c r="C1436" s="55"/>
      <c r="D1436" s="55"/>
      <c r="E1436" s="55"/>
      <c r="F1436" s="55"/>
      <c r="G1436" s="55"/>
      <c r="H1436" s="55"/>
      <c r="I1436" s="55"/>
      <c r="J1436" s="55"/>
      <c r="K1436" s="55"/>
      <c r="L1436" s="55"/>
      <c r="M1436" s="55"/>
      <c r="N1436" s="55"/>
      <c r="O1436" s="55"/>
      <c r="P1436" s="56"/>
      <c r="AI1436" s="49"/>
      <c r="AJ1436" s="78"/>
      <c r="AK1436" s="78"/>
      <c r="AL1436" s="78"/>
      <c r="AM1436" s="78"/>
      <c r="AN1436" s="78"/>
      <c r="AO1436" s="78"/>
      <c r="AP1436" s="78"/>
      <c r="AQ1436" s="78"/>
      <c r="AR1436" s="78"/>
      <c r="AS1436" s="78"/>
      <c r="AT1436" s="78"/>
      <c r="AU1436" s="78"/>
      <c r="AV1436" s="78"/>
      <c r="AW1436" s="78"/>
      <c r="AX1436" s="78"/>
      <c r="AY1436" s="3"/>
      <c r="AZ1436" s="81"/>
      <c r="BB1436" s="5"/>
      <c r="BC1436" s="5"/>
    </row>
    <row r="1437" spans="1:55" x14ac:dyDescent="0.25">
      <c r="A1437" s="51">
        <v>43278</v>
      </c>
      <c r="B1437" s="54"/>
      <c r="C1437" s="55"/>
      <c r="D1437" s="55"/>
      <c r="E1437" s="55"/>
      <c r="F1437" s="55"/>
      <c r="G1437" s="55"/>
      <c r="H1437" s="55"/>
      <c r="I1437" s="55"/>
      <c r="J1437" s="55"/>
      <c r="K1437" s="55"/>
      <c r="L1437" s="55"/>
      <c r="M1437" s="55"/>
      <c r="N1437" s="55"/>
      <c r="O1437" s="55"/>
      <c r="P1437" s="56"/>
      <c r="AI1437" s="49"/>
      <c r="AJ1437" s="78"/>
      <c r="AK1437" s="78"/>
      <c r="AL1437" s="78"/>
      <c r="AM1437" s="78"/>
      <c r="AN1437" s="78"/>
      <c r="AO1437" s="78"/>
      <c r="AP1437" s="78"/>
      <c r="AQ1437" s="78"/>
      <c r="AR1437" s="78"/>
      <c r="AS1437" s="78"/>
      <c r="AT1437" s="78"/>
      <c r="AU1437" s="78"/>
      <c r="AV1437" s="78"/>
      <c r="AW1437" s="78"/>
      <c r="AX1437" s="78"/>
      <c r="AY1437" s="3"/>
      <c r="AZ1437" s="81"/>
      <c r="BB1437" s="5"/>
      <c r="BC1437" s="5"/>
    </row>
    <row r="1438" spans="1:55" x14ac:dyDescent="0.25">
      <c r="A1438" s="51">
        <v>43279</v>
      </c>
      <c r="B1438" s="54"/>
      <c r="C1438" s="55"/>
      <c r="D1438" s="55"/>
      <c r="E1438" s="55"/>
      <c r="F1438" s="55"/>
      <c r="G1438" s="55"/>
      <c r="H1438" s="55"/>
      <c r="I1438" s="55"/>
      <c r="J1438" s="55"/>
      <c r="K1438" s="55"/>
      <c r="L1438" s="55"/>
      <c r="M1438" s="55"/>
      <c r="N1438" s="55"/>
      <c r="O1438" s="55"/>
      <c r="P1438" s="56"/>
      <c r="AI1438" s="49"/>
      <c r="AJ1438" s="78"/>
      <c r="AK1438" s="78"/>
      <c r="AL1438" s="78"/>
      <c r="AM1438" s="78"/>
      <c r="AN1438" s="78"/>
      <c r="AO1438" s="78"/>
      <c r="AP1438" s="78"/>
      <c r="AQ1438" s="78"/>
      <c r="AR1438" s="78"/>
      <c r="AS1438" s="78"/>
      <c r="AT1438" s="78"/>
      <c r="AU1438" s="78"/>
      <c r="AV1438" s="78"/>
      <c r="AW1438" s="78"/>
      <c r="AX1438" s="78"/>
      <c r="AY1438" s="3"/>
      <c r="AZ1438" s="81"/>
      <c r="BB1438" s="5"/>
      <c r="BC1438" s="5"/>
    </row>
    <row r="1439" spans="1:55" x14ac:dyDescent="0.25">
      <c r="A1439" s="51">
        <v>43283</v>
      </c>
      <c r="B1439" s="54"/>
      <c r="C1439" s="55"/>
      <c r="D1439" s="55"/>
      <c r="E1439" s="55"/>
      <c r="F1439" s="55"/>
      <c r="G1439" s="55"/>
      <c r="H1439" s="55"/>
      <c r="I1439" s="55"/>
      <c r="J1439" s="55"/>
      <c r="K1439" s="55"/>
      <c r="L1439" s="55"/>
      <c r="M1439" s="55"/>
      <c r="N1439" s="55"/>
      <c r="O1439" s="55"/>
      <c r="P1439" s="56"/>
      <c r="AI1439" s="49"/>
      <c r="AJ1439" s="78"/>
      <c r="AK1439" s="78"/>
      <c r="AL1439" s="78"/>
      <c r="AM1439" s="78"/>
      <c r="AN1439" s="78"/>
      <c r="AO1439" s="78"/>
      <c r="AP1439" s="78"/>
      <c r="AQ1439" s="78"/>
      <c r="AR1439" s="78"/>
      <c r="AS1439" s="78"/>
      <c r="AT1439" s="78"/>
      <c r="AU1439" s="78"/>
      <c r="AV1439" s="78"/>
      <c r="AW1439" s="78"/>
      <c r="AX1439" s="78"/>
      <c r="AY1439" s="3"/>
      <c r="AZ1439" s="81"/>
      <c r="BB1439" s="5"/>
      <c r="BC1439" s="5"/>
    </row>
    <row r="1440" spans="1:55" x14ac:dyDescent="0.25">
      <c r="A1440" s="51">
        <v>43284</v>
      </c>
      <c r="B1440" s="54"/>
      <c r="C1440" s="55"/>
      <c r="D1440" s="55"/>
      <c r="E1440" s="55"/>
      <c r="F1440" s="55"/>
      <c r="G1440" s="55"/>
      <c r="H1440" s="55"/>
      <c r="I1440" s="55"/>
      <c r="J1440" s="55"/>
      <c r="K1440" s="55"/>
      <c r="L1440" s="55"/>
      <c r="M1440" s="55"/>
      <c r="N1440" s="55"/>
      <c r="O1440" s="55"/>
      <c r="P1440" s="56"/>
      <c r="AI1440" s="49"/>
      <c r="AJ1440" s="78"/>
      <c r="AK1440" s="78"/>
      <c r="AL1440" s="78"/>
      <c r="AM1440" s="78"/>
      <c r="AN1440" s="78"/>
      <c r="AO1440" s="78"/>
      <c r="AP1440" s="78"/>
      <c r="AQ1440" s="78"/>
      <c r="AR1440" s="78"/>
      <c r="AS1440" s="78"/>
      <c r="AT1440" s="78"/>
      <c r="AU1440" s="78"/>
      <c r="AV1440" s="78"/>
      <c r="AW1440" s="78"/>
      <c r="AX1440" s="78"/>
      <c r="AY1440" s="3"/>
      <c r="AZ1440" s="81"/>
      <c r="BB1440" s="5"/>
      <c r="BC1440" s="5"/>
    </row>
    <row r="1441" spans="1:55" x14ac:dyDescent="0.25">
      <c r="A1441" s="51">
        <v>43285</v>
      </c>
      <c r="B1441" s="54"/>
      <c r="C1441" s="55"/>
      <c r="D1441" s="55"/>
      <c r="E1441" s="55"/>
      <c r="F1441" s="55"/>
      <c r="G1441" s="55"/>
      <c r="H1441" s="55"/>
      <c r="I1441" s="55"/>
      <c r="J1441" s="55"/>
      <c r="K1441" s="55"/>
      <c r="L1441" s="55"/>
      <c r="M1441" s="55"/>
      <c r="N1441" s="55"/>
      <c r="O1441" s="55"/>
      <c r="P1441" s="56"/>
      <c r="AI1441" s="49"/>
      <c r="AJ1441" s="78"/>
      <c r="AK1441" s="78"/>
      <c r="AL1441" s="78"/>
      <c r="AM1441" s="78"/>
      <c r="AN1441" s="78"/>
      <c r="AO1441" s="78"/>
      <c r="AP1441" s="78"/>
      <c r="AQ1441" s="78"/>
      <c r="AR1441" s="78"/>
      <c r="AS1441" s="78"/>
      <c r="AT1441" s="78"/>
      <c r="AU1441" s="78"/>
      <c r="AV1441" s="78"/>
      <c r="AW1441" s="78"/>
      <c r="AX1441" s="78"/>
      <c r="AY1441" s="3"/>
      <c r="AZ1441" s="81"/>
      <c r="BB1441" s="5"/>
      <c r="BC1441" s="5"/>
    </row>
    <row r="1442" spans="1:55" x14ac:dyDescent="0.25">
      <c r="A1442" s="51">
        <v>43286</v>
      </c>
      <c r="B1442" s="54"/>
      <c r="C1442" s="55"/>
      <c r="D1442" s="55"/>
      <c r="E1442" s="55"/>
      <c r="F1442" s="55"/>
      <c r="G1442" s="55"/>
      <c r="H1442" s="55"/>
      <c r="I1442" s="55"/>
      <c r="J1442" s="55"/>
      <c r="K1442" s="55"/>
      <c r="L1442" s="55"/>
      <c r="M1442" s="55"/>
      <c r="N1442" s="55"/>
      <c r="O1442" s="55"/>
      <c r="P1442" s="56"/>
      <c r="AI1442" s="49"/>
      <c r="AJ1442" s="78"/>
      <c r="AK1442" s="78"/>
      <c r="AL1442" s="78"/>
      <c r="AM1442" s="78"/>
      <c r="AN1442" s="78"/>
      <c r="AO1442" s="78"/>
      <c r="AP1442" s="78"/>
      <c r="AQ1442" s="78"/>
      <c r="AR1442" s="78"/>
      <c r="AS1442" s="78"/>
      <c r="AT1442" s="78"/>
      <c r="AU1442" s="78"/>
      <c r="AV1442" s="78"/>
      <c r="AW1442" s="78"/>
      <c r="AX1442" s="78"/>
      <c r="AY1442" s="3"/>
      <c r="AZ1442" s="81"/>
      <c r="BB1442" s="5"/>
      <c r="BC1442" s="5"/>
    </row>
    <row r="1443" spans="1:55" x14ac:dyDescent="0.25">
      <c r="A1443" s="51">
        <v>43287</v>
      </c>
      <c r="B1443" s="54"/>
      <c r="C1443" s="55"/>
      <c r="D1443" s="55"/>
      <c r="E1443" s="55"/>
      <c r="F1443" s="55"/>
      <c r="G1443" s="55"/>
      <c r="H1443" s="55"/>
      <c r="I1443" s="55"/>
      <c r="J1443" s="55"/>
      <c r="K1443" s="55"/>
      <c r="L1443" s="55"/>
      <c r="M1443" s="55"/>
      <c r="N1443" s="55"/>
      <c r="O1443" s="55"/>
      <c r="P1443" s="56"/>
      <c r="AI1443" s="49"/>
      <c r="AJ1443" s="78"/>
      <c r="AK1443" s="78"/>
      <c r="AL1443" s="78"/>
      <c r="AM1443" s="78"/>
      <c r="AN1443" s="78"/>
      <c r="AO1443" s="78"/>
      <c r="AP1443" s="78"/>
      <c r="AQ1443" s="78"/>
      <c r="AR1443" s="78"/>
      <c r="AS1443" s="78"/>
      <c r="AT1443" s="78"/>
      <c r="AU1443" s="78"/>
      <c r="AV1443" s="78"/>
      <c r="AW1443" s="78"/>
      <c r="AX1443" s="78"/>
      <c r="AY1443" s="3"/>
      <c r="AZ1443" s="81"/>
      <c r="BB1443" s="5"/>
      <c r="BC1443" s="5"/>
    </row>
    <row r="1444" spans="1:55" x14ac:dyDescent="0.25">
      <c r="A1444" s="51">
        <v>43290</v>
      </c>
      <c r="B1444" s="54"/>
      <c r="C1444" s="55"/>
      <c r="D1444" s="55"/>
      <c r="E1444" s="55"/>
      <c r="F1444" s="55"/>
      <c r="G1444" s="55"/>
      <c r="H1444" s="55"/>
      <c r="I1444" s="55"/>
      <c r="J1444" s="55"/>
      <c r="K1444" s="55"/>
      <c r="L1444" s="55"/>
      <c r="M1444" s="55"/>
      <c r="N1444" s="55"/>
      <c r="O1444" s="55"/>
      <c r="P1444" s="56"/>
      <c r="AI1444" s="49"/>
      <c r="AJ1444" s="78"/>
      <c r="AK1444" s="78"/>
      <c r="AL1444" s="78"/>
      <c r="AM1444" s="78"/>
      <c r="AN1444" s="78"/>
      <c r="AO1444" s="78"/>
      <c r="AP1444" s="78"/>
      <c r="AQ1444" s="78"/>
      <c r="AR1444" s="78"/>
      <c r="AS1444" s="78"/>
      <c r="AT1444" s="78"/>
      <c r="AU1444" s="78"/>
      <c r="AV1444" s="78"/>
      <c r="AW1444" s="78"/>
      <c r="AX1444" s="78"/>
      <c r="AY1444" s="3"/>
      <c r="AZ1444" s="81"/>
      <c r="BB1444" s="5"/>
      <c r="BC1444" s="5"/>
    </row>
    <row r="1445" spans="1:55" x14ac:dyDescent="0.25">
      <c r="A1445" s="51">
        <v>43291</v>
      </c>
      <c r="B1445" s="54"/>
      <c r="C1445" s="55"/>
      <c r="D1445" s="55"/>
      <c r="E1445" s="55"/>
      <c r="F1445" s="55"/>
      <c r="G1445" s="55"/>
      <c r="H1445" s="55"/>
      <c r="I1445" s="55"/>
      <c r="J1445" s="55"/>
      <c r="K1445" s="55"/>
      <c r="L1445" s="55"/>
      <c r="M1445" s="55"/>
      <c r="N1445" s="55"/>
      <c r="O1445" s="55"/>
      <c r="P1445" s="56"/>
      <c r="AI1445" s="49"/>
      <c r="AJ1445" s="78"/>
      <c r="AK1445" s="78"/>
      <c r="AL1445" s="78"/>
      <c r="AM1445" s="78"/>
      <c r="AN1445" s="78"/>
      <c r="AO1445" s="78"/>
      <c r="AP1445" s="78"/>
      <c r="AQ1445" s="78"/>
      <c r="AR1445" s="78"/>
      <c r="AS1445" s="78"/>
      <c r="AT1445" s="78"/>
      <c r="AU1445" s="78"/>
      <c r="AV1445" s="78"/>
      <c r="AW1445" s="78"/>
      <c r="AX1445" s="78"/>
      <c r="AY1445" s="3"/>
      <c r="AZ1445" s="81"/>
      <c r="BB1445" s="5"/>
      <c r="BC1445" s="5"/>
    </row>
    <row r="1446" spans="1:55" x14ac:dyDescent="0.25">
      <c r="A1446" s="51">
        <v>43292</v>
      </c>
      <c r="B1446" s="54"/>
      <c r="C1446" s="55"/>
      <c r="D1446" s="55"/>
      <c r="E1446" s="55"/>
      <c r="F1446" s="55"/>
      <c r="G1446" s="55"/>
      <c r="H1446" s="55"/>
      <c r="I1446" s="55"/>
      <c r="J1446" s="55"/>
      <c r="K1446" s="55"/>
      <c r="L1446" s="55"/>
      <c r="M1446" s="55"/>
      <c r="N1446" s="55"/>
      <c r="O1446" s="55"/>
      <c r="P1446" s="56"/>
      <c r="AI1446" s="49"/>
      <c r="AJ1446" s="78"/>
      <c r="AK1446" s="78"/>
      <c r="AL1446" s="78"/>
      <c r="AM1446" s="78"/>
      <c r="AN1446" s="78"/>
      <c r="AO1446" s="78"/>
      <c r="AP1446" s="78"/>
      <c r="AQ1446" s="78"/>
      <c r="AR1446" s="78"/>
      <c r="AS1446" s="78"/>
      <c r="AT1446" s="78"/>
      <c r="AU1446" s="78"/>
      <c r="AV1446" s="78"/>
      <c r="AW1446" s="78"/>
      <c r="AX1446" s="78"/>
      <c r="AY1446" s="3"/>
      <c r="AZ1446" s="81"/>
      <c r="BB1446" s="5"/>
      <c r="BC1446" s="5"/>
    </row>
    <row r="1447" spans="1:55" x14ac:dyDescent="0.25">
      <c r="A1447" s="51">
        <v>43293</v>
      </c>
      <c r="B1447" s="54"/>
      <c r="C1447" s="55"/>
      <c r="D1447" s="55"/>
      <c r="E1447" s="55"/>
      <c r="F1447" s="55"/>
      <c r="G1447" s="55"/>
      <c r="H1447" s="55"/>
      <c r="I1447" s="55"/>
      <c r="J1447" s="55"/>
      <c r="K1447" s="55"/>
      <c r="L1447" s="55"/>
      <c r="M1447" s="55"/>
      <c r="N1447" s="55"/>
      <c r="O1447" s="55"/>
      <c r="P1447" s="56"/>
      <c r="AI1447" s="49"/>
      <c r="AJ1447" s="78"/>
      <c r="AK1447" s="78"/>
      <c r="AL1447" s="78"/>
      <c r="AM1447" s="78"/>
      <c r="AN1447" s="78"/>
      <c r="AO1447" s="78"/>
      <c r="AP1447" s="78"/>
      <c r="AQ1447" s="78"/>
      <c r="AR1447" s="78"/>
      <c r="AS1447" s="78"/>
      <c r="AT1447" s="78"/>
      <c r="AU1447" s="78"/>
      <c r="AV1447" s="78"/>
      <c r="AW1447" s="78"/>
      <c r="AX1447" s="78"/>
      <c r="AY1447" s="3"/>
      <c r="AZ1447" s="81"/>
      <c r="BB1447" s="5"/>
      <c r="BC1447" s="5"/>
    </row>
    <row r="1448" spans="1:55" x14ac:dyDescent="0.25">
      <c r="A1448" s="51">
        <v>43294</v>
      </c>
      <c r="B1448" s="54"/>
      <c r="C1448" s="55"/>
      <c r="D1448" s="55"/>
      <c r="E1448" s="55"/>
      <c r="F1448" s="55"/>
      <c r="G1448" s="55"/>
      <c r="H1448" s="55"/>
      <c r="I1448" s="55"/>
      <c r="J1448" s="55"/>
      <c r="K1448" s="55"/>
      <c r="L1448" s="55"/>
      <c r="M1448" s="55"/>
      <c r="N1448" s="55"/>
      <c r="O1448" s="55"/>
      <c r="P1448" s="56"/>
      <c r="AI1448" s="49"/>
      <c r="AJ1448" s="78"/>
      <c r="AK1448" s="78"/>
      <c r="AL1448" s="78"/>
      <c r="AM1448" s="78"/>
      <c r="AN1448" s="78"/>
      <c r="AO1448" s="78"/>
      <c r="AP1448" s="78"/>
      <c r="AQ1448" s="78"/>
      <c r="AR1448" s="78"/>
      <c r="AS1448" s="78"/>
      <c r="AT1448" s="78"/>
      <c r="AU1448" s="78"/>
      <c r="AV1448" s="78"/>
      <c r="AW1448" s="78"/>
      <c r="AX1448" s="78"/>
      <c r="AY1448" s="3"/>
      <c r="AZ1448" s="81"/>
      <c r="BB1448" s="5"/>
      <c r="BC1448" s="5"/>
    </row>
    <row r="1449" spans="1:55" x14ac:dyDescent="0.25">
      <c r="A1449" s="51">
        <v>43297</v>
      </c>
      <c r="B1449" s="54"/>
      <c r="C1449" s="55"/>
      <c r="D1449" s="55"/>
      <c r="E1449" s="55"/>
      <c r="F1449" s="55"/>
      <c r="G1449" s="55"/>
      <c r="H1449" s="55"/>
      <c r="I1449" s="55"/>
      <c r="J1449" s="55"/>
      <c r="K1449" s="55"/>
      <c r="L1449" s="55"/>
      <c r="M1449" s="55"/>
      <c r="N1449" s="55"/>
      <c r="O1449" s="55"/>
      <c r="P1449" s="56"/>
      <c r="AI1449" s="49"/>
      <c r="AJ1449" s="78"/>
      <c r="AK1449" s="78"/>
      <c r="AL1449" s="78"/>
      <c r="AM1449" s="78"/>
      <c r="AN1449" s="78"/>
      <c r="AO1449" s="78"/>
      <c r="AP1449" s="78"/>
      <c r="AQ1449" s="78"/>
      <c r="AR1449" s="78"/>
      <c r="AS1449" s="78"/>
      <c r="AT1449" s="78"/>
      <c r="AU1449" s="78"/>
      <c r="AV1449" s="78"/>
      <c r="AW1449" s="78"/>
      <c r="AX1449" s="78"/>
      <c r="AY1449" s="3"/>
      <c r="AZ1449" s="81"/>
      <c r="BB1449" s="5"/>
      <c r="BC1449" s="5"/>
    </row>
    <row r="1450" spans="1:55" x14ac:dyDescent="0.25">
      <c r="A1450" s="51">
        <v>43298</v>
      </c>
      <c r="B1450" s="54"/>
      <c r="C1450" s="55"/>
      <c r="D1450" s="55"/>
      <c r="E1450" s="55"/>
      <c r="F1450" s="55"/>
      <c r="G1450" s="55"/>
      <c r="H1450" s="55"/>
      <c r="I1450" s="55"/>
      <c r="J1450" s="55"/>
      <c r="K1450" s="55"/>
      <c r="L1450" s="55"/>
      <c r="M1450" s="55"/>
      <c r="N1450" s="55"/>
      <c r="O1450" s="55"/>
      <c r="P1450" s="56"/>
      <c r="AI1450" s="49"/>
      <c r="AJ1450" s="78"/>
      <c r="AK1450" s="78"/>
      <c r="AL1450" s="78"/>
      <c r="AM1450" s="78"/>
      <c r="AN1450" s="78"/>
      <c r="AO1450" s="78"/>
      <c r="AP1450" s="78"/>
      <c r="AQ1450" s="78"/>
      <c r="AR1450" s="78"/>
      <c r="AS1450" s="78"/>
      <c r="AT1450" s="78"/>
      <c r="AU1450" s="78"/>
      <c r="AV1450" s="78"/>
      <c r="AW1450" s="78"/>
      <c r="AX1450" s="78"/>
      <c r="AY1450" s="3"/>
      <c r="AZ1450" s="81"/>
      <c r="BB1450" s="5"/>
      <c r="BC1450" s="5"/>
    </row>
    <row r="1451" spans="1:55" x14ac:dyDescent="0.25">
      <c r="A1451" s="51">
        <v>43299</v>
      </c>
      <c r="B1451" s="54"/>
      <c r="C1451" s="55"/>
      <c r="D1451" s="55"/>
      <c r="E1451" s="55"/>
      <c r="F1451" s="55"/>
      <c r="G1451" s="55"/>
      <c r="H1451" s="55"/>
      <c r="I1451" s="55"/>
      <c r="J1451" s="55"/>
      <c r="K1451" s="55"/>
      <c r="L1451" s="55"/>
      <c r="M1451" s="55"/>
      <c r="N1451" s="55"/>
      <c r="O1451" s="55"/>
      <c r="P1451" s="56"/>
      <c r="AI1451" s="49"/>
      <c r="AJ1451" s="78"/>
      <c r="AK1451" s="78"/>
      <c r="AL1451" s="78"/>
      <c r="AM1451" s="78"/>
      <c r="AN1451" s="78"/>
      <c r="AO1451" s="78"/>
      <c r="AP1451" s="78"/>
      <c r="AQ1451" s="78"/>
      <c r="AR1451" s="78"/>
      <c r="AS1451" s="78"/>
      <c r="AT1451" s="78"/>
      <c r="AU1451" s="78"/>
      <c r="AV1451" s="78"/>
      <c r="AW1451" s="78"/>
      <c r="AX1451" s="78"/>
      <c r="AY1451" s="3"/>
      <c r="AZ1451" s="81"/>
      <c r="BB1451" s="5"/>
      <c r="BC1451" s="5"/>
    </row>
    <row r="1452" spans="1:55" x14ac:dyDescent="0.25">
      <c r="A1452" s="51">
        <v>43300</v>
      </c>
      <c r="B1452" s="54"/>
      <c r="C1452" s="55"/>
      <c r="D1452" s="55"/>
      <c r="E1452" s="55"/>
      <c r="F1452" s="55"/>
      <c r="G1452" s="55"/>
      <c r="H1452" s="55"/>
      <c r="I1452" s="55"/>
      <c r="J1452" s="55"/>
      <c r="K1452" s="55"/>
      <c r="L1452" s="55"/>
      <c r="M1452" s="55"/>
      <c r="N1452" s="55"/>
      <c r="O1452" s="55"/>
      <c r="P1452" s="56"/>
      <c r="AI1452" s="49"/>
      <c r="AJ1452" s="78"/>
      <c r="AK1452" s="78"/>
      <c r="AL1452" s="78"/>
      <c r="AM1452" s="78"/>
      <c r="AN1452" s="78"/>
      <c r="AO1452" s="78"/>
      <c r="AP1452" s="78"/>
      <c r="AQ1452" s="78"/>
      <c r="AR1452" s="78"/>
      <c r="AS1452" s="78"/>
      <c r="AT1452" s="78"/>
      <c r="AU1452" s="78"/>
      <c r="AV1452" s="78"/>
      <c r="AW1452" s="78"/>
      <c r="AX1452" s="78"/>
      <c r="AY1452" s="3"/>
      <c r="AZ1452" s="81"/>
      <c r="BB1452" s="5"/>
      <c r="BC1452" s="5"/>
    </row>
    <row r="1453" spans="1:55" x14ac:dyDescent="0.25">
      <c r="A1453" s="51">
        <v>43301</v>
      </c>
      <c r="B1453" s="54"/>
      <c r="C1453" s="55"/>
      <c r="D1453" s="55"/>
      <c r="E1453" s="55"/>
      <c r="F1453" s="55"/>
      <c r="G1453" s="55"/>
      <c r="H1453" s="55"/>
      <c r="I1453" s="55"/>
      <c r="J1453" s="55"/>
      <c r="K1453" s="55"/>
      <c r="L1453" s="55"/>
      <c r="M1453" s="55"/>
      <c r="N1453" s="55"/>
      <c r="O1453" s="55"/>
      <c r="P1453" s="56"/>
      <c r="AI1453" s="49"/>
      <c r="AJ1453" s="78"/>
      <c r="AK1453" s="78"/>
      <c r="AL1453" s="78"/>
      <c r="AM1453" s="78"/>
      <c r="AN1453" s="78"/>
      <c r="AO1453" s="78"/>
      <c r="AP1453" s="78"/>
      <c r="AQ1453" s="78"/>
      <c r="AR1453" s="78"/>
      <c r="AS1453" s="78"/>
      <c r="AT1453" s="78"/>
      <c r="AU1453" s="78"/>
      <c r="AV1453" s="78"/>
      <c r="AW1453" s="78"/>
      <c r="AX1453" s="78"/>
      <c r="AY1453" s="3"/>
      <c r="AZ1453" s="81"/>
      <c r="BB1453" s="5"/>
      <c r="BC1453" s="5"/>
    </row>
    <row r="1454" spans="1:55" x14ac:dyDescent="0.25">
      <c r="A1454" s="51">
        <v>43304</v>
      </c>
      <c r="B1454" s="54"/>
      <c r="C1454" s="55"/>
      <c r="D1454" s="55"/>
      <c r="E1454" s="55"/>
      <c r="F1454" s="55"/>
      <c r="G1454" s="55"/>
      <c r="H1454" s="55"/>
      <c r="I1454" s="55"/>
      <c r="J1454" s="55"/>
      <c r="K1454" s="55"/>
      <c r="L1454" s="55"/>
      <c r="M1454" s="55"/>
      <c r="N1454" s="55"/>
      <c r="O1454" s="55"/>
      <c r="P1454" s="56"/>
      <c r="AI1454" s="49"/>
      <c r="AJ1454" s="78"/>
      <c r="AK1454" s="78"/>
      <c r="AL1454" s="78"/>
      <c r="AM1454" s="78"/>
      <c r="AN1454" s="78"/>
      <c r="AO1454" s="78"/>
      <c r="AP1454" s="78"/>
      <c r="AQ1454" s="78"/>
      <c r="AR1454" s="78"/>
      <c r="AS1454" s="78"/>
      <c r="AT1454" s="78"/>
      <c r="AU1454" s="78"/>
      <c r="AV1454" s="78"/>
      <c r="AW1454" s="78"/>
      <c r="AX1454" s="78"/>
      <c r="AY1454" s="3"/>
      <c r="AZ1454" s="81"/>
      <c r="BB1454" s="5"/>
      <c r="BC1454" s="5"/>
    </row>
    <row r="1455" spans="1:55" x14ac:dyDescent="0.25">
      <c r="A1455" s="51">
        <v>43305</v>
      </c>
      <c r="B1455" s="54"/>
      <c r="C1455" s="55"/>
      <c r="D1455" s="55"/>
      <c r="E1455" s="55"/>
      <c r="F1455" s="55"/>
      <c r="G1455" s="55"/>
      <c r="H1455" s="55"/>
      <c r="I1455" s="55"/>
      <c r="J1455" s="55"/>
      <c r="K1455" s="55"/>
      <c r="L1455" s="55"/>
      <c r="M1455" s="55"/>
      <c r="N1455" s="55"/>
      <c r="O1455" s="55"/>
      <c r="P1455" s="56"/>
      <c r="AI1455" s="49"/>
      <c r="AJ1455" s="78"/>
      <c r="AK1455" s="78"/>
      <c r="AL1455" s="78"/>
      <c r="AM1455" s="78"/>
      <c r="AN1455" s="78"/>
      <c r="AO1455" s="78"/>
      <c r="AP1455" s="78"/>
      <c r="AQ1455" s="78"/>
      <c r="AR1455" s="78"/>
      <c r="AS1455" s="78"/>
      <c r="AT1455" s="78"/>
      <c r="AU1455" s="78"/>
      <c r="AV1455" s="78"/>
      <c r="AW1455" s="78"/>
      <c r="AX1455" s="78"/>
      <c r="AY1455" s="3"/>
      <c r="AZ1455" s="81"/>
      <c r="BB1455" s="5"/>
      <c r="BC1455" s="5"/>
    </row>
    <row r="1456" spans="1:55" x14ac:dyDescent="0.25">
      <c r="A1456" s="51">
        <v>43306</v>
      </c>
      <c r="B1456" s="54"/>
      <c r="C1456" s="55"/>
      <c r="D1456" s="55"/>
      <c r="E1456" s="55"/>
      <c r="F1456" s="55"/>
      <c r="G1456" s="55"/>
      <c r="H1456" s="55"/>
      <c r="I1456" s="55"/>
      <c r="J1456" s="55"/>
      <c r="K1456" s="55"/>
      <c r="L1456" s="55"/>
      <c r="M1456" s="55"/>
      <c r="N1456" s="55"/>
      <c r="O1456" s="55"/>
      <c r="P1456" s="56"/>
      <c r="AI1456" s="49"/>
      <c r="AJ1456" s="78"/>
      <c r="AK1456" s="78"/>
      <c r="AL1456" s="78"/>
      <c r="AM1456" s="78"/>
      <c r="AN1456" s="78"/>
      <c r="AO1456" s="78"/>
      <c r="AP1456" s="78"/>
      <c r="AQ1456" s="78"/>
      <c r="AR1456" s="78"/>
      <c r="AS1456" s="78"/>
      <c r="AT1456" s="78"/>
      <c r="AU1456" s="78"/>
      <c r="AV1456" s="78"/>
      <c r="AW1456" s="78"/>
      <c r="AX1456" s="78"/>
      <c r="AY1456" s="3"/>
      <c r="AZ1456" s="81"/>
      <c r="BB1456" s="5"/>
      <c r="BC1456" s="5"/>
    </row>
    <row r="1457" spans="1:55" x14ac:dyDescent="0.25">
      <c r="A1457" s="51">
        <v>43307</v>
      </c>
      <c r="B1457" s="54"/>
      <c r="C1457" s="55"/>
      <c r="D1457" s="55"/>
      <c r="E1457" s="55"/>
      <c r="F1457" s="55"/>
      <c r="G1457" s="55"/>
      <c r="H1457" s="55"/>
      <c r="I1457" s="55"/>
      <c r="J1457" s="55"/>
      <c r="K1457" s="55"/>
      <c r="L1457" s="55"/>
      <c r="M1457" s="55"/>
      <c r="N1457" s="55"/>
      <c r="O1457" s="55"/>
      <c r="P1457" s="56"/>
      <c r="AI1457" s="49"/>
      <c r="AJ1457" s="78"/>
      <c r="AK1457" s="78"/>
      <c r="AL1457" s="78"/>
      <c r="AM1457" s="78"/>
      <c r="AN1457" s="78"/>
      <c r="AO1457" s="78"/>
      <c r="AP1457" s="78"/>
      <c r="AQ1457" s="78"/>
      <c r="AR1457" s="78"/>
      <c r="AS1457" s="78"/>
      <c r="AT1457" s="78"/>
      <c r="AU1457" s="78"/>
      <c r="AV1457" s="78"/>
      <c r="AW1457" s="78"/>
      <c r="AX1457" s="78"/>
      <c r="AY1457" s="3"/>
      <c r="AZ1457" s="81"/>
      <c r="BB1457" s="5"/>
      <c r="BC1457" s="5"/>
    </row>
    <row r="1458" spans="1:55" x14ac:dyDescent="0.25">
      <c r="A1458" s="51">
        <v>43308</v>
      </c>
      <c r="B1458" s="54"/>
      <c r="C1458" s="55"/>
      <c r="D1458" s="55"/>
      <c r="E1458" s="55"/>
      <c r="F1458" s="55"/>
      <c r="G1458" s="55"/>
      <c r="H1458" s="55"/>
      <c r="I1458" s="55"/>
      <c r="J1458" s="55"/>
      <c r="K1458" s="55"/>
      <c r="L1458" s="55"/>
      <c r="M1458" s="55"/>
      <c r="N1458" s="55"/>
      <c r="O1458" s="55"/>
      <c r="P1458" s="56"/>
      <c r="AI1458" s="49"/>
      <c r="AJ1458" s="78"/>
      <c r="AK1458" s="78"/>
      <c r="AL1458" s="78"/>
      <c r="AM1458" s="78"/>
      <c r="AN1458" s="78"/>
      <c r="AO1458" s="78"/>
      <c r="AP1458" s="78"/>
      <c r="AQ1458" s="78"/>
      <c r="AR1458" s="78"/>
      <c r="AS1458" s="78"/>
      <c r="AT1458" s="78"/>
      <c r="AU1458" s="78"/>
      <c r="AV1458" s="78"/>
      <c r="AW1458" s="78"/>
      <c r="AX1458" s="78"/>
      <c r="AY1458" s="3"/>
      <c r="AZ1458" s="81"/>
      <c r="BB1458" s="5"/>
      <c r="BC1458" s="5"/>
    </row>
    <row r="1459" spans="1:55" x14ac:dyDescent="0.25">
      <c r="A1459" s="51">
        <v>43311</v>
      </c>
      <c r="B1459" s="54"/>
      <c r="C1459" s="55"/>
      <c r="D1459" s="55"/>
      <c r="E1459" s="55"/>
      <c r="F1459" s="55"/>
      <c r="G1459" s="55"/>
      <c r="H1459" s="55"/>
      <c r="I1459" s="55"/>
      <c r="J1459" s="55"/>
      <c r="K1459" s="55"/>
      <c r="L1459" s="55"/>
      <c r="M1459" s="55"/>
      <c r="N1459" s="55"/>
      <c r="O1459" s="55"/>
      <c r="P1459" s="56"/>
      <c r="AI1459" s="49"/>
      <c r="AJ1459" s="78"/>
      <c r="AK1459" s="78"/>
      <c r="AL1459" s="78"/>
      <c r="AM1459" s="78"/>
      <c r="AN1459" s="78"/>
      <c r="AO1459" s="78"/>
      <c r="AP1459" s="78"/>
      <c r="AQ1459" s="78"/>
      <c r="AR1459" s="78"/>
      <c r="AS1459" s="78"/>
      <c r="AT1459" s="78"/>
      <c r="AU1459" s="78"/>
      <c r="AV1459" s="78"/>
      <c r="AW1459" s="78"/>
      <c r="AX1459" s="78"/>
      <c r="AY1459" s="3"/>
      <c r="AZ1459" s="81"/>
      <c r="BB1459" s="5"/>
      <c r="BC1459" s="5"/>
    </row>
    <row r="1460" spans="1:55" x14ac:dyDescent="0.25">
      <c r="A1460" s="51">
        <v>43312</v>
      </c>
      <c r="B1460" s="54"/>
      <c r="C1460" s="55"/>
      <c r="D1460" s="55"/>
      <c r="E1460" s="55"/>
      <c r="F1460" s="55"/>
      <c r="G1460" s="55"/>
      <c r="H1460" s="55"/>
      <c r="I1460" s="55"/>
      <c r="J1460" s="55"/>
      <c r="K1460" s="55"/>
      <c r="L1460" s="55"/>
      <c r="M1460" s="55"/>
      <c r="N1460" s="55"/>
      <c r="O1460" s="55"/>
      <c r="P1460" s="56"/>
      <c r="AI1460" s="49"/>
      <c r="AJ1460" s="78"/>
      <c r="AK1460" s="78"/>
      <c r="AL1460" s="78"/>
      <c r="AM1460" s="78"/>
      <c r="AN1460" s="78"/>
      <c r="AO1460" s="78"/>
      <c r="AP1460" s="78"/>
      <c r="AQ1460" s="78"/>
      <c r="AR1460" s="78"/>
      <c r="AS1460" s="78"/>
      <c r="AT1460" s="78"/>
      <c r="AU1460" s="78"/>
      <c r="AV1460" s="78"/>
      <c r="AW1460" s="78"/>
      <c r="AX1460" s="78"/>
      <c r="AY1460" s="3"/>
      <c r="AZ1460" s="81"/>
      <c r="BB1460" s="5"/>
      <c r="BC1460" s="5"/>
    </row>
    <row r="1461" spans="1:55" x14ac:dyDescent="0.25">
      <c r="A1461" s="51">
        <v>43313</v>
      </c>
      <c r="B1461" s="54"/>
      <c r="C1461" s="55"/>
      <c r="D1461" s="55"/>
      <c r="E1461" s="55"/>
      <c r="F1461" s="55"/>
      <c r="G1461" s="55"/>
      <c r="H1461" s="55"/>
      <c r="I1461" s="55"/>
      <c r="J1461" s="55"/>
      <c r="K1461" s="55"/>
      <c r="L1461" s="55"/>
      <c r="M1461" s="55"/>
      <c r="N1461" s="55"/>
      <c r="O1461" s="55"/>
      <c r="P1461" s="56"/>
      <c r="AI1461" s="49"/>
      <c r="AJ1461" s="78"/>
      <c r="AK1461" s="78"/>
      <c r="AL1461" s="78"/>
      <c r="AM1461" s="78"/>
      <c r="AN1461" s="78"/>
      <c r="AO1461" s="78"/>
      <c r="AP1461" s="78"/>
      <c r="AQ1461" s="78"/>
      <c r="AR1461" s="78"/>
      <c r="AS1461" s="78"/>
      <c r="AT1461" s="78"/>
      <c r="AU1461" s="78"/>
      <c r="AV1461" s="78"/>
      <c r="AW1461" s="78"/>
      <c r="AX1461" s="78"/>
      <c r="AY1461" s="3"/>
      <c r="AZ1461" s="81"/>
      <c r="BB1461" s="5"/>
      <c r="BC1461" s="5"/>
    </row>
    <row r="1462" spans="1:55" x14ac:dyDescent="0.25">
      <c r="A1462" s="51">
        <v>43314</v>
      </c>
      <c r="B1462" s="54"/>
      <c r="C1462" s="55"/>
      <c r="D1462" s="55"/>
      <c r="E1462" s="55"/>
      <c r="F1462" s="55"/>
      <c r="G1462" s="55"/>
      <c r="H1462" s="55"/>
      <c r="I1462" s="55"/>
      <c r="J1462" s="55"/>
      <c r="K1462" s="55"/>
      <c r="L1462" s="55"/>
      <c r="M1462" s="55"/>
      <c r="N1462" s="55"/>
      <c r="O1462" s="55"/>
      <c r="P1462" s="56"/>
      <c r="AI1462" s="49"/>
      <c r="AJ1462" s="78"/>
      <c r="AK1462" s="78"/>
      <c r="AL1462" s="78"/>
      <c r="AM1462" s="78"/>
      <c r="AN1462" s="78"/>
      <c r="AO1462" s="78"/>
      <c r="AP1462" s="78"/>
      <c r="AQ1462" s="78"/>
      <c r="AR1462" s="78"/>
      <c r="AS1462" s="78"/>
      <c r="AT1462" s="78"/>
      <c r="AU1462" s="78"/>
      <c r="AV1462" s="78"/>
      <c r="AW1462" s="78"/>
      <c r="AX1462" s="78"/>
      <c r="AY1462" s="3"/>
      <c r="AZ1462" s="81"/>
      <c r="BB1462" s="5"/>
      <c r="BC1462" s="5"/>
    </row>
    <row r="1463" spans="1:55" x14ac:dyDescent="0.25">
      <c r="A1463" s="51">
        <v>43315</v>
      </c>
      <c r="B1463" s="54"/>
      <c r="C1463" s="55"/>
      <c r="D1463" s="55"/>
      <c r="E1463" s="55"/>
      <c r="F1463" s="55"/>
      <c r="G1463" s="55"/>
      <c r="H1463" s="55"/>
      <c r="I1463" s="55"/>
      <c r="J1463" s="55"/>
      <c r="K1463" s="55"/>
      <c r="L1463" s="55"/>
      <c r="M1463" s="55"/>
      <c r="N1463" s="55"/>
      <c r="O1463" s="55"/>
      <c r="P1463" s="56"/>
      <c r="AI1463" s="49"/>
      <c r="AJ1463" s="78"/>
      <c r="AK1463" s="78"/>
      <c r="AL1463" s="78"/>
      <c r="AM1463" s="78"/>
      <c r="AN1463" s="78"/>
      <c r="AO1463" s="78"/>
      <c r="AP1463" s="78"/>
      <c r="AQ1463" s="78"/>
      <c r="AR1463" s="78"/>
      <c r="AS1463" s="78"/>
      <c r="AT1463" s="78"/>
      <c r="AU1463" s="78"/>
      <c r="AV1463" s="78"/>
      <c r="AW1463" s="78"/>
      <c r="AX1463" s="78"/>
      <c r="AY1463" s="3"/>
      <c r="AZ1463" s="81"/>
      <c r="BB1463" s="5"/>
      <c r="BC1463" s="5"/>
    </row>
    <row r="1464" spans="1:55" x14ac:dyDescent="0.25">
      <c r="A1464" s="51">
        <v>43318</v>
      </c>
      <c r="B1464" s="54"/>
      <c r="C1464" s="55"/>
      <c r="D1464" s="55"/>
      <c r="E1464" s="55"/>
      <c r="F1464" s="55"/>
      <c r="G1464" s="55"/>
      <c r="H1464" s="55"/>
      <c r="I1464" s="55"/>
      <c r="J1464" s="55"/>
      <c r="K1464" s="55"/>
      <c r="L1464" s="55"/>
      <c r="M1464" s="55"/>
      <c r="N1464" s="55"/>
      <c r="O1464" s="55"/>
      <c r="P1464" s="56"/>
      <c r="AI1464" s="49"/>
      <c r="AJ1464" s="78"/>
      <c r="AK1464" s="78"/>
      <c r="AL1464" s="78"/>
      <c r="AM1464" s="78"/>
      <c r="AN1464" s="78"/>
      <c r="AO1464" s="78"/>
      <c r="AP1464" s="78"/>
      <c r="AQ1464" s="78"/>
      <c r="AR1464" s="78"/>
      <c r="AS1464" s="78"/>
      <c r="AT1464" s="78"/>
      <c r="AU1464" s="78"/>
      <c r="AV1464" s="78"/>
      <c r="AW1464" s="78"/>
      <c r="AX1464" s="78"/>
      <c r="AY1464" s="3"/>
      <c r="AZ1464" s="81"/>
      <c r="BB1464" s="5"/>
      <c r="BC1464" s="5"/>
    </row>
    <row r="1465" spans="1:55" x14ac:dyDescent="0.25">
      <c r="A1465" s="51">
        <v>43319</v>
      </c>
      <c r="B1465" s="54"/>
      <c r="C1465" s="55"/>
      <c r="D1465" s="55"/>
      <c r="E1465" s="55"/>
      <c r="F1465" s="55"/>
      <c r="G1465" s="55"/>
      <c r="H1465" s="55"/>
      <c r="I1465" s="55"/>
      <c r="J1465" s="55"/>
      <c r="K1465" s="55"/>
      <c r="L1465" s="55"/>
      <c r="M1465" s="55"/>
      <c r="N1465" s="55"/>
      <c r="O1465" s="55"/>
      <c r="P1465" s="56"/>
      <c r="AI1465" s="49"/>
      <c r="AJ1465" s="78"/>
      <c r="AK1465" s="78"/>
      <c r="AL1465" s="78"/>
      <c r="AM1465" s="78"/>
      <c r="AN1465" s="78"/>
      <c r="AO1465" s="78"/>
      <c r="AP1465" s="78"/>
      <c r="AQ1465" s="78"/>
      <c r="AR1465" s="78"/>
      <c r="AS1465" s="78"/>
      <c r="AT1465" s="78"/>
      <c r="AU1465" s="78"/>
      <c r="AV1465" s="78"/>
      <c r="AW1465" s="78"/>
      <c r="AX1465" s="78"/>
      <c r="AY1465" s="3"/>
      <c r="AZ1465" s="81"/>
      <c r="BB1465" s="5"/>
      <c r="BC1465" s="5"/>
    </row>
    <row r="1466" spans="1:55" x14ac:dyDescent="0.25">
      <c r="A1466" s="51">
        <v>43320</v>
      </c>
      <c r="B1466" s="54"/>
      <c r="C1466" s="55"/>
      <c r="D1466" s="55"/>
      <c r="E1466" s="55"/>
      <c r="F1466" s="55"/>
      <c r="G1466" s="55"/>
      <c r="H1466" s="55"/>
      <c r="I1466" s="55"/>
      <c r="J1466" s="55"/>
      <c r="K1466" s="55"/>
      <c r="L1466" s="55"/>
      <c r="M1466" s="55"/>
      <c r="N1466" s="55"/>
      <c r="O1466" s="55"/>
      <c r="P1466" s="56"/>
      <c r="AI1466" s="49"/>
      <c r="AJ1466" s="78"/>
      <c r="AK1466" s="78"/>
      <c r="AL1466" s="78"/>
      <c r="AM1466" s="78"/>
      <c r="AN1466" s="78"/>
      <c r="AO1466" s="78"/>
      <c r="AP1466" s="78"/>
      <c r="AQ1466" s="78"/>
      <c r="AR1466" s="78"/>
      <c r="AS1466" s="78"/>
      <c r="AT1466" s="78"/>
      <c r="AU1466" s="78"/>
      <c r="AV1466" s="78"/>
      <c r="AW1466" s="78"/>
      <c r="AX1466" s="78"/>
      <c r="AY1466" s="3"/>
      <c r="AZ1466" s="81"/>
      <c r="BB1466" s="5"/>
      <c r="BC1466" s="5"/>
    </row>
    <row r="1467" spans="1:55" x14ac:dyDescent="0.25">
      <c r="A1467" s="51">
        <v>43321</v>
      </c>
      <c r="B1467" s="54"/>
      <c r="C1467" s="55"/>
      <c r="D1467" s="55"/>
      <c r="E1467" s="55"/>
      <c r="F1467" s="55"/>
      <c r="G1467" s="55"/>
      <c r="H1467" s="55"/>
      <c r="I1467" s="55"/>
      <c r="J1467" s="55"/>
      <c r="K1467" s="55"/>
      <c r="L1467" s="55"/>
      <c r="M1467" s="55"/>
      <c r="N1467" s="55"/>
      <c r="O1467" s="55"/>
      <c r="P1467" s="56"/>
      <c r="AI1467" s="49"/>
      <c r="AJ1467" s="78"/>
      <c r="AK1467" s="78"/>
      <c r="AL1467" s="78"/>
      <c r="AM1467" s="78"/>
      <c r="AN1467" s="78"/>
      <c r="AO1467" s="78"/>
      <c r="AP1467" s="78"/>
      <c r="AQ1467" s="78"/>
      <c r="AR1467" s="78"/>
      <c r="AS1467" s="78"/>
      <c r="AT1467" s="78"/>
      <c r="AU1467" s="78"/>
      <c r="AV1467" s="78"/>
      <c r="AW1467" s="78"/>
      <c r="AX1467" s="78"/>
      <c r="AY1467" s="3"/>
      <c r="AZ1467" s="81"/>
      <c r="BB1467" s="5"/>
      <c r="BC1467" s="5"/>
    </row>
    <row r="1468" spans="1:55" x14ac:dyDescent="0.25">
      <c r="A1468" s="51">
        <v>43322</v>
      </c>
      <c r="B1468" s="54"/>
      <c r="C1468" s="55"/>
      <c r="D1468" s="55"/>
      <c r="E1468" s="55"/>
      <c r="F1468" s="55"/>
      <c r="G1468" s="55"/>
      <c r="H1468" s="55"/>
      <c r="I1468" s="55"/>
      <c r="J1468" s="55"/>
      <c r="K1468" s="55"/>
      <c r="L1468" s="55"/>
      <c r="M1468" s="55"/>
      <c r="N1468" s="55"/>
      <c r="O1468" s="55"/>
      <c r="P1468" s="56"/>
      <c r="AI1468" s="49"/>
      <c r="AJ1468" s="78"/>
      <c r="AK1468" s="78"/>
      <c r="AL1468" s="78"/>
      <c r="AM1468" s="78"/>
      <c r="AN1468" s="78"/>
      <c r="AO1468" s="78"/>
      <c r="AP1468" s="78"/>
      <c r="AQ1468" s="78"/>
      <c r="AR1468" s="78"/>
      <c r="AS1468" s="78"/>
      <c r="AT1468" s="78"/>
      <c r="AU1468" s="78"/>
      <c r="AV1468" s="78"/>
      <c r="AW1468" s="78"/>
      <c r="AX1468" s="78"/>
      <c r="AY1468" s="3"/>
      <c r="AZ1468" s="81"/>
      <c r="BB1468" s="5"/>
      <c r="BC1468" s="5"/>
    </row>
    <row r="1469" spans="1:55" x14ac:dyDescent="0.25">
      <c r="A1469" s="51">
        <v>43325</v>
      </c>
      <c r="B1469" s="54"/>
      <c r="C1469" s="55"/>
      <c r="D1469" s="55"/>
      <c r="E1469" s="55"/>
      <c r="F1469" s="55"/>
      <c r="G1469" s="55"/>
      <c r="H1469" s="55"/>
      <c r="I1469" s="55"/>
      <c r="J1469" s="55"/>
      <c r="K1469" s="55"/>
      <c r="L1469" s="55"/>
      <c r="M1469" s="55"/>
      <c r="N1469" s="55"/>
      <c r="O1469" s="55"/>
      <c r="P1469" s="56"/>
      <c r="AI1469" s="49"/>
      <c r="AJ1469" s="78"/>
      <c r="AK1469" s="78"/>
      <c r="AL1469" s="78"/>
      <c r="AM1469" s="78"/>
      <c r="AN1469" s="78"/>
      <c r="AO1469" s="78"/>
      <c r="AP1469" s="78"/>
      <c r="AQ1469" s="78"/>
      <c r="AR1469" s="78"/>
      <c r="AS1469" s="78"/>
      <c r="AT1469" s="78"/>
      <c r="AU1469" s="78"/>
      <c r="AV1469" s="78"/>
      <c r="AW1469" s="78"/>
      <c r="AX1469" s="78"/>
      <c r="AY1469" s="3"/>
      <c r="AZ1469" s="81"/>
      <c r="BB1469" s="5"/>
      <c r="BC1469" s="5"/>
    </row>
    <row r="1470" spans="1:55" x14ac:dyDescent="0.25">
      <c r="A1470" s="51">
        <v>43326</v>
      </c>
      <c r="B1470" s="54"/>
      <c r="C1470" s="55"/>
      <c r="D1470" s="55"/>
      <c r="E1470" s="55"/>
      <c r="F1470" s="55"/>
      <c r="G1470" s="55"/>
      <c r="H1470" s="55"/>
      <c r="I1470" s="55"/>
      <c r="J1470" s="55"/>
      <c r="K1470" s="55"/>
      <c r="L1470" s="55"/>
      <c r="M1470" s="55"/>
      <c r="N1470" s="55"/>
      <c r="O1470" s="55"/>
      <c r="P1470" s="56"/>
      <c r="AI1470" s="49"/>
      <c r="AJ1470" s="78"/>
      <c r="AK1470" s="78"/>
      <c r="AL1470" s="78"/>
      <c r="AM1470" s="78"/>
      <c r="AN1470" s="78"/>
      <c r="AO1470" s="78"/>
      <c r="AP1470" s="78"/>
      <c r="AQ1470" s="78"/>
      <c r="AR1470" s="78"/>
      <c r="AS1470" s="78"/>
      <c r="AT1470" s="78"/>
      <c r="AU1470" s="78"/>
      <c r="AV1470" s="78"/>
      <c r="AW1470" s="78"/>
      <c r="AX1470" s="78"/>
      <c r="AY1470" s="3"/>
      <c r="AZ1470" s="81"/>
      <c r="BB1470" s="5"/>
      <c r="BC1470" s="5"/>
    </row>
    <row r="1471" spans="1:55" x14ac:dyDescent="0.25">
      <c r="A1471" s="51">
        <v>43327</v>
      </c>
      <c r="B1471" s="54"/>
      <c r="C1471" s="55"/>
      <c r="D1471" s="55"/>
      <c r="E1471" s="55"/>
      <c r="F1471" s="55"/>
      <c r="G1471" s="55"/>
      <c r="H1471" s="55"/>
      <c r="I1471" s="55"/>
      <c r="J1471" s="55"/>
      <c r="K1471" s="55"/>
      <c r="L1471" s="55"/>
      <c r="M1471" s="55"/>
      <c r="N1471" s="55"/>
      <c r="O1471" s="55"/>
      <c r="P1471" s="56"/>
      <c r="AI1471" s="49"/>
      <c r="AJ1471" s="78"/>
      <c r="AK1471" s="78"/>
      <c r="AL1471" s="78"/>
      <c r="AM1471" s="78"/>
      <c r="AN1471" s="78"/>
      <c r="AO1471" s="78"/>
      <c r="AP1471" s="78"/>
      <c r="AQ1471" s="78"/>
      <c r="AR1471" s="78"/>
      <c r="AS1471" s="78"/>
      <c r="AT1471" s="78"/>
      <c r="AU1471" s="78"/>
      <c r="AV1471" s="78"/>
      <c r="AW1471" s="78"/>
      <c r="AX1471" s="78"/>
      <c r="AY1471" s="3"/>
      <c r="AZ1471" s="81"/>
      <c r="BB1471" s="5"/>
      <c r="BC1471" s="5"/>
    </row>
    <row r="1472" spans="1:55" x14ac:dyDescent="0.25">
      <c r="A1472" s="51">
        <v>43328</v>
      </c>
      <c r="B1472" s="54"/>
      <c r="C1472" s="55"/>
      <c r="D1472" s="55"/>
      <c r="E1472" s="55"/>
      <c r="F1472" s="55"/>
      <c r="G1472" s="55"/>
      <c r="H1472" s="55"/>
      <c r="I1472" s="55"/>
      <c r="J1472" s="55"/>
      <c r="K1472" s="55"/>
      <c r="L1472" s="55"/>
      <c r="M1472" s="55"/>
      <c r="N1472" s="55"/>
      <c r="O1472" s="55"/>
      <c r="P1472" s="56"/>
      <c r="AI1472" s="49"/>
      <c r="AJ1472" s="78"/>
      <c r="AK1472" s="78"/>
      <c r="AL1472" s="78"/>
      <c r="AM1472" s="78"/>
      <c r="AN1472" s="78"/>
      <c r="AO1472" s="78"/>
      <c r="AP1472" s="78"/>
      <c r="AQ1472" s="78"/>
      <c r="AR1472" s="78"/>
      <c r="AS1472" s="78"/>
      <c r="AT1472" s="78"/>
      <c r="AU1472" s="78"/>
      <c r="AV1472" s="78"/>
      <c r="AW1472" s="78"/>
      <c r="AX1472" s="78"/>
      <c r="AY1472" s="3"/>
      <c r="AZ1472" s="81"/>
      <c r="BB1472" s="5"/>
      <c r="BC1472" s="5"/>
    </row>
    <row r="1473" spans="1:55" x14ac:dyDescent="0.25">
      <c r="A1473" s="51">
        <v>43329</v>
      </c>
      <c r="B1473" s="54"/>
      <c r="C1473" s="55"/>
      <c r="D1473" s="55"/>
      <c r="E1473" s="55"/>
      <c r="F1473" s="55"/>
      <c r="G1473" s="55"/>
      <c r="H1473" s="55"/>
      <c r="I1473" s="55"/>
      <c r="J1473" s="55"/>
      <c r="K1473" s="55"/>
      <c r="L1473" s="55"/>
      <c r="M1473" s="55"/>
      <c r="N1473" s="55"/>
      <c r="O1473" s="55"/>
      <c r="P1473" s="56"/>
      <c r="AI1473" s="49"/>
      <c r="AJ1473" s="78"/>
      <c r="AK1473" s="78"/>
      <c r="AL1473" s="78"/>
      <c r="AM1473" s="78"/>
      <c r="AN1473" s="78"/>
      <c r="AO1473" s="78"/>
      <c r="AP1473" s="78"/>
      <c r="AQ1473" s="78"/>
      <c r="AR1473" s="78"/>
      <c r="AS1473" s="78"/>
      <c r="AT1473" s="78"/>
      <c r="AU1473" s="78"/>
      <c r="AV1473" s="78"/>
      <c r="AW1473" s="78"/>
      <c r="AX1473" s="78"/>
      <c r="AY1473" s="3"/>
      <c r="AZ1473" s="81"/>
      <c r="BB1473" s="5"/>
      <c r="BC1473" s="5"/>
    </row>
    <row r="1474" spans="1:55" x14ac:dyDescent="0.25">
      <c r="A1474" s="51">
        <v>43332</v>
      </c>
      <c r="B1474" s="54"/>
      <c r="C1474" s="55"/>
      <c r="D1474" s="55"/>
      <c r="E1474" s="55"/>
      <c r="F1474" s="55"/>
      <c r="G1474" s="55"/>
      <c r="H1474" s="55"/>
      <c r="I1474" s="55"/>
      <c r="J1474" s="55"/>
      <c r="K1474" s="55"/>
      <c r="L1474" s="55"/>
      <c r="M1474" s="55"/>
      <c r="N1474" s="55"/>
      <c r="O1474" s="55"/>
      <c r="P1474" s="56"/>
      <c r="AI1474" s="49"/>
      <c r="AJ1474" s="78"/>
      <c r="AK1474" s="78"/>
      <c r="AL1474" s="78"/>
      <c r="AM1474" s="78"/>
      <c r="AN1474" s="78"/>
      <c r="AO1474" s="78"/>
      <c r="AP1474" s="78"/>
      <c r="AQ1474" s="78"/>
      <c r="AR1474" s="78"/>
      <c r="AS1474" s="78"/>
      <c r="AT1474" s="78"/>
      <c r="AU1474" s="78"/>
      <c r="AV1474" s="78"/>
      <c r="AW1474" s="78"/>
      <c r="AX1474" s="78"/>
      <c r="AY1474" s="3"/>
      <c r="AZ1474" s="81"/>
      <c r="BB1474" s="5"/>
      <c r="BC1474" s="5"/>
    </row>
    <row r="1475" spans="1:55" x14ac:dyDescent="0.25">
      <c r="A1475" s="51">
        <v>43333</v>
      </c>
      <c r="B1475" s="54"/>
      <c r="C1475" s="55"/>
      <c r="D1475" s="55"/>
      <c r="E1475" s="55"/>
      <c r="F1475" s="55"/>
      <c r="G1475" s="55"/>
      <c r="H1475" s="55"/>
      <c r="I1475" s="55"/>
      <c r="J1475" s="55"/>
      <c r="K1475" s="55"/>
      <c r="L1475" s="55"/>
      <c r="M1475" s="55"/>
      <c r="N1475" s="55"/>
      <c r="O1475" s="55"/>
      <c r="P1475" s="56"/>
      <c r="AI1475" s="49"/>
      <c r="AJ1475" s="78"/>
      <c r="AK1475" s="78"/>
      <c r="AL1475" s="78"/>
      <c r="AM1475" s="78"/>
      <c r="AN1475" s="78"/>
      <c r="AO1475" s="78"/>
      <c r="AP1475" s="78"/>
      <c r="AQ1475" s="78"/>
      <c r="AR1475" s="78"/>
      <c r="AS1475" s="78"/>
      <c r="AT1475" s="78"/>
      <c r="AU1475" s="78"/>
      <c r="AV1475" s="78"/>
      <c r="AW1475" s="78"/>
      <c r="AX1475" s="78"/>
      <c r="AY1475" s="3"/>
      <c r="AZ1475" s="81"/>
      <c r="BB1475" s="5"/>
      <c r="BC1475" s="5"/>
    </row>
    <row r="1476" spans="1:55" x14ac:dyDescent="0.25">
      <c r="A1476" s="51">
        <v>43334</v>
      </c>
      <c r="B1476" s="54"/>
      <c r="C1476" s="55"/>
      <c r="D1476" s="55"/>
      <c r="E1476" s="55"/>
      <c r="F1476" s="55"/>
      <c r="G1476" s="55"/>
      <c r="H1476" s="55"/>
      <c r="I1476" s="55"/>
      <c r="J1476" s="55"/>
      <c r="K1476" s="55"/>
      <c r="L1476" s="55"/>
      <c r="M1476" s="55"/>
      <c r="N1476" s="55"/>
      <c r="O1476" s="55"/>
      <c r="P1476" s="56"/>
      <c r="AI1476" s="49"/>
      <c r="AJ1476" s="78"/>
      <c r="AK1476" s="78"/>
      <c r="AL1476" s="78"/>
      <c r="AM1476" s="78"/>
      <c r="AN1476" s="78"/>
      <c r="AO1476" s="78"/>
      <c r="AP1476" s="78"/>
      <c r="AQ1476" s="78"/>
      <c r="AR1476" s="78"/>
      <c r="AS1476" s="78"/>
      <c r="AT1476" s="78"/>
      <c r="AU1476" s="78"/>
      <c r="AV1476" s="78"/>
      <c r="AW1476" s="78"/>
      <c r="AX1476" s="78"/>
      <c r="AY1476" s="3"/>
      <c r="AZ1476" s="81"/>
      <c r="BB1476" s="5"/>
      <c r="BC1476" s="5"/>
    </row>
    <row r="1477" spans="1:55" x14ac:dyDescent="0.25">
      <c r="A1477" s="51">
        <v>43335</v>
      </c>
      <c r="B1477" s="54"/>
      <c r="C1477" s="55"/>
      <c r="D1477" s="55"/>
      <c r="E1477" s="55"/>
      <c r="F1477" s="55"/>
      <c r="G1477" s="55"/>
      <c r="H1477" s="55"/>
      <c r="I1477" s="55"/>
      <c r="J1477" s="55"/>
      <c r="K1477" s="55"/>
      <c r="L1477" s="55"/>
      <c r="M1477" s="55"/>
      <c r="N1477" s="55"/>
      <c r="O1477" s="55"/>
      <c r="P1477" s="56"/>
      <c r="AI1477" s="49"/>
      <c r="AJ1477" s="78"/>
      <c r="AK1477" s="78"/>
      <c r="AL1477" s="78"/>
      <c r="AM1477" s="78"/>
      <c r="AN1477" s="78"/>
      <c r="AO1477" s="78"/>
      <c r="AP1477" s="78"/>
      <c r="AQ1477" s="78"/>
      <c r="AR1477" s="78"/>
      <c r="AS1477" s="78"/>
      <c r="AT1477" s="78"/>
      <c r="AU1477" s="78"/>
      <c r="AV1477" s="78"/>
      <c r="AW1477" s="78"/>
      <c r="AX1477" s="78"/>
      <c r="AY1477" s="3"/>
      <c r="AZ1477" s="81"/>
      <c r="BB1477" s="5"/>
      <c r="BC1477" s="5"/>
    </row>
    <row r="1478" spans="1:55" x14ac:dyDescent="0.25">
      <c r="A1478" s="51">
        <v>43336</v>
      </c>
      <c r="B1478" s="54"/>
      <c r="C1478" s="55"/>
      <c r="D1478" s="55"/>
      <c r="E1478" s="55"/>
      <c r="F1478" s="55"/>
      <c r="G1478" s="55"/>
      <c r="H1478" s="55"/>
      <c r="I1478" s="55"/>
      <c r="J1478" s="55"/>
      <c r="K1478" s="55"/>
      <c r="L1478" s="55"/>
      <c r="M1478" s="55"/>
      <c r="N1478" s="55"/>
      <c r="O1478" s="55"/>
      <c r="P1478" s="56"/>
      <c r="AI1478" s="49"/>
      <c r="AJ1478" s="78"/>
      <c r="AK1478" s="78"/>
      <c r="AL1478" s="78"/>
      <c r="AM1478" s="78"/>
      <c r="AN1478" s="78"/>
      <c r="AO1478" s="78"/>
      <c r="AP1478" s="78"/>
      <c r="AQ1478" s="78"/>
      <c r="AR1478" s="78"/>
      <c r="AS1478" s="78"/>
      <c r="AT1478" s="78"/>
      <c r="AU1478" s="78"/>
      <c r="AV1478" s="78"/>
      <c r="AW1478" s="78"/>
      <c r="AX1478" s="78"/>
      <c r="AY1478" s="3"/>
      <c r="AZ1478" s="81"/>
      <c r="BB1478" s="5"/>
      <c r="BC1478" s="5"/>
    </row>
    <row r="1479" spans="1:55" x14ac:dyDescent="0.25">
      <c r="A1479" s="51">
        <v>43339</v>
      </c>
      <c r="B1479" s="54"/>
      <c r="C1479" s="55"/>
      <c r="D1479" s="55"/>
      <c r="E1479" s="55"/>
      <c r="F1479" s="55"/>
      <c r="G1479" s="55"/>
      <c r="H1479" s="55"/>
      <c r="I1479" s="55"/>
      <c r="J1479" s="55"/>
      <c r="K1479" s="55"/>
      <c r="L1479" s="55"/>
      <c r="M1479" s="55"/>
      <c r="N1479" s="55"/>
      <c r="O1479" s="55"/>
      <c r="P1479" s="56"/>
      <c r="AI1479" s="49"/>
      <c r="AJ1479" s="78"/>
      <c r="AK1479" s="78"/>
      <c r="AL1479" s="78"/>
      <c r="AM1479" s="78"/>
      <c r="AN1479" s="78"/>
      <c r="AO1479" s="78"/>
      <c r="AP1479" s="78"/>
      <c r="AQ1479" s="78"/>
      <c r="AR1479" s="78"/>
      <c r="AS1479" s="78"/>
      <c r="AT1479" s="78"/>
      <c r="AU1479" s="78"/>
      <c r="AV1479" s="78"/>
      <c r="AW1479" s="78"/>
      <c r="AX1479" s="78"/>
      <c r="AY1479" s="3"/>
      <c r="AZ1479" s="81"/>
      <c r="BB1479" s="5"/>
      <c r="BC1479" s="5"/>
    </row>
    <row r="1480" spans="1:55" x14ac:dyDescent="0.25">
      <c r="A1480" s="51">
        <v>43340</v>
      </c>
      <c r="B1480" s="54"/>
      <c r="C1480" s="55"/>
      <c r="D1480" s="55"/>
      <c r="E1480" s="55"/>
      <c r="F1480" s="55"/>
      <c r="G1480" s="55"/>
      <c r="H1480" s="55"/>
      <c r="I1480" s="55"/>
      <c r="J1480" s="55"/>
      <c r="K1480" s="55"/>
      <c r="L1480" s="55"/>
      <c r="M1480" s="55"/>
      <c r="N1480" s="55"/>
      <c r="O1480" s="55"/>
      <c r="P1480" s="56"/>
      <c r="AI1480" s="49"/>
      <c r="AJ1480" s="78"/>
      <c r="AK1480" s="78"/>
      <c r="AL1480" s="78"/>
      <c r="AM1480" s="78"/>
      <c r="AN1480" s="78"/>
      <c r="AO1480" s="78"/>
      <c r="AP1480" s="78"/>
      <c r="AQ1480" s="78"/>
      <c r="AR1480" s="78"/>
      <c r="AS1480" s="78"/>
      <c r="AT1480" s="78"/>
      <c r="AU1480" s="78"/>
      <c r="AV1480" s="78"/>
      <c r="AW1480" s="78"/>
      <c r="AX1480" s="78"/>
      <c r="AY1480" s="3"/>
      <c r="AZ1480" s="81"/>
      <c r="BB1480" s="5"/>
      <c r="BC1480" s="5"/>
    </row>
    <row r="1481" spans="1:55" x14ac:dyDescent="0.25">
      <c r="A1481" s="51">
        <v>43341</v>
      </c>
      <c r="B1481" s="54"/>
      <c r="C1481" s="55"/>
      <c r="D1481" s="55"/>
      <c r="E1481" s="55"/>
      <c r="F1481" s="55"/>
      <c r="G1481" s="55"/>
      <c r="H1481" s="55"/>
      <c r="I1481" s="55"/>
      <c r="J1481" s="55"/>
      <c r="K1481" s="55"/>
      <c r="L1481" s="55"/>
      <c r="M1481" s="55"/>
      <c r="N1481" s="55"/>
      <c r="O1481" s="55"/>
      <c r="P1481" s="56"/>
      <c r="AI1481" s="49"/>
      <c r="AJ1481" s="78"/>
      <c r="AK1481" s="78"/>
      <c r="AL1481" s="78"/>
      <c r="AM1481" s="78"/>
      <c r="AN1481" s="78"/>
      <c r="AO1481" s="78"/>
      <c r="AP1481" s="78"/>
      <c r="AQ1481" s="78"/>
      <c r="AR1481" s="78"/>
      <c r="AS1481" s="78"/>
      <c r="AT1481" s="78"/>
      <c r="AU1481" s="78"/>
      <c r="AV1481" s="78"/>
      <c r="AW1481" s="78"/>
      <c r="AX1481" s="78"/>
      <c r="AY1481" s="3"/>
      <c r="AZ1481" s="81"/>
      <c r="BB1481" s="5"/>
      <c r="BC1481" s="5"/>
    </row>
    <row r="1482" spans="1:55" x14ac:dyDescent="0.25">
      <c r="A1482" s="51">
        <v>43343</v>
      </c>
      <c r="B1482" s="54"/>
      <c r="C1482" s="55"/>
      <c r="D1482" s="55"/>
      <c r="E1482" s="55"/>
      <c r="F1482" s="55"/>
      <c r="G1482" s="55"/>
      <c r="H1482" s="55"/>
      <c r="I1482" s="55"/>
      <c r="J1482" s="55"/>
      <c r="K1482" s="55"/>
      <c r="L1482" s="55"/>
      <c r="M1482" s="55"/>
      <c r="N1482" s="55"/>
      <c r="O1482" s="55"/>
      <c r="P1482" s="56"/>
      <c r="AI1482" s="49"/>
      <c r="AJ1482" s="78"/>
      <c r="AK1482" s="78"/>
      <c r="AL1482" s="78"/>
      <c r="AM1482" s="78"/>
      <c r="AN1482" s="78"/>
      <c r="AO1482" s="78"/>
      <c r="AP1482" s="78"/>
      <c r="AQ1482" s="78"/>
      <c r="AR1482" s="78"/>
      <c r="AS1482" s="78"/>
      <c r="AT1482" s="78"/>
      <c r="AU1482" s="78"/>
      <c r="AV1482" s="78"/>
      <c r="AW1482" s="78"/>
      <c r="AX1482" s="78"/>
      <c r="AY1482" s="3"/>
      <c r="AZ1482" s="81"/>
      <c r="BB1482" s="5"/>
      <c r="BC1482" s="5"/>
    </row>
    <row r="1483" spans="1:55" x14ac:dyDescent="0.25">
      <c r="A1483" s="51">
        <v>43346</v>
      </c>
      <c r="B1483" s="54"/>
      <c r="C1483" s="55"/>
      <c r="D1483" s="55"/>
      <c r="E1483" s="55"/>
      <c r="F1483" s="55"/>
      <c r="G1483" s="55"/>
      <c r="H1483" s="55"/>
      <c r="I1483" s="55"/>
      <c r="J1483" s="55"/>
      <c r="K1483" s="55"/>
      <c r="L1483" s="55"/>
      <c r="M1483" s="55"/>
      <c r="N1483" s="55"/>
      <c r="O1483" s="55"/>
      <c r="P1483" s="56"/>
      <c r="AI1483" s="49"/>
      <c r="AJ1483" s="78"/>
      <c r="AK1483" s="78"/>
      <c r="AL1483" s="78"/>
      <c r="AM1483" s="78"/>
      <c r="AN1483" s="78"/>
      <c r="AO1483" s="78"/>
      <c r="AP1483" s="78"/>
      <c r="AQ1483" s="78"/>
      <c r="AR1483" s="78"/>
      <c r="AS1483" s="78"/>
      <c r="AT1483" s="78"/>
      <c r="AU1483" s="78"/>
      <c r="AV1483" s="78"/>
      <c r="AW1483" s="78"/>
      <c r="AX1483" s="78"/>
      <c r="AY1483" s="3"/>
      <c r="AZ1483" s="81"/>
      <c r="BB1483" s="5"/>
      <c r="BC1483" s="5"/>
    </row>
    <row r="1484" spans="1:55" x14ac:dyDescent="0.25">
      <c r="A1484" s="51">
        <v>43347</v>
      </c>
      <c r="B1484" s="54"/>
      <c r="C1484" s="55"/>
      <c r="D1484" s="55"/>
      <c r="E1484" s="55"/>
      <c r="F1484" s="55"/>
      <c r="G1484" s="55"/>
      <c r="H1484" s="55"/>
      <c r="I1484" s="55"/>
      <c r="J1484" s="55"/>
      <c r="K1484" s="55"/>
      <c r="L1484" s="55"/>
      <c r="M1484" s="55"/>
      <c r="N1484" s="55"/>
      <c r="O1484" s="55"/>
      <c r="P1484" s="56"/>
      <c r="AI1484" s="49"/>
      <c r="AJ1484" s="78"/>
      <c r="AK1484" s="78"/>
      <c r="AL1484" s="78"/>
      <c r="AM1484" s="78"/>
      <c r="AN1484" s="78"/>
      <c r="AO1484" s="78"/>
      <c r="AP1484" s="78"/>
      <c r="AQ1484" s="78"/>
      <c r="AR1484" s="78"/>
      <c r="AS1484" s="78"/>
      <c r="AT1484" s="78"/>
      <c r="AU1484" s="78"/>
      <c r="AV1484" s="78"/>
      <c r="AW1484" s="78"/>
      <c r="AX1484" s="78"/>
      <c r="AY1484" s="3"/>
      <c r="AZ1484" s="81"/>
      <c r="BB1484" s="5"/>
      <c r="BC1484" s="5"/>
    </row>
    <row r="1485" spans="1:55" x14ac:dyDescent="0.25">
      <c r="A1485" s="51">
        <v>43348</v>
      </c>
      <c r="B1485" s="54"/>
      <c r="C1485" s="55"/>
      <c r="D1485" s="55"/>
      <c r="E1485" s="55"/>
      <c r="F1485" s="55"/>
      <c r="G1485" s="55"/>
      <c r="H1485" s="55"/>
      <c r="I1485" s="55"/>
      <c r="J1485" s="55"/>
      <c r="K1485" s="55"/>
      <c r="L1485" s="55"/>
      <c r="M1485" s="55"/>
      <c r="N1485" s="55"/>
      <c r="O1485" s="55"/>
      <c r="P1485" s="56"/>
      <c r="AI1485" s="49"/>
      <c r="AJ1485" s="78"/>
      <c r="AK1485" s="78"/>
      <c r="AL1485" s="78"/>
      <c r="AM1485" s="78"/>
      <c r="AN1485" s="78"/>
      <c r="AO1485" s="78"/>
      <c r="AP1485" s="78"/>
      <c r="AQ1485" s="78"/>
      <c r="AR1485" s="78"/>
      <c r="AS1485" s="78"/>
      <c r="AT1485" s="78"/>
      <c r="AU1485" s="78"/>
      <c r="AV1485" s="78"/>
      <c r="AW1485" s="78"/>
      <c r="AX1485" s="78"/>
      <c r="AY1485" s="3"/>
      <c r="AZ1485" s="81"/>
      <c r="BB1485" s="5"/>
      <c r="BC1485" s="5"/>
    </row>
    <row r="1486" spans="1:55" x14ac:dyDescent="0.25">
      <c r="A1486" s="51">
        <v>43349</v>
      </c>
      <c r="B1486" s="54"/>
      <c r="C1486" s="55"/>
      <c r="D1486" s="55"/>
      <c r="E1486" s="55"/>
      <c r="F1486" s="55"/>
      <c r="G1486" s="55"/>
      <c r="H1486" s="55"/>
      <c r="I1486" s="55"/>
      <c r="J1486" s="55"/>
      <c r="K1486" s="55"/>
      <c r="L1486" s="55"/>
      <c r="M1486" s="55"/>
      <c r="N1486" s="55"/>
      <c r="O1486" s="55"/>
      <c r="P1486" s="56"/>
      <c r="AI1486" s="49"/>
      <c r="AJ1486" s="78"/>
      <c r="AK1486" s="78"/>
      <c r="AL1486" s="78"/>
      <c r="AM1486" s="78"/>
      <c r="AN1486" s="78"/>
      <c r="AO1486" s="78"/>
      <c r="AP1486" s="78"/>
      <c r="AQ1486" s="78"/>
      <c r="AR1486" s="78"/>
      <c r="AS1486" s="78"/>
      <c r="AT1486" s="78"/>
      <c r="AU1486" s="78"/>
      <c r="AV1486" s="78"/>
      <c r="AW1486" s="78"/>
      <c r="AX1486" s="78"/>
      <c r="AY1486" s="3"/>
      <c r="AZ1486" s="81"/>
      <c r="BB1486" s="5"/>
      <c r="BC1486" s="5"/>
    </row>
    <row r="1487" spans="1:55" x14ac:dyDescent="0.25">
      <c r="A1487" s="51">
        <v>43350</v>
      </c>
      <c r="B1487" s="54"/>
      <c r="C1487" s="55"/>
      <c r="D1487" s="55"/>
      <c r="E1487" s="55"/>
      <c r="F1487" s="55"/>
      <c r="G1487" s="55"/>
      <c r="H1487" s="55"/>
      <c r="I1487" s="55"/>
      <c r="J1487" s="55"/>
      <c r="K1487" s="55"/>
      <c r="L1487" s="55"/>
      <c r="M1487" s="55"/>
      <c r="N1487" s="55"/>
      <c r="O1487" s="55"/>
      <c r="P1487" s="56"/>
      <c r="AI1487" s="49"/>
      <c r="AJ1487" s="78"/>
      <c r="AK1487" s="78"/>
      <c r="AL1487" s="78"/>
      <c r="AM1487" s="78"/>
      <c r="AN1487" s="78"/>
      <c r="AO1487" s="78"/>
      <c r="AP1487" s="78"/>
      <c r="AQ1487" s="78"/>
      <c r="AR1487" s="78"/>
      <c r="AS1487" s="78"/>
      <c r="AT1487" s="78"/>
      <c r="AU1487" s="78"/>
      <c r="AV1487" s="78"/>
      <c r="AW1487" s="78"/>
      <c r="AX1487" s="78"/>
      <c r="AY1487" s="3"/>
      <c r="AZ1487" s="81"/>
      <c r="BB1487" s="5"/>
      <c r="BC1487" s="5"/>
    </row>
    <row r="1488" spans="1:55" x14ac:dyDescent="0.25">
      <c r="A1488" s="51">
        <v>43353</v>
      </c>
      <c r="B1488" s="54"/>
      <c r="C1488" s="55"/>
      <c r="D1488" s="55"/>
      <c r="E1488" s="55"/>
      <c r="F1488" s="55"/>
      <c r="G1488" s="55"/>
      <c r="H1488" s="55"/>
      <c r="I1488" s="55"/>
      <c r="J1488" s="55"/>
      <c r="K1488" s="55"/>
      <c r="L1488" s="55"/>
      <c r="M1488" s="55"/>
      <c r="N1488" s="55"/>
      <c r="O1488" s="55"/>
      <c r="P1488" s="56"/>
      <c r="AI1488" s="49"/>
      <c r="AJ1488" s="78"/>
      <c r="AK1488" s="78"/>
      <c r="AL1488" s="78"/>
      <c r="AM1488" s="78"/>
      <c r="AN1488" s="78"/>
      <c r="AO1488" s="78"/>
      <c r="AP1488" s="78"/>
      <c r="AQ1488" s="78"/>
      <c r="AR1488" s="78"/>
      <c r="AS1488" s="78"/>
      <c r="AT1488" s="78"/>
      <c r="AU1488" s="78"/>
      <c r="AV1488" s="78"/>
      <c r="AW1488" s="78"/>
      <c r="AX1488" s="78"/>
      <c r="AY1488" s="3"/>
      <c r="AZ1488" s="81"/>
      <c r="BB1488" s="5"/>
      <c r="BC1488" s="5"/>
    </row>
    <row r="1489" spans="1:55" x14ac:dyDescent="0.25">
      <c r="A1489" s="51">
        <v>43354</v>
      </c>
      <c r="B1489" s="54"/>
      <c r="C1489" s="55"/>
      <c r="D1489" s="55"/>
      <c r="E1489" s="55"/>
      <c r="F1489" s="55"/>
      <c r="G1489" s="55"/>
      <c r="H1489" s="55"/>
      <c r="I1489" s="55"/>
      <c r="J1489" s="55"/>
      <c r="K1489" s="55"/>
      <c r="L1489" s="55"/>
      <c r="M1489" s="55"/>
      <c r="N1489" s="55"/>
      <c r="O1489" s="55"/>
      <c r="P1489" s="56"/>
      <c r="AI1489" s="49"/>
      <c r="AJ1489" s="78"/>
      <c r="AK1489" s="78"/>
      <c r="AL1489" s="78"/>
      <c r="AM1489" s="78"/>
      <c r="AN1489" s="78"/>
      <c r="AO1489" s="78"/>
      <c r="AP1489" s="78"/>
      <c r="AQ1489" s="78"/>
      <c r="AR1489" s="78"/>
      <c r="AS1489" s="78"/>
      <c r="AT1489" s="78"/>
      <c r="AU1489" s="78"/>
      <c r="AV1489" s="78"/>
      <c r="AW1489" s="78"/>
      <c r="AX1489" s="78"/>
      <c r="AY1489" s="3"/>
      <c r="AZ1489" s="81"/>
      <c r="BB1489" s="5"/>
      <c r="BC1489" s="5"/>
    </row>
    <row r="1490" spans="1:55" x14ac:dyDescent="0.25">
      <c r="A1490" s="51">
        <v>43355</v>
      </c>
      <c r="B1490" s="54"/>
      <c r="C1490" s="55"/>
      <c r="D1490" s="55"/>
      <c r="E1490" s="55"/>
      <c r="F1490" s="55"/>
      <c r="G1490" s="55"/>
      <c r="H1490" s="55"/>
      <c r="I1490" s="55"/>
      <c r="J1490" s="55"/>
      <c r="K1490" s="55"/>
      <c r="L1490" s="55"/>
      <c r="M1490" s="55"/>
      <c r="N1490" s="55"/>
      <c r="O1490" s="55"/>
      <c r="P1490" s="56"/>
      <c r="AI1490" s="49"/>
      <c r="AJ1490" s="78"/>
      <c r="AK1490" s="78"/>
      <c r="AL1490" s="78"/>
      <c r="AM1490" s="78"/>
      <c r="AN1490" s="78"/>
      <c r="AO1490" s="78"/>
      <c r="AP1490" s="78"/>
      <c r="AQ1490" s="78"/>
      <c r="AR1490" s="78"/>
      <c r="AS1490" s="78"/>
      <c r="AT1490" s="78"/>
      <c r="AU1490" s="78"/>
      <c r="AV1490" s="78"/>
      <c r="AW1490" s="78"/>
      <c r="AX1490" s="78"/>
      <c r="AY1490" s="3"/>
      <c r="AZ1490" s="81"/>
      <c r="BB1490" s="5"/>
      <c r="BC1490" s="5"/>
    </row>
    <row r="1491" spans="1:55" x14ac:dyDescent="0.25">
      <c r="A1491" s="51">
        <v>43356</v>
      </c>
      <c r="B1491" s="54"/>
      <c r="C1491" s="55"/>
      <c r="D1491" s="55"/>
      <c r="E1491" s="55"/>
      <c r="F1491" s="55"/>
      <c r="G1491" s="55"/>
      <c r="H1491" s="55"/>
      <c r="I1491" s="55"/>
      <c r="J1491" s="55"/>
      <c r="K1491" s="55"/>
      <c r="L1491" s="55"/>
      <c r="M1491" s="55"/>
      <c r="N1491" s="55"/>
      <c r="O1491" s="55"/>
      <c r="P1491" s="56"/>
      <c r="AI1491" s="49"/>
      <c r="AJ1491" s="78"/>
      <c r="AK1491" s="78"/>
      <c r="AL1491" s="78"/>
      <c r="AM1491" s="78"/>
      <c r="AN1491" s="78"/>
      <c r="AO1491" s="78"/>
      <c r="AP1491" s="78"/>
      <c r="AQ1491" s="78"/>
      <c r="AR1491" s="78"/>
      <c r="AS1491" s="78"/>
      <c r="AT1491" s="78"/>
      <c r="AU1491" s="78"/>
      <c r="AV1491" s="78"/>
      <c r="AW1491" s="78"/>
      <c r="AX1491" s="78"/>
      <c r="AY1491" s="3"/>
      <c r="AZ1491" s="81"/>
      <c r="BB1491" s="5"/>
      <c r="BC1491" s="5"/>
    </row>
    <row r="1492" spans="1:55" x14ac:dyDescent="0.25">
      <c r="A1492" s="51">
        <v>43357</v>
      </c>
      <c r="B1492" s="54"/>
      <c r="C1492" s="55"/>
      <c r="D1492" s="55"/>
      <c r="E1492" s="55"/>
      <c r="F1492" s="55"/>
      <c r="G1492" s="55"/>
      <c r="H1492" s="55"/>
      <c r="I1492" s="55"/>
      <c r="J1492" s="55"/>
      <c r="K1492" s="55"/>
      <c r="L1492" s="55"/>
      <c r="M1492" s="55"/>
      <c r="N1492" s="55"/>
      <c r="O1492" s="55"/>
      <c r="P1492" s="56"/>
      <c r="AI1492" s="49"/>
      <c r="AJ1492" s="78"/>
      <c r="AK1492" s="78"/>
      <c r="AL1492" s="78"/>
      <c r="AM1492" s="78"/>
      <c r="AN1492" s="78"/>
      <c r="AO1492" s="78"/>
      <c r="AP1492" s="78"/>
      <c r="AQ1492" s="78"/>
      <c r="AR1492" s="78"/>
      <c r="AS1492" s="78"/>
      <c r="AT1492" s="78"/>
      <c r="AU1492" s="78"/>
      <c r="AV1492" s="78"/>
      <c r="AW1492" s="78"/>
      <c r="AX1492" s="78"/>
      <c r="AY1492" s="3"/>
      <c r="AZ1492" s="81"/>
      <c r="BB1492" s="5"/>
      <c r="BC1492" s="5"/>
    </row>
    <row r="1493" spans="1:55" x14ac:dyDescent="0.25">
      <c r="A1493" s="51">
        <v>43360</v>
      </c>
      <c r="B1493" s="54"/>
      <c r="C1493" s="55"/>
      <c r="D1493" s="55"/>
      <c r="E1493" s="55"/>
      <c r="F1493" s="55"/>
      <c r="G1493" s="55"/>
      <c r="H1493" s="55"/>
      <c r="I1493" s="55"/>
      <c r="J1493" s="55"/>
      <c r="K1493" s="55"/>
      <c r="L1493" s="55"/>
      <c r="M1493" s="55"/>
      <c r="N1493" s="55"/>
      <c r="O1493" s="55"/>
      <c r="P1493" s="56"/>
      <c r="AI1493" s="49"/>
      <c r="AJ1493" s="78"/>
      <c r="AK1493" s="78"/>
      <c r="AL1493" s="78"/>
      <c r="AM1493" s="78"/>
      <c r="AN1493" s="78"/>
      <c r="AO1493" s="78"/>
      <c r="AP1493" s="78"/>
      <c r="AQ1493" s="78"/>
      <c r="AR1493" s="78"/>
      <c r="AS1493" s="78"/>
      <c r="AT1493" s="78"/>
      <c r="AU1493" s="78"/>
      <c r="AV1493" s="78"/>
      <c r="AW1493" s="78"/>
      <c r="AX1493" s="78"/>
      <c r="AY1493" s="3"/>
      <c r="AZ1493" s="81"/>
      <c r="BB1493" s="5"/>
      <c r="BC1493" s="5"/>
    </row>
    <row r="1494" spans="1:55" x14ac:dyDescent="0.25">
      <c r="A1494" s="51">
        <v>43361</v>
      </c>
      <c r="B1494" s="54"/>
      <c r="C1494" s="55"/>
      <c r="D1494" s="55"/>
      <c r="E1494" s="55"/>
      <c r="F1494" s="55"/>
      <c r="G1494" s="55"/>
      <c r="H1494" s="55"/>
      <c r="I1494" s="55"/>
      <c r="J1494" s="55"/>
      <c r="K1494" s="55"/>
      <c r="L1494" s="55"/>
      <c r="M1494" s="55"/>
      <c r="N1494" s="55"/>
      <c r="O1494" s="55"/>
      <c r="P1494" s="56"/>
      <c r="AI1494" s="49"/>
      <c r="AJ1494" s="78"/>
      <c r="AK1494" s="78"/>
      <c r="AL1494" s="78"/>
      <c r="AM1494" s="78"/>
      <c r="AN1494" s="78"/>
      <c r="AO1494" s="78"/>
      <c r="AP1494" s="78"/>
      <c r="AQ1494" s="78"/>
      <c r="AR1494" s="78"/>
      <c r="AS1494" s="78"/>
      <c r="AT1494" s="78"/>
      <c r="AU1494" s="78"/>
      <c r="AV1494" s="78"/>
      <c r="AW1494" s="78"/>
      <c r="AX1494" s="78"/>
      <c r="AY1494" s="3"/>
      <c r="AZ1494" s="81"/>
      <c r="BB1494" s="5"/>
      <c r="BC1494" s="5"/>
    </row>
    <row r="1495" spans="1:55" x14ac:dyDescent="0.25">
      <c r="A1495" s="51">
        <v>43362</v>
      </c>
      <c r="B1495" s="54"/>
      <c r="C1495" s="55"/>
      <c r="D1495" s="55"/>
      <c r="E1495" s="55"/>
      <c r="F1495" s="55"/>
      <c r="G1495" s="55"/>
      <c r="H1495" s="55"/>
      <c r="I1495" s="55"/>
      <c r="J1495" s="55"/>
      <c r="K1495" s="55"/>
      <c r="L1495" s="55"/>
      <c r="M1495" s="55"/>
      <c r="N1495" s="55"/>
      <c r="O1495" s="55"/>
      <c r="P1495" s="56"/>
      <c r="AI1495" s="49"/>
      <c r="AJ1495" s="78"/>
      <c r="AK1495" s="78"/>
      <c r="AL1495" s="78"/>
      <c r="AM1495" s="78"/>
      <c r="AN1495" s="78"/>
      <c r="AO1495" s="78"/>
      <c r="AP1495" s="78"/>
      <c r="AQ1495" s="78"/>
      <c r="AR1495" s="78"/>
      <c r="AS1495" s="78"/>
      <c r="AT1495" s="78"/>
      <c r="AU1495" s="78"/>
      <c r="AV1495" s="78"/>
      <c r="AW1495" s="78"/>
      <c r="AX1495" s="78"/>
      <c r="AY1495" s="3"/>
      <c r="AZ1495" s="81"/>
      <c r="BB1495" s="5"/>
      <c r="BC1495" s="5"/>
    </row>
    <row r="1496" spans="1:55" x14ac:dyDescent="0.25">
      <c r="A1496" s="51">
        <v>43363</v>
      </c>
      <c r="B1496" s="54"/>
      <c r="C1496" s="55"/>
      <c r="D1496" s="55"/>
      <c r="E1496" s="55"/>
      <c r="F1496" s="55"/>
      <c r="G1496" s="55"/>
      <c r="H1496" s="55"/>
      <c r="I1496" s="55"/>
      <c r="J1496" s="55"/>
      <c r="K1496" s="55"/>
      <c r="L1496" s="55"/>
      <c r="M1496" s="55"/>
      <c r="N1496" s="55"/>
      <c r="O1496" s="55"/>
      <c r="P1496" s="56"/>
      <c r="AI1496" s="49"/>
      <c r="AJ1496" s="78"/>
      <c r="AK1496" s="78"/>
      <c r="AL1496" s="78"/>
      <c r="AM1496" s="78"/>
      <c r="AN1496" s="78"/>
      <c r="AO1496" s="78"/>
      <c r="AP1496" s="78"/>
      <c r="AQ1496" s="78"/>
      <c r="AR1496" s="78"/>
      <c r="AS1496" s="78"/>
      <c r="AT1496" s="78"/>
      <c r="AU1496" s="78"/>
      <c r="AV1496" s="78"/>
      <c r="AW1496" s="78"/>
      <c r="AX1496" s="78"/>
      <c r="AY1496" s="3"/>
      <c r="AZ1496" s="81"/>
      <c r="BB1496" s="5"/>
      <c r="BC1496" s="5"/>
    </row>
    <row r="1497" spans="1:55" x14ac:dyDescent="0.25">
      <c r="A1497" s="51">
        <v>43364</v>
      </c>
      <c r="B1497" s="54"/>
      <c r="C1497" s="55"/>
      <c r="D1497" s="55"/>
      <c r="E1497" s="55"/>
      <c r="F1497" s="55"/>
      <c r="G1497" s="55"/>
      <c r="H1497" s="55"/>
      <c r="I1497" s="55"/>
      <c r="J1497" s="55"/>
      <c r="K1497" s="55"/>
      <c r="L1497" s="55"/>
      <c r="M1497" s="55"/>
      <c r="N1497" s="55"/>
      <c r="O1497" s="55"/>
      <c r="P1497" s="56"/>
      <c r="AI1497" s="49"/>
      <c r="AJ1497" s="78"/>
      <c r="AK1497" s="78"/>
      <c r="AL1497" s="78"/>
      <c r="AM1497" s="78"/>
      <c r="AN1497" s="78"/>
      <c r="AO1497" s="78"/>
      <c r="AP1497" s="78"/>
      <c r="AQ1497" s="78"/>
      <c r="AR1497" s="78"/>
      <c r="AS1497" s="78"/>
      <c r="AT1497" s="78"/>
      <c r="AU1497" s="78"/>
      <c r="AV1497" s="78"/>
      <c r="AW1497" s="78"/>
      <c r="AX1497" s="78"/>
      <c r="AY1497" s="3"/>
      <c r="AZ1497" s="81"/>
      <c r="BB1497" s="5"/>
      <c r="BC1497" s="5"/>
    </row>
    <row r="1498" spans="1:55" x14ac:dyDescent="0.25">
      <c r="A1498" s="51">
        <v>43367</v>
      </c>
      <c r="B1498" s="54"/>
      <c r="C1498" s="55"/>
      <c r="D1498" s="55"/>
      <c r="E1498" s="55"/>
      <c r="F1498" s="55"/>
      <c r="G1498" s="55"/>
      <c r="H1498" s="55"/>
      <c r="I1498" s="55"/>
      <c r="J1498" s="55"/>
      <c r="K1498" s="55"/>
      <c r="L1498" s="55"/>
      <c r="M1498" s="55"/>
      <c r="N1498" s="55"/>
      <c r="O1498" s="55"/>
      <c r="P1498" s="56"/>
      <c r="AI1498" s="49"/>
      <c r="AJ1498" s="78"/>
      <c r="AK1498" s="78"/>
      <c r="AL1498" s="78"/>
      <c r="AM1498" s="78"/>
      <c r="AN1498" s="78"/>
      <c r="AO1498" s="78"/>
      <c r="AP1498" s="78"/>
      <c r="AQ1498" s="78"/>
      <c r="AR1498" s="78"/>
      <c r="AS1498" s="78"/>
      <c r="AT1498" s="78"/>
      <c r="AU1498" s="78"/>
      <c r="AV1498" s="78"/>
      <c r="AW1498" s="78"/>
      <c r="AX1498" s="78"/>
      <c r="AY1498" s="3"/>
      <c r="AZ1498" s="81"/>
      <c r="BB1498" s="5"/>
      <c r="BC1498" s="5"/>
    </row>
    <row r="1499" spans="1:55" x14ac:dyDescent="0.25">
      <c r="A1499" s="51">
        <v>43368</v>
      </c>
      <c r="B1499" s="54"/>
      <c r="C1499" s="55"/>
      <c r="D1499" s="55"/>
      <c r="E1499" s="55"/>
      <c r="F1499" s="55"/>
      <c r="G1499" s="55"/>
      <c r="H1499" s="55"/>
      <c r="I1499" s="55"/>
      <c r="J1499" s="55"/>
      <c r="K1499" s="55"/>
      <c r="L1499" s="55"/>
      <c r="M1499" s="55"/>
      <c r="N1499" s="55"/>
      <c r="O1499" s="55"/>
      <c r="P1499" s="56"/>
      <c r="AI1499" s="49"/>
      <c r="AJ1499" s="78"/>
      <c r="AK1499" s="78"/>
      <c r="AL1499" s="78"/>
      <c r="AM1499" s="78"/>
      <c r="AN1499" s="78"/>
      <c r="AO1499" s="78"/>
      <c r="AP1499" s="78"/>
      <c r="AQ1499" s="78"/>
      <c r="AR1499" s="78"/>
      <c r="AS1499" s="78"/>
      <c r="AT1499" s="78"/>
      <c r="AU1499" s="78"/>
      <c r="AV1499" s="78"/>
      <c r="AW1499" s="78"/>
      <c r="AX1499" s="78"/>
      <c r="AY1499" s="3"/>
      <c r="AZ1499" s="81"/>
      <c r="BB1499" s="5"/>
      <c r="BC1499" s="5"/>
    </row>
    <row r="1500" spans="1:55" x14ac:dyDescent="0.25">
      <c r="A1500" s="51">
        <v>43369</v>
      </c>
      <c r="B1500" s="54"/>
      <c r="C1500" s="55"/>
      <c r="D1500" s="55"/>
      <c r="E1500" s="55"/>
      <c r="F1500" s="55"/>
      <c r="G1500" s="55"/>
      <c r="H1500" s="55"/>
      <c r="I1500" s="55"/>
      <c r="J1500" s="55"/>
      <c r="K1500" s="55"/>
      <c r="L1500" s="55"/>
      <c r="M1500" s="55"/>
      <c r="N1500" s="55"/>
      <c r="O1500" s="55"/>
      <c r="P1500" s="56"/>
      <c r="AI1500" s="49"/>
      <c r="AJ1500" s="78"/>
      <c r="AK1500" s="78"/>
      <c r="AL1500" s="78"/>
      <c r="AM1500" s="78"/>
      <c r="AN1500" s="78"/>
      <c r="AO1500" s="78"/>
      <c r="AP1500" s="78"/>
      <c r="AQ1500" s="78"/>
      <c r="AR1500" s="78"/>
      <c r="AS1500" s="78"/>
      <c r="AT1500" s="78"/>
      <c r="AU1500" s="78"/>
      <c r="AV1500" s="78"/>
      <c r="AW1500" s="78"/>
      <c r="AX1500" s="78"/>
      <c r="AY1500" s="3"/>
      <c r="AZ1500" s="81"/>
      <c r="BB1500" s="5"/>
      <c r="BC1500" s="5"/>
    </row>
    <row r="1501" spans="1:55" x14ac:dyDescent="0.25">
      <c r="A1501" s="51">
        <v>43370</v>
      </c>
      <c r="B1501" s="54"/>
      <c r="C1501" s="55"/>
      <c r="D1501" s="55"/>
      <c r="E1501" s="55"/>
      <c r="F1501" s="55"/>
      <c r="G1501" s="55"/>
      <c r="H1501" s="55"/>
      <c r="I1501" s="55"/>
      <c r="J1501" s="55"/>
      <c r="K1501" s="55"/>
      <c r="L1501" s="55"/>
      <c r="M1501" s="55"/>
      <c r="N1501" s="55"/>
      <c r="O1501" s="55"/>
      <c r="P1501" s="56"/>
      <c r="AI1501" s="49"/>
      <c r="AJ1501" s="78"/>
      <c r="AK1501" s="78"/>
      <c r="AL1501" s="78"/>
      <c r="AM1501" s="78"/>
      <c r="AN1501" s="78"/>
      <c r="AO1501" s="78"/>
      <c r="AP1501" s="78"/>
      <c r="AQ1501" s="78"/>
      <c r="AR1501" s="78"/>
      <c r="AS1501" s="78"/>
      <c r="AT1501" s="78"/>
      <c r="AU1501" s="78"/>
      <c r="AV1501" s="78"/>
      <c r="AW1501" s="78"/>
      <c r="AX1501" s="78"/>
      <c r="AY1501" s="3"/>
      <c r="AZ1501" s="81"/>
      <c r="BB1501" s="5"/>
      <c r="BC1501" s="5"/>
    </row>
    <row r="1502" spans="1:55" x14ac:dyDescent="0.25">
      <c r="A1502" s="51">
        <v>43371</v>
      </c>
      <c r="B1502" s="54"/>
      <c r="C1502" s="55"/>
      <c r="D1502" s="55"/>
      <c r="E1502" s="55"/>
      <c r="F1502" s="55"/>
      <c r="G1502" s="55"/>
      <c r="H1502" s="55"/>
      <c r="I1502" s="55"/>
      <c r="J1502" s="55"/>
      <c r="K1502" s="55"/>
      <c r="L1502" s="55"/>
      <c r="M1502" s="55"/>
      <c r="N1502" s="55"/>
      <c r="O1502" s="55"/>
      <c r="P1502" s="56"/>
      <c r="AI1502" s="49"/>
      <c r="AJ1502" s="78"/>
      <c r="AK1502" s="78"/>
      <c r="AL1502" s="78"/>
      <c r="AM1502" s="78"/>
      <c r="AN1502" s="78"/>
      <c r="AO1502" s="78"/>
      <c r="AP1502" s="78"/>
      <c r="AQ1502" s="78"/>
      <c r="AR1502" s="78"/>
      <c r="AS1502" s="78"/>
      <c r="AT1502" s="78"/>
      <c r="AU1502" s="78"/>
      <c r="AV1502" s="78"/>
      <c r="AW1502" s="78"/>
      <c r="AX1502" s="78"/>
      <c r="AY1502" s="3"/>
      <c r="AZ1502" s="81"/>
      <c r="BB1502" s="5"/>
      <c r="BC1502" s="5"/>
    </row>
    <row r="1503" spans="1:55" x14ac:dyDescent="0.25">
      <c r="A1503" s="51">
        <v>43374</v>
      </c>
      <c r="B1503" s="54"/>
      <c r="C1503" s="55"/>
      <c r="D1503" s="55"/>
      <c r="E1503" s="55"/>
      <c r="F1503" s="55"/>
      <c r="G1503" s="55"/>
      <c r="H1503" s="55"/>
      <c r="I1503" s="55"/>
      <c r="J1503" s="55"/>
      <c r="K1503" s="55"/>
      <c r="L1503" s="55"/>
      <c r="M1503" s="55"/>
      <c r="N1503" s="55"/>
      <c r="O1503" s="55"/>
      <c r="P1503" s="56"/>
      <c r="AI1503" s="49"/>
      <c r="AJ1503" s="78"/>
      <c r="AK1503" s="78"/>
      <c r="AL1503" s="78"/>
      <c r="AM1503" s="78"/>
      <c r="AN1503" s="78"/>
      <c r="AO1503" s="78"/>
      <c r="AP1503" s="78"/>
      <c r="AQ1503" s="78"/>
      <c r="AR1503" s="78"/>
      <c r="AS1503" s="78"/>
      <c r="AT1503" s="78"/>
      <c r="AU1503" s="78"/>
      <c r="AV1503" s="78"/>
      <c r="AW1503" s="78"/>
      <c r="AX1503" s="78"/>
      <c r="AY1503" s="3"/>
      <c r="AZ1503" s="81"/>
      <c r="BB1503" s="5"/>
      <c r="BC1503" s="5"/>
    </row>
    <row r="1504" spans="1:55" x14ac:dyDescent="0.25">
      <c r="A1504" s="51">
        <v>43375</v>
      </c>
      <c r="B1504" s="54"/>
      <c r="C1504" s="55"/>
      <c r="D1504" s="55"/>
      <c r="E1504" s="55"/>
      <c r="F1504" s="55"/>
      <c r="G1504" s="55"/>
      <c r="H1504" s="55"/>
      <c r="I1504" s="55"/>
      <c r="J1504" s="55"/>
      <c r="K1504" s="55"/>
      <c r="L1504" s="55"/>
      <c r="M1504" s="55"/>
      <c r="N1504" s="55"/>
      <c r="O1504" s="55"/>
      <c r="P1504" s="56"/>
      <c r="AI1504" s="49"/>
      <c r="AJ1504" s="78"/>
      <c r="AK1504" s="78"/>
      <c r="AL1504" s="78"/>
      <c r="AM1504" s="78"/>
      <c r="AN1504" s="78"/>
      <c r="AO1504" s="78"/>
      <c r="AP1504" s="78"/>
      <c r="AQ1504" s="78"/>
      <c r="AR1504" s="78"/>
      <c r="AS1504" s="78"/>
      <c r="AT1504" s="78"/>
      <c r="AU1504" s="78"/>
      <c r="AV1504" s="78"/>
      <c r="AW1504" s="78"/>
      <c r="AX1504" s="78"/>
      <c r="AY1504" s="3"/>
      <c r="AZ1504" s="81"/>
      <c r="BB1504" s="5"/>
      <c r="BC1504" s="5"/>
    </row>
    <row r="1505" spans="1:55" x14ac:dyDescent="0.25">
      <c r="A1505" s="51">
        <v>43376</v>
      </c>
      <c r="B1505" s="54"/>
      <c r="C1505" s="55"/>
      <c r="D1505" s="55"/>
      <c r="E1505" s="55"/>
      <c r="F1505" s="55"/>
      <c r="G1505" s="55"/>
      <c r="H1505" s="55"/>
      <c r="I1505" s="55"/>
      <c r="J1505" s="55"/>
      <c r="K1505" s="55"/>
      <c r="L1505" s="55"/>
      <c r="M1505" s="55"/>
      <c r="N1505" s="55"/>
      <c r="O1505" s="55"/>
      <c r="P1505" s="56"/>
      <c r="AI1505" s="49"/>
      <c r="AJ1505" s="78"/>
      <c r="AK1505" s="78"/>
      <c r="AL1505" s="78"/>
      <c r="AM1505" s="78"/>
      <c r="AN1505" s="78"/>
      <c r="AO1505" s="78"/>
      <c r="AP1505" s="78"/>
      <c r="AQ1505" s="78"/>
      <c r="AR1505" s="78"/>
      <c r="AS1505" s="78"/>
      <c r="AT1505" s="78"/>
      <c r="AU1505" s="78"/>
      <c r="AV1505" s="78"/>
      <c r="AW1505" s="78"/>
      <c r="AX1505" s="78"/>
      <c r="AY1505" s="3"/>
      <c r="AZ1505" s="81"/>
      <c r="BB1505" s="5"/>
      <c r="BC1505" s="5"/>
    </row>
    <row r="1506" spans="1:55" x14ac:dyDescent="0.25">
      <c r="A1506" s="51">
        <v>43377</v>
      </c>
      <c r="B1506" s="54"/>
      <c r="C1506" s="55"/>
      <c r="D1506" s="55"/>
      <c r="E1506" s="55"/>
      <c r="F1506" s="55"/>
      <c r="G1506" s="55"/>
      <c r="H1506" s="55"/>
      <c r="I1506" s="55"/>
      <c r="J1506" s="55"/>
      <c r="K1506" s="55"/>
      <c r="L1506" s="55"/>
      <c r="M1506" s="55"/>
      <c r="N1506" s="55"/>
      <c r="O1506" s="55"/>
      <c r="P1506" s="56"/>
      <c r="AI1506" s="49"/>
      <c r="AJ1506" s="78"/>
      <c r="AK1506" s="78"/>
      <c r="AL1506" s="78"/>
      <c r="AM1506" s="78"/>
      <c r="AN1506" s="78"/>
      <c r="AO1506" s="78"/>
      <c r="AP1506" s="78"/>
      <c r="AQ1506" s="78"/>
      <c r="AR1506" s="78"/>
      <c r="AS1506" s="78"/>
      <c r="AT1506" s="78"/>
      <c r="AU1506" s="78"/>
      <c r="AV1506" s="78"/>
      <c r="AW1506" s="78"/>
      <c r="AX1506" s="78"/>
      <c r="AY1506" s="3"/>
      <c r="AZ1506" s="81"/>
      <c r="BB1506" s="5"/>
      <c r="BC1506" s="5"/>
    </row>
    <row r="1507" spans="1:55" x14ac:dyDescent="0.25">
      <c r="A1507" s="51">
        <v>43378</v>
      </c>
      <c r="B1507" s="54"/>
      <c r="C1507" s="55"/>
      <c r="D1507" s="55"/>
      <c r="E1507" s="55"/>
      <c r="F1507" s="55"/>
      <c r="G1507" s="55"/>
      <c r="H1507" s="55"/>
      <c r="I1507" s="55"/>
      <c r="J1507" s="55"/>
      <c r="K1507" s="55"/>
      <c r="L1507" s="55"/>
      <c r="M1507" s="55"/>
      <c r="N1507" s="55"/>
      <c r="O1507" s="55"/>
      <c r="P1507" s="56"/>
      <c r="AI1507" s="49"/>
      <c r="AJ1507" s="78"/>
      <c r="AK1507" s="78"/>
      <c r="AL1507" s="78"/>
      <c r="AM1507" s="78"/>
      <c r="AN1507" s="78"/>
      <c r="AO1507" s="78"/>
      <c r="AP1507" s="78"/>
      <c r="AQ1507" s="78"/>
      <c r="AR1507" s="78"/>
      <c r="AS1507" s="78"/>
      <c r="AT1507" s="78"/>
      <c r="AU1507" s="78"/>
      <c r="AV1507" s="78"/>
      <c r="AW1507" s="78"/>
      <c r="AX1507" s="78"/>
      <c r="AY1507" s="3"/>
      <c r="AZ1507" s="81"/>
      <c r="BB1507" s="5"/>
      <c r="BC1507" s="5"/>
    </row>
    <row r="1508" spans="1:55" x14ac:dyDescent="0.25">
      <c r="A1508" s="51">
        <v>43382</v>
      </c>
      <c r="B1508" s="54"/>
      <c r="C1508" s="55"/>
      <c r="D1508" s="55"/>
      <c r="E1508" s="55"/>
      <c r="F1508" s="55"/>
      <c r="G1508" s="55"/>
      <c r="H1508" s="55"/>
      <c r="I1508" s="55"/>
      <c r="J1508" s="55"/>
      <c r="K1508" s="55"/>
      <c r="L1508" s="55"/>
      <c r="M1508" s="55"/>
      <c r="N1508" s="55"/>
      <c r="O1508" s="55"/>
      <c r="P1508" s="56"/>
      <c r="AI1508" s="49"/>
      <c r="AJ1508" s="78"/>
      <c r="AK1508" s="78"/>
      <c r="AL1508" s="78"/>
      <c r="AM1508" s="78"/>
      <c r="AN1508" s="78"/>
      <c r="AO1508" s="78"/>
      <c r="AP1508" s="78"/>
      <c r="AQ1508" s="78"/>
      <c r="AR1508" s="78"/>
      <c r="AS1508" s="78"/>
      <c r="AT1508" s="78"/>
      <c r="AU1508" s="78"/>
      <c r="AV1508" s="78"/>
      <c r="AW1508" s="78"/>
      <c r="AX1508" s="78"/>
      <c r="AY1508" s="3"/>
      <c r="AZ1508" s="81"/>
      <c r="BB1508" s="5"/>
      <c r="BC1508" s="5"/>
    </row>
    <row r="1509" spans="1:55" x14ac:dyDescent="0.25">
      <c r="A1509" s="51">
        <v>43383</v>
      </c>
      <c r="B1509" s="54"/>
      <c r="C1509" s="55"/>
      <c r="D1509" s="55"/>
      <c r="E1509" s="55"/>
      <c r="F1509" s="55"/>
      <c r="G1509" s="55"/>
      <c r="H1509" s="55"/>
      <c r="I1509" s="55"/>
      <c r="J1509" s="55"/>
      <c r="K1509" s="55"/>
      <c r="L1509" s="55"/>
      <c r="M1509" s="55"/>
      <c r="N1509" s="55"/>
      <c r="O1509" s="55"/>
      <c r="P1509" s="56"/>
      <c r="AI1509" s="49"/>
      <c r="AJ1509" s="78"/>
      <c r="AK1509" s="78"/>
      <c r="AL1509" s="78"/>
      <c r="AM1509" s="78"/>
      <c r="AN1509" s="78"/>
      <c r="AO1509" s="78"/>
      <c r="AP1509" s="78"/>
      <c r="AQ1509" s="78"/>
      <c r="AR1509" s="78"/>
      <c r="AS1509" s="78"/>
      <c r="AT1509" s="78"/>
      <c r="AU1509" s="78"/>
      <c r="AV1509" s="78"/>
      <c r="AW1509" s="78"/>
      <c r="AX1509" s="78"/>
      <c r="AY1509" s="3"/>
      <c r="AZ1509" s="81"/>
      <c r="BB1509" s="5"/>
      <c r="BC1509" s="5"/>
    </row>
    <row r="1510" spans="1:55" x14ac:dyDescent="0.25">
      <c r="A1510" s="51">
        <v>43384</v>
      </c>
      <c r="B1510" s="54"/>
      <c r="C1510" s="55"/>
      <c r="D1510" s="55"/>
      <c r="E1510" s="55"/>
      <c r="F1510" s="55"/>
      <c r="G1510" s="55"/>
      <c r="H1510" s="55"/>
      <c r="I1510" s="55"/>
      <c r="J1510" s="55"/>
      <c r="K1510" s="55"/>
      <c r="L1510" s="55"/>
      <c r="M1510" s="55"/>
      <c r="N1510" s="55"/>
      <c r="O1510" s="55"/>
      <c r="P1510" s="56"/>
      <c r="AI1510" s="49"/>
      <c r="AJ1510" s="78"/>
      <c r="AK1510" s="78"/>
      <c r="AL1510" s="78"/>
      <c r="AM1510" s="78"/>
      <c r="AN1510" s="78"/>
      <c r="AO1510" s="78"/>
      <c r="AP1510" s="78"/>
      <c r="AQ1510" s="78"/>
      <c r="AR1510" s="78"/>
      <c r="AS1510" s="78"/>
      <c r="AT1510" s="78"/>
      <c r="AU1510" s="78"/>
      <c r="AV1510" s="78"/>
      <c r="AW1510" s="78"/>
      <c r="AX1510" s="78"/>
      <c r="AY1510" s="3"/>
      <c r="AZ1510" s="81"/>
      <c r="BB1510" s="5"/>
      <c r="BC1510" s="5"/>
    </row>
    <row r="1511" spans="1:55" x14ac:dyDescent="0.25">
      <c r="A1511" s="51">
        <v>43385</v>
      </c>
      <c r="B1511" s="54"/>
      <c r="C1511" s="55"/>
      <c r="D1511" s="55"/>
      <c r="E1511" s="55"/>
      <c r="F1511" s="55"/>
      <c r="G1511" s="55"/>
      <c r="H1511" s="55"/>
      <c r="I1511" s="55"/>
      <c r="J1511" s="55"/>
      <c r="K1511" s="55"/>
      <c r="L1511" s="55"/>
      <c r="M1511" s="55"/>
      <c r="N1511" s="55"/>
      <c r="O1511" s="55"/>
      <c r="P1511" s="56"/>
      <c r="AI1511" s="49"/>
      <c r="AJ1511" s="78"/>
      <c r="AK1511" s="78"/>
      <c r="AL1511" s="78"/>
      <c r="AM1511" s="78"/>
      <c r="AN1511" s="78"/>
      <c r="AO1511" s="78"/>
      <c r="AP1511" s="78"/>
      <c r="AQ1511" s="78"/>
      <c r="AR1511" s="78"/>
      <c r="AS1511" s="78"/>
      <c r="AT1511" s="78"/>
      <c r="AU1511" s="78"/>
      <c r="AV1511" s="78"/>
      <c r="AW1511" s="78"/>
      <c r="AX1511" s="78"/>
      <c r="AY1511" s="3"/>
      <c r="AZ1511" s="81"/>
      <c r="BB1511" s="5"/>
      <c r="BC1511" s="5"/>
    </row>
    <row r="1512" spans="1:55" x14ac:dyDescent="0.25">
      <c r="A1512" s="51">
        <v>43388</v>
      </c>
      <c r="B1512" s="54"/>
      <c r="C1512" s="55"/>
      <c r="D1512" s="55"/>
      <c r="E1512" s="55"/>
      <c r="F1512" s="55"/>
      <c r="G1512" s="55"/>
      <c r="H1512" s="55"/>
      <c r="I1512" s="55"/>
      <c r="J1512" s="55"/>
      <c r="K1512" s="55"/>
      <c r="L1512" s="55"/>
      <c r="M1512" s="55"/>
      <c r="N1512" s="55"/>
      <c r="O1512" s="55"/>
      <c r="P1512" s="56"/>
      <c r="AI1512" s="49"/>
      <c r="AJ1512" s="78"/>
      <c r="AK1512" s="78"/>
      <c r="AL1512" s="78"/>
      <c r="AM1512" s="78"/>
      <c r="AN1512" s="78"/>
      <c r="AO1512" s="78"/>
      <c r="AP1512" s="78"/>
      <c r="AQ1512" s="78"/>
      <c r="AR1512" s="78"/>
      <c r="AS1512" s="78"/>
      <c r="AT1512" s="78"/>
      <c r="AU1512" s="78"/>
      <c r="AV1512" s="78"/>
      <c r="AW1512" s="78"/>
      <c r="AX1512" s="78"/>
      <c r="AY1512" s="3"/>
      <c r="AZ1512" s="81"/>
      <c r="BB1512" s="5"/>
      <c r="BC1512" s="5"/>
    </row>
    <row r="1513" spans="1:55" x14ac:dyDescent="0.25">
      <c r="A1513" s="51">
        <v>43389</v>
      </c>
      <c r="B1513" s="54"/>
      <c r="C1513" s="55"/>
      <c r="D1513" s="55"/>
      <c r="E1513" s="55"/>
      <c r="F1513" s="55"/>
      <c r="G1513" s="55"/>
      <c r="H1513" s="55"/>
      <c r="I1513" s="55"/>
      <c r="J1513" s="55"/>
      <c r="K1513" s="55"/>
      <c r="L1513" s="55"/>
      <c r="M1513" s="55"/>
      <c r="N1513" s="55"/>
      <c r="O1513" s="55"/>
      <c r="P1513" s="56"/>
      <c r="AI1513" s="49"/>
      <c r="AJ1513" s="78"/>
      <c r="AK1513" s="78"/>
      <c r="AL1513" s="78"/>
      <c r="AM1513" s="78"/>
      <c r="AN1513" s="78"/>
      <c r="AO1513" s="78"/>
      <c r="AP1513" s="78"/>
      <c r="AQ1513" s="78"/>
      <c r="AR1513" s="78"/>
      <c r="AS1513" s="78"/>
      <c r="AT1513" s="78"/>
      <c r="AU1513" s="78"/>
      <c r="AV1513" s="78"/>
      <c r="AW1513" s="78"/>
      <c r="AX1513" s="78"/>
      <c r="AY1513" s="3"/>
      <c r="AZ1513" s="81"/>
      <c r="BB1513" s="5"/>
      <c r="BC1513" s="5"/>
    </row>
    <row r="1514" spans="1:55" x14ac:dyDescent="0.25">
      <c r="A1514" s="51">
        <v>43390</v>
      </c>
      <c r="B1514" s="54"/>
      <c r="C1514" s="55"/>
      <c r="D1514" s="55"/>
      <c r="E1514" s="55"/>
      <c r="F1514" s="55"/>
      <c r="G1514" s="55"/>
      <c r="H1514" s="55"/>
      <c r="I1514" s="55"/>
      <c r="J1514" s="55"/>
      <c r="K1514" s="55"/>
      <c r="L1514" s="55"/>
      <c r="M1514" s="55"/>
      <c r="N1514" s="55"/>
      <c r="O1514" s="55"/>
      <c r="P1514" s="56"/>
      <c r="AI1514" s="49"/>
      <c r="AJ1514" s="78"/>
      <c r="AK1514" s="78"/>
      <c r="AL1514" s="78"/>
      <c r="AM1514" s="78"/>
      <c r="AN1514" s="78"/>
      <c r="AO1514" s="78"/>
      <c r="AP1514" s="78"/>
      <c r="AQ1514" s="78"/>
      <c r="AR1514" s="78"/>
      <c r="AS1514" s="78"/>
      <c r="AT1514" s="78"/>
      <c r="AU1514" s="78"/>
      <c r="AV1514" s="78"/>
      <c r="AW1514" s="78"/>
      <c r="AX1514" s="78"/>
      <c r="AY1514" s="3"/>
      <c r="AZ1514" s="81"/>
      <c r="BB1514" s="5"/>
      <c r="BC1514" s="5"/>
    </row>
    <row r="1515" spans="1:55" x14ac:dyDescent="0.25">
      <c r="A1515" s="51">
        <v>43391</v>
      </c>
      <c r="B1515" s="54"/>
      <c r="C1515" s="55"/>
      <c r="D1515" s="55"/>
      <c r="E1515" s="55"/>
      <c r="F1515" s="55"/>
      <c r="G1515" s="55"/>
      <c r="H1515" s="55"/>
      <c r="I1515" s="55"/>
      <c r="J1515" s="55"/>
      <c r="K1515" s="55"/>
      <c r="L1515" s="55"/>
      <c r="M1515" s="55"/>
      <c r="N1515" s="55"/>
      <c r="O1515" s="55"/>
      <c r="P1515" s="56"/>
      <c r="AI1515" s="49"/>
      <c r="AJ1515" s="78"/>
      <c r="AK1515" s="78"/>
      <c r="AL1515" s="78"/>
      <c r="AM1515" s="78"/>
      <c r="AN1515" s="78"/>
      <c r="AO1515" s="78"/>
      <c r="AP1515" s="78"/>
      <c r="AQ1515" s="78"/>
      <c r="AR1515" s="78"/>
      <c r="AS1515" s="78"/>
      <c r="AT1515" s="78"/>
      <c r="AU1515" s="78"/>
      <c r="AV1515" s="78"/>
      <c r="AW1515" s="78"/>
      <c r="AX1515" s="78"/>
      <c r="AY1515" s="3"/>
      <c r="AZ1515" s="81"/>
      <c r="BB1515" s="5"/>
      <c r="BC1515" s="5"/>
    </row>
    <row r="1516" spans="1:55" x14ac:dyDescent="0.25">
      <c r="A1516" s="51">
        <v>43392</v>
      </c>
      <c r="B1516" s="54"/>
      <c r="C1516" s="55"/>
      <c r="D1516" s="55"/>
      <c r="E1516" s="55"/>
      <c r="F1516" s="55"/>
      <c r="G1516" s="55"/>
      <c r="H1516" s="55"/>
      <c r="I1516" s="55"/>
      <c r="J1516" s="55"/>
      <c r="K1516" s="55"/>
      <c r="L1516" s="55"/>
      <c r="M1516" s="55"/>
      <c r="N1516" s="55"/>
      <c r="O1516" s="55"/>
      <c r="P1516" s="56"/>
      <c r="AI1516" s="49"/>
      <c r="AJ1516" s="78"/>
      <c r="AK1516" s="78"/>
      <c r="AL1516" s="78"/>
      <c r="AM1516" s="78"/>
      <c r="AN1516" s="78"/>
      <c r="AO1516" s="78"/>
      <c r="AP1516" s="78"/>
      <c r="AQ1516" s="78"/>
      <c r="AR1516" s="78"/>
      <c r="AS1516" s="78"/>
      <c r="AT1516" s="78"/>
      <c r="AU1516" s="78"/>
      <c r="AV1516" s="78"/>
      <c r="AW1516" s="78"/>
      <c r="AX1516" s="78"/>
      <c r="AY1516" s="3"/>
      <c r="AZ1516" s="81"/>
      <c r="BB1516" s="5"/>
      <c r="BC1516" s="5"/>
    </row>
    <row r="1517" spans="1:55" x14ac:dyDescent="0.25">
      <c r="A1517" s="51">
        <v>43395</v>
      </c>
      <c r="B1517" s="54"/>
      <c r="C1517" s="55"/>
      <c r="D1517" s="55"/>
      <c r="E1517" s="55"/>
      <c r="F1517" s="55"/>
      <c r="G1517" s="55"/>
      <c r="H1517" s="55"/>
      <c r="I1517" s="55"/>
      <c r="J1517" s="55"/>
      <c r="K1517" s="55"/>
      <c r="L1517" s="55"/>
      <c r="M1517" s="55"/>
      <c r="N1517" s="55"/>
      <c r="O1517" s="55"/>
      <c r="P1517" s="56"/>
      <c r="AI1517" s="49"/>
      <c r="AJ1517" s="78"/>
      <c r="AK1517" s="78"/>
      <c r="AL1517" s="78"/>
      <c r="AM1517" s="78"/>
      <c r="AN1517" s="78"/>
      <c r="AO1517" s="78"/>
      <c r="AP1517" s="78"/>
      <c r="AQ1517" s="78"/>
      <c r="AR1517" s="78"/>
      <c r="AS1517" s="78"/>
      <c r="AT1517" s="78"/>
      <c r="AU1517" s="78"/>
      <c r="AV1517" s="78"/>
      <c r="AW1517" s="78"/>
      <c r="AX1517" s="78"/>
      <c r="AY1517" s="3"/>
      <c r="AZ1517" s="81"/>
      <c r="BB1517" s="5"/>
      <c r="BC1517" s="5"/>
    </row>
    <row r="1518" spans="1:55" x14ac:dyDescent="0.25">
      <c r="A1518" s="51">
        <v>43396</v>
      </c>
      <c r="B1518" s="54"/>
      <c r="C1518" s="55"/>
      <c r="D1518" s="55"/>
      <c r="E1518" s="55"/>
      <c r="F1518" s="55"/>
      <c r="G1518" s="55"/>
      <c r="H1518" s="55"/>
      <c r="I1518" s="55"/>
      <c r="J1518" s="55"/>
      <c r="K1518" s="55"/>
      <c r="L1518" s="55"/>
      <c r="M1518" s="55"/>
      <c r="N1518" s="55"/>
      <c r="O1518" s="55"/>
      <c r="P1518" s="56"/>
      <c r="AI1518" s="49"/>
      <c r="AJ1518" s="78"/>
      <c r="AK1518" s="78"/>
      <c r="AL1518" s="78"/>
      <c r="AM1518" s="78"/>
      <c r="AN1518" s="78"/>
      <c r="AO1518" s="78"/>
      <c r="AP1518" s="78"/>
      <c r="AQ1518" s="78"/>
      <c r="AR1518" s="78"/>
      <c r="AS1518" s="78"/>
      <c r="AT1518" s="78"/>
      <c r="AU1518" s="78"/>
      <c r="AV1518" s="78"/>
      <c r="AW1518" s="78"/>
      <c r="AX1518" s="78"/>
      <c r="AY1518" s="3"/>
      <c r="AZ1518" s="81"/>
      <c r="BB1518" s="5"/>
      <c r="BC1518" s="5"/>
    </row>
    <row r="1519" spans="1:55" x14ac:dyDescent="0.25">
      <c r="A1519" s="51">
        <v>43397</v>
      </c>
      <c r="B1519" s="54"/>
      <c r="C1519" s="55"/>
      <c r="D1519" s="55"/>
      <c r="E1519" s="55"/>
      <c r="F1519" s="55"/>
      <c r="G1519" s="55"/>
      <c r="H1519" s="55"/>
      <c r="I1519" s="55"/>
      <c r="J1519" s="55"/>
      <c r="K1519" s="55"/>
      <c r="L1519" s="55"/>
      <c r="M1519" s="55"/>
      <c r="N1519" s="55"/>
      <c r="O1519" s="55"/>
      <c r="P1519" s="56"/>
      <c r="AI1519" s="49"/>
      <c r="AJ1519" s="78"/>
      <c r="AK1519" s="78"/>
      <c r="AL1519" s="78"/>
      <c r="AM1519" s="78"/>
      <c r="AN1519" s="78"/>
      <c r="AO1519" s="78"/>
      <c r="AP1519" s="78"/>
      <c r="AQ1519" s="78"/>
      <c r="AR1519" s="78"/>
      <c r="AS1519" s="78"/>
      <c r="AT1519" s="78"/>
      <c r="AU1519" s="78"/>
      <c r="AV1519" s="78"/>
      <c r="AW1519" s="78"/>
      <c r="AX1519" s="78"/>
      <c r="AY1519" s="3"/>
      <c r="AZ1519" s="81"/>
      <c r="BB1519" s="5"/>
      <c r="BC1519" s="5"/>
    </row>
    <row r="1520" spans="1:55" x14ac:dyDescent="0.25">
      <c r="A1520" s="51">
        <v>43398</v>
      </c>
      <c r="B1520" s="54"/>
      <c r="C1520" s="55"/>
      <c r="D1520" s="55"/>
      <c r="E1520" s="55"/>
      <c r="F1520" s="55"/>
      <c r="G1520" s="55"/>
      <c r="H1520" s="55"/>
      <c r="I1520" s="55"/>
      <c r="J1520" s="55"/>
      <c r="K1520" s="55"/>
      <c r="L1520" s="55"/>
      <c r="M1520" s="55"/>
      <c r="N1520" s="55"/>
      <c r="O1520" s="55"/>
      <c r="P1520" s="56"/>
      <c r="AI1520" s="49"/>
      <c r="AJ1520" s="78"/>
      <c r="AK1520" s="78"/>
      <c r="AL1520" s="78"/>
      <c r="AM1520" s="78"/>
      <c r="AN1520" s="78"/>
      <c r="AO1520" s="78"/>
      <c r="AP1520" s="78"/>
      <c r="AQ1520" s="78"/>
      <c r="AR1520" s="78"/>
      <c r="AS1520" s="78"/>
      <c r="AT1520" s="78"/>
      <c r="AU1520" s="78"/>
      <c r="AV1520" s="78"/>
      <c r="AW1520" s="78"/>
      <c r="AX1520" s="78"/>
      <c r="AY1520" s="3"/>
      <c r="AZ1520" s="81"/>
      <c r="BB1520" s="5"/>
      <c r="BC1520" s="5"/>
    </row>
    <row r="1521" spans="1:55" x14ac:dyDescent="0.25">
      <c r="A1521" s="51">
        <v>43399</v>
      </c>
      <c r="B1521" s="54"/>
      <c r="C1521" s="55"/>
      <c r="D1521" s="55"/>
      <c r="E1521" s="55"/>
      <c r="F1521" s="55"/>
      <c r="G1521" s="55"/>
      <c r="H1521" s="55"/>
      <c r="I1521" s="55"/>
      <c r="J1521" s="55"/>
      <c r="K1521" s="55"/>
      <c r="L1521" s="55"/>
      <c r="M1521" s="55"/>
      <c r="N1521" s="55"/>
      <c r="O1521" s="55"/>
      <c r="P1521" s="56"/>
      <c r="AI1521" s="49"/>
      <c r="AJ1521" s="78"/>
      <c r="AK1521" s="78"/>
      <c r="AL1521" s="78"/>
      <c r="AM1521" s="78"/>
      <c r="AN1521" s="78"/>
      <c r="AO1521" s="78"/>
      <c r="AP1521" s="78"/>
      <c r="AQ1521" s="78"/>
      <c r="AR1521" s="78"/>
      <c r="AS1521" s="78"/>
      <c r="AT1521" s="78"/>
      <c r="AU1521" s="78"/>
      <c r="AV1521" s="78"/>
      <c r="AW1521" s="78"/>
      <c r="AX1521" s="78"/>
      <c r="AY1521" s="3"/>
      <c r="AZ1521" s="81"/>
      <c r="BB1521" s="5"/>
      <c r="BC1521" s="5"/>
    </row>
    <row r="1522" spans="1:55" x14ac:dyDescent="0.25">
      <c r="A1522" s="51">
        <v>43402</v>
      </c>
      <c r="B1522" s="54"/>
      <c r="C1522" s="55"/>
      <c r="D1522" s="55"/>
      <c r="E1522" s="55"/>
      <c r="F1522" s="55"/>
      <c r="G1522" s="55"/>
      <c r="H1522" s="55"/>
      <c r="I1522" s="55"/>
      <c r="J1522" s="55"/>
      <c r="K1522" s="55"/>
      <c r="L1522" s="55"/>
      <c r="M1522" s="55"/>
      <c r="N1522" s="55"/>
      <c r="O1522" s="55"/>
      <c r="P1522" s="56"/>
      <c r="AI1522" s="49"/>
      <c r="AJ1522" s="78"/>
      <c r="AK1522" s="78"/>
      <c r="AL1522" s="78"/>
      <c r="AM1522" s="78"/>
      <c r="AN1522" s="78"/>
      <c r="AO1522" s="78"/>
      <c r="AP1522" s="78"/>
      <c r="AQ1522" s="78"/>
      <c r="AR1522" s="78"/>
      <c r="AS1522" s="78"/>
      <c r="AT1522" s="78"/>
      <c r="AU1522" s="78"/>
      <c r="AV1522" s="78"/>
      <c r="AW1522" s="78"/>
      <c r="AX1522" s="78"/>
      <c r="AY1522" s="3"/>
      <c r="AZ1522" s="81"/>
      <c r="BB1522" s="5"/>
      <c r="BC1522" s="5"/>
    </row>
    <row r="1523" spans="1:55" x14ac:dyDescent="0.25">
      <c r="A1523" s="51">
        <v>43403</v>
      </c>
      <c r="B1523" s="54"/>
      <c r="C1523" s="55"/>
      <c r="D1523" s="55"/>
      <c r="E1523" s="55"/>
      <c r="F1523" s="55"/>
      <c r="G1523" s="55"/>
      <c r="H1523" s="55"/>
      <c r="I1523" s="55"/>
      <c r="J1523" s="55"/>
      <c r="K1523" s="55"/>
      <c r="L1523" s="55"/>
      <c r="M1523" s="55"/>
      <c r="N1523" s="55"/>
      <c r="O1523" s="55"/>
      <c r="P1523" s="56"/>
      <c r="AI1523" s="49"/>
      <c r="AJ1523" s="78"/>
      <c r="AK1523" s="78"/>
      <c r="AL1523" s="78"/>
      <c r="AM1523" s="78"/>
      <c r="AN1523" s="78"/>
      <c r="AO1523" s="78"/>
      <c r="AP1523" s="78"/>
      <c r="AQ1523" s="78"/>
      <c r="AR1523" s="78"/>
      <c r="AS1523" s="78"/>
      <c r="AT1523" s="78"/>
      <c r="AU1523" s="78"/>
      <c r="AV1523" s="78"/>
      <c r="AW1523" s="78"/>
      <c r="AX1523" s="78"/>
      <c r="AY1523" s="3"/>
      <c r="AZ1523" s="81"/>
      <c r="BB1523" s="5"/>
      <c r="BC1523" s="5"/>
    </row>
    <row r="1524" spans="1:55" x14ac:dyDescent="0.25">
      <c r="A1524" s="51">
        <v>43404</v>
      </c>
      <c r="B1524" s="54"/>
      <c r="C1524" s="55"/>
      <c r="D1524" s="55"/>
      <c r="E1524" s="55"/>
      <c r="F1524" s="55"/>
      <c r="G1524" s="55"/>
      <c r="H1524" s="55"/>
      <c r="I1524" s="55"/>
      <c r="J1524" s="55"/>
      <c r="K1524" s="55"/>
      <c r="L1524" s="55"/>
      <c r="M1524" s="55"/>
      <c r="N1524" s="55"/>
      <c r="O1524" s="55"/>
      <c r="P1524" s="56"/>
      <c r="AI1524" s="49"/>
      <c r="AJ1524" s="78"/>
      <c r="AK1524" s="78"/>
      <c r="AL1524" s="78"/>
      <c r="AM1524" s="78"/>
      <c r="AN1524" s="78"/>
      <c r="AO1524" s="78"/>
      <c r="AP1524" s="78"/>
      <c r="AQ1524" s="78"/>
      <c r="AR1524" s="78"/>
      <c r="AS1524" s="78"/>
      <c r="AT1524" s="78"/>
      <c r="AU1524" s="78"/>
      <c r="AV1524" s="78"/>
      <c r="AW1524" s="78"/>
      <c r="AX1524" s="78"/>
      <c r="AY1524" s="3"/>
      <c r="AZ1524" s="81"/>
      <c r="BB1524" s="5"/>
      <c r="BC1524" s="5"/>
    </row>
    <row r="1525" spans="1:55" x14ac:dyDescent="0.25">
      <c r="A1525" s="51">
        <v>43406</v>
      </c>
      <c r="B1525" s="54"/>
      <c r="C1525" s="55"/>
      <c r="D1525" s="55"/>
      <c r="E1525" s="55"/>
      <c r="F1525" s="55"/>
      <c r="G1525" s="55"/>
      <c r="H1525" s="55"/>
      <c r="I1525" s="55"/>
      <c r="J1525" s="55"/>
      <c r="K1525" s="55"/>
      <c r="L1525" s="55"/>
      <c r="M1525" s="55"/>
      <c r="N1525" s="55"/>
      <c r="O1525" s="55"/>
      <c r="P1525" s="56"/>
      <c r="AI1525" s="49"/>
      <c r="AJ1525" s="78"/>
      <c r="AK1525" s="78"/>
      <c r="AL1525" s="78"/>
      <c r="AM1525" s="78"/>
      <c r="AN1525" s="78"/>
      <c r="AO1525" s="78"/>
      <c r="AP1525" s="78"/>
      <c r="AQ1525" s="78"/>
      <c r="AR1525" s="78"/>
      <c r="AS1525" s="78"/>
      <c r="AT1525" s="78"/>
      <c r="AU1525" s="78"/>
      <c r="AV1525" s="78"/>
      <c r="AW1525" s="78"/>
      <c r="AX1525" s="78"/>
      <c r="AY1525" s="3"/>
      <c r="AZ1525" s="81"/>
      <c r="BB1525" s="5"/>
      <c r="BC1525" s="5"/>
    </row>
    <row r="1526" spans="1:55" x14ac:dyDescent="0.25">
      <c r="A1526" s="51">
        <v>43409</v>
      </c>
      <c r="B1526" s="54"/>
      <c r="C1526" s="55"/>
      <c r="D1526" s="55"/>
      <c r="E1526" s="55"/>
      <c r="F1526" s="55"/>
      <c r="G1526" s="55"/>
      <c r="H1526" s="55"/>
      <c r="I1526" s="55"/>
      <c r="J1526" s="55"/>
      <c r="K1526" s="55"/>
      <c r="L1526" s="55"/>
      <c r="M1526" s="55"/>
      <c r="N1526" s="55"/>
      <c r="O1526" s="55"/>
      <c r="P1526" s="56"/>
      <c r="AI1526" s="49"/>
      <c r="AJ1526" s="78"/>
      <c r="AK1526" s="78"/>
      <c r="AL1526" s="78"/>
      <c r="AM1526" s="78"/>
      <c r="AN1526" s="78"/>
      <c r="AO1526" s="78"/>
      <c r="AP1526" s="78"/>
      <c r="AQ1526" s="78"/>
      <c r="AR1526" s="78"/>
      <c r="AS1526" s="78"/>
      <c r="AT1526" s="78"/>
      <c r="AU1526" s="78"/>
      <c r="AV1526" s="78"/>
      <c r="AW1526" s="78"/>
      <c r="AX1526" s="78"/>
      <c r="AY1526" s="3"/>
      <c r="AZ1526" s="81"/>
      <c r="BB1526" s="5"/>
      <c r="BC1526" s="5"/>
    </row>
    <row r="1527" spans="1:55" x14ac:dyDescent="0.25">
      <c r="A1527" s="51">
        <v>43410</v>
      </c>
      <c r="B1527" s="54"/>
      <c r="C1527" s="55"/>
      <c r="D1527" s="55"/>
      <c r="E1527" s="55"/>
      <c r="F1527" s="55"/>
      <c r="G1527" s="55"/>
      <c r="H1527" s="55"/>
      <c r="I1527" s="55"/>
      <c r="J1527" s="55"/>
      <c r="K1527" s="55"/>
      <c r="L1527" s="55"/>
      <c r="M1527" s="55"/>
      <c r="N1527" s="55"/>
      <c r="O1527" s="55"/>
      <c r="P1527" s="56"/>
      <c r="AI1527" s="49"/>
      <c r="AJ1527" s="78"/>
      <c r="AK1527" s="78"/>
      <c r="AL1527" s="78"/>
      <c r="AM1527" s="78"/>
      <c r="AN1527" s="78"/>
      <c r="AO1527" s="78"/>
      <c r="AP1527" s="78"/>
      <c r="AQ1527" s="78"/>
      <c r="AR1527" s="78"/>
      <c r="AS1527" s="78"/>
      <c r="AT1527" s="78"/>
      <c r="AU1527" s="78"/>
      <c r="AV1527" s="78"/>
      <c r="AW1527" s="78"/>
      <c r="AX1527" s="78"/>
      <c r="AY1527" s="3"/>
      <c r="AZ1527" s="81"/>
      <c r="BB1527" s="5"/>
      <c r="BC1527" s="5"/>
    </row>
    <row r="1528" spans="1:55" x14ac:dyDescent="0.25">
      <c r="A1528" s="51">
        <v>43411</v>
      </c>
      <c r="B1528" s="54"/>
      <c r="C1528" s="55"/>
      <c r="D1528" s="55"/>
      <c r="E1528" s="55"/>
      <c r="F1528" s="55"/>
      <c r="G1528" s="55"/>
      <c r="H1528" s="55"/>
      <c r="I1528" s="55"/>
      <c r="J1528" s="55"/>
      <c r="K1528" s="55"/>
      <c r="L1528" s="55"/>
      <c r="M1528" s="55"/>
      <c r="N1528" s="55"/>
      <c r="O1528" s="55"/>
      <c r="P1528" s="56"/>
      <c r="AI1528" s="49"/>
      <c r="AJ1528" s="78"/>
      <c r="AK1528" s="78"/>
      <c r="AL1528" s="78"/>
      <c r="AM1528" s="78"/>
      <c r="AN1528" s="78"/>
      <c r="AO1528" s="78"/>
      <c r="AP1528" s="78"/>
      <c r="AQ1528" s="78"/>
      <c r="AR1528" s="78"/>
      <c r="AS1528" s="78"/>
      <c r="AT1528" s="78"/>
      <c r="AU1528" s="78"/>
      <c r="AV1528" s="78"/>
      <c r="AW1528" s="78"/>
      <c r="AX1528" s="78"/>
      <c r="AY1528" s="3"/>
      <c r="AZ1528" s="81"/>
      <c r="BB1528" s="5"/>
      <c r="BC1528" s="5"/>
    </row>
    <row r="1529" spans="1:55" x14ac:dyDescent="0.25">
      <c r="A1529" s="51">
        <v>43412</v>
      </c>
      <c r="B1529" s="54"/>
      <c r="C1529" s="55"/>
      <c r="D1529" s="55"/>
      <c r="E1529" s="55"/>
      <c r="F1529" s="55"/>
      <c r="G1529" s="55"/>
      <c r="H1529" s="55"/>
      <c r="I1529" s="55"/>
      <c r="J1529" s="55"/>
      <c r="K1529" s="55"/>
      <c r="L1529" s="55"/>
      <c r="M1529" s="55"/>
      <c r="N1529" s="55"/>
      <c r="O1529" s="55"/>
      <c r="P1529" s="56"/>
      <c r="AI1529" s="49"/>
      <c r="AJ1529" s="78"/>
      <c r="AK1529" s="78"/>
      <c r="AL1529" s="78"/>
      <c r="AM1529" s="78"/>
      <c r="AN1529" s="78"/>
      <c r="AO1529" s="78"/>
      <c r="AP1529" s="78"/>
      <c r="AQ1529" s="78"/>
      <c r="AR1529" s="78"/>
      <c r="AS1529" s="78"/>
      <c r="AT1529" s="78"/>
      <c r="AU1529" s="78"/>
      <c r="AV1529" s="78"/>
      <c r="AW1529" s="78"/>
      <c r="AX1529" s="78"/>
      <c r="AY1529" s="3"/>
      <c r="AZ1529" s="81"/>
      <c r="BB1529" s="5"/>
      <c r="BC1529" s="5"/>
    </row>
    <row r="1530" spans="1:55" x14ac:dyDescent="0.25">
      <c r="A1530" s="51">
        <v>43413</v>
      </c>
      <c r="B1530" s="54"/>
      <c r="C1530" s="55"/>
      <c r="D1530" s="55"/>
      <c r="E1530" s="55"/>
      <c r="F1530" s="55"/>
      <c r="G1530" s="55"/>
      <c r="H1530" s="55"/>
      <c r="I1530" s="55"/>
      <c r="J1530" s="55"/>
      <c r="K1530" s="55"/>
      <c r="L1530" s="55"/>
      <c r="M1530" s="55"/>
      <c r="N1530" s="55"/>
      <c r="O1530" s="55"/>
      <c r="P1530" s="56"/>
      <c r="AI1530" s="49"/>
      <c r="AJ1530" s="78"/>
      <c r="AK1530" s="78"/>
      <c r="AL1530" s="78"/>
      <c r="AM1530" s="78"/>
      <c r="AN1530" s="78"/>
      <c r="AO1530" s="78"/>
      <c r="AP1530" s="78"/>
      <c r="AQ1530" s="78"/>
      <c r="AR1530" s="78"/>
      <c r="AS1530" s="78"/>
      <c r="AT1530" s="78"/>
      <c r="AU1530" s="78"/>
      <c r="AV1530" s="78"/>
      <c r="AW1530" s="78"/>
      <c r="AX1530" s="78"/>
      <c r="AY1530" s="3"/>
      <c r="AZ1530" s="81"/>
      <c r="BB1530" s="5"/>
      <c r="BC1530" s="5"/>
    </row>
    <row r="1531" spans="1:55" x14ac:dyDescent="0.25">
      <c r="A1531" s="51">
        <v>43416</v>
      </c>
      <c r="B1531" s="54"/>
      <c r="C1531" s="55"/>
      <c r="D1531" s="55"/>
      <c r="E1531" s="55"/>
      <c r="F1531" s="55"/>
      <c r="G1531" s="55"/>
      <c r="H1531" s="55"/>
      <c r="I1531" s="55"/>
      <c r="J1531" s="55"/>
      <c r="K1531" s="55"/>
      <c r="L1531" s="55"/>
      <c r="M1531" s="55"/>
      <c r="N1531" s="55"/>
      <c r="O1531" s="55"/>
      <c r="P1531" s="56"/>
      <c r="AI1531" s="49"/>
      <c r="AJ1531" s="78"/>
      <c r="AK1531" s="78"/>
      <c r="AL1531" s="78"/>
      <c r="AM1531" s="78"/>
      <c r="AN1531" s="78"/>
      <c r="AO1531" s="78"/>
      <c r="AP1531" s="78"/>
      <c r="AQ1531" s="78"/>
      <c r="AR1531" s="78"/>
      <c r="AS1531" s="78"/>
      <c r="AT1531" s="78"/>
      <c r="AU1531" s="78"/>
      <c r="AV1531" s="78"/>
      <c r="AW1531" s="78"/>
      <c r="AX1531" s="78"/>
      <c r="AY1531" s="3"/>
      <c r="AZ1531" s="81"/>
      <c r="BB1531" s="5"/>
      <c r="BC1531" s="5"/>
    </row>
    <row r="1532" spans="1:55" x14ac:dyDescent="0.25">
      <c r="A1532" s="51">
        <v>43417</v>
      </c>
      <c r="B1532" s="54"/>
      <c r="C1532" s="55"/>
      <c r="D1532" s="55"/>
      <c r="E1532" s="55"/>
      <c r="F1532" s="55"/>
      <c r="G1532" s="55"/>
      <c r="H1532" s="55"/>
      <c r="I1532" s="55"/>
      <c r="J1532" s="55"/>
      <c r="K1532" s="55"/>
      <c r="L1532" s="55"/>
      <c r="M1532" s="55"/>
      <c r="N1532" s="55"/>
      <c r="O1532" s="55"/>
      <c r="P1532" s="56"/>
      <c r="AI1532" s="49"/>
      <c r="AJ1532" s="78"/>
      <c r="AK1532" s="78"/>
      <c r="AL1532" s="78"/>
      <c r="AM1532" s="78"/>
      <c r="AN1532" s="78"/>
      <c r="AO1532" s="78"/>
      <c r="AP1532" s="78"/>
      <c r="AQ1532" s="78"/>
      <c r="AR1532" s="78"/>
      <c r="AS1532" s="78"/>
      <c r="AT1532" s="78"/>
      <c r="AU1532" s="78"/>
      <c r="AV1532" s="78"/>
      <c r="AW1532" s="78"/>
      <c r="AX1532" s="78"/>
      <c r="AY1532" s="3"/>
      <c r="AZ1532" s="81"/>
      <c r="BB1532" s="5"/>
      <c r="BC1532" s="5"/>
    </row>
    <row r="1533" spans="1:55" x14ac:dyDescent="0.25">
      <c r="A1533" s="51">
        <v>43418</v>
      </c>
      <c r="B1533" s="54"/>
      <c r="C1533" s="55"/>
      <c r="D1533" s="55"/>
      <c r="E1533" s="55"/>
      <c r="F1533" s="55"/>
      <c r="G1533" s="55"/>
      <c r="H1533" s="55"/>
      <c r="I1533" s="55"/>
      <c r="J1533" s="55"/>
      <c r="K1533" s="55"/>
      <c r="L1533" s="55"/>
      <c r="M1533" s="55"/>
      <c r="N1533" s="55"/>
      <c r="O1533" s="55"/>
      <c r="P1533" s="56"/>
      <c r="AI1533" s="49"/>
      <c r="AJ1533" s="78"/>
      <c r="AK1533" s="78"/>
      <c r="AL1533" s="78"/>
      <c r="AM1533" s="78"/>
      <c r="AN1533" s="78"/>
      <c r="AO1533" s="78"/>
      <c r="AP1533" s="78"/>
      <c r="AQ1533" s="78"/>
      <c r="AR1533" s="78"/>
      <c r="AS1533" s="78"/>
      <c r="AT1533" s="78"/>
      <c r="AU1533" s="78"/>
      <c r="AV1533" s="78"/>
      <c r="AW1533" s="78"/>
      <c r="AX1533" s="78"/>
      <c r="AY1533" s="3"/>
      <c r="AZ1533" s="81"/>
      <c r="BB1533" s="5"/>
      <c r="BC1533" s="5"/>
    </row>
    <row r="1534" spans="1:55" x14ac:dyDescent="0.25">
      <c r="A1534" s="51">
        <v>43419</v>
      </c>
      <c r="B1534" s="54"/>
      <c r="C1534" s="55"/>
      <c r="D1534" s="55"/>
      <c r="E1534" s="55"/>
      <c r="F1534" s="55"/>
      <c r="G1534" s="55"/>
      <c r="H1534" s="55"/>
      <c r="I1534" s="55"/>
      <c r="J1534" s="55"/>
      <c r="K1534" s="55"/>
      <c r="L1534" s="55"/>
      <c r="M1534" s="55"/>
      <c r="N1534" s="55"/>
      <c r="O1534" s="55"/>
      <c r="P1534" s="56"/>
      <c r="AI1534" s="49"/>
      <c r="AJ1534" s="78"/>
      <c r="AK1534" s="78"/>
      <c r="AL1534" s="78"/>
      <c r="AM1534" s="78"/>
      <c r="AN1534" s="78"/>
      <c r="AO1534" s="78"/>
      <c r="AP1534" s="78"/>
      <c r="AQ1534" s="78"/>
      <c r="AR1534" s="78"/>
      <c r="AS1534" s="78"/>
      <c r="AT1534" s="78"/>
      <c r="AU1534" s="78"/>
      <c r="AV1534" s="78"/>
      <c r="AW1534" s="78"/>
      <c r="AX1534" s="78"/>
      <c r="AY1534" s="3"/>
      <c r="AZ1534" s="81"/>
      <c r="BB1534" s="5"/>
      <c r="BC1534" s="5"/>
    </row>
    <row r="1535" spans="1:55" x14ac:dyDescent="0.25">
      <c r="A1535" s="51">
        <v>43420</v>
      </c>
      <c r="B1535" s="54"/>
      <c r="C1535" s="55"/>
      <c r="D1535" s="55"/>
      <c r="E1535" s="55"/>
      <c r="F1535" s="55"/>
      <c r="G1535" s="55"/>
      <c r="H1535" s="55"/>
      <c r="I1535" s="55"/>
      <c r="J1535" s="55"/>
      <c r="K1535" s="55"/>
      <c r="L1535" s="55"/>
      <c r="M1535" s="55"/>
      <c r="N1535" s="55"/>
      <c r="O1535" s="55"/>
      <c r="P1535" s="56"/>
      <c r="AI1535" s="49"/>
      <c r="AJ1535" s="78"/>
      <c r="AK1535" s="78"/>
      <c r="AL1535" s="78"/>
      <c r="AM1535" s="78"/>
      <c r="AN1535" s="78"/>
      <c r="AO1535" s="78"/>
      <c r="AP1535" s="78"/>
      <c r="AQ1535" s="78"/>
      <c r="AR1535" s="78"/>
      <c r="AS1535" s="78"/>
      <c r="AT1535" s="78"/>
      <c r="AU1535" s="78"/>
      <c r="AV1535" s="78"/>
      <c r="AW1535" s="78"/>
      <c r="AX1535" s="78"/>
      <c r="AY1535" s="3"/>
      <c r="AZ1535" s="81"/>
      <c r="BB1535" s="5"/>
      <c r="BC1535" s="5"/>
    </row>
    <row r="1536" spans="1:55" x14ac:dyDescent="0.25">
      <c r="A1536" s="51">
        <v>43423</v>
      </c>
      <c r="B1536" s="54"/>
      <c r="C1536" s="55"/>
      <c r="D1536" s="55"/>
      <c r="E1536" s="55"/>
      <c r="F1536" s="55"/>
      <c r="G1536" s="55"/>
      <c r="H1536" s="55"/>
      <c r="I1536" s="55"/>
      <c r="J1536" s="55"/>
      <c r="K1536" s="55"/>
      <c r="L1536" s="55"/>
      <c r="M1536" s="55"/>
      <c r="N1536" s="55"/>
      <c r="O1536" s="55"/>
      <c r="P1536" s="56"/>
      <c r="AI1536" s="49"/>
      <c r="AJ1536" s="78"/>
      <c r="AK1536" s="78"/>
      <c r="AL1536" s="78"/>
      <c r="AM1536" s="78"/>
      <c r="AN1536" s="78"/>
      <c r="AO1536" s="78"/>
      <c r="AP1536" s="78"/>
      <c r="AQ1536" s="78"/>
      <c r="AR1536" s="78"/>
      <c r="AS1536" s="78"/>
      <c r="AT1536" s="78"/>
      <c r="AU1536" s="78"/>
      <c r="AV1536" s="78"/>
      <c r="AW1536" s="78"/>
      <c r="AX1536" s="78"/>
      <c r="AY1536" s="3"/>
      <c r="AZ1536" s="81"/>
      <c r="BB1536" s="5"/>
      <c r="BC1536" s="5"/>
    </row>
    <row r="1537" spans="1:55" x14ac:dyDescent="0.25">
      <c r="A1537" s="51">
        <v>43424</v>
      </c>
      <c r="B1537" s="54"/>
      <c r="C1537" s="55"/>
      <c r="D1537" s="55"/>
      <c r="E1537" s="55"/>
      <c r="F1537" s="55"/>
      <c r="G1537" s="55"/>
      <c r="H1537" s="55"/>
      <c r="I1537" s="55"/>
      <c r="J1537" s="55"/>
      <c r="K1537" s="55"/>
      <c r="L1537" s="55"/>
      <c r="M1537" s="55"/>
      <c r="N1537" s="55"/>
      <c r="O1537" s="55"/>
      <c r="P1537" s="56"/>
      <c r="AI1537" s="49"/>
      <c r="AJ1537" s="78"/>
      <c r="AK1537" s="78"/>
      <c r="AL1537" s="78"/>
      <c r="AM1537" s="78"/>
      <c r="AN1537" s="78"/>
      <c r="AO1537" s="78"/>
      <c r="AP1537" s="78"/>
      <c r="AQ1537" s="78"/>
      <c r="AR1537" s="78"/>
      <c r="AS1537" s="78"/>
      <c r="AT1537" s="78"/>
      <c r="AU1537" s="78"/>
      <c r="AV1537" s="78"/>
      <c r="AW1537" s="78"/>
      <c r="AX1537" s="78"/>
      <c r="AY1537" s="3"/>
      <c r="AZ1537" s="81"/>
      <c r="BB1537" s="5"/>
      <c r="BC1537" s="5"/>
    </row>
    <row r="1538" spans="1:55" x14ac:dyDescent="0.25">
      <c r="A1538" s="51">
        <v>43425</v>
      </c>
      <c r="B1538" s="54"/>
      <c r="C1538" s="55"/>
      <c r="D1538" s="55"/>
      <c r="E1538" s="55"/>
      <c r="F1538" s="55"/>
      <c r="G1538" s="55"/>
      <c r="H1538" s="55"/>
      <c r="I1538" s="55"/>
      <c r="J1538" s="55"/>
      <c r="K1538" s="55"/>
      <c r="L1538" s="55"/>
      <c r="M1538" s="55"/>
      <c r="N1538" s="55"/>
      <c r="O1538" s="55"/>
      <c r="P1538" s="56"/>
      <c r="AI1538" s="49"/>
      <c r="AJ1538" s="78"/>
      <c r="AK1538" s="78"/>
      <c r="AL1538" s="78"/>
      <c r="AM1538" s="78"/>
      <c r="AN1538" s="78"/>
      <c r="AO1538" s="78"/>
      <c r="AP1538" s="78"/>
      <c r="AQ1538" s="78"/>
      <c r="AR1538" s="78"/>
      <c r="AS1538" s="78"/>
      <c r="AT1538" s="78"/>
      <c r="AU1538" s="78"/>
      <c r="AV1538" s="78"/>
      <c r="AW1538" s="78"/>
      <c r="AX1538" s="78"/>
      <c r="AY1538" s="3"/>
      <c r="AZ1538" s="81"/>
      <c r="BB1538" s="5"/>
      <c r="BC1538" s="5"/>
    </row>
    <row r="1539" spans="1:55" x14ac:dyDescent="0.25">
      <c r="A1539" s="51">
        <v>43426</v>
      </c>
      <c r="B1539" s="54"/>
      <c r="C1539" s="55"/>
      <c r="D1539" s="55"/>
      <c r="E1539" s="55"/>
      <c r="F1539" s="55"/>
      <c r="G1539" s="55"/>
      <c r="H1539" s="55"/>
      <c r="I1539" s="55"/>
      <c r="J1539" s="55"/>
      <c r="K1539" s="55"/>
      <c r="L1539" s="55"/>
      <c r="M1539" s="55"/>
      <c r="N1539" s="55"/>
      <c r="O1539" s="55"/>
      <c r="P1539" s="56"/>
      <c r="AI1539" s="49"/>
      <c r="AJ1539" s="78"/>
      <c r="AK1539" s="78"/>
      <c r="AL1539" s="78"/>
      <c r="AM1539" s="78"/>
      <c r="AN1539" s="78"/>
      <c r="AO1539" s="78"/>
      <c r="AP1539" s="78"/>
      <c r="AQ1539" s="78"/>
      <c r="AR1539" s="78"/>
      <c r="AS1539" s="78"/>
      <c r="AT1539" s="78"/>
      <c r="AU1539" s="78"/>
      <c r="AV1539" s="78"/>
      <c r="AW1539" s="78"/>
      <c r="AX1539" s="78"/>
      <c r="AY1539" s="3"/>
      <c r="AZ1539" s="81"/>
      <c r="BB1539" s="5"/>
      <c r="BC1539" s="5"/>
    </row>
    <row r="1540" spans="1:55" x14ac:dyDescent="0.25">
      <c r="A1540" s="51">
        <v>43427</v>
      </c>
      <c r="B1540" s="54"/>
      <c r="C1540" s="55"/>
      <c r="D1540" s="55"/>
      <c r="E1540" s="55"/>
      <c r="F1540" s="55"/>
      <c r="G1540" s="55"/>
      <c r="H1540" s="55"/>
      <c r="I1540" s="55"/>
      <c r="J1540" s="55"/>
      <c r="K1540" s="55"/>
      <c r="L1540" s="55"/>
      <c r="M1540" s="55"/>
      <c r="N1540" s="55"/>
      <c r="O1540" s="55"/>
      <c r="P1540" s="56"/>
      <c r="AI1540" s="49"/>
      <c r="AJ1540" s="78"/>
      <c r="AK1540" s="78"/>
      <c r="AL1540" s="78"/>
      <c r="AM1540" s="78"/>
      <c r="AN1540" s="78"/>
      <c r="AO1540" s="78"/>
      <c r="AP1540" s="78"/>
      <c r="AQ1540" s="78"/>
      <c r="AR1540" s="78"/>
      <c r="AS1540" s="78"/>
      <c r="AT1540" s="78"/>
      <c r="AU1540" s="78"/>
      <c r="AV1540" s="78"/>
      <c r="AW1540" s="78"/>
      <c r="AX1540" s="78"/>
      <c r="AY1540" s="3"/>
      <c r="AZ1540" s="81"/>
      <c r="BB1540" s="5"/>
      <c r="BC1540" s="5"/>
    </row>
    <row r="1541" spans="1:55" x14ac:dyDescent="0.25">
      <c r="A1541" s="51">
        <v>43430</v>
      </c>
      <c r="B1541" s="54"/>
      <c r="C1541" s="55"/>
      <c r="D1541" s="55"/>
      <c r="E1541" s="55"/>
      <c r="F1541" s="55"/>
      <c r="G1541" s="55"/>
      <c r="H1541" s="55"/>
      <c r="I1541" s="55"/>
      <c r="J1541" s="55"/>
      <c r="K1541" s="55"/>
      <c r="L1541" s="55"/>
      <c r="M1541" s="55"/>
      <c r="N1541" s="55"/>
      <c r="O1541" s="55"/>
      <c r="P1541" s="56"/>
      <c r="AI1541" s="49"/>
      <c r="AJ1541" s="78"/>
      <c r="AK1541" s="78"/>
      <c r="AL1541" s="78"/>
      <c r="AM1541" s="78"/>
      <c r="AN1541" s="78"/>
      <c r="AO1541" s="78"/>
      <c r="AP1541" s="78"/>
      <c r="AQ1541" s="78"/>
      <c r="AR1541" s="78"/>
      <c r="AS1541" s="78"/>
      <c r="AT1541" s="78"/>
      <c r="AU1541" s="78"/>
      <c r="AV1541" s="78"/>
      <c r="AW1541" s="78"/>
      <c r="AX1541" s="78"/>
      <c r="AY1541" s="3"/>
      <c r="AZ1541" s="81"/>
      <c r="BB1541" s="5"/>
      <c r="BC1541" s="5"/>
    </row>
    <row r="1542" spans="1:55" x14ac:dyDescent="0.25">
      <c r="A1542" s="51">
        <v>43431</v>
      </c>
      <c r="B1542" s="54"/>
      <c r="C1542" s="55"/>
      <c r="D1542" s="55"/>
      <c r="E1542" s="55"/>
      <c r="F1542" s="55"/>
      <c r="G1542" s="55"/>
      <c r="H1542" s="55"/>
      <c r="I1542" s="55"/>
      <c r="J1542" s="55"/>
      <c r="K1542" s="55"/>
      <c r="L1542" s="55"/>
      <c r="M1542" s="55"/>
      <c r="N1542" s="55"/>
      <c r="O1542" s="55"/>
      <c r="P1542" s="56"/>
      <c r="AI1542" s="49"/>
      <c r="AJ1542" s="78"/>
      <c r="AK1542" s="78"/>
      <c r="AL1542" s="78"/>
      <c r="AM1542" s="78"/>
      <c r="AN1542" s="78"/>
      <c r="AO1542" s="78"/>
      <c r="AP1542" s="78"/>
      <c r="AQ1542" s="78"/>
      <c r="AR1542" s="78"/>
      <c r="AS1542" s="78"/>
      <c r="AT1542" s="78"/>
      <c r="AU1542" s="78"/>
      <c r="AV1542" s="78"/>
      <c r="AW1542" s="78"/>
      <c r="AX1542" s="78"/>
      <c r="AY1542" s="3"/>
      <c r="AZ1542" s="81"/>
      <c r="BB1542" s="5"/>
      <c r="BC1542" s="5"/>
    </row>
    <row r="1543" spans="1:55" x14ac:dyDescent="0.25">
      <c r="A1543" s="51">
        <v>43432</v>
      </c>
      <c r="B1543" s="54"/>
      <c r="C1543" s="55"/>
      <c r="D1543" s="55"/>
      <c r="E1543" s="55"/>
      <c r="F1543" s="55"/>
      <c r="G1543" s="55"/>
      <c r="H1543" s="55"/>
      <c r="I1543" s="55"/>
      <c r="J1543" s="55"/>
      <c r="K1543" s="55"/>
      <c r="L1543" s="55"/>
      <c r="M1543" s="55"/>
      <c r="N1543" s="55"/>
      <c r="O1543" s="55"/>
      <c r="P1543" s="56"/>
      <c r="AI1543" s="49"/>
      <c r="AJ1543" s="78"/>
      <c r="AK1543" s="78"/>
      <c r="AL1543" s="78"/>
      <c r="AM1543" s="78"/>
      <c r="AN1543" s="78"/>
      <c r="AO1543" s="78"/>
      <c r="AP1543" s="78"/>
      <c r="AQ1543" s="78"/>
      <c r="AR1543" s="78"/>
      <c r="AS1543" s="78"/>
      <c r="AT1543" s="78"/>
      <c r="AU1543" s="78"/>
      <c r="AV1543" s="78"/>
      <c r="AW1543" s="78"/>
      <c r="AX1543" s="78"/>
      <c r="AY1543" s="3"/>
      <c r="AZ1543" s="81"/>
      <c r="BB1543" s="5"/>
      <c r="BC1543" s="5"/>
    </row>
    <row r="1544" spans="1:55" x14ac:dyDescent="0.25">
      <c r="A1544" s="51">
        <v>43433</v>
      </c>
      <c r="B1544" s="54"/>
      <c r="C1544" s="55"/>
      <c r="D1544" s="55"/>
      <c r="E1544" s="55"/>
      <c r="F1544" s="55"/>
      <c r="G1544" s="55"/>
      <c r="H1544" s="55"/>
      <c r="I1544" s="55"/>
      <c r="J1544" s="55"/>
      <c r="K1544" s="55"/>
      <c r="L1544" s="55"/>
      <c r="M1544" s="55"/>
      <c r="N1544" s="55"/>
      <c r="O1544" s="55"/>
      <c r="P1544" s="56"/>
      <c r="AI1544" s="49"/>
      <c r="AJ1544" s="78"/>
      <c r="AK1544" s="78"/>
      <c r="AL1544" s="78"/>
      <c r="AM1544" s="78"/>
      <c r="AN1544" s="78"/>
      <c r="AO1544" s="78"/>
      <c r="AP1544" s="78"/>
      <c r="AQ1544" s="78"/>
      <c r="AR1544" s="78"/>
      <c r="AS1544" s="78"/>
      <c r="AT1544" s="78"/>
      <c r="AU1544" s="78"/>
      <c r="AV1544" s="78"/>
      <c r="AW1544" s="78"/>
      <c r="AX1544" s="78"/>
      <c r="AY1544" s="3"/>
      <c r="AZ1544" s="81"/>
      <c r="BB1544" s="5"/>
      <c r="BC1544" s="5"/>
    </row>
    <row r="1545" spans="1:55" x14ac:dyDescent="0.25">
      <c r="A1545" s="51">
        <v>43434</v>
      </c>
      <c r="B1545" s="54"/>
      <c r="C1545" s="55"/>
      <c r="D1545" s="55"/>
      <c r="E1545" s="55"/>
      <c r="F1545" s="55"/>
      <c r="G1545" s="55"/>
      <c r="H1545" s="55"/>
      <c r="I1545" s="55"/>
      <c r="J1545" s="55"/>
      <c r="K1545" s="55"/>
      <c r="L1545" s="55"/>
      <c r="M1545" s="55"/>
      <c r="N1545" s="55"/>
      <c r="O1545" s="55"/>
      <c r="P1545" s="56"/>
      <c r="AI1545" s="49"/>
      <c r="AJ1545" s="78"/>
      <c r="AK1545" s="78"/>
      <c r="AL1545" s="78"/>
      <c r="AM1545" s="78"/>
      <c r="AN1545" s="78"/>
      <c r="AO1545" s="78"/>
      <c r="AP1545" s="78"/>
      <c r="AQ1545" s="78"/>
      <c r="AR1545" s="78"/>
      <c r="AS1545" s="78"/>
      <c r="AT1545" s="78"/>
      <c r="AU1545" s="78"/>
      <c r="AV1545" s="78"/>
      <c r="AW1545" s="78"/>
      <c r="AX1545" s="78"/>
      <c r="AY1545" s="3"/>
      <c r="AZ1545" s="81"/>
      <c r="BB1545" s="5"/>
      <c r="BC1545" s="5"/>
    </row>
    <row r="1546" spans="1:55" x14ac:dyDescent="0.25">
      <c r="A1546" s="51">
        <v>43437</v>
      </c>
      <c r="B1546" s="54"/>
      <c r="C1546" s="55"/>
      <c r="D1546" s="55"/>
      <c r="E1546" s="55"/>
      <c r="F1546" s="55"/>
      <c r="G1546" s="55"/>
      <c r="H1546" s="55"/>
      <c r="I1546" s="55"/>
      <c r="J1546" s="55"/>
      <c r="K1546" s="55"/>
      <c r="L1546" s="55"/>
      <c r="M1546" s="55"/>
      <c r="N1546" s="55"/>
      <c r="O1546" s="55"/>
      <c r="P1546" s="56"/>
      <c r="AI1546" s="49"/>
      <c r="AJ1546" s="78"/>
      <c r="AK1546" s="78"/>
      <c r="AL1546" s="78"/>
      <c r="AM1546" s="78"/>
      <c r="AN1546" s="78"/>
      <c r="AO1546" s="78"/>
      <c r="AP1546" s="78"/>
      <c r="AQ1546" s="78"/>
      <c r="AR1546" s="78"/>
      <c r="AS1546" s="78"/>
      <c r="AT1546" s="78"/>
      <c r="AU1546" s="78"/>
      <c r="AV1546" s="78"/>
      <c r="AW1546" s="78"/>
      <c r="AX1546" s="78"/>
      <c r="AY1546" s="3"/>
      <c r="AZ1546" s="81"/>
      <c r="BB1546" s="5"/>
      <c r="BC1546" s="5"/>
    </row>
    <row r="1547" spans="1:55" x14ac:dyDescent="0.25">
      <c r="A1547" s="51">
        <v>43438</v>
      </c>
      <c r="B1547" s="54"/>
      <c r="C1547" s="55"/>
      <c r="D1547" s="55"/>
      <c r="E1547" s="55"/>
      <c r="F1547" s="55"/>
      <c r="G1547" s="55"/>
      <c r="H1547" s="55"/>
      <c r="I1547" s="55"/>
      <c r="J1547" s="55"/>
      <c r="K1547" s="55"/>
      <c r="L1547" s="55"/>
      <c r="M1547" s="55"/>
      <c r="N1547" s="55"/>
      <c r="O1547" s="55"/>
      <c r="P1547" s="56"/>
      <c r="AI1547" s="49"/>
      <c r="AJ1547" s="78"/>
      <c r="AK1547" s="78"/>
      <c r="AL1547" s="78"/>
      <c r="AM1547" s="78"/>
      <c r="AN1547" s="78"/>
      <c r="AO1547" s="78"/>
      <c r="AP1547" s="78"/>
      <c r="AQ1547" s="78"/>
      <c r="AR1547" s="78"/>
      <c r="AS1547" s="78"/>
      <c r="AT1547" s="78"/>
      <c r="AU1547" s="78"/>
      <c r="AV1547" s="78"/>
      <c r="AW1547" s="78"/>
      <c r="AX1547" s="78"/>
      <c r="AY1547" s="3"/>
      <c r="AZ1547" s="81"/>
      <c r="BB1547" s="5"/>
      <c r="BC1547" s="5"/>
    </row>
    <row r="1548" spans="1:55" x14ac:dyDescent="0.25">
      <c r="A1548" s="51">
        <v>43439</v>
      </c>
      <c r="B1548" s="54"/>
      <c r="C1548" s="55"/>
      <c r="D1548" s="55"/>
      <c r="E1548" s="55"/>
      <c r="F1548" s="55"/>
      <c r="G1548" s="55"/>
      <c r="H1548" s="55"/>
      <c r="I1548" s="55"/>
      <c r="J1548" s="55"/>
      <c r="K1548" s="55"/>
      <c r="L1548" s="55"/>
      <c r="M1548" s="55"/>
      <c r="N1548" s="55"/>
      <c r="O1548" s="55"/>
      <c r="P1548" s="56"/>
      <c r="AI1548" s="49"/>
      <c r="AJ1548" s="78"/>
      <c r="AK1548" s="78"/>
      <c r="AL1548" s="78"/>
      <c r="AM1548" s="78"/>
      <c r="AN1548" s="78"/>
      <c r="AO1548" s="78"/>
      <c r="AP1548" s="78"/>
      <c r="AQ1548" s="78"/>
      <c r="AR1548" s="78"/>
      <c r="AS1548" s="78"/>
      <c r="AT1548" s="78"/>
      <c r="AU1548" s="78"/>
      <c r="AV1548" s="78"/>
      <c r="AW1548" s="78"/>
      <c r="AX1548" s="78"/>
      <c r="AY1548" s="3"/>
      <c r="AZ1548" s="81"/>
      <c r="BB1548" s="5"/>
      <c r="BC1548" s="5"/>
    </row>
    <row r="1549" spans="1:55" x14ac:dyDescent="0.25">
      <c r="A1549" s="51">
        <v>43440</v>
      </c>
      <c r="B1549" s="54"/>
      <c r="C1549" s="55"/>
      <c r="D1549" s="55"/>
      <c r="E1549" s="55"/>
      <c r="F1549" s="55"/>
      <c r="G1549" s="55"/>
      <c r="H1549" s="55"/>
      <c r="I1549" s="55"/>
      <c r="J1549" s="55"/>
      <c r="K1549" s="55"/>
      <c r="L1549" s="55"/>
      <c r="M1549" s="55"/>
      <c r="N1549" s="55"/>
      <c r="O1549" s="55"/>
      <c r="P1549" s="56"/>
      <c r="AI1549" s="49"/>
      <c r="AJ1549" s="78"/>
      <c r="AK1549" s="78"/>
      <c r="AL1549" s="78"/>
      <c r="AM1549" s="78"/>
      <c r="AN1549" s="78"/>
      <c r="AO1549" s="78"/>
      <c r="AP1549" s="78"/>
      <c r="AQ1549" s="78"/>
      <c r="AR1549" s="78"/>
      <c r="AS1549" s="78"/>
      <c r="AT1549" s="78"/>
      <c r="AU1549" s="78"/>
      <c r="AV1549" s="78"/>
      <c r="AW1549" s="78"/>
      <c r="AX1549" s="78"/>
      <c r="AY1549" s="3"/>
      <c r="AZ1549" s="81"/>
      <c r="BB1549" s="5"/>
      <c r="BC1549" s="5"/>
    </row>
    <row r="1550" spans="1:55" x14ac:dyDescent="0.25">
      <c r="A1550" s="51">
        <v>43441</v>
      </c>
      <c r="B1550" s="54"/>
      <c r="C1550" s="55"/>
      <c r="D1550" s="55"/>
      <c r="E1550" s="55"/>
      <c r="F1550" s="55"/>
      <c r="G1550" s="55"/>
      <c r="H1550" s="55"/>
      <c r="I1550" s="55"/>
      <c r="J1550" s="55"/>
      <c r="K1550" s="55"/>
      <c r="L1550" s="55"/>
      <c r="M1550" s="55"/>
      <c r="N1550" s="55"/>
      <c r="O1550" s="55"/>
      <c r="P1550" s="56"/>
      <c r="AI1550" s="49"/>
      <c r="AJ1550" s="78"/>
      <c r="AK1550" s="78"/>
      <c r="AL1550" s="78"/>
      <c r="AM1550" s="78"/>
      <c r="AN1550" s="78"/>
      <c r="AO1550" s="78"/>
      <c r="AP1550" s="78"/>
      <c r="AQ1550" s="78"/>
      <c r="AR1550" s="78"/>
      <c r="AS1550" s="78"/>
      <c r="AT1550" s="78"/>
      <c r="AU1550" s="78"/>
      <c r="AV1550" s="78"/>
      <c r="AW1550" s="78"/>
      <c r="AX1550" s="78"/>
      <c r="AY1550" s="3"/>
      <c r="AZ1550" s="81"/>
      <c r="BB1550" s="5"/>
      <c r="BC1550" s="5"/>
    </row>
    <row r="1551" spans="1:55" x14ac:dyDescent="0.25">
      <c r="A1551" s="51">
        <v>43444</v>
      </c>
      <c r="B1551" s="54"/>
      <c r="C1551" s="55"/>
      <c r="D1551" s="55"/>
      <c r="E1551" s="55"/>
      <c r="F1551" s="55"/>
      <c r="G1551" s="55"/>
      <c r="H1551" s="55"/>
      <c r="I1551" s="55"/>
      <c r="J1551" s="55"/>
      <c r="K1551" s="55"/>
      <c r="L1551" s="55"/>
      <c r="M1551" s="55"/>
      <c r="N1551" s="55"/>
      <c r="O1551" s="55"/>
      <c r="P1551" s="56"/>
      <c r="AI1551" s="49"/>
      <c r="AJ1551" s="78"/>
      <c r="AK1551" s="78"/>
      <c r="AL1551" s="78"/>
      <c r="AM1551" s="78"/>
      <c r="AN1551" s="78"/>
      <c r="AO1551" s="78"/>
      <c r="AP1551" s="78"/>
      <c r="AQ1551" s="78"/>
      <c r="AR1551" s="78"/>
      <c r="AS1551" s="78"/>
      <c r="AT1551" s="78"/>
      <c r="AU1551" s="78"/>
      <c r="AV1551" s="78"/>
      <c r="AW1551" s="78"/>
      <c r="AX1551" s="78"/>
      <c r="AY1551" s="3"/>
      <c r="AZ1551" s="81"/>
      <c r="BB1551" s="5"/>
      <c r="BC1551" s="5"/>
    </row>
    <row r="1552" spans="1:55" x14ac:dyDescent="0.25">
      <c r="A1552" s="51">
        <v>43445</v>
      </c>
      <c r="B1552" s="54"/>
      <c r="C1552" s="55"/>
      <c r="D1552" s="55"/>
      <c r="E1552" s="55"/>
      <c r="F1552" s="55"/>
      <c r="G1552" s="55"/>
      <c r="H1552" s="55"/>
      <c r="I1552" s="55"/>
      <c r="J1552" s="55"/>
      <c r="K1552" s="55"/>
      <c r="L1552" s="55"/>
      <c r="M1552" s="55"/>
      <c r="N1552" s="55"/>
      <c r="O1552" s="55"/>
      <c r="P1552" s="56"/>
      <c r="AI1552" s="49"/>
      <c r="AJ1552" s="78"/>
      <c r="AK1552" s="78"/>
      <c r="AL1552" s="78"/>
      <c r="AM1552" s="78"/>
      <c r="AN1552" s="78"/>
      <c r="AO1552" s="78"/>
      <c r="AP1552" s="78"/>
      <c r="AQ1552" s="78"/>
      <c r="AR1552" s="78"/>
      <c r="AS1552" s="78"/>
      <c r="AT1552" s="78"/>
      <c r="AU1552" s="78"/>
      <c r="AV1552" s="78"/>
      <c r="AW1552" s="78"/>
      <c r="AX1552" s="78"/>
      <c r="AY1552" s="3"/>
      <c r="AZ1552" s="81"/>
      <c r="BB1552" s="5"/>
      <c r="BC1552" s="5"/>
    </row>
    <row r="1553" spans="1:55" x14ac:dyDescent="0.25">
      <c r="A1553" s="51">
        <v>43446</v>
      </c>
      <c r="B1553" s="54"/>
      <c r="C1553" s="55"/>
      <c r="D1553" s="55"/>
      <c r="E1553" s="55"/>
      <c r="F1553" s="55"/>
      <c r="G1553" s="55"/>
      <c r="H1553" s="55"/>
      <c r="I1553" s="55"/>
      <c r="J1553" s="55"/>
      <c r="K1553" s="55"/>
      <c r="L1553" s="55"/>
      <c r="M1553" s="55"/>
      <c r="N1553" s="55"/>
      <c r="O1553" s="55"/>
      <c r="P1553" s="56"/>
      <c r="AI1553" s="49"/>
      <c r="AJ1553" s="78"/>
      <c r="AK1553" s="78"/>
      <c r="AL1553" s="78"/>
      <c r="AM1553" s="78"/>
      <c r="AN1553" s="78"/>
      <c r="AO1553" s="78"/>
      <c r="AP1553" s="78"/>
      <c r="AQ1553" s="78"/>
      <c r="AR1553" s="78"/>
      <c r="AS1553" s="78"/>
      <c r="AT1553" s="78"/>
      <c r="AU1553" s="78"/>
      <c r="AV1553" s="78"/>
      <c r="AW1553" s="78"/>
      <c r="AX1553" s="78"/>
      <c r="AY1553" s="3"/>
      <c r="AZ1553" s="81"/>
      <c r="BB1553" s="5"/>
      <c r="BC1553" s="5"/>
    </row>
    <row r="1554" spans="1:55" x14ac:dyDescent="0.25">
      <c r="A1554" s="51">
        <v>43447</v>
      </c>
      <c r="B1554" s="54"/>
      <c r="C1554" s="55"/>
      <c r="D1554" s="55"/>
      <c r="E1554" s="55"/>
      <c r="F1554" s="55"/>
      <c r="G1554" s="55"/>
      <c r="H1554" s="55"/>
      <c r="I1554" s="55"/>
      <c r="J1554" s="55"/>
      <c r="K1554" s="55"/>
      <c r="L1554" s="55"/>
      <c r="M1554" s="55"/>
      <c r="N1554" s="55"/>
      <c r="O1554" s="55"/>
      <c r="P1554" s="56"/>
      <c r="AI1554" s="49"/>
      <c r="AJ1554" s="78"/>
      <c r="AK1554" s="78"/>
      <c r="AL1554" s="78"/>
      <c r="AM1554" s="78"/>
      <c r="AN1554" s="78"/>
      <c r="AO1554" s="78"/>
      <c r="AP1554" s="78"/>
      <c r="AQ1554" s="78"/>
      <c r="AR1554" s="78"/>
      <c r="AS1554" s="78"/>
      <c r="AT1554" s="78"/>
      <c r="AU1554" s="78"/>
      <c r="AV1554" s="78"/>
      <c r="AW1554" s="78"/>
      <c r="AX1554" s="78"/>
      <c r="AY1554" s="3"/>
      <c r="AZ1554" s="81"/>
      <c r="BB1554" s="5"/>
      <c r="BC1554" s="5"/>
    </row>
    <row r="1555" spans="1:55" x14ac:dyDescent="0.25">
      <c r="A1555" s="51">
        <v>43448</v>
      </c>
      <c r="B1555" s="54"/>
      <c r="C1555" s="55"/>
      <c r="D1555" s="55"/>
      <c r="E1555" s="55"/>
      <c r="F1555" s="55"/>
      <c r="G1555" s="55"/>
      <c r="H1555" s="55"/>
      <c r="I1555" s="55"/>
      <c r="J1555" s="55"/>
      <c r="K1555" s="55"/>
      <c r="L1555" s="55"/>
      <c r="M1555" s="55"/>
      <c r="N1555" s="55"/>
      <c r="O1555" s="55"/>
      <c r="P1555" s="56"/>
      <c r="AI1555" s="49"/>
      <c r="AJ1555" s="78"/>
      <c r="AK1555" s="78"/>
      <c r="AL1555" s="78"/>
      <c r="AM1555" s="78"/>
      <c r="AN1555" s="78"/>
      <c r="AO1555" s="78"/>
      <c r="AP1555" s="78"/>
      <c r="AQ1555" s="78"/>
      <c r="AR1555" s="78"/>
      <c r="AS1555" s="78"/>
      <c r="AT1555" s="78"/>
      <c r="AU1555" s="78"/>
      <c r="AV1555" s="78"/>
      <c r="AW1555" s="78"/>
      <c r="AX1555" s="78"/>
      <c r="AY1555" s="3"/>
      <c r="AZ1555" s="81"/>
      <c r="BB1555" s="5"/>
      <c r="BC1555" s="5"/>
    </row>
    <row r="1556" spans="1:55" x14ac:dyDescent="0.25">
      <c r="A1556" s="51">
        <v>43451</v>
      </c>
      <c r="B1556" s="54"/>
      <c r="C1556" s="55"/>
      <c r="D1556" s="55"/>
      <c r="E1556" s="55"/>
      <c r="F1556" s="55"/>
      <c r="G1556" s="55"/>
      <c r="H1556" s="55"/>
      <c r="I1556" s="55"/>
      <c r="J1556" s="55"/>
      <c r="K1556" s="55"/>
      <c r="L1556" s="55"/>
      <c r="M1556" s="55"/>
      <c r="N1556" s="55"/>
      <c r="O1556" s="55"/>
      <c r="P1556" s="56"/>
      <c r="AI1556" s="49"/>
      <c r="AJ1556" s="78"/>
      <c r="AK1556" s="78"/>
      <c r="AL1556" s="78"/>
      <c r="AM1556" s="78"/>
      <c r="AN1556" s="78"/>
      <c r="AO1556" s="78"/>
      <c r="AP1556" s="78"/>
      <c r="AQ1556" s="78"/>
      <c r="AR1556" s="78"/>
      <c r="AS1556" s="78"/>
      <c r="AT1556" s="78"/>
      <c r="AU1556" s="78"/>
      <c r="AV1556" s="78"/>
      <c r="AW1556" s="78"/>
      <c r="AX1556" s="78"/>
      <c r="AY1556" s="3"/>
      <c r="AZ1556" s="81"/>
      <c r="BB1556" s="5"/>
      <c r="BC1556" s="5"/>
    </row>
    <row r="1557" spans="1:55" x14ac:dyDescent="0.25">
      <c r="A1557" s="51">
        <v>43452</v>
      </c>
      <c r="B1557" s="54"/>
      <c r="C1557" s="55"/>
      <c r="D1557" s="55"/>
      <c r="E1557" s="55"/>
      <c r="F1557" s="55"/>
      <c r="G1557" s="55"/>
      <c r="H1557" s="55"/>
      <c r="I1557" s="55"/>
      <c r="J1557" s="55"/>
      <c r="K1557" s="55"/>
      <c r="L1557" s="55"/>
      <c r="M1557" s="55"/>
      <c r="N1557" s="55"/>
      <c r="O1557" s="55"/>
      <c r="P1557" s="56"/>
      <c r="AI1557" s="49"/>
      <c r="AJ1557" s="78"/>
      <c r="AK1557" s="78"/>
      <c r="AL1557" s="78"/>
      <c r="AM1557" s="78"/>
      <c r="AN1557" s="78"/>
      <c r="AO1557" s="78"/>
      <c r="AP1557" s="78"/>
      <c r="AQ1557" s="78"/>
      <c r="AR1557" s="78"/>
      <c r="AS1557" s="78"/>
      <c r="AT1557" s="78"/>
      <c r="AU1557" s="78"/>
      <c r="AV1557" s="78"/>
      <c r="AW1557" s="78"/>
      <c r="AX1557" s="78"/>
      <c r="AY1557" s="3"/>
      <c r="AZ1557" s="81"/>
      <c r="BB1557" s="5"/>
      <c r="BC1557" s="5"/>
    </row>
    <row r="1558" spans="1:55" x14ac:dyDescent="0.25">
      <c r="A1558" s="51">
        <v>43453</v>
      </c>
      <c r="B1558" s="54"/>
      <c r="C1558" s="55"/>
      <c r="D1558" s="55"/>
      <c r="E1558" s="55"/>
      <c r="F1558" s="55"/>
      <c r="G1558" s="55"/>
      <c r="H1558" s="55"/>
      <c r="I1558" s="55"/>
      <c r="J1558" s="55"/>
      <c r="K1558" s="55"/>
      <c r="L1558" s="55"/>
      <c r="M1558" s="55"/>
      <c r="N1558" s="55"/>
      <c r="O1558" s="55"/>
      <c r="P1558" s="56"/>
      <c r="AI1558" s="49"/>
      <c r="AJ1558" s="78"/>
      <c r="AK1558" s="78"/>
      <c r="AL1558" s="78"/>
      <c r="AM1558" s="78"/>
      <c r="AN1558" s="78"/>
      <c r="AO1558" s="78"/>
      <c r="AP1558" s="78"/>
      <c r="AQ1558" s="78"/>
      <c r="AR1558" s="78"/>
      <c r="AS1558" s="78"/>
      <c r="AT1558" s="78"/>
      <c r="AU1558" s="78"/>
      <c r="AV1558" s="78"/>
      <c r="AW1558" s="78"/>
      <c r="AX1558" s="78"/>
      <c r="AY1558" s="3"/>
      <c r="AZ1558" s="81"/>
      <c r="BB1558" s="5"/>
      <c r="BC1558" s="5"/>
    </row>
    <row r="1559" spans="1:55" x14ac:dyDescent="0.25">
      <c r="A1559" s="51">
        <v>43454</v>
      </c>
      <c r="B1559" s="54"/>
      <c r="C1559" s="55"/>
      <c r="D1559" s="55"/>
      <c r="E1559" s="55"/>
      <c r="F1559" s="55"/>
      <c r="G1559" s="55"/>
      <c r="H1559" s="55"/>
      <c r="I1559" s="55"/>
      <c r="J1559" s="55"/>
      <c r="K1559" s="55"/>
      <c r="L1559" s="55"/>
      <c r="M1559" s="55"/>
      <c r="N1559" s="55"/>
      <c r="O1559" s="55"/>
      <c r="P1559" s="56"/>
      <c r="AI1559" s="49"/>
      <c r="AJ1559" s="78"/>
      <c r="AK1559" s="78"/>
      <c r="AL1559" s="78"/>
      <c r="AM1559" s="78"/>
      <c r="AN1559" s="78"/>
      <c r="AO1559" s="78"/>
      <c r="AP1559" s="78"/>
      <c r="AQ1559" s="78"/>
      <c r="AR1559" s="78"/>
      <c r="AS1559" s="78"/>
      <c r="AT1559" s="78"/>
      <c r="AU1559" s="78"/>
      <c r="AV1559" s="78"/>
      <c r="AW1559" s="78"/>
      <c r="AX1559" s="78"/>
      <c r="AY1559" s="3"/>
      <c r="AZ1559" s="81"/>
      <c r="BB1559" s="5"/>
      <c r="BC1559" s="5"/>
    </row>
    <row r="1560" spans="1:55" x14ac:dyDescent="0.25">
      <c r="A1560" s="51">
        <v>43455</v>
      </c>
      <c r="B1560" s="54"/>
      <c r="C1560" s="55"/>
      <c r="D1560" s="55"/>
      <c r="E1560" s="55"/>
      <c r="F1560" s="55"/>
      <c r="G1560" s="55"/>
      <c r="H1560" s="55"/>
      <c r="I1560" s="55"/>
      <c r="J1560" s="55"/>
      <c r="K1560" s="55"/>
      <c r="L1560" s="55"/>
      <c r="M1560" s="55"/>
      <c r="N1560" s="55"/>
      <c r="O1560" s="55"/>
      <c r="P1560" s="56"/>
      <c r="AI1560" s="49"/>
      <c r="AJ1560" s="78"/>
      <c r="AK1560" s="78"/>
      <c r="AL1560" s="78"/>
      <c r="AM1560" s="78"/>
      <c r="AN1560" s="78"/>
      <c r="AO1560" s="78"/>
      <c r="AP1560" s="78"/>
      <c r="AQ1560" s="78"/>
      <c r="AR1560" s="78"/>
      <c r="AS1560" s="78"/>
      <c r="AT1560" s="78"/>
      <c r="AU1560" s="78"/>
      <c r="AV1560" s="78"/>
      <c r="AW1560" s="78"/>
      <c r="AX1560" s="78"/>
      <c r="AY1560" s="3"/>
      <c r="AZ1560" s="81"/>
      <c r="BB1560" s="5"/>
      <c r="BC1560" s="5"/>
    </row>
    <row r="1561" spans="1:55" x14ac:dyDescent="0.25">
      <c r="A1561" s="51">
        <v>43458</v>
      </c>
      <c r="B1561" s="54"/>
      <c r="C1561" s="55"/>
      <c r="D1561" s="55"/>
      <c r="E1561" s="55"/>
      <c r="F1561" s="55"/>
      <c r="G1561" s="55"/>
      <c r="H1561" s="55"/>
      <c r="I1561" s="55"/>
      <c r="J1561" s="55"/>
      <c r="K1561" s="55"/>
      <c r="L1561" s="55"/>
      <c r="M1561" s="55"/>
      <c r="N1561" s="55"/>
      <c r="O1561" s="55"/>
      <c r="P1561" s="56"/>
      <c r="AI1561" s="49"/>
      <c r="AJ1561" s="78"/>
      <c r="AK1561" s="78"/>
      <c r="AL1561" s="78"/>
      <c r="AM1561" s="78"/>
      <c r="AN1561" s="78"/>
      <c r="AO1561" s="78"/>
      <c r="AP1561" s="78"/>
      <c r="AQ1561" s="78"/>
      <c r="AR1561" s="78"/>
      <c r="AS1561" s="78"/>
      <c r="AT1561" s="78"/>
      <c r="AU1561" s="78"/>
      <c r="AV1561" s="78"/>
      <c r="AW1561" s="78"/>
      <c r="AX1561" s="78"/>
      <c r="AY1561" s="3"/>
      <c r="AZ1561" s="81"/>
      <c r="BB1561" s="5"/>
      <c r="BC1561" s="5"/>
    </row>
    <row r="1562" spans="1:55" x14ac:dyDescent="0.25">
      <c r="A1562" s="51">
        <v>43460</v>
      </c>
      <c r="B1562" s="54"/>
      <c r="C1562" s="55"/>
      <c r="D1562" s="55"/>
      <c r="E1562" s="55"/>
      <c r="F1562" s="55"/>
      <c r="G1562" s="55"/>
      <c r="H1562" s="55"/>
      <c r="I1562" s="55"/>
      <c r="J1562" s="55"/>
      <c r="K1562" s="55"/>
      <c r="L1562" s="55"/>
      <c r="M1562" s="55"/>
      <c r="N1562" s="55"/>
      <c r="O1562" s="55"/>
      <c r="P1562" s="56"/>
      <c r="AI1562" s="49"/>
      <c r="AJ1562" s="78"/>
      <c r="AK1562" s="78"/>
      <c r="AL1562" s="78"/>
      <c r="AM1562" s="78"/>
      <c r="AN1562" s="78"/>
      <c r="AO1562" s="78"/>
      <c r="AP1562" s="78"/>
      <c r="AQ1562" s="78"/>
      <c r="AR1562" s="78"/>
      <c r="AS1562" s="78"/>
      <c r="AT1562" s="78"/>
      <c r="AU1562" s="78"/>
      <c r="AV1562" s="78"/>
      <c r="AW1562" s="78"/>
      <c r="AX1562" s="78"/>
      <c r="AY1562" s="3"/>
      <c r="AZ1562" s="81"/>
      <c r="BB1562" s="5"/>
      <c r="BC1562" s="5"/>
    </row>
    <row r="1563" spans="1:55" x14ac:dyDescent="0.25">
      <c r="A1563" s="51">
        <v>43461</v>
      </c>
      <c r="B1563" s="54"/>
      <c r="C1563" s="55"/>
      <c r="D1563" s="55"/>
      <c r="E1563" s="55"/>
      <c r="F1563" s="55"/>
      <c r="G1563" s="55"/>
      <c r="H1563" s="55"/>
      <c r="I1563" s="55"/>
      <c r="J1563" s="55"/>
      <c r="K1563" s="55"/>
      <c r="L1563" s="55"/>
      <c r="M1563" s="55"/>
      <c r="N1563" s="55"/>
      <c r="O1563" s="55"/>
      <c r="P1563" s="56"/>
      <c r="AI1563" s="49"/>
      <c r="AJ1563" s="78"/>
      <c r="AK1563" s="78"/>
      <c r="AL1563" s="78"/>
      <c r="AM1563" s="78"/>
      <c r="AN1563" s="78"/>
      <c r="AO1563" s="78"/>
      <c r="AP1563" s="78"/>
      <c r="AQ1563" s="78"/>
      <c r="AR1563" s="78"/>
      <c r="AS1563" s="78"/>
      <c r="AT1563" s="78"/>
      <c r="AU1563" s="78"/>
      <c r="AV1563" s="78"/>
      <c r="AW1563" s="78"/>
      <c r="AX1563" s="78"/>
      <c r="AY1563" s="3"/>
      <c r="AZ1563" s="81"/>
      <c r="BB1563" s="5"/>
      <c r="BC1563" s="5"/>
    </row>
    <row r="1564" spans="1:55" x14ac:dyDescent="0.25">
      <c r="A1564" s="51">
        <v>43462</v>
      </c>
      <c r="B1564" s="54"/>
      <c r="C1564" s="55"/>
      <c r="D1564" s="55"/>
      <c r="E1564" s="55"/>
      <c r="F1564" s="55"/>
      <c r="G1564" s="55"/>
      <c r="H1564" s="55"/>
      <c r="I1564" s="55"/>
      <c r="J1564" s="55"/>
      <c r="K1564" s="55"/>
      <c r="L1564" s="55"/>
      <c r="M1564" s="55"/>
      <c r="N1564" s="55"/>
      <c r="O1564" s="55"/>
      <c r="P1564" s="56"/>
      <c r="AI1564" s="49"/>
      <c r="AJ1564" s="78"/>
      <c r="AK1564" s="78"/>
      <c r="AL1564" s="78"/>
      <c r="AM1564" s="78"/>
      <c r="AN1564" s="78"/>
      <c r="AO1564" s="78"/>
      <c r="AP1564" s="78"/>
      <c r="AQ1564" s="78"/>
      <c r="AR1564" s="78"/>
      <c r="AS1564" s="78"/>
      <c r="AT1564" s="78"/>
      <c r="AU1564" s="78"/>
      <c r="AV1564" s="78"/>
      <c r="AW1564" s="78"/>
      <c r="AX1564" s="78"/>
      <c r="AY1564" s="3"/>
      <c r="AZ1564" s="81"/>
      <c r="BB1564" s="5"/>
      <c r="BC1564" s="5"/>
    </row>
    <row r="1565" spans="1:55" x14ac:dyDescent="0.25">
      <c r="A1565" s="51">
        <v>43465</v>
      </c>
      <c r="B1565" s="54"/>
      <c r="C1565" s="55"/>
      <c r="D1565" s="55"/>
      <c r="E1565" s="55"/>
      <c r="F1565" s="55"/>
      <c r="G1565" s="55"/>
      <c r="H1565" s="55"/>
      <c r="I1565" s="55"/>
      <c r="J1565" s="55"/>
      <c r="K1565" s="55"/>
      <c r="L1565" s="55"/>
      <c r="M1565" s="55"/>
      <c r="N1565" s="55"/>
      <c r="O1565" s="55"/>
      <c r="P1565" s="56"/>
      <c r="AI1565" s="49"/>
      <c r="AJ1565" s="78"/>
      <c r="AK1565" s="78"/>
      <c r="AL1565" s="78"/>
      <c r="AM1565" s="78"/>
      <c r="AN1565" s="78"/>
      <c r="AO1565" s="78"/>
      <c r="AP1565" s="78"/>
      <c r="AQ1565" s="78"/>
      <c r="AR1565" s="78"/>
      <c r="AS1565" s="78"/>
      <c r="AT1565" s="78"/>
      <c r="AU1565" s="78"/>
      <c r="AV1565" s="78"/>
      <c r="AW1565" s="78"/>
      <c r="AX1565" s="78"/>
      <c r="AY1565" s="3"/>
      <c r="AZ1565" s="81"/>
      <c r="BB1565" s="5"/>
      <c r="BC1565" s="5"/>
    </row>
    <row r="1566" spans="1:55" x14ac:dyDescent="0.25">
      <c r="A1566" s="51">
        <v>43467</v>
      </c>
      <c r="B1566" s="54"/>
      <c r="C1566" s="55"/>
      <c r="D1566" s="55"/>
      <c r="E1566" s="55"/>
      <c r="F1566" s="55"/>
      <c r="G1566" s="55"/>
      <c r="H1566" s="55"/>
      <c r="I1566" s="55"/>
      <c r="J1566" s="55"/>
      <c r="K1566" s="55"/>
      <c r="L1566" s="55"/>
      <c r="M1566" s="55"/>
      <c r="N1566" s="55"/>
      <c r="O1566" s="55"/>
      <c r="P1566" s="56"/>
      <c r="AI1566" s="49"/>
      <c r="AJ1566" s="78"/>
      <c r="AK1566" s="78"/>
      <c r="AL1566" s="78"/>
      <c r="AM1566" s="78"/>
      <c r="AN1566" s="78"/>
      <c r="AO1566" s="78"/>
      <c r="AP1566" s="78"/>
      <c r="AQ1566" s="78"/>
      <c r="AR1566" s="78"/>
      <c r="AS1566" s="78"/>
      <c r="AT1566" s="78"/>
      <c r="AU1566" s="78"/>
      <c r="AV1566" s="78"/>
      <c r="AW1566" s="78"/>
      <c r="AX1566" s="78"/>
      <c r="AY1566" s="3"/>
      <c r="AZ1566" s="81"/>
      <c r="BB1566" s="5"/>
      <c r="BC1566" s="5"/>
    </row>
    <row r="1567" spans="1:55" x14ac:dyDescent="0.25">
      <c r="A1567" s="51">
        <v>43468</v>
      </c>
      <c r="B1567" s="54"/>
      <c r="C1567" s="55"/>
      <c r="D1567" s="55"/>
      <c r="E1567" s="55"/>
      <c r="F1567" s="55"/>
      <c r="G1567" s="55"/>
      <c r="H1567" s="55"/>
      <c r="I1567" s="55"/>
      <c r="J1567" s="55"/>
      <c r="K1567" s="55"/>
      <c r="L1567" s="55"/>
      <c r="M1567" s="55"/>
      <c r="N1567" s="55"/>
      <c r="O1567" s="55"/>
      <c r="P1567" s="56"/>
      <c r="AI1567" s="49"/>
      <c r="AJ1567" s="78"/>
      <c r="AK1567" s="78"/>
      <c r="AL1567" s="78"/>
      <c r="AM1567" s="78"/>
      <c r="AN1567" s="78"/>
      <c r="AO1567" s="78"/>
      <c r="AP1567" s="78"/>
      <c r="AQ1567" s="78"/>
      <c r="AR1567" s="78"/>
      <c r="AS1567" s="78"/>
      <c r="AT1567" s="78"/>
      <c r="AU1567" s="78"/>
      <c r="AV1567" s="78"/>
      <c r="AW1567" s="78"/>
      <c r="AX1567" s="78"/>
      <c r="AY1567" s="3"/>
      <c r="AZ1567" s="81"/>
      <c r="BB1567" s="5"/>
      <c r="BC1567" s="5"/>
    </row>
    <row r="1568" spans="1:55" x14ac:dyDescent="0.25">
      <c r="A1568" s="51">
        <v>43469</v>
      </c>
      <c r="B1568" s="54"/>
      <c r="C1568" s="55"/>
      <c r="D1568" s="55"/>
      <c r="E1568" s="55"/>
      <c r="F1568" s="55"/>
      <c r="G1568" s="55"/>
      <c r="H1568" s="55"/>
      <c r="I1568" s="55"/>
      <c r="J1568" s="55"/>
      <c r="K1568" s="55"/>
      <c r="L1568" s="55"/>
      <c r="M1568" s="55"/>
      <c r="N1568" s="55"/>
      <c r="O1568" s="55"/>
      <c r="P1568" s="56"/>
      <c r="AI1568" s="49"/>
      <c r="AJ1568" s="78"/>
      <c r="AK1568" s="78"/>
      <c r="AL1568" s="78"/>
      <c r="AM1568" s="78"/>
      <c r="AN1568" s="78"/>
      <c r="AO1568" s="78"/>
      <c r="AP1568" s="78"/>
      <c r="AQ1568" s="78"/>
      <c r="AR1568" s="78"/>
      <c r="AS1568" s="78"/>
      <c r="AT1568" s="78"/>
      <c r="AU1568" s="78"/>
      <c r="AV1568" s="78"/>
      <c r="AW1568" s="78"/>
      <c r="AX1568" s="78"/>
      <c r="AY1568" s="3"/>
      <c r="AZ1568" s="81"/>
      <c r="BB1568" s="5"/>
      <c r="BC1568" s="5"/>
    </row>
    <row r="1569" spans="1:55" x14ac:dyDescent="0.25">
      <c r="A1569" s="51">
        <v>43472</v>
      </c>
      <c r="B1569" s="54"/>
      <c r="C1569" s="55"/>
      <c r="D1569" s="55"/>
      <c r="E1569" s="55"/>
      <c r="F1569" s="55"/>
      <c r="G1569" s="55"/>
      <c r="H1569" s="55"/>
      <c r="I1569" s="55"/>
      <c r="J1569" s="55"/>
      <c r="K1569" s="55"/>
      <c r="L1569" s="55"/>
      <c r="M1569" s="55"/>
      <c r="N1569" s="55"/>
      <c r="O1569" s="55"/>
      <c r="P1569" s="56"/>
      <c r="AI1569" s="49"/>
      <c r="AJ1569" s="78"/>
      <c r="AK1569" s="78"/>
      <c r="AL1569" s="78"/>
      <c r="AM1569" s="78"/>
      <c r="AN1569" s="78"/>
      <c r="AO1569" s="78"/>
      <c r="AP1569" s="78"/>
      <c r="AQ1569" s="78"/>
      <c r="AR1569" s="78"/>
      <c r="AS1569" s="78"/>
      <c r="AT1569" s="78"/>
      <c r="AU1569" s="78"/>
      <c r="AV1569" s="78"/>
      <c r="AW1569" s="78"/>
      <c r="AX1569" s="78"/>
      <c r="AY1569" s="3"/>
      <c r="AZ1569" s="81"/>
      <c r="BB1569" s="5"/>
      <c r="BC1569" s="5"/>
    </row>
    <row r="1570" spans="1:55" x14ac:dyDescent="0.25">
      <c r="A1570" s="51">
        <v>43473</v>
      </c>
      <c r="B1570" s="54"/>
      <c r="C1570" s="55"/>
      <c r="D1570" s="55"/>
      <c r="E1570" s="55"/>
      <c r="F1570" s="55"/>
      <c r="G1570" s="55"/>
      <c r="H1570" s="55"/>
      <c r="I1570" s="55"/>
      <c r="J1570" s="55"/>
      <c r="K1570" s="55"/>
      <c r="L1570" s="55"/>
      <c r="M1570" s="55"/>
      <c r="N1570" s="55"/>
      <c r="O1570" s="55"/>
      <c r="P1570" s="56"/>
      <c r="AI1570" s="49"/>
      <c r="AJ1570" s="78"/>
      <c r="AK1570" s="78"/>
      <c r="AL1570" s="78"/>
      <c r="AM1570" s="78"/>
      <c r="AN1570" s="78"/>
      <c r="AO1570" s="78"/>
      <c r="AP1570" s="78"/>
      <c r="AQ1570" s="78"/>
      <c r="AR1570" s="78"/>
      <c r="AS1570" s="78"/>
      <c r="AT1570" s="78"/>
      <c r="AU1570" s="78"/>
      <c r="AV1570" s="78"/>
      <c r="AW1570" s="78"/>
      <c r="AX1570" s="78"/>
      <c r="AY1570" s="3"/>
      <c r="AZ1570" s="81"/>
      <c r="BB1570" s="5"/>
      <c r="BC1570" s="5"/>
    </row>
    <row r="1571" spans="1:55" x14ac:dyDescent="0.25">
      <c r="A1571" s="51">
        <v>43474</v>
      </c>
      <c r="B1571" s="54"/>
      <c r="C1571" s="55"/>
      <c r="D1571" s="55"/>
      <c r="E1571" s="55"/>
      <c r="F1571" s="55"/>
      <c r="G1571" s="55"/>
      <c r="H1571" s="55"/>
      <c r="I1571" s="55"/>
      <c r="J1571" s="55"/>
      <c r="K1571" s="55"/>
      <c r="L1571" s="55"/>
      <c r="M1571" s="55"/>
      <c r="N1571" s="55"/>
      <c r="O1571" s="55"/>
      <c r="P1571" s="56"/>
      <c r="AI1571" s="49"/>
      <c r="AJ1571" s="78"/>
      <c r="AK1571" s="78"/>
      <c r="AL1571" s="78"/>
      <c r="AM1571" s="78"/>
      <c r="AN1571" s="78"/>
      <c r="AO1571" s="78"/>
      <c r="AP1571" s="78"/>
      <c r="AQ1571" s="78"/>
      <c r="AR1571" s="78"/>
      <c r="AS1571" s="78"/>
      <c r="AT1571" s="78"/>
      <c r="AU1571" s="78"/>
      <c r="AV1571" s="78"/>
      <c r="AW1571" s="78"/>
      <c r="AX1571" s="78"/>
      <c r="AY1571" s="3"/>
      <c r="AZ1571" s="81"/>
      <c r="BB1571" s="5"/>
      <c r="BC1571" s="5"/>
    </row>
    <row r="1572" spans="1:55" x14ac:dyDescent="0.25">
      <c r="A1572" s="51">
        <v>43475</v>
      </c>
      <c r="B1572" s="54"/>
      <c r="C1572" s="55"/>
      <c r="D1572" s="55"/>
      <c r="E1572" s="55"/>
      <c r="F1572" s="55"/>
      <c r="G1572" s="55"/>
      <c r="H1572" s="55"/>
      <c r="I1572" s="55"/>
      <c r="J1572" s="55"/>
      <c r="K1572" s="55"/>
      <c r="L1572" s="55"/>
      <c r="M1572" s="55"/>
      <c r="N1572" s="55"/>
      <c r="O1572" s="55"/>
      <c r="P1572" s="56"/>
      <c r="AI1572" s="49"/>
      <c r="AJ1572" s="78"/>
      <c r="AK1572" s="78"/>
      <c r="AL1572" s="78"/>
      <c r="AM1572" s="78"/>
      <c r="AN1572" s="78"/>
      <c r="AO1572" s="78"/>
      <c r="AP1572" s="78"/>
      <c r="AQ1572" s="78"/>
      <c r="AR1572" s="78"/>
      <c r="AS1572" s="78"/>
      <c r="AT1572" s="78"/>
      <c r="AU1572" s="78"/>
      <c r="AV1572" s="78"/>
      <c r="AW1572" s="78"/>
      <c r="AX1572" s="78"/>
      <c r="AY1572" s="3"/>
      <c r="AZ1572" s="81"/>
      <c r="BB1572" s="5"/>
      <c r="BC1572" s="5"/>
    </row>
    <row r="1573" spans="1:55" x14ac:dyDescent="0.25">
      <c r="A1573" s="51">
        <v>43476</v>
      </c>
      <c r="B1573" s="54"/>
      <c r="C1573" s="55"/>
      <c r="D1573" s="55"/>
      <c r="E1573" s="55"/>
      <c r="F1573" s="55"/>
      <c r="G1573" s="55"/>
      <c r="H1573" s="55"/>
      <c r="I1573" s="55"/>
      <c r="J1573" s="55"/>
      <c r="K1573" s="55"/>
      <c r="L1573" s="55"/>
      <c r="M1573" s="55"/>
      <c r="N1573" s="55"/>
      <c r="O1573" s="55"/>
      <c r="P1573" s="56"/>
      <c r="AI1573" s="49"/>
      <c r="AJ1573" s="78"/>
      <c r="AK1573" s="78"/>
      <c r="AL1573" s="78"/>
      <c r="AM1573" s="78"/>
      <c r="AN1573" s="78"/>
      <c r="AO1573" s="78"/>
      <c r="AP1573" s="78"/>
      <c r="AQ1573" s="78"/>
      <c r="AR1573" s="78"/>
      <c r="AS1573" s="78"/>
      <c r="AT1573" s="78"/>
      <c r="AU1573" s="78"/>
      <c r="AV1573" s="78"/>
      <c r="AW1573" s="78"/>
      <c r="AX1573" s="78"/>
      <c r="AY1573" s="3"/>
      <c r="AZ1573" s="81"/>
      <c r="BB1573" s="5"/>
      <c r="BC1573" s="5"/>
    </row>
    <row r="1574" spans="1:55" x14ac:dyDescent="0.25">
      <c r="A1574" s="51">
        <v>43479</v>
      </c>
      <c r="B1574" s="54"/>
      <c r="C1574" s="55"/>
      <c r="D1574" s="55"/>
      <c r="E1574" s="55"/>
      <c r="F1574" s="55"/>
      <c r="G1574" s="55"/>
      <c r="H1574" s="55"/>
      <c r="I1574" s="55"/>
      <c r="J1574" s="55"/>
      <c r="K1574" s="55"/>
      <c r="L1574" s="55"/>
      <c r="M1574" s="55"/>
      <c r="N1574" s="55"/>
      <c r="O1574" s="55"/>
      <c r="P1574" s="56"/>
      <c r="AI1574" s="49"/>
      <c r="AJ1574" s="78"/>
      <c r="AK1574" s="78"/>
      <c r="AL1574" s="78"/>
      <c r="AM1574" s="78"/>
      <c r="AN1574" s="78"/>
      <c r="AO1574" s="78"/>
      <c r="AP1574" s="78"/>
      <c r="AQ1574" s="78"/>
      <c r="AR1574" s="78"/>
      <c r="AS1574" s="78"/>
      <c r="AT1574" s="78"/>
      <c r="AU1574" s="78"/>
      <c r="AV1574" s="78"/>
      <c r="AW1574" s="78"/>
      <c r="AX1574" s="78"/>
      <c r="AY1574" s="3"/>
      <c r="AZ1574" s="81"/>
      <c r="BB1574" s="5"/>
      <c r="BC1574" s="5"/>
    </row>
    <row r="1575" spans="1:55" x14ac:dyDescent="0.25">
      <c r="A1575" s="51">
        <v>43480</v>
      </c>
      <c r="B1575" s="54"/>
      <c r="C1575" s="55"/>
      <c r="D1575" s="55"/>
      <c r="E1575" s="55"/>
      <c r="F1575" s="55"/>
      <c r="G1575" s="55"/>
      <c r="H1575" s="55"/>
      <c r="I1575" s="55"/>
      <c r="J1575" s="55"/>
      <c r="K1575" s="55"/>
      <c r="L1575" s="55"/>
      <c r="M1575" s="55"/>
      <c r="N1575" s="55"/>
      <c r="O1575" s="55"/>
      <c r="P1575" s="56"/>
      <c r="AI1575" s="49"/>
      <c r="AJ1575" s="78"/>
      <c r="AK1575" s="78"/>
      <c r="AL1575" s="78"/>
      <c r="AM1575" s="78"/>
      <c r="AN1575" s="78"/>
      <c r="AO1575" s="78"/>
      <c r="AP1575" s="78"/>
      <c r="AQ1575" s="78"/>
      <c r="AR1575" s="78"/>
      <c r="AS1575" s="78"/>
      <c r="AT1575" s="78"/>
      <c r="AU1575" s="78"/>
      <c r="AV1575" s="78"/>
      <c r="AW1575" s="78"/>
      <c r="AX1575" s="78"/>
      <c r="AY1575" s="3"/>
      <c r="AZ1575" s="81"/>
      <c r="BB1575" s="5"/>
      <c r="BC1575" s="5"/>
    </row>
    <row r="1576" spans="1:55" x14ac:dyDescent="0.25">
      <c r="A1576" s="51">
        <v>43481</v>
      </c>
      <c r="B1576" s="54"/>
      <c r="C1576" s="55"/>
      <c r="D1576" s="55"/>
      <c r="E1576" s="55"/>
      <c r="F1576" s="55"/>
      <c r="G1576" s="55"/>
      <c r="H1576" s="55"/>
      <c r="I1576" s="55"/>
      <c r="J1576" s="55"/>
      <c r="K1576" s="55"/>
      <c r="L1576" s="55"/>
      <c r="M1576" s="55"/>
      <c r="N1576" s="55"/>
      <c r="O1576" s="55"/>
      <c r="P1576" s="56"/>
      <c r="AI1576" s="49"/>
      <c r="AJ1576" s="78"/>
      <c r="AK1576" s="78"/>
      <c r="AL1576" s="78"/>
      <c r="AM1576" s="78"/>
      <c r="AN1576" s="78"/>
      <c r="AO1576" s="78"/>
      <c r="AP1576" s="78"/>
      <c r="AQ1576" s="78"/>
      <c r="AR1576" s="78"/>
      <c r="AS1576" s="78"/>
      <c r="AT1576" s="78"/>
      <c r="AU1576" s="78"/>
      <c r="AV1576" s="78"/>
      <c r="AW1576" s="78"/>
      <c r="AX1576" s="78"/>
      <c r="AY1576" s="3"/>
      <c r="AZ1576" s="81"/>
      <c r="BB1576" s="5"/>
      <c r="BC1576" s="5"/>
    </row>
    <row r="1577" spans="1:55" x14ac:dyDescent="0.25">
      <c r="A1577" s="51">
        <v>43482</v>
      </c>
      <c r="B1577" s="54"/>
      <c r="C1577" s="55"/>
      <c r="D1577" s="55"/>
      <c r="E1577" s="55"/>
      <c r="F1577" s="55"/>
      <c r="G1577" s="55"/>
      <c r="H1577" s="55"/>
      <c r="I1577" s="55"/>
      <c r="J1577" s="55"/>
      <c r="K1577" s="55"/>
      <c r="L1577" s="55"/>
      <c r="M1577" s="55"/>
      <c r="N1577" s="55"/>
      <c r="O1577" s="55"/>
      <c r="P1577" s="56"/>
      <c r="AI1577" s="49"/>
      <c r="AJ1577" s="78"/>
      <c r="AK1577" s="78"/>
      <c r="AL1577" s="78"/>
      <c r="AM1577" s="78"/>
      <c r="AN1577" s="78"/>
      <c r="AO1577" s="78"/>
      <c r="AP1577" s="78"/>
      <c r="AQ1577" s="78"/>
      <c r="AR1577" s="78"/>
      <c r="AS1577" s="78"/>
      <c r="AT1577" s="78"/>
      <c r="AU1577" s="78"/>
      <c r="AV1577" s="78"/>
      <c r="AW1577" s="78"/>
      <c r="AX1577" s="78"/>
      <c r="AY1577" s="3"/>
      <c r="AZ1577" s="81"/>
      <c r="BB1577" s="5"/>
      <c r="BC1577" s="5"/>
    </row>
    <row r="1578" spans="1:55" x14ac:dyDescent="0.25">
      <c r="A1578" s="51">
        <v>43483</v>
      </c>
      <c r="B1578" s="54"/>
      <c r="C1578" s="55"/>
      <c r="D1578" s="55"/>
      <c r="E1578" s="55"/>
      <c r="F1578" s="55"/>
      <c r="G1578" s="55"/>
      <c r="H1578" s="55"/>
      <c r="I1578" s="55"/>
      <c r="J1578" s="55"/>
      <c r="K1578" s="55"/>
      <c r="L1578" s="55"/>
      <c r="M1578" s="55"/>
      <c r="N1578" s="55"/>
      <c r="O1578" s="55"/>
      <c r="P1578" s="56"/>
      <c r="AI1578" s="49"/>
      <c r="AJ1578" s="78"/>
      <c r="AK1578" s="78"/>
      <c r="AL1578" s="78"/>
      <c r="AM1578" s="78"/>
      <c r="AN1578" s="78"/>
      <c r="AO1578" s="78"/>
      <c r="AP1578" s="78"/>
      <c r="AQ1578" s="78"/>
      <c r="AR1578" s="78"/>
      <c r="AS1578" s="78"/>
      <c r="AT1578" s="78"/>
      <c r="AU1578" s="78"/>
      <c r="AV1578" s="78"/>
      <c r="AW1578" s="78"/>
      <c r="AX1578" s="78"/>
      <c r="AY1578" s="3"/>
      <c r="AZ1578" s="81"/>
      <c r="BB1578" s="5"/>
      <c r="BC1578" s="5"/>
    </row>
    <row r="1579" spans="1:55" x14ac:dyDescent="0.25">
      <c r="A1579" s="51">
        <v>43486</v>
      </c>
      <c r="B1579" s="54"/>
      <c r="C1579" s="55"/>
      <c r="D1579" s="55"/>
      <c r="E1579" s="55"/>
      <c r="F1579" s="55"/>
      <c r="G1579" s="55"/>
      <c r="H1579" s="55"/>
      <c r="I1579" s="55"/>
      <c r="J1579" s="55"/>
      <c r="K1579" s="55"/>
      <c r="L1579" s="55"/>
      <c r="M1579" s="55"/>
      <c r="N1579" s="55"/>
      <c r="O1579" s="55"/>
      <c r="P1579" s="56"/>
      <c r="AI1579" s="49"/>
      <c r="AJ1579" s="78"/>
      <c r="AK1579" s="78"/>
      <c r="AL1579" s="78"/>
      <c r="AM1579" s="78"/>
      <c r="AN1579" s="78"/>
      <c r="AO1579" s="78"/>
      <c r="AP1579" s="78"/>
      <c r="AQ1579" s="78"/>
      <c r="AR1579" s="78"/>
      <c r="AS1579" s="78"/>
      <c r="AT1579" s="78"/>
      <c r="AU1579" s="78"/>
      <c r="AV1579" s="78"/>
      <c r="AW1579" s="78"/>
      <c r="AX1579" s="78"/>
      <c r="AY1579" s="3"/>
      <c r="AZ1579" s="81"/>
      <c r="BB1579" s="5"/>
      <c r="BC1579" s="5"/>
    </row>
    <row r="1580" spans="1:55" x14ac:dyDescent="0.25">
      <c r="A1580" s="51">
        <v>43487</v>
      </c>
      <c r="B1580" s="54"/>
      <c r="C1580" s="55"/>
      <c r="D1580" s="55"/>
      <c r="E1580" s="55"/>
      <c r="F1580" s="55"/>
      <c r="G1580" s="55"/>
      <c r="H1580" s="55"/>
      <c r="I1580" s="55"/>
      <c r="J1580" s="55"/>
      <c r="K1580" s="55"/>
      <c r="L1580" s="55"/>
      <c r="M1580" s="55"/>
      <c r="N1580" s="55"/>
      <c r="O1580" s="55"/>
      <c r="P1580" s="56"/>
      <c r="AI1580" s="49"/>
      <c r="AJ1580" s="78"/>
      <c r="AK1580" s="78"/>
      <c r="AL1580" s="78"/>
      <c r="AM1580" s="78"/>
      <c r="AN1580" s="78"/>
      <c r="AO1580" s="78"/>
      <c r="AP1580" s="78"/>
      <c r="AQ1580" s="78"/>
      <c r="AR1580" s="78"/>
      <c r="AS1580" s="78"/>
      <c r="AT1580" s="78"/>
      <c r="AU1580" s="78"/>
      <c r="AV1580" s="78"/>
      <c r="AW1580" s="78"/>
      <c r="AX1580" s="78"/>
      <c r="AY1580" s="3"/>
      <c r="AZ1580" s="81"/>
      <c r="BB1580" s="5"/>
      <c r="BC1580" s="5"/>
    </row>
    <row r="1581" spans="1:55" x14ac:dyDescent="0.25">
      <c r="A1581" s="51">
        <v>43488</v>
      </c>
      <c r="B1581" s="54"/>
      <c r="C1581" s="55"/>
      <c r="D1581" s="55"/>
      <c r="E1581" s="55"/>
      <c r="F1581" s="55"/>
      <c r="G1581" s="55"/>
      <c r="H1581" s="55"/>
      <c r="I1581" s="55"/>
      <c r="J1581" s="55"/>
      <c r="K1581" s="55"/>
      <c r="L1581" s="55"/>
      <c r="M1581" s="55"/>
      <c r="N1581" s="55"/>
      <c r="O1581" s="55"/>
      <c r="P1581" s="56"/>
      <c r="AI1581" s="49"/>
      <c r="AJ1581" s="78"/>
      <c r="AK1581" s="78"/>
      <c r="AL1581" s="78"/>
      <c r="AM1581" s="78"/>
      <c r="AN1581" s="78"/>
      <c r="AO1581" s="78"/>
      <c r="AP1581" s="78"/>
      <c r="AQ1581" s="78"/>
      <c r="AR1581" s="78"/>
      <c r="AS1581" s="78"/>
      <c r="AT1581" s="78"/>
      <c r="AU1581" s="78"/>
      <c r="AV1581" s="78"/>
      <c r="AW1581" s="78"/>
      <c r="AX1581" s="78"/>
      <c r="AY1581" s="3"/>
      <c r="AZ1581" s="81"/>
      <c r="BB1581" s="5"/>
      <c r="BC1581" s="5"/>
    </row>
    <row r="1582" spans="1:55" x14ac:dyDescent="0.25">
      <c r="A1582" s="51">
        <v>43489</v>
      </c>
      <c r="B1582" s="54"/>
      <c r="C1582" s="55"/>
      <c r="D1582" s="55"/>
      <c r="E1582" s="55"/>
      <c r="F1582" s="55"/>
      <c r="G1582" s="55"/>
      <c r="H1582" s="55"/>
      <c r="I1582" s="55"/>
      <c r="J1582" s="55"/>
      <c r="K1582" s="55"/>
      <c r="L1582" s="55"/>
      <c r="M1582" s="55"/>
      <c r="N1582" s="55"/>
      <c r="O1582" s="55"/>
      <c r="P1582" s="56"/>
      <c r="AI1582" s="49"/>
      <c r="AJ1582" s="78"/>
      <c r="AK1582" s="78"/>
      <c r="AL1582" s="78"/>
      <c r="AM1582" s="78"/>
      <c r="AN1582" s="78"/>
      <c r="AO1582" s="78"/>
      <c r="AP1582" s="78"/>
      <c r="AQ1582" s="78"/>
      <c r="AR1582" s="78"/>
      <c r="AS1582" s="78"/>
      <c r="AT1582" s="78"/>
      <c r="AU1582" s="78"/>
      <c r="AV1582" s="78"/>
      <c r="AW1582" s="78"/>
      <c r="AX1582" s="78"/>
      <c r="AY1582" s="3"/>
      <c r="AZ1582" s="81"/>
      <c r="BB1582" s="5"/>
      <c r="BC1582" s="5"/>
    </row>
    <row r="1583" spans="1:55" x14ac:dyDescent="0.25">
      <c r="A1583" s="51">
        <v>43490</v>
      </c>
      <c r="B1583" s="54"/>
      <c r="C1583" s="55"/>
      <c r="D1583" s="55"/>
      <c r="E1583" s="55"/>
      <c r="F1583" s="55"/>
      <c r="G1583" s="55"/>
      <c r="H1583" s="55"/>
      <c r="I1583" s="55"/>
      <c r="J1583" s="55"/>
      <c r="K1583" s="55"/>
      <c r="L1583" s="55"/>
      <c r="M1583" s="55"/>
      <c r="N1583" s="55"/>
      <c r="O1583" s="55"/>
      <c r="P1583" s="56"/>
      <c r="AI1583" s="49"/>
      <c r="AJ1583" s="78"/>
      <c r="AK1583" s="78"/>
      <c r="AL1583" s="78"/>
      <c r="AM1583" s="78"/>
      <c r="AN1583" s="78"/>
      <c r="AO1583" s="78"/>
      <c r="AP1583" s="78"/>
      <c r="AQ1583" s="78"/>
      <c r="AR1583" s="78"/>
      <c r="AS1583" s="78"/>
      <c r="AT1583" s="78"/>
      <c r="AU1583" s="78"/>
      <c r="AV1583" s="78"/>
      <c r="AW1583" s="78"/>
      <c r="AX1583" s="78"/>
      <c r="AY1583" s="3"/>
      <c r="AZ1583" s="81"/>
      <c r="BB1583" s="5"/>
      <c r="BC1583" s="5"/>
    </row>
    <row r="1584" spans="1:55" x14ac:dyDescent="0.25">
      <c r="A1584" s="51">
        <v>43493</v>
      </c>
      <c r="B1584" s="54"/>
      <c r="C1584" s="55"/>
      <c r="D1584" s="55"/>
      <c r="E1584" s="55"/>
      <c r="F1584" s="55"/>
      <c r="G1584" s="55"/>
      <c r="H1584" s="55"/>
      <c r="I1584" s="55"/>
      <c r="J1584" s="55"/>
      <c r="K1584" s="55"/>
      <c r="L1584" s="55"/>
      <c r="M1584" s="55"/>
      <c r="N1584" s="55"/>
      <c r="O1584" s="55"/>
      <c r="P1584" s="56"/>
      <c r="AI1584" s="49"/>
      <c r="AJ1584" s="78"/>
      <c r="AK1584" s="78"/>
      <c r="AL1584" s="78"/>
      <c r="AM1584" s="78"/>
      <c r="AN1584" s="78"/>
      <c r="AO1584" s="78"/>
      <c r="AP1584" s="78"/>
      <c r="AQ1584" s="78"/>
      <c r="AR1584" s="78"/>
      <c r="AS1584" s="78"/>
      <c r="AT1584" s="78"/>
      <c r="AU1584" s="78"/>
      <c r="AV1584" s="78"/>
      <c r="AW1584" s="78"/>
      <c r="AX1584" s="78"/>
      <c r="AY1584" s="3"/>
      <c r="AZ1584" s="81"/>
      <c r="BB1584" s="5"/>
      <c r="BC1584" s="5"/>
    </row>
    <row r="1585" spans="1:55" x14ac:dyDescent="0.25">
      <c r="A1585" s="51">
        <v>43494</v>
      </c>
      <c r="B1585" s="54"/>
      <c r="C1585" s="55"/>
      <c r="D1585" s="55"/>
      <c r="E1585" s="55"/>
      <c r="F1585" s="55"/>
      <c r="G1585" s="55"/>
      <c r="H1585" s="55"/>
      <c r="I1585" s="55"/>
      <c r="J1585" s="55"/>
      <c r="K1585" s="55"/>
      <c r="L1585" s="55"/>
      <c r="M1585" s="55"/>
      <c r="N1585" s="55"/>
      <c r="O1585" s="55"/>
      <c r="P1585" s="56"/>
      <c r="AI1585" s="49"/>
      <c r="AJ1585" s="78"/>
      <c r="AK1585" s="78"/>
      <c r="AL1585" s="78"/>
      <c r="AM1585" s="78"/>
      <c r="AN1585" s="78"/>
      <c r="AO1585" s="78"/>
      <c r="AP1585" s="78"/>
      <c r="AQ1585" s="78"/>
      <c r="AR1585" s="78"/>
      <c r="AS1585" s="78"/>
      <c r="AT1585" s="78"/>
      <c r="AU1585" s="78"/>
      <c r="AV1585" s="78"/>
      <c r="AW1585" s="78"/>
      <c r="AX1585" s="78"/>
      <c r="AY1585" s="3"/>
      <c r="AZ1585" s="81"/>
      <c r="BB1585" s="5"/>
      <c r="BC1585" s="5"/>
    </row>
    <row r="1586" spans="1:55" x14ac:dyDescent="0.25">
      <c r="A1586" s="51">
        <v>43495</v>
      </c>
      <c r="B1586" s="54"/>
      <c r="C1586" s="55"/>
      <c r="D1586" s="55"/>
      <c r="E1586" s="55"/>
      <c r="F1586" s="55"/>
      <c r="G1586" s="55"/>
      <c r="H1586" s="55"/>
      <c r="I1586" s="55"/>
      <c r="J1586" s="55"/>
      <c r="K1586" s="55"/>
      <c r="L1586" s="55"/>
      <c r="M1586" s="55"/>
      <c r="N1586" s="55"/>
      <c r="O1586" s="55"/>
      <c r="P1586" s="56"/>
      <c r="AI1586" s="49"/>
      <c r="AJ1586" s="78"/>
      <c r="AK1586" s="78"/>
      <c r="AL1586" s="78"/>
      <c r="AM1586" s="78"/>
      <c r="AN1586" s="78"/>
      <c r="AO1586" s="78"/>
      <c r="AP1586" s="78"/>
      <c r="AQ1586" s="78"/>
      <c r="AR1586" s="78"/>
      <c r="AS1586" s="78"/>
      <c r="AT1586" s="78"/>
      <c r="AU1586" s="78"/>
      <c r="AV1586" s="78"/>
      <c r="AW1586" s="78"/>
      <c r="AX1586" s="78"/>
      <c r="AY1586" s="3"/>
      <c r="AZ1586" s="81"/>
      <c r="BB1586" s="5"/>
      <c r="BC1586" s="5"/>
    </row>
    <row r="1587" spans="1:55" x14ac:dyDescent="0.25">
      <c r="A1587" s="51">
        <v>43496</v>
      </c>
      <c r="B1587" s="54"/>
      <c r="C1587" s="55"/>
      <c r="D1587" s="55"/>
      <c r="E1587" s="55"/>
      <c r="F1587" s="55"/>
      <c r="G1587" s="55"/>
      <c r="H1587" s="55"/>
      <c r="I1587" s="55"/>
      <c r="J1587" s="55"/>
      <c r="K1587" s="55"/>
      <c r="L1587" s="55"/>
      <c r="M1587" s="55"/>
      <c r="N1587" s="55"/>
      <c r="O1587" s="55"/>
      <c r="P1587" s="56"/>
      <c r="AI1587" s="49"/>
      <c r="AJ1587" s="78"/>
      <c r="AK1587" s="78"/>
      <c r="AL1587" s="78"/>
      <c r="AM1587" s="78"/>
      <c r="AN1587" s="78"/>
      <c r="AO1587" s="78"/>
      <c r="AP1587" s="78"/>
      <c r="AQ1587" s="78"/>
      <c r="AR1587" s="78"/>
      <c r="AS1587" s="78"/>
      <c r="AT1587" s="78"/>
      <c r="AU1587" s="78"/>
      <c r="AV1587" s="78"/>
      <c r="AW1587" s="78"/>
      <c r="AX1587" s="78"/>
      <c r="AY1587" s="3"/>
      <c r="AZ1587" s="81"/>
      <c r="BB1587" s="5"/>
      <c r="BC1587" s="5"/>
    </row>
    <row r="1588" spans="1:55" x14ac:dyDescent="0.25">
      <c r="A1588" s="51">
        <v>43497</v>
      </c>
      <c r="B1588" s="54"/>
      <c r="C1588" s="55"/>
      <c r="D1588" s="55"/>
      <c r="E1588" s="55"/>
      <c r="F1588" s="55"/>
      <c r="G1588" s="55"/>
      <c r="H1588" s="55"/>
      <c r="I1588" s="55"/>
      <c r="J1588" s="55"/>
      <c r="K1588" s="55"/>
      <c r="L1588" s="55"/>
      <c r="M1588" s="55"/>
      <c r="N1588" s="55"/>
      <c r="O1588" s="55"/>
      <c r="P1588" s="56"/>
      <c r="AI1588" s="49"/>
      <c r="AJ1588" s="78"/>
      <c r="AK1588" s="78"/>
      <c r="AL1588" s="78"/>
      <c r="AM1588" s="78"/>
      <c r="AN1588" s="78"/>
      <c r="AO1588" s="78"/>
      <c r="AP1588" s="78"/>
      <c r="AQ1588" s="78"/>
      <c r="AR1588" s="78"/>
      <c r="AS1588" s="78"/>
      <c r="AT1588" s="78"/>
      <c r="AU1588" s="78"/>
      <c r="AV1588" s="78"/>
      <c r="AW1588" s="78"/>
      <c r="AX1588" s="78"/>
      <c r="AY1588" s="3"/>
      <c r="AZ1588" s="81"/>
      <c r="BB1588" s="5"/>
      <c r="BC1588" s="5"/>
    </row>
    <row r="1589" spans="1:55" x14ac:dyDescent="0.25">
      <c r="A1589" s="51">
        <v>43500</v>
      </c>
      <c r="B1589" s="54"/>
      <c r="C1589" s="55"/>
      <c r="D1589" s="55"/>
      <c r="E1589" s="55"/>
      <c r="F1589" s="55"/>
      <c r="G1589" s="55"/>
      <c r="H1589" s="55"/>
      <c r="I1589" s="55"/>
      <c r="J1589" s="55"/>
      <c r="K1589" s="55"/>
      <c r="L1589" s="55"/>
      <c r="M1589" s="55"/>
      <c r="N1589" s="55"/>
      <c r="O1589" s="55"/>
      <c r="P1589" s="56"/>
      <c r="AI1589" s="49"/>
      <c r="AJ1589" s="78"/>
      <c r="AK1589" s="78"/>
      <c r="AL1589" s="78"/>
      <c r="AM1589" s="78"/>
      <c r="AN1589" s="78"/>
      <c r="AO1589" s="78"/>
      <c r="AP1589" s="78"/>
      <c r="AQ1589" s="78"/>
      <c r="AR1589" s="78"/>
      <c r="AS1589" s="78"/>
      <c r="AT1589" s="78"/>
      <c r="AU1589" s="78"/>
      <c r="AV1589" s="78"/>
      <c r="AW1589" s="78"/>
      <c r="AX1589" s="78"/>
      <c r="AY1589" s="3"/>
      <c r="AZ1589" s="81"/>
      <c r="BB1589" s="5"/>
      <c r="BC1589" s="5"/>
    </row>
    <row r="1590" spans="1:55" x14ac:dyDescent="0.25">
      <c r="A1590" s="51">
        <v>43501</v>
      </c>
      <c r="B1590" s="54"/>
      <c r="C1590" s="55"/>
      <c r="D1590" s="55"/>
      <c r="E1590" s="55"/>
      <c r="F1590" s="55"/>
      <c r="G1590" s="55"/>
      <c r="H1590" s="55"/>
      <c r="I1590" s="55"/>
      <c r="J1590" s="55"/>
      <c r="K1590" s="55"/>
      <c r="L1590" s="55"/>
      <c r="M1590" s="55"/>
      <c r="N1590" s="55"/>
      <c r="O1590" s="55"/>
      <c r="P1590" s="56"/>
      <c r="AI1590" s="49"/>
      <c r="AJ1590" s="78"/>
      <c r="AK1590" s="78"/>
      <c r="AL1590" s="78"/>
      <c r="AM1590" s="78"/>
      <c r="AN1590" s="78"/>
      <c r="AO1590" s="78"/>
      <c r="AP1590" s="78"/>
      <c r="AQ1590" s="78"/>
      <c r="AR1590" s="78"/>
      <c r="AS1590" s="78"/>
      <c r="AT1590" s="78"/>
      <c r="AU1590" s="78"/>
      <c r="AV1590" s="78"/>
      <c r="AW1590" s="78"/>
      <c r="AX1590" s="78"/>
      <c r="AY1590" s="3"/>
      <c r="AZ1590" s="81"/>
      <c r="BB1590" s="5"/>
      <c r="BC1590" s="5"/>
    </row>
    <row r="1591" spans="1:55" x14ac:dyDescent="0.25">
      <c r="A1591" s="51">
        <v>43502</v>
      </c>
      <c r="B1591" s="54"/>
      <c r="C1591" s="55"/>
      <c r="D1591" s="55"/>
      <c r="E1591" s="55"/>
      <c r="F1591" s="55"/>
      <c r="G1591" s="55"/>
      <c r="H1591" s="55"/>
      <c r="I1591" s="55"/>
      <c r="J1591" s="55"/>
      <c r="K1591" s="55"/>
      <c r="L1591" s="55"/>
      <c r="M1591" s="55"/>
      <c r="N1591" s="55"/>
      <c r="O1591" s="55"/>
      <c r="P1591" s="56"/>
      <c r="AI1591" s="49"/>
      <c r="AJ1591" s="78"/>
      <c r="AK1591" s="78"/>
      <c r="AL1591" s="78"/>
      <c r="AM1591" s="78"/>
      <c r="AN1591" s="78"/>
      <c r="AO1591" s="78"/>
      <c r="AP1591" s="78"/>
      <c r="AQ1591" s="78"/>
      <c r="AR1591" s="78"/>
      <c r="AS1591" s="78"/>
      <c r="AT1591" s="78"/>
      <c r="AU1591" s="78"/>
      <c r="AV1591" s="78"/>
      <c r="AW1591" s="78"/>
      <c r="AX1591" s="78"/>
      <c r="AY1591" s="3"/>
      <c r="AZ1591" s="81"/>
      <c r="BB1591" s="5"/>
      <c r="BC1591" s="5"/>
    </row>
    <row r="1592" spans="1:55" x14ac:dyDescent="0.25">
      <c r="A1592" s="51">
        <v>43503</v>
      </c>
      <c r="B1592" s="54"/>
      <c r="C1592" s="55"/>
      <c r="D1592" s="55"/>
      <c r="E1592" s="55"/>
      <c r="F1592" s="55"/>
      <c r="G1592" s="55"/>
      <c r="H1592" s="55"/>
      <c r="I1592" s="55"/>
      <c r="J1592" s="55"/>
      <c r="K1592" s="55"/>
      <c r="L1592" s="55"/>
      <c r="M1592" s="55"/>
      <c r="N1592" s="55"/>
      <c r="O1592" s="55"/>
      <c r="P1592" s="56"/>
      <c r="AI1592" s="49"/>
      <c r="AJ1592" s="78"/>
      <c r="AK1592" s="78"/>
      <c r="AL1592" s="78"/>
      <c r="AM1592" s="78"/>
      <c r="AN1592" s="78"/>
      <c r="AO1592" s="78"/>
      <c r="AP1592" s="78"/>
      <c r="AQ1592" s="78"/>
      <c r="AR1592" s="78"/>
      <c r="AS1592" s="78"/>
      <c r="AT1592" s="78"/>
      <c r="AU1592" s="78"/>
      <c r="AV1592" s="78"/>
      <c r="AW1592" s="78"/>
      <c r="AX1592" s="78"/>
      <c r="AY1592" s="3"/>
      <c r="AZ1592" s="81"/>
      <c r="BB1592" s="5"/>
      <c r="BC1592" s="5"/>
    </row>
    <row r="1593" spans="1:55" x14ac:dyDescent="0.25">
      <c r="A1593" s="51">
        <v>43504</v>
      </c>
      <c r="B1593" s="54"/>
      <c r="C1593" s="55"/>
      <c r="D1593" s="55"/>
      <c r="E1593" s="55"/>
      <c r="F1593" s="55"/>
      <c r="G1593" s="55"/>
      <c r="H1593" s="55"/>
      <c r="I1593" s="55"/>
      <c r="J1593" s="55"/>
      <c r="K1593" s="55"/>
      <c r="L1593" s="55"/>
      <c r="M1593" s="55"/>
      <c r="N1593" s="55"/>
      <c r="O1593" s="55"/>
      <c r="P1593" s="56"/>
      <c r="AI1593" s="49"/>
      <c r="AJ1593" s="78"/>
      <c r="AK1593" s="78"/>
      <c r="AL1593" s="78"/>
      <c r="AM1593" s="78"/>
      <c r="AN1593" s="78"/>
      <c r="AO1593" s="78"/>
      <c r="AP1593" s="78"/>
      <c r="AQ1593" s="78"/>
      <c r="AR1593" s="78"/>
      <c r="AS1593" s="78"/>
      <c r="AT1593" s="78"/>
      <c r="AU1593" s="78"/>
      <c r="AV1593" s="78"/>
      <c r="AW1593" s="78"/>
      <c r="AX1593" s="78"/>
      <c r="AY1593" s="3"/>
      <c r="AZ1593" s="81"/>
      <c r="BB1593" s="5"/>
      <c r="BC1593" s="5"/>
    </row>
    <row r="1594" spans="1:55" x14ac:dyDescent="0.25">
      <c r="A1594" s="51">
        <v>43507</v>
      </c>
      <c r="B1594" s="54"/>
      <c r="C1594" s="55"/>
      <c r="D1594" s="55"/>
      <c r="E1594" s="55"/>
      <c r="F1594" s="55"/>
      <c r="G1594" s="55"/>
      <c r="H1594" s="55"/>
      <c r="I1594" s="55"/>
      <c r="J1594" s="55"/>
      <c r="K1594" s="55"/>
      <c r="L1594" s="55"/>
      <c r="M1594" s="55"/>
      <c r="N1594" s="55"/>
      <c r="O1594" s="55"/>
      <c r="P1594" s="56"/>
      <c r="AI1594" s="49"/>
      <c r="AJ1594" s="78"/>
      <c r="AK1594" s="78"/>
      <c r="AL1594" s="78"/>
      <c r="AM1594" s="78"/>
      <c r="AN1594" s="78"/>
      <c r="AO1594" s="78"/>
      <c r="AP1594" s="78"/>
      <c r="AQ1594" s="78"/>
      <c r="AR1594" s="78"/>
      <c r="AS1594" s="78"/>
      <c r="AT1594" s="78"/>
      <c r="AU1594" s="78"/>
      <c r="AV1594" s="78"/>
      <c r="AW1594" s="78"/>
      <c r="AX1594" s="78"/>
      <c r="AY1594" s="3"/>
      <c r="AZ1594" s="81"/>
      <c r="BB1594" s="5"/>
      <c r="BC1594" s="5"/>
    </row>
    <row r="1595" spans="1:55" x14ac:dyDescent="0.25">
      <c r="A1595" s="51">
        <v>43508</v>
      </c>
      <c r="B1595" s="54"/>
      <c r="C1595" s="55"/>
      <c r="D1595" s="55"/>
      <c r="E1595" s="55"/>
      <c r="F1595" s="55"/>
      <c r="G1595" s="55"/>
      <c r="H1595" s="55"/>
      <c r="I1595" s="55"/>
      <c r="J1595" s="55"/>
      <c r="K1595" s="55"/>
      <c r="L1595" s="55"/>
      <c r="M1595" s="55"/>
      <c r="N1595" s="55"/>
      <c r="O1595" s="55"/>
      <c r="P1595" s="56"/>
      <c r="AI1595" s="49"/>
      <c r="AJ1595" s="78"/>
      <c r="AK1595" s="78"/>
      <c r="AL1595" s="78"/>
      <c r="AM1595" s="78"/>
      <c r="AN1595" s="78"/>
      <c r="AO1595" s="78"/>
      <c r="AP1595" s="78"/>
      <c r="AQ1595" s="78"/>
      <c r="AR1595" s="78"/>
      <c r="AS1595" s="78"/>
      <c r="AT1595" s="78"/>
      <c r="AU1595" s="78"/>
      <c r="AV1595" s="78"/>
      <c r="AW1595" s="78"/>
      <c r="AX1595" s="78"/>
      <c r="AY1595" s="3"/>
      <c r="AZ1595" s="81"/>
      <c r="BB1595" s="5"/>
      <c r="BC1595" s="5"/>
    </row>
    <row r="1596" spans="1:55" x14ac:dyDescent="0.25">
      <c r="A1596" s="51">
        <v>43509</v>
      </c>
      <c r="B1596" s="54"/>
      <c r="C1596" s="55"/>
      <c r="D1596" s="55"/>
      <c r="E1596" s="55"/>
      <c r="F1596" s="55"/>
      <c r="G1596" s="55"/>
      <c r="H1596" s="55"/>
      <c r="I1596" s="55"/>
      <c r="J1596" s="55"/>
      <c r="K1596" s="55"/>
      <c r="L1596" s="55"/>
      <c r="M1596" s="55"/>
      <c r="N1596" s="55"/>
      <c r="O1596" s="55"/>
      <c r="P1596" s="56"/>
      <c r="AI1596" s="49"/>
      <c r="AJ1596" s="78"/>
      <c r="AK1596" s="78"/>
      <c r="AL1596" s="78"/>
      <c r="AM1596" s="78"/>
      <c r="AN1596" s="78"/>
      <c r="AO1596" s="78"/>
      <c r="AP1596" s="78"/>
      <c r="AQ1596" s="78"/>
      <c r="AR1596" s="78"/>
      <c r="AS1596" s="78"/>
      <c r="AT1596" s="78"/>
      <c r="AU1596" s="78"/>
      <c r="AV1596" s="78"/>
      <c r="AW1596" s="78"/>
      <c r="AX1596" s="78"/>
      <c r="AY1596" s="3"/>
      <c r="AZ1596" s="81"/>
      <c r="BB1596" s="5"/>
      <c r="BC1596" s="5"/>
    </row>
    <row r="1597" spans="1:55" x14ac:dyDescent="0.25">
      <c r="A1597" s="51">
        <v>43510</v>
      </c>
      <c r="B1597" s="54"/>
      <c r="C1597" s="55"/>
      <c r="D1597" s="55"/>
      <c r="E1597" s="55"/>
      <c r="F1597" s="55"/>
      <c r="G1597" s="55"/>
      <c r="H1597" s="55"/>
      <c r="I1597" s="55"/>
      <c r="J1597" s="55"/>
      <c r="K1597" s="55"/>
      <c r="L1597" s="55"/>
      <c r="M1597" s="55"/>
      <c r="N1597" s="55"/>
      <c r="O1597" s="55"/>
      <c r="P1597" s="56"/>
      <c r="AI1597" s="49"/>
      <c r="AJ1597" s="78"/>
      <c r="AK1597" s="78"/>
      <c r="AL1597" s="78"/>
      <c r="AM1597" s="78"/>
      <c r="AN1597" s="78"/>
      <c r="AO1597" s="78"/>
      <c r="AP1597" s="78"/>
      <c r="AQ1597" s="78"/>
      <c r="AR1597" s="78"/>
      <c r="AS1597" s="78"/>
      <c r="AT1597" s="78"/>
      <c r="AU1597" s="78"/>
      <c r="AV1597" s="78"/>
      <c r="AW1597" s="78"/>
      <c r="AX1597" s="78"/>
      <c r="AY1597" s="3"/>
      <c r="AZ1597" s="81"/>
      <c r="BB1597" s="5"/>
      <c r="BC1597" s="5"/>
    </row>
    <row r="1598" spans="1:55" x14ac:dyDescent="0.25">
      <c r="A1598" s="51">
        <v>43511</v>
      </c>
      <c r="B1598" s="54"/>
      <c r="C1598" s="55"/>
      <c r="D1598" s="55"/>
      <c r="E1598" s="55"/>
      <c r="F1598" s="55"/>
      <c r="G1598" s="55"/>
      <c r="H1598" s="55"/>
      <c r="I1598" s="55"/>
      <c r="J1598" s="55"/>
      <c r="K1598" s="55"/>
      <c r="L1598" s="55"/>
      <c r="M1598" s="55"/>
      <c r="N1598" s="55"/>
      <c r="O1598" s="55"/>
      <c r="P1598" s="56"/>
      <c r="AI1598" s="49"/>
      <c r="AJ1598" s="78"/>
      <c r="AK1598" s="78"/>
      <c r="AL1598" s="78"/>
      <c r="AM1598" s="78"/>
      <c r="AN1598" s="78"/>
      <c r="AO1598" s="78"/>
      <c r="AP1598" s="78"/>
      <c r="AQ1598" s="78"/>
      <c r="AR1598" s="78"/>
      <c r="AS1598" s="78"/>
      <c r="AT1598" s="78"/>
      <c r="AU1598" s="78"/>
      <c r="AV1598" s="78"/>
      <c r="AW1598" s="78"/>
      <c r="AX1598" s="78"/>
      <c r="AY1598" s="3"/>
      <c r="AZ1598" s="81"/>
      <c r="BB1598" s="5"/>
      <c r="BC1598" s="5"/>
    </row>
    <row r="1599" spans="1:55" x14ac:dyDescent="0.25">
      <c r="A1599" s="51">
        <v>43514</v>
      </c>
      <c r="B1599" s="54"/>
      <c r="C1599" s="55"/>
      <c r="D1599" s="55"/>
      <c r="E1599" s="55"/>
      <c r="F1599" s="55"/>
      <c r="G1599" s="55"/>
      <c r="H1599" s="55"/>
      <c r="I1599" s="55"/>
      <c r="J1599" s="55"/>
      <c r="K1599" s="55"/>
      <c r="L1599" s="55"/>
      <c r="M1599" s="55"/>
      <c r="N1599" s="55"/>
      <c r="O1599" s="55"/>
      <c r="P1599" s="56"/>
      <c r="AI1599" s="49"/>
      <c r="AJ1599" s="78"/>
      <c r="AK1599" s="78"/>
      <c r="AL1599" s="78"/>
      <c r="AM1599" s="78"/>
      <c r="AN1599" s="78"/>
      <c r="AO1599" s="78"/>
      <c r="AP1599" s="78"/>
      <c r="AQ1599" s="78"/>
      <c r="AR1599" s="78"/>
      <c r="AS1599" s="78"/>
      <c r="AT1599" s="78"/>
      <c r="AU1599" s="78"/>
      <c r="AV1599" s="78"/>
      <c r="AW1599" s="78"/>
      <c r="AX1599" s="78"/>
      <c r="AY1599" s="3"/>
      <c r="AZ1599" s="81"/>
      <c r="BB1599" s="5"/>
      <c r="BC1599" s="5"/>
    </row>
    <row r="1600" spans="1:55" x14ac:dyDescent="0.25">
      <c r="A1600" s="51">
        <v>43515</v>
      </c>
      <c r="B1600" s="54"/>
      <c r="C1600" s="55"/>
      <c r="D1600" s="55"/>
      <c r="E1600" s="55"/>
      <c r="F1600" s="55"/>
      <c r="G1600" s="55"/>
      <c r="H1600" s="55"/>
      <c r="I1600" s="55"/>
      <c r="J1600" s="55"/>
      <c r="K1600" s="55"/>
      <c r="L1600" s="55"/>
      <c r="M1600" s="55"/>
      <c r="N1600" s="55"/>
      <c r="O1600" s="55"/>
      <c r="P1600" s="56"/>
      <c r="AI1600" s="49"/>
      <c r="AJ1600" s="78"/>
      <c r="AK1600" s="78"/>
      <c r="AL1600" s="78"/>
      <c r="AM1600" s="78"/>
      <c r="AN1600" s="78"/>
      <c r="AO1600" s="78"/>
      <c r="AP1600" s="78"/>
      <c r="AQ1600" s="78"/>
      <c r="AR1600" s="78"/>
      <c r="AS1600" s="78"/>
      <c r="AT1600" s="78"/>
      <c r="AU1600" s="78"/>
      <c r="AV1600" s="78"/>
      <c r="AW1600" s="78"/>
      <c r="AX1600" s="78"/>
      <c r="AY1600" s="3"/>
      <c r="AZ1600" s="81"/>
      <c r="BB1600" s="5"/>
      <c r="BC1600" s="5"/>
    </row>
    <row r="1601" spans="1:55" x14ac:dyDescent="0.25">
      <c r="A1601" s="51">
        <v>43516</v>
      </c>
      <c r="B1601" s="54"/>
      <c r="C1601" s="55"/>
      <c r="D1601" s="55"/>
      <c r="E1601" s="55"/>
      <c r="F1601" s="55"/>
      <c r="G1601" s="55"/>
      <c r="H1601" s="55"/>
      <c r="I1601" s="55"/>
      <c r="J1601" s="55"/>
      <c r="K1601" s="55"/>
      <c r="L1601" s="55"/>
      <c r="M1601" s="55"/>
      <c r="N1601" s="55"/>
      <c r="O1601" s="55"/>
      <c r="P1601" s="56"/>
      <c r="AI1601" s="49"/>
      <c r="AJ1601" s="78"/>
      <c r="AK1601" s="78"/>
      <c r="AL1601" s="78"/>
      <c r="AM1601" s="78"/>
      <c r="AN1601" s="78"/>
      <c r="AO1601" s="78"/>
      <c r="AP1601" s="78"/>
      <c r="AQ1601" s="78"/>
      <c r="AR1601" s="78"/>
      <c r="AS1601" s="78"/>
      <c r="AT1601" s="78"/>
      <c r="AU1601" s="78"/>
      <c r="AV1601" s="78"/>
      <c r="AW1601" s="78"/>
      <c r="AX1601" s="78"/>
      <c r="AY1601" s="3"/>
      <c r="AZ1601" s="81"/>
      <c r="BB1601" s="5"/>
      <c r="BC1601" s="5"/>
    </row>
    <row r="1602" spans="1:55" x14ac:dyDescent="0.25">
      <c r="A1602" s="51">
        <v>43517</v>
      </c>
      <c r="B1602" s="54"/>
      <c r="C1602" s="55"/>
      <c r="D1602" s="55"/>
      <c r="E1602" s="55"/>
      <c r="F1602" s="55"/>
      <c r="G1602" s="55"/>
      <c r="H1602" s="55"/>
      <c r="I1602" s="55"/>
      <c r="J1602" s="55"/>
      <c r="K1602" s="55"/>
      <c r="L1602" s="55"/>
      <c r="M1602" s="55"/>
      <c r="N1602" s="55"/>
      <c r="O1602" s="55"/>
      <c r="P1602" s="56"/>
      <c r="AI1602" s="49"/>
      <c r="AJ1602" s="78"/>
      <c r="AK1602" s="78"/>
      <c r="AL1602" s="78"/>
      <c r="AM1602" s="78"/>
      <c r="AN1602" s="78"/>
      <c r="AO1602" s="78"/>
      <c r="AP1602" s="78"/>
      <c r="AQ1602" s="78"/>
      <c r="AR1602" s="78"/>
      <c r="AS1602" s="78"/>
      <c r="AT1602" s="78"/>
      <c r="AU1602" s="78"/>
      <c r="AV1602" s="78"/>
      <c r="AW1602" s="78"/>
      <c r="AX1602" s="78"/>
      <c r="AY1602" s="3"/>
      <c r="AZ1602" s="81"/>
      <c r="BB1602" s="5"/>
      <c r="BC1602" s="5"/>
    </row>
    <row r="1603" spans="1:55" x14ac:dyDescent="0.25">
      <c r="A1603" s="51">
        <v>43518</v>
      </c>
      <c r="B1603" s="54"/>
      <c r="C1603" s="55"/>
      <c r="D1603" s="55"/>
      <c r="E1603" s="55"/>
      <c r="F1603" s="55"/>
      <c r="G1603" s="55"/>
      <c r="H1603" s="55"/>
      <c r="I1603" s="55"/>
      <c r="J1603" s="55"/>
      <c r="K1603" s="55"/>
      <c r="L1603" s="55"/>
      <c r="M1603" s="55"/>
      <c r="N1603" s="55"/>
      <c r="O1603" s="55"/>
      <c r="P1603" s="56"/>
      <c r="AI1603" s="49"/>
      <c r="AJ1603" s="78"/>
      <c r="AK1603" s="78"/>
      <c r="AL1603" s="78"/>
      <c r="AM1603" s="78"/>
      <c r="AN1603" s="78"/>
      <c r="AO1603" s="78"/>
      <c r="AP1603" s="78"/>
      <c r="AQ1603" s="78"/>
      <c r="AR1603" s="78"/>
      <c r="AS1603" s="78"/>
      <c r="AT1603" s="78"/>
      <c r="AU1603" s="78"/>
      <c r="AV1603" s="78"/>
      <c r="AW1603" s="78"/>
      <c r="AX1603" s="78"/>
      <c r="AY1603" s="3"/>
      <c r="AZ1603" s="81"/>
      <c r="BB1603" s="5"/>
      <c r="BC1603" s="5"/>
    </row>
    <row r="1604" spans="1:55" x14ac:dyDescent="0.25">
      <c r="A1604" s="51">
        <v>43521</v>
      </c>
      <c r="B1604" s="54"/>
      <c r="C1604" s="55"/>
      <c r="D1604" s="55"/>
      <c r="E1604" s="55"/>
      <c r="F1604" s="55"/>
      <c r="G1604" s="55"/>
      <c r="H1604" s="55"/>
      <c r="I1604" s="55"/>
      <c r="J1604" s="55"/>
      <c r="K1604" s="55"/>
      <c r="L1604" s="55"/>
      <c r="M1604" s="55"/>
      <c r="N1604" s="55"/>
      <c r="O1604" s="55"/>
      <c r="P1604" s="56"/>
      <c r="AI1604" s="49"/>
      <c r="AJ1604" s="78"/>
      <c r="AK1604" s="78"/>
      <c r="AL1604" s="78"/>
      <c r="AM1604" s="78"/>
      <c r="AN1604" s="78"/>
      <c r="AO1604" s="78"/>
      <c r="AP1604" s="78"/>
      <c r="AQ1604" s="78"/>
      <c r="AR1604" s="78"/>
      <c r="AS1604" s="78"/>
      <c r="AT1604" s="78"/>
      <c r="AU1604" s="78"/>
      <c r="AV1604" s="78"/>
      <c r="AW1604" s="78"/>
      <c r="AX1604" s="78"/>
      <c r="AY1604" s="3"/>
      <c r="AZ1604" s="81"/>
      <c r="BB1604" s="5"/>
      <c r="BC1604" s="5"/>
    </row>
    <row r="1605" spans="1:55" x14ac:dyDescent="0.25">
      <c r="A1605" s="51">
        <v>43522</v>
      </c>
      <c r="B1605" s="54"/>
      <c r="C1605" s="55"/>
      <c r="D1605" s="55"/>
      <c r="E1605" s="55"/>
      <c r="F1605" s="55"/>
      <c r="G1605" s="55"/>
      <c r="H1605" s="55"/>
      <c r="I1605" s="55"/>
      <c r="J1605" s="55"/>
      <c r="K1605" s="55"/>
      <c r="L1605" s="55"/>
      <c r="M1605" s="55"/>
      <c r="N1605" s="55"/>
      <c r="O1605" s="55"/>
      <c r="P1605" s="56"/>
      <c r="AI1605" s="49"/>
      <c r="AJ1605" s="78"/>
      <c r="AK1605" s="78"/>
      <c r="AL1605" s="78"/>
      <c r="AM1605" s="78"/>
      <c r="AN1605" s="78"/>
      <c r="AO1605" s="78"/>
      <c r="AP1605" s="78"/>
      <c r="AQ1605" s="78"/>
      <c r="AR1605" s="78"/>
      <c r="AS1605" s="78"/>
      <c r="AT1605" s="78"/>
      <c r="AU1605" s="78"/>
      <c r="AV1605" s="78"/>
      <c r="AW1605" s="78"/>
      <c r="AX1605" s="78"/>
      <c r="AY1605" s="3"/>
      <c r="AZ1605" s="81"/>
      <c r="BB1605" s="5"/>
      <c r="BC1605" s="5"/>
    </row>
    <row r="1606" spans="1:55" x14ac:dyDescent="0.25">
      <c r="A1606" s="51">
        <v>43523</v>
      </c>
      <c r="B1606" s="54"/>
      <c r="C1606" s="55"/>
      <c r="D1606" s="55"/>
      <c r="E1606" s="55"/>
      <c r="F1606" s="55"/>
      <c r="G1606" s="55"/>
      <c r="H1606" s="55"/>
      <c r="I1606" s="55"/>
      <c r="J1606" s="55"/>
      <c r="K1606" s="55"/>
      <c r="L1606" s="55"/>
      <c r="M1606" s="55"/>
      <c r="N1606" s="55"/>
      <c r="O1606" s="55"/>
      <c r="P1606" s="56"/>
      <c r="AI1606" s="49"/>
      <c r="AJ1606" s="78"/>
      <c r="AK1606" s="78"/>
      <c r="AL1606" s="78"/>
      <c r="AM1606" s="78"/>
      <c r="AN1606" s="78"/>
      <c r="AO1606" s="78"/>
      <c r="AP1606" s="78"/>
      <c r="AQ1606" s="78"/>
      <c r="AR1606" s="78"/>
      <c r="AS1606" s="78"/>
      <c r="AT1606" s="78"/>
      <c r="AU1606" s="78"/>
      <c r="AV1606" s="78"/>
      <c r="AW1606" s="78"/>
      <c r="AX1606" s="78"/>
      <c r="AY1606" s="3"/>
      <c r="AZ1606" s="81"/>
      <c r="BB1606" s="5"/>
      <c r="BC1606" s="5"/>
    </row>
    <row r="1607" spans="1:55" x14ac:dyDescent="0.25">
      <c r="A1607" s="51">
        <v>43524</v>
      </c>
      <c r="B1607" s="54"/>
      <c r="C1607" s="55"/>
      <c r="D1607" s="55"/>
      <c r="E1607" s="55"/>
      <c r="F1607" s="55"/>
      <c r="G1607" s="55"/>
      <c r="H1607" s="55"/>
      <c r="I1607" s="55"/>
      <c r="J1607" s="55"/>
      <c r="K1607" s="55"/>
      <c r="L1607" s="55"/>
      <c r="M1607" s="55"/>
      <c r="N1607" s="55"/>
      <c r="O1607" s="55"/>
      <c r="P1607" s="56"/>
      <c r="AI1607" s="49"/>
      <c r="AJ1607" s="78"/>
      <c r="AK1607" s="78"/>
      <c r="AL1607" s="78"/>
      <c r="AM1607" s="78"/>
      <c r="AN1607" s="78"/>
      <c r="AO1607" s="78"/>
      <c r="AP1607" s="78"/>
      <c r="AQ1607" s="78"/>
      <c r="AR1607" s="78"/>
      <c r="AS1607" s="78"/>
      <c r="AT1607" s="78"/>
      <c r="AU1607" s="78"/>
      <c r="AV1607" s="78"/>
      <c r="AW1607" s="78"/>
      <c r="AX1607" s="78"/>
      <c r="AY1607" s="3"/>
      <c r="AZ1607" s="81"/>
      <c r="BB1607" s="5"/>
      <c r="BC1607" s="5"/>
    </row>
    <row r="1608" spans="1:55" x14ac:dyDescent="0.25">
      <c r="A1608" s="51">
        <v>43525</v>
      </c>
      <c r="B1608" s="54"/>
      <c r="C1608" s="55"/>
      <c r="D1608" s="55"/>
      <c r="E1608" s="55"/>
      <c r="F1608" s="55"/>
      <c r="G1608" s="55"/>
      <c r="H1608" s="55"/>
      <c r="I1608" s="55"/>
      <c r="J1608" s="55"/>
      <c r="K1608" s="55"/>
      <c r="L1608" s="55"/>
      <c r="M1608" s="55"/>
      <c r="N1608" s="55"/>
      <c r="O1608" s="55"/>
      <c r="P1608" s="56"/>
      <c r="AI1608" s="49"/>
      <c r="AJ1608" s="78"/>
      <c r="AK1608" s="78"/>
      <c r="AL1608" s="78"/>
      <c r="AM1608" s="78"/>
      <c r="AN1608" s="78"/>
      <c r="AO1608" s="78"/>
      <c r="AP1608" s="78"/>
      <c r="AQ1608" s="78"/>
      <c r="AR1608" s="78"/>
      <c r="AS1608" s="78"/>
      <c r="AT1608" s="78"/>
      <c r="AU1608" s="78"/>
      <c r="AV1608" s="78"/>
      <c r="AW1608" s="78"/>
      <c r="AX1608" s="78"/>
      <c r="AY1608" s="3"/>
      <c r="AZ1608" s="81"/>
      <c r="BB1608" s="5"/>
      <c r="BC1608" s="5"/>
    </row>
    <row r="1609" spans="1:55" x14ac:dyDescent="0.25">
      <c r="A1609" s="51">
        <v>43528</v>
      </c>
      <c r="B1609" s="54"/>
      <c r="C1609" s="55"/>
      <c r="D1609" s="55"/>
      <c r="E1609" s="55"/>
      <c r="F1609" s="55"/>
      <c r="G1609" s="55"/>
      <c r="H1609" s="55"/>
      <c r="I1609" s="55"/>
      <c r="J1609" s="55"/>
      <c r="K1609" s="55"/>
      <c r="L1609" s="55"/>
      <c r="M1609" s="55"/>
      <c r="N1609" s="55"/>
      <c r="O1609" s="55"/>
      <c r="P1609" s="56"/>
      <c r="AI1609" s="49"/>
      <c r="AJ1609" s="78"/>
      <c r="AK1609" s="78"/>
      <c r="AL1609" s="78"/>
      <c r="AM1609" s="78"/>
      <c r="AN1609" s="78"/>
      <c r="AO1609" s="78"/>
      <c r="AP1609" s="78"/>
      <c r="AQ1609" s="78"/>
      <c r="AR1609" s="78"/>
      <c r="AS1609" s="78"/>
      <c r="AT1609" s="78"/>
      <c r="AU1609" s="78"/>
      <c r="AV1609" s="78"/>
      <c r="AW1609" s="78"/>
      <c r="AX1609" s="78"/>
      <c r="AY1609" s="3"/>
      <c r="AZ1609" s="81"/>
      <c r="BB1609" s="5"/>
      <c r="BC1609" s="5"/>
    </row>
    <row r="1610" spans="1:55" x14ac:dyDescent="0.25">
      <c r="A1610" s="51">
        <v>43529</v>
      </c>
      <c r="B1610" s="54"/>
      <c r="C1610" s="55"/>
      <c r="D1610" s="55"/>
      <c r="E1610" s="55"/>
      <c r="F1610" s="55"/>
      <c r="G1610" s="55"/>
      <c r="H1610" s="55"/>
      <c r="I1610" s="55"/>
      <c r="J1610" s="55"/>
      <c r="K1610" s="55"/>
      <c r="L1610" s="55"/>
      <c r="M1610" s="55"/>
      <c r="N1610" s="55"/>
      <c r="O1610" s="55"/>
      <c r="P1610" s="56"/>
      <c r="AI1610" s="49"/>
      <c r="AJ1610" s="78"/>
      <c r="AK1610" s="78"/>
      <c r="AL1610" s="78"/>
      <c r="AM1610" s="78"/>
      <c r="AN1610" s="78"/>
      <c r="AO1610" s="78"/>
      <c r="AP1610" s="78"/>
      <c r="AQ1610" s="78"/>
      <c r="AR1610" s="78"/>
      <c r="AS1610" s="78"/>
      <c r="AT1610" s="78"/>
      <c r="AU1610" s="78"/>
      <c r="AV1610" s="78"/>
      <c r="AW1610" s="78"/>
      <c r="AX1610" s="78"/>
      <c r="AY1610" s="3"/>
      <c r="AZ1610" s="81"/>
      <c r="BB1610" s="5"/>
      <c r="BC1610" s="5"/>
    </row>
    <row r="1611" spans="1:55" x14ac:dyDescent="0.25">
      <c r="A1611" s="51">
        <v>43530</v>
      </c>
      <c r="B1611" s="54"/>
      <c r="C1611" s="55"/>
      <c r="D1611" s="55"/>
      <c r="E1611" s="55"/>
      <c r="F1611" s="55"/>
      <c r="G1611" s="55"/>
      <c r="H1611" s="55"/>
      <c r="I1611" s="55"/>
      <c r="J1611" s="55"/>
      <c r="K1611" s="55"/>
      <c r="L1611" s="55"/>
      <c r="M1611" s="55"/>
      <c r="N1611" s="55"/>
      <c r="O1611" s="55"/>
      <c r="P1611" s="56"/>
      <c r="AI1611" s="49"/>
      <c r="AJ1611" s="78"/>
      <c r="AK1611" s="78"/>
      <c r="AL1611" s="78"/>
      <c r="AM1611" s="78"/>
      <c r="AN1611" s="78"/>
      <c r="AO1611" s="78"/>
      <c r="AP1611" s="78"/>
      <c r="AQ1611" s="78"/>
      <c r="AR1611" s="78"/>
      <c r="AS1611" s="78"/>
      <c r="AT1611" s="78"/>
      <c r="AU1611" s="78"/>
      <c r="AV1611" s="78"/>
      <c r="AW1611" s="78"/>
      <c r="AX1611" s="78"/>
      <c r="AY1611" s="3"/>
      <c r="AZ1611" s="81"/>
      <c r="BB1611" s="5"/>
      <c r="BC1611" s="5"/>
    </row>
    <row r="1612" spans="1:55" x14ac:dyDescent="0.25">
      <c r="A1612" s="51">
        <v>43531</v>
      </c>
      <c r="B1612" s="54"/>
      <c r="C1612" s="55"/>
      <c r="D1612" s="55"/>
      <c r="E1612" s="55"/>
      <c r="F1612" s="55"/>
      <c r="G1612" s="55"/>
      <c r="H1612" s="55"/>
      <c r="I1612" s="55"/>
      <c r="J1612" s="55"/>
      <c r="K1612" s="55"/>
      <c r="L1612" s="55"/>
      <c r="M1612" s="55"/>
      <c r="N1612" s="55"/>
      <c r="O1612" s="55"/>
      <c r="P1612" s="56"/>
      <c r="AI1612" s="49"/>
      <c r="AJ1612" s="78"/>
      <c r="AK1612" s="78"/>
      <c r="AL1612" s="78"/>
      <c r="AM1612" s="78"/>
      <c r="AN1612" s="78"/>
      <c r="AO1612" s="78"/>
      <c r="AP1612" s="78"/>
      <c r="AQ1612" s="78"/>
      <c r="AR1612" s="78"/>
      <c r="AS1612" s="78"/>
      <c r="AT1612" s="78"/>
      <c r="AU1612" s="78"/>
      <c r="AV1612" s="78"/>
      <c r="AW1612" s="78"/>
      <c r="AX1612" s="78"/>
      <c r="AY1612" s="3"/>
      <c r="AZ1612" s="81"/>
      <c r="BB1612" s="5"/>
      <c r="BC1612" s="5"/>
    </row>
    <row r="1613" spans="1:55" x14ac:dyDescent="0.25">
      <c r="A1613" s="51">
        <v>43532</v>
      </c>
      <c r="B1613" s="54"/>
      <c r="C1613" s="55"/>
      <c r="D1613" s="55"/>
      <c r="E1613" s="55"/>
      <c r="F1613" s="55"/>
      <c r="G1613" s="55"/>
      <c r="H1613" s="55"/>
      <c r="I1613" s="55"/>
      <c r="J1613" s="55"/>
      <c r="K1613" s="55"/>
      <c r="L1613" s="55"/>
      <c r="M1613" s="55"/>
      <c r="N1613" s="55"/>
      <c r="O1613" s="55"/>
      <c r="P1613" s="56"/>
      <c r="AI1613" s="49"/>
      <c r="AJ1613" s="78"/>
      <c r="AK1613" s="78"/>
      <c r="AL1613" s="78"/>
      <c r="AM1613" s="78"/>
      <c r="AN1613" s="78"/>
      <c r="AO1613" s="78"/>
      <c r="AP1613" s="78"/>
      <c r="AQ1613" s="78"/>
      <c r="AR1613" s="78"/>
      <c r="AS1613" s="78"/>
      <c r="AT1613" s="78"/>
      <c r="AU1613" s="78"/>
      <c r="AV1613" s="78"/>
      <c r="AW1613" s="78"/>
      <c r="AX1613" s="78"/>
      <c r="AY1613" s="3"/>
      <c r="AZ1613" s="81"/>
      <c r="BB1613" s="5"/>
      <c r="BC1613" s="5"/>
    </row>
    <row r="1614" spans="1:55" x14ac:dyDescent="0.25">
      <c r="A1614" s="51">
        <v>43535</v>
      </c>
      <c r="B1614" s="54"/>
      <c r="C1614" s="55"/>
      <c r="D1614" s="55"/>
      <c r="E1614" s="55"/>
      <c r="F1614" s="55"/>
      <c r="G1614" s="55"/>
      <c r="H1614" s="55"/>
      <c r="I1614" s="55"/>
      <c r="J1614" s="55"/>
      <c r="K1614" s="55"/>
      <c r="L1614" s="55"/>
      <c r="M1614" s="55"/>
      <c r="N1614" s="55"/>
      <c r="O1614" s="55"/>
      <c r="P1614" s="56"/>
      <c r="AI1614" s="49"/>
      <c r="AJ1614" s="78"/>
      <c r="AK1614" s="78"/>
      <c r="AL1614" s="78"/>
      <c r="AM1614" s="78"/>
      <c r="AN1614" s="78"/>
      <c r="AO1614" s="78"/>
      <c r="AP1614" s="78"/>
      <c r="AQ1614" s="78"/>
      <c r="AR1614" s="78"/>
      <c r="AS1614" s="78"/>
      <c r="AT1614" s="78"/>
      <c r="AU1614" s="78"/>
      <c r="AV1614" s="78"/>
      <c r="AW1614" s="78"/>
      <c r="AX1614" s="78"/>
      <c r="AY1614" s="3"/>
      <c r="AZ1614" s="81"/>
      <c r="BB1614" s="5"/>
      <c r="BC1614" s="5"/>
    </row>
    <row r="1615" spans="1:55" x14ac:dyDescent="0.25">
      <c r="A1615" s="51">
        <v>43536</v>
      </c>
      <c r="B1615" s="54"/>
      <c r="C1615" s="55"/>
      <c r="D1615" s="55"/>
      <c r="E1615" s="55"/>
      <c r="F1615" s="55"/>
      <c r="G1615" s="55"/>
      <c r="H1615" s="55"/>
      <c r="I1615" s="55"/>
      <c r="J1615" s="55"/>
      <c r="K1615" s="55"/>
      <c r="L1615" s="55"/>
      <c r="M1615" s="55"/>
      <c r="N1615" s="55"/>
      <c r="O1615" s="55"/>
      <c r="P1615" s="56"/>
      <c r="AI1615" s="49"/>
      <c r="AJ1615" s="78"/>
      <c r="AK1615" s="78"/>
      <c r="AL1615" s="78"/>
      <c r="AM1615" s="78"/>
      <c r="AN1615" s="78"/>
      <c r="AO1615" s="78"/>
      <c r="AP1615" s="78"/>
      <c r="AQ1615" s="78"/>
      <c r="AR1615" s="78"/>
      <c r="AS1615" s="78"/>
      <c r="AT1615" s="78"/>
      <c r="AU1615" s="78"/>
      <c r="AV1615" s="78"/>
      <c r="AW1615" s="78"/>
      <c r="AX1615" s="78"/>
      <c r="AY1615" s="3"/>
      <c r="AZ1615" s="81"/>
      <c r="BB1615" s="5"/>
      <c r="BC1615" s="5"/>
    </row>
    <row r="1616" spans="1:55" x14ac:dyDescent="0.25">
      <c r="A1616" s="51">
        <v>43537</v>
      </c>
      <c r="B1616" s="54"/>
      <c r="C1616" s="55"/>
      <c r="D1616" s="55"/>
      <c r="E1616" s="55"/>
      <c r="F1616" s="55"/>
      <c r="G1616" s="55"/>
      <c r="H1616" s="55"/>
      <c r="I1616" s="55"/>
      <c r="J1616" s="55"/>
      <c r="K1616" s="55"/>
      <c r="L1616" s="55"/>
      <c r="M1616" s="55"/>
      <c r="N1616" s="55"/>
      <c r="O1616" s="55"/>
      <c r="P1616" s="56"/>
      <c r="AI1616" s="49"/>
      <c r="AJ1616" s="78"/>
      <c r="AK1616" s="78"/>
      <c r="AL1616" s="78"/>
      <c r="AM1616" s="78"/>
      <c r="AN1616" s="78"/>
      <c r="AO1616" s="78"/>
      <c r="AP1616" s="78"/>
      <c r="AQ1616" s="78"/>
      <c r="AR1616" s="78"/>
      <c r="AS1616" s="78"/>
      <c r="AT1616" s="78"/>
      <c r="AU1616" s="78"/>
      <c r="AV1616" s="78"/>
      <c r="AW1616" s="78"/>
      <c r="AX1616" s="78"/>
      <c r="AY1616" s="3"/>
      <c r="AZ1616" s="81"/>
      <c r="BB1616" s="5"/>
      <c r="BC1616" s="5"/>
    </row>
    <row r="1617" spans="1:55" x14ac:dyDescent="0.25">
      <c r="A1617" s="51">
        <v>43538</v>
      </c>
      <c r="B1617" s="54"/>
      <c r="C1617" s="55"/>
      <c r="D1617" s="55"/>
      <c r="E1617" s="55"/>
      <c r="F1617" s="55"/>
      <c r="G1617" s="55"/>
      <c r="H1617" s="55"/>
      <c r="I1617" s="55"/>
      <c r="J1617" s="55"/>
      <c r="K1617" s="55"/>
      <c r="L1617" s="55"/>
      <c r="M1617" s="55"/>
      <c r="N1617" s="55"/>
      <c r="O1617" s="55"/>
      <c r="P1617" s="56"/>
      <c r="AI1617" s="49"/>
      <c r="AJ1617" s="78"/>
      <c r="AK1617" s="78"/>
      <c r="AL1617" s="78"/>
      <c r="AM1617" s="78"/>
      <c r="AN1617" s="78"/>
      <c r="AO1617" s="78"/>
      <c r="AP1617" s="78"/>
      <c r="AQ1617" s="78"/>
      <c r="AR1617" s="78"/>
      <c r="AS1617" s="78"/>
      <c r="AT1617" s="78"/>
      <c r="AU1617" s="78"/>
      <c r="AV1617" s="78"/>
      <c r="AW1617" s="78"/>
      <c r="AX1617" s="78"/>
      <c r="AY1617" s="3"/>
      <c r="AZ1617" s="81"/>
      <c r="BB1617" s="5"/>
      <c r="BC1617" s="5"/>
    </row>
    <row r="1618" spans="1:55" x14ac:dyDescent="0.25">
      <c r="A1618" s="51">
        <v>43539</v>
      </c>
      <c r="B1618" s="54"/>
      <c r="C1618" s="55"/>
      <c r="D1618" s="55"/>
      <c r="E1618" s="55"/>
      <c r="F1618" s="55"/>
      <c r="G1618" s="55"/>
      <c r="H1618" s="55"/>
      <c r="I1618" s="55"/>
      <c r="J1618" s="55"/>
      <c r="K1618" s="55"/>
      <c r="L1618" s="55"/>
      <c r="M1618" s="55"/>
      <c r="N1618" s="55"/>
      <c r="O1618" s="55"/>
      <c r="P1618" s="56"/>
      <c r="AI1618" s="49"/>
      <c r="AJ1618" s="78"/>
      <c r="AK1618" s="78"/>
      <c r="AL1618" s="78"/>
      <c r="AM1618" s="78"/>
      <c r="AN1618" s="78"/>
      <c r="AO1618" s="78"/>
      <c r="AP1618" s="78"/>
      <c r="AQ1618" s="78"/>
      <c r="AR1618" s="78"/>
      <c r="AS1618" s="78"/>
      <c r="AT1618" s="78"/>
      <c r="AU1618" s="78"/>
      <c r="AV1618" s="78"/>
      <c r="AW1618" s="78"/>
      <c r="AX1618" s="78"/>
      <c r="AY1618" s="3"/>
      <c r="AZ1618" s="81"/>
      <c r="BB1618" s="5"/>
      <c r="BC1618" s="5"/>
    </row>
    <row r="1619" spans="1:55" x14ac:dyDescent="0.25">
      <c r="A1619" s="51">
        <v>43542</v>
      </c>
      <c r="B1619" s="54"/>
      <c r="C1619" s="55"/>
      <c r="D1619" s="55"/>
      <c r="E1619" s="55"/>
      <c r="F1619" s="55"/>
      <c r="G1619" s="55"/>
      <c r="H1619" s="55"/>
      <c r="I1619" s="55"/>
      <c r="J1619" s="55"/>
      <c r="K1619" s="55"/>
      <c r="L1619" s="55"/>
      <c r="M1619" s="55"/>
      <c r="N1619" s="55"/>
      <c r="O1619" s="55"/>
      <c r="P1619" s="56"/>
      <c r="AI1619" s="49"/>
      <c r="AJ1619" s="78"/>
      <c r="AK1619" s="78"/>
      <c r="AL1619" s="78"/>
      <c r="AM1619" s="78"/>
      <c r="AN1619" s="78"/>
      <c r="AO1619" s="78"/>
      <c r="AP1619" s="78"/>
      <c r="AQ1619" s="78"/>
      <c r="AR1619" s="78"/>
      <c r="AS1619" s="78"/>
      <c r="AT1619" s="78"/>
      <c r="AU1619" s="78"/>
      <c r="AV1619" s="78"/>
      <c r="AW1619" s="78"/>
      <c r="AX1619" s="78"/>
      <c r="AY1619" s="3"/>
      <c r="AZ1619" s="81"/>
      <c r="BB1619" s="5"/>
      <c r="BC1619" s="5"/>
    </row>
    <row r="1620" spans="1:55" x14ac:dyDescent="0.25">
      <c r="A1620" s="51">
        <v>43543</v>
      </c>
      <c r="B1620" s="54"/>
      <c r="C1620" s="55"/>
      <c r="D1620" s="55"/>
      <c r="E1620" s="55"/>
      <c r="F1620" s="55"/>
      <c r="G1620" s="55"/>
      <c r="H1620" s="55"/>
      <c r="I1620" s="55"/>
      <c r="J1620" s="55"/>
      <c r="K1620" s="55"/>
      <c r="L1620" s="55"/>
      <c r="M1620" s="55"/>
      <c r="N1620" s="55"/>
      <c r="O1620" s="55"/>
      <c r="P1620" s="56"/>
      <c r="AI1620" s="49"/>
      <c r="AJ1620" s="78"/>
      <c r="AK1620" s="78"/>
      <c r="AL1620" s="78"/>
      <c r="AM1620" s="78"/>
      <c r="AN1620" s="78"/>
      <c r="AO1620" s="78"/>
      <c r="AP1620" s="78"/>
      <c r="AQ1620" s="78"/>
      <c r="AR1620" s="78"/>
      <c r="AS1620" s="78"/>
      <c r="AT1620" s="78"/>
      <c r="AU1620" s="78"/>
      <c r="AV1620" s="78"/>
      <c r="AW1620" s="78"/>
      <c r="AX1620" s="78"/>
      <c r="AY1620" s="3"/>
      <c r="AZ1620" s="81"/>
      <c r="BB1620" s="5"/>
      <c r="BC1620" s="5"/>
    </row>
    <row r="1621" spans="1:55" x14ac:dyDescent="0.25">
      <c r="A1621" s="51">
        <v>43544</v>
      </c>
      <c r="B1621" s="54"/>
      <c r="C1621" s="55"/>
      <c r="D1621" s="55"/>
      <c r="E1621" s="55"/>
      <c r="F1621" s="55"/>
      <c r="G1621" s="55"/>
      <c r="H1621" s="55"/>
      <c r="I1621" s="55"/>
      <c r="J1621" s="55"/>
      <c r="K1621" s="55"/>
      <c r="L1621" s="55"/>
      <c r="M1621" s="55"/>
      <c r="N1621" s="55"/>
      <c r="O1621" s="55"/>
      <c r="P1621" s="56"/>
      <c r="AI1621" s="49"/>
      <c r="AJ1621" s="78"/>
      <c r="AK1621" s="78"/>
      <c r="AL1621" s="78"/>
      <c r="AM1621" s="78"/>
      <c r="AN1621" s="78"/>
      <c r="AO1621" s="78"/>
      <c r="AP1621" s="78"/>
      <c r="AQ1621" s="78"/>
      <c r="AR1621" s="78"/>
      <c r="AS1621" s="78"/>
      <c r="AT1621" s="78"/>
      <c r="AU1621" s="78"/>
      <c r="AV1621" s="78"/>
      <c r="AW1621" s="78"/>
      <c r="AX1621" s="78"/>
      <c r="AY1621" s="3"/>
      <c r="AZ1621" s="81"/>
      <c r="BB1621" s="5"/>
      <c r="BC1621" s="5"/>
    </row>
    <row r="1622" spans="1:55" x14ac:dyDescent="0.25">
      <c r="A1622" s="51">
        <v>43545</v>
      </c>
      <c r="B1622" s="54"/>
      <c r="C1622" s="55"/>
      <c r="D1622" s="55"/>
      <c r="E1622" s="55"/>
      <c r="F1622" s="55"/>
      <c r="G1622" s="55"/>
      <c r="H1622" s="55"/>
      <c r="I1622" s="55"/>
      <c r="J1622" s="55"/>
      <c r="K1622" s="55"/>
      <c r="L1622" s="55"/>
      <c r="M1622" s="55"/>
      <c r="N1622" s="55"/>
      <c r="O1622" s="55"/>
      <c r="P1622" s="56"/>
      <c r="AI1622" s="49"/>
      <c r="AJ1622" s="78"/>
      <c r="AK1622" s="78"/>
      <c r="AL1622" s="78"/>
      <c r="AM1622" s="78"/>
      <c r="AN1622" s="78"/>
      <c r="AO1622" s="78"/>
      <c r="AP1622" s="78"/>
      <c r="AQ1622" s="78"/>
      <c r="AR1622" s="78"/>
      <c r="AS1622" s="78"/>
      <c r="AT1622" s="78"/>
      <c r="AU1622" s="78"/>
      <c r="AV1622" s="78"/>
      <c r="AW1622" s="78"/>
      <c r="AX1622" s="78"/>
      <c r="AY1622" s="3"/>
      <c r="AZ1622" s="81"/>
      <c r="BB1622" s="5"/>
      <c r="BC1622" s="5"/>
    </row>
    <row r="1623" spans="1:55" x14ac:dyDescent="0.25">
      <c r="A1623" s="51">
        <v>43546</v>
      </c>
      <c r="B1623" s="54"/>
      <c r="C1623" s="55"/>
      <c r="D1623" s="55"/>
      <c r="E1623" s="55"/>
      <c r="F1623" s="55"/>
      <c r="G1623" s="55"/>
      <c r="H1623" s="55"/>
      <c r="I1623" s="55"/>
      <c r="J1623" s="55"/>
      <c r="K1623" s="55"/>
      <c r="L1623" s="55"/>
      <c r="M1623" s="55"/>
      <c r="N1623" s="55"/>
      <c r="O1623" s="55"/>
      <c r="P1623" s="56"/>
      <c r="AI1623" s="49"/>
      <c r="AJ1623" s="78"/>
      <c r="AK1623" s="78"/>
      <c r="AL1623" s="78"/>
      <c r="AM1623" s="78"/>
      <c r="AN1623" s="78"/>
      <c r="AO1623" s="78"/>
      <c r="AP1623" s="78"/>
      <c r="AQ1623" s="78"/>
      <c r="AR1623" s="78"/>
      <c r="AS1623" s="78"/>
      <c r="AT1623" s="78"/>
      <c r="AU1623" s="78"/>
      <c r="AV1623" s="78"/>
      <c r="AW1623" s="78"/>
      <c r="AX1623" s="78"/>
      <c r="AY1623" s="3"/>
      <c r="AZ1623" s="81"/>
      <c r="BB1623" s="5"/>
      <c r="BC1623" s="5"/>
    </row>
    <row r="1624" spans="1:55" x14ac:dyDescent="0.25">
      <c r="A1624" s="51">
        <v>43549</v>
      </c>
      <c r="B1624" s="54"/>
      <c r="C1624" s="55"/>
      <c r="D1624" s="55"/>
      <c r="E1624" s="55"/>
      <c r="F1624" s="55"/>
      <c r="G1624" s="55"/>
      <c r="H1624" s="55"/>
      <c r="I1624" s="55"/>
      <c r="J1624" s="55"/>
      <c r="K1624" s="55"/>
      <c r="L1624" s="55"/>
      <c r="M1624" s="55"/>
      <c r="N1624" s="55"/>
      <c r="O1624" s="55"/>
      <c r="P1624" s="56"/>
      <c r="AI1624" s="49"/>
      <c r="AJ1624" s="78"/>
      <c r="AK1624" s="78"/>
      <c r="AL1624" s="78"/>
      <c r="AM1624" s="78"/>
      <c r="AN1624" s="78"/>
      <c r="AO1624" s="78"/>
      <c r="AP1624" s="78"/>
      <c r="AQ1624" s="78"/>
      <c r="AR1624" s="78"/>
      <c r="AS1624" s="78"/>
      <c r="AT1624" s="78"/>
      <c r="AU1624" s="78"/>
      <c r="AV1624" s="78"/>
      <c r="AW1624" s="78"/>
      <c r="AX1624" s="78"/>
      <c r="AY1624" s="3"/>
      <c r="AZ1624" s="81"/>
      <c r="BB1624" s="5"/>
      <c r="BC1624" s="5"/>
    </row>
    <row r="1625" spans="1:55" x14ac:dyDescent="0.25">
      <c r="A1625" s="51">
        <v>43550</v>
      </c>
      <c r="B1625" s="54"/>
      <c r="C1625" s="55"/>
      <c r="D1625" s="55"/>
      <c r="E1625" s="55"/>
      <c r="F1625" s="55"/>
      <c r="G1625" s="55"/>
      <c r="H1625" s="55"/>
      <c r="I1625" s="55"/>
      <c r="J1625" s="55"/>
      <c r="K1625" s="55"/>
      <c r="L1625" s="55"/>
      <c r="M1625" s="55"/>
      <c r="N1625" s="55"/>
      <c r="O1625" s="55"/>
      <c r="P1625" s="56"/>
      <c r="AI1625" s="49"/>
      <c r="AJ1625" s="78"/>
      <c r="AK1625" s="78"/>
      <c r="AL1625" s="78"/>
      <c r="AM1625" s="78"/>
      <c r="AN1625" s="78"/>
      <c r="AO1625" s="78"/>
      <c r="AP1625" s="78"/>
      <c r="AQ1625" s="78"/>
      <c r="AR1625" s="78"/>
      <c r="AS1625" s="78"/>
      <c r="AT1625" s="78"/>
      <c r="AU1625" s="78"/>
      <c r="AV1625" s="78"/>
      <c r="AW1625" s="78"/>
      <c r="AX1625" s="78"/>
      <c r="AY1625" s="3"/>
      <c r="AZ1625" s="81"/>
      <c r="BB1625" s="5"/>
      <c r="BC1625" s="5"/>
    </row>
    <row r="1626" spans="1:55" x14ac:dyDescent="0.25">
      <c r="A1626" s="51">
        <v>43551</v>
      </c>
      <c r="B1626" s="54"/>
      <c r="C1626" s="55"/>
      <c r="D1626" s="55"/>
      <c r="E1626" s="55"/>
      <c r="F1626" s="55"/>
      <c r="G1626" s="55"/>
      <c r="H1626" s="55"/>
      <c r="I1626" s="55"/>
      <c r="J1626" s="55"/>
      <c r="K1626" s="55"/>
      <c r="L1626" s="55"/>
      <c r="M1626" s="55"/>
      <c r="N1626" s="55"/>
      <c r="O1626" s="55"/>
      <c r="P1626" s="56"/>
      <c r="AI1626" s="49"/>
      <c r="AJ1626" s="78"/>
      <c r="AK1626" s="78"/>
      <c r="AL1626" s="78"/>
      <c r="AM1626" s="78"/>
      <c r="AN1626" s="78"/>
      <c r="AO1626" s="78"/>
      <c r="AP1626" s="78"/>
      <c r="AQ1626" s="78"/>
      <c r="AR1626" s="78"/>
      <c r="AS1626" s="78"/>
      <c r="AT1626" s="78"/>
      <c r="AU1626" s="78"/>
      <c r="AV1626" s="78"/>
      <c r="AW1626" s="78"/>
      <c r="AX1626" s="78"/>
      <c r="AY1626" s="3"/>
      <c r="AZ1626" s="81"/>
      <c r="BB1626" s="5"/>
      <c r="BC1626" s="5"/>
    </row>
    <row r="1627" spans="1:55" x14ac:dyDescent="0.25">
      <c r="A1627" s="51">
        <v>43552</v>
      </c>
      <c r="B1627" s="54"/>
      <c r="C1627" s="55"/>
      <c r="D1627" s="55"/>
      <c r="E1627" s="55"/>
      <c r="F1627" s="55"/>
      <c r="G1627" s="55"/>
      <c r="H1627" s="55"/>
      <c r="I1627" s="55"/>
      <c r="J1627" s="55"/>
      <c r="K1627" s="55"/>
      <c r="L1627" s="55"/>
      <c r="M1627" s="55"/>
      <c r="N1627" s="55"/>
      <c r="O1627" s="55"/>
      <c r="P1627" s="56"/>
      <c r="AI1627" s="49"/>
      <c r="AJ1627" s="78"/>
      <c r="AK1627" s="78"/>
      <c r="AL1627" s="78"/>
      <c r="AM1627" s="78"/>
      <c r="AN1627" s="78"/>
      <c r="AO1627" s="78"/>
      <c r="AP1627" s="78"/>
      <c r="AQ1627" s="78"/>
      <c r="AR1627" s="78"/>
      <c r="AS1627" s="78"/>
      <c r="AT1627" s="78"/>
      <c r="AU1627" s="78"/>
      <c r="AV1627" s="78"/>
      <c r="AW1627" s="78"/>
      <c r="AX1627" s="78"/>
      <c r="AY1627" s="3"/>
      <c r="AZ1627" s="81"/>
      <c r="BB1627" s="5"/>
      <c r="BC1627" s="5"/>
    </row>
    <row r="1628" spans="1:55" x14ac:dyDescent="0.25">
      <c r="A1628" s="51">
        <v>43553</v>
      </c>
      <c r="B1628" s="54"/>
      <c r="C1628" s="55"/>
      <c r="D1628" s="55"/>
      <c r="E1628" s="55"/>
      <c r="F1628" s="55"/>
      <c r="G1628" s="55"/>
      <c r="H1628" s="55"/>
      <c r="I1628" s="55"/>
      <c r="J1628" s="55"/>
      <c r="K1628" s="55"/>
      <c r="L1628" s="55"/>
      <c r="M1628" s="55"/>
      <c r="N1628" s="55"/>
      <c r="O1628" s="55"/>
      <c r="P1628" s="56"/>
      <c r="AI1628" s="49"/>
      <c r="AJ1628" s="78"/>
      <c r="AK1628" s="78"/>
      <c r="AL1628" s="78"/>
      <c r="AM1628" s="78"/>
      <c r="AN1628" s="78"/>
      <c r="AO1628" s="78"/>
      <c r="AP1628" s="78"/>
      <c r="AQ1628" s="78"/>
      <c r="AR1628" s="78"/>
      <c r="AS1628" s="78"/>
      <c r="AT1628" s="78"/>
      <c r="AU1628" s="78"/>
      <c r="AV1628" s="78"/>
      <c r="AW1628" s="78"/>
      <c r="AX1628" s="78"/>
      <c r="AY1628" s="3"/>
      <c r="AZ1628" s="81"/>
      <c r="BB1628" s="5"/>
      <c r="BC1628" s="5"/>
    </row>
    <row r="1629" spans="1:55" x14ac:dyDescent="0.25">
      <c r="A1629" s="51">
        <v>43556</v>
      </c>
      <c r="B1629" s="54"/>
      <c r="C1629" s="55"/>
      <c r="D1629" s="55"/>
      <c r="E1629" s="55"/>
      <c r="F1629" s="55"/>
      <c r="G1629" s="55"/>
      <c r="H1629" s="55"/>
      <c r="I1629" s="55"/>
      <c r="J1629" s="55"/>
      <c r="K1629" s="55"/>
      <c r="L1629" s="55"/>
      <c r="M1629" s="55"/>
      <c r="N1629" s="55"/>
      <c r="O1629" s="55"/>
      <c r="P1629" s="56"/>
      <c r="AI1629" s="49"/>
      <c r="AJ1629" s="78"/>
      <c r="AK1629" s="78"/>
      <c r="AL1629" s="78"/>
      <c r="AM1629" s="78"/>
      <c r="AN1629" s="78"/>
      <c r="AO1629" s="78"/>
      <c r="AP1629" s="78"/>
      <c r="AQ1629" s="78"/>
      <c r="AR1629" s="78"/>
      <c r="AS1629" s="78"/>
      <c r="AT1629" s="78"/>
      <c r="AU1629" s="78"/>
      <c r="AV1629" s="78"/>
      <c r="AW1629" s="78"/>
      <c r="AX1629" s="78"/>
      <c r="AY1629" s="3"/>
      <c r="AZ1629" s="81"/>
      <c r="BB1629" s="5"/>
      <c r="BC1629" s="5"/>
    </row>
    <row r="1630" spans="1:55" x14ac:dyDescent="0.25">
      <c r="A1630" s="51">
        <v>43557</v>
      </c>
      <c r="B1630" s="54"/>
      <c r="C1630" s="55"/>
      <c r="D1630" s="55"/>
      <c r="E1630" s="55"/>
      <c r="F1630" s="55"/>
      <c r="G1630" s="55"/>
      <c r="H1630" s="55"/>
      <c r="I1630" s="55"/>
      <c r="J1630" s="55"/>
      <c r="K1630" s="55"/>
      <c r="L1630" s="55"/>
      <c r="M1630" s="55"/>
      <c r="N1630" s="55"/>
      <c r="O1630" s="55"/>
      <c r="P1630" s="56"/>
      <c r="AI1630" s="49"/>
      <c r="AJ1630" s="78"/>
      <c r="AK1630" s="78"/>
      <c r="AL1630" s="78"/>
      <c r="AM1630" s="78"/>
      <c r="AN1630" s="78"/>
      <c r="AO1630" s="78"/>
      <c r="AP1630" s="78"/>
      <c r="AQ1630" s="78"/>
      <c r="AR1630" s="78"/>
      <c r="AS1630" s="78"/>
      <c r="AT1630" s="78"/>
      <c r="AU1630" s="78"/>
      <c r="AV1630" s="78"/>
      <c r="AW1630" s="78"/>
      <c r="AX1630" s="78"/>
      <c r="AY1630" s="3"/>
      <c r="AZ1630" s="81"/>
      <c r="BB1630" s="5"/>
      <c r="BC1630" s="5"/>
    </row>
    <row r="1631" spans="1:55" x14ac:dyDescent="0.25">
      <c r="A1631" s="51">
        <v>43558</v>
      </c>
      <c r="B1631" s="54"/>
      <c r="C1631" s="55"/>
      <c r="D1631" s="55"/>
      <c r="E1631" s="55"/>
      <c r="F1631" s="55"/>
      <c r="G1631" s="55"/>
      <c r="H1631" s="55"/>
      <c r="I1631" s="55"/>
      <c r="J1631" s="55"/>
      <c r="K1631" s="55"/>
      <c r="L1631" s="55"/>
      <c r="M1631" s="55"/>
      <c r="N1631" s="55"/>
      <c r="O1631" s="55"/>
      <c r="P1631" s="56"/>
      <c r="AI1631" s="49"/>
      <c r="AJ1631" s="78"/>
      <c r="AK1631" s="78"/>
      <c r="AL1631" s="78"/>
      <c r="AM1631" s="78"/>
      <c r="AN1631" s="78"/>
      <c r="AO1631" s="78"/>
      <c r="AP1631" s="78"/>
      <c r="AQ1631" s="78"/>
      <c r="AR1631" s="78"/>
      <c r="AS1631" s="78"/>
      <c r="AT1631" s="78"/>
      <c r="AU1631" s="78"/>
      <c r="AV1631" s="78"/>
      <c r="AW1631" s="78"/>
      <c r="AX1631" s="78"/>
      <c r="AY1631" s="3"/>
      <c r="AZ1631" s="81"/>
      <c r="BB1631" s="5"/>
      <c r="BC1631" s="5"/>
    </row>
    <row r="1632" spans="1:55" x14ac:dyDescent="0.25">
      <c r="A1632" s="51">
        <v>43559</v>
      </c>
      <c r="B1632" s="54"/>
      <c r="C1632" s="55"/>
      <c r="D1632" s="55"/>
      <c r="E1632" s="55"/>
      <c r="F1632" s="55"/>
      <c r="G1632" s="55"/>
      <c r="H1632" s="55"/>
      <c r="I1632" s="55"/>
      <c r="J1632" s="55"/>
      <c r="K1632" s="55"/>
      <c r="L1632" s="55"/>
      <c r="M1632" s="55"/>
      <c r="N1632" s="55"/>
      <c r="O1632" s="55"/>
      <c r="P1632" s="56"/>
      <c r="AI1632" s="49"/>
      <c r="AJ1632" s="78"/>
      <c r="AK1632" s="78"/>
      <c r="AL1632" s="78"/>
      <c r="AM1632" s="78"/>
      <c r="AN1632" s="78"/>
      <c r="AO1632" s="78"/>
      <c r="AP1632" s="78"/>
      <c r="AQ1632" s="78"/>
      <c r="AR1632" s="78"/>
      <c r="AS1632" s="78"/>
      <c r="AT1632" s="78"/>
      <c r="AU1632" s="78"/>
      <c r="AV1632" s="78"/>
      <c r="AW1632" s="78"/>
      <c r="AX1632" s="78"/>
      <c r="AY1632" s="3"/>
      <c r="AZ1632" s="81"/>
      <c r="BB1632" s="5"/>
      <c r="BC1632" s="5"/>
    </row>
    <row r="1633" spans="1:55" x14ac:dyDescent="0.25">
      <c r="A1633" s="51">
        <v>43560</v>
      </c>
      <c r="B1633" s="54"/>
      <c r="C1633" s="55"/>
      <c r="D1633" s="55"/>
      <c r="E1633" s="55"/>
      <c r="F1633" s="55"/>
      <c r="G1633" s="55"/>
      <c r="H1633" s="55"/>
      <c r="I1633" s="55"/>
      <c r="J1633" s="55"/>
      <c r="K1633" s="55"/>
      <c r="L1633" s="55"/>
      <c r="M1633" s="55"/>
      <c r="N1633" s="55"/>
      <c r="O1633" s="55"/>
      <c r="P1633" s="56"/>
      <c r="AI1633" s="49"/>
      <c r="AJ1633" s="78"/>
      <c r="AK1633" s="78"/>
      <c r="AL1633" s="78"/>
      <c r="AM1633" s="78"/>
      <c r="AN1633" s="78"/>
      <c r="AO1633" s="78"/>
      <c r="AP1633" s="78"/>
      <c r="AQ1633" s="78"/>
      <c r="AR1633" s="78"/>
      <c r="AS1633" s="78"/>
      <c r="AT1633" s="78"/>
      <c r="AU1633" s="78"/>
      <c r="AV1633" s="78"/>
      <c r="AW1633" s="78"/>
      <c r="AX1633" s="78"/>
      <c r="AY1633" s="3"/>
      <c r="AZ1633" s="81"/>
      <c r="BB1633" s="5"/>
      <c r="BC1633" s="5"/>
    </row>
    <row r="1634" spans="1:55" x14ac:dyDescent="0.25">
      <c r="A1634" s="51">
        <v>43563</v>
      </c>
      <c r="B1634" s="54"/>
      <c r="C1634" s="55"/>
      <c r="D1634" s="55"/>
      <c r="E1634" s="55"/>
      <c r="F1634" s="55"/>
      <c r="G1634" s="55"/>
      <c r="H1634" s="55"/>
      <c r="I1634" s="55"/>
      <c r="J1634" s="55"/>
      <c r="K1634" s="55"/>
      <c r="L1634" s="55"/>
      <c r="M1634" s="55"/>
      <c r="N1634" s="55"/>
      <c r="O1634" s="55"/>
      <c r="P1634" s="56"/>
      <c r="AI1634" s="49"/>
      <c r="AJ1634" s="78"/>
      <c r="AK1634" s="78"/>
      <c r="AL1634" s="78"/>
      <c r="AM1634" s="78"/>
      <c r="AN1634" s="78"/>
      <c r="AO1634" s="78"/>
      <c r="AP1634" s="78"/>
      <c r="AQ1634" s="78"/>
      <c r="AR1634" s="78"/>
      <c r="AS1634" s="78"/>
      <c r="AT1634" s="78"/>
      <c r="AU1634" s="78"/>
      <c r="AV1634" s="78"/>
      <c r="AW1634" s="78"/>
      <c r="AX1634" s="78"/>
      <c r="AY1634" s="3"/>
      <c r="AZ1634" s="81"/>
      <c r="BB1634" s="5"/>
      <c r="BC1634" s="5"/>
    </row>
    <row r="1635" spans="1:55" x14ac:dyDescent="0.25">
      <c r="A1635" s="51">
        <v>43564</v>
      </c>
      <c r="B1635" s="54"/>
      <c r="C1635" s="55"/>
      <c r="D1635" s="55"/>
      <c r="E1635" s="55"/>
      <c r="F1635" s="55"/>
      <c r="G1635" s="55"/>
      <c r="H1635" s="55"/>
      <c r="I1635" s="55"/>
      <c r="J1635" s="55"/>
      <c r="K1635" s="55"/>
      <c r="L1635" s="55"/>
      <c r="M1635" s="55"/>
      <c r="N1635" s="55"/>
      <c r="O1635" s="55"/>
      <c r="P1635" s="56"/>
      <c r="AI1635" s="49"/>
      <c r="AJ1635" s="78"/>
      <c r="AK1635" s="78"/>
      <c r="AL1635" s="78"/>
      <c r="AM1635" s="78"/>
      <c r="AN1635" s="78"/>
      <c r="AO1635" s="78"/>
      <c r="AP1635" s="78"/>
      <c r="AQ1635" s="78"/>
      <c r="AR1635" s="78"/>
      <c r="AS1635" s="78"/>
      <c r="AT1635" s="78"/>
      <c r="AU1635" s="78"/>
      <c r="AV1635" s="78"/>
      <c r="AW1635" s="78"/>
      <c r="AX1635" s="78"/>
      <c r="AY1635" s="3"/>
      <c r="AZ1635" s="81"/>
      <c r="BB1635" s="5"/>
      <c r="BC1635" s="5"/>
    </row>
    <row r="1636" spans="1:55" x14ac:dyDescent="0.25">
      <c r="A1636" s="51">
        <v>43565</v>
      </c>
      <c r="B1636" s="54"/>
      <c r="C1636" s="55"/>
      <c r="D1636" s="55"/>
      <c r="E1636" s="55"/>
      <c r="F1636" s="55"/>
      <c r="G1636" s="55"/>
      <c r="H1636" s="55"/>
      <c r="I1636" s="55"/>
      <c r="J1636" s="55"/>
      <c r="K1636" s="55"/>
      <c r="L1636" s="55"/>
      <c r="M1636" s="55"/>
      <c r="N1636" s="55"/>
      <c r="O1636" s="55"/>
      <c r="P1636" s="56"/>
      <c r="AI1636" s="49"/>
      <c r="AJ1636" s="78"/>
      <c r="AK1636" s="78"/>
      <c r="AL1636" s="78"/>
      <c r="AM1636" s="78"/>
      <c r="AN1636" s="78"/>
      <c r="AO1636" s="78"/>
      <c r="AP1636" s="78"/>
      <c r="AQ1636" s="78"/>
      <c r="AR1636" s="78"/>
      <c r="AS1636" s="78"/>
      <c r="AT1636" s="78"/>
      <c r="AU1636" s="78"/>
      <c r="AV1636" s="78"/>
      <c r="AW1636" s="78"/>
      <c r="AX1636" s="78"/>
      <c r="AY1636" s="3"/>
      <c r="AZ1636" s="81"/>
      <c r="BB1636" s="5"/>
      <c r="BC1636" s="5"/>
    </row>
    <row r="1637" spans="1:55" x14ac:dyDescent="0.25">
      <c r="A1637" s="51">
        <v>43566</v>
      </c>
      <c r="B1637" s="54"/>
      <c r="C1637" s="55"/>
      <c r="D1637" s="55"/>
      <c r="E1637" s="55"/>
      <c r="F1637" s="55"/>
      <c r="G1637" s="55"/>
      <c r="H1637" s="55"/>
      <c r="I1637" s="55"/>
      <c r="J1637" s="55"/>
      <c r="K1637" s="55"/>
      <c r="L1637" s="55"/>
      <c r="M1637" s="55"/>
      <c r="N1637" s="55"/>
      <c r="O1637" s="55"/>
      <c r="P1637" s="56"/>
      <c r="AI1637" s="49"/>
      <c r="AJ1637" s="78"/>
      <c r="AK1637" s="78"/>
      <c r="AL1637" s="78"/>
      <c r="AM1637" s="78"/>
      <c r="AN1637" s="78"/>
      <c r="AO1637" s="78"/>
      <c r="AP1637" s="78"/>
      <c r="AQ1637" s="78"/>
      <c r="AR1637" s="78"/>
      <c r="AS1637" s="78"/>
      <c r="AT1637" s="78"/>
      <c r="AU1637" s="78"/>
      <c r="AV1637" s="78"/>
      <c r="AW1637" s="78"/>
      <c r="AX1637" s="78"/>
      <c r="AY1637" s="3"/>
      <c r="AZ1637" s="81"/>
      <c r="BB1637" s="5"/>
      <c r="BC1637" s="5"/>
    </row>
    <row r="1638" spans="1:55" x14ac:dyDescent="0.25">
      <c r="A1638" s="51">
        <v>43567</v>
      </c>
      <c r="B1638" s="54"/>
      <c r="C1638" s="55"/>
      <c r="D1638" s="55"/>
      <c r="E1638" s="55"/>
      <c r="F1638" s="55"/>
      <c r="G1638" s="55"/>
      <c r="H1638" s="55"/>
      <c r="I1638" s="55"/>
      <c r="J1638" s="55"/>
      <c r="K1638" s="55"/>
      <c r="L1638" s="55"/>
      <c r="M1638" s="55"/>
      <c r="N1638" s="55"/>
      <c r="O1638" s="55"/>
      <c r="P1638" s="56"/>
      <c r="AI1638" s="49"/>
      <c r="AJ1638" s="78"/>
      <c r="AK1638" s="78"/>
      <c r="AL1638" s="78"/>
      <c r="AM1638" s="78"/>
      <c r="AN1638" s="78"/>
      <c r="AO1638" s="78"/>
      <c r="AP1638" s="78"/>
      <c r="AQ1638" s="78"/>
      <c r="AR1638" s="78"/>
      <c r="AS1638" s="78"/>
      <c r="AT1638" s="78"/>
      <c r="AU1638" s="78"/>
      <c r="AV1638" s="78"/>
      <c r="AW1638" s="78"/>
      <c r="AX1638" s="78"/>
      <c r="AY1638" s="3"/>
      <c r="AZ1638" s="81"/>
      <c r="BB1638" s="5"/>
      <c r="BC1638" s="5"/>
    </row>
    <row r="1639" spans="1:55" x14ac:dyDescent="0.25">
      <c r="A1639" s="51">
        <v>43570</v>
      </c>
      <c r="B1639" s="54"/>
      <c r="C1639" s="55"/>
      <c r="D1639" s="55"/>
      <c r="E1639" s="55"/>
      <c r="F1639" s="55"/>
      <c r="G1639" s="55"/>
      <c r="H1639" s="55"/>
      <c r="I1639" s="55"/>
      <c r="J1639" s="55"/>
      <c r="K1639" s="55"/>
      <c r="L1639" s="55"/>
      <c r="M1639" s="55"/>
      <c r="N1639" s="55"/>
      <c r="O1639" s="55"/>
      <c r="P1639" s="56"/>
      <c r="AI1639" s="49"/>
      <c r="AJ1639" s="78"/>
      <c r="AK1639" s="78"/>
      <c r="AL1639" s="78"/>
      <c r="AM1639" s="78"/>
      <c r="AN1639" s="78"/>
      <c r="AO1639" s="78"/>
      <c r="AP1639" s="78"/>
      <c r="AQ1639" s="78"/>
      <c r="AR1639" s="78"/>
      <c r="AS1639" s="78"/>
      <c r="AT1639" s="78"/>
      <c r="AU1639" s="78"/>
      <c r="AV1639" s="78"/>
      <c r="AW1639" s="78"/>
      <c r="AX1639" s="78"/>
      <c r="AY1639" s="3"/>
      <c r="AZ1639" s="81"/>
      <c r="BB1639" s="5"/>
      <c r="BC1639" s="5"/>
    </row>
    <row r="1640" spans="1:55" x14ac:dyDescent="0.25">
      <c r="A1640" s="51">
        <v>43571</v>
      </c>
      <c r="B1640" s="54"/>
      <c r="C1640" s="55"/>
      <c r="D1640" s="55"/>
      <c r="E1640" s="55"/>
      <c r="F1640" s="55"/>
      <c r="G1640" s="55"/>
      <c r="H1640" s="55"/>
      <c r="I1640" s="55"/>
      <c r="J1640" s="55"/>
      <c r="K1640" s="55"/>
      <c r="L1640" s="55"/>
      <c r="M1640" s="55"/>
      <c r="N1640" s="55"/>
      <c r="O1640" s="55"/>
      <c r="P1640" s="56"/>
      <c r="AI1640" s="49"/>
      <c r="AJ1640" s="78"/>
      <c r="AK1640" s="78"/>
      <c r="AL1640" s="78"/>
      <c r="AM1640" s="78"/>
      <c r="AN1640" s="78"/>
      <c r="AO1640" s="78"/>
      <c r="AP1640" s="78"/>
      <c r="AQ1640" s="78"/>
      <c r="AR1640" s="78"/>
      <c r="AS1640" s="78"/>
      <c r="AT1640" s="78"/>
      <c r="AU1640" s="78"/>
      <c r="AV1640" s="78"/>
      <c r="AW1640" s="78"/>
      <c r="AX1640" s="78"/>
      <c r="AY1640" s="3"/>
      <c r="AZ1640" s="81"/>
      <c r="BB1640" s="5"/>
      <c r="BC1640" s="5"/>
    </row>
    <row r="1641" spans="1:55" x14ac:dyDescent="0.25">
      <c r="A1641" s="51">
        <v>43572</v>
      </c>
      <c r="B1641" s="54"/>
      <c r="C1641" s="55"/>
      <c r="D1641" s="55"/>
      <c r="E1641" s="55"/>
      <c r="F1641" s="55"/>
      <c r="G1641" s="55"/>
      <c r="H1641" s="55"/>
      <c r="I1641" s="55"/>
      <c r="J1641" s="55"/>
      <c r="K1641" s="55"/>
      <c r="L1641" s="55"/>
      <c r="M1641" s="55"/>
      <c r="N1641" s="55"/>
      <c r="O1641" s="55"/>
      <c r="P1641" s="56"/>
      <c r="AI1641" s="49"/>
      <c r="AJ1641" s="78"/>
      <c r="AK1641" s="78"/>
      <c r="AL1641" s="78"/>
      <c r="AM1641" s="78"/>
      <c r="AN1641" s="78"/>
      <c r="AO1641" s="78"/>
      <c r="AP1641" s="78"/>
      <c r="AQ1641" s="78"/>
      <c r="AR1641" s="78"/>
      <c r="AS1641" s="78"/>
      <c r="AT1641" s="78"/>
      <c r="AU1641" s="78"/>
      <c r="AV1641" s="78"/>
      <c r="AW1641" s="78"/>
      <c r="AX1641" s="78"/>
      <c r="AY1641" s="3"/>
      <c r="AZ1641" s="81"/>
      <c r="BB1641" s="5"/>
      <c r="BC1641" s="5"/>
    </row>
    <row r="1642" spans="1:55" x14ac:dyDescent="0.25">
      <c r="A1642" s="51">
        <v>43577</v>
      </c>
      <c r="B1642" s="54"/>
      <c r="C1642" s="55"/>
      <c r="D1642" s="55"/>
      <c r="E1642" s="55"/>
      <c r="F1642" s="55"/>
      <c r="G1642" s="55"/>
      <c r="H1642" s="55"/>
      <c r="I1642" s="55"/>
      <c r="J1642" s="55"/>
      <c r="K1642" s="55"/>
      <c r="L1642" s="55"/>
      <c r="M1642" s="55"/>
      <c r="N1642" s="55"/>
      <c r="O1642" s="55"/>
      <c r="P1642" s="56"/>
      <c r="AI1642" s="49"/>
      <c r="AJ1642" s="78"/>
      <c r="AK1642" s="78"/>
      <c r="AL1642" s="78"/>
      <c r="AM1642" s="78"/>
      <c r="AN1642" s="78"/>
      <c r="AO1642" s="78"/>
      <c r="AP1642" s="78"/>
      <c r="AQ1642" s="78"/>
      <c r="AR1642" s="78"/>
      <c r="AS1642" s="78"/>
      <c r="AT1642" s="78"/>
      <c r="AU1642" s="78"/>
      <c r="AV1642" s="78"/>
      <c r="AW1642" s="78"/>
      <c r="AX1642" s="78"/>
      <c r="AY1642" s="3"/>
      <c r="AZ1642" s="81"/>
      <c r="BB1642" s="5"/>
      <c r="BC1642" s="5"/>
    </row>
    <row r="1643" spans="1:55" x14ac:dyDescent="0.25">
      <c r="A1643" s="51">
        <v>43578</v>
      </c>
      <c r="B1643" s="54"/>
      <c r="C1643" s="55"/>
      <c r="D1643" s="55"/>
      <c r="E1643" s="55"/>
      <c r="F1643" s="55"/>
      <c r="G1643" s="55"/>
      <c r="H1643" s="55"/>
      <c r="I1643" s="55"/>
      <c r="J1643" s="55"/>
      <c r="K1643" s="55"/>
      <c r="L1643" s="55"/>
      <c r="M1643" s="55"/>
      <c r="N1643" s="55"/>
      <c r="O1643" s="55"/>
      <c r="P1643" s="56"/>
      <c r="AI1643" s="49"/>
      <c r="AJ1643" s="78"/>
      <c r="AK1643" s="78"/>
      <c r="AL1643" s="78"/>
      <c r="AM1643" s="78"/>
      <c r="AN1643" s="78"/>
      <c r="AO1643" s="78"/>
      <c r="AP1643" s="78"/>
      <c r="AQ1643" s="78"/>
      <c r="AR1643" s="78"/>
      <c r="AS1643" s="78"/>
      <c r="AT1643" s="78"/>
      <c r="AU1643" s="78"/>
      <c r="AV1643" s="78"/>
      <c r="AW1643" s="78"/>
      <c r="AX1643" s="78"/>
      <c r="AY1643" s="3"/>
      <c r="AZ1643" s="81"/>
      <c r="BB1643" s="5"/>
      <c r="BC1643" s="5"/>
    </row>
    <row r="1644" spans="1:55" x14ac:dyDescent="0.25">
      <c r="A1644" s="51">
        <v>43579</v>
      </c>
      <c r="B1644" s="54"/>
      <c r="C1644" s="55"/>
      <c r="D1644" s="55"/>
      <c r="E1644" s="55"/>
      <c r="F1644" s="55"/>
      <c r="G1644" s="55"/>
      <c r="H1644" s="55"/>
      <c r="I1644" s="55"/>
      <c r="J1644" s="55"/>
      <c r="K1644" s="55"/>
      <c r="L1644" s="55"/>
      <c r="M1644" s="55"/>
      <c r="N1644" s="55"/>
      <c r="O1644" s="55"/>
      <c r="P1644" s="56"/>
      <c r="AI1644" s="49"/>
      <c r="AJ1644" s="78"/>
      <c r="AK1644" s="78"/>
      <c r="AL1644" s="78"/>
      <c r="AM1644" s="78"/>
      <c r="AN1644" s="78"/>
      <c r="AO1644" s="78"/>
      <c r="AP1644" s="78"/>
      <c r="AQ1644" s="78"/>
      <c r="AR1644" s="78"/>
      <c r="AS1644" s="78"/>
      <c r="AT1644" s="78"/>
      <c r="AU1644" s="78"/>
      <c r="AV1644" s="78"/>
      <c r="AW1644" s="78"/>
      <c r="AX1644" s="78"/>
      <c r="AY1644" s="3"/>
      <c r="AZ1644" s="81"/>
      <c r="BB1644" s="5"/>
      <c r="BC1644" s="5"/>
    </row>
    <row r="1645" spans="1:55" x14ac:dyDescent="0.25">
      <c r="A1645" s="51">
        <v>43580</v>
      </c>
      <c r="B1645" s="54"/>
      <c r="C1645" s="55"/>
      <c r="D1645" s="55"/>
      <c r="E1645" s="55"/>
      <c r="F1645" s="55"/>
      <c r="G1645" s="55"/>
      <c r="H1645" s="55"/>
      <c r="I1645" s="55"/>
      <c r="J1645" s="55"/>
      <c r="K1645" s="55"/>
      <c r="L1645" s="55"/>
      <c r="M1645" s="55"/>
      <c r="N1645" s="55"/>
      <c r="O1645" s="55"/>
      <c r="P1645" s="56"/>
      <c r="AI1645" s="49"/>
      <c r="AJ1645" s="78"/>
      <c r="AK1645" s="78"/>
      <c r="AL1645" s="78"/>
      <c r="AM1645" s="78"/>
      <c r="AN1645" s="78"/>
      <c r="AO1645" s="78"/>
      <c r="AP1645" s="78"/>
      <c r="AQ1645" s="78"/>
      <c r="AR1645" s="78"/>
      <c r="AS1645" s="78"/>
      <c r="AT1645" s="78"/>
      <c r="AU1645" s="78"/>
      <c r="AV1645" s="78"/>
      <c r="AW1645" s="78"/>
      <c r="AX1645" s="78"/>
      <c r="AY1645" s="3"/>
      <c r="AZ1645" s="81"/>
      <c r="BB1645" s="5"/>
      <c r="BC1645" s="5"/>
    </row>
    <row r="1646" spans="1:55" x14ac:dyDescent="0.25">
      <c r="A1646" s="51">
        <v>43581</v>
      </c>
      <c r="B1646" s="54"/>
      <c r="C1646" s="55"/>
      <c r="D1646" s="55"/>
      <c r="E1646" s="55"/>
      <c r="F1646" s="55"/>
      <c r="G1646" s="55"/>
      <c r="H1646" s="55"/>
      <c r="I1646" s="55"/>
      <c r="J1646" s="55"/>
      <c r="K1646" s="55"/>
      <c r="L1646" s="55"/>
      <c r="M1646" s="55"/>
      <c r="N1646" s="55"/>
      <c r="O1646" s="55"/>
      <c r="P1646" s="56"/>
      <c r="AI1646" s="49"/>
      <c r="AJ1646" s="78"/>
      <c r="AK1646" s="78"/>
      <c r="AL1646" s="78"/>
      <c r="AM1646" s="78"/>
      <c r="AN1646" s="78"/>
      <c r="AO1646" s="78"/>
      <c r="AP1646" s="78"/>
      <c r="AQ1646" s="78"/>
      <c r="AR1646" s="78"/>
      <c r="AS1646" s="78"/>
      <c r="AT1646" s="78"/>
      <c r="AU1646" s="78"/>
      <c r="AV1646" s="78"/>
      <c r="AW1646" s="78"/>
      <c r="AX1646" s="78"/>
      <c r="AY1646" s="3"/>
      <c r="AZ1646" s="81"/>
      <c r="BB1646" s="5"/>
      <c r="BC1646" s="5"/>
    </row>
    <row r="1647" spans="1:55" x14ac:dyDescent="0.25">
      <c r="A1647" s="51">
        <v>43584</v>
      </c>
      <c r="B1647" s="54"/>
      <c r="C1647" s="55"/>
      <c r="D1647" s="55"/>
      <c r="E1647" s="55"/>
      <c r="F1647" s="55"/>
      <c r="G1647" s="55"/>
      <c r="H1647" s="55"/>
      <c r="I1647" s="55"/>
      <c r="J1647" s="55"/>
      <c r="K1647" s="55"/>
      <c r="L1647" s="55"/>
      <c r="M1647" s="55"/>
      <c r="N1647" s="55"/>
      <c r="O1647" s="55"/>
      <c r="P1647" s="56"/>
      <c r="AI1647" s="49"/>
      <c r="AJ1647" s="78"/>
      <c r="AK1647" s="78"/>
      <c r="AL1647" s="78"/>
      <c r="AM1647" s="78"/>
      <c r="AN1647" s="78"/>
      <c r="AO1647" s="78"/>
      <c r="AP1647" s="78"/>
      <c r="AQ1647" s="78"/>
      <c r="AR1647" s="78"/>
      <c r="AS1647" s="78"/>
      <c r="AT1647" s="78"/>
      <c r="AU1647" s="78"/>
      <c r="AV1647" s="78"/>
      <c r="AW1647" s="78"/>
      <c r="AX1647" s="78"/>
      <c r="AY1647" s="3"/>
      <c r="AZ1647" s="81"/>
      <c r="BB1647" s="5"/>
      <c r="BC1647" s="5"/>
    </row>
    <row r="1648" spans="1:55" x14ac:dyDescent="0.25">
      <c r="A1648" s="51">
        <v>43585</v>
      </c>
      <c r="B1648" s="54"/>
      <c r="C1648" s="55"/>
      <c r="D1648" s="55"/>
      <c r="E1648" s="55"/>
      <c r="F1648" s="55"/>
      <c r="G1648" s="55"/>
      <c r="H1648" s="55"/>
      <c r="I1648" s="55"/>
      <c r="J1648" s="55"/>
      <c r="K1648" s="55"/>
      <c r="L1648" s="55"/>
      <c r="M1648" s="55"/>
      <c r="N1648" s="55"/>
      <c r="O1648" s="55"/>
      <c r="P1648" s="56"/>
      <c r="AI1648" s="49"/>
      <c r="AJ1648" s="78"/>
      <c r="AK1648" s="78"/>
      <c r="AL1648" s="78"/>
      <c r="AM1648" s="78"/>
      <c r="AN1648" s="78"/>
      <c r="AO1648" s="78"/>
      <c r="AP1648" s="78"/>
      <c r="AQ1648" s="78"/>
      <c r="AR1648" s="78"/>
      <c r="AS1648" s="78"/>
      <c r="AT1648" s="78"/>
      <c r="AU1648" s="78"/>
      <c r="AV1648" s="78"/>
      <c r="AW1648" s="78"/>
      <c r="AX1648" s="78"/>
      <c r="AY1648" s="3"/>
      <c r="AZ1648" s="81"/>
      <c r="BB1648" s="5"/>
      <c r="BC1648" s="5"/>
    </row>
    <row r="1649" spans="1:55" x14ac:dyDescent="0.25">
      <c r="A1649" s="51">
        <v>43587</v>
      </c>
      <c r="B1649" s="54"/>
      <c r="C1649" s="55"/>
      <c r="D1649" s="55"/>
      <c r="E1649" s="55"/>
      <c r="F1649" s="55"/>
      <c r="G1649" s="55"/>
      <c r="H1649" s="55"/>
      <c r="I1649" s="55"/>
      <c r="J1649" s="55"/>
      <c r="K1649" s="55"/>
      <c r="L1649" s="55"/>
      <c r="M1649" s="55"/>
      <c r="N1649" s="55"/>
      <c r="O1649" s="55"/>
      <c r="P1649" s="56"/>
      <c r="AI1649" s="49"/>
      <c r="AJ1649" s="78"/>
      <c r="AK1649" s="78"/>
      <c r="AL1649" s="78"/>
      <c r="AM1649" s="78"/>
      <c r="AN1649" s="78"/>
      <c r="AO1649" s="78"/>
      <c r="AP1649" s="78"/>
      <c r="AQ1649" s="78"/>
      <c r="AR1649" s="78"/>
      <c r="AS1649" s="78"/>
      <c r="AT1649" s="78"/>
      <c r="AU1649" s="78"/>
      <c r="AV1649" s="78"/>
      <c r="AW1649" s="78"/>
      <c r="AX1649" s="78"/>
      <c r="AY1649" s="3"/>
      <c r="AZ1649" s="81"/>
      <c r="BB1649" s="5"/>
      <c r="BC1649" s="5"/>
    </row>
    <row r="1650" spans="1:55" x14ac:dyDescent="0.25">
      <c r="A1650" s="51">
        <v>43588</v>
      </c>
      <c r="B1650" s="54"/>
      <c r="C1650" s="55"/>
      <c r="D1650" s="55"/>
      <c r="E1650" s="55"/>
      <c r="F1650" s="55"/>
      <c r="G1650" s="55"/>
      <c r="H1650" s="55"/>
      <c r="I1650" s="55"/>
      <c r="J1650" s="55"/>
      <c r="K1650" s="55"/>
      <c r="L1650" s="55"/>
      <c r="M1650" s="55"/>
      <c r="N1650" s="55"/>
      <c r="O1650" s="55"/>
      <c r="P1650" s="56"/>
      <c r="AI1650" s="49"/>
      <c r="AJ1650" s="78"/>
      <c r="AK1650" s="78"/>
      <c r="AL1650" s="78"/>
      <c r="AM1650" s="78"/>
      <c r="AN1650" s="78"/>
      <c r="AO1650" s="78"/>
      <c r="AP1650" s="78"/>
      <c r="AQ1650" s="78"/>
      <c r="AR1650" s="78"/>
      <c r="AS1650" s="78"/>
      <c r="AT1650" s="78"/>
      <c r="AU1650" s="78"/>
      <c r="AV1650" s="78"/>
      <c r="AW1650" s="78"/>
      <c r="AX1650" s="78"/>
      <c r="AY1650" s="3"/>
      <c r="AZ1650" s="81"/>
      <c r="BB1650" s="5"/>
      <c r="BC1650" s="5"/>
    </row>
    <row r="1651" spans="1:55" x14ac:dyDescent="0.25">
      <c r="A1651" s="51">
        <v>43591</v>
      </c>
      <c r="B1651" s="54"/>
      <c r="C1651" s="55"/>
      <c r="D1651" s="55"/>
      <c r="E1651" s="55"/>
      <c r="F1651" s="55"/>
      <c r="G1651" s="55"/>
      <c r="H1651" s="55"/>
      <c r="I1651" s="55"/>
      <c r="J1651" s="55"/>
      <c r="K1651" s="55"/>
      <c r="L1651" s="55"/>
      <c r="M1651" s="55"/>
      <c r="N1651" s="55"/>
      <c r="O1651" s="55"/>
      <c r="P1651" s="56"/>
      <c r="AI1651" s="49"/>
      <c r="AJ1651" s="78"/>
      <c r="AK1651" s="78"/>
      <c r="AL1651" s="78"/>
      <c r="AM1651" s="78"/>
      <c r="AN1651" s="78"/>
      <c r="AO1651" s="78"/>
      <c r="AP1651" s="78"/>
      <c r="AQ1651" s="78"/>
      <c r="AR1651" s="78"/>
      <c r="AS1651" s="78"/>
      <c r="AT1651" s="78"/>
      <c r="AU1651" s="78"/>
      <c r="AV1651" s="78"/>
      <c r="AW1651" s="78"/>
      <c r="AX1651" s="78"/>
      <c r="AY1651" s="3"/>
      <c r="AZ1651" s="81"/>
      <c r="BB1651" s="5"/>
      <c r="BC1651" s="5"/>
    </row>
    <row r="1652" spans="1:55" x14ac:dyDescent="0.25">
      <c r="A1652" s="51">
        <v>43592</v>
      </c>
      <c r="B1652" s="54"/>
      <c r="C1652" s="55"/>
      <c r="D1652" s="55"/>
      <c r="E1652" s="55"/>
      <c r="F1652" s="55"/>
      <c r="G1652" s="55"/>
      <c r="H1652" s="55"/>
      <c r="I1652" s="55"/>
      <c r="J1652" s="55"/>
      <c r="K1652" s="55"/>
      <c r="L1652" s="55"/>
      <c r="M1652" s="55"/>
      <c r="N1652" s="55"/>
      <c r="O1652" s="55"/>
      <c r="P1652" s="56"/>
      <c r="AI1652" s="49"/>
      <c r="AJ1652" s="78"/>
      <c r="AK1652" s="78"/>
      <c r="AL1652" s="78"/>
      <c r="AM1652" s="78"/>
      <c r="AN1652" s="78"/>
      <c r="AO1652" s="78"/>
      <c r="AP1652" s="78"/>
      <c r="AQ1652" s="78"/>
      <c r="AR1652" s="78"/>
      <c r="AS1652" s="78"/>
      <c r="AT1652" s="78"/>
      <c r="AU1652" s="78"/>
      <c r="AV1652" s="78"/>
      <c r="AW1652" s="78"/>
      <c r="AX1652" s="78"/>
      <c r="AY1652" s="3"/>
      <c r="AZ1652" s="81"/>
      <c r="BB1652" s="5"/>
      <c r="BC1652" s="5"/>
    </row>
    <row r="1653" spans="1:55" x14ac:dyDescent="0.25">
      <c r="A1653" s="51">
        <v>43593</v>
      </c>
      <c r="B1653" s="54"/>
      <c r="C1653" s="55"/>
      <c r="D1653" s="55"/>
      <c r="E1653" s="55"/>
      <c r="F1653" s="55"/>
      <c r="G1653" s="55"/>
      <c r="H1653" s="55"/>
      <c r="I1653" s="55"/>
      <c r="J1653" s="55"/>
      <c r="K1653" s="55"/>
      <c r="L1653" s="55"/>
      <c r="M1653" s="55"/>
      <c r="N1653" s="55"/>
      <c r="O1653" s="55"/>
      <c r="P1653" s="56"/>
      <c r="AI1653" s="49"/>
      <c r="AJ1653" s="78"/>
      <c r="AK1653" s="78"/>
      <c r="AL1653" s="78"/>
      <c r="AM1653" s="78"/>
      <c r="AN1653" s="78"/>
      <c r="AO1653" s="78"/>
      <c r="AP1653" s="78"/>
      <c r="AQ1653" s="78"/>
      <c r="AR1653" s="78"/>
      <c r="AS1653" s="78"/>
      <c r="AT1653" s="78"/>
      <c r="AU1653" s="78"/>
      <c r="AV1653" s="78"/>
      <c r="AW1653" s="78"/>
      <c r="AX1653" s="78"/>
      <c r="AY1653" s="3"/>
      <c r="AZ1653" s="81"/>
      <c r="BB1653" s="5"/>
      <c r="BC1653" s="5"/>
    </row>
    <row r="1654" spans="1:55" x14ac:dyDescent="0.25">
      <c r="A1654" s="51">
        <v>43594</v>
      </c>
      <c r="B1654" s="54"/>
      <c r="C1654" s="55"/>
      <c r="D1654" s="55"/>
      <c r="E1654" s="55"/>
      <c r="F1654" s="55"/>
      <c r="G1654" s="55"/>
      <c r="H1654" s="55"/>
      <c r="I1654" s="55"/>
      <c r="J1654" s="55"/>
      <c r="K1654" s="55"/>
      <c r="L1654" s="55"/>
      <c r="M1654" s="55"/>
      <c r="N1654" s="55"/>
      <c r="O1654" s="55"/>
      <c r="P1654" s="56"/>
      <c r="AI1654" s="49"/>
      <c r="AJ1654" s="78"/>
      <c r="AK1654" s="78"/>
      <c r="AL1654" s="78"/>
      <c r="AM1654" s="78"/>
      <c r="AN1654" s="78"/>
      <c r="AO1654" s="78"/>
      <c r="AP1654" s="78"/>
      <c r="AQ1654" s="78"/>
      <c r="AR1654" s="78"/>
      <c r="AS1654" s="78"/>
      <c r="AT1654" s="78"/>
      <c r="AU1654" s="78"/>
      <c r="AV1654" s="78"/>
      <c r="AW1654" s="78"/>
      <c r="AX1654" s="78"/>
      <c r="AY1654" s="3"/>
      <c r="AZ1654" s="81"/>
      <c r="BB1654" s="5"/>
      <c r="BC1654" s="5"/>
    </row>
    <row r="1655" spans="1:55" x14ac:dyDescent="0.25">
      <c r="A1655" s="51">
        <v>43595</v>
      </c>
      <c r="B1655" s="54"/>
      <c r="C1655" s="55"/>
      <c r="D1655" s="55"/>
      <c r="E1655" s="55"/>
      <c r="F1655" s="55"/>
      <c r="G1655" s="55"/>
      <c r="H1655" s="55"/>
      <c r="I1655" s="55"/>
      <c r="J1655" s="55"/>
      <c r="K1655" s="55"/>
      <c r="L1655" s="55"/>
      <c r="M1655" s="55"/>
      <c r="N1655" s="55"/>
      <c r="O1655" s="55"/>
      <c r="P1655" s="56"/>
      <c r="AI1655" s="49"/>
      <c r="AJ1655" s="78"/>
      <c r="AK1655" s="78"/>
      <c r="AL1655" s="78"/>
      <c r="AM1655" s="78"/>
      <c r="AN1655" s="78"/>
      <c r="AO1655" s="78"/>
      <c r="AP1655" s="78"/>
      <c r="AQ1655" s="78"/>
      <c r="AR1655" s="78"/>
      <c r="AS1655" s="78"/>
      <c r="AT1655" s="78"/>
      <c r="AU1655" s="78"/>
      <c r="AV1655" s="78"/>
      <c r="AW1655" s="78"/>
      <c r="AX1655" s="78"/>
      <c r="AY1655" s="3"/>
      <c r="AZ1655" s="81"/>
      <c r="BB1655" s="5"/>
      <c r="BC1655" s="5"/>
    </row>
    <row r="1656" spans="1:55" x14ac:dyDescent="0.25">
      <c r="A1656" s="51">
        <v>43598</v>
      </c>
      <c r="B1656" s="54"/>
      <c r="C1656" s="55"/>
      <c r="D1656" s="55"/>
      <c r="E1656" s="55"/>
      <c r="F1656" s="55"/>
      <c r="G1656" s="55"/>
      <c r="H1656" s="55"/>
      <c r="I1656" s="55"/>
      <c r="J1656" s="55"/>
      <c r="K1656" s="55"/>
      <c r="L1656" s="55"/>
      <c r="M1656" s="55"/>
      <c r="N1656" s="55"/>
      <c r="O1656" s="55"/>
      <c r="P1656" s="56"/>
      <c r="AI1656" s="49"/>
      <c r="AJ1656" s="78"/>
      <c r="AK1656" s="78"/>
      <c r="AL1656" s="78"/>
      <c r="AM1656" s="78"/>
      <c r="AN1656" s="78"/>
      <c r="AO1656" s="78"/>
      <c r="AP1656" s="78"/>
      <c r="AQ1656" s="78"/>
      <c r="AR1656" s="78"/>
      <c r="AS1656" s="78"/>
      <c r="AT1656" s="78"/>
      <c r="AU1656" s="78"/>
      <c r="AV1656" s="78"/>
      <c r="AW1656" s="78"/>
      <c r="AX1656" s="78"/>
      <c r="AY1656" s="3"/>
      <c r="AZ1656" s="81"/>
      <c r="BB1656" s="5"/>
      <c r="BC1656" s="5"/>
    </row>
    <row r="1657" spans="1:55" x14ac:dyDescent="0.25">
      <c r="A1657" s="51">
        <v>43599</v>
      </c>
      <c r="B1657" s="54"/>
      <c r="C1657" s="55"/>
      <c r="D1657" s="55"/>
      <c r="E1657" s="55"/>
      <c r="F1657" s="55"/>
      <c r="G1657" s="55"/>
      <c r="H1657" s="55"/>
      <c r="I1657" s="55"/>
      <c r="J1657" s="55"/>
      <c r="K1657" s="55"/>
      <c r="L1657" s="55"/>
      <c r="M1657" s="55"/>
      <c r="N1657" s="55"/>
      <c r="O1657" s="55"/>
      <c r="P1657" s="56"/>
      <c r="AI1657" s="49"/>
      <c r="AJ1657" s="78"/>
      <c r="AK1657" s="78"/>
      <c r="AL1657" s="78"/>
      <c r="AM1657" s="78"/>
      <c r="AN1657" s="78"/>
      <c r="AO1657" s="78"/>
      <c r="AP1657" s="78"/>
      <c r="AQ1657" s="78"/>
      <c r="AR1657" s="78"/>
      <c r="AS1657" s="78"/>
      <c r="AT1657" s="78"/>
      <c r="AU1657" s="78"/>
      <c r="AV1657" s="78"/>
      <c r="AW1657" s="78"/>
      <c r="AX1657" s="78"/>
      <c r="AY1657" s="3"/>
      <c r="AZ1657" s="81"/>
      <c r="BB1657" s="5"/>
      <c r="BC1657" s="5"/>
    </row>
    <row r="1658" spans="1:55" x14ac:dyDescent="0.25">
      <c r="A1658" s="51">
        <v>43600</v>
      </c>
      <c r="B1658" s="54"/>
      <c r="C1658" s="55"/>
      <c r="D1658" s="55"/>
      <c r="E1658" s="55"/>
      <c r="F1658" s="55"/>
      <c r="G1658" s="55"/>
      <c r="H1658" s="55"/>
      <c r="I1658" s="55"/>
      <c r="J1658" s="55"/>
      <c r="K1658" s="55"/>
      <c r="L1658" s="55"/>
      <c r="M1658" s="55"/>
      <c r="N1658" s="55"/>
      <c r="O1658" s="55"/>
      <c r="P1658" s="56"/>
      <c r="AI1658" s="49"/>
      <c r="AJ1658" s="78"/>
      <c r="AK1658" s="78"/>
      <c r="AL1658" s="78"/>
      <c r="AM1658" s="78"/>
      <c r="AN1658" s="78"/>
      <c r="AO1658" s="78"/>
      <c r="AP1658" s="78"/>
      <c r="AQ1658" s="78"/>
      <c r="AR1658" s="78"/>
      <c r="AS1658" s="78"/>
      <c r="AT1658" s="78"/>
      <c r="AU1658" s="78"/>
      <c r="AV1658" s="78"/>
      <c r="AW1658" s="78"/>
      <c r="AX1658" s="78"/>
      <c r="AY1658" s="3"/>
      <c r="AZ1658" s="81"/>
      <c r="BB1658" s="5"/>
      <c r="BC1658" s="5"/>
    </row>
    <row r="1659" spans="1:55" x14ac:dyDescent="0.25">
      <c r="A1659" s="51">
        <v>43601</v>
      </c>
      <c r="B1659" s="54"/>
      <c r="C1659" s="55"/>
      <c r="D1659" s="55"/>
      <c r="E1659" s="55"/>
      <c r="F1659" s="55"/>
      <c r="G1659" s="55"/>
      <c r="H1659" s="55"/>
      <c r="I1659" s="55"/>
      <c r="J1659" s="55"/>
      <c r="K1659" s="55"/>
      <c r="L1659" s="55"/>
      <c r="M1659" s="55"/>
      <c r="N1659" s="55"/>
      <c r="O1659" s="55"/>
      <c r="P1659" s="56"/>
      <c r="AI1659" s="49"/>
      <c r="AJ1659" s="78"/>
      <c r="AK1659" s="78"/>
      <c r="AL1659" s="78"/>
      <c r="AM1659" s="78"/>
      <c r="AN1659" s="78"/>
      <c r="AO1659" s="78"/>
      <c r="AP1659" s="78"/>
      <c r="AQ1659" s="78"/>
      <c r="AR1659" s="78"/>
      <c r="AS1659" s="78"/>
      <c r="AT1659" s="78"/>
      <c r="AU1659" s="78"/>
      <c r="AV1659" s="78"/>
      <c r="AW1659" s="78"/>
      <c r="AX1659" s="78"/>
      <c r="AY1659" s="3"/>
      <c r="AZ1659" s="81"/>
      <c r="BB1659" s="5"/>
      <c r="BC1659" s="5"/>
    </row>
    <row r="1660" spans="1:55" x14ac:dyDescent="0.25">
      <c r="A1660" s="51">
        <v>43602</v>
      </c>
      <c r="B1660" s="54"/>
      <c r="C1660" s="55"/>
      <c r="D1660" s="55"/>
      <c r="E1660" s="55"/>
      <c r="F1660" s="55"/>
      <c r="G1660" s="55"/>
      <c r="H1660" s="55"/>
      <c r="I1660" s="55"/>
      <c r="J1660" s="55"/>
      <c r="K1660" s="55"/>
      <c r="L1660" s="55"/>
      <c r="M1660" s="55"/>
      <c r="N1660" s="55"/>
      <c r="O1660" s="55"/>
      <c r="P1660" s="56"/>
      <c r="AI1660" s="49"/>
      <c r="AJ1660" s="78"/>
      <c r="AK1660" s="78"/>
      <c r="AL1660" s="78"/>
      <c r="AM1660" s="78"/>
      <c r="AN1660" s="78"/>
      <c r="AO1660" s="78"/>
      <c r="AP1660" s="78"/>
      <c r="AQ1660" s="78"/>
      <c r="AR1660" s="78"/>
      <c r="AS1660" s="78"/>
      <c r="AT1660" s="78"/>
      <c r="AU1660" s="78"/>
      <c r="AV1660" s="78"/>
      <c r="AW1660" s="78"/>
      <c r="AX1660" s="78"/>
      <c r="AY1660" s="3"/>
      <c r="AZ1660" s="81"/>
      <c r="BB1660" s="5"/>
      <c r="BC1660" s="5"/>
    </row>
    <row r="1661" spans="1:55" x14ac:dyDescent="0.25">
      <c r="A1661" s="51">
        <v>43605</v>
      </c>
      <c r="B1661" s="54"/>
      <c r="C1661" s="55"/>
      <c r="D1661" s="55"/>
      <c r="E1661" s="55"/>
      <c r="F1661" s="55"/>
      <c r="G1661" s="55"/>
      <c r="H1661" s="55"/>
      <c r="I1661" s="55"/>
      <c r="J1661" s="55"/>
      <c r="K1661" s="55"/>
      <c r="L1661" s="55"/>
      <c r="M1661" s="55"/>
      <c r="N1661" s="55"/>
      <c r="O1661" s="55"/>
      <c r="P1661" s="56"/>
      <c r="AI1661" s="49"/>
      <c r="AJ1661" s="78"/>
      <c r="AK1661" s="78"/>
      <c r="AL1661" s="78"/>
      <c r="AM1661" s="78"/>
      <c r="AN1661" s="78"/>
      <c r="AO1661" s="78"/>
      <c r="AP1661" s="78"/>
      <c r="AQ1661" s="78"/>
      <c r="AR1661" s="78"/>
      <c r="AS1661" s="78"/>
      <c r="AT1661" s="78"/>
      <c r="AU1661" s="78"/>
      <c r="AV1661" s="78"/>
      <c r="AW1661" s="78"/>
      <c r="AX1661" s="78"/>
      <c r="AY1661" s="3"/>
      <c r="AZ1661" s="81"/>
      <c r="BB1661" s="5"/>
      <c r="BC1661" s="5"/>
    </row>
    <row r="1662" spans="1:55" x14ac:dyDescent="0.25">
      <c r="A1662" s="51">
        <v>43606</v>
      </c>
      <c r="B1662" s="54"/>
      <c r="C1662" s="55"/>
      <c r="D1662" s="55"/>
      <c r="E1662" s="55"/>
      <c r="F1662" s="55"/>
      <c r="G1662" s="55"/>
      <c r="H1662" s="55"/>
      <c r="I1662" s="55"/>
      <c r="J1662" s="55"/>
      <c r="K1662" s="55"/>
      <c r="L1662" s="55"/>
      <c r="M1662" s="55"/>
      <c r="N1662" s="55"/>
      <c r="O1662" s="55"/>
      <c r="P1662" s="56"/>
      <c r="AI1662" s="49"/>
      <c r="AJ1662" s="78"/>
      <c r="AK1662" s="78"/>
      <c r="AL1662" s="78"/>
      <c r="AM1662" s="78"/>
      <c r="AN1662" s="78"/>
      <c r="AO1662" s="78"/>
      <c r="AP1662" s="78"/>
      <c r="AQ1662" s="78"/>
      <c r="AR1662" s="78"/>
      <c r="AS1662" s="78"/>
      <c r="AT1662" s="78"/>
      <c r="AU1662" s="78"/>
      <c r="AV1662" s="78"/>
      <c r="AW1662" s="78"/>
      <c r="AX1662" s="78"/>
      <c r="AY1662" s="3"/>
      <c r="AZ1662" s="81"/>
      <c r="BB1662" s="5"/>
      <c r="BC1662" s="5"/>
    </row>
    <row r="1663" spans="1:55" x14ac:dyDescent="0.25">
      <c r="A1663" s="51">
        <v>43607</v>
      </c>
      <c r="B1663" s="54"/>
      <c r="C1663" s="55"/>
      <c r="D1663" s="55"/>
      <c r="E1663" s="55"/>
      <c r="F1663" s="55"/>
      <c r="G1663" s="55"/>
      <c r="H1663" s="55"/>
      <c r="I1663" s="55"/>
      <c r="J1663" s="55"/>
      <c r="K1663" s="55"/>
      <c r="L1663" s="55"/>
      <c r="M1663" s="55"/>
      <c r="N1663" s="55"/>
      <c r="O1663" s="55"/>
      <c r="P1663" s="56"/>
      <c r="AI1663" s="49"/>
      <c r="AJ1663" s="78"/>
      <c r="AK1663" s="78"/>
      <c r="AL1663" s="78"/>
      <c r="AM1663" s="78"/>
      <c r="AN1663" s="78"/>
      <c r="AO1663" s="78"/>
      <c r="AP1663" s="78"/>
      <c r="AQ1663" s="78"/>
      <c r="AR1663" s="78"/>
      <c r="AS1663" s="78"/>
      <c r="AT1663" s="78"/>
      <c r="AU1663" s="78"/>
      <c r="AV1663" s="78"/>
      <c r="AW1663" s="78"/>
      <c r="AX1663" s="78"/>
      <c r="AY1663" s="3"/>
      <c r="AZ1663" s="81"/>
      <c r="BB1663" s="5"/>
      <c r="BC1663" s="5"/>
    </row>
    <row r="1664" spans="1:55" x14ac:dyDescent="0.25">
      <c r="A1664" s="51">
        <v>43608</v>
      </c>
      <c r="B1664" s="54"/>
      <c r="C1664" s="55"/>
      <c r="D1664" s="55"/>
      <c r="E1664" s="55"/>
      <c r="F1664" s="55"/>
      <c r="G1664" s="55"/>
      <c r="H1664" s="55"/>
      <c r="I1664" s="55"/>
      <c r="J1664" s="55"/>
      <c r="K1664" s="55"/>
      <c r="L1664" s="55"/>
      <c r="M1664" s="55"/>
      <c r="N1664" s="55"/>
      <c r="O1664" s="55"/>
      <c r="P1664" s="56"/>
      <c r="AI1664" s="49"/>
      <c r="AJ1664" s="78"/>
      <c r="AK1664" s="78"/>
      <c r="AL1664" s="78"/>
      <c r="AM1664" s="78"/>
      <c r="AN1664" s="78"/>
      <c r="AO1664" s="78"/>
      <c r="AP1664" s="78"/>
      <c r="AQ1664" s="78"/>
      <c r="AR1664" s="78"/>
      <c r="AS1664" s="78"/>
      <c r="AT1664" s="78"/>
      <c r="AU1664" s="78"/>
      <c r="AV1664" s="78"/>
      <c r="AW1664" s="78"/>
      <c r="AX1664" s="78"/>
      <c r="AY1664" s="3"/>
      <c r="AZ1664" s="81"/>
      <c r="BB1664" s="5"/>
      <c r="BC1664" s="5"/>
    </row>
    <row r="1665" spans="1:55" x14ac:dyDescent="0.25">
      <c r="A1665" s="51">
        <v>43609</v>
      </c>
      <c r="B1665" s="54"/>
      <c r="C1665" s="55"/>
      <c r="D1665" s="55"/>
      <c r="E1665" s="55"/>
      <c r="F1665" s="55"/>
      <c r="G1665" s="55"/>
      <c r="H1665" s="55"/>
      <c r="I1665" s="55"/>
      <c r="J1665" s="55"/>
      <c r="K1665" s="55"/>
      <c r="L1665" s="55"/>
      <c r="M1665" s="55"/>
      <c r="N1665" s="55"/>
      <c r="O1665" s="55"/>
      <c r="P1665" s="56"/>
      <c r="AI1665" s="49"/>
      <c r="AJ1665" s="78"/>
      <c r="AK1665" s="78"/>
      <c r="AL1665" s="78"/>
      <c r="AM1665" s="78"/>
      <c r="AN1665" s="78"/>
      <c r="AO1665" s="78"/>
      <c r="AP1665" s="78"/>
      <c r="AQ1665" s="78"/>
      <c r="AR1665" s="78"/>
      <c r="AS1665" s="78"/>
      <c r="AT1665" s="78"/>
      <c r="AU1665" s="78"/>
      <c r="AV1665" s="78"/>
      <c r="AW1665" s="78"/>
      <c r="AX1665" s="78"/>
      <c r="AY1665" s="3"/>
      <c r="AZ1665" s="81"/>
      <c r="BB1665" s="5"/>
      <c r="BC1665" s="5"/>
    </row>
    <row r="1666" spans="1:55" x14ac:dyDescent="0.25">
      <c r="A1666" s="51">
        <v>43612</v>
      </c>
      <c r="B1666" s="54"/>
      <c r="C1666" s="55"/>
      <c r="D1666" s="55"/>
      <c r="E1666" s="55"/>
      <c r="F1666" s="55"/>
      <c r="G1666" s="55"/>
      <c r="H1666" s="55"/>
      <c r="I1666" s="55"/>
      <c r="J1666" s="55"/>
      <c r="K1666" s="55"/>
      <c r="L1666" s="55"/>
      <c r="M1666" s="55"/>
      <c r="N1666" s="55"/>
      <c r="O1666" s="55"/>
      <c r="P1666" s="56"/>
      <c r="AI1666" s="49"/>
      <c r="AJ1666" s="78"/>
      <c r="AK1666" s="78"/>
      <c r="AL1666" s="78"/>
      <c r="AM1666" s="78"/>
      <c r="AN1666" s="78"/>
      <c r="AO1666" s="78"/>
      <c r="AP1666" s="78"/>
      <c r="AQ1666" s="78"/>
      <c r="AR1666" s="78"/>
      <c r="AS1666" s="78"/>
      <c r="AT1666" s="78"/>
      <c r="AU1666" s="78"/>
      <c r="AV1666" s="78"/>
      <c r="AW1666" s="78"/>
      <c r="AX1666" s="78"/>
      <c r="AY1666" s="3"/>
      <c r="AZ1666" s="81"/>
      <c r="BB1666" s="5"/>
      <c r="BC1666" s="5"/>
    </row>
    <row r="1667" spans="1:55" x14ac:dyDescent="0.25">
      <c r="A1667" s="51">
        <v>43613</v>
      </c>
      <c r="B1667" s="54"/>
      <c r="C1667" s="55"/>
      <c r="D1667" s="55"/>
      <c r="E1667" s="55"/>
      <c r="F1667" s="55"/>
      <c r="G1667" s="55"/>
      <c r="H1667" s="55"/>
      <c r="I1667" s="55"/>
      <c r="J1667" s="55"/>
      <c r="K1667" s="55"/>
      <c r="L1667" s="55"/>
      <c r="M1667" s="55"/>
      <c r="N1667" s="55"/>
      <c r="O1667" s="55"/>
      <c r="P1667" s="56"/>
      <c r="AI1667" s="49"/>
      <c r="AJ1667" s="78"/>
      <c r="AK1667" s="78"/>
      <c r="AL1667" s="78"/>
      <c r="AM1667" s="78"/>
      <c r="AN1667" s="78"/>
      <c r="AO1667" s="78"/>
      <c r="AP1667" s="78"/>
      <c r="AQ1667" s="78"/>
      <c r="AR1667" s="78"/>
      <c r="AS1667" s="78"/>
      <c r="AT1667" s="78"/>
      <c r="AU1667" s="78"/>
      <c r="AV1667" s="78"/>
      <c r="AW1667" s="78"/>
      <c r="AX1667" s="78"/>
      <c r="AY1667" s="3"/>
      <c r="AZ1667" s="81"/>
      <c r="BB1667" s="5"/>
      <c r="BC1667" s="5"/>
    </row>
    <row r="1668" spans="1:55" x14ac:dyDescent="0.25">
      <c r="A1668" s="51">
        <v>43614</v>
      </c>
      <c r="B1668" s="54"/>
      <c r="C1668" s="55"/>
      <c r="D1668" s="55"/>
      <c r="E1668" s="55"/>
      <c r="F1668" s="55"/>
      <c r="G1668" s="55"/>
      <c r="H1668" s="55"/>
      <c r="I1668" s="55"/>
      <c r="J1668" s="55"/>
      <c r="K1668" s="55"/>
      <c r="L1668" s="55"/>
      <c r="M1668" s="55"/>
      <c r="N1668" s="55"/>
      <c r="O1668" s="55"/>
      <c r="P1668" s="56"/>
      <c r="AI1668" s="49"/>
      <c r="AJ1668" s="78"/>
      <c r="AK1668" s="78"/>
      <c r="AL1668" s="78"/>
      <c r="AM1668" s="78"/>
      <c r="AN1668" s="78"/>
      <c r="AO1668" s="78"/>
      <c r="AP1668" s="78"/>
      <c r="AQ1668" s="78"/>
      <c r="AR1668" s="78"/>
      <c r="AS1668" s="78"/>
      <c r="AT1668" s="78"/>
      <c r="AU1668" s="78"/>
      <c r="AV1668" s="78"/>
      <c r="AW1668" s="78"/>
      <c r="AX1668" s="78"/>
      <c r="AY1668" s="3"/>
      <c r="AZ1668" s="81"/>
      <c r="BB1668" s="5"/>
      <c r="BC1668" s="5"/>
    </row>
    <row r="1669" spans="1:55" x14ac:dyDescent="0.25">
      <c r="A1669" s="51">
        <v>43615</v>
      </c>
      <c r="B1669" s="54"/>
      <c r="C1669" s="55"/>
      <c r="D1669" s="55"/>
      <c r="E1669" s="55"/>
      <c r="F1669" s="55"/>
      <c r="G1669" s="55"/>
      <c r="H1669" s="55"/>
      <c r="I1669" s="55"/>
      <c r="J1669" s="55"/>
      <c r="K1669" s="55"/>
      <c r="L1669" s="55"/>
      <c r="M1669" s="55"/>
      <c r="N1669" s="55"/>
      <c r="O1669" s="55"/>
      <c r="P1669" s="56"/>
      <c r="AI1669" s="49"/>
      <c r="AJ1669" s="78"/>
      <c r="AK1669" s="78"/>
      <c r="AL1669" s="78"/>
      <c r="AM1669" s="78"/>
      <c r="AN1669" s="78"/>
      <c r="AO1669" s="78"/>
      <c r="AP1669" s="78"/>
      <c r="AQ1669" s="78"/>
      <c r="AR1669" s="78"/>
      <c r="AS1669" s="78"/>
      <c r="AT1669" s="78"/>
      <c r="AU1669" s="78"/>
      <c r="AV1669" s="78"/>
      <c r="AW1669" s="78"/>
      <c r="AX1669" s="78"/>
      <c r="AY1669" s="3"/>
      <c r="AZ1669" s="81"/>
      <c r="BB1669" s="5"/>
      <c r="BC1669" s="5"/>
    </row>
    <row r="1670" spans="1:55" x14ac:dyDescent="0.25">
      <c r="A1670" s="51">
        <v>43616</v>
      </c>
      <c r="B1670" s="54"/>
      <c r="C1670" s="55"/>
      <c r="D1670" s="55"/>
      <c r="E1670" s="55"/>
      <c r="F1670" s="55"/>
      <c r="G1670" s="55"/>
      <c r="H1670" s="55"/>
      <c r="I1670" s="55"/>
      <c r="J1670" s="55"/>
      <c r="K1670" s="55"/>
      <c r="L1670" s="55"/>
      <c r="M1670" s="55"/>
      <c r="N1670" s="55"/>
      <c r="O1670" s="55"/>
      <c r="P1670" s="56"/>
      <c r="AI1670" s="49"/>
      <c r="AJ1670" s="78"/>
      <c r="AK1670" s="78"/>
      <c r="AL1670" s="78"/>
      <c r="AM1670" s="78"/>
      <c r="AN1670" s="78"/>
      <c r="AO1670" s="78"/>
      <c r="AP1670" s="78"/>
      <c r="AQ1670" s="78"/>
      <c r="AR1670" s="78"/>
      <c r="AS1670" s="78"/>
      <c r="AT1670" s="78"/>
      <c r="AU1670" s="78"/>
      <c r="AV1670" s="78"/>
      <c r="AW1670" s="78"/>
      <c r="AX1670" s="78"/>
      <c r="AY1670" s="3"/>
      <c r="AZ1670" s="81"/>
      <c r="BB1670" s="5"/>
      <c r="BC1670" s="5"/>
    </row>
    <row r="1671" spans="1:55" x14ac:dyDescent="0.25">
      <c r="A1671" s="51">
        <v>43619</v>
      </c>
      <c r="B1671" s="54"/>
      <c r="C1671" s="55"/>
      <c r="D1671" s="55"/>
      <c r="E1671" s="55"/>
      <c r="F1671" s="55"/>
      <c r="G1671" s="55"/>
      <c r="H1671" s="55"/>
      <c r="I1671" s="55"/>
      <c r="J1671" s="55"/>
      <c r="K1671" s="55"/>
      <c r="L1671" s="55"/>
      <c r="M1671" s="55"/>
      <c r="N1671" s="55"/>
      <c r="O1671" s="55"/>
      <c r="P1671" s="56"/>
      <c r="AI1671" s="49"/>
      <c r="AJ1671" s="78"/>
      <c r="AK1671" s="78"/>
      <c r="AL1671" s="78"/>
      <c r="AM1671" s="78"/>
      <c r="AN1671" s="78"/>
      <c r="AO1671" s="78"/>
      <c r="AP1671" s="78"/>
      <c r="AQ1671" s="78"/>
      <c r="AR1671" s="78"/>
      <c r="AS1671" s="78"/>
      <c r="AT1671" s="78"/>
      <c r="AU1671" s="78"/>
      <c r="AV1671" s="78"/>
      <c r="AW1671" s="78"/>
      <c r="AX1671" s="78"/>
      <c r="AY1671" s="3"/>
      <c r="AZ1671" s="81"/>
      <c r="BB1671" s="5"/>
      <c r="BC1671" s="5"/>
    </row>
    <row r="1672" spans="1:55" x14ac:dyDescent="0.25">
      <c r="A1672" s="51">
        <v>43620</v>
      </c>
      <c r="B1672" s="54"/>
      <c r="C1672" s="55"/>
      <c r="D1672" s="55"/>
      <c r="E1672" s="55"/>
      <c r="F1672" s="55"/>
      <c r="G1672" s="55"/>
      <c r="H1672" s="55"/>
      <c r="I1672" s="55"/>
      <c r="J1672" s="55"/>
      <c r="K1672" s="55"/>
      <c r="L1672" s="55"/>
      <c r="M1672" s="55"/>
      <c r="N1672" s="55"/>
      <c r="O1672" s="55"/>
      <c r="P1672" s="56"/>
      <c r="AI1672" s="49"/>
      <c r="AJ1672" s="78"/>
      <c r="AK1672" s="78"/>
      <c r="AL1672" s="78"/>
      <c r="AM1672" s="78"/>
      <c r="AN1672" s="78"/>
      <c r="AO1672" s="78"/>
      <c r="AP1672" s="78"/>
      <c r="AQ1672" s="78"/>
      <c r="AR1672" s="78"/>
      <c r="AS1672" s="78"/>
      <c r="AT1672" s="78"/>
      <c r="AU1672" s="78"/>
      <c r="AV1672" s="78"/>
      <c r="AW1672" s="78"/>
      <c r="AX1672" s="78"/>
      <c r="AY1672" s="3"/>
      <c r="AZ1672" s="81"/>
      <c r="BB1672" s="5"/>
      <c r="BC1672" s="5"/>
    </row>
    <row r="1673" spans="1:55" x14ac:dyDescent="0.25">
      <c r="A1673" s="51">
        <v>43621</v>
      </c>
      <c r="B1673" s="54"/>
      <c r="C1673" s="55"/>
      <c r="D1673" s="55"/>
      <c r="E1673" s="55"/>
      <c r="F1673" s="55"/>
      <c r="G1673" s="55"/>
      <c r="H1673" s="55"/>
      <c r="I1673" s="55"/>
      <c r="J1673" s="55"/>
      <c r="K1673" s="55"/>
      <c r="L1673" s="55"/>
      <c r="M1673" s="55"/>
      <c r="N1673" s="55"/>
      <c r="O1673" s="55"/>
      <c r="P1673" s="56"/>
      <c r="AI1673" s="49"/>
      <c r="AJ1673" s="78"/>
      <c r="AK1673" s="78"/>
      <c r="AL1673" s="78"/>
      <c r="AM1673" s="78"/>
      <c r="AN1673" s="78"/>
      <c r="AO1673" s="78"/>
      <c r="AP1673" s="78"/>
      <c r="AQ1673" s="78"/>
      <c r="AR1673" s="78"/>
      <c r="AS1673" s="78"/>
      <c r="AT1673" s="78"/>
      <c r="AU1673" s="78"/>
      <c r="AV1673" s="78"/>
      <c r="AW1673" s="78"/>
      <c r="AX1673" s="78"/>
      <c r="AY1673" s="3"/>
      <c r="AZ1673" s="81"/>
      <c r="BB1673" s="5"/>
      <c r="BC1673" s="5"/>
    </row>
    <row r="1674" spans="1:55" x14ac:dyDescent="0.25">
      <c r="A1674" s="51">
        <v>43622</v>
      </c>
      <c r="B1674" s="54"/>
      <c r="C1674" s="55"/>
      <c r="D1674" s="55"/>
      <c r="E1674" s="55"/>
      <c r="F1674" s="55"/>
      <c r="G1674" s="55"/>
      <c r="H1674" s="55"/>
      <c r="I1674" s="55"/>
      <c r="J1674" s="55"/>
      <c r="K1674" s="55"/>
      <c r="L1674" s="55"/>
      <c r="M1674" s="55"/>
      <c r="N1674" s="55"/>
      <c r="O1674" s="55"/>
      <c r="P1674" s="56"/>
      <c r="AI1674" s="49"/>
      <c r="AJ1674" s="78"/>
      <c r="AK1674" s="78"/>
      <c r="AL1674" s="78"/>
      <c r="AM1674" s="78"/>
      <c r="AN1674" s="78"/>
      <c r="AO1674" s="78"/>
      <c r="AP1674" s="78"/>
      <c r="AQ1674" s="78"/>
      <c r="AR1674" s="78"/>
      <c r="AS1674" s="78"/>
      <c r="AT1674" s="78"/>
      <c r="AU1674" s="78"/>
      <c r="AV1674" s="78"/>
      <c r="AW1674" s="78"/>
      <c r="AX1674" s="78"/>
      <c r="AY1674" s="3"/>
      <c r="AZ1674" s="81"/>
      <c r="BB1674" s="5"/>
      <c r="BC1674" s="5"/>
    </row>
    <row r="1675" spans="1:55" x14ac:dyDescent="0.25">
      <c r="A1675" s="51">
        <v>43623</v>
      </c>
      <c r="B1675" s="54"/>
      <c r="C1675" s="55"/>
      <c r="D1675" s="55"/>
      <c r="E1675" s="55"/>
      <c r="F1675" s="55"/>
      <c r="G1675" s="55"/>
      <c r="H1675" s="55"/>
      <c r="I1675" s="55"/>
      <c r="J1675" s="55"/>
      <c r="K1675" s="55"/>
      <c r="L1675" s="55"/>
      <c r="M1675" s="55"/>
      <c r="N1675" s="55"/>
      <c r="O1675" s="55"/>
      <c r="P1675" s="56"/>
      <c r="AI1675" s="49"/>
      <c r="AJ1675" s="78"/>
      <c r="AK1675" s="78"/>
      <c r="AL1675" s="78"/>
      <c r="AM1675" s="78"/>
      <c r="AN1675" s="78"/>
      <c r="AO1675" s="78"/>
      <c r="AP1675" s="78"/>
      <c r="AQ1675" s="78"/>
      <c r="AR1675" s="78"/>
      <c r="AS1675" s="78"/>
      <c r="AT1675" s="78"/>
      <c r="AU1675" s="78"/>
      <c r="AV1675" s="78"/>
      <c r="AW1675" s="78"/>
      <c r="AX1675" s="78"/>
      <c r="AY1675" s="3"/>
      <c r="AZ1675" s="81"/>
      <c r="BB1675" s="5"/>
      <c r="BC1675" s="5"/>
    </row>
    <row r="1676" spans="1:55" x14ac:dyDescent="0.25">
      <c r="A1676" s="51">
        <v>43626</v>
      </c>
      <c r="B1676" s="54"/>
      <c r="C1676" s="55"/>
      <c r="D1676" s="55"/>
      <c r="E1676" s="55"/>
      <c r="F1676" s="55"/>
      <c r="G1676" s="55"/>
      <c r="H1676" s="55"/>
      <c r="I1676" s="55"/>
      <c r="J1676" s="55"/>
      <c r="K1676" s="55"/>
      <c r="L1676" s="55"/>
      <c r="M1676" s="55"/>
      <c r="N1676" s="55"/>
      <c r="O1676" s="55"/>
      <c r="P1676" s="56"/>
      <c r="AI1676" s="49"/>
      <c r="AJ1676" s="78"/>
      <c r="AK1676" s="78"/>
      <c r="AL1676" s="78"/>
      <c r="AM1676" s="78"/>
      <c r="AN1676" s="78"/>
      <c r="AO1676" s="78"/>
      <c r="AP1676" s="78"/>
      <c r="AQ1676" s="78"/>
      <c r="AR1676" s="78"/>
      <c r="AS1676" s="78"/>
      <c r="AT1676" s="78"/>
      <c r="AU1676" s="78"/>
      <c r="AV1676" s="78"/>
      <c r="AW1676" s="78"/>
      <c r="AX1676" s="78"/>
      <c r="AY1676" s="3"/>
      <c r="AZ1676" s="81"/>
      <c r="BB1676" s="5"/>
      <c r="BC1676" s="5"/>
    </row>
    <row r="1677" spans="1:55" x14ac:dyDescent="0.25">
      <c r="A1677" s="51">
        <v>43627</v>
      </c>
      <c r="B1677" s="54"/>
      <c r="C1677" s="55"/>
      <c r="D1677" s="55"/>
      <c r="E1677" s="55"/>
      <c r="F1677" s="55"/>
      <c r="G1677" s="55"/>
      <c r="H1677" s="55"/>
      <c r="I1677" s="55"/>
      <c r="J1677" s="55"/>
      <c r="K1677" s="55"/>
      <c r="L1677" s="55"/>
      <c r="M1677" s="55"/>
      <c r="N1677" s="55"/>
      <c r="O1677" s="55"/>
      <c r="P1677" s="56"/>
      <c r="AI1677" s="49"/>
      <c r="AJ1677" s="78"/>
      <c r="AK1677" s="78"/>
      <c r="AL1677" s="78"/>
      <c r="AM1677" s="78"/>
      <c r="AN1677" s="78"/>
      <c r="AO1677" s="78"/>
      <c r="AP1677" s="78"/>
      <c r="AQ1677" s="78"/>
      <c r="AR1677" s="78"/>
      <c r="AS1677" s="78"/>
      <c r="AT1677" s="78"/>
      <c r="AU1677" s="78"/>
      <c r="AV1677" s="78"/>
      <c r="AW1677" s="78"/>
      <c r="AX1677" s="78"/>
      <c r="AY1677" s="3"/>
      <c r="AZ1677" s="81"/>
      <c r="BB1677" s="5"/>
      <c r="BC1677" s="5"/>
    </row>
    <row r="1678" spans="1:55" x14ac:dyDescent="0.25">
      <c r="A1678" s="51">
        <v>43628</v>
      </c>
      <c r="B1678" s="54"/>
      <c r="C1678" s="55"/>
      <c r="D1678" s="55"/>
      <c r="E1678" s="55"/>
      <c r="F1678" s="55"/>
      <c r="G1678" s="55"/>
      <c r="H1678" s="55"/>
      <c r="I1678" s="55"/>
      <c r="J1678" s="55"/>
      <c r="K1678" s="55"/>
      <c r="L1678" s="55"/>
      <c r="M1678" s="55"/>
      <c r="N1678" s="55"/>
      <c r="O1678" s="55"/>
      <c r="P1678" s="56"/>
      <c r="AI1678" s="49"/>
      <c r="AJ1678" s="78"/>
      <c r="AK1678" s="78"/>
      <c r="AL1678" s="78"/>
      <c r="AM1678" s="78"/>
      <c r="AN1678" s="78"/>
      <c r="AO1678" s="78"/>
      <c r="AP1678" s="78"/>
      <c r="AQ1678" s="78"/>
      <c r="AR1678" s="78"/>
      <c r="AS1678" s="78"/>
      <c r="AT1678" s="78"/>
      <c r="AU1678" s="78"/>
      <c r="AV1678" s="78"/>
      <c r="AW1678" s="78"/>
      <c r="AX1678" s="78"/>
      <c r="AY1678" s="3"/>
      <c r="AZ1678" s="81"/>
      <c r="BB1678" s="5"/>
      <c r="BC1678" s="5"/>
    </row>
    <row r="1679" spans="1:55" x14ac:dyDescent="0.25">
      <c r="A1679" s="51">
        <v>43629</v>
      </c>
      <c r="B1679" s="54"/>
      <c r="C1679" s="55"/>
      <c r="D1679" s="55"/>
      <c r="E1679" s="55"/>
      <c r="F1679" s="55"/>
      <c r="G1679" s="55"/>
      <c r="H1679" s="55"/>
      <c r="I1679" s="55"/>
      <c r="J1679" s="55"/>
      <c r="K1679" s="55"/>
      <c r="L1679" s="55"/>
      <c r="M1679" s="55"/>
      <c r="N1679" s="55"/>
      <c r="O1679" s="55"/>
      <c r="P1679" s="56"/>
      <c r="AI1679" s="49"/>
      <c r="AJ1679" s="78"/>
      <c r="AK1679" s="78"/>
      <c r="AL1679" s="78"/>
      <c r="AM1679" s="78"/>
      <c r="AN1679" s="78"/>
      <c r="AO1679" s="78"/>
      <c r="AP1679" s="78"/>
      <c r="AQ1679" s="78"/>
      <c r="AR1679" s="78"/>
      <c r="AS1679" s="78"/>
      <c r="AT1679" s="78"/>
      <c r="AU1679" s="78"/>
      <c r="AV1679" s="78"/>
      <c r="AW1679" s="78"/>
      <c r="AX1679" s="78"/>
      <c r="AY1679" s="3"/>
      <c r="AZ1679" s="81"/>
      <c r="BB1679" s="5"/>
      <c r="BC1679" s="5"/>
    </row>
    <row r="1680" spans="1:55" x14ac:dyDescent="0.25">
      <c r="A1680" s="51">
        <v>43630</v>
      </c>
      <c r="B1680" s="54"/>
      <c r="C1680" s="55"/>
      <c r="D1680" s="55"/>
      <c r="E1680" s="55"/>
      <c r="F1680" s="55"/>
      <c r="G1680" s="55"/>
      <c r="H1680" s="55"/>
      <c r="I1680" s="55"/>
      <c r="J1680" s="55"/>
      <c r="K1680" s="55"/>
      <c r="L1680" s="55"/>
      <c r="M1680" s="55"/>
      <c r="N1680" s="55"/>
      <c r="O1680" s="55"/>
      <c r="P1680" s="56"/>
      <c r="AI1680" s="49"/>
      <c r="AJ1680" s="78"/>
      <c r="AK1680" s="78"/>
      <c r="AL1680" s="78"/>
      <c r="AM1680" s="78"/>
      <c r="AN1680" s="78"/>
      <c r="AO1680" s="78"/>
      <c r="AP1680" s="78"/>
      <c r="AQ1680" s="78"/>
      <c r="AR1680" s="78"/>
      <c r="AS1680" s="78"/>
      <c r="AT1680" s="78"/>
      <c r="AU1680" s="78"/>
      <c r="AV1680" s="78"/>
      <c r="AW1680" s="78"/>
      <c r="AX1680" s="78"/>
      <c r="AY1680" s="3"/>
      <c r="AZ1680" s="81"/>
      <c r="BB1680" s="5"/>
      <c r="BC1680" s="5"/>
    </row>
    <row r="1681" spans="1:55" x14ac:dyDescent="0.25">
      <c r="A1681" s="51">
        <v>43633</v>
      </c>
      <c r="B1681" s="54"/>
      <c r="C1681" s="55"/>
      <c r="D1681" s="55"/>
      <c r="E1681" s="55"/>
      <c r="F1681" s="55"/>
      <c r="G1681" s="55"/>
      <c r="H1681" s="55"/>
      <c r="I1681" s="55"/>
      <c r="J1681" s="55"/>
      <c r="K1681" s="55"/>
      <c r="L1681" s="55"/>
      <c r="M1681" s="55"/>
      <c r="N1681" s="55"/>
      <c r="O1681" s="55"/>
      <c r="P1681" s="56"/>
      <c r="AI1681" s="49"/>
      <c r="AJ1681" s="78"/>
      <c r="AK1681" s="78"/>
      <c r="AL1681" s="78"/>
      <c r="AM1681" s="78"/>
      <c r="AN1681" s="78"/>
      <c r="AO1681" s="78"/>
      <c r="AP1681" s="78"/>
      <c r="AQ1681" s="78"/>
      <c r="AR1681" s="78"/>
      <c r="AS1681" s="78"/>
      <c r="AT1681" s="78"/>
      <c r="AU1681" s="78"/>
      <c r="AV1681" s="78"/>
      <c r="AW1681" s="78"/>
      <c r="AX1681" s="78"/>
      <c r="AY1681" s="3"/>
      <c r="AZ1681" s="81"/>
      <c r="BB1681" s="5"/>
      <c r="BC1681" s="5"/>
    </row>
    <row r="1682" spans="1:55" x14ac:dyDescent="0.25">
      <c r="A1682" s="51">
        <v>43634</v>
      </c>
      <c r="B1682" s="54"/>
      <c r="C1682" s="55"/>
      <c r="D1682" s="55"/>
      <c r="E1682" s="55"/>
      <c r="F1682" s="55"/>
      <c r="G1682" s="55"/>
      <c r="H1682" s="55"/>
      <c r="I1682" s="55"/>
      <c r="J1682" s="55"/>
      <c r="K1682" s="55"/>
      <c r="L1682" s="55"/>
      <c r="M1682" s="55"/>
      <c r="N1682" s="55"/>
      <c r="O1682" s="55"/>
      <c r="P1682" s="56"/>
      <c r="AI1682" s="49"/>
      <c r="AJ1682" s="78"/>
      <c r="AK1682" s="78"/>
      <c r="AL1682" s="78"/>
      <c r="AM1682" s="78"/>
      <c r="AN1682" s="78"/>
      <c r="AO1682" s="78"/>
      <c r="AP1682" s="78"/>
      <c r="AQ1682" s="78"/>
      <c r="AR1682" s="78"/>
      <c r="AS1682" s="78"/>
      <c r="AT1682" s="78"/>
      <c r="AU1682" s="78"/>
      <c r="AV1682" s="78"/>
      <c r="AW1682" s="78"/>
      <c r="AX1682" s="78"/>
      <c r="AY1682" s="3"/>
      <c r="AZ1682" s="81"/>
      <c r="BB1682" s="5"/>
      <c r="BC1682" s="5"/>
    </row>
    <row r="1683" spans="1:55" x14ac:dyDescent="0.25">
      <c r="A1683" s="51">
        <v>43635</v>
      </c>
      <c r="B1683" s="54"/>
      <c r="C1683" s="55"/>
      <c r="D1683" s="55"/>
      <c r="E1683" s="55"/>
      <c r="F1683" s="55"/>
      <c r="G1683" s="55"/>
      <c r="H1683" s="55"/>
      <c r="I1683" s="55"/>
      <c r="J1683" s="55"/>
      <c r="K1683" s="55"/>
      <c r="L1683" s="55"/>
      <c r="M1683" s="55"/>
      <c r="N1683" s="55"/>
      <c r="O1683" s="55"/>
      <c r="P1683" s="56"/>
      <c r="AI1683" s="49"/>
      <c r="AJ1683" s="78"/>
      <c r="AK1683" s="78"/>
      <c r="AL1683" s="78"/>
      <c r="AM1683" s="78"/>
      <c r="AN1683" s="78"/>
      <c r="AO1683" s="78"/>
      <c r="AP1683" s="78"/>
      <c r="AQ1683" s="78"/>
      <c r="AR1683" s="78"/>
      <c r="AS1683" s="78"/>
      <c r="AT1683" s="78"/>
      <c r="AU1683" s="78"/>
      <c r="AV1683" s="78"/>
      <c r="AW1683" s="78"/>
      <c r="AX1683" s="78"/>
      <c r="AY1683" s="3"/>
      <c r="AZ1683" s="81"/>
      <c r="BB1683" s="5"/>
      <c r="BC1683" s="5"/>
    </row>
    <row r="1684" spans="1:55" x14ac:dyDescent="0.25">
      <c r="A1684" s="51">
        <v>43636</v>
      </c>
      <c r="B1684" s="54"/>
      <c r="C1684" s="55"/>
      <c r="D1684" s="55"/>
      <c r="E1684" s="55"/>
      <c r="F1684" s="55"/>
      <c r="G1684" s="55"/>
      <c r="H1684" s="55"/>
      <c r="I1684" s="55"/>
      <c r="J1684" s="55"/>
      <c r="K1684" s="55"/>
      <c r="L1684" s="55"/>
      <c r="M1684" s="55"/>
      <c r="N1684" s="55"/>
      <c r="O1684" s="55"/>
      <c r="P1684" s="56"/>
      <c r="AI1684" s="49"/>
      <c r="AJ1684" s="78"/>
      <c r="AK1684" s="78"/>
      <c r="AL1684" s="78"/>
      <c r="AM1684" s="78"/>
      <c r="AN1684" s="78"/>
      <c r="AO1684" s="78"/>
      <c r="AP1684" s="78"/>
      <c r="AQ1684" s="78"/>
      <c r="AR1684" s="78"/>
      <c r="AS1684" s="78"/>
      <c r="AT1684" s="78"/>
      <c r="AU1684" s="78"/>
      <c r="AV1684" s="78"/>
      <c r="AW1684" s="78"/>
      <c r="AX1684" s="78"/>
      <c r="AY1684" s="3"/>
      <c r="AZ1684" s="81"/>
      <c r="BB1684" s="5"/>
      <c r="BC1684" s="5"/>
    </row>
    <row r="1685" spans="1:55" x14ac:dyDescent="0.25">
      <c r="A1685" s="51">
        <v>43637</v>
      </c>
      <c r="B1685" s="54"/>
      <c r="C1685" s="55"/>
      <c r="D1685" s="55"/>
      <c r="E1685" s="55"/>
      <c r="F1685" s="55"/>
      <c r="G1685" s="55"/>
      <c r="H1685" s="55"/>
      <c r="I1685" s="55"/>
      <c r="J1685" s="55"/>
      <c r="K1685" s="55"/>
      <c r="L1685" s="55"/>
      <c r="M1685" s="55"/>
      <c r="N1685" s="55"/>
      <c r="O1685" s="55"/>
      <c r="P1685" s="56"/>
      <c r="AI1685" s="49"/>
      <c r="AJ1685" s="78"/>
      <c r="AK1685" s="78"/>
      <c r="AL1685" s="78"/>
      <c r="AM1685" s="78"/>
      <c r="AN1685" s="78"/>
      <c r="AO1685" s="78"/>
      <c r="AP1685" s="78"/>
      <c r="AQ1685" s="78"/>
      <c r="AR1685" s="78"/>
      <c r="AS1685" s="78"/>
      <c r="AT1685" s="78"/>
      <c r="AU1685" s="78"/>
      <c r="AV1685" s="78"/>
      <c r="AW1685" s="78"/>
      <c r="AX1685" s="78"/>
      <c r="AY1685" s="3"/>
      <c r="AZ1685" s="81"/>
      <c r="BB1685" s="5"/>
      <c r="BC1685" s="5"/>
    </row>
    <row r="1686" spans="1:55" x14ac:dyDescent="0.25">
      <c r="A1686" s="51">
        <v>43640</v>
      </c>
      <c r="B1686" s="54"/>
      <c r="C1686" s="55"/>
      <c r="D1686" s="55"/>
      <c r="E1686" s="55"/>
      <c r="F1686" s="55"/>
      <c r="G1686" s="55"/>
      <c r="H1686" s="55"/>
      <c r="I1686" s="55"/>
      <c r="J1686" s="55"/>
      <c r="K1686" s="55"/>
      <c r="L1686" s="55"/>
      <c r="M1686" s="55"/>
      <c r="N1686" s="55"/>
      <c r="O1686" s="55"/>
      <c r="P1686" s="56"/>
      <c r="AI1686" s="49"/>
      <c r="AJ1686" s="78"/>
      <c r="AK1686" s="78"/>
      <c r="AL1686" s="78"/>
      <c r="AM1686" s="78"/>
      <c r="AN1686" s="78"/>
      <c r="AO1686" s="78"/>
      <c r="AP1686" s="78"/>
      <c r="AQ1686" s="78"/>
      <c r="AR1686" s="78"/>
      <c r="AS1686" s="78"/>
      <c r="AT1686" s="78"/>
      <c r="AU1686" s="78"/>
      <c r="AV1686" s="78"/>
      <c r="AW1686" s="78"/>
      <c r="AX1686" s="78"/>
      <c r="AY1686" s="3"/>
      <c r="AZ1686" s="81"/>
      <c r="BB1686" s="5"/>
      <c r="BC1686" s="5"/>
    </row>
    <row r="1687" spans="1:55" x14ac:dyDescent="0.25">
      <c r="A1687" s="51">
        <v>43641</v>
      </c>
      <c r="B1687" s="54"/>
      <c r="C1687" s="55"/>
      <c r="D1687" s="55"/>
      <c r="E1687" s="55"/>
      <c r="F1687" s="55"/>
      <c r="G1687" s="55"/>
      <c r="H1687" s="55"/>
      <c r="I1687" s="55"/>
      <c r="J1687" s="55"/>
      <c r="K1687" s="55"/>
      <c r="L1687" s="55"/>
      <c r="M1687" s="55"/>
      <c r="N1687" s="55"/>
      <c r="O1687" s="55"/>
      <c r="P1687" s="56"/>
      <c r="AI1687" s="49"/>
      <c r="AJ1687" s="78"/>
      <c r="AK1687" s="78"/>
      <c r="AL1687" s="78"/>
      <c r="AM1687" s="78"/>
      <c r="AN1687" s="78"/>
      <c r="AO1687" s="78"/>
      <c r="AP1687" s="78"/>
      <c r="AQ1687" s="78"/>
      <c r="AR1687" s="78"/>
      <c r="AS1687" s="78"/>
      <c r="AT1687" s="78"/>
      <c r="AU1687" s="78"/>
      <c r="AV1687" s="78"/>
      <c r="AW1687" s="78"/>
      <c r="AX1687" s="78"/>
      <c r="AY1687" s="3"/>
      <c r="AZ1687" s="81"/>
      <c r="BB1687" s="5"/>
      <c r="BC1687" s="5"/>
    </row>
    <row r="1688" spans="1:55" x14ac:dyDescent="0.25">
      <c r="A1688" s="51">
        <v>43642</v>
      </c>
      <c r="B1688" s="54"/>
      <c r="C1688" s="55"/>
      <c r="D1688" s="55"/>
      <c r="E1688" s="55"/>
      <c r="F1688" s="55"/>
      <c r="G1688" s="55"/>
      <c r="H1688" s="55"/>
      <c r="I1688" s="55"/>
      <c r="J1688" s="55"/>
      <c r="K1688" s="55"/>
      <c r="L1688" s="55"/>
      <c r="M1688" s="55"/>
      <c r="N1688" s="55"/>
      <c r="O1688" s="55"/>
      <c r="P1688" s="56"/>
      <c r="AI1688" s="49"/>
      <c r="AJ1688" s="78"/>
      <c r="AK1688" s="78"/>
      <c r="AL1688" s="78"/>
      <c r="AM1688" s="78"/>
      <c r="AN1688" s="78"/>
      <c r="AO1688" s="78"/>
      <c r="AP1688" s="78"/>
      <c r="AQ1688" s="78"/>
      <c r="AR1688" s="78"/>
      <c r="AS1688" s="78"/>
      <c r="AT1688" s="78"/>
      <c r="AU1688" s="78"/>
      <c r="AV1688" s="78"/>
      <c r="AW1688" s="78"/>
      <c r="AX1688" s="78"/>
      <c r="AY1688" s="3"/>
      <c r="AZ1688" s="81"/>
      <c r="BB1688" s="5"/>
      <c r="BC1688" s="5"/>
    </row>
    <row r="1689" spans="1:55" x14ac:dyDescent="0.25">
      <c r="A1689" s="51">
        <v>43643</v>
      </c>
      <c r="B1689" s="54"/>
      <c r="C1689" s="55"/>
      <c r="D1689" s="55"/>
      <c r="E1689" s="55"/>
      <c r="F1689" s="55"/>
      <c r="G1689" s="55"/>
      <c r="H1689" s="55"/>
      <c r="I1689" s="55"/>
      <c r="J1689" s="55"/>
      <c r="K1689" s="55"/>
      <c r="L1689" s="55"/>
      <c r="M1689" s="55"/>
      <c r="N1689" s="55"/>
      <c r="O1689" s="55"/>
      <c r="P1689" s="56"/>
      <c r="AI1689" s="49"/>
      <c r="AJ1689" s="78"/>
      <c r="AK1689" s="78"/>
      <c r="AL1689" s="78"/>
      <c r="AM1689" s="78"/>
      <c r="AN1689" s="78"/>
      <c r="AO1689" s="78"/>
      <c r="AP1689" s="78"/>
      <c r="AQ1689" s="78"/>
      <c r="AR1689" s="78"/>
      <c r="AS1689" s="78"/>
      <c r="AT1689" s="78"/>
      <c r="AU1689" s="78"/>
      <c r="AV1689" s="78"/>
      <c r="AW1689" s="78"/>
      <c r="AX1689" s="78"/>
      <c r="AY1689" s="3"/>
      <c r="AZ1689" s="81"/>
      <c r="BB1689" s="5"/>
      <c r="BC1689" s="5"/>
    </row>
    <row r="1690" spans="1:55" x14ac:dyDescent="0.25">
      <c r="A1690" s="51">
        <v>43644</v>
      </c>
      <c r="B1690" s="54"/>
      <c r="C1690" s="55"/>
      <c r="D1690" s="55"/>
      <c r="E1690" s="55"/>
      <c r="F1690" s="55"/>
      <c r="G1690" s="55"/>
      <c r="H1690" s="55"/>
      <c r="I1690" s="55"/>
      <c r="J1690" s="55"/>
      <c r="K1690" s="55"/>
      <c r="L1690" s="55"/>
      <c r="M1690" s="55"/>
      <c r="N1690" s="55"/>
      <c r="O1690" s="55"/>
      <c r="P1690" s="56"/>
      <c r="AI1690" s="49"/>
      <c r="AJ1690" s="78"/>
      <c r="AK1690" s="78"/>
      <c r="AL1690" s="78"/>
      <c r="AM1690" s="78"/>
      <c r="AN1690" s="78"/>
      <c r="AO1690" s="78"/>
      <c r="AP1690" s="78"/>
      <c r="AQ1690" s="78"/>
      <c r="AR1690" s="78"/>
      <c r="AS1690" s="78"/>
      <c r="AT1690" s="78"/>
      <c r="AU1690" s="78"/>
      <c r="AV1690" s="78"/>
      <c r="AW1690" s="78"/>
      <c r="AX1690" s="78"/>
      <c r="AY1690" s="3"/>
      <c r="AZ1690" s="81"/>
      <c r="BB1690" s="5"/>
      <c r="BC1690" s="5"/>
    </row>
    <row r="1691" spans="1:55" x14ac:dyDescent="0.25">
      <c r="A1691" s="51">
        <v>43647</v>
      </c>
      <c r="B1691" s="54"/>
      <c r="C1691" s="55"/>
      <c r="D1691" s="55"/>
      <c r="E1691" s="55"/>
      <c r="F1691" s="55"/>
      <c r="G1691" s="55"/>
      <c r="H1691" s="55"/>
      <c r="I1691" s="55"/>
      <c r="J1691" s="55"/>
      <c r="K1691" s="55"/>
      <c r="L1691" s="55"/>
      <c r="M1691" s="55"/>
      <c r="N1691" s="55"/>
      <c r="O1691" s="55"/>
      <c r="P1691" s="56"/>
      <c r="AI1691" s="49"/>
      <c r="AJ1691" s="78"/>
      <c r="AK1691" s="78"/>
      <c r="AL1691" s="78"/>
      <c r="AM1691" s="78"/>
      <c r="AN1691" s="78"/>
      <c r="AO1691" s="78"/>
      <c r="AP1691" s="78"/>
      <c r="AQ1691" s="78"/>
      <c r="AR1691" s="78"/>
      <c r="AS1691" s="78"/>
      <c r="AT1691" s="78"/>
      <c r="AU1691" s="78"/>
      <c r="AV1691" s="78"/>
      <c r="AW1691" s="78"/>
      <c r="AX1691" s="78"/>
      <c r="AY1691" s="3"/>
      <c r="AZ1691" s="81"/>
      <c r="BB1691" s="5"/>
      <c r="BC1691" s="5"/>
    </row>
    <row r="1692" spans="1:55" x14ac:dyDescent="0.25">
      <c r="A1692" s="51">
        <v>43648</v>
      </c>
      <c r="B1692" s="54"/>
      <c r="C1692" s="55"/>
      <c r="D1692" s="55"/>
      <c r="E1692" s="55"/>
      <c r="F1692" s="55"/>
      <c r="G1692" s="55"/>
      <c r="H1692" s="55"/>
      <c r="I1692" s="55"/>
      <c r="J1692" s="55"/>
      <c r="K1692" s="55"/>
      <c r="L1692" s="55"/>
      <c r="M1692" s="55"/>
      <c r="N1692" s="55"/>
      <c r="O1692" s="55"/>
      <c r="P1692" s="56"/>
      <c r="AI1692" s="49"/>
      <c r="AJ1692" s="78"/>
      <c r="AK1692" s="78"/>
      <c r="AL1692" s="78"/>
      <c r="AM1692" s="78"/>
      <c r="AN1692" s="78"/>
      <c r="AO1692" s="78"/>
      <c r="AP1692" s="78"/>
      <c r="AQ1692" s="78"/>
      <c r="AR1692" s="78"/>
      <c r="AS1692" s="78"/>
      <c r="AT1692" s="78"/>
      <c r="AU1692" s="78"/>
      <c r="AV1692" s="78"/>
      <c r="AW1692" s="78"/>
      <c r="AX1692" s="78"/>
      <c r="AY1692" s="3"/>
      <c r="AZ1692" s="81"/>
      <c r="BB1692" s="5"/>
      <c r="BC1692" s="5"/>
    </row>
    <row r="1693" spans="1:55" x14ac:dyDescent="0.25">
      <c r="A1693" s="51">
        <v>43649</v>
      </c>
      <c r="B1693" s="54"/>
      <c r="C1693" s="55"/>
      <c r="D1693" s="55"/>
      <c r="E1693" s="55"/>
      <c r="F1693" s="55"/>
      <c r="G1693" s="55"/>
      <c r="H1693" s="55"/>
      <c r="I1693" s="55"/>
      <c r="J1693" s="55"/>
      <c r="K1693" s="55"/>
      <c r="L1693" s="55"/>
      <c r="M1693" s="55"/>
      <c r="N1693" s="55"/>
      <c r="O1693" s="55"/>
      <c r="P1693" s="56"/>
      <c r="AI1693" s="49"/>
      <c r="AJ1693" s="78"/>
      <c r="AK1693" s="78"/>
      <c r="AL1693" s="78"/>
      <c r="AM1693" s="78"/>
      <c r="AN1693" s="78"/>
      <c r="AO1693" s="78"/>
      <c r="AP1693" s="78"/>
      <c r="AQ1693" s="78"/>
      <c r="AR1693" s="78"/>
      <c r="AS1693" s="78"/>
      <c r="AT1693" s="78"/>
      <c r="AU1693" s="78"/>
      <c r="AV1693" s="78"/>
      <c r="AW1693" s="78"/>
      <c r="AX1693" s="78"/>
      <c r="AY1693" s="3"/>
      <c r="AZ1693" s="81"/>
      <c r="BB1693" s="5"/>
      <c r="BC1693" s="5"/>
    </row>
    <row r="1694" spans="1:55" x14ac:dyDescent="0.25">
      <c r="A1694" s="51">
        <v>43650</v>
      </c>
      <c r="B1694" s="54"/>
      <c r="C1694" s="55"/>
      <c r="D1694" s="55"/>
      <c r="E1694" s="55"/>
      <c r="F1694" s="55"/>
      <c r="G1694" s="55"/>
      <c r="H1694" s="55"/>
      <c r="I1694" s="55"/>
      <c r="J1694" s="55"/>
      <c r="K1694" s="55"/>
      <c r="L1694" s="55"/>
      <c r="M1694" s="55"/>
      <c r="N1694" s="55"/>
      <c r="O1694" s="55"/>
      <c r="P1694" s="56"/>
      <c r="AI1694" s="49"/>
      <c r="AJ1694" s="78"/>
      <c r="AK1694" s="78"/>
      <c r="AL1694" s="78"/>
      <c r="AM1694" s="78"/>
      <c r="AN1694" s="78"/>
      <c r="AO1694" s="78"/>
      <c r="AP1694" s="78"/>
      <c r="AQ1694" s="78"/>
      <c r="AR1694" s="78"/>
      <c r="AS1694" s="78"/>
      <c r="AT1694" s="78"/>
      <c r="AU1694" s="78"/>
      <c r="AV1694" s="78"/>
      <c r="AW1694" s="78"/>
      <c r="AX1694" s="78"/>
      <c r="AY1694" s="3"/>
      <c r="AZ1694" s="81"/>
      <c r="BB1694" s="5"/>
      <c r="BC1694" s="5"/>
    </row>
    <row r="1695" spans="1:55" x14ac:dyDescent="0.25">
      <c r="A1695" s="51">
        <v>43651</v>
      </c>
      <c r="B1695" s="54"/>
      <c r="C1695" s="55"/>
      <c r="D1695" s="55"/>
      <c r="E1695" s="55"/>
      <c r="F1695" s="55"/>
      <c r="G1695" s="55"/>
      <c r="H1695" s="55"/>
      <c r="I1695" s="55"/>
      <c r="J1695" s="55"/>
      <c r="K1695" s="55"/>
      <c r="L1695" s="55"/>
      <c r="M1695" s="55"/>
      <c r="N1695" s="55"/>
      <c r="O1695" s="55"/>
      <c r="P1695" s="56"/>
      <c r="AI1695" s="49"/>
      <c r="AJ1695" s="78"/>
      <c r="AK1695" s="78"/>
      <c r="AL1695" s="78"/>
      <c r="AM1695" s="78"/>
      <c r="AN1695" s="78"/>
      <c r="AO1695" s="78"/>
      <c r="AP1695" s="78"/>
      <c r="AQ1695" s="78"/>
      <c r="AR1695" s="78"/>
      <c r="AS1695" s="78"/>
      <c r="AT1695" s="78"/>
      <c r="AU1695" s="78"/>
      <c r="AV1695" s="78"/>
      <c r="AW1695" s="78"/>
      <c r="AX1695" s="78"/>
      <c r="AY1695" s="3"/>
      <c r="AZ1695" s="81"/>
      <c r="BB1695" s="5"/>
      <c r="BC1695" s="5"/>
    </row>
    <row r="1696" spans="1:55" x14ac:dyDescent="0.25">
      <c r="A1696" s="51">
        <v>43654</v>
      </c>
      <c r="B1696" s="54"/>
      <c r="C1696" s="55"/>
      <c r="D1696" s="55"/>
      <c r="E1696" s="55"/>
      <c r="F1696" s="55"/>
      <c r="G1696" s="55"/>
      <c r="H1696" s="55"/>
      <c r="I1696" s="55"/>
      <c r="J1696" s="55"/>
      <c r="K1696" s="55"/>
      <c r="L1696" s="55"/>
      <c r="M1696" s="55"/>
      <c r="N1696" s="55"/>
      <c r="O1696" s="55"/>
      <c r="P1696" s="56"/>
      <c r="AI1696" s="49"/>
      <c r="AJ1696" s="78"/>
      <c r="AK1696" s="78"/>
      <c r="AL1696" s="78"/>
      <c r="AM1696" s="78"/>
      <c r="AN1696" s="78"/>
      <c r="AO1696" s="78"/>
      <c r="AP1696" s="78"/>
      <c r="AQ1696" s="78"/>
      <c r="AR1696" s="78"/>
      <c r="AS1696" s="78"/>
      <c r="AT1696" s="78"/>
      <c r="AU1696" s="78"/>
      <c r="AV1696" s="78"/>
      <c r="AW1696" s="78"/>
      <c r="AX1696" s="78"/>
      <c r="AY1696" s="3"/>
      <c r="AZ1696" s="81"/>
      <c r="BB1696" s="5"/>
      <c r="BC1696" s="5"/>
    </row>
    <row r="1697" spans="1:55" x14ac:dyDescent="0.25">
      <c r="A1697" s="51">
        <v>43655</v>
      </c>
      <c r="B1697" s="54"/>
      <c r="C1697" s="55"/>
      <c r="D1697" s="55"/>
      <c r="E1697" s="55"/>
      <c r="F1697" s="55"/>
      <c r="G1697" s="55"/>
      <c r="H1697" s="55"/>
      <c r="I1697" s="55"/>
      <c r="J1697" s="55"/>
      <c r="K1697" s="55"/>
      <c r="L1697" s="55"/>
      <c r="M1697" s="55"/>
      <c r="N1697" s="55"/>
      <c r="O1697" s="55"/>
      <c r="P1697" s="56"/>
      <c r="AI1697" s="49"/>
      <c r="AJ1697" s="78"/>
      <c r="AK1697" s="78"/>
      <c r="AL1697" s="78"/>
      <c r="AM1697" s="78"/>
      <c r="AN1697" s="78"/>
      <c r="AO1697" s="78"/>
      <c r="AP1697" s="78"/>
      <c r="AQ1697" s="78"/>
      <c r="AR1697" s="78"/>
      <c r="AS1697" s="78"/>
      <c r="AT1697" s="78"/>
      <c r="AU1697" s="78"/>
      <c r="AV1697" s="78"/>
      <c r="AW1697" s="78"/>
      <c r="AX1697" s="78"/>
      <c r="AY1697" s="3"/>
      <c r="AZ1697" s="81"/>
      <c r="BB1697" s="5"/>
      <c r="BC1697" s="5"/>
    </row>
    <row r="1698" spans="1:55" x14ac:dyDescent="0.25">
      <c r="A1698" s="51">
        <v>43656</v>
      </c>
      <c r="B1698" s="54"/>
      <c r="C1698" s="55"/>
      <c r="D1698" s="55"/>
      <c r="E1698" s="55"/>
      <c r="F1698" s="55"/>
      <c r="G1698" s="55"/>
      <c r="H1698" s="55"/>
      <c r="I1698" s="55"/>
      <c r="J1698" s="55"/>
      <c r="K1698" s="55"/>
      <c r="L1698" s="55"/>
      <c r="M1698" s="55"/>
      <c r="N1698" s="55"/>
      <c r="O1698" s="55"/>
      <c r="P1698" s="56"/>
      <c r="AI1698" s="49"/>
      <c r="AJ1698" s="78"/>
      <c r="AK1698" s="78"/>
      <c r="AL1698" s="78"/>
      <c r="AM1698" s="78"/>
      <c r="AN1698" s="78"/>
      <c r="AO1698" s="78"/>
      <c r="AP1698" s="78"/>
      <c r="AQ1698" s="78"/>
      <c r="AR1698" s="78"/>
      <c r="AS1698" s="78"/>
      <c r="AT1698" s="78"/>
      <c r="AU1698" s="78"/>
      <c r="AV1698" s="78"/>
      <c r="AW1698" s="78"/>
      <c r="AX1698" s="78"/>
      <c r="AY1698" s="3"/>
      <c r="AZ1698" s="81"/>
      <c r="BB1698" s="5"/>
      <c r="BC1698" s="5"/>
    </row>
    <row r="1699" spans="1:55" x14ac:dyDescent="0.25">
      <c r="A1699" s="51">
        <v>43657</v>
      </c>
      <c r="B1699" s="54"/>
      <c r="C1699" s="55"/>
      <c r="D1699" s="55"/>
      <c r="E1699" s="55"/>
      <c r="F1699" s="55"/>
      <c r="G1699" s="55"/>
      <c r="H1699" s="55"/>
      <c r="I1699" s="55"/>
      <c r="J1699" s="55"/>
      <c r="K1699" s="55"/>
      <c r="L1699" s="55"/>
      <c r="M1699" s="55"/>
      <c r="N1699" s="55"/>
      <c r="O1699" s="55"/>
      <c r="P1699" s="56"/>
      <c r="AI1699" s="49"/>
      <c r="AJ1699" s="78"/>
      <c r="AK1699" s="78"/>
      <c r="AL1699" s="78"/>
      <c r="AM1699" s="78"/>
      <c r="AN1699" s="78"/>
      <c r="AO1699" s="78"/>
      <c r="AP1699" s="78"/>
      <c r="AQ1699" s="78"/>
      <c r="AR1699" s="78"/>
      <c r="AS1699" s="78"/>
      <c r="AT1699" s="78"/>
      <c r="AU1699" s="78"/>
      <c r="AV1699" s="78"/>
      <c r="AW1699" s="78"/>
      <c r="AX1699" s="78"/>
      <c r="AY1699" s="3"/>
      <c r="AZ1699" s="81"/>
      <c r="BB1699" s="5"/>
      <c r="BC1699" s="5"/>
    </row>
    <row r="1700" spans="1:55" x14ac:dyDescent="0.25">
      <c r="A1700" s="51">
        <v>43658</v>
      </c>
      <c r="B1700" s="54"/>
      <c r="C1700" s="55"/>
      <c r="D1700" s="55"/>
      <c r="E1700" s="55"/>
      <c r="F1700" s="55"/>
      <c r="G1700" s="55"/>
      <c r="H1700" s="55"/>
      <c r="I1700" s="55"/>
      <c r="J1700" s="55"/>
      <c r="K1700" s="55"/>
      <c r="L1700" s="55"/>
      <c r="M1700" s="55"/>
      <c r="N1700" s="55"/>
      <c r="O1700" s="55"/>
      <c r="P1700" s="56"/>
      <c r="AI1700" s="49"/>
      <c r="AJ1700" s="78"/>
      <c r="AK1700" s="78"/>
      <c r="AL1700" s="78"/>
      <c r="AM1700" s="78"/>
      <c r="AN1700" s="78"/>
      <c r="AO1700" s="78"/>
      <c r="AP1700" s="78"/>
      <c r="AQ1700" s="78"/>
      <c r="AR1700" s="78"/>
      <c r="AS1700" s="78"/>
      <c r="AT1700" s="78"/>
      <c r="AU1700" s="78"/>
      <c r="AV1700" s="78"/>
      <c r="AW1700" s="78"/>
      <c r="AX1700" s="78"/>
      <c r="AY1700" s="3"/>
      <c r="AZ1700" s="81"/>
      <c r="BB1700" s="5"/>
      <c r="BC1700" s="5"/>
    </row>
    <row r="1701" spans="1:55" x14ac:dyDescent="0.25">
      <c r="A1701" s="51">
        <v>43661</v>
      </c>
      <c r="B1701" s="54"/>
      <c r="C1701" s="55"/>
      <c r="D1701" s="55"/>
      <c r="E1701" s="55"/>
      <c r="F1701" s="55"/>
      <c r="G1701" s="55"/>
      <c r="H1701" s="55"/>
      <c r="I1701" s="55"/>
      <c r="J1701" s="55"/>
      <c r="K1701" s="55"/>
      <c r="L1701" s="55"/>
      <c r="M1701" s="55"/>
      <c r="N1701" s="55"/>
      <c r="O1701" s="55"/>
      <c r="P1701" s="56"/>
      <c r="AI1701" s="49"/>
      <c r="AJ1701" s="78"/>
      <c r="AK1701" s="78"/>
      <c r="AL1701" s="78"/>
      <c r="AM1701" s="78"/>
      <c r="AN1701" s="78"/>
      <c r="AO1701" s="78"/>
      <c r="AP1701" s="78"/>
      <c r="AQ1701" s="78"/>
      <c r="AR1701" s="78"/>
      <c r="AS1701" s="78"/>
      <c r="AT1701" s="78"/>
      <c r="AU1701" s="78"/>
      <c r="AV1701" s="78"/>
      <c r="AW1701" s="78"/>
      <c r="AX1701" s="78"/>
      <c r="AY1701" s="3"/>
      <c r="AZ1701" s="81"/>
      <c r="BB1701" s="5"/>
      <c r="BC1701" s="5"/>
    </row>
    <row r="1702" spans="1:55" x14ac:dyDescent="0.25">
      <c r="A1702" s="51">
        <v>43662</v>
      </c>
      <c r="B1702" s="54"/>
      <c r="C1702" s="55"/>
      <c r="D1702" s="55"/>
      <c r="E1702" s="55"/>
      <c r="F1702" s="55"/>
      <c r="G1702" s="55"/>
      <c r="H1702" s="55"/>
      <c r="I1702" s="55"/>
      <c r="J1702" s="55"/>
      <c r="K1702" s="55"/>
      <c r="L1702" s="55"/>
      <c r="M1702" s="55"/>
      <c r="N1702" s="55"/>
      <c r="O1702" s="55"/>
      <c r="P1702" s="56"/>
      <c r="AI1702" s="49"/>
      <c r="AJ1702" s="78"/>
      <c r="AK1702" s="78"/>
      <c r="AL1702" s="78"/>
      <c r="AM1702" s="78"/>
      <c r="AN1702" s="78"/>
      <c r="AO1702" s="78"/>
      <c r="AP1702" s="78"/>
      <c r="AQ1702" s="78"/>
      <c r="AR1702" s="78"/>
      <c r="AS1702" s="78"/>
      <c r="AT1702" s="78"/>
      <c r="AU1702" s="78"/>
      <c r="AV1702" s="78"/>
      <c r="AW1702" s="78"/>
      <c r="AX1702" s="78"/>
      <c r="AY1702" s="3"/>
      <c r="AZ1702" s="81"/>
      <c r="BB1702" s="5"/>
      <c r="BC1702" s="5"/>
    </row>
    <row r="1703" spans="1:55" x14ac:dyDescent="0.25">
      <c r="A1703" s="51">
        <v>43663</v>
      </c>
      <c r="B1703" s="54"/>
      <c r="C1703" s="55"/>
      <c r="D1703" s="55"/>
      <c r="E1703" s="55"/>
      <c r="F1703" s="55"/>
      <c r="G1703" s="55"/>
      <c r="H1703" s="55"/>
      <c r="I1703" s="55"/>
      <c r="J1703" s="55"/>
      <c r="K1703" s="55"/>
      <c r="L1703" s="55"/>
      <c r="M1703" s="55"/>
      <c r="N1703" s="55"/>
      <c r="O1703" s="55"/>
      <c r="P1703" s="56"/>
      <c r="AI1703" s="49"/>
      <c r="AJ1703" s="78"/>
      <c r="AK1703" s="78"/>
      <c r="AL1703" s="78"/>
      <c r="AM1703" s="78"/>
      <c r="AN1703" s="78"/>
      <c r="AO1703" s="78"/>
      <c r="AP1703" s="78"/>
      <c r="AQ1703" s="78"/>
      <c r="AR1703" s="78"/>
      <c r="AS1703" s="78"/>
      <c r="AT1703" s="78"/>
      <c r="AU1703" s="78"/>
      <c r="AV1703" s="78"/>
      <c r="AW1703" s="78"/>
      <c r="AX1703" s="78"/>
      <c r="AY1703" s="3"/>
      <c r="AZ1703" s="81"/>
      <c r="BB1703" s="5"/>
      <c r="BC1703" s="5"/>
    </row>
    <row r="1704" spans="1:55" x14ac:dyDescent="0.25">
      <c r="A1704" s="51">
        <v>43664</v>
      </c>
      <c r="B1704" s="54"/>
      <c r="C1704" s="55"/>
      <c r="D1704" s="55"/>
      <c r="E1704" s="55"/>
      <c r="F1704" s="55"/>
      <c r="G1704" s="55"/>
      <c r="H1704" s="55"/>
      <c r="I1704" s="55"/>
      <c r="J1704" s="55"/>
      <c r="K1704" s="55"/>
      <c r="L1704" s="55"/>
      <c r="M1704" s="55"/>
      <c r="N1704" s="55"/>
      <c r="O1704" s="55"/>
      <c r="P1704" s="56"/>
      <c r="AI1704" s="49"/>
      <c r="AJ1704" s="78"/>
      <c r="AK1704" s="78"/>
      <c r="AL1704" s="78"/>
      <c r="AM1704" s="78"/>
      <c r="AN1704" s="78"/>
      <c r="AO1704" s="78"/>
      <c r="AP1704" s="78"/>
      <c r="AQ1704" s="78"/>
      <c r="AR1704" s="78"/>
      <c r="AS1704" s="78"/>
      <c r="AT1704" s="78"/>
      <c r="AU1704" s="78"/>
      <c r="AV1704" s="78"/>
      <c r="AW1704" s="78"/>
      <c r="AX1704" s="78"/>
      <c r="AY1704" s="3"/>
      <c r="AZ1704" s="81"/>
      <c r="BB1704" s="5"/>
      <c r="BC1704" s="5"/>
    </row>
    <row r="1705" spans="1:55" x14ac:dyDescent="0.25">
      <c r="A1705" s="51">
        <v>43665</v>
      </c>
      <c r="B1705" s="54"/>
      <c r="C1705" s="55"/>
      <c r="D1705" s="55"/>
      <c r="E1705" s="55"/>
      <c r="F1705" s="55"/>
      <c r="G1705" s="55"/>
      <c r="H1705" s="55"/>
      <c r="I1705" s="55"/>
      <c r="J1705" s="55"/>
      <c r="K1705" s="55"/>
      <c r="L1705" s="55"/>
      <c r="M1705" s="55"/>
      <c r="N1705" s="55"/>
      <c r="O1705" s="55"/>
      <c r="P1705" s="56"/>
      <c r="AI1705" s="49"/>
      <c r="AJ1705" s="78"/>
      <c r="AK1705" s="78"/>
      <c r="AL1705" s="78"/>
      <c r="AM1705" s="78"/>
      <c r="AN1705" s="78"/>
      <c r="AO1705" s="78"/>
      <c r="AP1705" s="78"/>
      <c r="AQ1705" s="78"/>
      <c r="AR1705" s="78"/>
      <c r="AS1705" s="78"/>
      <c r="AT1705" s="78"/>
      <c r="AU1705" s="78"/>
      <c r="AV1705" s="78"/>
      <c r="AW1705" s="78"/>
      <c r="AX1705" s="78"/>
      <c r="AY1705" s="3"/>
      <c r="AZ1705" s="81"/>
      <c r="BB1705" s="5"/>
      <c r="BC1705" s="5"/>
    </row>
    <row r="1706" spans="1:55" x14ac:dyDescent="0.25">
      <c r="A1706" s="51">
        <v>43668</v>
      </c>
      <c r="B1706" s="54"/>
      <c r="C1706" s="55"/>
      <c r="D1706" s="55"/>
      <c r="E1706" s="55"/>
      <c r="F1706" s="55"/>
      <c r="G1706" s="55"/>
      <c r="H1706" s="55"/>
      <c r="I1706" s="55"/>
      <c r="J1706" s="55"/>
      <c r="K1706" s="55"/>
      <c r="L1706" s="55"/>
      <c r="M1706" s="55"/>
      <c r="N1706" s="55"/>
      <c r="O1706" s="55"/>
      <c r="P1706" s="56"/>
      <c r="AI1706" s="49"/>
      <c r="AJ1706" s="78"/>
      <c r="AK1706" s="78"/>
      <c r="AL1706" s="78"/>
      <c r="AM1706" s="78"/>
      <c r="AN1706" s="78"/>
      <c r="AO1706" s="78"/>
      <c r="AP1706" s="78"/>
      <c r="AQ1706" s="78"/>
      <c r="AR1706" s="78"/>
      <c r="AS1706" s="78"/>
      <c r="AT1706" s="78"/>
      <c r="AU1706" s="78"/>
      <c r="AV1706" s="78"/>
      <c r="AW1706" s="78"/>
      <c r="AX1706" s="78"/>
      <c r="AY1706" s="3"/>
      <c r="AZ1706" s="81"/>
      <c r="BB1706" s="5"/>
      <c r="BC1706" s="5"/>
    </row>
    <row r="1707" spans="1:55" x14ac:dyDescent="0.25">
      <c r="A1707" s="51">
        <v>43669</v>
      </c>
      <c r="B1707" s="54"/>
      <c r="C1707" s="55"/>
      <c r="D1707" s="55"/>
      <c r="E1707" s="55"/>
      <c r="F1707" s="55"/>
      <c r="G1707" s="55"/>
      <c r="H1707" s="55"/>
      <c r="I1707" s="55"/>
      <c r="J1707" s="55"/>
      <c r="K1707" s="55"/>
      <c r="L1707" s="55"/>
      <c r="M1707" s="55"/>
      <c r="N1707" s="55"/>
      <c r="O1707" s="55"/>
      <c r="P1707" s="56"/>
      <c r="AI1707" s="49"/>
      <c r="AJ1707" s="78"/>
      <c r="AK1707" s="78"/>
      <c r="AL1707" s="78"/>
      <c r="AM1707" s="78"/>
      <c r="AN1707" s="78"/>
      <c r="AO1707" s="78"/>
      <c r="AP1707" s="78"/>
      <c r="AQ1707" s="78"/>
      <c r="AR1707" s="78"/>
      <c r="AS1707" s="78"/>
      <c r="AT1707" s="78"/>
      <c r="AU1707" s="78"/>
      <c r="AV1707" s="78"/>
      <c r="AW1707" s="78"/>
      <c r="AX1707" s="78"/>
      <c r="AY1707" s="3"/>
      <c r="AZ1707" s="81"/>
      <c r="BB1707" s="5"/>
      <c r="BC1707" s="5"/>
    </row>
    <row r="1708" spans="1:55" x14ac:dyDescent="0.25">
      <c r="A1708" s="51">
        <v>43670</v>
      </c>
      <c r="B1708" s="54"/>
      <c r="C1708" s="55"/>
      <c r="D1708" s="55"/>
      <c r="E1708" s="55"/>
      <c r="F1708" s="55"/>
      <c r="G1708" s="55"/>
      <c r="H1708" s="55"/>
      <c r="I1708" s="55"/>
      <c r="J1708" s="55"/>
      <c r="K1708" s="55"/>
      <c r="L1708" s="55"/>
      <c r="M1708" s="55"/>
      <c r="N1708" s="55"/>
      <c r="O1708" s="55"/>
      <c r="P1708" s="56"/>
      <c r="AI1708" s="49"/>
      <c r="AJ1708" s="78"/>
      <c r="AK1708" s="78"/>
      <c r="AL1708" s="78"/>
      <c r="AM1708" s="78"/>
      <c r="AN1708" s="78"/>
      <c r="AO1708" s="78"/>
      <c r="AP1708" s="78"/>
      <c r="AQ1708" s="78"/>
      <c r="AR1708" s="78"/>
      <c r="AS1708" s="78"/>
      <c r="AT1708" s="78"/>
      <c r="AU1708" s="78"/>
      <c r="AV1708" s="78"/>
      <c r="AW1708" s="78"/>
      <c r="AX1708" s="78"/>
      <c r="AY1708" s="3"/>
      <c r="AZ1708" s="81"/>
      <c r="BB1708" s="5"/>
      <c r="BC1708" s="5"/>
    </row>
    <row r="1709" spans="1:55" x14ac:dyDescent="0.25">
      <c r="A1709" s="51">
        <v>43671</v>
      </c>
      <c r="B1709" s="54"/>
      <c r="C1709" s="55"/>
      <c r="D1709" s="55"/>
      <c r="E1709" s="55"/>
      <c r="F1709" s="55"/>
      <c r="G1709" s="55"/>
      <c r="H1709" s="55"/>
      <c r="I1709" s="55"/>
      <c r="J1709" s="55"/>
      <c r="K1709" s="55"/>
      <c r="L1709" s="55"/>
      <c r="M1709" s="55"/>
      <c r="N1709" s="55"/>
      <c r="O1709" s="55"/>
      <c r="P1709" s="56"/>
      <c r="AI1709" s="49"/>
      <c r="AJ1709" s="78"/>
      <c r="AK1709" s="78"/>
      <c r="AL1709" s="78"/>
      <c r="AM1709" s="78"/>
      <c r="AN1709" s="78"/>
      <c r="AO1709" s="78"/>
      <c r="AP1709" s="78"/>
      <c r="AQ1709" s="78"/>
      <c r="AR1709" s="78"/>
      <c r="AS1709" s="78"/>
      <c r="AT1709" s="78"/>
      <c r="AU1709" s="78"/>
      <c r="AV1709" s="78"/>
      <c r="AW1709" s="78"/>
      <c r="AX1709" s="78"/>
      <c r="AY1709" s="3"/>
      <c r="AZ1709" s="81"/>
      <c r="BB1709" s="5"/>
      <c r="BC1709" s="5"/>
    </row>
    <row r="1710" spans="1:55" x14ac:dyDescent="0.25">
      <c r="A1710" s="51">
        <v>43672</v>
      </c>
      <c r="B1710" s="54"/>
      <c r="C1710" s="55"/>
      <c r="D1710" s="55"/>
      <c r="E1710" s="55"/>
      <c r="F1710" s="55"/>
      <c r="G1710" s="55"/>
      <c r="H1710" s="55"/>
      <c r="I1710" s="55"/>
      <c r="J1710" s="55"/>
      <c r="K1710" s="55"/>
      <c r="L1710" s="55"/>
      <c r="M1710" s="55"/>
      <c r="N1710" s="55"/>
      <c r="O1710" s="55"/>
      <c r="P1710" s="56"/>
      <c r="AI1710" s="49"/>
      <c r="AJ1710" s="78"/>
      <c r="AK1710" s="78"/>
      <c r="AL1710" s="78"/>
      <c r="AM1710" s="78"/>
      <c r="AN1710" s="78"/>
      <c r="AO1710" s="78"/>
      <c r="AP1710" s="78"/>
      <c r="AQ1710" s="78"/>
      <c r="AR1710" s="78"/>
      <c r="AS1710" s="78"/>
      <c r="AT1710" s="78"/>
      <c r="AU1710" s="78"/>
      <c r="AV1710" s="78"/>
      <c r="AW1710" s="78"/>
      <c r="AX1710" s="78"/>
      <c r="AY1710" s="3"/>
      <c r="AZ1710" s="81"/>
      <c r="BB1710" s="5"/>
      <c r="BC1710" s="5"/>
    </row>
    <row r="1711" spans="1:55" x14ac:dyDescent="0.25">
      <c r="A1711" s="51">
        <v>43676</v>
      </c>
      <c r="B1711" s="54"/>
      <c r="C1711" s="55"/>
      <c r="D1711" s="55"/>
      <c r="E1711" s="55"/>
      <c r="F1711" s="55"/>
      <c r="G1711" s="55"/>
      <c r="H1711" s="55"/>
      <c r="I1711" s="55"/>
      <c r="J1711" s="55"/>
      <c r="K1711" s="55"/>
      <c r="L1711" s="55"/>
      <c r="M1711" s="55"/>
      <c r="N1711" s="55"/>
      <c r="O1711" s="55"/>
      <c r="P1711" s="56"/>
      <c r="AI1711" s="49"/>
      <c r="AJ1711" s="78"/>
      <c r="AK1711" s="78"/>
      <c r="AL1711" s="78"/>
      <c r="AM1711" s="78"/>
      <c r="AN1711" s="78"/>
      <c r="AO1711" s="78"/>
      <c r="AP1711" s="78"/>
      <c r="AQ1711" s="78"/>
      <c r="AR1711" s="78"/>
      <c r="AS1711" s="78"/>
      <c r="AT1711" s="78"/>
      <c r="AU1711" s="78"/>
      <c r="AV1711" s="78"/>
      <c r="AW1711" s="78"/>
      <c r="AX1711" s="78"/>
      <c r="AY1711" s="3"/>
      <c r="AZ1711" s="81"/>
      <c r="BB1711" s="5"/>
      <c r="BC1711" s="5"/>
    </row>
    <row r="1712" spans="1:55" x14ac:dyDescent="0.25">
      <c r="A1712" s="51">
        <v>43677</v>
      </c>
      <c r="B1712" s="54"/>
      <c r="C1712" s="55"/>
      <c r="D1712" s="55"/>
      <c r="E1712" s="55"/>
      <c r="F1712" s="55"/>
      <c r="G1712" s="55"/>
      <c r="H1712" s="55"/>
      <c r="I1712" s="55"/>
      <c r="J1712" s="55"/>
      <c r="K1712" s="55"/>
      <c r="L1712" s="55"/>
      <c r="M1712" s="55"/>
      <c r="N1712" s="55"/>
      <c r="O1712" s="55"/>
      <c r="P1712" s="56"/>
      <c r="AI1712" s="49"/>
      <c r="AJ1712" s="78"/>
      <c r="AK1712" s="78"/>
      <c r="AL1712" s="78"/>
      <c r="AM1712" s="78"/>
      <c r="AN1712" s="78"/>
      <c r="AO1712" s="78"/>
      <c r="AP1712" s="78"/>
      <c r="AQ1712" s="78"/>
      <c r="AR1712" s="78"/>
      <c r="AS1712" s="78"/>
      <c r="AT1712" s="78"/>
      <c r="AU1712" s="78"/>
      <c r="AV1712" s="78"/>
      <c r="AW1712" s="78"/>
      <c r="AX1712" s="78"/>
      <c r="AY1712" s="3"/>
      <c r="AZ1712" s="81"/>
      <c r="BB1712" s="5"/>
      <c r="BC1712" s="5"/>
    </row>
    <row r="1713" spans="1:55" x14ac:dyDescent="0.25">
      <c r="A1713" s="51">
        <v>43678</v>
      </c>
      <c r="B1713" s="54"/>
      <c r="C1713" s="55"/>
      <c r="D1713" s="55"/>
      <c r="E1713" s="55"/>
      <c r="F1713" s="55"/>
      <c r="G1713" s="55"/>
      <c r="H1713" s="55"/>
      <c r="I1713" s="55"/>
      <c r="J1713" s="55"/>
      <c r="K1713" s="55"/>
      <c r="L1713" s="55"/>
      <c r="M1713" s="55"/>
      <c r="N1713" s="55"/>
      <c r="O1713" s="55"/>
      <c r="P1713" s="56"/>
      <c r="AI1713" s="49"/>
      <c r="AJ1713" s="78"/>
      <c r="AK1713" s="78"/>
      <c r="AL1713" s="78"/>
      <c r="AM1713" s="78"/>
      <c r="AN1713" s="78"/>
      <c r="AO1713" s="78"/>
      <c r="AP1713" s="78"/>
      <c r="AQ1713" s="78"/>
      <c r="AR1713" s="78"/>
      <c r="AS1713" s="78"/>
      <c r="AT1713" s="78"/>
      <c r="AU1713" s="78"/>
      <c r="AV1713" s="78"/>
      <c r="AW1713" s="78"/>
      <c r="AX1713" s="78"/>
      <c r="AY1713" s="3"/>
      <c r="AZ1713" s="81"/>
      <c r="BB1713" s="5"/>
      <c r="BC1713" s="5"/>
    </row>
    <row r="1714" spans="1:55" x14ac:dyDescent="0.25">
      <c r="A1714" s="51">
        <v>43679</v>
      </c>
      <c r="B1714" s="54"/>
      <c r="C1714" s="55"/>
      <c r="D1714" s="55"/>
      <c r="E1714" s="55"/>
      <c r="F1714" s="55"/>
      <c r="G1714" s="55"/>
      <c r="H1714" s="55"/>
      <c r="I1714" s="55"/>
      <c r="J1714" s="55"/>
      <c r="K1714" s="55"/>
      <c r="L1714" s="55"/>
      <c r="M1714" s="55"/>
      <c r="N1714" s="55"/>
      <c r="O1714" s="55"/>
      <c r="P1714" s="56"/>
      <c r="AI1714" s="49"/>
      <c r="AJ1714" s="78"/>
      <c r="AK1714" s="78"/>
      <c r="AL1714" s="78"/>
      <c r="AM1714" s="78"/>
      <c r="AN1714" s="78"/>
      <c r="AO1714" s="78"/>
      <c r="AP1714" s="78"/>
      <c r="AQ1714" s="78"/>
      <c r="AR1714" s="78"/>
      <c r="AS1714" s="78"/>
      <c r="AT1714" s="78"/>
      <c r="AU1714" s="78"/>
      <c r="AV1714" s="78"/>
      <c r="AW1714" s="78"/>
      <c r="AX1714" s="78"/>
      <c r="AY1714" s="3"/>
      <c r="AZ1714" s="81"/>
      <c r="BB1714" s="5"/>
      <c r="BC1714" s="5"/>
    </row>
    <row r="1715" spans="1:55" x14ac:dyDescent="0.25">
      <c r="A1715" s="51">
        <v>43682</v>
      </c>
      <c r="B1715" s="54"/>
      <c r="C1715" s="55"/>
      <c r="D1715" s="55"/>
      <c r="E1715" s="55"/>
      <c r="F1715" s="55"/>
      <c r="G1715" s="55"/>
      <c r="H1715" s="55"/>
      <c r="I1715" s="55"/>
      <c r="J1715" s="55"/>
      <c r="K1715" s="55"/>
      <c r="L1715" s="55"/>
      <c r="M1715" s="55"/>
      <c r="N1715" s="55"/>
      <c r="O1715" s="55"/>
      <c r="P1715" s="56"/>
      <c r="AI1715" s="49"/>
      <c r="AJ1715" s="78"/>
      <c r="AK1715" s="78"/>
      <c r="AL1715" s="78"/>
      <c r="AM1715" s="78"/>
      <c r="AN1715" s="78"/>
      <c r="AO1715" s="78"/>
      <c r="AP1715" s="78"/>
      <c r="AQ1715" s="78"/>
      <c r="AR1715" s="78"/>
      <c r="AS1715" s="78"/>
      <c r="AT1715" s="78"/>
      <c r="AU1715" s="78"/>
      <c r="AV1715" s="78"/>
      <c r="AW1715" s="78"/>
      <c r="AX1715" s="78"/>
      <c r="AY1715" s="3"/>
      <c r="AZ1715" s="81"/>
      <c r="BB1715" s="5"/>
      <c r="BC1715" s="5"/>
    </row>
    <row r="1716" spans="1:55" x14ac:dyDescent="0.25">
      <c r="A1716" s="51">
        <v>43683</v>
      </c>
      <c r="B1716" s="54"/>
      <c r="C1716" s="55"/>
      <c r="D1716" s="55"/>
      <c r="E1716" s="55"/>
      <c r="F1716" s="55"/>
      <c r="G1716" s="55"/>
      <c r="H1716" s="55"/>
      <c r="I1716" s="55"/>
      <c r="J1716" s="55"/>
      <c r="K1716" s="55"/>
      <c r="L1716" s="55"/>
      <c r="M1716" s="55"/>
      <c r="N1716" s="55"/>
      <c r="O1716" s="55"/>
      <c r="P1716" s="56"/>
      <c r="AI1716" s="49"/>
      <c r="AJ1716" s="78"/>
      <c r="AK1716" s="78"/>
      <c r="AL1716" s="78"/>
      <c r="AM1716" s="78"/>
      <c r="AN1716" s="78"/>
      <c r="AO1716" s="78"/>
      <c r="AP1716" s="78"/>
      <c r="AQ1716" s="78"/>
      <c r="AR1716" s="78"/>
      <c r="AS1716" s="78"/>
      <c r="AT1716" s="78"/>
      <c r="AU1716" s="78"/>
      <c r="AV1716" s="78"/>
      <c r="AW1716" s="78"/>
      <c r="AX1716" s="78"/>
      <c r="AY1716" s="3"/>
      <c r="AZ1716" s="81"/>
      <c r="BB1716" s="5"/>
      <c r="BC1716" s="5"/>
    </row>
    <row r="1717" spans="1:55" x14ac:dyDescent="0.25">
      <c r="A1717" s="51">
        <v>43684</v>
      </c>
      <c r="B1717" s="54"/>
      <c r="C1717" s="55"/>
      <c r="D1717" s="55"/>
      <c r="E1717" s="55"/>
      <c r="F1717" s="55"/>
      <c r="G1717" s="55"/>
      <c r="H1717" s="55"/>
      <c r="I1717" s="55"/>
      <c r="J1717" s="55"/>
      <c r="K1717" s="55"/>
      <c r="L1717" s="55"/>
      <c r="M1717" s="55"/>
      <c r="N1717" s="55"/>
      <c r="O1717" s="55"/>
      <c r="P1717" s="56"/>
      <c r="AI1717" s="49"/>
      <c r="AJ1717" s="78"/>
      <c r="AK1717" s="78"/>
      <c r="AL1717" s="78"/>
      <c r="AM1717" s="78"/>
      <c r="AN1717" s="78"/>
      <c r="AO1717" s="78"/>
      <c r="AP1717" s="78"/>
      <c r="AQ1717" s="78"/>
      <c r="AR1717" s="78"/>
      <c r="AS1717" s="78"/>
      <c r="AT1717" s="78"/>
      <c r="AU1717" s="78"/>
      <c r="AV1717" s="78"/>
      <c r="AW1717" s="78"/>
      <c r="AX1717" s="78"/>
      <c r="AY1717" s="3"/>
      <c r="AZ1717" s="81"/>
      <c r="BB1717" s="5"/>
      <c r="BC1717" s="5"/>
    </row>
    <row r="1718" spans="1:55" x14ac:dyDescent="0.25">
      <c r="A1718" s="51">
        <v>43685</v>
      </c>
      <c r="B1718" s="54"/>
      <c r="C1718" s="55"/>
      <c r="D1718" s="55"/>
      <c r="E1718" s="55"/>
      <c r="F1718" s="55"/>
      <c r="G1718" s="55"/>
      <c r="H1718" s="55"/>
      <c r="I1718" s="55"/>
      <c r="J1718" s="55"/>
      <c r="K1718" s="55"/>
      <c r="L1718" s="55"/>
      <c r="M1718" s="55"/>
      <c r="N1718" s="55"/>
      <c r="O1718" s="55"/>
      <c r="P1718" s="56"/>
      <c r="AI1718" s="49"/>
      <c r="AJ1718" s="78"/>
      <c r="AK1718" s="78"/>
      <c r="AL1718" s="78"/>
      <c r="AM1718" s="78"/>
      <c r="AN1718" s="78"/>
      <c r="AO1718" s="78"/>
      <c r="AP1718" s="78"/>
      <c r="AQ1718" s="78"/>
      <c r="AR1718" s="78"/>
      <c r="AS1718" s="78"/>
      <c r="AT1718" s="78"/>
      <c r="AU1718" s="78"/>
      <c r="AV1718" s="78"/>
      <c r="AW1718" s="78"/>
      <c r="AX1718" s="78"/>
      <c r="AY1718" s="3"/>
      <c r="AZ1718" s="81"/>
      <c r="BB1718" s="5"/>
      <c r="BC1718" s="5"/>
    </row>
    <row r="1719" spans="1:55" x14ac:dyDescent="0.25">
      <c r="A1719" s="51">
        <v>43686</v>
      </c>
      <c r="B1719" s="54"/>
      <c r="C1719" s="55"/>
      <c r="D1719" s="55"/>
      <c r="E1719" s="55"/>
      <c r="F1719" s="55"/>
      <c r="G1719" s="55"/>
      <c r="H1719" s="55"/>
      <c r="I1719" s="55"/>
      <c r="J1719" s="55"/>
      <c r="K1719" s="55"/>
      <c r="L1719" s="55"/>
      <c r="M1719" s="55"/>
      <c r="N1719" s="55"/>
      <c r="O1719" s="55"/>
      <c r="P1719" s="56"/>
      <c r="AI1719" s="49"/>
      <c r="AJ1719" s="78"/>
      <c r="AK1719" s="78"/>
      <c r="AL1719" s="78"/>
      <c r="AM1719" s="78"/>
      <c r="AN1719" s="78"/>
      <c r="AO1719" s="78"/>
      <c r="AP1719" s="78"/>
      <c r="AQ1719" s="78"/>
      <c r="AR1719" s="78"/>
      <c r="AS1719" s="78"/>
      <c r="AT1719" s="78"/>
      <c r="AU1719" s="78"/>
      <c r="AV1719" s="78"/>
      <c r="AW1719" s="78"/>
      <c r="AX1719" s="78"/>
      <c r="AY1719" s="3"/>
      <c r="AZ1719" s="81"/>
      <c r="BB1719" s="5"/>
      <c r="BC1719" s="5"/>
    </row>
    <row r="1720" spans="1:55" x14ac:dyDescent="0.25">
      <c r="A1720" s="51">
        <v>43689</v>
      </c>
      <c r="B1720" s="54"/>
      <c r="C1720" s="55"/>
      <c r="D1720" s="55"/>
      <c r="E1720" s="55"/>
      <c r="F1720" s="55"/>
      <c r="G1720" s="55"/>
      <c r="H1720" s="55"/>
      <c r="I1720" s="55"/>
      <c r="J1720" s="55"/>
      <c r="K1720" s="55"/>
      <c r="L1720" s="55"/>
      <c r="M1720" s="55"/>
      <c r="N1720" s="55"/>
      <c r="O1720" s="55"/>
      <c r="P1720" s="56"/>
      <c r="AI1720" s="49"/>
      <c r="AJ1720" s="78"/>
      <c r="AK1720" s="78"/>
      <c r="AL1720" s="78"/>
      <c r="AM1720" s="78"/>
      <c r="AN1720" s="78"/>
      <c r="AO1720" s="78"/>
      <c r="AP1720" s="78"/>
      <c r="AQ1720" s="78"/>
      <c r="AR1720" s="78"/>
      <c r="AS1720" s="78"/>
      <c r="AT1720" s="78"/>
      <c r="AU1720" s="78"/>
      <c r="AV1720" s="78"/>
      <c r="AW1720" s="78"/>
      <c r="AX1720" s="78"/>
      <c r="AY1720" s="3"/>
      <c r="AZ1720" s="81"/>
      <c r="BB1720" s="5"/>
      <c r="BC1720" s="5"/>
    </row>
    <row r="1721" spans="1:55" x14ac:dyDescent="0.25">
      <c r="A1721" s="51">
        <v>43690</v>
      </c>
      <c r="B1721" s="54"/>
      <c r="C1721" s="55"/>
      <c r="D1721" s="55"/>
      <c r="E1721" s="55"/>
      <c r="F1721" s="55"/>
      <c r="G1721" s="55"/>
      <c r="H1721" s="55"/>
      <c r="I1721" s="55"/>
      <c r="J1721" s="55"/>
      <c r="K1721" s="55"/>
      <c r="L1721" s="55"/>
      <c r="M1721" s="55"/>
      <c r="N1721" s="55"/>
      <c r="O1721" s="55"/>
      <c r="P1721" s="56"/>
      <c r="AI1721" s="49"/>
      <c r="AJ1721" s="78"/>
      <c r="AK1721" s="78"/>
      <c r="AL1721" s="78"/>
      <c r="AM1721" s="78"/>
      <c r="AN1721" s="78"/>
      <c r="AO1721" s="78"/>
      <c r="AP1721" s="78"/>
      <c r="AQ1721" s="78"/>
      <c r="AR1721" s="78"/>
      <c r="AS1721" s="78"/>
      <c r="AT1721" s="78"/>
      <c r="AU1721" s="78"/>
      <c r="AV1721" s="78"/>
      <c r="AW1721" s="78"/>
      <c r="AX1721" s="78"/>
      <c r="AY1721" s="3"/>
      <c r="AZ1721" s="81"/>
      <c r="BB1721" s="5"/>
      <c r="BC1721" s="5"/>
    </row>
    <row r="1722" spans="1:55" x14ac:dyDescent="0.25">
      <c r="A1722" s="51">
        <v>43691</v>
      </c>
      <c r="B1722" s="54"/>
      <c r="C1722" s="55"/>
      <c r="D1722" s="55"/>
      <c r="E1722" s="55"/>
      <c r="F1722" s="55"/>
      <c r="G1722" s="55"/>
      <c r="H1722" s="55"/>
      <c r="I1722" s="55"/>
      <c r="J1722" s="55"/>
      <c r="K1722" s="55"/>
      <c r="L1722" s="55"/>
      <c r="M1722" s="55"/>
      <c r="N1722" s="55"/>
      <c r="O1722" s="55"/>
      <c r="P1722" s="56"/>
      <c r="AI1722" s="49"/>
      <c r="AJ1722" s="78"/>
      <c r="AK1722" s="78"/>
      <c r="AL1722" s="78"/>
      <c r="AM1722" s="78"/>
      <c r="AN1722" s="78"/>
      <c r="AO1722" s="78"/>
      <c r="AP1722" s="78"/>
      <c r="AQ1722" s="78"/>
      <c r="AR1722" s="78"/>
      <c r="AS1722" s="78"/>
      <c r="AT1722" s="78"/>
      <c r="AU1722" s="78"/>
      <c r="AV1722" s="78"/>
      <c r="AW1722" s="78"/>
      <c r="AX1722" s="78"/>
      <c r="AY1722" s="3"/>
      <c r="AZ1722" s="81"/>
      <c r="BB1722" s="5"/>
      <c r="BC1722" s="5"/>
    </row>
    <row r="1723" spans="1:55" x14ac:dyDescent="0.25">
      <c r="A1723" s="51">
        <v>43692</v>
      </c>
      <c r="B1723" s="54"/>
      <c r="C1723" s="55"/>
      <c r="D1723" s="55"/>
      <c r="E1723" s="55"/>
      <c r="F1723" s="55"/>
      <c r="G1723" s="55"/>
      <c r="H1723" s="55"/>
      <c r="I1723" s="55"/>
      <c r="J1723" s="55"/>
      <c r="K1723" s="55"/>
      <c r="L1723" s="55"/>
      <c r="M1723" s="55"/>
      <c r="N1723" s="55"/>
      <c r="O1723" s="55"/>
      <c r="P1723" s="56"/>
      <c r="AI1723" s="49"/>
      <c r="AJ1723" s="78"/>
      <c r="AK1723" s="78"/>
      <c r="AL1723" s="78"/>
      <c r="AM1723" s="78"/>
      <c r="AN1723" s="78"/>
      <c r="AO1723" s="78"/>
      <c r="AP1723" s="78"/>
      <c r="AQ1723" s="78"/>
      <c r="AR1723" s="78"/>
      <c r="AS1723" s="78"/>
      <c r="AT1723" s="78"/>
      <c r="AU1723" s="78"/>
      <c r="AV1723" s="78"/>
      <c r="AW1723" s="78"/>
      <c r="AX1723" s="78"/>
      <c r="AY1723" s="3"/>
      <c r="AZ1723" s="81"/>
      <c r="BB1723" s="5"/>
      <c r="BC1723" s="5"/>
    </row>
    <row r="1724" spans="1:55" x14ac:dyDescent="0.25">
      <c r="A1724" s="51">
        <v>43693</v>
      </c>
      <c r="B1724" s="54"/>
      <c r="C1724" s="55"/>
      <c r="D1724" s="55"/>
      <c r="E1724" s="55"/>
      <c r="F1724" s="55"/>
      <c r="G1724" s="55"/>
      <c r="H1724" s="55"/>
      <c r="I1724" s="55"/>
      <c r="J1724" s="55"/>
      <c r="K1724" s="55"/>
      <c r="L1724" s="55"/>
      <c r="M1724" s="55"/>
      <c r="N1724" s="55"/>
      <c r="O1724" s="55"/>
      <c r="P1724" s="56"/>
      <c r="AI1724" s="49"/>
      <c r="AJ1724" s="78"/>
      <c r="AK1724" s="78"/>
      <c r="AL1724" s="78"/>
      <c r="AM1724" s="78"/>
      <c r="AN1724" s="78"/>
      <c r="AO1724" s="78"/>
      <c r="AP1724" s="78"/>
      <c r="AQ1724" s="78"/>
      <c r="AR1724" s="78"/>
      <c r="AS1724" s="78"/>
      <c r="AT1724" s="78"/>
      <c r="AU1724" s="78"/>
      <c r="AV1724" s="78"/>
      <c r="AW1724" s="78"/>
      <c r="AX1724" s="78"/>
      <c r="AY1724" s="3"/>
      <c r="AZ1724" s="81"/>
      <c r="BB1724" s="5"/>
      <c r="BC1724" s="5"/>
    </row>
    <row r="1725" spans="1:55" x14ac:dyDescent="0.25">
      <c r="A1725" s="51">
        <v>43696</v>
      </c>
      <c r="B1725" s="54"/>
      <c r="C1725" s="55"/>
      <c r="D1725" s="55"/>
      <c r="E1725" s="55"/>
      <c r="F1725" s="55"/>
      <c r="G1725" s="55"/>
      <c r="H1725" s="55"/>
      <c r="I1725" s="55"/>
      <c r="J1725" s="55"/>
      <c r="K1725" s="55"/>
      <c r="L1725" s="55"/>
      <c r="M1725" s="55"/>
      <c r="N1725" s="55"/>
      <c r="O1725" s="55"/>
      <c r="P1725" s="56"/>
      <c r="AI1725" s="49"/>
      <c r="AJ1725" s="78"/>
      <c r="AK1725" s="78"/>
      <c r="AL1725" s="78"/>
      <c r="AM1725" s="78"/>
      <c r="AN1725" s="78"/>
      <c r="AO1725" s="78"/>
      <c r="AP1725" s="78"/>
      <c r="AQ1725" s="78"/>
      <c r="AR1725" s="78"/>
      <c r="AS1725" s="78"/>
      <c r="AT1725" s="78"/>
      <c r="AU1725" s="78"/>
      <c r="AV1725" s="78"/>
      <c r="AW1725" s="78"/>
      <c r="AX1725" s="78"/>
      <c r="AY1725" s="3"/>
      <c r="AZ1725" s="81"/>
      <c r="BB1725" s="5"/>
      <c r="BC1725" s="5"/>
    </row>
    <row r="1726" spans="1:55" x14ac:dyDescent="0.25">
      <c r="A1726" s="51">
        <v>43697</v>
      </c>
      <c r="B1726" s="54"/>
      <c r="C1726" s="55"/>
      <c r="D1726" s="55"/>
      <c r="E1726" s="55"/>
      <c r="F1726" s="55"/>
      <c r="G1726" s="55"/>
      <c r="H1726" s="55"/>
      <c r="I1726" s="55"/>
      <c r="J1726" s="55"/>
      <c r="K1726" s="55"/>
      <c r="L1726" s="55"/>
      <c r="M1726" s="55"/>
      <c r="N1726" s="55"/>
      <c r="O1726" s="55"/>
      <c r="P1726" s="56"/>
      <c r="AI1726" s="49"/>
      <c r="AJ1726" s="78"/>
      <c r="AK1726" s="78"/>
      <c r="AL1726" s="78"/>
      <c r="AM1726" s="78"/>
      <c r="AN1726" s="78"/>
      <c r="AO1726" s="78"/>
      <c r="AP1726" s="78"/>
      <c r="AQ1726" s="78"/>
      <c r="AR1726" s="78"/>
      <c r="AS1726" s="78"/>
      <c r="AT1726" s="78"/>
      <c r="AU1726" s="78"/>
      <c r="AV1726" s="78"/>
      <c r="AW1726" s="78"/>
      <c r="AX1726" s="78"/>
      <c r="AY1726" s="3"/>
      <c r="AZ1726" s="81"/>
      <c r="BB1726" s="5"/>
      <c r="BC1726" s="5"/>
    </row>
    <row r="1727" spans="1:55" x14ac:dyDescent="0.25">
      <c r="A1727" s="51">
        <v>43698</v>
      </c>
      <c r="B1727" s="54"/>
      <c r="C1727" s="55"/>
      <c r="D1727" s="55"/>
      <c r="E1727" s="55"/>
      <c r="F1727" s="55"/>
      <c r="G1727" s="55"/>
      <c r="H1727" s="55"/>
      <c r="I1727" s="55"/>
      <c r="J1727" s="55"/>
      <c r="K1727" s="55"/>
      <c r="L1727" s="55"/>
      <c r="M1727" s="55"/>
      <c r="N1727" s="55"/>
      <c r="O1727" s="55"/>
      <c r="P1727" s="56"/>
      <c r="AI1727" s="49"/>
      <c r="AJ1727" s="78"/>
      <c r="AK1727" s="78"/>
      <c r="AL1727" s="78"/>
      <c r="AM1727" s="78"/>
      <c r="AN1727" s="78"/>
      <c r="AO1727" s="78"/>
      <c r="AP1727" s="78"/>
      <c r="AQ1727" s="78"/>
      <c r="AR1727" s="78"/>
      <c r="AS1727" s="78"/>
      <c r="AT1727" s="78"/>
      <c r="AU1727" s="78"/>
      <c r="AV1727" s="78"/>
      <c r="AW1727" s="78"/>
      <c r="AX1727" s="78"/>
      <c r="AY1727" s="3"/>
      <c r="AZ1727" s="81"/>
      <c r="BB1727" s="5"/>
      <c r="BC1727" s="5"/>
    </row>
    <row r="1728" spans="1:55" x14ac:dyDescent="0.25">
      <c r="A1728" s="51">
        <v>43699</v>
      </c>
      <c r="B1728" s="54"/>
      <c r="C1728" s="55"/>
      <c r="D1728" s="55"/>
      <c r="E1728" s="55"/>
      <c r="F1728" s="55"/>
      <c r="G1728" s="55"/>
      <c r="H1728" s="55"/>
      <c r="I1728" s="55"/>
      <c r="J1728" s="55"/>
      <c r="K1728" s="55"/>
      <c r="L1728" s="55"/>
      <c r="M1728" s="55"/>
      <c r="N1728" s="55"/>
      <c r="O1728" s="55"/>
      <c r="P1728" s="56"/>
      <c r="AI1728" s="49"/>
      <c r="AJ1728" s="78"/>
      <c r="AK1728" s="78"/>
      <c r="AL1728" s="78"/>
      <c r="AM1728" s="78"/>
      <c r="AN1728" s="78"/>
      <c r="AO1728" s="78"/>
      <c r="AP1728" s="78"/>
      <c r="AQ1728" s="78"/>
      <c r="AR1728" s="78"/>
      <c r="AS1728" s="78"/>
      <c r="AT1728" s="78"/>
      <c r="AU1728" s="78"/>
      <c r="AV1728" s="78"/>
      <c r="AW1728" s="78"/>
      <c r="AX1728" s="78"/>
      <c r="AY1728" s="3"/>
      <c r="AZ1728" s="81"/>
      <c r="BB1728" s="5"/>
      <c r="BC1728" s="5"/>
    </row>
    <row r="1729" spans="1:55" x14ac:dyDescent="0.25">
      <c r="A1729" s="51">
        <v>43700</v>
      </c>
      <c r="B1729" s="54"/>
      <c r="C1729" s="55"/>
      <c r="D1729" s="55"/>
      <c r="E1729" s="55"/>
      <c r="F1729" s="55"/>
      <c r="G1729" s="55"/>
      <c r="H1729" s="55"/>
      <c r="I1729" s="55"/>
      <c r="J1729" s="55"/>
      <c r="K1729" s="55"/>
      <c r="L1729" s="55"/>
      <c r="M1729" s="55"/>
      <c r="N1729" s="55"/>
      <c r="O1729" s="55"/>
      <c r="P1729" s="56"/>
      <c r="AI1729" s="49"/>
      <c r="AJ1729" s="78"/>
      <c r="AK1729" s="78"/>
      <c r="AL1729" s="78"/>
      <c r="AM1729" s="78"/>
      <c r="AN1729" s="78"/>
      <c r="AO1729" s="78"/>
      <c r="AP1729" s="78"/>
      <c r="AQ1729" s="78"/>
      <c r="AR1729" s="78"/>
      <c r="AS1729" s="78"/>
      <c r="AT1729" s="78"/>
      <c r="AU1729" s="78"/>
      <c r="AV1729" s="78"/>
      <c r="AW1729" s="78"/>
      <c r="AX1729" s="78"/>
      <c r="AY1729" s="3"/>
      <c r="AZ1729" s="81"/>
      <c r="BB1729" s="5"/>
      <c r="BC1729" s="5"/>
    </row>
    <row r="1730" spans="1:55" x14ac:dyDescent="0.25">
      <c r="A1730" s="51">
        <v>43703</v>
      </c>
      <c r="B1730" s="54"/>
      <c r="C1730" s="55"/>
      <c r="D1730" s="55"/>
      <c r="E1730" s="55"/>
      <c r="F1730" s="55"/>
      <c r="G1730" s="55"/>
      <c r="H1730" s="55"/>
      <c r="I1730" s="55"/>
      <c r="J1730" s="55"/>
      <c r="K1730" s="55"/>
      <c r="L1730" s="55"/>
      <c r="M1730" s="55"/>
      <c r="N1730" s="55"/>
      <c r="O1730" s="55"/>
      <c r="P1730" s="56"/>
      <c r="AI1730" s="49"/>
      <c r="AJ1730" s="78"/>
      <c r="AK1730" s="78"/>
      <c r="AL1730" s="78"/>
      <c r="AM1730" s="78"/>
      <c r="AN1730" s="78"/>
      <c r="AO1730" s="78"/>
      <c r="AP1730" s="78"/>
      <c r="AQ1730" s="78"/>
      <c r="AR1730" s="78"/>
      <c r="AS1730" s="78"/>
      <c r="AT1730" s="78"/>
      <c r="AU1730" s="78"/>
      <c r="AV1730" s="78"/>
      <c r="AW1730" s="78"/>
      <c r="AX1730" s="78"/>
      <c r="AY1730" s="3"/>
      <c r="AZ1730" s="81"/>
      <c r="BB1730" s="5"/>
      <c r="BC1730" s="5"/>
    </row>
    <row r="1731" spans="1:55" x14ac:dyDescent="0.25">
      <c r="A1731" s="51">
        <v>43704</v>
      </c>
      <c r="B1731" s="54"/>
      <c r="C1731" s="55"/>
      <c r="D1731" s="55"/>
      <c r="E1731" s="55"/>
      <c r="F1731" s="55"/>
      <c r="G1731" s="55"/>
      <c r="H1731" s="55"/>
      <c r="I1731" s="55"/>
      <c r="J1731" s="55"/>
      <c r="K1731" s="55"/>
      <c r="L1731" s="55"/>
      <c r="M1731" s="55"/>
      <c r="N1731" s="55"/>
      <c r="O1731" s="55"/>
      <c r="P1731" s="56"/>
      <c r="AI1731" s="49"/>
      <c r="AJ1731" s="78"/>
      <c r="AK1731" s="78"/>
      <c r="AL1731" s="78"/>
      <c r="AM1731" s="78"/>
      <c r="AN1731" s="78"/>
      <c r="AO1731" s="78"/>
      <c r="AP1731" s="78"/>
      <c r="AQ1731" s="78"/>
      <c r="AR1731" s="78"/>
      <c r="AS1731" s="78"/>
      <c r="AT1731" s="78"/>
      <c r="AU1731" s="78"/>
      <c r="AV1731" s="78"/>
      <c r="AW1731" s="78"/>
      <c r="AX1731" s="78"/>
      <c r="AY1731" s="3"/>
      <c r="AZ1731" s="81"/>
      <c r="BB1731" s="5"/>
      <c r="BC1731" s="5"/>
    </row>
    <row r="1732" spans="1:55" x14ac:dyDescent="0.25">
      <c r="A1732" s="51">
        <v>43705</v>
      </c>
      <c r="B1732" s="54"/>
      <c r="C1732" s="55"/>
      <c r="D1732" s="55"/>
      <c r="E1732" s="55"/>
      <c r="F1732" s="55"/>
      <c r="G1732" s="55"/>
      <c r="H1732" s="55"/>
      <c r="I1732" s="55"/>
      <c r="J1732" s="55"/>
      <c r="K1732" s="55"/>
      <c r="L1732" s="55"/>
      <c r="M1732" s="55"/>
      <c r="N1732" s="55"/>
      <c r="O1732" s="55"/>
      <c r="P1732" s="56"/>
      <c r="AI1732" s="49"/>
      <c r="AJ1732" s="78"/>
      <c r="AK1732" s="78"/>
      <c r="AL1732" s="78"/>
      <c r="AM1732" s="78"/>
      <c r="AN1732" s="78"/>
      <c r="AO1732" s="78"/>
      <c r="AP1732" s="78"/>
      <c r="AQ1732" s="78"/>
      <c r="AR1732" s="78"/>
      <c r="AS1732" s="78"/>
      <c r="AT1732" s="78"/>
      <c r="AU1732" s="78"/>
      <c r="AV1732" s="78"/>
      <c r="AW1732" s="78"/>
      <c r="AX1732" s="78"/>
      <c r="AY1732" s="3"/>
      <c r="AZ1732" s="81"/>
      <c r="BB1732" s="5"/>
      <c r="BC1732" s="5"/>
    </row>
    <row r="1733" spans="1:55" x14ac:dyDescent="0.25">
      <c r="A1733" s="51">
        <v>43706</v>
      </c>
      <c r="B1733" s="54"/>
      <c r="C1733" s="55"/>
      <c r="D1733" s="55"/>
      <c r="E1733" s="55"/>
      <c r="F1733" s="55"/>
      <c r="G1733" s="55"/>
      <c r="H1733" s="55"/>
      <c r="I1733" s="55"/>
      <c r="J1733" s="55"/>
      <c r="K1733" s="55"/>
      <c r="L1733" s="55"/>
      <c r="M1733" s="55"/>
      <c r="N1733" s="55"/>
      <c r="O1733" s="55"/>
      <c r="P1733" s="56"/>
      <c r="AI1733" s="49"/>
      <c r="AJ1733" s="78"/>
      <c r="AK1733" s="78"/>
      <c r="AL1733" s="78"/>
      <c r="AM1733" s="78"/>
      <c r="AN1733" s="78"/>
      <c r="AO1733" s="78"/>
      <c r="AP1733" s="78"/>
      <c r="AQ1733" s="78"/>
      <c r="AR1733" s="78"/>
      <c r="AS1733" s="78"/>
      <c r="AT1733" s="78"/>
      <c r="AU1733" s="78"/>
      <c r="AV1733" s="78"/>
      <c r="AW1733" s="78"/>
      <c r="AX1733" s="78"/>
      <c r="AY1733" s="3"/>
      <c r="AZ1733" s="81"/>
      <c r="BB1733" s="5"/>
      <c r="BC1733" s="5"/>
    </row>
    <row r="1734" spans="1:55" x14ac:dyDescent="0.25">
      <c r="A1734" s="51">
        <v>43710</v>
      </c>
      <c r="B1734" s="54"/>
      <c r="C1734" s="55"/>
      <c r="D1734" s="55"/>
      <c r="E1734" s="55"/>
      <c r="F1734" s="55"/>
      <c r="G1734" s="55"/>
      <c r="H1734" s="55"/>
      <c r="I1734" s="55"/>
      <c r="J1734" s="55"/>
      <c r="K1734" s="55"/>
      <c r="L1734" s="55"/>
      <c r="M1734" s="55"/>
      <c r="N1734" s="55"/>
      <c r="O1734" s="55"/>
      <c r="P1734" s="56"/>
      <c r="AI1734" s="49"/>
      <c r="AJ1734" s="78"/>
      <c r="AK1734" s="78"/>
      <c r="AL1734" s="78"/>
      <c r="AM1734" s="78"/>
      <c r="AN1734" s="78"/>
      <c r="AO1734" s="78"/>
      <c r="AP1734" s="78"/>
      <c r="AQ1734" s="78"/>
      <c r="AR1734" s="78"/>
      <c r="AS1734" s="78"/>
      <c r="AT1734" s="78"/>
      <c r="AU1734" s="78"/>
      <c r="AV1734" s="78"/>
      <c r="AW1734" s="78"/>
      <c r="AX1734" s="78"/>
      <c r="AY1734" s="3"/>
      <c r="AZ1734" s="81"/>
      <c r="BB1734" s="5"/>
      <c r="BC1734" s="5"/>
    </row>
    <row r="1735" spans="1:55" x14ac:dyDescent="0.25">
      <c r="A1735" s="51">
        <v>43711</v>
      </c>
      <c r="B1735" s="54"/>
      <c r="C1735" s="55"/>
      <c r="D1735" s="55"/>
      <c r="E1735" s="55"/>
      <c r="F1735" s="55"/>
      <c r="G1735" s="55"/>
      <c r="H1735" s="55"/>
      <c r="I1735" s="55"/>
      <c r="J1735" s="55"/>
      <c r="K1735" s="55"/>
      <c r="L1735" s="55"/>
      <c r="M1735" s="55"/>
      <c r="N1735" s="55"/>
      <c r="O1735" s="55"/>
      <c r="P1735" s="56"/>
      <c r="AI1735" s="49"/>
      <c r="AJ1735" s="78"/>
      <c r="AK1735" s="78"/>
      <c r="AL1735" s="78"/>
      <c r="AM1735" s="78"/>
      <c r="AN1735" s="78"/>
      <c r="AO1735" s="78"/>
      <c r="AP1735" s="78"/>
      <c r="AQ1735" s="78"/>
      <c r="AR1735" s="78"/>
      <c r="AS1735" s="78"/>
      <c r="AT1735" s="78"/>
      <c r="AU1735" s="78"/>
      <c r="AV1735" s="78"/>
      <c r="AW1735" s="78"/>
      <c r="AX1735" s="78"/>
      <c r="AY1735" s="3"/>
      <c r="AZ1735" s="81"/>
      <c r="BB1735" s="5"/>
      <c r="BC1735" s="5"/>
    </row>
    <row r="1736" spans="1:55" x14ac:dyDescent="0.25">
      <c r="A1736" s="51">
        <v>43712</v>
      </c>
      <c r="B1736" s="54"/>
      <c r="C1736" s="55"/>
      <c r="D1736" s="55"/>
      <c r="E1736" s="55"/>
      <c r="F1736" s="55"/>
      <c r="G1736" s="55"/>
      <c r="H1736" s="55"/>
      <c r="I1736" s="55"/>
      <c r="J1736" s="55"/>
      <c r="K1736" s="55"/>
      <c r="L1736" s="55"/>
      <c r="M1736" s="55"/>
      <c r="N1736" s="55"/>
      <c r="O1736" s="55"/>
      <c r="P1736" s="56"/>
      <c r="AI1736" s="49"/>
      <c r="AJ1736" s="78"/>
      <c r="AK1736" s="78"/>
      <c r="AL1736" s="78"/>
      <c r="AM1736" s="78"/>
      <c r="AN1736" s="78"/>
      <c r="AO1736" s="78"/>
      <c r="AP1736" s="78"/>
      <c r="AQ1736" s="78"/>
      <c r="AR1736" s="78"/>
      <c r="AS1736" s="78"/>
      <c r="AT1736" s="78"/>
      <c r="AU1736" s="78"/>
      <c r="AV1736" s="78"/>
      <c r="AW1736" s="78"/>
      <c r="AX1736" s="78"/>
      <c r="AY1736" s="3"/>
      <c r="AZ1736" s="81"/>
      <c r="BB1736" s="5"/>
      <c r="BC1736" s="5"/>
    </row>
    <row r="1737" spans="1:55" x14ac:dyDescent="0.25">
      <c r="A1737" s="51">
        <v>43713</v>
      </c>
      <c r="B1737" s="54"/>
      <c r="C1737" s="55"/>
      <c r="D1737" s="55"/>
      <c r="E1737" s="55"/>
      <c r="F1737" s="55"/>
      <c r="G1737" s="55"/>
      <c r="H1737" s="55"/>
      <c r="I1737" s="55"/>
      <c r="J1737" s="55"/>
      <c r="K1737" s="55"/>
      <c r="L1737" s="55"/>
      <c r="M1737" s="55"/>
      <c r="N1737" s="55"/>
      <c r="O1737" s="55"/>
      <c r="P1737" s="56"/>
      <c r="AI1737" s="49"/>
      <c r="AJ1737" s="78"/>
      <c r="AK1737" s="78"/>
      <c r="AL1737" s="78"/>
      <c r="AM1737" s="78"/>
      <c r="AN1737" s="78"/>
      <c r="AO1737" s="78"/>
      <c r="AP1737" s="78"/>
      <c r="AQ1737" s="78"/>
      <c r="AR1737" s="78"/>
      <c r="AS1737" s="78"/>
      <c r="AT1737" s="78"/>
      <c r="AU1737" s="78"/>
      <c r="AV1737" s="78"/>
      <c r="AW1737" s="78"/>
      <c r="AX1737" s="78"/>
      <c r="AY1737" s="3"/>
      <c r="AZ1737" s="81"/>
      <c r="BB1737" s="5"/>
      <c r="BC1737" s="5"/>
    </row>
    <row r="1738" spans="1:55" x14ac:dyDescent="0.25">
      <c r="A1738" s="51">
        <v>43714</v>
      </c>
      <c r="B1738" s="54"/>
      <c r="C1738" s="55"/>
      <c r="D1738" s="55"/>
      <c r="E1738" s="55"/>
      <c r="F1738" s="55"/>
      <c r="G1738" s="55"/>
      <c r="H1738" s="55"/>
      <c r="I1738" s="55"/>
      <c r="J1738" s="55"/>
      <c r="K1738" s="55"/>
      <c r="L1738" s="55"/>
      <c r="M1738" s="55"/>
      <c r="N1738" s="55"/>
      <c r="O1738" s="55"/>
      <c r="P1738" s="56"/>
      <c r="AI1738" s="49"/>
      <c r="AJ1738" s="78"/>
      <c r="AK1738" s="78"/>
      <c r="AL1738" s="78"/>
      <c r="AM1738" s="78"/>
      <c r="AN1738" s="78"/>
      <c r="AO1738" s="78"/>
      <c r="AP1738" s="78"/>
      <c r="AQ1738" s="78"/>
      <c r="AR1738" s="78"/>
      <c r="AS1738" s="78"/>
      <c r="AT1738" s="78"/>
      <c r="AU1738" s="78"/>
      <c r="AV1738" s="78"/>
      <c r="AW1738" s="78"/>
      <c r="AX1738" s="78"/>
      <c r="AY1738" s="3"/>
      <c r="AZ1738" s="81"/>
      <c r="BB1738" s="5"/>
      <c r="BC1738" s="5"/>
    </row>
    <row r="1739" spans="1:55" x14ac:dyDescent="0.25">
      <c r="A1739" s="51">
        <v>43717</v>
      </c>
      <c r="B1739" s="54"/>
      <c r="C1739" s="55"/>
      <c r="D1739" s="55"/>
      <c r="E1739" s="55"/>
      <c r="F1739" s="55"/>
      <c r="G1739" s="55"/>
      <c r="H1739" s="55"/>
      <c r="I1739" s="55"/>
      <c r="J1739" s="55"/>
      <c r="K1739" s="55"/>
      <c r="L1739" s="55"/>
      <c r="M1739" s="55"/>
      <c r="N1739" s="55"/>
      <c r="O1739" s="55"/>
      <c r="P1739" s="56"/>
      <c r="AI1739" s="49"/>
      <c r="AJ1739" s="78"/>
      <c r="AK1739" s="78"/>
      <c r="AL1739" s="78"/>
      <c r="AM1739" s="78"/>
      <c r="AN1739" s="78"/>
      <c r="AO1739" s="78"/>
      <c r="AP1739" s="78"/>
      <c r="AQ1739" s="78"/>
      <c r="AR1739" s="78"/>
      <c r="AS1739" s="78"/>
      <c r="AT1739" s="78"/>
      <c r="AU1739" s="78"/>
      <c r="AV1739" s="78"/>
      <c r="AW1739" s="78"/>
      <c r="AX1739" s="78"/>
      <c r="AY1739" s="3"/>
      <c r="AZ1739" s="81"/>
      <c r="BB1739" s="5"/>
      <c r="BC1739" s="5"/>
    </row>
    <row r="1740" spans="1:55" x14ac:dyDescent="0.25">
      <c r="A1740" s="51">
        <v>43718</v>
      </c>
      <c r="B1740" s="54"/>
      <c r="C1740" s="55"/>
      <c r="D1740" s="55"/>
      <c r="E1740" s="55"/>
      <c r="F1740" s="55"/>
      <c r="G1740" s="55"/>
      <c r="H1740" s="55"/>
      <c r="I1740" s="55"/>
      <c r="J1740" s="55"/>
      <c r="K1740" s="55"/>
      <c r="L1740" s="55"/>
      <c r="M1740" s="55"/>
      <c r="N1740" s="55"/>
      <c r="O1740" s="55"/>
      <c r="P1740" s="56"/>
      <c r="AI1740" s="49"/>
      <c r="AJ1740" s="78"/>
      <c r="AK1740" s="78"/>
      <c r="AL1740" s="78"/>
      <c r="AM1740" s="78"/>
      <c r="AN1740" s="78"/>
      <c r="AO1740" s="78"/>
      <c r="AP1740" s="78"/>
      <c r="AQ1740" s="78"/>
      <c r="AR1740" s="78"/>
      <c r="AS1740" s="78"/>
      <c r="AT1740" s="78"/>
      <c r="AU1740" s="78"/>
      <c r="AV1740" s="78"/>
      <c r="AW1740" s="78"/>
      <c r="AX1740" s="78"/>
      <c r="AY1740" s="3"/>
      <c r="AZ1740" s="81"/>
      <c r="BB1740" s="5"/>
      <c r="BC1740" s="5"/>
    </row>
    <row r="1741" spans="1:55" x14ac:dyDescent="0.25">
      <c r="A1741" s="51">
        <v>43719</v>
      </c>
      <c r="B1741" s="54"/>
      <c r="C1741" s="55"/>
      <c r="D1741" s="55"/>
      <c r="E1741" s="55"/>
      <c r="F1741" s="55"/>
      <c r="G1741" s="55"/>
      <c r="H1741" s="55"/>
      <c r="I1741" s="55"/>
      <c r="J1741" s="55"/>
      <c r="K1741" s="55"/>
      <c r="L1741" s="55"/>
      <c r="M1741" s="55"/>
      <c r="N1741" s="55"/>
      <c r="O1741" s="55"/>
      <c r="P1741" s="56"/>
      <c r="AI1741" s="49"/>
      <c r="AJ1741" s="78"/>
      <c r="AK1741" s="78"/>
      <c r="AL1741" s="78"/>
      <c r="AM1741" s="78"/>
      <c r="AN1741" s="78"/>
      <c r="AO1741" s="78"/>
      <c r="AP1741" s="78"/>
      <c r="AQ1741" s="78"/>
      <c r="AR1741" s="78"/>
      <c r="AS1741" s="78"/>
      <c r="AT1741" s="78"/>
      <c r="AU1741" s="78"/>
      <c r="AV1741" s="78"/>
      <c r="AW1741" s="78"/>
      <c r="AX1741" s="78"/>
      <c r="AY1741" s="3"/>
      <c r="AZ1741" s="81"/>
      <c r="BB1741" s="5"/>
      <c r="BC1741" s="5"/>
    </row>
    <row r="1742" spans="1:55" x14ac:dyDescent="0.25">
      <c r="A1742" s="51">
        <v>43720</v>
      </c>
      <c r="B1742" s="54"/>
      <c r="C1742" s="55"/>
      <c r="D1742" s="55"/>
      <c r="E1742" s="55"/>
      <c r="F1742" s="55"/>
      <c r="G1742" s="55"/>
      <c r="H1742" s="55"/>
      <c r="I1742" s="55"/>
      <c r="J1742" s="55"/>
      <c r="K1742" s="55"/>
      <c r="L1742" s="55"/>
      <c r="M1742" s="55"/>
      <c r="N1742" s="55"/>
      <c r="O1742" s="55"/>
      <c r="P1742" s="56"/>
      <c r="AI1742" s="49"/>
      <c r="AJ1742" s="78"/>
      <c r="AK1742" s="78"/>
      <c r="AL1742" s="78"/>
      <c r="AM1742" s="78"/>
      <c r="AN1742" s="78"/>
      <c r="AO1742" s="78"/>
      <c r="AP1742" s="78"/>
      <c r="AQ1742" s="78"/>
      <c r="AR1742" s="78"/>
      <c r="AS1742" s="78"/>
      <c r="AT1742" s="78"/>
      <c r="AU1742" s="78"/>
      <c r="AV1742" s="78"/>
      <c r="AW1742" s="78"/>
      <c r="AX1742" s="78"/>
      <c r="AY1742" s="3"/>
      <c r="AZ1742" s="81"/>
      <c r="BB1742" s="5"/>
      <c r="BC1742" s="5"/>
    </row>
    <row r="1743" spans="1:55" x14ac:dyDescent="0.25">
      <c r="A1743" s="51">
        <v>43721</v>
      </c>
      <c r="B1743" s="54"/>
      <c r="C1743" s="55"/>
      <c r="D1743" s="55"/>
      <c r="E1743" s="55"/>
      <c r="F1743" s="55"/>
      <c r="G1743" s="55"/>
      <c r="H1743" s="55"/>
      <c r="I1743" s="55"/>
      <c r="J1743" s="55"/>
      <c r="K1743" s="55"/>
      <c r="L1743" s="55"/>
      <c r="M1743" s="55"/>
      <c r="N1743" s="55"/>
      <c r="O1743" s="55"/>
      <c r="P1743" s="56"/>
      <c r="AI1743" s="49"/>
      <c r="AJ1743" s="78"/>
      <c r="AK1743" s="78"/>
      <c r="AL1743" s="78"/>
      <c r="AM1743" s="78"/>
      <c r="AN1743" s="78"/>
      <c r="AO1743" s="78"/>
      <c r="AP1743" s="78"/>
      <c r="AQ1743" s="78"/>
      <c r="AR1743" s="78"/>
      <c r="AS1743" s="78"/>
      <c r="AT1743" s="78"/>
      <c r="AU1743" s="78"/>
      <c r="AV1743" s="78"/>
      <c r="AW1743" s="78"/>
      <c r="AX1743" s="78"/>
      <c r="AY1743" s="3"/>
      <c r="AZ1743" s="81"/>
      <c r="BB1743" s="5"/>
      <c r="BC1743" s="5"/>
    </row>
    <row r="1744" spans="1:55" x14ac:dyDescent="0.25">
      <c r="A1744" s="51">
        <v>43724</v>
      </c>
      <c r="B1744" s="54"/>
      <c r="C1744" s="55"/>
      <c r="D1744" s="55"/>
      <c r="E1744" s="55"/>
      <c r="F1744" s="55"/>
      <c r="G1744" s="55"/>
      <c r="H1744" s="55"/>
      <c r="I1744" s="55"/>
      <c r="J1744" s="55"/>
      <c r="K1744" s="55"/>
      <c r="L1744" s="55"/>
      <c r="M1744" s="55"/>
      <c r="N1744" s="55"/>
      <c r="O1744" s="55"/>
      <c r="P1744" s="56"/>
      <c r="AI1744" s="49"/>
      <c r="AJ1744" s="78"/>
      <c r="AK1744" s="78"/>
      <c r="AL1744" s="78"/>
      <c r="AM1744" s="78"/>
      <c r="AN1744" s="78"/>
      <c r="AO1744" s="78"/>
      <c r="AP1744" s="78"/>
      <c r="AQ1744" s="78"/>
      <c r="AR1744" s="78"/>
      <c r="AS1744" s="78"/>
      <c r="AT1744" s="78"/>
      <c r="AU1744" s="78"/>
      <c r="AV1744" s="78"/>
      <c r="AW1744" s="78"/>
      <c r="AX1744" s="78"/>
      <c r="AY1744" s="3"/>
      <c r="AZ1744" s="81"/>
      <c r="BB1744" s="5"/>
      <c r="BC1744" s="5"/>
    </row>
    <row r="1745" spans="1:55" x14ac:dyDescent="0.25">
      <c r="A1745" s="51">
        <v>43725</v>
      </c>
      <c r="B1745" s="54"/>
      <c r="C1745" s="55"/>
      <c r="D1745" s="55"/>
      <c r="E1745" s="55"/>
      <c r="F1745" s="55"/>
      <c r="G1745" s="55"/>
      <c r="H1745" s="55"/>
      <c r="I1745" s="55"/>
      <c r="J1745" s="55"/>
      <c r="K1745" s="55"/>
      <c r="L1745" s="55"/>
      <c r="M1745" s="55"/>
      <c r="N1745" s="55"/>
      <c r="O1745" s="55"/>
      <c r="P1745" s="56"/>
      <c r="AI1745" s="49"/>
      <c r="AJ1745" s="78"/>
      <c r="AK1745" s="78"/>
      <c r="AL1745" s="78"/>
      <c r="AM1745" s="78"/>
      <c r="AN1745" s="78"/>
      <c r="AO1745" s="78"/>
      <c r="AP1745" s="78"/>
      <c r="AQ1745" s="78"/>
      <c r="AR1745" s="78"/>
      <c r="AS1745" s="78"/>
      <c r="AT1745" s="78"/>
      <c r="AU1745" s="78"/>
      <c r="AV1745" s="78"/>
      <c r="AW1745" s="78"/>
      <c r="AX1745" s="78"/>
      <c r="AY1745" s="3"/>
      <c r="AZ1745" s="81"/>
      <c r="BB1745" s="5"/>
      <c r="BC1745" s="5"/>
    </row>
    <row r="1746" spans="1:55" x14ac:dyDescent="0.25">
      <c r="A1746" s="51">
        <v>43726</v>
      </c>
      <c r="B1746" s="54"/>
      <c r="C1746" s="55"/>
      <c r="D1746" s="55"/>
      <c r="E1746" s="55"/>
      <c r="F1746" s="55"/>
      <c r="G1746" s="55"/>
      <c r="H1746" s="55"/>
      <c r="I1746" s="55"/>
      <c r="J1746" s="55"/>
      <c r="K1746" s="55"/>
      <c r="L1746" s="55"/>
      <c r="M1746" s="55"/>
      <c r="N1746" s="55"/>
      <c r="O1746" s="55"/>
      <c r="P1746" s="56"/>
      <c r="AI1746" s="49"/>
      <c r="AJ1746" s="78"/>
      <c r="AK1746" s="78"/>
      <c r="AL1746" s="78"/>
      <c r="AM1746" s="78"/>
      <c r="AN1746" s="78"/>
      <c r="AO1746" s="78"/>
      <c r="AP1746" s="78"/>
      <c r="AQ1746" s="78"/>
      <c r="AR1746" s="78"/>
      <c r="AS1746" s="78"/>
      <c r="AT1746" s="78"/>
      <c r="AU1746" s="78"/>
      <c r="AV1746" s="78"/>
      <c r="AW1746" s="78"/>
      <c r="AX1746" s="78"/>
      <c r="AY1746" s="3"/>
      <c r="AZ1746" s="81"/>
      <c r="BB1746" s="5"/>
      <c r="BC1746" s="5"/>
    </row>
    <row r="1747" spans="1:55" x14ac:dyDescent="0.25">
      <c r="A1747" s="51">
        <v>43727</v>
      </c>
      <c r="B1747" s="54"/>
      <c r="C1747" s="55"/>
      <c r="D1747" s="55"/>
      <c r="E1747" s="55"/>
      <c r="F1747" s="55"/>
      <c r="G1747" s="55"/>
      <c r="H1747" s="55"/>
      <c r="I1747" s="55"/>
      <c r="J1747" s="55"/>
      <c r="K1747" s="55"/>
      <c r="L1747" s="55"/>
      <c r="M1747" s="55"/>
      <c r="N1747" s="55"/>
      <c r="O1747" s="55"/>
      <c r="P1747" s="56"/>
      <c r="AI1747" s="49"/>
      <c r="AJ1747" s="78"/>
      <c r="AK1747" s="78"/>
      <c r="AL1747" s="78"/>
      <c r="AM1747" s="78"/>
      <c r="AN1747" s="78"/>
      <c r="AO1747" s="78"/>
      <c r="AP1747" s="78"/>
      <c r="AQ1747" s="78"/>
      <c r="AR1747" s="78"/>
      <c r="AS1747" s="78"/>
      <c r="AT1747" s="78"/>
      <c r="AU1747" s="78"/>
      <c r="AV1747" s="78"/>
      <c r="AW1747" s="78"/>
      <c r="AX1747" s="78"/>
      <c r="AY1747" s="3"/>
      <c r="AZ1747" s="81"/>
      <c r="BB1747" s="5"/>
      <c r="BC1747" s="5"/>
    </row>
    <row r="1748" spans="1:55" x14ac:dyDescent="0.25">
      <c r="A1748" s="51">
        <v>43728</v>
      </c>
      <c r="B1748" s="54"/>
      <c r="C1748" s="55"/>
      <c r="D1748" s="55"/>
      <c r="E1748" s="55"/>
      <c r="F1748" s="55"/>
      <c r="G1748" s="55"/>
      <c r="H1748" s="55"/>
      <c r="I1748" s="55"/>
      <c r="J1748" s="55"/>
      <c r="K1748" s="55"/>
      <c r="L1748" s="55"/>
      <c r="M1748" s="55"/>
      <c r="N1748" s="55"/>
      <c r="O1748" s="55"/>
      <c r="P1748" s="56"/>
      <c r="AI1748" s="49"/>
      <c r="AJ1748" s="78"/>
      <c r="AK1748" s="78"/>
      <c r="AL1748" s="78"/>
      <c r="AM1748" s="78"/>
      <c r="AN1748" s="78"/>
      <c r="AO1748" s="78"/>
      <c r="AP1748" s="78"/>
      <c r="AQ1748" s="78"/>
      <c r="AR1748" s="78"/>
      <c r="AS1748" s="78"/>
      <c r="AT1748" s="78"/>
      <c r="AU1748" s="78"/>
      <c r="AV1748" s="78"/>
      <c r="AW1748" s="78"/>
      <c r="AX1748" s="78"/>
      <c r="AY1748" s="3"/>
      <c r="AZ1748" s="81"/>
      <c r="BB1748" s="5"/>
      <c r="BC1748" s="5"/>
    </row>
    <row r="1749" spans="1:55" x14ac:dyDescent="0.25">
      <c r="A1749" s="51">
        <v>43731</v>
      </c>
      <c r="B1749" s="54"/>
      <c r="C1749" s="55"/>
      <c r="D1749" s="55"/>
      <c r="E1749" s="55"/>
      <c r="F1749" s="55"/>
      <c r="G1749" s="55"/>
      <c r="H1749" s="55"/>
      <c r="I1749" s="55"/>
      <c r="J1749" s="55"/>
      <c r="K1749" s="55"/>
      <c r="L1749" s="55"/>
      <c r="M1749" s="55"/>
      <c r="N1749" s="55"/>
      <c r="O1749" s="55"/>
      <c r="P1749" s="56"/>
      <c r="AI1749" s="49"/>
      <c r="AJ1749" s="78"/>
      <c r="AK1749" s="78"/>
      <c r="AL1749" s="78"/>
      <c r="AM1749" s="78"/>
      <c r="AN1749" s="78"/>
      <c r="AO1749" s="78"/>
      <c r="AP1749" s="78"/>
      <c r="AQ1749" s="78"/>
      <c r="AR1749" s="78"/>
      <c r="AS1749" s="78"/>
      <c r="AT1749" s="78"/>
      <c r="AU1749" s="78"/>
      <c r="AV1749" s="78"/>
      <c r="AW1749" s="78"/>
      <c r="AX1749" s="78"/>
      <c r="AY1749" s="3"/>
      <c r="AZ1749" s="81"/>
      <c r="BB1749" s="5"/>
      <c r="BC1749" s="5"/>
    </row>
    <row r="1750" spans="1:55" x14ac:dyDescent="0.25">
      <c r="A1750" s="51">
        <v>43732</v>
      </c>
      <c r="B1750" s="54"/>
      <c r="C1750" s="55"/>
      <c r="D1750" s="55"/>
      <c r="E1750" s="55"/>
      <c r="F1750" s="55"/>
      <c r="G1750" s="55"/>
      <c r="H1750" s="55"/>
      <c r="I1750" s="55"/>
      <c r="J1750" s="55"/>
      <c r="K1750" s="55"/>
      <c r="L1750" s="55"/>
      <c r="M1750" s="55"/>
      <c r="N1750" s="55"/>
      <c r="O1750" s="55"/>
      <c r="P1750" s="56"/>
      <c r="AI1750" s="49"/>
      <c r="AJ1750" s="78"/>
      <c r="AK1750" s="78"/>
      <c r="AL1750" s="78"/>
      <c r="AM1750" s="78"/>
      <c r="AN1750" s="78"/>
      <c r="AO1750" s="78"/>
      <c r="AP1750" s="78"/>
      <c r="AQ1750" s="78"/>
      <c r="AR1750" s="78"/>
      <c r="AS1750" s="78"/>
      <c r="AT1750" s="78"/>
      <c r="AU1750" s="78"/>
      <c r="AV1750" s="78"/>
      <c r="AW1750" s="78"/>
      <c r="AX1750" s="78"/>
      <c r="AY1750" s="3"/>
      <c r="AZ1750" s="81"/>
      <c r="BB1750" s="5"/>
      <c r="BC1750" s="5"/>
    </row>
    <row r="1751" spans="1:55" x14ac:dyDescent="0.25">
      <c r="A1751" s="51">
        <v>43733</v>
      </c>
      <c r="B1751" s="54"/>
      <c r="C1751" s="55"/>
      <c r="D1751" s="55"/>
      <c r="E1751" s="55"/>
      <c r="F1751" s="55"/>
      <c r="G1751" s="55"/>
      <c r="H1751" s="55"/>
      <c r="I1751" s="55"/>
      <c r="J1751" s="55"/>
      <c r="K1751" s="55"/>
      <c r="L1751" s="55"/>
      <c r="M1751" s="55"/>
      <c r="N1751" s="55"/>
      <c r="O1751" s="55"/>
      <c r="P1751" s="56"/>
      <c r="AI1751" s="49"/>
      <c r="AJ1751" s="78"/>
      <c r="AK1751" s="78"/>
      <c r="AL1751" s="78"/>
      <c r="AM1751" s="78"/>
      <c r="AN1751" s="78"/>
      <c r="AO1751" s="78"/>
      <c r="AP1751" s="78"/>
      <c r="AQ1751" s="78"/>
      <c r="AR1751" s="78"/>
      <c r="AS1751" s="78"/>
      <c r="AT1751" s="78"/>
      <c r="AU1751" s="78"/>
      <c r="AV1751" s="78"/>
      <c r="AW1751" s="78"/>
      <c r="AX1751" s="78"/>
      <c r="AY1751" s="3"/>
      <c r="AZ1751" s="81"/>
      <c r="BB1751" s="5"/>
      <c r="BC1751" s="5"/>
    </row>
    <row r="1752" spans="1:55" x14ac:dyDescent="0.25">
      <c r="A1752" s="51">
        <v>43734</v>
      </c>
      <c r="B1752" s="54"/>
      <c r="C1752" s="55"/>
      <c r="D1752" s="55"/>
      <c r="E1752" s="55"/>
      <c r="F1752" s="55"/>
      <c r="G1752" s="55"/>
      <c r="H1752" s="55"/>
      <c r="I1752" s="55"/>
      <c r="J1752" s="55"/>
      <c r="K1752" s="55"/>
      <c r="L1752" s="55"/>
      <c r="M1752" s="55"/>
      <c r="N1752" s="55"/>
      <c r="O1752" s="55"/>
      <c r="P1752" s="56"/>
      <c r="AI1752" s="49"/>
      <c r="AJ1752" s="78"/>
      <c r="AK1752" s="78"/>
      <c r="AL1752" s="78"/>
      <c r="AM1752" s="78"/>
      <c r="AN1752" s="78"/>
      <c r="AO1752" s="78"/>
      <c r="AP1752" s="78"/>
      <c r="AQ1752" s="78"/>
      <c r="AR1752" s="78"/>
      <c r="AS1752" s="78"/>
      <c r="AT1752" s="78"/>
      <c r="AU1752" s="78"/>
      <c r="AV1752" s="78"/>
      <c r="AW1752" s="78"/>
      <c r="AX1752" s="78"/>
      <c r="AY1752" s="3"/>
      <c r="AZ1752" s="81"/>
      <c r="BB1752" s="5"/>
      <c r="BC1752" s="5"/>
    </row>
    <row r="1753" spans="1:55" x14ac:dyDescent="0.25">
      <c r="A1753" s="51">
        <v>43735</v>
      </c>
      <c r="B1753" s="54"/>
      <c r="C1753" s="55"/>
      <c r="D1753" s="55"/>
      <c r="E1753" s="55"/>
      <c r="F1753" s="55"/>
      <c r="G1753" s="55"/>
      <c r="H1753" s="55"/>
      <c r="I1753" s="55"/>
      <c r="J1753" s="55"/>
      <c r="K1753" s="55"/>
      <c r="L1753" s="55"/>
      <c r="M1753" s="55"/>
      <c r="N1753" s="55"/>
      <c r="O1753" s="55"/>
      <c r="P1753" s="56"/>
      <c r="AI1753" s="49"/>
      <c r="AJ1753" s="78"/>
      <c r="AK1753" s="78"/>
      <c r="AL1753" s="78"/>
      <c r="AM1753" s="78"/>
      <c r="AN1753" s="78"/>
      <c r="AO1753" s="78"/>
      <c r="AP1753" s="78"/>
      <c r="AQ1753" s="78"/>
      <c r="AR1753" s="78"/>
      <c r="AS1753" s="78"/>
      <c r="AT1753" s="78"/>
      <c r="AU1753" s="78"/>
      <c r="AV1753" s="78"/>
      <c r="AW1753" s="78"/>
      <c r="AX1753" s="78"/>
      <c r="AY1753" s="3"/>
      <c r="AZ1753" s="81"/>
      <c r="BB1753" s="5"/>
      <c r="BC1753" s="5"/>
    </row>
    <row r="1754" spans="1:55" x14ac:dyDescent="0.25">
      <c r="A1754" s="51">
        <v>43738</v>
      </c>
      <c r="B1754" s="54"/>
      <c r="C1754" s="55"/>
      <c r="D1754" s="55"/>
      <c r="E1754" s="55"/>
      <c r="F1754" s="55"/>
      <c r="G1754" s="55"/>
      <c r="H1754" s="55"/>
      <c r="I1754" s="55"/>
      <c r="J1754" s="55"/>
      <c r="K1754" s="55"/>
      <c r="L1754" s="55"/>
      <c r="M1754" s="55"/>
      <c r="N1754" s="55"/>
      <c r="O1754" s="55"/>
      <c r="P1754" s="56"/>
      <c r="AI1754" s="49"/>
      <c r="AJ1754" s="78"/>
      <c r="AK1754" s="78"/>
      <c r="AL1754" s="78"/>
      <c r="AM1754" s="78"/>
      <c r="AN1754" s="78"/>
      <c r="AO1754" s="78"/>
      <c r="AP1754" s="78"/>
      <c r="AQ1754" s="78"/>
      <c r="AR1754" s="78"/>
      <c r="AS1754" s="78"/>
      <c r="AT1754" s="78"/>
      <c r="AU1754" s="78"/>
      <c r="AV1754" s="78"/>
      <c r="AW1754" s="78"/>
      <c r="AX1754" s="78"/>
      <c r="AY1754" s="3"/>
      <c r="AZ1754" s="81"/>
      <c r="BB1754" s="5"/>
      <c r="BC1754" s="5"/>
    </row>
    <row r="1755" spans="1:55" x14ac:dyDescent="0.25">
      <c r="A1755" s="51">
        <v>43739</v>
      </c>
      <c r="B1755" s="54"/>
      <c r="C1755" s="55"/>
      <c r="D1755" s="55"/>
      <c r="E1755" s="55"/>
      <c r="F1755" s="55"/>
      <c r="G1755" s="55"/>
      <c r="H1755" s="55"/>
      <c r="I1755" s="55"/>
      <c r="J1755" s="55"/>
      <c r="K1755" s="55"/>
      <c r="L1755" s="55"/>
      <c r="M1755" s="55"/>
      <c r="N1755" s="55"/>
      <c r="O1755" s="55"/>
      <c r="P1755" s="56"/>
      <c r="AI1755" s="49"/>
      <c r="AJ1755" s="78"/>
      <c r="AK1755" s="78"/>
      <c r="AL1755" s="78"/>
      <c r="AM1755" s="78"/>
      <c r="AN1755" s="78"/>
      <c r="AO1755" s="78"/>
      <c r="AP1755" s="78"/>
      <c r="AQ1755" s="78"/>
      <c r="AR1755" s="78"/>
      <c r="AS1755" s="78"/>
      <c r="AT1755" s="78"/>
      <c r="AU1755" s="78"/>
      <c r="AV1755" s="78"/>
      <c r="AW1755" s="78"/>
      <c r="AX1755" s="78"/>
      <c r="AY1755" s="3"/>
      <c r="AZ1755" s="81"/>
      <c r="BB1755" s="5"/>
      <c r="BC1755" s="5"/>
    </row>
    <row r="1756" spans="1:55" x14ac:dyDescent="0.25">
      <c r="A1756" s="51">
        <v>43740</v>
      </c>
      <c r="B1756" s="54"/>
      <c r="C1756" s="55"/>
      <c r="D1756" s="55"/>
      <c r="E1756" s="55"/>
      <c r="F1756" s="55"/>
      <c r="G1756" s="55"/>
      <c r="H1756" s="55"/>
      <c r="I1756" s="55"/>
      <c r="J1756" s="55"/>
      <c r="K1756" s="55"/>
      <c r="L1756" s="55"/>
      <c r="M1756" s="55"/>
      <c r="N1756" s="55"/>
      <c r="O1756" s="55"/>
      <c r="P1756" s="56"/>
      <c r="AI1756" s="49"/>
      <c r="AJ1756" s="78"/>
      <c r="AK1756" s="78"/>
      <c r="AL1756" s="78"/>
      <c r="AM1756" s="78"/>
      <c r="AN1756" s="78"/>
      <c r="AO1756" s="78"/>
      <c r="AP1756" s="78"/>
      <c r="AQ1756" s="78"/>
      <c r="AR1756" s="78"/>
      <c r="AS1756" s="78"/>
      <c r="AT1756" s="78"/>
      <c r="AU1756" s="78"/>
      <c r="AV1756" s="78"/>
      <c r="AW1756" s="78"/>
      <c r="AX1756" s="78"/>
      <c r="AY1756" s="3"/>
      <c r="AZ1756" s="81"/>
      <c r="BB1756" s="5"/>
      <c r="BC1756" s="5"/>
    </row>
    <row r="1757" spans="1:55" x14ac:dyDescent="0.25">
      <c r="A1757" s="51">
        <v>43741</v>
      </c>
      <c r="B1757" s="54"/>
      <c r="C1757" s="55"/>
      <c r="D1757" s="55"/>
      <c r="E1757" s="55"/>
      <c r="F1757" s="55"/>
      <c r="G1757" s="55"/>
      <c r="H1757" s="55"/>
      <c r="I1757" s="55"/>
      <c r="J1757" s="55"/>
      <c r="K1757" s="55"/>
      <c r="L1757" s="55"/>
      <c r="M1757" s="55"/>
      <c r="N1757" s="55"/>
      <c r="O1757" s="55"/>
      <c r="P1757" s="56"/>
      <c r="AI1757" s="49"/>
      <c r="AJ1757" s="78"/>
      <c r="AK1757" s="78"/>
      <c r="AL1757" s="78"/>
      <c r="AM1757" s="78"/>
      <c r="AN1757" s="78"/>
      <c r="AO1757" s="78"/>
      <c r="AP1757" s="78"/>
      <c r="AQ1757" s="78"/>
      <c r="AR1757" s="78"/>
      <c r="AS1757" s="78"/>
      <c r="AT1757" s="78"/>
      <c r="AU1757" s="78"/>
      <c r="AV1757" s="78"/>
      <c r="AW1757" s="78"/>
      <c r="AX1757" s="78"/>
      <c r="AY1757" s="3"/>
      <c r="AZ1757" s="81"/>
      <c r="BB1757" s="5"/>
      <c r="BC1757" s="5"/>
    </row>
    <row r="1758" spans="1:55" x14ac:dyDescent="0.25">
      <c r="A1758" s="51">
        <v>43742</v>
      </c>
      <c r="B1758" s="54"/>
      <c r="C1758" s="55"/>
      <c r="D1758" s="55"/>
      <c r="E1758" s="55"/>
      <c r="F1758" s="55"/>
      <c r="G1758" s="55"/>
      <c r="H1758" s="55"/>
      <c r="I1758" s="55"/>
      <c r="J1758" s="55"/>
      <c r="K1758" s="55"/>
      <c r="L1758" s="55"/>
      <c r="M1758" s="55"/>
      <c r="N1758" s="55"/>
      <c r="O1758" s="55"/>
      <c r="P1758" s="56"/>
      <c r="AI1758" s="49"/>
      <c r="AJ1758" s="78"/>
      <c r="AK1758" s="78"/>
      <c r="AL1758" s="78"/>
      <c r="AM1758" s="78"/>
      <c r="AN1758" s="78"/>
      <c r="AO1758" s="78"/>
      <c r="AP1758" s="78"/>
      <c r="AQ1758" s="78"/>
      <c r="AR1758" s="78"/>
      <c r="AS1758" s="78"/>
      <c r="AT1758" s="78"/>
      <c r="AU1758" s="78"/>
      <c r="AV1758" s="78"/>
      <c r="AW1758" s="78"/>
      <c r="AX1758" s="78"/>
      <c r="AY1758" s="3"/>
      <c r="AZ1758" s="81"/>
      <c r="BB1758" s="5"/>
      <c r="BC1758" s="5"/>
    </row>
    <row r="1759" spans="1:55" x14ac:dyDescent="0.25">
      <c r="A1759" s="51">
        <v>43745</v>
      </c>
      <c r="B1759" s="54"/>
      <c r="C1759" s="55"/>
      <c r="D1759" s="55"/>
      <c r="E1759" s="55"/>
      <c r="F1759" s="55"/>
      <c r="G1759" s="55"/>
      <c r="H1759" s="55"/>
      <c r="I1759" s="55"/>
      <c r="J1759" s="55"/>
      <c r="K1759" s="55"/>
      <c r="L1759" s="55"/>
      <c r="M1759" s="55"/>
      <c r="N1759" s="55"/>
      <c r="O1759" s="55"/>
      <c r="P1759" s="56"/>
      <c r="AI1759" s="49"/>
      <c r="AJ1759" s="78"/>
      <c r="AK1759" s="78"/>
      <c r="AL1759" s="78"/>
      <c r="AM1759" s="78"/>
      <c r="AN1759" s="78"/>
      <c r="AO1759" s="78"/>
      <c r="AP1759" s="78"/>
      <c r="AQ1759" s="78"/>
      <c r="AR1759" s="78"/>
      <c r="AS1759" s="78"/>
      <c r="AT1759" s="78"/>
      <c r="AU1759" s="78"/>
      <c r="AV1759" s="78"/>
      <c r="AW1759" s="78"/>
      <c r="AX1759" s="78"/>
      <c r="AY1759" s="3"/>
      <c r="AZ1759" s="81"/>
      <c r="BB1759" s="5"/>
      <c r="BC1759" s="5"/>
    </row>
    <row r="1760" spans="1:55" x14ac:dyDescent="0.25">
      <c r="A1760" s="51">
        <v>43747</v>
      </c>
      <c r="B1760" s="54"/>
      <c r="C1760" s="55"/>
      <c r="D1760" s="55"/>
      <c r="E1760" s="55"/>
      <c r="F1760" s="55"/>
      <c r="G1760" s="55"/>
      <c r="H1760" s="55"/>
      <c r="I1760" s="55"/>
      <c r="J1760" s="55"/>
      <c r="K1760" s="55"/>
      <c r="L1760" s="55"/>
      <c r="M1760" s="55"/>
      <c r="N1760" s="55"/>
      <c r="O1760" s="55"/>
      <c r="P1760" s="56"/>
      <c r="AI1760" s="49"/>
      <c r="AJ1760" s="78"/>
      <c r="AK1760" s="78"/>
      <c r="AL1760" s="78"/>
      <c r="AM1760" s="78"/>
      <c r="AN1760" s="78"/>
      <c r="AO1760" s="78"/>
      <c r="AP1760" s="78"/>
      <c r="AQ1760" s="78"/>
      <c r="AR1760" s="78"/>
      <c r="AS1760" s="78"/>
      <c r="AT1760" s="78"/>
      <c r="AU1760" s="78"/>
      <c r="AV1760" s="78"/>
      <c r="AW1760" s="78"/>
      <c r="AX1760" s="78"/>
      <c r="AY1760" s="3"/>
      <c r="AZ1760" s="81"/>
      <c r="BB1760" s="5"/>
      <c r="BC1760" s="5"/>
    </row>
    <row r="1761" spans="1:55" x14ac:dyDescent="0.25">
      <c r="A1761" s="51">
        <v>43748</v>
      </c>
      <c r="B1761" s="54"/>
      <c r="C1761" s="55"/>
      <c r="D1761" s="55"/>
      <c r="E1761" s="55"/>
      <c r="F1761" s="55"/>
      <c r="G1761" s="55"/>
      <c r="H1761" s="55"/>
      <c r="I1761" s="55"/>
      <c r="J1761" s="55"/>
      <c r="K1761" s="55"/>
      <c r="L1761" s="55"/>
      <c r="M1761" s="55"/>
      <c r="N1761" s="55"/>
      <c r="O1761" s="55"/>
      <c r="P1761" s="56"/>
      <c r="AI1761" s="49"/>
      <c r="AJ1761" s="78"/>
      <c r="AK1761" s="78"/>
      <c r="AL1761" s="78"/>
      <c r="AM1761" s="78"/>
      <c r="AN1761" s="78"/>
      <c r="AO1761" s="78"/>
      <c r="AP1761" s="78"/>
      <c r="AQ1761" s="78"/>
      <c r="AR1761" s="78"/>
      <c r="AS1761" s="78"/>
      <c r="AT1761" s="78"/>
      <c r="AU1761" s="78"/>
      <c r="AV1761" s="78"/>
      <c r="AW1761" s="78"/>
      <c r="AX1761" s="78"/>
      <c r="AY1761" s="3"/>
      <c r="AZ1761" s="81"/>
      <c r="BB1761" s="5"/>
      <c r="BC1761" s="5"/>
    </row>
    <row r="1762" spans="1:55" x14ac:dyDescent="0.25">
      <c r="A1762" s="51">
        <v>43749</v>
      </c>
      <c r="B1762" s="54"/>
      <c r="C1762" s="55"/>
      <c r="D1762" s="55"/>
      <c r="E1762" s="55"/>
      <c r="F1762" s="55"/>
      <c r="G1762" s="55"/>
      <c r="H1762" s="55"/>
      <c r="I1762" s="55"/>
      <c r="J1762" s="55"/>
      <c r="K1762" s="55"/>
      <c r="L1762" s="55"/>
      <c r="M1762" s="55"/>
      <c r="N1762" s="55"/>
      <c r="O1762" s="55"/>
      <c r="P1762" s="56"/>
      <c r="AI1762" s="49"/>
      <c r="AJ1762" s="78"/>
      <c r="AK1762" s="78"/>
      <c r="AL1762" s="78"/>
      <c r="AM1762" s="78"/>
      <c r="AN1762" s="78"/>
      <c r="AO1762" s="78"/>
      <c r="AP1762" s="78"/>
      <c r="AQ1762" s="78"/>
      <c r="AR1762" s="78"/>
      <c r="AS1762" s="78"/>
      <c r="AT1762" s="78"/>
      <c r="AU1762" s="78"/>
      <c r="AV1762" s="78"/>
      <c r="AW1762" s="78"/>
      <c r="AX1762" s="78"/>
      <c r="AY1762" s="3"/>
      <c r="AZ1762" s="81"/>
      <c r="BB1762" s="5"/>
      <c r="BC1762" s="5"/>
    </row>
    <row r="1763" spans="1:55" x14ac:dyDescent="0.25">
      <c r="A1763" s="51">
        <v>43752</v>
      </c>
      <c r="B1763" s="54"/>
      <c r="C1763" s="55"/>
      <c r="D1763" s="55"/>
      <c r="E1763" s="55"/>
      <c r="F1763" s="55"/>
      <c r="G1763" s="55"/>
      <c r="H1763" s="55"/>
      <c r="I1763" s="55"/>
      <c r="J1763" s="55"/>
      <c r="K1763" s="55"/>
      <c r="L1763" s="55"/>
      <c r="M1763" s="55"/>
      <c r="N1763" s="55"/>
      <c r="O1763" s="55"/>
      <c r="P1763" s="56"/>
      <c r="AI1763" s="49"/>
      <c r="AJ1763" s="78"/>
      <c r="AK1763" s="78"/>
      <c r="AL1763" s="78"/>
      <c r="AM1763" s="78"/>
      <c r="AN1763" s="78"/>
      <c r="AO1763" s="78"/>
      <c r="AP1763" s="78"/>
      <c r="AQ1763" s="78"/>
      <c r="AR1763" s="78"/>
      <c r="AS1763" s="78"/>
      <c r="AT1763" s="78"/>
      <c r="AU1763" s="78"/>
      <c r="AV1763" s="78"/>
      <c r="AW1763" s="78"/>
      <c r="AX1763" s="78"/>
      <c r="AY1763" s="3"/>
      <c r="AZ1763" s="81"/>
      <c r="BB1763" s="5"/>
      <c r="BC1763" s="5"/>
    </row>
    <row r="1764" spans="1:55" x14ac:dyDescent="0.25">
      <c r="A1764" s="51">
        <v>43753</v>
      </c>
      <c r="B1764" s="54"/>
      <c r="C1764" s="55"/>
      <c r="D1764" s="55"/>
      <c r="E1764" s="55"/>
      <c r="F1764" s="55"/>
      <c r="G1764" s="55"/>
      <c r="H1764" s="55"/>
      <c r="I1764" s="55"/>
      <c r="J1764" s="55"/>
      <c r="K1764" s="55"/>
      <c r="L1764" s="55"/>
      <c r="M1764" s="55"/>
      <c r="N1764" s="55"/>
      <c r="O1764" s="55"/>
      <c r="P1764" s="56"/>
      <c r="AI1764" s="49"/>
      <c r="AJ1764" s="78"/>
      <c r="AK1764" s="78"/>
      <c r="AL1764" s="78"/>
      <c r="AM1764" s="78"/>
      <c r="AN1764" s="78"/>
      <c r="AO1764" s="78"/>
      <c r="AP1764" s="78"/>
      <c r="AQ1764" s="78"/>
      <c r="AR1764" s="78"/>
      <c r="AS1764" s="78"/>
      <c r="AT1764" s="78"/>
      <c r="AU1764" s="78"/>
      <c r="AV1764" s="78"/>
      <c r="AW1764" s="78"/>
      <c r="AX1764" s="78"/>
      <c r="AY1764" s="3"/>
      <c r="AZ1764" s="81"/>
      <c r="BB1764" s="5"/>
      <c r="BC1764" s="5"/>
    </row>
    <row r="1765" spans="1:55" x14ac:dyDescent="0.25">
      <c r="A1765" s="51">
        <v>43754</v>
      </c>
      <c r="B1765" s="54"/>
      <c r="C1765" s="55"/>
      <c r="D1765" s="55"/>
      <c r="E1765" s="55"/>
      <c r="F1765" s="55"/>
      <c r="G1765" s="55"/>
      <c r="H1765" s="55"/>
      <c r="I1765" s="55"/>
      <c r="J1765" s="55"/>
      <c r="K1765" s="55"/>
      <c r="L1765" s="55"/>
      <c r="M1765" s="55"/>
      <c r="N1765" s="55"/>
      <c r="O1765" s="55"/>
      <c r="P1765" s="56"/>
      <c r="AI1765" s="49"/>
      <c r="AJ1765" s="78"/>
      <c r="AK1765" s="78"/>
      <c r="AL1765" s="78"/>
      <c r="AM1765" s="78"/>
      <c r="AN1765" s="78"/>
      <c r="AO1765" s="78"/>
      <c r="AP1765" s="78"/>
      <c r="AQ1765" s="78"/>
      <c r="AR1765" s="78"/>
      <c r="AS1765" s="78"/>
      <c r="AT1765" s="78"/>
      <c r="AU1765" s="78"/>
      <c r="AV1765" s="78"/>
      <c r="AW1765" s="78"/>
      <c r="AX1765" s="78"/>
      <c r="AY1765" s="3"/>
      <c r="AZ1765" s="81"/>
      <c r="BB1765" s="5"/>
      <c r="BC1765" s="5"/>
    </row>
    <row r="1766" spans="1:55" x14ac:dyDescent="0.25">
      <c r="A1766" s="51">
        <v>43755</v>
      </c>
      <c r="B1766" s="54"/>
      <c r="C1766" s="55"/>
      <c r="D1766" s="55"/>
      <c r="E1766" s="55"/>
      <c r="F1766" s="55"/>
      <c r="G1766" s="55"/>
      <c r="H1766" s="55"/>
      <c r="I1766" s="55"/>
      <c r="J1766" s="55"/>
      <c r="K1766" s="55"/>
      <c r="L1766" s="55"/>
      <c r="M1766" s="55"/>
      <c r="N1766" s="55"/>
      <c r="O1766" s="55"/>
      <c r="P1766" s="56"/>
      <c r="AI1766" s="49"/>
      <c r="AJ1766" s="78"/>
      <c r="AK1766" s="78"/>
      <c r="AL1766" s="78"/>
      <c r="AM1766" s="78"/>
      <c r="AN1766" s="78"/>
      <c r="AO1766" s="78"/>
      <c r="AP1766" s="78"/>
      <c r="AQ1766" s="78"/>
      <c r="AR1766" s="78"/>
      <c r="AS1766" s="78"/>
      <c r="AT1766" s="78"/>
      <c r="AU1766" s="78"/>
      <c r="AV1766" s="78"/>
      <c r="AW1766" s="78"/>
      <c r="AX1766" s="78"/>
      <c r="AY1766" s="3"/>
      <c r="AZ1766" s="81"/>
      <c r="BB1766" s="5"/>
      <c r="BC1766" s="5"/>
    </row>
    <row r="1767" spans="1:55" x14ac:dyDescent="0.25">
      <c r="A1767" s="51">
        <v>43756</v>
      </c>
      <c r="B1767" s="54"/>
      <c r="C1767" s="55"/>
      <c r="D1767" s="55"/>
      <c r="E1767" s="55"/>
      <c r="F1767" s="55"/>
      <c r="G1767" s="55"/>
      <c r="H1767" s="55"/>
      <c r="I1767" s="55"/>
      <c r="J1767" s="55"/>
      <c r="K1767" s="55"/>
      <c r="L1767" s="55"/>
      <c r="M1767" s="55"/>
      <c r="N1767" s="55"/>
      <c r="O1767" s="55"/>
      <c r="P1767" s="56"/>
      <c r="AI1767" s="49"/>
      <c r="AJ1767" s="78"/>
      <c r="AK1767" s="78"/>
      <c r="AL1767" s="78"/>
      <c r="AM1767" s="78"/>
      <c r="AN1767" s="78"/>
      <c r="AO1767" s="78"/>
      <c r="AP1767" s="78"/>
      <c r="AQ1767" s="78"/>
      <c r="AR1767" s="78"/>
      <c r="AS1767" s="78"/>
      <c r="AT1767" s="78"/>
      <c r="AU1767" s="78"/>
      <c r="AV1767" s="78"/>
      <c r="AW1767" s="78"/>
      <c r="AX1767" s="78"/>
      <c r="AY1767" s="3"/>
      <c r="AZ1767" s="81"/>
      <c r="BB1767" s="5"/>
      <c r="BC1767" s="5"/>
    </row>
    <row r="1768" spans="1:55" x14ac:dyDescent="0.25">
      <c r="A1768" s="51">
        <v>43759</v>
      </c>
      <c r="B1768" s="54"/>
      <c r="C1768" s="55"/>
      <c r="D1768" s="55"/>
      <c r="E1768" s="55"/>
      <c r="F1768" s="55"/>
      <c r="G1768" s="55"/>
      <c r="H1768" s="55"/>
      <c r="I1768" s="55"/>
      <c r="J1768" s="55"/>
      <c r="K1768" s="55"/>
      <c r="L1768" s="55"/>
      <c r="M1768" s="55"/>
      <c r="N1768" s="55"/>
      <c r="O1768" s="55"/>
      <c r="P1768" s="56"/>
      <c r="AI1768" s="49"/>
      <c r="AJ1768" s="78"/>
      <c r="AK1768" s="78"/>
      <c r="AL1768" s="78"/>
      <c r="AM1768" s="78"/>
      <c r="AN1768" s="78"/>
      <c r="AO1768" s="78"/>
      <c r="AP1768" s="78"/>
      <c r="AQ1768" s="78"/>
      <c r="AR1768" s="78"/>
      <c r="AS1768" s="78"/>
      <c r="AT1768" s="78"/>
      <c r="AU1768" s="78"/>
      <c r="AV1768" s="78"/>
      <c r="AW1768" s="78"/>
      <c r="AX1768" s="78"/>
      <c r="AY1768" s="3"/>
      <c r="AZ1768" s="81"/>
      <c r="BB1768" s="5"/>
      <c r="BC1768" s="5"/>
    </row>
    <row r="1769" spans="1:55" x14ac:dyDescent="0.25">
      <c r="A1769" s="51">
        <v>43760</v>
      </c>
      <c r="B1769" s="54"/>
      <c r="C1769" s="55"/>
      <c r="D1769" s="55"/>
      <c r="E1769" s="55"/>
      <c r="F1769" s="55"/>
      <c r="G1769" s="55"/>
      <c r="H1769" s="55"/>
      <c r="I1769" s="55"/>
      <c r="J1769" s="55"/>
      <c r="K1769" s="55"/>
      <c r="L1769" s="55"/>
      <c r="M1769" s="55"/>
      <c r="N1769" s="55"/>
      <c r="O1769" s="55"/>
      <c r="P1769" s="56"/>
      <c r="AI1769" s="49"/>
      <c r="AJ1769" s="78"/>
      <c r="AK1769" s="78"/>
      <c r="AL1769" s="78"/>
      <c r="AM1769" s="78"/>
      <c r="AN1769" s="78"/>
      <c r="AO1769" s="78"/>
      <c r="AP1769" s="78"/>
      <c r="AQ1769" s="78"/>
      <c r="AR1769" s="78"/>
      <c r="AS1769" s="78"/>
      <c r="AT1769" s="78"/>
      <c r="AU1769" s="78"/>
      <c r="AV1769" s="78"/>
      <c r="AW1769" s="78"/>
      <c r="AX1769" s="78"/>
      <c r="AY1769" s="3"/>
      <c r="AZ1769" s="81"/>
      <c r="BB1769" s="5"/>
      <c r="BC1769" s="5"/>
    </row>
    <row r="1770" spans="1:55" x14ac:dyDescent="0.25">
      <c r="A1770" s="51">
        <v>43761</v>
      </c>
      <c r="B1770" s="54"/>
      <c r="C1770" s="55"/>
      <c r="D1770" s="55"/>
      <c r="E1770" s="55"/>
      <c r="F1770" s="55"/>
      <c r="G1770" s="55"/>
      <c r="H1770" s="55"/>
      <c r="I1770" s="55"/>
      <c r="J1770" s="55"/>
      <c r="K1770" s="55"/>
      <c r="L1770" s="55"/>
      <c r="M1770" s="55"/>
      <c r="N1770" s="55"/>
      <c r="O1770" s="55"/>
      <c r="P1770" s="56"/>
      <c r="AI1770" s="49"/>
      <c r="AJ1770" s="78"/>
      <c r="AK1770" s="78"/>
      <c r="AL1770" s="78"/>
      <c r="AM1770" s="78"/>
      <c r="AN1770" s="78"/>
      <c r="AO1770" s="78"/>
      <c r="AP1770" s="78"/>
      <c r="AQ1770" s="78"/>
      <c r="AR1770" s="78"/>
      <c r="AS1770" s="78"/>
      <c r="AT1770" s="78"/>
      <c r="AU1770" s="78"/>
      <c r="AV1770" s="78"/>
      <c r="AW1770" s="78"/>
      <c r="AX1770" s="78"/>
      <c r="AY1770" s="3"/>
      <c r="AZ1770" s="81"/>
      <c r="BB1770" s="5"/>
      <c r="BC1770" s="5"/>
    </row>
    <row r="1771" spans="1:55" x14ac:dyDescent="0.25">
      <c r="A1771" s="51">
        <v>43762</v>
      </c>
      <c r="B1771" s="54"/>
      <c r="C1771" s="55"/>
      <c r="D1771" s="55"/>
      <c r="E1771" s="55"/>
      <c r="F1771" s="55"/>
      <c r="G1771" s="55"/>
      <c r="H1771" s="55"/>
      <c r="I1771" s="55"/>
      <c r="J1771" s="55"/>
      <c r="K1771" s="55"/>
      <c r="L1771" s="55"/>
      <c r="M1771" s="55"/>
      <c r="N1771" s="55"/>
      <c r="O1771" s="55"/>
      <c r="P1771" s="56"/>
      <c r="AI1771" s="49"/>
      <c r="AJ1771" s="78"/>
      <c r="AK1771" s="78"/>
      <c r="AL1771" s="78"/>
      <c r="AM1771" s="78"/>
      <c r="AN1771" s="78"/>
      <c r="AO1771" s="78"/>
      <c r="AP1771" s="78"/>
      <c r="AQ1771" s="78"/>
      <c r="AR1771" s="78"/>
      <c r="AS1771" s="78"/>
      <c r="AT1771" s="78"/>
      <c r="AU1771" s="78"/>
      <c r="AV1771" s="78"/>
      <c r="AW1771" s="78"/>
      <c r="AX1771" s="78"/>
      <c r="AY1771" s="3"/>
      <c r="AZ1771" s="81"/>
      <c r="BB1771" s="5"/>
      <c r="BC1771" s="5"/>
    </row>
    <row r="1772" spans="1:55" x14ac:dyDescent="0.25">
      <c r="A1772" s="51">
        <v>43763</v>
      </c>
      <c r="B1772" s="54"/>
      <c r="C1772" s="55"/>
      <c r="D1772" s="55"/>
      <c r="E1772" s="55"/>
      <c r="F1772" s="55"/>
      <c r="G1772" s="55"/>
      <c r="H1772" s="55"/>
      <c r="I1772" s="55"/>
      <c r="J1772" s="55"/>
      <c r="K1772" s="55"/>
      <c r="L1772" s="55"/>
      <c r="M1772" s="55"/>
      <c r="N1772" s="55"/>
      <c r="O1772" s="55"/>
      <c r="P1772" s="56"/>
      <c r="AI1772" s="49"/>
      <c r="AJ1772" s="78"/>
      <c r="AK1772" s="78"/>
      <c r="AL1772" s="78"/>
      <c r="AM1772" s="78"/>
      <c r="AN1772" s="78"/>
      <c r="AO1772" s="78"/>
      <c r="AP1772" s="78"/>
      <c r="AQ1772" s="78"/>
      <c r="AR1772" s="78"/>
      <c r="AS1772" s="78"/>
      <c r="AT1772" s="78"/>
      <c r="AU1772" s="78"/>
      <c r="AV1772" s="78"/>
      <c r="AW1772" s="78"/>
      <c r="AX1772" s="78"/>
      <c r="AY1772" s="3"/>
      <c r="AZ1772" s="81"/>
      <c r="BB1772" s="5"/>
      <c r="BC1772" s="5"/>
    </row>
    <row r="1773" spans="1:55" x14ac:dyDescent="0.25">
      <c r="A1773" s="51">
        <v>43766</v>
      </c>
      <c r="B1773" s="54"/>
      <c r="C1773" s="55"/>
      <c r="D1773" s="55"/>
      <c r="E1773" s="55"/>
      <c r="F1773" s="55"/>
      <c r="G1773" s="55"/>
      <c r="H1773" s="55"/>
      <c r="I1773" s="55"/>
      <c r="J1773" s="55"/>
      <c r="K1773" s="55"/>
      <c r="L1773" s="55"/>
      <c r="M1773" s="55"/>
      <c r="N1773" s="55"/>
      <c r="O1773" s="55"/>
      <c r="P1773" s="56"/>
      <c r="AI1773" s="49"/>
      <c r="AJ1773" s="78"/>
      <c r="AK1773" s="78"/>
      <c r="AL1773" s="78"/>
      <c r="AM1773" s="78"/>
      <c r="AN1773" s="78"/>
      <c r="AO1773" s="78"/>
      <c r="AP1773" s="78"/>
      <c r="AQ1773" s="78"/>
      <c r="AR1773" s="78"/>
      <c r="AS1773" s="78"/>
      <c r="AT1773" s="78"/>
      <c r="AU1773" s="78"/>
      <c r="AV1773" s="78"/>
      <c r="AW1773" s="78"/>
      <c r="AX1773" s="78"/>
      <c r="AY1773" s="3"/>
      <c r="AZ1773" s="81"/>
      <c r="BB1773" s="5"/>
      <c r="BC1773" s="5"/>
    </row>
    <row r="1774" spans="1:55" x14ac:dyDescent="0.25">
      <c r="A1774" s="51">
        <v>43767</v>
      </c>
      <c r="B1774" s="54"/>
      <c r="C1774" s="55"/>
      <c r="D1774" s="55"/>
      <c r="E1774" s="55"/>
      <c r="F1774" s="55"/>
      <c r="G1774" s="55"/>
      <c r="H1774" s="55"/>
      <c r="I1774" s="55"/>
      <c r="J1774" s="55"/>
      <c r="K1774" s="55"/>
      <c r="L1774" s="55"/>
      <c r="M1774" s="55"/>
      <c r="N1774" s="55"/>
      <c r="O1774" s="55"/>
      <c r="P1774" s="56"/>
      <c r="AI1774" s="49"/>
      <c r="AJ1774" s="78"/>
      <c r="AK1774" s="78"/>
      <c r="AL1774" s="78"/>
      <c r="AM1774" s="78"/>
      <c r="AN1774" s="78"/>
      <c r="AO1774" s="78"/>
      <c r="AP1774" s="78"/>
      <c r="AQ1774" s="78"/>
      <c r="AR1774" s="78"/>
      <c r="AS1774" s="78"/>
      <c r="AT1774" s="78"/>
      <c r="AU1774" s="78"/>
      <c r="AV1774" s="78"/>
      <c r="AW1774" s="78"/>
      <c r="AX1774" s="78"/>
      <c r="AY1774" s="3"/>
      <c r="AZ1774" s="81"/>
      <c r="BB1774" s="5"/>
      <c r="BC1774" s="5"/>
    </row>
    <row r="1775" spans="1:55" x14ac:dyDescent="0.25">
      <c r="A1775" s="51">
        <v>43768</v>
      </c>
      <c r="B1775" s="54"/>
      <c r="C1775" s="55"/>
      <c r="D1775" s="55"/>
      <c r="E1775" s="55"/>
      <c r="F1775" s="55"/>
      <c r="G1775" s="55"/>
      <c r="H1775" s="55"/>
      <c r="I1775" s="55"/>
      <c r="J1775" s="55"/>
      <c r="K1775" s="55"/>
      <c r="L1775" s="55"/>
      <c r="M1775" s="55"/>
      <c r="N1775" s="55"/>
      <c r="O1775" s="55"/>
      <c r="P1775" s="56"/>
      <c r="AI1775" s="49"/>
      <c r="AJ1775" s="78"/>
      <c r="AK1775" s="78"/>
      <c r="AL1775" s="78"/>
      <c r="AM1775" s="78"/>
      <c r="AN1775" s="78"/>
      <c r="AO1775" s="78"/>
      <c r="AP1775" s="78"/>
      <c r="AQ1775" s="78"/>
      <c r="AR1775" s="78"/>
      <c r="AS1775" s="78"/>
      <c r="AT1775" s="78"/>
      <c r="AU1775" s="78"/>
      <c r="AV1775" s="78"/>
      <c r="AW1775" s="78"/>
      <c r="AX1775" s="78"/>
      <c r="AY1775" s="3"/>
      <c r="AZ1775" s="81"/>
      <c r="BB1775" s="5"/>
      <c r="BC1775" s="5"/>
    </row>
    <row r="1776" spans="1:55" x14ac:dyDescent="0.25">
      <c r="A1776" s="51">
        <v>43769</v>
      </c>
      <c r="B1776" s="54"/>
      <c r="C1776" s="55"/>
      <c r="D1776" s="55"/>
      <c r="E1776" s="55"/>
      <c r="F1776" s="55"/>
      <c r="G1776" s="55"/>
      <c r="H1776" s="55"/>
      <c r="I1776" s="55"/>
      <c r="J1776" s="55"/>
      <c r="K1776" s="55"/>
      <c r="L1776" s="55"/>
      <c r="M1776" s="55"/>
      <c r="N1776" s="55"/>
      <c r="O1776" s="55"/>
      <c r="P1776" s="56"/>
      <c r="AI1776" s="49"/>
      <c r="AJ1776" s="78"/>
      <c r="AK1776" s="78"/>
      <c r="AL1776" s="78"/>
      <c r="AM1776" s="78"/>
      <c r="AN1776" s="78"/>
      <c r="AO1776" s="78"/>
      <c r="AP1776" s="78"/>
      <c r="AQ1776" s="78"/>
      <c r="AR1776" s="78"/>
      <c r="AS1776" s="78"/>
      <c r="AT1776" s="78"/>
      <c r="AU1776" s="78"/>
      <c r="AV1776" s="78"/>
      <c r="AW1776" s="78"/>
      <c r="AX1776" s="78"/>
      <c r="AY1776" s="3"/>
      <c r="AZ1776" s="81"/>
      <c r="BB1776" s="5"/>
      <c r="BC1776" s="5"/>
    </row>
    <row r="1777" spans="1:55" x14ac:dyDescent="0.25">
      <c r="A1777" s="51">
        <v>43773</v>
      </c>
      <c r="B1777" s="54"/>
      <c r="C1777" s="55"/>
      <c r="D1777" s="55"/>
      <c r="E1777" s="55"/>
      <c r="F1777" s="55"/>
      <c r="G1777" s="55"/>
      <c r="H1777" s="55"/>
      <c r="I1777" s="55"/>
      <c r="J1777" s="55"/>
      <c r="K1777" s="55"/>
      <c r="L1777" s="55"/>
      <c r="M1777" s="55"/>
      <c r="N1777" s="55"/>
      <c r="O1777" s="55"/>
      <c r="P1777" s="56"/>
      <c r="AI1777" s="49"/>
      <c r="AJ1777" s="78"/>
      <c r="AK1777" s="78"/>
      <c r="AL1777" s="78"/>
      <c r="AM1777" s="78"/>
      <c r="AN1777" s="78"/>
      <c r="AO1777" s="78"/>
      <c r="AP1777" s="78"/>
      <c r="AQ1777" s="78"/>
      <c r="AR1777" s="78"/>
      <c r="AS1777" s="78"/>
      <c r="AT1777" s="78"/>
      <c r="AU1777" s="78"/>
      <c r="AV1777" s="78"/>
      <c r="AW1777" s="78"/>
      <c r="AX1777" s="78"/>
      <c r="AY1777" s="3"/>
      <c r="AZ1777" s="81"/>
      <c r="BB1777" s="5"/>
      <c r="BC1777" s="5"/>
    </row>
    <row r="1778" spans="1:55" x14ac:dyDescent="0.25">
      <c r="A1778" s="51">
        <v>43774</v>
      </c>
      <c r="B1778" s="54"/>
      <c r="C1778" s="55"/>
      <c r="D1778" s="55"/>
      <c r="E1778" s="55"/>
      <c r="F1778" s="55"/>
      <c r="G1778" s="55"/>
      <c r="H1778" s="55"/>
      <c r="I1778" s="55"/>
      <c r="J1778" s="55"/>
      <c r="K1778" s="55"/>
      <c r="L1778" s="55"/>
      <c r="M1778" s="55"/>
      <c r="N1778" s="55"/>
      <c r="O1778" s="55"/>
      <c r="P1778" s="56"/>
      <c r="AI1778" s="49"/>
      <c r="AJ1778" s="78"/>
      <c r="AK1778" s="78"/>
      <c r="AL1778" s="78"/>
      <c r="AM1778" s="78"/>
      <c r="AN1778" s="78"/>
      <c r="AO1778" s="78"/>
      <c r="AP1778" s="78"/>
      <c r="AQ1778" s="78"/>
      <c r="AR1778" s="78"/>
      <c r="AS1778" s="78"/>
      <c r="AT1778" s="78"/>
      <c r="AU1778" s="78"/>
      <c r="AV1778" s="78"/>
      <c r="AW1778" s="78"/>
      <c r="AX1778" s="78"/>
      <c r="AY1778" s="3"/>
      <c r="AZ1778" s="81"/>
      <c r="BB1778" s="5"/>
      <c r="BC1778" s="5"/>
    </row>
    <row r="1779" spans="1:55" x14ac:dyDescent="0.25">
      <c r="A1779" s="51">
        <v>43775</v>
      </c>
      <c r="B1779" s="54"/>
      <c r="C1779" s="55"/>
      <c r="D1779" s="55"/>
      <c r="E1779" s="55"/>
      <c r="F1779" s="55"/>
      <c r="G1779" s="55"/>
      <c r="H1779" s="55"/>
      <c r="I1779" s="55"/>
      <c r="J1779" s="55"/>
      <c r="K1779" s="55"/>
      <c r="L1779" s="55"/>
      <c r="M1779" s="55"/>
      <c r="N1779" s="55"/>
      <c r="O1779" s="55"/>
      <c r="P1779" s="56"/>
      <c r="AI1779" s="49"/>
      <c r="AJ1779" s="78"/>
      <c r="AK1779" s="78"/>
      <c r="AL1779" s="78"/>
      <c r="AM1779" s="78"/>
      <c r="AN1779" s="78"/>
      <c r="AO1779" s="78"/>
      <c r="AP1779" s="78"/>
      <c r="AQ1779" s="78"/>
      <c r="AR1779" s="78"/>
      <c r="AS1779" s="78"/>
      <c r="AT1779" s="78"/>
      <c r="AU1779" s="78"/>
      <c r="AV1779" s="78"/>
      <c r="AW1779" s="78"/>
      <c r="AX1779" s="78"/>
      <c r="AY1779" s="3"/>
      <c r="AZ1779" s="81"/>
      <c r="BB1779" s="5"/>
      <c r="BC1779" s="5"/>
    </row>
    <row r="1780" spans="1:55" x14ac:dyDescent="0.25">
      <c r="A1780" s="51">
        <v>43776</v>
      </c>
      <c r="B1780" s="54"/>
      <c r="C1780" s="55"/>
      <c r="D1780" s="55"/>
      <c r="E1780" s="55"/>
      <c r="F1780" s="55"/>
      <c r="G1780" s="55"/>
      <c r="H1780" s="55"/>
      <c r="I1780" s="55"/>
      <c r="J1780" s="55"/>
      <c r="K1780" s="55"/>
      <c r="L1780" s="55"/>
      <c r="M1780" s="55"/>
      <c r="N1780" s="55"/>
      <c r="O1780" s="55"/>
      <c r="P1780" s="56"/>
      <c r="AI1780" s="49"/>
      <c r="AJ1780" s="78"/>
      <c r="AK1780" s="78"/>
      <c r="AL1780" s="78"/>
      <c r="AM1780" s="78"/>
      <c r="AN1780" s="78"/>
      <c r="AO1780" s="78"/>
      <c r="AP1780" s="78"/>
      <c r="AQ1780" s="78"/>
      <c r="AR1780" s="78"/>
      <c r="AS1780" s="78"/>
      <c r="AT1780" s="78"/>
      <c r="AU1780" s="78"/>
      <c r="AV1780" s="78"/>
      <c r="AW1780" s="78"/>
      <c r="AX1780" s="78"/>
      <c r="AY1780" s="3"/>
      <c r="AZ1780" s="81"/>
      <c r="BB1780" s="5"/>
      <c r="BC1780" s="5"/>
    </row>
    <row r="1781" spans="1:55" x14ac:dyDescent="0.25">
      <c r="A1781" s="51">
        <v>43777</v>
      </c>
      <c r="B1781" s="54"/>
      <c r="C1781" s="55"/>
      <c r="D1781" s="55"/>
      <c r="E1781" s="55"/>
      <c r="F1781" s="55"/>
      <c r="G1781" s="55"/>
      <c r="H1781" s="55"/>
      <c r="I1781" s="55"/>
      <c r="J1781" s="55"/>
      <c r="K1781" s="55"/>
      <c r="L1781" s="55"/>
      <c r="M1781" s="55"/>
      <c r="N1781" s="55"/>
      <c r="O1781" s="55"/>
      <c r="P1781" s="56"/>
      <c r="AI1781" s="49"/>
      <c r="AJ1781" s="78"/>
      <c r="AK1781" s="78"/>
      <c r="AL1781" s="78"/>
      <c r="AM1781" s="78"/>
      <c r="AN1781" s="78"/>
      <c r="AO1781" s="78"/>
      <c r="AP1781" s="78"/>
      <c r="AQ1781" s="78"/>
      <c r="AR1781" s="78"/>
      <c r="AS1781" s="78"/>
      <c r="AT1781" s="78"/>
      <c r="AU1781" s="78"/>
      <c r="AV1781" s="78"/>
      <c r="AW1781" s="78"/>
      <c r="AX1781" s="78"/>
      <c r="AY1781" s="3"/>
      <c r="AZ1781" s="81"/>
      <c r="BB1781" s="5"/>
      <c r="BC1781" s="5"/>
    </row>
    <row r="1782" spans="1:55" x14ac:dyDescent="0.25">
      <c r="A1782" s="51">
        <v>43780</v>
      </c>
      <c r="B1782" s="54"/>
      <c r="C1782" s="55"/>
      <c r="D1782" s="55"/>
      <c r="E1782" s="55"/>
      <c r="F1782" s="55"/>
      <c r="G1782" s="55"/>
      <c r="H1782" s="55"/>
      <c r="I1782" s="55"/>
      <c r="J1782" s="55"/>
      <c r="K1782" s="55"/>
      <c r="L1782" s="55"/>
      <c r="M1782" s="55"/>
      <c r="N1782" s="55"/>
      <c r="O1782" s="55"/>
      <c r="P1782" s="56"/>
      <c r="AI1782" s="49"/>
      <c r="AJ1782" s="78"/>
      <c r="AK1782" s="78"/>
      <c r="AL1782" s="78"/>
      <c r="AM1782" s="78"/>
      <c r="AN1782" s="78"/>
      <c r="AO1782" s="78"/>
      <c r="AP1782" s="78"/>
      <c r="AQ1782" s="78"/>
      <c r="AR1782" s="78"/>
      <c r="AS1782" s="78"/>
      <c r="AT1782" s="78"/>
      <c r="AU1782" s="78"/>
      <c r="AV1782" s="78"/>
      <c r="AW1782" s="78"/>
      <c r="AX1782" s="78"/>
      <c r="AY1782" s="3"/>
      <c r="AZ1782" s="81"/>
      <c r="BB1782" s="5"/>
      <c r="BC1782" s="5"/>
    </row>
    <row r="1783" spans="1:55" x14ac:dyDescent="0.25">
      <c r="A1783" s="51">
        <v>43781</v>
      </c>
      <c r="B1783" s="54"/>
      <c r="C1783" s="55"/>
      <c r="D1783" s="55"/>
      <c r="E1783" s="55"/>
      <c r="F1783" s="55"/>
      <c r="G1783" s="55"/>
      <c r="H1783" s="55"/>
      <c r="I1783" s="55"/>
      <c r="J1783" s="55"/>
      <c r="K1783" s="55"/>
      <c r="L1783" s="55"/>
      <c r="M1783" s="55"/>
      <c r="N1783" s="55"/>
      <c r="O1783" s="55"/>
      <c r="P1783" s="56"/>
      <c r="AI1783" s="49"/>
      <c r="AJ1783" s="78"/>
      <c r="AK1783" s="78"/>
      <c r="AL1783" s="78"/>
      <c r="AM1783" s="78"/>
      <c r="AN1783" s="78"/>
      <c r="AO1783" s="78"/>
      <c r="AP1783" s="78"/>
      <c r="AQ1783" s="78"/>
      <c r="AR1783" s="78"/>
      <c r="AS1783" s="78"/>
      <c r="AT1783" s="78"/>
      <c r="AU1783" s="78"/>
      <c r="AV1783" s="78"/>
      <c r="AW1783" s="78"/>
      <c r="AX1783" s="78"/>
      <c r="AY1783" s="3"/>
      <c r="AZ1783" s="81"/>
      <c r="BB1783" s="5"/>
      <c r="BC1783" s="5"/>
    </row>
    <row r="1784" spans="1:55" x14ac:dyDescent="0.25">
      <c r="A1784" s="51">
        <v>43782</v>
      </c>
      <c r="B1784" s="54"/>
      <c r="C1784" s="55"/>
      <c r="D1784" s="55"/>
      <c r="E1784" s="55"/>
      <c r="F1784" s="55"/>
      <c r="G1784" s="55"/>
      <c r="H1784" s="55"/>
      <c r="I1784" s="55"/>
      <c r="J1784" s="55"/>
      <c r="K1784" s="55"/>
      <c r="L1784" s="55"/>
      <c r="M1784" s="55"/>
      <c r="N1784" s="55"/>
      <c r="O1784" s="55"/>
      <c r="P1784" s="56"/>
      <c r="AI1784" s="49"/>
      <c r="AJ1784" s="78"/>
      <c r="AK1784" s="78"/>
      <c r="AL1784" s="78"/>
      <c r="AM1784" s="78"/>
      <c r="AN1784" s="78"/>
      <c r="AO1784" s="78"/>
      <c r="AP1784" s="78"/>
      <c r="AQ1784" s="78"/>
      <c r="AR1784" s="78"/>
      <c r="AS1784" s="78"/>
      <c r="AT1784" s="78"/>
      <c r="AU1784" s="78"/>
      <c r="AV1784" s="78"/>
      <c r="AW1784" s="78"/>
      <c r="AX1784" s="78"/>
      <c r="AY1784" s="3"/>
      <c r="AZ1784" s="81"/>
      <c r="BB1784" s="5"/>
      <c r="BC1784" s="5"/>
    </row>
    <row r="1785" spans="1:55" x14ac:dyDescent="0.25">
      <c r="A1785" s="51">
        <v>43783</v>
      </c>
      <c r="B1785" s="54"/>
      <c r="C1785" s="55"/>
      <c r="D1785" s="55"/>
      <c r="E1785" s="55"/>
      <c r="F1785" s="55"/>
      <c r="G1785" s="55"/>
      <c r="H1785" s="55"/>
      <c r="I1785" s="55"/>
      <c r="J1785" s="55"/>
      <c r="K1785" s="55"/>
      <c r="L1785" s="55"/>
      <c r="M1785" s="55"/>
      <c r="N1785" s="55"/>
      <c r="O1785" s="55"/>
      <c r="P1785" s="56"/>
      <c r="AI1785" s="49"/>
      <c r="AJ1785" s="78"/>
      <c r="AK1785" s="78"/>
      <c r="AL1785" s="78"/>
      <c r="AM1785" s="78"/>
      <c r="AN1785" s="78"/>
      <c r="AO1785" s="78"/>
      <c r="AP1785" s="78"/>
      <c r="AQ1785" s="78"/>
      <c r="AR1785" s="78"/>
      <c r="AS1785" s="78"/>
      <c r="AT1785" s="78"/>
      <c r="AU1785" s="78"/>
      <c r="AV1785" s="78"/>
      <c r="AW1785" s="78"/>
      <c r="AX1785" s="78"/>
      <c r="AY1785" s="3"/>
      <c r="AZ1785" s="81"/>
      <c r="BB1785" s="5"/>
      <c r="BC1785" s="5"/>
    </row>
    <row r="1786" spans="1:55" x14ac:dyDescent="0.25">
      <c r="A1786" s="51">
        <v>43784</v>
      </c>
      <c r="B1786" s="54"/>
      <c r="C1786" s="55"/>
      <c r="D1786" s="55"/>
      <c r="E1786" s="55"/>
      <c r="F1786" s="55"/>
      <c r="G1786" s="55"/>
      <c r="H1786" s="55"/>
      <c r="I1786" s="55"/>
      <c r="J1786" s="55"/>
      <c r="K1786" s="55"/>
      <c r="L1786" s="55"/>
      <c r="M1786" s="55"/>
      <c r="N1786" s="55"/>
      <c r="O1786" s="55"/>
      <c r="P1786" s="56"/>
      <c r="AI1786" s="49"/>
      <c r="AJ1786" s="78"/>
      <c r="AK1786" s="78"/>
      <c r="AL1786" s="78"/>
      <c r="AM1786" s="78"/>
      <c r="AN1786" s="78"/>
      <c r="AO1786" s="78"/>
      <c r="AP1786" s="78"/>
      <c r="AQ1786" s="78"/>
      <c r="AR1786" s="78"/>
      <c r="AS1786" s="78"/>
      <c r="AT1786" s="78"/>
      <c r="AU1786" s="78"/>
      <c r="AV1786" s="78"/>
      <c r="AW1786" s="78"/>
      <c r="AX1786" s="78"/>
      <c r="AY1786" s="3"/>
      <c r="AZ1786" s="81"/>
      <c r="BB1786" s="5"/>
      <c r="BC1786" s="5"/>
    </row>
    <row r="1787" spans="1:55" x14ac:dyDescent="0.25">
      <c r="A1787" s="51">
        <v>43787</v>
      </c>
      <c r="B1787" s="54"/>
      <c r="C1787" s="55"/>
      <c r="D1787" s="55"/>
      <c r="E1787" s="55"/>
      <c r="F1787" s="55"/>
      <c r="G1787" s="55"/>
      <c r="H1787" s="55"/>
      <c r="I1787" s="55"/>
      <c r="J1787" s="55"/>
      <c r="K1787" s="55"/>
      <c r="L1787" s="55"/>
      <c r="M1787" s="55"/>
      <c r="N1787" s="55"/>
      <c r="O1787" s="55"/>
      <c r="P1787" s="56"/>
      <c r="AI1787" s="49"/>
      <c r="AJ1787" s="78"/>
      <c r="AK1787" s="78"/>
      <c r="AL1787" s="78"/>
      <c r="AM1787" s="78"/>
      <c r="AN1787" s="78"/>
      <c r="AO1787" s="78"/>
      <c r="AP1787" s="78"/>
      <c r="AQ1787" s="78"/>
      <c r="AR1787" s="78"/>
      <c r="AS1787" s="78"/>
      <c r="AT1787" s="78"/>
      <c r="AU1787" s="78"/>
      <c r="AV1787" s="78"/>
      <c r="AW1787" s="78"/>
      <c r="AX1787" s="78"/>
      <c r="AY1787" s="3"/>
      <c r="AZ1787" s="81"/>
      <c r="BB1787" s="5"/>
      <c r="BC1787" s="5"/>
    </row>
    <row r="1788" spans="1:55" x14ac:dyDescent="0.25">
      <c r="A1788" s="51">
        <v>43788</v>
      </c>
      <c r="B1788" s="54"/>
      <c r="C1788" s="55"/>
      <c r="D1788" s="55"/>
      <c r="E1788" s="55"/>
      <c r="F1788" s="55"/>
      <c r="G1788" s="55"/>
      <c r="H1788" s="55"/>
      <c r="I1788" s="55"/>
      <c r="J1788" s="55"/>
      <c r="K1788" s="55"/>
      <c r="L1788" s="55"/>
      <c r="M1788" s="55"/>
      <c r="N1788" s="55"/>
      <c r="O1788" s="55"/>
      <c r="P1788" s="56"/>
      <c r="AI1788" s="49"/>
      <c r="AJ1788" s="78"/>
      <c r="AK1788" s="78"/>
      <c r="AL1788" s="78"/>
      <c r="AM1788" s="78"/>
      <c r="AN1788" s="78"/>
      <c r="AO1788" s="78"/>
      <c r="AP1788" s="78"/>
      <c r="AQ1788" s="78"/>
      <c r="AR1788" s="78"/>
      <c r="AS1788" s="78"/>
      <c r="AT1788" s="78"/>
      <c r="AU1788" s="78"/>
      <c r="AV1788" s="78"/>
      <c r="AW1788" s="78"/>
      <c r="AX1788" s="78"/>
      <c r="AY1788" s="3"/>
      <c r="AZ1788" s="81"/>
      <c r="BB1788" s="5"/>
      <c r="BC1788" s="5"/>
    </row>
    <row r="1789" spans="1:55" x14ac:dyDescent="0.25">
      <c r="A1789" s="51">
        <v>43789</v>
      </c>
      <c r="B1789" s="54"/>
      <c r="C1789" s="55"/>
      <c r="D1789" s="55"/>
      <c r="E1789" s="55"/>
      <c r="F1789" s="55"/>
      <c r="G1789" s="55"/>
      <c r="H1789" s="55"/>
      <c r="I1789" s="55"/>
      <c r="J1789" s="55"/>
      <c r="K1789" s="55"/>
      <c r="L1789" s="55"/>
      <c r="M1789" s="55"/>
      <c r="N1789" s="55"/>
      <c r="O1789" s="55"/>
      <c r="P1789" s="56"/>
      <c r="AI1789" s="49"/>
      <c r="AJ1789" s="78"/>
      <c r="AK1789" s="78"/>
      <c r="AL1789" s="78"/>
      <c r="AM1789" s="78"/>
      <c r="AN1789" s="78"/>
      <c r="AO1789" s="78"/>
      <c r="AP1789" s="78"/>
      <c r="AQ1789" s="78"/>
      <c r="AR1789" s="78"/>
      <c r="AS1789" s="78"/>
      <c r="AT1789" s="78"/>
      <c r="AU1789" s="78"/>
      <c r="AV1789" s="78"/>
      <c r="AW1789" s="78"/>
      <c r="AX1789" s="78"/>
      <c r="AY1789" s="3"/>
      <c r="AZ1789" s="81"/>
      <c r="BB1789" s="5"/>
      <c r="BC1789" s="5"/>
    </row>
    <row r="1790" spans="1:55" x14ac:dyDescent="0.25">
      <c r="A1790" s="51">
        <v>43790</v>
      </c>
      <c r="B1790" s="54"/>
      <c r="C1790" s="55"/>
      <c r="D1790" s="55"/>
      <c r="E1790" s="55"/>
      <c r="F1790" s="55"/>
      <c r="G1790" s="55"/>
      <c r="H1790" s="55"/>
      <c r="I1790" s="55"/>
      <c r="J1790" s="55"/>
      <c r="K1790" s="55"/>
      <c r="L1790" s="55"/>
      <c r="M1790" s="55"/>
      <c r="N1790" s="55"/>
      <c r="O1790" s="55"/>
      <c r="P1790" s="56"/>
      <c r="AI1790" s="49"/>
      <c r="AJ1790" s="78"/>
      <c r="AK1790" s="78"/>
      <c r="AL1790" s="78"/>
      <c r="AM1790" s="78"/>
      <c r="AN1790" s="78"/>
      <c r="AO1790" s="78"/>
      <c r="AP1790" s="78"/>
      <c r="AQ1790" s="78"/>
      <c r="AR1790" s="78"/>
      <c r="AS1790" s="78"/>
      <c r="AT1790" s="78"/>
      <c r="AU1790" s="78"/>
      <c r="AV1790" s="78"/>
      <c r="AW1790" s="78"/>
      <c r="AX1790" s="78"/>
      <c r="AY1790" s="3"/>
      <c r="AZ1790" s="81"/>
      <c r="BB1790" s="5"/>
      <c r="BC1790" s="5"/>
    </row>
    <row r="1791" spans="1:55" x14ac:dyDescent="0.25">
      <c r="A1791" s="51">
        <v>43791</v>
      </c>
      <c r="B1791" s="54"/>
      <c r="C1791" s="55"/>
      <c r="D1791" s="55"/>
      <c r="E1791" s="55"/>
      <c r="F1791" s="55"/>
      <c r="G1791" s="55"/>
      <c r="H1791" s="55"/>
      <c r="I1791" s="55"/>
      <c r="J1791" s="55"/>
      <c r="K1791" s="55"/>
      <c r="L1791" s="55"/>
      <c r="M1791" s="55"/>
      <c r="N1791" s="55"/>
      <c r="O1791" s="55"/>
      <c r="P1791" s="56"/>
      <c r="AI1791" s="49"/>
      <c r="AJ1791" s="78"/>
      <c r="AK1791" s="78"/>
      <c r="AL1791" s="78"/>
      <c r="AM1791" s="78"/>
      <c r="AN1791" s="78"/>
      <c r="AO1791" s="78"/>
      <c r="AP1791" s="78"/>
      <c r="AQ1791" s="78"/>
      <c r="AR1791" s="78"/>
      <c r="AS1791" s="78"/>
      <c r="AT1791" s="78"/>
      <c r="AU1791" s="78"/>
      <c r="AV1791" s="78"/>
      <c r="AW1791" s="78"/>
      <c r="AX1791" s="78"/>
      <c r="AY1791" s="3"/>
      <c r="AZ1791" s="81"/>
      <c r="BB1791" s="5"/>
      <c r="BC1791" s="5"/>
    </row>
    <row r="1792" spans="1:55" x14ac:dyDescent="0.25">
      <c r="A1792" s="51">
        <v>43794</v>
      </c>
      <c r="B1792" s="54"/>
      <c r="C1792" s="55"/>
      <c r="D1792" s="55"/>
      <c r="E1792" s="55"/>
      <c r="F1792" s="55"/>
      <c r="G1792" s="55"/>
      <c r="H1792" s="55"/>
      <c r="I1792" s="55"/>
      <c r="J1792" s="55"/>
      <c r="K1792" s="55"/>
      <c r="L1792" s="55"/>
      <c r="M1792" s="55"/>
      <c r="N1792" s="55"/>
      <c r="O1792" s="55"/>
      <c r="P1792" s="56"/>
      <c r="AI1792" s="49"/>
      <c r="AJ1792" s="78"/>
      <c r="AK1792" s="78"/>
      <c r="AL1792" s="78"/>
      <c r="AM1792" s="78"/>
      <c r="AN1792" s="78"/>
      <c r="AO1792" s="78"/>
      <c r="AP1792" s="78"/>
      <c r="AQ1792" s="78"/>
      <c r="AR1792" s="78"/>
      <c r="AS1792" s="78"/>
      <c r="AT1792" s="78"/>
      <c r="AU1792" s="78"/>
      <c r="AV1792" s="78"/>
      <c r="AW1792" s="78"/>
      <c r="AX1792" s="78"/>
      <c r="AY1792" s="3"/>
      <c r="AZ1792" s="81"/>
      <c r="BB1792" s="5"/>
      <c r="BC1792" s="5"/>
    </row>
    <row r="1793" spans="1:55" x14ac:dyDescent="0.25">
      <c r="A1793" s="51">
        <v>43795</v>
      </c>
      <c r="B1793" s="54"/>
      <c r="C1793" s="55"/>
      <c r="D1793" s="55"/>
      <c r="E1793" s="55"/>
      <c r="F1793" s="55"/>
      <c r="G1793" s="55"/>
      <c r="H1793" s="55"/>
      <c r="I1793" s="55"/>
      <c r="J1793" s="55"/>
      <c r="K1793" s="55"/>
      <c r="L1793" s="55"/>
      <c r="M1793" s="55"/>
      <c r="N1793" s="55"/>
      <c r="O1793" s="55"/>
      <c r="P1793" s="56"/>
      <c r="AI1793" s="49"/>
      <c r="AJ1793" s="78"/>
      <c r="AK1793" s="78"/>
      <c r="AL1793" s="78"/>
      <c r="AM1793" s="78"/>
      <c r="AN1793" s="78"/>
      <c r="AO1793" s="78"/>
      <c r="AP1793" s="78"/>
      <c r="AQ1793" s="78"/>
      <c r="AR1793" s="78"/>
      <c r="AS1793" s="78"/>
      <c r="AT1793" s="78"/>
      <c r="AU1793" s="78"/>
      <c r="AV1793" s="78"/>
      <c r="AW1793" s="78"/>
      <c r="AX1793" s="78"/>
      <c r="AY1793" s="3"/>
      <c r="AZ1793" s="81"/>
      <c r="BB1793" s="5"/>
      <c r="BC1793" s="5"/>
    </row>
    <row r="1794" spans="1:55" x14ac:dyDescent="0.25">
      <c r="A1794" s="51">
        <v>43796</v>
      </c>
      <c r="B1794" s="54"/>
      <c r="C1794" s="55"/>
      <c r="D1794" s="55"/>
      <c r="E1794" s="55"/>
      <c r="F1794" s="55"/>
      <c r="G1794" s="55"/>
      <c r="H1794" s="55"/>
      <c r="I1794" s="55"/>
      <c r="J1794" s="55"/>
      <c r="K1794" s="55"/>
      <c r="L1794" s="55"/>
      <c r="M1794" s="55"/>
      <c r="N1794" s="55"/>
      <c r="O1794" s="55"/>
      <c r="P1794" s="56"/>
      <c r="AI1794" s="49"/>
      <c r="AJ1794" s="78"/>
      <c r="AK1794" s="78"/>
      <c r="AL1794" s="78"/>
      <c r="AM1794" s="78"/>
      <c r="AN1794" s="78"/>
      <c r="AO1794" s="78"/>
      <c r="AP1794" s="78"/>
      <c r="AQ1794" s="78"/>
      <c r="AR1794" s="78"/>
      <c r="AS1794" s="78"/>
      <c r="AT1794" s="78"/>
      <c r="AU1794" s="78"/>
      <c r="AV1794" s="78"/>
      <c r="AW1794" s="78"/>
      <c r="AX1794" s="78"/>
      <c r="AY1794" s="3"/>
      <c r="AZ1794" s="81"/>
      <c r="BB1794" s="5"/>
      <c r="BC1794" s="5"/>
    </row>
    <row r="1795" spans="1:55" x14ac:dyDescent="0.25">
      <c r="A1795" s="51">
        <v>43797</v>
      </c>
      <c r="B1795" s="54"/>
      <c r="C1795" s="55"/>
      <c r="D1795" s="55"/>
      <c r="E1795" s="55"/>
      <c r="F1795" s="55"/>
      <c r="G1795" s="55"/>
      <c r="H1795" s="55"/>
      <c r="I1795" s="55"/>
      <c r="J1795" s="55"/>
      <c r="K1795" s="55"/>
      <c r="L1795" s="55"/>
      <c r="M1795" s="55"/>
      <c r="N1795" s="55"/>
      <c r="O1795" s="55"/>
      <c r="P1795" s="56"/>
      <c r="AI1795" s="49"/>
      <c r="AJ1795" s="78"/>
      <c r="AK1795" s="78"/>
      <c r="AL1795" s="78"/>
      <c r="AM1795" s="78"/>
      <c r="AN1795" s="78"/>
      <c r="AO1795" s="78"/>
      <c r="AP1795" s="78"/>
      <c r="AQ1795" s="78"/>
      <c r="AR1795" s="78"/>
      <c r="AS1795" s="78"/>
      <c r="AT1795" s="78"/>
      <c r="AU1795" s="78"/>
      <c r="AV1795" s="78"/>
      <c r="AW1795" s="78"/>
      <c r="AX1795" s="78"/>
      <c r="AY1795" s="3"/>
      <c r="AZ1795" s="81"/>
      <c r="BB1795" s="5"/>
      <c r="BC1795" s="5"/>
    </row>
    <row r="1796" spans="1:55" x14ac:dyDescent="0.25">
      <c r="A1796" s="51">
        <v>43798</v>
      </c>
      <c r="B1796" s="54"/>
      <c r="C1796" s="55"/>
      <c r="D1796" s="55"/>
      <c r="E1796" s="55"/>
      <c r="F1796" s="55"/>
      <c r="G1796" s="55"/>
      <c r="H1796" s="55"/>
      <c r="I1796" s="55"/>
      <c r="J1796" s="55"/>
      <c r="K1796" s="55"/>
      <c r="L1796" s="55"/>
      <c r="M1796" s="55"/>
      <c r="N1796" s="55"/>
      <c r="O1796" s="55"/>
      <c r="P1796" s="56"/>
      <c r="AI1796" s="49"/>
      <c r="AJ1796" s="78"/>
      <c r="AK1796" s="78"/>
      <c r="AL1796" s="78"/>
      <c r="AM1796" s="78"/>
      <c r="AN1796" s="78"/>
      <c r="AO1796" s="78"/>
      <c r="AP1796" s="78"/>
      <c r="AQ1796" s="78"/>
      <c r="AR1796" s="78"/>
      <c r="AS1796" s="78"/>
      <c r="AT1796" s="78"/>
      <c r="AU1796" s="78"/>
      <c r="AV1796" s="78"/>
      <c r="AW1796" s="78"/>
      <c r="AX1796" s="78"/>
      <c r="AY1796" s="3"/>
      <c r="AZ1796" s="81"/>
      <c r="BB1796" s="5"/>
      <c r="BC1796" s="5"/>
    </row>
    <row r="1797" spans="1:55" x14ac:dyDescent="0.25">
      <c r="A1797" s="51">
        <v>43801</v>
      </c>
      <c r="B1797" s="54"/>
      <c r="C1797" s="55"/>
      <c r="D1797" s="55"/>
      <c r="E1797" s="55"/>
      <c r="F1797" s="55"/>
      <c r="G1797" s="55"/>
      <c r="H1797" s="55"/>
      <c r="I1797" s="55"/>
      <c r="J1797" s="55"/>
      <c r="K1797" s="55"/>
      <c r="L1797" s="55"/>
      <c r="M1797" s="55"/>
      <c r="N1797" s="55"/>
      <c r="O1797" s="55"/>
      <c r="P1797" s="56"/>
      <c r="AI1797" s="49"/>
      <c r="AJ1797" s="78"/>
      <c r="AK1797" s="78"/>
      <c r="AL1797" s="78"/>
      <c r="AM1797" s="78"/>
      <c r="AN1797" s="78"/>
      <c r="AO1797" s="78"/>
      <c r="AP1797" s="78"/>
      <c r="AQ1797" s="78"/>
      <c r="AR1797" s="78"/>
      <c r="AS1797" s="78"/>
      <c r="AT1797" s="78"/>
      <c r="AU1797" s="78"/>
      <c r="AV1797" s="78"/>
      <c r="AW1797" s="78"/>
      <c r="AX1797" s="78"/>
      <c r="AY1797" s="3"/>
      <c r="AZ1797" s="81"/>
      <c r="BB1797" s="5"/>
      <c r="BC1797" s="5"/>
    </row>
    <row r="1798" spans="1:55" x14ac:dyDescent="0.25">
      <c r="A1798" s="51">
        <v>43802</v>
      </c>
      <c r="B1798" s="54"/>
      <c r="C1798" s="55"/>
      <c r="D1798" s="55"/>
      <c r="E1798" s="55"/>
      <c r="F1798" s="55"/>
      <c r="G1798" s="55"/>
      <c r="H1798" s="55"/>
      <c r="I1798" s="55"/>
      <c r="J1798" s="55"/>
      <c r="K1798" s="55"/>
      <c r="L1798" s="55"/>
      <c r="M1798" s="55"/>
      <c r="N1798" s="55"/>
      <c r="O1798" s="55"/>
      <c r="P1798" s="56"/>
      <c r="AI1798" s="49"/>
      <c r="AJ1798" s="78"/>
      <c r="AK1798" s="78"/>
      <c r="AL1798" s="78"/>
      <c r="AM1798" s="78"/>
      <c r="AN1798" s="78"/>
      <c r="AO1798" s="78"/>
      <c r="AP1798" s="78"/>
      <c r="AQ1798" s="78"/>
      <c r="AR1798" s="78"/>
      <c r="AS1798" s="78"/>
      <c r="AT1798" s="78"/>
      <c r="AU1798" s="78"/>
      <c r="AV1798" s="78"/>
      <c r="AW1798" s="78"/>
      <c r="AX1798" s="78"/>
      <c r="AY1798" s="3"/>
      <c r="AZ1798" s="81"/>
      <c r="BB1798" s="5"/>
      <c r="BC1798" s="5"/>
    </row>
    <row r="1799" spans="1:55" x14ac:dyDescent="0.25">
      <c r="A1799" s="51">
        <v>43803</v>
      </c>
      <c r="B1799" s="54"/>
      <c r="C1799" s="55"/>
      <c r="D1799" s="55"/>
      <c r="E1799" s="55"/>
      <c r="F1799" s="55"/>
      <c r="G1799" s="55"/>
      <c r="H1799" s="55"/>
      <c r="I1799" s="55"/>
      <c r="J1799" s="55"/>
      <c r="K1799" s="55"/>
      <c r="L1799" s="55"/>
      <c r="M1799" s="55"/>
      <c r="N1799" s="55"/>
      <c r="O1799" s="55"/>
      <c r="P1799" s="56"/>
      <c r="AI1799" s="49"/>
      <c r="AJ1799" s="78"/>
      <c r="AK1799" s="78"/>
      <c r="AL1799" s="78"/>
      <c r="AM1799" s="78"/>
      <c r="AN1799" s="78"/>
      <c r="AO1799" s="78"/>
      <c r="AP1799" s="78"/>
      <c r="AQ1799" s="78"/>
      <c r="AR1799" s="78"/>
      <c r="AS1799" s="78"/>
      <c r="AT1799" s="78"/>
      <c r="AU1799" s="78"/>
      <c r="AV1799" s="78"/>
      <c r="AW1799" s="78"/>
      <c r="AX1799" s="78"/>
      <c r="AY1799" s="3"/>
      <c r="AZ1799" s="81"/>
      <c r="BB1799" s="5"/>
      <c r="BC1799" s="5"/>
    </row>
    <row r="1800" spans="1:55" x14ac:dyDescent="0.25">
      <c r="A1800" s="51">
        <v>43804</v>
      </c>
      <c r="B1800" s="54"/>
      <c r="C1800" s="55"/>
      <c r="D1800" s="55"/>
      <c r="E1800" s="55"/>
      <c r="F1800" s="55"/>
      <c r="G1800" s="55"/>
      <c r="H1800" s="55"/>
      <c r="I1800" s="55"/>
      <c r="J1800" s="55"/>
      <c r="K1800" s="55"/>
      <c r="L1800" s="55"/>
      <c r="M1800" s="55"/>
      <c r="N1800" s="55"/>
      <c r="O1800" s="55"/>
      <c r="P1800" s="56"/>
      <c r="AI1800" s="49"/>
      <c r="AJ1800" s="78"/>
      <c r="AK1800" s="78"/>
      <c r="AL1800" s="78"/>
      <c r="AM1800" s="78"/>
      <c r="AN1800" s="78"/>
      <c r="AO1800" s="78"/>
      <c r="AP1800" s="78"/>
      <c r="AQ1800" s="78"/>
      <c r="AR1800" s="78"/>
      <c r="AS1800" s="78"/>
      <c r="AT1800" s="78"/>
      <c r="AU1800" s="78"/>
      <c r="AV1800" s="78"/>
      <c r="AW1800" s="78"/>
      <c r="AX1800" s="78"/>
      <c r="AY1800" s="3"/>
      <c r="AZ1800" s="81"/>
      <c r="BB1800" s="5"/>
      <c r="BC1800" s="5"/>
    </row>
    <row r="1801" spans="1:55" x14ac:dyDescent="0.25">
      <c r="A1801" s="51">
        <v>43805</v>
      </c>
      <c r="B1801" s="54"/>
      <c r="C1801" s="55"/>
      <c r="D1801" s="55"/>
      <c r="E1801" s="55"/>
      <c r="F1801" s="55"/>
      <c r="G1801" s="55"/>
      <c r="H1801" s="55"/>
      <c r="I1801" s="55"/>
      <c r="J1801" s="55"/>
      <c r="K1801" s="55"/>
      <c r="L1801" s="55"/>
      <c r="M1801" s="55"/>
      <c r="N1801" s="55"/>
      <c r="O1801" s="55"/>
      <c r="P1801" s="56"/>
      <c r="AI1801" s="49"/>
      <c r="AJ1801" s="78"/>
      <c r="AK1801" s="78"/>
      <c r="AL1801" s="78"/>
      <c r="AM1801" s="78"/>
      <c r="AN1801" s="78"/>
      <c r="AO1801" s="78"/>
      <c r="AP1801" s="78"/>
      <c r="AQ1801" s="78"/>
      <c r="AR1801" s="78"/>
      <c r="AS1801" s="78"/>
      <c r="AT1801" s="78"/>
      <c r="AU1801" s="78"/>
      <c r="AV1801" s="78"/>
      <c r="AW1801" s="78"/>
      <c r="AX1801" s="78"/>
      <c r="AY1801" s="3"/>
      <c r="AZ1801" s="81"/>
      <c r="BB1801" s="5"/>
      <c r="BC1801" s="5"/>
    </row>
    <row r="1802" spans="1:55" x14ac:dyDescent="0.25">
      <c r="A1802" s="51">
        <v>43808</v>
      </c>
      <c r="B1802" s="54"/>
      <c r="C1802" s="55"/>
      <c r="D1802" s="55"/>
      <c r="E1802" s="55"/>
      <c r="F1802" s="55"/>
      <c r="G1802" s="55"/>
      <c r="H1802" s="55"/>
      <c r="I1802" s="55"/>
      <c r="J1802" s="55"/>
      <c r="K1802" s="55"/>
      <c r="L1802" s="55"/>
      <c r="M1802" s="55"/>
      <c r="N1802" s="55"/>
      <c r="O1802" s="55"/>
      <c r="P1802" s="56"/>
      <c r="AI1802" s="49"/>
      <c r="AJ1802" s="78"/>
      <c r="AK1802" s="78"/>
      <c r="AL1802" s="78"/>
      <c r="AM1802" s="78"/>
      <c r="AN1802" s="78"/>
      <c r="AO1802" s="78"/>
      <c r="AP1802" s="78"/>
      <c r="AQ1802" s="78"/>
      <c r="AR1802" s="78"/>
      <c r="AS1802" s="78"/>
      <c r="AT1802" s="78"/>
      <c r="AU1802" s="78"/>
      <c r="AV1802" s="78"/>
      <c r="AW1802" s="78"/>
      <c r="AX1802" s="78"/>
      <c r="AY1802" s="3"/>
      <c r="AZ1802" s="81"/>
      <c r="BB1802" s="5"/>
      <c r="BC1802" s="5"/>
    </row>
    <row r="1803" spans="1:55" x14ac:dyDescent="0.25">
      <c r="A1803" s="51">
        <v>43809</v>
      </c>
      <c r="B1803" s="54"/>
      <c r="C1803" s="55"/>
      <c r="D1803" s="55"/>
      <c r="E1803" s="55"/>
      <c r="F1803" s="55"/>
      <c r="G1803" s="55"/>
      <c r="H1803" s="55"/>
      <c r="I1803" s="55"/>
      <c r="J1803" s="55"/>
      <c r="K1803" s="55"/>
      <c r="L1803" s="55"/>
      <c r="M1803" s="55"/>
      <c r="N1803" s="55"/>
      <c r="O1803" s="55"/>
      <c r="P1803" s="56"/>
      <c r="AI1803" s="49"/>
      <c r="AJ1803" s="78"/>
      <c r="AK1803" s="78"/>
      <c r="AL1803" s="78"/>
      <c r="AM1803" s="78"/>
      <c r="AN1803" s="78"/>
      <c r="AO1803" s="78"/>
      <c r="AP1803" s="78"/>
      <c r="AQ1803" s="78"/>
      <c r="AR1803" s="78"/>
      <c r="AS1803" s="78"/>
      <c r="AT1803" s="78"/>
      <c r="AU1803" s="78"/>
      <c r="AV1803" s="78"/>
      <c r="AW1803" s="78"/>
      <c r="AX1803" s="78"/>
      <c r="AY1803" s="3"/>
      <c r="AZ1803" s="81"/>
      <c r="BB1803" s="5"/>
      <c r="BC1803" s="5"/>
    </row>
    <row r="1804" spans="1:55" x14ac:dyDescent="0.25">
      <c r="A1804" s="51">
        <v>43810</v>
      </c>
      <c r="B1804" s="54"/>
      <c r="C1804" s="55"/>
      <c r="D1804" s="55"/>
      <c r="E1804" s="55"/>
      <c r="F1804" s="55"/>
      <c r="G1804" s="55"/>
      <c r="H1804" s="55"/>
      <c r="I1804" s="55"/>
      <c r="J1804" s="55"/>
      <c r="K1804" s="55"/>
      <c r="L1804" s="55"/>
      <c r="M1804" s="55"/>
      <c r="N1804" s="55"/>
      <c r="O1804" s="55"/>
      <c r="P1804" s="56"/>
      <c r="AI1804" s="49"/>
      <c r="AJ1804" s="78"/>
      <c r="AK1804" s="78"/>
      <c r="AL1804" s="78"/>
      <c r="AM1804" s="78"/>
      <c r="AN1804" s="78"/>
      <c r="AO1804" s="78"/>
      <c r="AP1804" s="78"/>
      <c r="AQ1804" s="78"/>
      <c r="AR1804" s="78"/>
      <c r="AS1804" s="78"/>
      <c r="AT1804" s="78"/>
      <c r="AU1804" s="78"/>
      <c r="AV1804" s="78"/>
      <c r="AW1804" s="78"/>
      <c r="AX1804" s="78"/>
      <c r="AY1804" s="3"/>
      <c r="AZ1804" s="81"/>
      <c r="BB1804" s="5"/>
      <c r="BC1804" s="5"/>
    </row>
    <row r="1805" spans="1:55" x14ac:dyDescent="0.25">
      <c r="A1805" s="51">
        <v>43811</v>
      </c>
      <c r="B1805" s="54"/>
      <c r="C1805" s="55"/>
      <c r="D1805" s="55"/>
      <c r="E1805" s="55"/>
      <c r="F1805" s="55"/>
      <c r="G1805" s="55"/>
      <c r="H1805" s="55"/>
      <c r="I1805" s="55"/>
      <c r="J1805" s="55"/>
      <c r="K1805" s="55"/>
      <c r="L1805" s="55"/>
      <c r="M1805" s="55"/>
      <c r="N1805" s="55"/>
      <c r="O1805" s="55"/>
      <c r="P1805" s="56"/>
      <c r="AI1805" s="49"/>
      <c r="AJ1805" s="78"/>
      <c r="AK1805" s="78"/>
      <c r="AL1805" s="78"/>
      <c r="AM1805" s="78"/>
      <c r="AN1805" s="78"/>
      <c r="AO1805" s="78"/>
      <c r="AP1805" s="78"/>
      <c r="AQ1805" s="78"/>
      <c r="AR1805" s="78"/>
      <c r="AS1805" s="78"/>
      <c r="AT1805" s="78"/>
      <c r="AU1805" s="78"/>
      <c r="AV1805" s="78"/>
      <c r="AW1805" s="78"/>
      <c r="AX1805" s="78"/>
      <c r="AY1805" s="3"/>
      <c r="AZ1805" s="81"/>
      <c r="BB1805" s="5"/>
      <c r="BC1805" s="5"/>
    </row>
    <row r="1806" spans="1:55" x14ac:dyDescent="0.25">
      <c r="A1806" s="51">
        <v>43812</v>
      </c>
      <c r="B1806" s="54"/>
      <c r="C1806" s="55"/>
      <c r="D1806" s="55"/>
      <c r="E1806" s="55"/>
      <c r="F1806" s="55"/>
      <c r="G1806" s="55"/>
      <c r="H1806" s="55"/>
      <c r="I1806" s="55"/>
      <c r="J1806" s="55"/>
      <c r="K1806" s="55"/>
      <c r="L1806" s="55"/>
      <c r="M1806" s="55"/>
      <c r="N1806" s="55"/>
      <c r="O1806" s="55"/>
      <c r="P1806" s="56"/>
      <c r="AI1806" s="49"/>
      <c r="AJ1806" s="78"/>
      <c r="AK1806" s="78"/>
      <c r="AL1806" s="78"/>
      <c r="AM1806" s="78"/>
      <c r="AN1806" s="78"/>
      <c r="AO1806" s="78"/>
      <c r="AP1806" s="78"/>
      <c r="AQ1806" s="78"/>
      <c r="AR1806" s="78"/>
      <c r="AS1806" s="78"/>
      <c r="AT1806" s="78"/>
      <c r="AU1806" s="78"/>
      <c r="AV1806" s="78"/>
      <c r="AW1806" s="78"/>
      <c r="AX1806" s="78"/>
      <c r="AY1806" s="3"/>
      <c r="AZ1806" s="81"/>
      <c r="BB1806" s="5"/>
      <c r="BC1806" s="5"/>
    </row>
    <row r="1807" spans="1:55" x14ac:dyDescent="0.25">
      <c r="A1807" s="51">
        <v>43815</v>
      </c>
      <c r="B1807" s="54"/>
      <c r="C1807" s="55"/>
      <c r="D1807" s="55"/>
      <c r="E1807" s="55"/>
      <c r="F1807" s="55"/>
      <c r="G1807" s="55"/>
      <c r="H1807" s="55"/>
      <c r="I1807" s="55"/>
      <c r="J1807" s="55"/>
      <c r="K1807" s="55"/>
      <c r="L1807" s="55"/>
      <c r="M1807" s="55"/>
      <c r="N1807" s="55"/>
      <c r="O1807" s="55"/>
      <c r="P1807" s="56"/>
      <c r="AI1807" s="49"/>
      <c r="AJ1807" s="78"/>
      <c r="AK1807" s="78"/>
      <c r="AL1807" s="78"/>
      <c r="AM1807" s="78"/>
      <c r="AN1807" s="78"/>
      <c r="AO1807" s="78"/>
      <c r="AP1807" s="78"/>
      <c r="AQ1807" s="78"/>
      <c r="AR1807" s="78"/>
      <c r="AS1807" s="78"/>
      <c r="AT1807" s="78"/>
      <c r="AU1807" s="78"/>
      <c r="AV1807" s="78"/>
      <c r="AW1807" s="78"/>
      <c r="AX1807" s="78"/>
      <c r="AY1807" s="3"/>
      <c r="AZ1807" s="81"/>
      <c r="BB1807" s="5"/>
      <c r="BC1807" s="5"/>
    </row>
    <row r="1808" spans="1:55" x14ac:dyDescent="0.25">
      <c r="A1808" s="51">
        <v>43816</v>
      </c>
      <c r="B1808" s="54"/>
      <c r="C1808" s="55"/>
      <c r="D1808" s="55"/>
      <c r="E1808" s="55"/>
      <c r="F1808" s="55"/>
      <c r="G1808" s="55"/>
      <c r="H1808" s="55"/>
      <c r="I1808" s="55"/>
      <c r="J1808" s="55"/>
      <c r="K1808" s="55"/>
      <c r="L1808" s="55"/>
      <c r="M1808" s="55"/>
      <c r="N1808" s="55"/>
      <c r="O1808" s="55"/>
      <c r="P1808" s="56"/>
      <c r="AI1808" s="49"/>
      <c r="AJ1808" s="78"/>
      <c r="AK1808" s="78"/>
      <c r="AL1808" s="78"/>
      <c r="AM1808" s="78"/>
      <c r="AN1808" s="78"/>
      <c r="AO1808" s="78"/>
      <c r="AP1808" s="78"/>
      <c r="AQ1808" s="78"/>
      <c r="AR1808" s="78"/>
      <c r="AS1808" s="78"/>
      <c r="AT1808" s="78"/>
      <c r="AU1808" s="78"/>
      <c r="AV1808" s="78"/>
      <c r="AW1808" s="78"/>
      <c r="AX1808" s="78"/>
      <c r="AY1808" s="3"/>
      <c r="AZ1808" s="81"/>
      <c r="BB1808" s="5"/>
      <c r="BC1808" s="5"/>
    </row>
    <row r="1809" spans="1:55" x14ac:dyDescent="0.25">
      <c r="A1809" s="51">
        <v>43817</v>
      </c>
      <c r="B1809" s="54"/>
      <c r="C1809" s="55"/>
      <c r="D1809" s="55"/>
      <c r="E1809" s="55"/>
      <c r="F1809" s="55"/>
      <c r="G1809" s="55"/>
      <c r="H1809" s="55"/>
      <c r="I1809" s="55"/>
      <c r="J1809" s="55"/>
      <c r="K1809" s="55"/>
      <c r="L1809" s="55"/>
      <c r="M1809" s="55"/>
      <c r="N1809" s="55"/>
      <c r="O1809" s="55"/>
      <c r="P1809" s="56"/>
      <c r="AI1809" s="49"/>
      <c r="AJ1809" s="78"/>
      <c r="AK1809" s="78"/>
      <c r="AL1809" s="78"/>
      <c r="AM1809" s="78"/>
      <c r="AN1809" s="78"/>
      <c r="AO1809" s="78"/>
      <c r="AP1809" s="78"/>
      <c r="AQ1809" s="78"/>
      <c r="AR1809" s="78"/>
      <c r="AS1809" s="78"/>
      <c r="AT1809" s="78"/>
      <c r="AU1809" s="78"/>
      <c r="AV1809" s="78"/>
      <c r="AW1809" s="78"/>
      <c r="AX1809" s="78"/>
      <c r="AY1809" s="3"/>
      <c r="AZ1809" s="81"/>
      <c r="BB1809" s="5"/>
      <c r="BC1809" s="5"/>
    </row>
    <row r="1810" spans="1:55" x14ac:dyDescent="0.25">
      <c r="A1810" s="51">
        <v>43818</v>
      </c>
      <c r="B1810" s="54"/>
      <c r="C1810" s="55"/>
      <c r="D1810" s="55"/>
      <c r="E1810" s="55"/>
      <c r="F1810" s="55"/>
      <c r="G1810" s="55"/>
      <c r="H1810" s="55"/>
      <c r="I1810" s="55"/>
      <c r="J1810" s="55"/>
      <c r="K1810" s="55"/>
      <c r="L1810" s="55"/>
      <c r="M1810" s="55"/>
      <c r="N1810" s="55"/>
      <c r="O1810" s="55"/>
      <c r="P1810" s="56"/>
      <c r="AI1810" s="49"/>
      <c r="AJ1810" s="78"/>
      <c r="AK1810" s="78"/>
      <c r="AL1810" s="78"/>
      <c r="AM1810" s="78"/>
      <c r="AN1810" s="78"/>
      <c r="AO1810" s="78"/>
      <c r="AP1810" s="78"/>
      <c r="AQ1810" s="78"/>
      <c r="AR1810" s="78"/>
      <c r="AS1810" s="78"/>
      <c r="AT1810" s="78"/>
      <c r="AU1810" s="78"/>
      <c r="AV1810" s="78"/>
      <c r="AW1810" s="78"/>
      <c r="AX1810" s="78"/>
      <c r="AY1810" s="3"/>
      <c r="AZ1810" s="81"/>
      <c r="BB1810" s="5"/>
      <c r="BC1810" s="5"/>
    </row>
    <row r="1811" spans="1:55" x14ac:dyDescent="0.25">
      <c r="A1811" s="51">
        <v>43819</v>
      </c>
      <c r="B1811" s="54"/>
      <c r="C1811" s="55"/>
      <c r="D1811" s="55"/>
      <c r="E1811" s="55"/>
      <c r="F1811" s="55"/>
      <c r="G1811" s="55"/>
      <c r="H1811" s="55"/>
      <c r="I1811" s="55"/>
      <c r="J1811" s="55"/>
      <c r="K1811" s="55"/>
      <c r="L1811" s="55"/>
      <c r="M1811" s="55"/>
      <c r="N1811" s="55"/>
      <c r="O1811" s="55"/>
      <c r="P1811" s="56"/>
      <c r="AI1811" s="49"/>
      <c r="AJ1811" s="78"/>
      <c r="AK1811" s="78"/>
      <c r="AL1811" s="78"/>
      <c r="AM1811" s="78"/>
      <c r="AN1811" s="78"/>
      <c r="AO1811" s="78"/>
      <c r="AP1811" s="78"/>
      <c r="AQ1811" s="78"/>
      <c r="AR1811" s="78"/>
      <c r="AS1811" s="78"/>
      <c r="AT1811" s="78"/>
      <c r="AU1811" s="78"/>
      <c r="AV1811" s="78"/>
      <c r="AW1811" s="78"/>
      <c r="AX1811" s="78"/>
      <c r="AY1811" s="3"/>
      <c r="AZ1811" s="81"/>
      <c r="BB1811" s="5"/>
      <c r="BC1811" s="5"/>
    </row>
    <row r="1812" spans="1:55" x14ac:dyDescent="0.25">
      <c r="A1812" s="51">
        <v>43822</v>
      </c>
      <c r="B1812" s="54"/>
      <c r="C1812" s="55"/>
      <c r="D1812" s="55"/>
      <c r="E1812" s="55"/>
      <c r="F1812" s="55"/>
      <c r="G1812" s="55"/>
      <c r="H1812" s="55"/>
      <c r="I1812" s="55"/>
      <c r="J1812" s="55"/>
      <c r="K1812" s="55"/>
      <c r="L1812" s="55"/>
      <c r="M1812" s="55"/>
      <c r="N1812" s="55"/>
      <c r="O1812" s="55"/>
      <c r="P1812" s="56"/>
      <c r="AI1812" s="49"/>
      <c r="AJ1812" s="78"/>
      <c r="AK1812" s="78"/>
      <c r="AL1812" s="78"/>
      <c r="AM1812" s="78"/>
      <c r="AN1812" s="78"/>
      <c r="AO1812" s="78"/>
      <c r="AP1812" s="78"/>
      <c r="AQ1812" s="78"/>
      <c r="AR1812" s="78"/>
      <c r="AS1812" s="78"/>
      <c r="AT1812" s="78"/>
      <c r="AU1812" s="78"/>
      <c r="AV1812" s="78"/>
      <c r="AW1812" s="78"/>
      <c r="AX1812" s="78"/>
      <c r="AY1812" s="3"/>
      <c r="AZ1812" s="81"/>
      <c r="BB1812" s="5"/>
      <c r="BC1812" s="5"/>
    </row>
    <row r="1813" spans="1:55" x14ac:dyDescent="0.25">
      <c r="A1813" s="51">
        <v>43823</v>
      </c>
      <c r="B1813" s="54"/>
      <c r="C1813" s="55"/>
      <c r="D1813" s="55"/>
      <c r="E1813" s="55"/>
      <c r="F1813" s="55"/>
      <c r="G1813" s="55"/>
      <c r="H1813" s="55"/>
      <c r="I1813" s="55"/>
      <c r="J1813" s="55"/>
      <c r="K1813" s="55"/>
      <c r="L1813" s="55"/>
      <c r="M1813" s="55"/>
      <c r="N1813" s="55"/>
      <c r="O1813" s="55"/>
      <c r="P1813" s="56"/>
      <c r="AI1813" s="49"/>
      <c r="AJ1813" s="78"/>
      <c r="AK1813" s="78"/>
      <c r="AL1813" s="78"/>
      <c r="AM1813" s="78"/>
      <c r="AN1813" s="78"/>
      <c r="AO1813" s="78"/>
      <c r="AP1813" s="78"/>
      <c r="AQ1813" s="78"/>
      <c r="AR1813" s="78"/>
      <c r="AS1813" s="78"/>
      <c r="AT1813" s="78"/>
      <c r="AU1813" s="78"/>
      <c r="AV1813" s="78"/>
      <c r="AW1813" s="78"/>
      <c r="AX1813" s="78"/>
      <c r="AY1813" s="3"/>
      <c r="AZ1813" s="81"/>
      <c r="BB1813" s="5"/>
      <c r="BC1813" s="5"/>
    </row>
    <row r="1814" spans="1:55" x14ac:dyDescent="0.25">
      <c r="A1814" s="51">
        <v>43825</v>
      </c>
      <c r="B1814" s="54"/>
      <c r="C1814" s="55"/>
      <c r="D1814" s="55"/>
      <c r="E1814" s="55"/>
      <c r="F1814" s="55"/>
      <c r="G1814" s="55"/>
      <c r="H1814" s="55"/>
      <c r="I1814" s="55"/>
      <c r="J1814" s="55"/>
      <c r="K1814" s="55"/>
      <c r="L1814" s="55"/>
      <c r="M1814" s="55"/>
      <c r="N1814" s="55"/>
      <c r="O1814" s="55"/>
      <c r="P1814" s="56"/>
      <c r="AI1814" s="49"/>
      <c r="AJ1814" s="78"/>
      <c r="AK1814" s="78"/>
      <c r="AL1814" s="78"/>
      <c r="AM1814" s="78"/>
      <c r="AN1814" s="78"/>
      <c r="AO1814" s="78"/>
      <c r="AP1814" s="78"/>
      <c r="AQ1814" s="78"/>
      <c r="AR1814" s="78"/>
      <c r="AS1814" s="78"/>
      <c r="AT1814" s="78"/>
      <c r="AU1814" s="78"/>
      <c r="AV1814" s="78"/>
      <c r="AW1814" s="78"/>
      <c r="AX1814" s="78"/>
      <c r="AY1814" s="3"/>
      <c r="AZ1814" s="81"/>
      <c r="BB1814" s="5"/>
      <c r="BC1814" s="5"/>
    </row>
    <row r="1815" spans="1:55" x14ac:dyDescent="0.25">
      <c r="A1815" s="51">
        <v>43826</v>
      </c>
      <c r="B1815" s="54"/>
      <c r="C1815" s="55"/>
      <c r="D1815" s="55"/>
      <c r="E1815" s="55"/>
      <c r="F1815" s="55"/>
      <c r="G1815" s="55"/>
      <c r="H1815" s="55"/>
      <c r="I1815" s="55"/>
      <c r="J1815" s="55"/>
      <c r="K1815" s="55"/>
      <c r="L1815" s="55"/>
      <c r="M1815" s="55"/>
      <c r="N1815" s="55"/>
      <c r="O1815" s="55"/>
      <c r="P1815" s="56"/>
      <c r="AI1815" s="49"/>
      <c r="AJ1815" s="78"/>
      <c r="AK1815" s="78"/>
      <c r="AL1815" s="78"/>
      <c r="AM1815" s="78"/>
      <c r="AN1815" s="78"/>
      <c r="AO1815" s="78"/>
      <c r="AP1815" s="78"/>
      <c r="AQ1815" s="78"/>
      <c r="AR1815" s="78"/>
      <c r="AS1815" s="78"/>
      <c r="AT1815" s="78"/>
      <c r="AU1815" s="78"/>
      <c r="AV1815" s="78"/>
      <c r="AW1815" s="78"/>
      <c r="AX1815" s="78"/>
      <c r="AY1815" s="3"/>
      <c r="AZ1815" s="81"/>
      <c r="BB1815" s="5"/>
      <c r="BC1815" s="5"/>
    </row>
    <row r="1816" spans="1:55" x14ac:dyDescent="0.25">
      <c r="A1816" s="51">
        <v>43829</v>
      </c>
      <c r="B1816" s="54"/>
      <c r="C1816" s="55"/>
      <c r="D1816" s="55"/>
      <c r="E1816" s="55"/>
      <c r="F1816" s="55"/>
      <c r="G1816" s="55"/>
      <c r="H1816" s="55"/>
      <c r="I1816" s="55"/>
      <c r="J1816" s="55"/>
      <c r="K1816" s="55"/>
      <c r="L1816" s="55"/>
      <c r="M1816" s="55"/>
      <c r="N1816" s="55"/>
      <c r="O1816" s="55"/>
      <c r="P1816" s="56"/>
      <c r="AI1816" s="49"/>
      <c r="AJ1816" s="78"/>
      <c r="AK1816" s="78"/>
      <c r="AL1816" s="78"/>
      <c r="AM1816" s="78"/>
      <c r="AN1816" s="78"/>
      <c r="AO1816" s="78"/>
      <c r="AP1816" s="78"/>
      <c r="AQ1816" s="78"/>
      <c r="AR1816" s="78"/>
      <c r="AS1816" s="78"/>
      <c r="AT1816" s="78"/>
      <c r="AU1816" s="78"/>
      <c r="AV1816" s="78"/>
      <c r="AW1816" s="78"/>
      <c r="AX1816" s="78"/>
      <c r="AY1816" s="3"/>
      <c r="AZ1816" s="81"/>
      <c r="BB1816" s="5"/>
      <c r="BC1816" s="5"/>
    </row>
    <row r="1817" spans="1:55" x14ac:dyDescent="0.25">
      <c r="A1817" s="51">
        <v>43830</v>
      </c>
      <c r="B1817" s="54"/>
      <c r="C1817" s="55"/>
      <c r="D1817" s="55"/>
      <c r="E1817" s="55"/>
      <c r="F1817" s="55"/>
      <c r="G1817" s="55"/>
      <c r="H1817" s="55"/>
      <c r="I1817" s="55"/>
      <c r="J1817" s="55"/>
      <c r="K1817" s="55"/>
      <c r="L1817" s="55"/>
      <c r="M1817" s="55"/>
      <c r="N1817" s="55"/>
      <c r="O1817" s="55"/>
      <c r="P1817" s="56"/>
      <c r="AI1817" s="49"/>
      <c r="AJ1817" s="78"/>
      <c r="AK1817" s="78"/>
      <c r="AL1817" s="78"/>
      <c r="AM1817" s="78"/>
      <c r="AN1817" s="78"/>
      <c r="AO1817" s="78"/>
      <c r="AP1817" s="78"/>
      <c r="AQ1817" s="78"/>
      <c r="AR1817" s="78"/>
      <c r="AS1817" s="78"/>
      <c r="AT1817" s="78"/>
      <c r="AU1817" s="78"/>
      <c r="AV1817" s="78"/>
      <c r="AW1817" s="78"/>
      <c r="AX1817" s="78"/>
      <c r="AY1817" s="3"/>
      <c r="AZ1817" s="81"/>
      <c r="BB1817" s="5"/>
      <c r="BC1817" s="5"/>
    </row>
    <row r="1818" spans="1:55" x14ac:dyDescent="0.25">
      <c r="A1818" s="51">
        <v>43832</v>
      </c>
      <c r="B1818" s="54"/>
      <c r="C1818" s="55"/>
      <c r="D1818" s="55"/>
      <c r="E1818" s="55"/>
      <c r="F1818" s="55"/>
      <c r="G1818" s="55"/>
      <c r="H1818" s="55"/>
      <c r="I1818" s="55"/>
      <c r="J1818" s="55"/>
      <c r="K1818" s="55"/>
      <c r="L1818" s="55"/>
      <c r="M1818" s="55"/>
      <c r="N1818" s="55"/>
      <c r="O1818" s="55"/>
      <c r="P1818" s="56"/>
      <c r="AI1818" s="49"/>
      <c r="AJ1818" s="78"/>
      <c r="AK1818" s="78"/>
      <c r="AL1818" s="78"/>
      <c r="AM1818" s="78"/>
      <c r="AN1818" s="78"/>
      <c r="AO1818" s="78"/>
      <c r="AP1818" s="78"/>
      <c r="AQ1818" s="78"/>
      <c r="AR1818" s="78"/>
      <c r="AS1818" s="78"/>
      <c r="AT1818" s="78"/>
      <c r="AU1818" s="78"/>
      <c r="AV1818" s="78"/>
      <c r="AW1818" s="78"/>
      <c r="AX1818" s="78"/>
      <c r="AY1818" s="3"/>
      <c r="AZ1818" s="81"/>
      <c r="BB1818" s="5"/>
      <c r="BC1818" s="5"/>
    </row>
    <row r="1819" spans="1:55" x14ac:dyDescent="0.25">
      <c r="A1819" s="51">
        <v>43833</v>
      </c>
      <c r="B1819" s="54"/>
      <c r="C1819" s="55"/>
      <c r="D1819" s="55"/>
      <c r="E1819" s="55"/>
      <c r="F1819" s="55"/>
      <c r="G1819" s="55"/>
      <c r="H1819" s="55"/>
      <c r="I1819" s="55"/>
      <c r="J1819" s="55"/>
      <c r="K1819" s="55"/>
      <c r="L1819" s="55"/>
      <c r="M1819" s="55"/>
      <c r="N1819" s="55"/>
      <c r="O1819" s="55"/>
      <c r="P1819" s="56"/>
      <c r="AI1819" s="49"/>
      <c r="AJ1819" s="78"/>
      <c r="AK1819" s="78"/>
      <c r="AL1819" s="78"/>
      <c r="AM1819" s="78"/>
      <c r="AN1819" s="78"/>
      <c r="AO1819" s="78"/>
      <c r="AP1819" s="78"/>
      <c r="AQ1819" s="78"/>
      <c r="AR1819" s="78"/>
      <c r="AS1819" s="78"/>
      <c r="AT1819" s="78"/>
      <c r="AU1819" s="78"/>
      <c r="AV1819" s="78"/>
      <c r="AW1819" s="78"/>
      <c r="AX1819" s="78"/>
      <c r="AY1819" s="3"/>
      <c r="AZ1819" s="81"/>
      <c r="BB1819" s="5"/>
      <c r="BC1819" s="5"/>
    </row>
    <row r="1820" spans="1:55" x14ac:dyDescent="0.25">
      <c r="A1820" s="51">
        <v>43836</v>
      </c>
      <c r="B1820" s="54"/>
      <c r="C1820" s="55"/>
      <c r="D1820" s="55"/>
      <c r="E1820" s="55"/>
      <c r="F1820" s="55"/>
      <c r="G1820" s="55"/>
      <c r="H1820" s="55"/>
      <c r="I1820" s="55"/>
      <c r="J1820" s="55"/>
      <c r="K1820" s="55"/>
      <c r="L1820" s="55"/>
      <c r="M1820" s="55"/>
      <c r="N1820" s="55"/>
      <c r="O1820" s="55"/>
      <c r="P1820" s="56"/>
      <c r="AI1820" s="49"/>
      <c r="AJ1820" s="78"/>
      <c r="AK1820" s="78"/>
      <c r="AL1820" s="78"/>
      <c r="AM1820" s="78"/>
      <c r="AN1820" s="78"/>
      <c r="AO1820" s="78"/>
      <c r="AP1820" s="78"/>
      <c r="AQ1820" s="78"/>
      <c r="AR1820" s="78"/>
      <c r="AS1820" s="78"/>
      <c r="AT1820" s="78"/>
      <c r="AU1820" s="78"/>
      <c r="AV1820" s="78"/>
      <c r="AW1820" s="78"/>
      <c r="AX1820" s="78"/>
      <c r="AY1820" s="3"/>
      <c r="AZ1820" s="81"/>
      <c r="BB1820" s="5"/>
      <c r="BC1820" s="5"/>
    </row>
    <row r="1821" spans="1:55" x14ac:dyDescent="0.25">
      <c r="A1821" s="51">
        <v>43837</v>
      </c>
      <c r="B1821" s="54"/>
      <c r="C1821" s="55"/>
      <c r="D1821" s="55"/>
      <c r="E1821" s="55"/>
      <c r="F1821" s="55"/>
      <c r="G1821" s="55"/>
      <c r="H1821" s="55"/>
      <c r="I1821" s="55"/>
      <c r="J1821" s="55"/>
      <c r="K1821" s="55"/>
      <c r="L1821" s="55"/>
      <c r="M1821" s="55"/>
      <c r="N1821" s="55"/>
      <c r="O1821" s="55"/>
      <c r="P1821" s="56"/>
      <c r="AI1821" s="49"/>
      <c r="AJ1821" s="78"/>
      <c r="AK1821" s="78"/>
      <c r="AL1821" s="78"/>
      <c r="AM1821" s="78"/>
      <c r="AN1821" s="78"/>
      <c r="AO1821" s="78"/>
      <c r="AP1821" s="78"/>
      <c r="AQ1821" s="78"/>
      <c r="AR1821" s="78"/>
      <c r="AS1821" s="78"/>
      <c r="AT1821" s="78"/>
      <c r="AU1821" s="78"/>
      <c r="AV1821" s="78"/>
      <c r="AW1821" s="78"/>
      <c r="AX1821" s="78"/>
      <c r="AY1821" s="3"/>
      <c r="AZ1821" s="81"/>
      <c r="BB1821" s="5"/>
      <c r="BC1821" s="5"/>
    </row>
    <row r="1822" spans="1:55" x14ac:dyDescent="0.25">
      <c r="A1822" s="51">
        <v>43838</v>
      </c>
      <c r="B1822" s="54"/>
      <c r="C1822" s="55"/>
      <c r="D1822" s="55"/>
      <c r="E1822" s="55"/>
      <c r="F1822" s="55"/>
      <c r="G1822" s="55"/>
      <c r="H1822" s="55"/>
      <c r="I1822" s="55"/>
      <c r="J1822" s="55"/>
      <c r="K1822" s="55"/>
      <c r="L1822" s="55"/>
      <c r="M1822" s="55"/>
      <c r="N1822" s="55"/>
      <c r="O1822" s="55"/>
      <c r="P1822" s="56"/>
      <c r="AI1822" s="49"/>
      <c r="AJ1822" s="78"/>
      <c r="AK1822" s="78"/>
      <c r="AL1822" s="78"/>
      <c r="AM1822" s="78"/>
      <c r="AN1822" s="78"/>
      <c r="AO1822" s="78"/>
      <c r="AP1822" s="78"/>
      <c r="AQ1822" s="78"/>
      <c r="AR1822" s="78"/>
      <c r="AS1822" s="78"/>
      <c r="AT1822" s="78"/>
      <c r="AU1822" s="78"/>
      <c r="AV1822" s="78"/>
      <c r="AW1822" s="78"/>
      <c r="AX1822" s="78"/>
      <c r="AY1822" s="3"/>
      <c r="AZ1822" s="81"/>
      <c r="BB1822" s="5"/>
      <c r="BC1822" s="5"/>
    </row>
    <row r="1823" spans="1:55" x14ac:dyDescent="0.25">
      <c r="A1823" s="51">
        <v>43839</v>
      </c>
      <c r="B1823" s="54"/>
      <c r="C1823" s="55"/>
      <c r="D1823" s="55"/>
      <c r="E1823" s="55"/>
      <c r="F1823" s="55"/>
      <c r="G1823" s="55"/>
      <c r="H1823" s="55"/>
      <c r="I1823" s="55"/>
      <c r="J1823" s="55"/>
      <c r="K1823" s="55"/>
      <c r="L1823" s="55"/>
      <c r="M1823" s="55"/>
      <c r="N1823" s="55"/>
      <c r="O1823" s="55"/>
      <c r="P1823" s="56"/>
      <c r="AI1823" s="49"/>
      <c r="AJ1823" s="78"/>
      <c r="AK1823" s="78"/>
      <c r="AL1823" s="78"/>
      <c r="AM1823" s="78"/>
      <c r="AN1823" s="78"/>
      <c r="AO1823" s="78"/>
      <c r="AP1823" s="78"/>
      <c r="AQ1823" s="78"/>
      <c r="AR1823" s="78"/>
      <c r="AS1823" s="78"/>
      <c r="AT1823" s="78"/>
      <c r="AU1823" s="78"/>
      <c r="AV1823" s="78"/>
      <c r="AW1823" s="78"/>
      <c r="AX1823" s="78"/>
      <c r="AY1823" s="3"/>
      <c r="AZ1823" s="81"/>
      <c r="BB1823" s="5"/>
      <c r="BC1823" s="5"/>
    </row>
    <row r="1824" spans="1:55" x14ac:dyDescent="0.25">
      <c r="A1824" s="51">
        <v>43840</v>
      </c>
      <c r="B1824" s="54"/>
      <c r="C1824" s="55"/>
      <c r="D1824" s="55"/>
      <c r="E1824" s="55"/>
      <c r="F1824" s="55"/>
      <c r="G1824" s="55"/>
      <c r="H1824" s="55"/>
      <c r="I1824" s="55"/>
      <c r="J1824" s="55"/>
      <c r="K1824" s="55"/>
      <c r="L1824" s="55"/>
      <c r="M1824" s="55"/>
      <c r="N1824" s="55"/>
      <c r="O1824" s="55"/>
      <c r="P1824" s="56"/>
      <c r="AI1824" s="49"/>
      <c r="AJ1824" s="78"/>
      <c r="AK1824" s="78"/>
      <c r="AL1824" s="78"/>
      <c r="AM1824" s="78"/>
      <c r="AN1824" s="78"/>
      <c r="AO1824" s="78"/>
      <c r="AP1824" s="78"/>
      <c r="AQ1824" s="78"/>
      <c r="AR1824" s="78"/>
      <c r="AS1824" s="78"/>
      <c r="AT1824" s="78"/>
      <c r="AU1824" s="78"/>
      <c r="AV1824" s="78"/>
      <c r="AW1824" s="78"/>
      <c r="AX1824" s="78"/>
      <c r="AY1824" s="3"/>
      <c r="AZ1824" s="81"/>
      <c r="BB1824" s="5"/>
      <c r="BC1824" s="5"/>
    </row>
    <row r="1825" spans="1:55" x14ac:dyDescent="0.25">
      <c r="A1825" s="51">
        <v>43843</v>
      </c>
      <c r="B1825" s="54"/>
      <c r="C1825" s="55"/>
      <c r="D1825" s="55"/>
      <c r="E1825" s="55"/>
      <c r="F1825" s="55"/>
      <c r="G1825" s="55"/>
      <c r="H1825" s="55"/>
      <c r="I1825" s="55"/>
      <c r="J1825" s="55"/>
      <c r="K1825" s="55"/>
      <c r="L1825" s="55"/>
      <c r="M1825" s="55"/>
      <c r="N1825" s="55"/>
      <c r="O1825" s="55"/>
      <c r="P1825" s="56"/>
      <c r="AI1825" s="49"/>
      <c r="AJ1825" s="78"/>
      <c r="AK1825" s="78"/>
      <c r="AL1825" s="78"/>
      <c r="AM1825" s="78"/>
      <c r="AN1825" s="78"/>
      <c r="AO1825" s="78"/>
      <c r="AP1825" s="78"/>
      <c r="AQ1825" s="78"/>
      <c r="AR1825" s="78"/>
      <c r="AS1825" s="78"/>
      <c r="AT1825" s="78"/>
      <c r="AU1825" s="78"/>
      <c r="AV1825" s="78"/>
      <c r="AW1825" s="78"/>
      <c r="AX1825" s="78"/>
      <c r="AY1825" s="3"/>
      <c r="AZ1825" s="81"/>
      <c r="BB1825" s="5"/>
      <c r="BC1825" s="5"/>
    </row>
    <row r="1826" spans="1:55" x14ac:dyDescent="0.25">
      <c r="A1826" s="51">
        <v>43844</v>
      </c>
      <c r="B1826" s="54"/>
      <c r="C1826" s="55"/>
      <c r="D1826" s="55"/>
      <c r="E1826" s="55"/>
      <c r="F1826" s="55"/>
      <c r="G1826" s="55"/>
      <c r="H1826" s="55"/>
      <c r="I1826" s="55"/>
      <c r="J1826" s="55"/>
      <c r="K1826" s="55"/>
      <c r="L1826" s="55"/>
      <c r="M1826" s="55"/>
      <c r="N1826" s="55"/>
      <c r="O1826" s="55"/>
      <c r="P1826" s="56"/>
      <c r="AI1826" s="49"/>
      <c r="AJ1826" s="78"/>
      <c r="AK1826" s="78"/>
      <c r="AL1826" s="78"/>
      <c r="AM1826" s="78"/>
      <c r="AN1826" s="78"/>
      <c r="AO1826" s="78"/>
      <c r="AP1826" s="78"/>
      <c r="AQ1826" s="78"/>
      <c r="AR1826" s="78"/>
      <c r="AS1826" s="78"/>
      <c r="AT1826" s="78"/>
      <c r="AU1826" s="78"/>
      <c r="AV1826" s="78"/>
      <c r="AW1826" s="78"/>
      <c r="AX1826" s="78"/>
      <c r="AY1826" s="3"/>
      <c r="AZ1826" s="81"/>
      <c r="BB1826" s="5"/>
      <c r="BC1826" s="5"/>
    </row>
    <row r="1827" spans="1:55" x14ac:dyDescent="0.25">
      <c r="A1827" s="51">
        <v>43845</v>
      </c>
      <c r="B1827" s="54"/>
      <c r="C1827" s="55"/>
      <c r="D1827" s="55"/>
      <c r="E1827" s="55"/>
      <c r="F1827" s="55"/>
      <c r="G1827" s="55"/>
      <c r="H1827" s="55"/>
      <c r="I1827" s="55"/>
      <c r="J1827" s="55"/>
      <c r="K1827" s="55"/>
      <c r="L1827" s="55"/>
      <c r="M1827" s="55"/>
      <c r="N1827" s="55"/>
      <c r="O1827" s="55"/>
      <c r="P1827" s="56"/>
      <c r="AI1827" s="49"/>
      <c r="AJ1827" s="78"/>
      <c r="AK1827" s="78"/>
      <c r="AL1827" s="78"/>
      <c r="AM1827" s="78"/>
      <c r="AN1827" s="78"/>
      <c r="AO1827" s="78"/>
      <c r="AP1827" s="78"/>
      <c r="AQ1827" s="78"/>
      <c r="AR1827" s="78"/>
      <c r="AS1827" s="78"/>
      <c r="AT1827" s="78"/>
      <c r="AU1827" s="78"/>
      <c r="AV1827" s="78"/>
      <c r="AW1827" s="78"/>
      <c r="AX1827" s="78"/>
      <c r="AY1827" s="3"/>
      <c r="AZ1827" s="81"/>
      <c r="BB1827" s="5"/>
      <c r="BC1827" s="5"/>
    </row>
    <row r="1828" spans="1:55" x14ac:dyDescent="0.25">
      <c r="A1828" s="51">
        <v>43846</v>
      </c>
      <c r="B1828" s="54"/>
      <c r="C1828" s="55"/>
      <c r="D1828" s="55"/>
      <c r="E1828" s="55"/>
      <c r="F1828" s="55"/>
      <c r="G1828" s="55"/>
      <c r="H1828" s="55"/>
      <c r="I1828" s="55"/>
      <c r="J1828" s="55"/>
      <c r="K1828" s="55"/>
      <c r="L1828" s="55"/>
      <c r="M1828" s="55"/>
      <c r="N1828" s="55"/>
      <c r="O1828" s="55"/>
      <c r="P1828" s="56"/>
      <c r="AI1828" s="49"/>
      <c r="AJ1828" s="78"/>
      <c r="AK1828" s="78"/>
      <c r="AL1828" s="78"/>
      <c r="AM1828" s="78"/>
      <c r="AN1828" s="78"/>
      <c r="AO1828" s="78"/>
      <c r="AP1828" s="78"/>
      <c r="AQ1828" s="78"/>
      <c r="AR1828" s="78"/>
      <c r="AS1828" s="78"/>
      <c r="AT1828" s="78"/>
      <c r="AU1828" s="78"/>
      <c r="AV1828" s="78"/>
      <c r="AW1828" s="78"/>
      <c r="AX1828" s="78"/>
      <c r="AY1828" s="3"/>
      <c r="AZ1828" s="81"/>
      <c r="BB1828" s="5"/>
      <c r="BC1828" s="5"/>
    </row>
    <row r="1829" spans="1:55" x14ac:dyDescent="0.25">
      <c r="A1829" s="51">
        <v>43847</v>
      </c>
      <c r="B1829" s="54"/>
      <c r="C1829" s="55"/>
      <c r="D1829" s="55"/>
      <c r="E1829" s="55"/>
      <c r="F1829" s="55"/>
      <c r="G1829" s="55"/>
      <c r="H1829" s="55"/>
      <c r="I1829" s="55"/>
      <c r="J1829" s="55"/>
      <c r="K1829" s="55"/>
      <c r="L1829" s="55"/>
      <c r="M1829" s="55"/>
      <c r="N1829" s="55"/>
      <c r="O1829" s="55"/>
      <c r="P1829" s="56"/>
      <c r="AI1829" s="49"/>
      <c r="AJ1829" s="78"/>
      <c r="AK1829" s="78"/>
      <c r="AL1829" s="78"/>
      <c r="AM1829" s="78"/>
      <c r="AN1829" s="78"/>
      <c r="AO1829" s="78"/>
      <c r="AP1829" s="78"/>
      <c r="AQ1829" s="78"/>
      <c r="AR1829" s="78"/>
      <c r="AS1829" s="78"/>
      <c r="AT1829" s="78"/>
      <c r="AU1829" s="78"/>
      <c r="AV1829" s="78"/>
      <c r="AW1829" s="78"/>
      <c r="AX1829" s="78"/>
      <c r="AY1829" s="3"/>
      <c r="AZ1829" s="81"/>
      <c r="BB1829" s="5"/>
      <c r="BC1829" s="5"/>
    </row>
    <row r="1830" spans="1:55" x14ac:dyDescent="0.25">
      <c r="A1830" s="51">
        <v>43850</v>
      </c>
      <c r="B1830" s="54"/>
      <c r="C1830" s="55"/>
      <c r="D1830" s="55"/>
      <c r="E1830" s="55"/>
      <c r="F1830" s="55"/>
      <c r="G1830" s="55"/>
      <c r="H1830" s="55"/>
      <c r="I1830" s="55"/>
      <c r="J1830" s="55"/>
      <c r="K1830" s="55"/>
      <c r="L1830" s="55"/>
      <c r="M1830" s="55"/>
      <c r="N1830" s="55"/>
      <c r="O1830" s="55"/>
      <c r="P1830" s="56"/>
      <c r="AI1830" s="49"/>
      <c r="AJ1830" s="78"/>
      <c r="AK1830" s="78"/>
      <c r="AL1830" s="78"/>
      <c r="AM1830" s="78"/>
      <c r="AN1830" s="78"/>
      <c r="AO1830" s="78"/>
      <c r="AP1830" s="78"/>
      <c r="AQ1830" s="78"/>
      <c r="AR1830" s="78"/>
      <c r="AS1830" s="78"/>
      <c r="AT1830" s="78"/>
      <c r="AU1830" s="78"/>
      <c r="AV1830" s="78"/>
      <c r="AW1830" s="78"/>
      <c r="AX1830" s="78"/>
      <c r="AY1830" s="3"/>
      <c r="AZ1830" s="81"/>
      <c r="BB1830" s="5"/>
      <c r="BC1830" s="5"/>
    </row>
    <row r="1831" spans="1:55" x14ac:dyDescent="0.25">
      <c r="A1831" s="51">
        <v>43851</v>
      </c>
      <c r="B1831" s="54"/>
      <c r="C1831" s="55"/>
      <c r="D1831" s="55"/>
      <c r="E1831" s="55"/>
      <c r="F1831" s="55"/>
      <c r="G1831" s="55"/>
      <c r="H1831" s="55"/>
      <c r="I1831" s="55"/>
      <c r="J1831" s="55"/>
      <c r="K1831" s="55"/>
      <c r="L1831" s="55"/>
      <c r="M1831" s="55"/>
      <c r="N1831" s="55"/>
      <c r="O1831" s="55"/>
      <c r="P1831" s="56"/>
      <c r="AI1831" s="49"/>
      <c r="AJ1831" s="78"/>
      <c r="AK1831" s="78"/>
      <c r="AL1831" s="78"/>
      <c r="AM1831" s="78"/>
      <c r="AN1831" s="78"/>
      <c r="AO1831" s="78"/>
      <c r="AP1831" s="78"/>
      <c r="AQ1831" s="78"/>
      <c r="AR1831" s="78"/>
      <c r="AS1831" s="78"/>
      <c r="AT1831" s="78"/>
      <c r="AU1831" s="78"/>
      <c r="AV1831" s="78"/>
      <c r="AW1831" s="78"/>
      <c r="AX1831" s="78"/>
      <c r="AY1831" s="3"/>
      <c r="AZ1831" s="81"/>
      <c r="BB1831" s="5"/>
      <c r="BC1831" s="5"/>
    </row>
    <row r="1832" spans="1:55" x14ac:dyDescent="0.25">
      <c r="A1832" s="51">
        <v>43852</v>
      </c>
      <c r="B1832" s="54"/>
      <c r="C1832" s="55"/>
      <c r="D1832" s="55"/>
      <c r="E1832" s="55"/>
      <c r="F1832" s="55"/>
      <c r="G1832" s="55"/>
      <c r="H1832" s="55"/>
      <c r="I1832" s="55"/>
      <c r="J1832" s="55"/>
      <c r="K1832" s="55"/>
      <c r="L1832" s="55"/>
      <c r="M1832" s="55"/>
      <c r="N1832" s="55"/>
      <c r="O1832" s="55"/>
      <c r="P1832" s="56"/>
      <c r="AI1832" s="49"/>
      <c r="AJ1832" s="78"/>
      <c r="AK1832" s="78"/>
      <c r="AL1832" s="78"/>
      <c r="AM1832" s="78"/>
      <c r="AN1832" s="78"/>
      <c r="AO1832" s="78"/>
      <c r="AP1832" s="78"/>
      <c r="AQ1832" s="78"/>
      <c r="AR1832" s="78"/>
      <c r="AS1832" s="78"/>
      <c r="AT1832" s="78"/>
      <c r="AU1832" s="78"/>
      <c r="AV1832" s="78"/>
      <c r="AW1832" s="78"/>
      <c r="AX1832" s="78"/>
      <c r="AY1832" s="3"/>
      <c r="AZ1832" s="81"/>
      <c r="BB1832" s="5"/>
      <c r="BC1832" s="5"/>
    </row>
    <row r="1833" spans="1:55" x14ac:dyDescent="0.25">
      <c r="A1833" s="51">
        <v>43853</v>
      </c>
      <c r="B1833" s="54"/>
      <c r="C1833" s="55"/>
      <c r="D1833" s="55"/>
      <c r="E1833" s="55"/>
      <c r="F1833" s="55"/>
      <c r="G1833" s="55"/>
      <c r="H1833" s="55"/>
      <c r="I1833" s="55"/>
      <c r="J1833" s="55"/>
      <c r="K1833" s="55"/>
      <c r="L1833" s="55"/>
      <c r="M1833" s="55"/>
      <c r="N1833" s="55"/>
      <c r="O1833" s="55"/>
      <c r="P1833" s="56"/>
      <c r="AI1833" s="49"/>
      <c r="AJ1833" s="78"/>
      <c r="AK1833" s="78"/>
      <c r="AL1833" s="78"/>
      <c r="AM1833" s="78"/>
      <c r="AN1833" s="78"/>
      <c r="AO1833" s="78"/>
      <c r="AP1833" s="78"/>
      <c r="AQ1833" s="78"/>
      <c r="AR1833" s="78"/>
      <c r="AS1833" s="78"/>
      <c r="AT1833" s="78"/>
      <c r="AU1833" s="78"/>
      <c r="AV1833" s="78"/>
      <c r="AW1833" s="78"/>
      <c r="AX1833" s="78"/>
      <c r="AY1833" s="3"/>
      <c r="AZ1833" s="81"/>
      <c r="BB1833" s="5"/>
      <c r="BC1833" s="5"/>
    </row>
    <row r="1834" spans="1:55" x14ac:dyDescent="0.25">
      <c r="A1834" s="51">
        <v>43854</v>
      </c>
      <c r="B1834" s="54"/>
      <c r="C1834" s="55"/>
      <c r="D1834" s="55"/>
      <c r="E1834" s="55"/>
      <c r="F1834" s="55"/>
      <c r="G1834" s="55"/>
      <c r="H1834" s="55"/>
      <c r="I1834" s="55"/>
      <c r="J1834" s="55"/>
      <c r="K1834" s="55"/>
      <c r="L1834" s="55"/>
      <c r="M1834" s="55"/>
      <c r="N1834" s="55"/>
      <c r="O1834" s="55"/>
      <c r="P1834" s="56"/>
      <c r="AI1834" s="49"/>
      <c r="AJ1834" s="78"/>
      <c r="AK1834" s="78"/>
      <c r="AL1834" s="78"/>
      <c r="AM1834" s="78"/>
      <c r="AN1834" s="78"/>
      <c r="AO1834" s="78"/>
      <c r="AP1834" s="78"/>
      <c r="AQ1834" s="78"/>
      <c r="AR1834" s="78"/>
      <c r="AS1834" s="78"/>
      <c r="AT1834" s="78"/>
      <c r="AU1834" s="78"/>
      <c r="AV1834" s="78"/>
      <c r="AW1834" s="78"/>
      <c r="AX1834" s="78"/>
      <c r="AY1834" s="3"/>
      <c r="AZ1834" s="81"/>
      <c r="BB1834" s="5"/>
      <c r="BC1834" s="5"/>
    </row>
    <row r="1835" spans="1:55" x14ac:dyDescent="0.25">
      <c r="A1835" s="51">
        <v>43857</v>
      </c>
      <c r="B1835" s="54"/>
      <c r="C1835" s="55"/>
      <c r="D1835" s="55"/>
      <c r="E1835" s="55"/>
      <c r="F1835" s="55"/>
      <c r="G1835" s="55"/>
      <c r="H1835" s="55"/>
      <c r="I1835" s="55"/>
      <c r="J1835" s="55"/>
      <c r="K1835" s="55"/>
      <c r="L1835" s="55"/>
      <c r="M1835" s="55"/>
      <c r="N1835" s="55"/>
      <c r="O1835" s="55"/>
      <c r="P1835" s="56"/>
      <c r="AI1835" s="49"/>
      <c r="AJ1835" s="78"/>
      <c r="AK1835" s="78"/>
      <c r="AL1835" s="78"/>
      <c r="AM1835" s="78"/>
      <c r="AN1835" s="78"/>
      <c r="AO1835" s="78"/>
      <c r="AP1835" s="78"/>
      <c r="AQ1835" s="78"/>
      <c r="AR1835" s="78"/>
      <c r="AS1835" s="78"/>
      <c r="AT1835" s="78"/>
      <c r="AU1835" s="78"/>
      <c r="AV1835" s="78"/>
      <c r="AW1835" s="78"/>
      <c r="AX1835" s="78"/>
      <c r="AY1835" s="3"/>
      <c r="AZ1835" s="81"/>
      <c r="BB1835" s="5"/>
      <c r="BC1835" s="5"/>
    </row>
    <row r="1836" spans="1:55" x14ac:dyDescent="0.25">
      <c r="A1836" s="51">
        <v>43858</v>
      </c>
      <c r="B1836" s="54"/>
      <c r="C1836" s="55"/>
      <c r="D1836" s="55"/>
      <c r="E1836" s="55"/>
      <c r="F1836" s="55"/>
      <c r="G1836" s="55"/>
      <c r="H1836" s="55"/>
      <c r="I1836" s="55"/>
      <c r="J1836" s="55"/>
      <c r="K1836" s="55"/>
      <c r="L1836" s="55"/>
      <c r="M1836" s="55"/>
      <c r="N1836" s="55"/>
      <c r="O1836" s="55"/>
      <c r="P1836" s="56"/>
      <c r="AI1836" s="49"/>
      <c r="AJ1836" s="78"/>
      <c r="AK1836" s="78"/>
      <c r="AL1836" s="78"/>
      <c r="AM1836" s="78"/>
      <c r="AN1836" s="78"/>
      <c r="AO1836" s="78"/>
      <c r="AP1836" s="78"/>
      <c r="AQ1836" s="78"/>
      <c r="AR1836" s="78"/>
      <c r="AS1836" s="78"/>
      <c r="AT1836" s="78"/>
      <c r="AU1836" s="78"/>
      <c r="AV1836" s="78"/>
      <c r="AW1836" s="78"/>
      <c r="AX1836" s="78"/>
      <c r="AY1836" s="3"/>
      <c r="AZ1836" s="81"/>
      <c r="BB1836" s="5"/>
      <c r="BC1836" s="5"/>
    </row>
    <row r="1837" spans="1:55" x14ac:dyDescent="0.25">
      <c r="A1837" s="51">
        <v>43859</v>
      </c>
      <c r="B1837" s="54"/>
      <c r="C1837" s="55"/>
      <c r="D1837" s="55"/>
      <c r="E1837" s="55"/>
      <c r="F1837" s="55"/>
      <c r="G1837" s="55"/>
      <c r="H1837" s="55"/>
      <c r="I1837" s="55"/>
      <c r="J1837" s="55"/>
      <c r="K1837" s="55"/>
      <c r="L1837" s="55"/>
      <c r="M1837" s="55"/>
      <c r="N1837" s="55"/>
      <c r="O1837" s="55"/>
      <c r="P1837" s="56"/>
      <c r="AI1837" s="49"/>
      <c r="AJ1837" s="78"/>
      <c r="AK1837" s="78"/>
      <c r="AL1837" s="78"/>
      <c r="AM1837" s="78"/>
      <c r="AN1837" s="78"/>
      <c r="AO1837" s="78"/>
      <c r="AP1837" s="78"/>
      <c r="AQ1837" s="78"/>
      <c r="AR1837" s="78"/>
      <c r="AS1837" s="78"/>
      <c r="AT1837" s="78"/>
      <c r="AU1837" s="78"/>
      <c r="AV1837" s="78"/>
      <c r="AW1837" s="78"/>
      <c r="AX1837" s="78"/>
      <c r="AY1837" s="3"/>
      <c r="AZ1837" s="81"/>
      <c r="BB1837" s="5"/>
      <c r="BC1837" s="5"/>
    </row>
    <row r="1838" spans="1:55" x14ac:dyDescent="0.25">
      <c r="A1838" s="51">
        <v>43860</v>
      </c>
      <c r="B1838" s="54"/>
      <c r="C1838" s="55"/>
      <c r="D1838" s="55"/>
      <c r="E1838" s="55"/>
      <c r="F1838" s="55"/>
      <c r="G1838" s="55"/>
      <c r="H1838" s="55"/>
      <c r="I1838" s="55"/>
      <c r="J1838" s="55"/>
      <c r="K1838" s="55"/>
      <c r="L1838" s="55"/>
      <c r="M1838" s="55"/>
      <c r="N1838" s="55"/>
      <c r="O1838" s="55"/>
      <c r="P1838" s="56"/>
      <c r="AI1838" s="49"/>
      <c r="AJ1838" s="78"/>
      <c r="AK1838" s="78"/>
      <c r="AL1838" s="78"/>
      <c r="AM1838" s="78"/>
      <c r="AN1838" s="78"/>
      <c r="AO1838" s="78"/>
      <c r="AP1838" s="78"/>
      <c r="AQ1838" s="78"/>
      <c r="AR1838" s="78"/>
      <c r="AS1838" s="78"/>
      <c r="AT1838" s="78"/>
      <c r="AU1838" s="78"/>
      <c r="AV1838" s="78"/>
      <c r="AW1838" s="78"/>
      <c r="AX1838" s="78"/>
      <c r="AY1838" s="3"/>
      <c r="AZ1838" s="81"/>
      <c r="BB1838" s="5"/>
      <c r="BC1838" s="5"/>
    </row>
    <row r="1839" spans="1:55" x14ac:dyDescent="0.25">
      <c r="A1839" s="51">
        <v>43861</v>
      </c>
      <c r="B1839" s="54"/>
      <c r="C1839" s="55"/>
      <c r="D1839" s="55"/>
      <c r="E1839" s="55"/>
      <c r="F1839" s="55"/>
      <c r="G1839" s="55"/>
      <c r="H1839" s="55"/>
      <c r="I1839" s="55"/>
      <c r="J1839" s="55"/>
      <c r="K1839" s="55"/>
      <c r="L1839" s="55"/>
      <c r="M1839" s="55"/>
      <c r="N1839" s="55"/>
      <c r="O1839" s="55"/>
      <c r="P1839" s="56"/>
      <c r="AI1839" s="49"/>
      <c r="AJ1839" s="78"/>
      <c r="AK1839" s="78"/>
      <c r="AL1839" s="78"/>
      <c r="AM1839" s="78"/>
      <c r="AN1839" s="78"/>
      <c r="AO1839" s="78"/>
      <c r="AP1839" s="78"/>
      <c r="AQ1839" s="78"/>
      <c r="AR1839" s="78"/>
      <c r="AS1839" s="78"/>
      <c r="AT1839" s="78"/>
      <c r="AU1839" s="78"/>
      <c r="AV1839" s="78"/>
      <c r="AW1839" s="78"/>
      <c r="AX1839" s="78"/>
      <c r="AY1839" s="3"/>
      <c r="AZ1839" s="81"/>
      <c r="BB1839" s="5"/>
      <c r="BC1839" s="5"/>
    </row>
    <row r="1840" spans="1:55" x14ac:dyDescent="0.25">
      <c r="A1840" s="51">
        <v>43864</v>
      </c>
      <c r="B1840" s="54"/>
      <c r="C1840" s="55"/>
      <c r="D1840" s="55"/>
      <c r="E1840" s="55"/>
      <c r="F1840" s="55"/>
      <c r="G1840" s="55"/>
      <c r="H1840" s="55"/>
      <c r="I1840" s="55"/>
      <c r="J1840" s="55"/>
      <c r="K1840" s="55"/>
      <c r="L1840" s="55"/>
      <c r="M1840" s="55"/>
      <c r="N1840" s="55"/>
      <c r="O1840" s="55"/>
      <c r="P1840" s="56"/>
      <c r="AI1840" s="49"/>
      <c r="AJ1840" s="78"/>
      <c r="AK1840" s="78"/>
      <c r="AL1840" s="78"/>
      <c r="AM1840" s="78"/>
      <c r="AN1840" s="78"/>
      <c r="AO1840" s="78"/>
      <c r="AP1840" s="78"/>
      <c r="AQ1840" s="78"/>
      <c r="AR1840" s="78"/>
      <c r="AS1840" s="78"/>
      <c r="AT1840" s="78"/>
      <c r="AU1840" s="78"/>
      <c r="AV1840" s="78"/>
      <c r="AW1840" s="78"/>
      <c r="AX1840" s="78"/>
      <c r="AY1840" s="3"/>
      <c r="AZ1840" s="81"/>
      <c r="BB1840" s="5"/>
      <c r="BC1840" s="5"/>
    </row>
    <row r="1841" spans="1:55" x14ac:dyDescent="0.25">
      <c r="A1841" s="51">
        <v>43865</v>
      </c>
      <c r="B1841" s="54"/>
      <c r="C1841" s="55"/>
      <c r="D1841" s="55"/>
      <c r="E1841" s="55"/>
      <c r="F1841" s="55"/>
      <c r="G1841" s="55"/>
      <c r="H1841" s="55"/>
      <c r="I1841" s="55"/>
      <c r="J1841" s="55"/>
      <c r="K1841" s="55"/>
      <c r="L1841" s="55"/>
      <c r="M1841" s="55"/>
      <c r="N1841" s="55"/>
      <c r="O1841" s="55"/>
      <c r="P1841" s="56"/>
      <c r="AI1841" s="49"/>
      <c r="AJ1841" s="78"/>
      <c r="AK1841" s="78"/>
      <c r="AL1841" s="78"/>
      <c r="AM1841" s="78"/>
      <c r="AN1841" s="78"/>
      <c r="AO1841" s="78"/>
      <c r="AP1841" s="78"/>
      <c r="AQ1841" s="78"/>
      <c r="AR1841" s="78"/>
      <c r="AS1841" s="78"/>
      <c r="AT1841" s="78"/>
      <c r="AU1841" s="78"/>
      <c r="AV1841" s="78"/>
      <c r="AW1841" s="78"/>
      <c r="AX1841" s="78"/>
      <c r="AY1841" s="3"/>
      <c r="AZ1841" s="81"/>
      <c r="BB1841" s="5"/>
      <c r="BC1841" s="5"/>
    </row>
    <row r="1842" spans="1:55" x14ac:dyDescent="0.25">
      <c r="A1842" s="51">
        <v>43866</v>
      </c>
      <c r="B1842" s="54"/>
      <c r="C1842" s="55"/>
      <c r="D1842" s="55"/>
      <c r="E1842" s="55"/>
      <c r="F1842" s="55"/>
      <c r="G1842" s="55"/>
      <c r="H1842" s="55"/>
      <c r="I1842" s="55"/>
      <c r="J1842" s="55"/>
      <c r="K1842" s="55"/>
      <c r="L1842" s="55"/>
      <c r="M1842" s="55"/>
      <c r="N1842" s="55"/>
      <c r="O1842" s="55"/>
      <c r="P1842" s="56"/>
      <c r="AI1842" s="49"/>
      <c r="AJ1842" s="78"/>
      <c r="AK1842" s="78"/>
      <c r="AL1842" s="78"/>
      <c r="AM1842" s="78"/>
      <c r="AN1842" s="78"/>
      <c r="AO1842" s="78"/>
      <c r="AP1842" s="78"/>
      <c r="AQ1842" s="78"/>
      <c r="AR1842" s="78"/>
      <c r="AS1842" s="78"/>
      <c r="AT1842" s="78"/>
      <c r="AU1842" s="78"/>
      <c r="AV1842" s="78"/>
      <c r="AW1842" s="78"/>
      <c r="AX1842" s="78"/>
      <c r="AY1842" s="3"/>
      <c r="AZ1842" s="81"/>
      <c r="BB1842" s="5"/>
      <c r="BC1842" s="5"/>
    </row>
    <row r="1843" spans="1:55" x14ac:dyDescent="0.25">
      <c r="A1843" s="51">
        <v>43867</v>
      </c>
      <c r="B1843" s="54"/>
      <c r="C1843" s="55"/>
      <c r="D1843" s="55"/>
      <c r="E1843" s="55"/>
      <c r="F1843" s="55"/>
      <c r="G1843" s="55"/>
      <c r="H1843" s="55"/>
      <c r="I1843" s="55"/>
      <c r="J1843" s="55"/>
      <c r="K1843" s="55"/>
      <c r="L1843" s="55"/>
      <c r="M1843" s="55"/>
      <c r="N1843" s="55"/>
      <c r="O1843" s="55"/>
      <c r="P1843" s="56"/>
      <c r="AI1843" s="49"/>
      <c r="AJ1843" s="78"/>
      <c r="AK1843" s="78"/>
      <c r="AL1843" s="78"/>
      <c r="AM1843" s="78"/>
      <c r="AN1843" s="78"/>
      <c r="AO1843" s="78"/>
      <c r="AP1843" s="78"/>
      <c r="AQ1843" s="78"/>
      <c r="AR1843" s="78"/>
      <c r="AS1843" s="78"/>
      <c r="AT1843" s="78"/>
      <c r="AU1843" s="78"/>
      <c r="AV1843" s="78"/>
      <c r="AW1843" s="78"/>
      <c r="AX1843" s="78"/>
      <c r="AY1843" s="3"/>
      <c r="AZ1843" s="81"/>
      <c r="BB1843" s="5"/>
      <c r="BC1843" s="5"/>
    </row>
    <row r="1844" spans="1:55" x14ac:dyDescent="0.25">
      <c r="A1844" s="51">
        <v>43868</v>
      </c>
      <c r="B1844" s="54"/>
      <c r="C1844" s="55"/>
      <c r="D1844" s="55"/>
      <c r="E1844" s="55"/>
      <c r="F1844" s="55"/>
      <c r="G1844" s="55"/>
      <c r="H1844" s="55"/>
      <c r="I1844" s="55"/>
      <c r="J1844" s="55"/>
      <c r="K1844" s="55"/>
      <c r="L1844" s="55"/>
      <c r="M1844" s="55"/>
      <c r="N1844" s="55"/>
      <c r="O1844" s="55"/>
      <c r="P1844" s="56"/>
      <c r="AI1844" s="49"/>
      <c r="AJ1844" s="78"/>
      <c r="AK1844" s="78"/>
      <c r="AL1844" s="78"/>
      <c r="AM1844" s="78"/>
      <c r="AN1844" s="78"/>
      <c r="AO1844" s="78"/>
      <c r="AP1844" s="78"/>
      <c r="AQ1844" s="78"/>
      <c r="AR1844" s="78"/>
      <c r="AS1844" s="78"/>
      <c r="AT1844" s="78"/>
      <c r="AU1844" s="78"/>
      <c r="AV1844" s="78"/>
      <c r="AW1844" s="78"/>
      <c r="AX1844" s="78"/>
      <c r="AY1844" s="3"/>
      <c r="AZ1844" s="81"/>
      <c r="BB1844" s="5"/>
      <c r="BC1844" s="5"/>
    </row>
    <row r="1845" spans="1:55" x14ac:dyDescent="0.25">
      <c r="A1845" s="51">
        <v>43871</v>
      </c>
      <c r="B1845" s="54"/>
      <c r="C1845" s="55"/>
      <c r="D1845" s="55"/>
      <c r="E1845" s="55"/>
      <c r="F1845" s="55"/>
      <c r="G1845" s="55"/>
      <c r="H1845" s="55"/>
      <c r="I1845" s="55"/>
      <c r="J1845" s="55"/>
      <c r="K1845" s="55"/>
      <c r="L1845" s="55"/>
      <c r="M1845" s="55"/>
      <c r="N1845" s="55"/>
      <c r="O1845" s="55"/>
      <c r="P1845" s="56"/>
      <c r="AI1845" s="49"/>
      <c r="AJ1845" s="78"/>
      <c r="AK1845" s="78"/>
      <c r="AL1845" s="78"/>
      <c r="AM1845" s="78"/>
      <c r="AN1845" s="78"/>
      <c r="AO1845" s="78"/>
      <c r="AP1845" s="78"/>
      <c r="AQ1845" s="78"/>
      <c r="AR1845" s="78"/>
      <c r="AS1845" s="78"/>
      <c r="AT1845" s="78"/>
      <c r="AU1845" s="78"/>
      <c r="AV1845" s="78"/>
      <c r="AW1845" s="78"/>
      <c r="AX1845" s="78"/>
      <c r="AY1845" s="3"/>
      <c r="AZ1845" s="81"/>
      <c r="BB1845" s="5"/>
      <c r="BC1845" s="5"/>
    </row>
    <row r="1846" spans="1:55" x14ac:dyDescent="0.25">
      <c r="A1846" s="51">
        <v>43872</v>
      </c>
      <c r="B1846" s="54"/>
      <c r="C1846" s="55"/>
      <c r="D1846" s="55"/>
      <c r="E1846" s="55"/>
      <c r="F1846" s="55"/>
      <c r="G1846" s="55"/>
      <c r="H1846" s="55"/>
      <c r="I1846" s="55"/>
      <c r="J1846" s="55"/>
      <c r="K1846" s="55"/>
      <c r="L1846" s="55"/>
      <c r="M1846" s="55"/>
      <c r="N1846" s="55"/>
      <c r="O1846" s="55"/>
      <c r="P1846" s="56"/>
      <c r="AI1846" s="49"/>
      <c r="AJ1846" s="78"/>
      <c r="AK1846" s="78"/>
      <c r="AL1846" s="78"/>
      <c r="AM1846" s="78"/>
      <c r="AN1846" s="78"/>
      <c r="AO1846" s="78"/>
      <c r="AP1846" s="78"/>
      <c r="AQ1846" s="78"/>
      <c r="AR1846" s="78"/>
      <c r="AS1846" s="78"/>
      <c r="AT1846" s="78"/>
      <c r="AU1846" s="78"/>
      <c r="AV1846" s="78"/>
      <c r="AW1846" s="78"/>
      <c r="AX1846" s="78"/>
      <c r="AY1846" s="3"/>
      <c r="AZ1846" s="81"/>
      <c r="BB1846" s="5"/>
      <c r="BC1846" s="5"/>
    </row>
    <row r="1847" spans="1:55" x14ac:dyDescent="0.25">
      <c r="A1847" s="51">
        <v>43873</v>
      </c>
      <c r="B1847" s="54"/>
      <c r="C1847" s="55"/>
      <c r="D1847" s="55"/>
      <c r="E1847" s="55"/>
      <c r="F1847" s="55"/>
      <c r="G1847" s="55"/>
      <c r="H1847" s="55"/>
      <c r="I1847" s="55"/>
      <c r="J1847" s="55"/>
      <c r="K1847" s="55"/>
      <c r="L1847" s="55"/>
      <c r="M1847" s="55"/>
      <c r="N1847" s="55"/>
      <c r="O1847" s="55"/>
      <c r="P1847" s="56"/>
      <c r="AI1847" s="49"/>
      <c r="AJ1847" s="78"/>
      <c r="AK1847" s="78"/>
      <c r="AL1847" s="78"/>
      <c r="AM1847" s="78"/>
      <c r="AN1847" s="78"/>
      <c r="AO1847" s="78"/>
      <c r="AP1847" s="78"/>
      <c r="AQ1847" s="78"/>
      <c r="AR1847" s="78"/>
      <c r="AS1847" s="78"/>
      <c r="AT1847" s="78"/>
      <c r="AU1847" s="78"/>
      <c r="AV1847" s="78"/>
      <c r="AW1847" s="78"/>
      <c r="AX1847" s="78"/>
      <c r="AY1847" s="3"/>
      <c r="AZ1847" s="81"/>
      <c r="BB1847" s="5"/>
      <c r="BC1847" s="5"/>
    </row>
    <row r="1848" spans="1:55" x14ac:dyDescent="0.25">
      <c r="A1848" s="51">
        <v>43874</v>
      </c>
      <c r="B1848" s="54"/>
      <c r="C1848" s="55"/>
      <c r="D1848" s="55"/>
      <c r="E1848" s="55"/>
      <c r="F1848" s="55"/>
      <c r="G1848" s="55"/>
      <c r="H1848" s="55"/>
      <c r="I1848" s="55"/>
      <c r="J1848" s="55"/>
      <c r="K1848" s="55"/>
      <c r="L1848" s="55"/>
      <c r="M1848" s="55"/>
      <c r="N1848" s="55"/>
      <c r="O1848" s="55"/>
      <c r="P1848" s="56"/>
      <c r="AI1848" s="49"/>
      <c r="AJ1848" s="78"/>
      <c r="AK1848" s="78"/>
      <c r="AL1848" s="78"/>
      <c r="AM1848" s="78"/>
      <c r="AN1848" s="78"/>
      <c r="AO1848" s="78"/>
      <c r="AP1848" s="78"/>
      <c r="AQ1848" s="78"/>
      <c r="AR1848" s="78"/>
      <c r="AS1848" s="78"/>
      <c r="AT1848" s="78"/>
      <c r="AU1848" s="78"/>
      <c r="AV1848" s="78"/>
      <c r="AW1848" s="78"/>
      <c r="AX1848" s="78"/>
      <c r="AY1848" s="3"/>
      <c r="AZ1848" s="81"/>
      <c r="BB1848" s="5"/>
      <c r="BC1848" s="5"/>
    </row>
    <row r="1849" spans="1:55" x14ac:dyDescent="0.25">
      <c r="A1849" s="51">
        <v>43875</v>
      </c>
      <c r="B1849" s="54"/>
      <c r="C1849" s="55"/>
      <c r="D1849" s="55"/>
      <c r="E1849" s="55"/>
      <c r="F1849" s="55"/>
      <c r="G1849" s="55"/>
      <c r="H1849" s="55"/>
      <c r="I1849" s="55"/>
      <c r="J1849" s="55"/>
      <c r="K1849" s="55"/>
      <c r="L1849" s="55"/>
      <c r="M1849" s="55"/>
      <c r="N1849" s="55"/>
      <c r="O1849" s="55"/>
      <c r="P1849" s="56"/>
      <c r="AI1849" s="49"/>
      <c r="AJ1849" s="78"/>
      <c r="AK1849" s="78"/>
      <c r="AL1849" s="78"/>
      <c r="AM1849" s="78"/>
      <c r="AN1849" s="78"/>
      <c r="AO1849" s="78"/>
      <c r="AP1849" s="78"/>
      <c r="AQ1849" s="78"/>
      <c r="AR1849" s="78"/>
      <c r="AS1849" s="78"/>
      <c r="AT1849" s="78"/>
      <c r="AU1849" s="78"/>
      <c r="AV1849" s="78"/>
      <c r="AW1849" s="78"/>
      <c r="AX1849" s="78"/>
      <c r="AY1849" s="3"/>
      <c r="AZ1849" s="81"/>
      <c r="BB1849" s="5"/>
      <c r="BC1849" s="5"/>
    </row>
    <row r="1850" spans="1:55" x14ac:dyDescent="0.25">
      <c r="A1850" s="51">
        <v>43878</v>
      </c>
      <c r="B1850" s="54"/>
      <c r="C1850" s="55"/>
      <c r="D1850" s="55"/>
      <c r="E1850" s="55"/>
      <c r="F1850" s="55"/>
      <c r="G1850" s="55"/>
      <c r="H1850" s="55"/>
      <c r="I1850" s="55"/>
      <c r="J1850" s="55"/>
      <c r="K1850" s="55"/>
      <c r="L1850" s="55"/>
      <c r="M1850" s="55"/>
      <c r="N1850" s="55"/>
      <c r="O1850" s="55"/>
      <c r="P1850" s="56"/>
      <c r="AI1850" s="49"/>
      <c r="AJ1850" s="78"/>
      <c r="AK1850" s="78"/>
      <c r="AL1850" s="78"/>
      <c r="AM1850" s="78"/>
      <c r="AN1850" s="78"/>
      <c r="AO1850" s="78"/>
      <c r="AP1850" s="78"/>
      <c r="AQ1850" s="78"/>
      <c r="AR1850" s="78"/>
      <c r="AS1850" s="78"/>
      <c r="AT1850" s="78"/>
      <c r="AU1850" s="78"/>
      <c r="AV1850" s="78"/>
      <c r="AW1850" s="78"/>
      <c r="AX1850" s="78"/>
      <c r="AY1850" s="3"/>
      <c r="AZ1850" s="81"/>
      <c r="BB1850" s="5"/>
      <c r="BC1850" s="5"/>
    </row>
    <row r="1851" spans="1:55" x14ac:dyDescent="0.25">
      <c r="A1851" s="51">
        <v>43879</v>
      </c>
      <c r="B1851" s="54"/>
      <c r="C1851" s="55"/>
      <c r="D1851" s="55"/>
      <c r="E1851" s="55"/>
      <c r="F1851" s="55"/>
      <c r="G1851" s="55"/>
      <c r="H1851" s="55"/>
      <c r="I1851" s="55"/>
      <c r="J1851" s="55"/>
      <c r="K1851" s="55"/>
      <c r="L1851" s="55"/>
      <c r="M1851" s="55"/>
      <c r="N1851" s="55"/>
      <c r="O1851" s="55"/>
      <c r="P1851" s="56"/>
      <c r="AI1851" s="49"/>
      <c r="AJ1851" s="78"/>
      <c r="AK1851" s="78"/>
      <c r="AL1851" s="78"/>
      <c r="AM1851" s="78"/>
      <c r="AN1851" s="78"/>
      <c r="AO1851" s="78"/>
      <c r="AP1851" s="78"/>
      <c r="AQ1851" s="78"/>
      <c r="AR1851" s="78"/>
      <c r="AS1851" s="78"/>
      <c r="AT1851" s="78"/>
      <c r="AU1851" s="78"/>
      <c r="AV1851" s="78"/>
      <c r="AW1851" s="78"/>
      <c r="AX1851" s="78"/>
      <c r="AY1851" s="3"/>
      <c r="AZ1851" s="81"/>
      <c r="BB1851" s="5"/>
      <c r="BC1851" s="5"/>
    </row>
    <row r="1852" spans="1:55" x14ac:dyDescent="0.25">
      <c r="A1852" s="51">
        <v>43880</v>
      </c>
      <c r="B1852" s="54"/>
      <c r="C1852" s="55"/>
      <c r="D1852" s="55"/>
      <c r="E1852" s="55"/>
      <c r="F1852" s="55"/>
      <c r="G1852" s="55"/>
      <c r="H1852" s="55"/>
      <c r="I1852" s="55"/>
      <c r="J1852" s="55"/>
      <c r="K1852" s="55"/>
      <c r="L1852" s="55"/>
      <c r="M1852" s="55"/>
      <c r="N1852" s="55"/>
      <c r="O1852" s="55"/>
      <c r="P1852" s="56"/>
      <c r="AI1852" s="49"/>
      <c r="AJ1852" s="78"/>
      <c r="AK1852" s="78"/>
      <c r="AL1852" s="78"/>
      <c r="AM1852" s="78"/>
      <c r="AN1852" s="78"/>
      <c r="AO1852" s="78"/>
      <c r="AP1852" s="78"/>
      <c r="AQ1852" s="78"/>
      <c r="AR1852" s="78"/>
      <c r="AS1852" s="78"/>
      <c r="AT1852" s="78"/>
      <c r="AU1852" s="78"/>
      <c r="AV1852" s="78"/>
      <c r="AW1852" s="78"/>
      <c r="AX1852" s="78"/>
      <c r="AY1852" s="3"/>
      <c r="AZ1852" s="81"/>
      <c r="BB1852" s="5"/>
      <c r="BC1852" s="5"/>
    </row>
    <row r="1853" spans="1:55" x14ac:dyDescent="0.25">
      <c r="A1853" s="51">
        <v>43881</v>
      </c>
      <c r="B1853" s="54"/>
      <c r="C1853" s="55"/>
      <c r="D1853" s="55"/>
      <c r="E1853" s="55"/>
      <c r="F1853" s="55"/>
      <c r="G1853" s="55"/>
      <c r="H1853" s="55"/>
      <c r="I1853" s="55"/>
      <c r="J1853" s="55"/>
      <c r="K1853" s="55"/>
      <c r="L1853" s="55"/>
      <c r="M1853" s="55"/>
      <c r="N1853" s="55"/>
      <c r="O1853" s="55"/>
      <c r="P1853" s="56"/>
      <c r="AI1853" s="49"/>
      <c r="AJ1853" s="78"/>
      <c r="AK1853" s="78"/>
      <c r="AL1853" s="78"/>
      <c r="AM1853" s="78"/>
      <c r="AN1853" s="78"/>
      <c r="AO1853" s="78"/>
      <c r="AP1853" s="78"/>
      <c r="AQ1853" s="78"/>
      <c r="AR1853" s="78"/>
      <c r="AS1853" s="78"/>
      <c r="AT1853" s="78"/>
      <c r="AU1853" s="78"/>
      <c r="AV1853" s="78"/>
      <c r="AW1853" s="78"/>
      <c r="AX1853" s="78"/>
      <c r="AY1853" s="3"/>
      <c r="AZ1853" s="81"/>
      <c r="BB1853" s="5"/>
      <c r="BC1853" s="5"/>
    </row>
    <row r="1854" spans="1:55" x14ac:dyDescent="0.25">
      <c r="A1854" s="51">
        <v>43882</v>
      </c>
      <c r="B1854" s="54"/>
      <c r="C1854" s="55"/>
      <c r="D1854" s="55"/>
      <c r="E1854" s="55"/>
      <c r="F1854" s="55"/>
      <c r="G1854" s="55"/>
      <c r="H1854" s="55"/>
      <c r="I1854" s="55"/>
      <c r="J1854" s="55"/>
      <c r="K1854" s="55"/>
      <c r="L1854" s="55"/>
      <c r="M1854" s="55"/>
      <c r="N1854" s="55"/>
      <c r="O1854" s="55"/>
      <c r="P1854" s="56"/>
      <c r="AI1854" s="49"/>
      <c r="AJ1854" s="78"/>
      <c r="AK1854" s="78"/>
      <c r="AL1854" s="78"/>
      <c r="AM1854" s="78"/>
      <c r="AN1854" s="78"/>
      <c r="AO1854" s="78"/>
      <c r="AP1854" s="78"/>
      <c r="AQ1854" s="78"/>
      <c r="AR1854" s="78"/>
      <c r="AS1854" s="78"/>
      <c r="AT1854" s="78"/>
      <c r="AU1854" s="78"/>
      <c r="AV1854" s="78"/>
      <c r="AW1854" s="78"/>
      <c r="AX1854" s="78"/>
      <c r="AY1854" s="3"/>
      <c r="AZ1854" s="81"/>
      <c r="BB1854" s="5"/>
      <c r="BC1854" s="5"/>
    </row>
    <row r="1855" spans="1:55" x14ac:dyDescent="0.25">
      <c r="A1855" s="51">
        <v>43885</v>
      </c>
      <c r="B1855" s="54"/>
      <c r="C1855" s="55"/>
      <c r="D1855" s="55"/>
      <c r="E1855" s="55"/>
      <c r="F1855" s="55"/>
      <c r="G1855" s="55"/>
      <c r="H1855" s="55"/>
      <c r="I1855" s="55"/>
      <c r="J1855" s="55"/>
      <c r="K1855" s="55"/>
      <c r="L1855" s="55"/>
      <c r="M1855" s="55"/>
      <c r="N1855" s="55"/>
      <c r="O1855" s="55"/>
      <c r="P1855" s="56"/>
      <c r="AI1855" s="49"/>
      <c r="AJ1855" s="78"/>
      <c r="AK1855" s="78"/>
      <c r="AL1855" s="78"/>
      <c r="AM1855" s="78"/>
      <c r="AN1855" s="78"/>
      <c r="AO1855" s="78"/>
      <c r="AP1855" s="78"/>
      <c r="AQ1855" s="78"/>
      <c r="AR1855" s="78"/>
      <c r="AS1855" s="78"/>
      <c r="AT1855" s="78"/>
      <c r="AU1855" s="78"/>
      <c r="AV1855" s="78"/>
      <c r="AW1855" s="78"/>
      <c r="AX1855" s="78"/>
      <c r="AY1855" s="3"/>
      <c r="AZ1855" s="81"/>
      <c r="BB1855" s="5"/>
      <c r="BC1855" s="5"/>
    </row>
    <row r="1856" spans="1:55" x14ac:dyDescent="0.25">
      <c r="A1856" s="51">
        <v>43886</v>
      </c>
      <c r="B1856" s="54"/>
      <c r="C1856" s="55"/>
      <c r="D1856" s="55"/>
      <c r="E1856" s="55"/>
      <c r="F1856" s="55"/>
      <c r="G1856" s="55"/>
      <c r="H1856" s="55"/>
      <c r="I1856" s="55"/>
      <c r="J1856" s="55"/>
      <c r="K1856" s="55"/>
      <c r="L1856" s="55"/>
      <c r="M1856" s="55"/>
      <c r="N1856" s="55"/>
      <c r="O1856" s="55"/>
      <c r="P1856" s="56"/>
      <c r="AI1856" s="49"/>
      <c r="AJ1856" s="78"/>
      <c r="AK1856" s="78"/>
      <c r="AL1856" s="78"/>
      <c r="AM1856" s="78"/>
      <c r="AN1856" s="78"/>
      <c r="AO1856" s="78"/>
      <c r="AP1856" s="78"/>
      <c r="AQ1856" s="78"/>
      <c r="AR1856" s="78"/>
      <c r="AS1856" s="78"/>
      <c r="AT1856" s="78"/>
      <c r="AU1856" s="78"/>
      <c r="AV1856" s="78"/>
      <c r="AW1856" s="78"/>
      <c r="AX1856" s="78"/>
      <c r="AY1856" s="3"/>
      <c r="AZ1856" s="81"/>
      <c r="BB1856" s="5"/>
      <c r="BC1856" s="5"/>
    </row>
    <row r="1857" spans="1:55" x14ac:dyDescent="0.25">
      <c r="A1857" s="51">
        <v>43887</v>
      </c>
      <c r="B1857" s="54"/>
      <c r="C1857" s="55"/>
      <c r="D1857" s="55"/>
      <c r="E1857" s="55"/>
      <c r="F1857" s="55"/>
      <c r="G1857" s="55"/>
      <c r="H1857" s="55"/>
      <c r="I1857" s="55"/>
      <c r="J1857" s="55"/>
      <c r="K1857" s="55"/>
      <c r="L1857" s="55"/>
      <c r="M1857" s="55"/>
      <c r="N1857" s="55"/>
      <c r="O1857" s="55"/>
      <c r="P1857" s="56"/>
      <c r="AI1857" s="49"/>
      <c r="AJ1857" s="78"/>
      <c r="AK1857" s="78"/>
      <c r="AL1857" s="78"/>
      <c r="AM1857" s="78"/>
      <c r="AN1857" s="78"/>
      <c r="AO1857" s="78"/>
      <c r="AP1857" s="78"/>
      <c r="AQ1857" s="78"/>
      <c r="AR1857" s="78"/>
      <c r="AS1857" s="78"/>
      <c r="AT1857" s="78"/>
      <c r="AU1857" s="78"/>
      <c r="AV1857" s="78"/>
      <c r="AW1857" s="78"/>
      <c r="AX1857" s="78"/>
      <c r="AY1857" s="3"/>
      <c r="AZ1857" s="81"/>
      <c r="BB1857" s="5"/>
      <c r="BC1857" s="5"/>
    </row>
    <row r="1858" spans="1:55" x14ac:dyDescent="0.25">
      <c r="A1858" s="51">
        <v>43888</v>
      </c>
      <c r="B1858" s="54"/>
      <c r="C1858" s="55"/>
      <c r="D1858" s="55"/>
      <c r="E1858" s="55"/>
      <c r="F1858" s="55"/>
      <c r="G1858" s="55"/>
      <c r="H1858" s="55"/>
      <c r="I1858" s="55"/>
      <c r="J1858" s="55"/>
      <c r="K1858" s="55"/>
      <c r="L1858" s="55"/>
      <c r="M1858" s="55"/>
      <c r="N1858" s="55"/>
      <c r="O1858" s="55"/>
      <c r="P1858" s="56"/>
      <c r="AI1858" s="49"/>
      <c r="AJ1858" s="78"/>
      <c r="AK1858" s="78"/>
      <c r="AL1858" s="78"/>
      <c r="AM1858" s="78"/>
      <c r="AN1858" s="78"/>
      <c r="AO1858" s="78"/>
      <c r="AP1858" s="78"/>
      <c r="AQ1858" s="78"/>
      <c r="AR1858" s="78"/>
      <c r="AS1858" s="78"/>
      <c r="AT1858" s="78"/>
      <c r="AU1858" s="78"/>
      <c r="AV1858" s="78"/>
      <c r="AW1858" s="78"/>
      <c r="AX1858" s="78"/>
      <c r="AY1858" s="3"/>
      <c r="AZ1858" s="81"/>
      <c r="BB1858" s="5"/>
      <c r="BC1858" s="5"/>
    </row>
    <row r="1859" spans="1:55" x14ac:dyDescent="0.25">
      <c r="A1859" s="51">
        <v>43889</v>
      </c>
      <c r="B1859" s="54"/>
      <c r="C1859" s="55"/>
      <c r="D1859" s="55"/>
      <c r="E1859" s="55"/>
      <c r="F1859" s="55"/>
      <c r="G1859" s="55"/>
      <c r="H1859" s="55"/>
      <c r="I1859" s="55"/>
      <c r="J1859" s="55"/>
      <c r="K1859" s="55"/>
      <c r="L1859" s="55"/>
      <c r="M1859" s="55"/>
      <c r="N1859" s="55"/>
      <c r="O1859" s="55"/>
      <c r="P1859" s="56"/>
      <c r="AI1859" s="49"/>
      <c r="AJ1859" s="78"/>
      <c r="AK1859" s="78"/>
      <c r="AL1859" s="78"/>
      <c r="AM1859" s="78"/>
      <c r="AN1859" s="78"/>
      <c r="AO1859" s="78"/>
      <c r="AP1859" s="78"/>
      <c r="AQ1859" s="78"/>
      <c r="AR1859" s="78"/>
      <c r="AS1859" s="78"/>
      <c r="AT1859" s="78"/>
      <c r="AU1859" s="78"/>
      <c r="AV1859" s="78"/>
      <c r="AW1859" s="78"/>
      <c r="AX1859" s="78"/>
      <c r="AY1859" s="3"/>
      <c r="AZ1859" s="81"/>
      <c r="BB1859" s="5"/>
      <c r="BC1859" s="5"/>
    </row>
    <row r="1860" spans="1:55" x14ac:dyDescent="0.25">
      <c r="A1860" s="51">
        <v>43892</v>
      </c>
      <c r="B1860" s="54"/>
      <c r="C1860" s="55"/>
      <c r="D1860" s="55"/>
      <c r="E1860" s="55"/>
      <c r="F1860" s="55"/>
      <c r="G1860" s="55"/>
      <c r="H1860" s="55"/>
      <c r="I1860" s="55"/>
      <c r="J1860" s="55"/>
      <c r="K1860" s="55"/>
      <c r="L1860" s="55"/>
      <c r="M1860" s="55"/>
      <c r="N1860" s="55"/>
      <c r="O1860" s="55"/>
      <c r="P1860" s="56"/>
      <c r="AI1860" s="49"/>
      <c r="AJ1860" s="78"/>
      <c r="AK1860" s="78"/>
      <c r="AL1860" s="78"/>
      <c r="AM1860" s="78"/>
      <c r="AN1860" s="78"/>
      <c r="AO1860" s="78"/>
      <c r="AP1860" s="78"/>
      <c r="AQ1860" s="78"/>
      <c r="AR1860" s="78"/>
      <c r="AS1860" s="78"/>
      <c r="AT1860" s="78"/>
      <c r="AU1860" s="78"/>
      <c r="AV1860" s="78"/>
      <c r="AW1860" s="78"/>
      <c r="AX1860" s="78"/>
      <c r="AY1860" s="3"/>
      <c r="AZ1860" s="81"/>
      <c r="BB1860" s="5"/>
      <c r="BC1860" s="5"/>
    </row>
    <row r="1861" spans="1:55" x14ac:dyDescent="0.25">
      <c r="A1861" s="51">
        <v>43893</v>
      </c>
      <c r="B1861" s="54"/>
      <c r="C1861" s="55"/>
      <c r="D1861" s="55"/>
      <c r="E1861" s="55"/>
      <c r="F1861" s="55"/>
      <c r="G1861" s="55"/>
      <c r="H1861" s="55"/>
      <c r="I1861" s="55"/>
      <c r="J1861" s="55"/>
      <c r="K1861" s="55"/>
      <c r="L1861" s="55"/>
      <c r="M1861" s="55"/>
      <c r="N1861" s="55"/>
      <c r="O1861" s="55"/>
      <c r="P1861" s="56"/>
      <c r="AI1861" s="49"/>
      <c r="AJ1861" s="78"/>
      <c r="AK1861" s="78"/>
      <c r="AL1861" s="78"/>
      <c r="AM1861" s="78"/>
      <c r="AN1861" s="78"/>
      <c r="AO1861" s="78"/>
      <c r="AP1861" s="78"/>
      <c r="AQ1861" s="78"/>
      <c r="AR1861" s="78"/>
      <c r="AS1861" s="78"/>
      <c r="AT1861" s="78"/>
      <c r="AU1861" s="78"/>
      <c r="AV1861" s="78"/>
      <c r="AW1861" s="78"/>
      <c r="AX1861" s="78"/>
      <c r="AY1861" s="3"/>
      <c r="AZ1861" s="81"/>
      <c r="BB1861" s="5"/>
      <c r="BC1861" s="5"/>
    </row>
    <row r="1862" spans="1:55" x14ac:dyDescent="0.25">
      <c r="A1862" s="51">
        <v>43894</v>
      </c>
      <c r="B1862" s="54"/>
      <c r="C1862" s="55"/>
      <c r="D1862" s="55"/>
      <c r="E1862" s="55"/>
      <c r="F1862" s="55"/>
      <c r="G1862" s="55"/>
      <c r="H1862" s="55"/>
      <c r="I1862" s="55"/>
      <c r="J1862" s="55"/>
      <c r="K1862" s="55"/>
      <c r="L1862" s="55"/>
      <c r="M1862" s="55"/>
      <c r="N1862" s="55"/>
      <c r="O1862" s="55"/>
      <c r="P1862" s="56"/>
      <c r="AI1862" s="49"/>
      <c r="AJ1862" s="78"/>
      <c r="AK1862" s="78"/>
      <c r="AL1862" s="78"/>
      <c r="AM1862" s="78"/>
      <c r="AN1862" s="78"/>
      <c r="AO1862" s="78"/>
      <c r="AP1862" s="78"/>
      <c r="AQ1862" s="78"/>
      <c r="AR1862" s="78"/>
      <c r="AS1862" s="78"/>
      <c r="AT1862" s="78"/>
      <c r="AU1862" s="78"/>
      <c r="AV1862" s="78"/>
      <c r="AW1862" s="78"/>
      <c r="AX1862" s="78"/>
      <c r="AY1862" s="3"/>
      <c r="AZ1862" s="81"/>
      <c r="BB1862" s="5"/>
      <c r="BC1862" s="5"/>
    </row>
    <row r="1863" spans="1:55" x14ac:dyDescent="0.25">
      <c r="A1863" s="51">
        <v>43895</v>
      </c>
      <c r="B1863" s="54"/>
      <c r="C1863" s="55"/>
      <c r="D1863" s="55"/>
      <c r="E1863" s="55"/>
      <c r="F1863" s="55"/>
      <c r="G1863" s="55"/>
      <c r="H1863" s="55"/>
      <c r="I1863" s="55"/>
      <c r="J1863" s="55"/>
      <c r="K1863" s="55"/>
      <c r="L1863" s="55"/>
      <c r="M1863" s="55"/>
      <c r="N1863" s="55"/>
      <c r="O1863" s="55"/>
      <c r="P1863" s="56"/>
      <c r="AI1863" s="49"/>
      <c r="AJ1863" s="78"/>
      <c r="AK1863" s="78"/>
      <c r="AL1863" s="78"/>
      <c r="AM1863" s="78"/>
      <c r="AN1863" s="78"/>
      <c r="AO1863" s="78"/>
      <c r="AP1863" s="78"/>
      <c r="AQ1863" s="78"/>
      <c r="AR1863" s="78"/>
      <c r="AS1863" s="78"/>
      <c r="AT1863" s="78"/>
      <c r="AU1863" s="78"/>
      <c r="AV1863" s="78"/>
      <c r="AW1863" s="78"/>
      <c r="AX1863" s="78"/>
      <c r="AY1863" s="3"/>
      <c r="AZ1863" s="81"/>
      <c r="BB1863" s="5"/>
      <c r="BC1863" s="5"/>
    </row>
    <row r="1864" spans="1:55" x14ac:dyDescent="0.25">
      <c r="A1864" s="51">
        <v>43896</v>
      </c>
      <c r="B1864" s="54"/>
      <c r="C1864" s="55"/>
      <c r="D1864" s="55"/>
      <c r="E1864" s="55"/>
      <c r="F1864" s="55"/>
      <c r="G1864" s="55"/>
      <c r="H1864" s="55"/>
      <c r="I1864" s="55"/>
      <c r="J1864" s="55"/>
      <c r="K1864" s="55"/>
      <c r="L1864" s="55"/>
      <c r="M1864" s="55"/>
      <c r="N1864" s="55"/>
      <c r="O1864" s="55"/>
      <c r="P1864" s="56"/>
      <c r="AI1864" s="49"/>
      <c r="AJ1864" s="78"/>
      <c r="AK1864" s="78"/>
      <c r="AL1864" s="78"/>
      <c r="AM1864" s="78"/>
      <c r="AN1864" s="78"/>
      <c r="AO1864" s="78"/>
      <c r="AP1864" s="78"/>
      <c r="AQ1864" s="78"/>
      <c r="AR1864" s="78"/>
      <c r="AS1864" s="78"/>
      <c r="AT1864" s="78"/>
      <c r="AU1864" s="78"/>
      <c r="AV1864" s="78"/>
      <c r="AW1864" s="78"/>
      <c r="AX1864" s="78"/>
      <c r="AY1864" s="3"/>
      <c r="AZ1864" s="81"/>
      <c r="BB1864" s="5"/>
      <c r="BC1864" s="5"/>
    </row>
    <row r="1865" spans="1:55" x14ac:dyDescent="0.25">
      <c r="A1865" s="51">
        <v>43899</v>
      </c>
      <c r="B1865" s="54"/>
      <c r="C1865" s="55"/>
      <c r="D1865" s="55"/>
      <c r="E1865" s="55"/>
      <c r="F1865" s="55"/>
      <c r="G1865" s="55"/>
      <c r="H1865" s="55"/>
      <c r="I1865" s="55"/>
      <c r="J1865" s="55"/>
      <c r="K1865" s="55"/>
      <c r="L1865" s="55"/>
      <c r="M1865" s="55"/>
      <c r="N1865" s="55"/>
      <c r="O1865" s="55"/>
      <c r="P1865" s="56"/>
      <c r="AI1865" s="49"/>
      <c r="AJ1865" s="78"/>
      <c r="AK1865" s="78"/>
      <c r="AL1865" s="78"/>
      <c r="AM1865" s="78"/>
      <c r="AN1865" s="78"/>
      <c r="AO1865" s="78"/>
      <c r="AP1865" s="78"/>
      <c r="AQ1865" s="78"/>
      <c r="AR1865" s="78"/>
      <c r="AS1865" s="78"/>
      <c r="AT1865" s="78"/>
      <c r="AU1865" s="78"/>
      <c r="AV1865" s="78"/>
      <c r="AW1865" s="78"/>
      <c r="AX1865" s="78"/>
      <c r="AY1865" s="3"/>
      <c r="AZ1865" s="81"/>
      <c r="BB1865" s="5"/>
      <c r="BC1865" s="5"/>
    </row>
    <row r="1866" spans="1:55" x14ac:dyDescent="0.25">
      <c r="A1866" s="51">
        <v>43900</v>
      </c>
      <c r="B1866" s="54"/>
      <c r="C1866" s="55"/>
      <c r="D1866" s="55"/>
      <c r="E1866" s="55"/>
      <c r="F1866" s="55"/>
      <c r="G1866" s="55"/>
      <c r="H1866" s="55"/>
      <c r="I1866" s="55"/>
      <c r="J1866" s="55"/>
      <c r="K1866" s="55"/>
      <c r="L1866" s="55"/>
      <c r="M1866" s="55"/>
      <c r="N1866" s="55"/>
      <c r="O1866" s="55"/>
      <c r="P1866" s="56"/>
      <c r="AI1866" s="49"/>
      <c r="AJ1866" s="78"/>
      <c r="AK1866" s="78"/>
      <c r="AL1866" s="78"/>
      <c r="AM1866" s="78"/>
      <c r="AN1866" s="78"/>
      <c r="AO1866" s="78"/>
      <c r="AP1866" s="78"/>
      <c r="AQ1866" s="78"/>
      <c r="AR1866" s="78"/>
      <c r="AS1866" s="78"/>
      <c r="AT1866" s="78"/>
      <c r="AU1866" s="78"/>
      <c r="AV1866" s="78"/>
      <c r="AW1866" s="78"/>
      <c r="AX1866" s="78"/>
      <c r="AY1866" s="3"/>
      <c r="AZ1866" s="81"/>
      <c r="BB1866" s="5"/>
      <c r="BC1866" s="5"/>
    </row>
    <row r="1867" spans="1:55" x14ac:dyDescent="0.25">
      <c r="A1867" s="51">
        <v>43901</v>
      </c>
      <c r="B1867" s="54"/>
      <c r="C1867" s="55"/>
      <c r="D1867" s="55"/>
      <c r="E1867" s="55"/>
      <c r="F1867" s="55"/>
      <c r="G1867" s="55"/>
      <c r="H1867" s="55"/>
      <c r="I1867" s="55"/>
      <c r="J1867" s="55"/>
      <c r="K1867" s="55"/>
      <c r="L1867" s="55"/>
      <c r="M1867" s="55"/>
      <c r="N1867" s="55"/>
      <c r="O1867" s="55"/>
      <c r="P1867" s="56"/>
      <c r="AI1867" s="49"/>
      <c r="AJ1867" s="78"/>
      <c r="AK1867" s="78"/>
      <c r="AL1867" s="78"/>
      <c r="AM1867" s="78"/>
      <c r="AN1867" s="78"/>
      <c r="AO1867" s="78"/>
      <c r="AP1867" s="78"/>
      <c r="AQ1867" s="78"/>
      <c r="AR1867" s="78"/>
      <c r="AS1867" s="78"/>
      <c r="AT1867" s="78"/>
      <c r="AU1867" s="78"/>
      <c r="AV1867" s="78"/>
      <c r="AW1867" s="78"/>
      <c r="AX1867" s="78"/>
      <c r="AY1867" s="3"/>
      <c r="AZ1867" s="81"/>
      <c r="BB1867" s="5"/>
      <c r="BC1867" s="5"/>
    </row>
    <row r="1868" spans="1:55" x14ac:dyDescent="0.25">
      <c r="A1868" s="51">
        <v>43902</v>
      </c>
      <c r="B1868" s="54"/>
      <c r="C1868" s="55"/>
      <c r="D1868" s="55"/>
      <c r="E1868" s="55"/>
      <c r="F1868" s="55"/>
      <c r="G1868" s="55"/>
      <c r="H1868" s="55"/>
      <c r="I1868" s="55"/>
      <c r="J1868" s="55"/>
      <c r="K1868" s="55"/>
      <c r="L1868" s="55"/>
      <c r="M1868" s="55"/>
      <c r="N1868" s="55"/>
      <c r="O1868" s="55"/>
      <c r="P1868" s="56"/>
      <c r="AI1868" s="49"/>
      <c r="AJ1868" s="78"/>
      <c r="AK1868" s="78"/>
      <c r="AL1868" s="78"/>
      <c r="AM1868" s="78"/>
      <c r="AN1868" s="78"/>
      <c r="AO1868" s="78"/>
      <c r="AP1868" s="78"/>
      <c r="AQ1868" s="78"/>
      <c r="AR1868" s="78"/>
      <c r="AS1868" s="78"/>
      <c r="AT1868" s="78"/>
      <c r="AU1868" s="78"/>
      <c r="AV1868" s="78"/>
      <c r="AW1868" s="78"/>
      <c r="AX1868" s="78"/>
      <c r="AY1868" s="3"/>
      <c r="AZ1868" s="81"/>
      <c r="BB1868" s="5"/>
      <c r="BC1868" s="5"/>
    </row>
    <row r="1869" spans="1:55" x14ac:dyDescent="0.25">
      <c r="A1869" s="51">
        <v>43903</v>
      </c>
      <c r="B1869" s="54"/>
      <c r="C1869" s="55"/>
      <c r="D1869" s="55"/>
      <c r="E1869" s="55"/>
      <c r="F1869" s="55"/>
      <c r="G1869" s="55"/>
      <c r="H1869" s="55"/>
      <c r="I1869" s="55"/>
      <c r="J1869" s="55"/>
      <c r="K1869" s="55"/>
      <c r="L1869" s="55"/>
      <c r="M1869" s="55"/>
      <c r="N1869" s="55"/>
      <c r="O1869" s="55"/>
      <c r="P1869" s="56"/>
      <c r="AI1869" s="49"/>
      <c r="AJ1869" s="78"/>
      <c r="AK1869" s="78"/>
      <c r="AL1869" s="78"/>
      <c r="AM1869" s="78"/>
      <c r="AN1869" s="78"/>
      <c r="AO1869" s="78"/>
      <c r="AP1869" s="78"/>
      <c r="AQ1869" s="78"/>
      <c r="AR1869" s="78"/>
      <c r="AS1869" s="78"/>
      <c r="AT1869" s="78"/>
      <c r="AU1869" s="78"/>
      <c r="AV1869" s="78"/>
      <c r="AW1869" s="78"/>
      <c r="AX1869" s="78"/>
      <c r="AY1869" s="3"/>
      <c r="AZ1869" s="81"/>
      <c r="BB1869" s="5"/>
      <c r="BC1869" s="5"/>
    </row>
    <row r="1870" spans="1:55" x14ac:dyDescent="0.25">
      <c r="A1870" s="51">
        <v>43906</v>
      </c>
      <c r="B1870" s="54"/>
      <c r="C1870" s="55"/>
      <c r="D1870" s="55"/>
      <c r="E1870" s="55"/>
      <c r="F1870" s="55"/>
      <c r="G1870" s="55"/>
      <c r="H1870" s="55"/>
      <c r="I1870" s="55"/>
      <c r="J1870" s="55"/>
      <c r="K1870" s="55"/>
      <c r="L1870" s="55"/>
      <c r="M1870" s="55"/>
      <c r="N1870" s="55"/>
      <c r="O1870" s="55"/>
      <c r="P1870" s="56"/>
      <c r="AI1870" s="49"/>
      <c r="AJ1870" s="78"/>
      <c r="AK1870" s="78"/>
      <c r="AL1870" s="78"/>
      <c r="AM1870" s="78"/>
      <c r="AN1870" s="78"/>
      <c r="AO1870" s="78"/>
      <c r="AP1870" s="78"/>
      <c r="AQ1870" s="78"/>
      <c r="AR1870" s="78"/>
      <c r="AS1870" s="78"/>
      <c r="AT1870" s="78"/>
      <c r="AU1870" s="78"/>
      <c r="AV1870" s="78"/>
      <c r="AW1870" s="78"/>
      <c r="AX1870" s="78"/>
      <c r="AY1870" s="3"/>
      <c r="AZ1870" s="81"/>
      <c r="BB1870" s="5"/>
      <c r="BC1870" s="5"/>
    </row>
    <row r="1871" spans="1:55" x14ac:dyDescent="0.25">
      <c r="A1871" s="51">
        <v>43907</v>
      </c>
      <c r="B1871" s="54"/>
      <c r="C1871" s="55"/>
      <c r="D1871" s="55"/>
      <c r="E1871" s="55"/>
      <c r="F1871" s="55"/>
      <c r="G1871" s="55"/>
      <c r="H1871" s="55"/>
      <c r="I1871" s="55"/>
      <c r="J1871" s="55"/>
      <c r="K1871" s="55"/>
      <c r="L1871" s="55"/>
      <c r="M1871" s="55"/>
      <c r="N1871" s="55"/>
      <c r="O1871" s="55"/>
      <c r="P1871" s="56"/>
      <c r="AI1871" s="49"/>
      <c r="AJ1871" s="78"/>
      <c r="AK1871" s="78"/>
      <c r="AL1871" s="78"/>
      <c r="AM1871" s="78"/>
      <c r="AN1871" s="78"/>
      <c r="AO1871" s="78"/>
      <c r="AP1871" s="78"/>
      <c r="AQ1871" s="78"/>
      <c r="AR1871" s="78"/>
      <c r="AS1871" s="78"/>
      <c r="AT1871" s="78"/>
      <c r="AU1871" s="78"/>
      <c r="AV1871" s="78"/>
      <c r="AW1871" s="78"/>
      <c r="AX1871" s="78"/>
      <c r="AY1871" s="3"/>
      <c r="AZ1871" s="81"/>
      <c r="BB1871" s="5"/>
      <c r="BC1871" s="5"/>
    </row>
    <row r="1872" spans="1:55" x14ac:dyDescent="0.25">
      <c r="A1872" s="51">
        <v>43908</v>
      </c>
      <c r="B1872" s="54"/>
      <c r="C1872" s="55"/>
      <c r="D1872" s="55"/>
      <c r="E1872" s="55"/>
      <c r="F1872" s="55"/>
      <c r="G1872" s="55"/>
      <c r="H1872" s="55"/>
      <c r="I1872" s="55"/>
      <c r="J1872" s="55"/>
      <c r="K1872" s="55"/>
      <c r="L1872" s="55"/>
      <c r="M1872" s="55"/>
      <c r="N1872" s="55"/>
      <c r="O1872" s="55"/>
      <c r="P1872" s="56"/>
      <c r="AI1872" s="49"/>
      <c r="AJ1872" s="78"/>
      <c r="AK1872" s="78"/>
      <c r="AL1872" s="78"/>
      <c r="AM1872" s="78"/>
      <c r="AN1872" s="78"/>
      <c r="AO1872" s="78"/>
      <c r="AP1872" s="78"/>
      <c r="AQ1872" s="78"/>
      <c r="AR1872" s="78"/>
      <c r="AS1872" s="78"/>
      <c r="AT1872" s="78"/>
      <c r="AU1872" s="78"/>
      <c r="AV1872" s="78"/>
      <c r="AW1872" s="78"/>
      <c r="AX1872" s="78"/>
      <c r="AY1872" s="3"/>
      <c r="AZ1872" s="81"/>
      <c r="BB1872" s="5"/>
      <c r="BC1872" s="5"/>
    </row>
    <row r="1873" spans="1:55" x14ac:dyDescent="0.25">
      <c r="A1873" s="51">
        <v>43909</v>
      </c>
      <c r="B1873" s="54"/>
      <c r="C1873" s="55"/>
      <c r="D1873" s="55"/>
      <c r="E1873" s="55"/>
      <c r="F1873" s="55"/>
      <c r="G1873" s="55"/>
      <c r="H1873" s="55"/>
      <c r="I1873" s="55"/>
      <c r="J1873" s="55"/>
      <c r="K1873" s="55"/>
      <c r="L1873" s="55"/>
      <c r="M1873" s="55"/>
      <c r="N1873" s="55"/>
      <c r="O1873" s="55"/>
      <c r="P1873" s="56"/>
      <c r="AI1873" s="49"/>
      <c r="AJ1873" s="78"/>
      <c r="AK1873" s="78"/>
      <c r="AL1873" s="78"/>
      <c r="AM1873" s="78"/>
      <c r="AN1873" s="78"/>
      <c r="AO1873" s="78"/>
      <c r="AP1873" s="78"/>
      <c r="AQ1873" s="78"/>
      <c r="AR1873" s="78"/>
      <c r="AS1873" s="78"/>
      <c r="AT1873" s="78"/>
      <c r="AU1873" s="78"/>
      <c r="AV1873" s="78"/>
      <c r="AW1873" s="78"/>
      <c r="AX1873" s="78"/>
      <c r="AY1873" s="3"/>
      <c r="AZ1873" s="81"/>
      <c r="BB1873" s="5"/>
      <c r="BC1873" s="5"/>
    </row>
    <row r="1874" spans="1:55" x14ac:dyDescent="0.25">
      <c r="A1874" s="51">
        <v>43910</v>
      </c>
      <c r="B1874" s="54"/>
      <c r="C1874" s="55"/>
      <c r="D1874" s="55"/>
      <c r="E1874" s="55"/>
      <c r="F1874" s="55"/>
      <c r="G1874" s="55"/>
      <c r="H1874" s="55"/>
      <c r="I1874" s="55"/>
      <c r="J1874" s="55"/>
      <c r="K1874" s="55"/>
      <c r="L1874" s="55"/>
      <c r="M1874" s="55"/>
      <c r="N1874" s="55"/>
      <c r="O1874" s="55"/>
      <c r="P1874" s="56"/>
      <c r="AI1874" s="49"/>
      <c r="AJ1874" s="78"/>
      <c r="AK1874" s="78"/>
      <c r="AL1874" s="78"/>
      <c r="AM1874" s="78"/>
      <c r="AN1874" s="78"/>
      <c r="AO1874" s="78"/>
      <c r="AP1874" s="78"/>
      <c r="AQ1874" s="78"/>
      <c r="AR1874" s="78"/>
      <c r="AS1874" s="78"/>
      <c r="AT1874" s="78"/>
      <c r="AU1874" s="78"/>
      <c r="AV1874" s="78"/>
      <c r="AW1874" s="78"/>
      <c r="AX1874" s="78"/>
      <c r="AY1874" s="3"/>
      <c r="AZ1874" s="81"/>
      <c r="BB1874" s="5"/>
      <c r="BC1874" s="5"/>
    </row>
    <row r="1875" spans="1:55" x14ac:dyDescent="0.25">
      <c r="A1875" s="51">
        <v>43913</v>
      </c>
      <c r="B1875" s="54"/>
      <c r="C1875" s="55"/>
      <c r="D1875" s="55"/>
      <c r="E1875" s="55"/>
      <c r="F1875" s="55"/>
      <c r="G1875" s="55"/>
      <c r="H1875" s="55"/>
      <c r="I1875" s="55"/>
      <c r="J1875" s="55"/>
      <c r="K1875" s="55"/>
      <c r="L1875" s="55"/>
      <c r="M1875" s="55"/>
      <c r="N1875" s="55"/>
      <c r="O1875" s="55"/>
      <c r="P1875" s="56"/>
      <c r="AI1875" s="49"/>
      <c r="AJ1875" s="78"/>
      <c r="AK1875" s="78"/>
      <c r="AL1875" s="78"/>
      <c r="AM1875" s="78"/>
      <c r="AN1875" s="78"/>
      <c r="AO1875" s="78"/>
      <c r="AP1875" s="78"/>
      <c r="AQ1875" s="78"/>
      <c r="AR1875" s="78"/>
      <c r="AS1875" s="78"/>
      <c r="AT1875" s="78"/>
      <c r="AU1875" s="78"/>
      <c r="AV1875" s="78"/>
      <c r="AW1875" s="78"/>
      <c r="AX1875" s="78"/>
      <c r="AY1875" s="3"/>
      <c r="AZ1875" s="81"/>
      <c r="BB1875" s="5"/>
      <c r="BC1875" s="5"/>
    </row>
    <row r="1876" spans="1:55" x14ac:dyDescent="0.25">
      <c r="A1876" s="51">
        <v>43914</v>
      </c>
      <c r="B1876" s="54"/>
      <c r="C1876" s="55"/>
      <c r="D1876" s="55"/>
      <c r="E1876" s="55"/>
      <c r="F1876" s="55"/>
      <c r="G1876" s="55"/>
      <c r="H1876" s="55"/>
      <c r="I1876" s="55"/>
      <c r="J1876" s="55"/>
      <c r="K1876" s="55"/>
      <c r="L1876" s="55"/>
      <c r="M1876" s="55"/>
      <c r="N1876" s="55"/>
      <c r="O1876" s="55"/>
      <c r="P1876" s="56"/>
      <c r="AI1876" s="49"/>
      <c r="AJ1876" s="78"/>
      <c r="AK1876" s="78"/>
      <c r="AL1876" s="78"/>
      <c r="AM1876" s="78"/>
      <c r="AN1876" s="78"/>
      <c r="AO1876" s="78"/>
      <c r="AP1876" s="78"/>
      <c r="AQ1876" s="78"/>
      <c r="AR1876" s="78"/>
      <c r="AS1876" s="78"/>
      <c r="AT1876" s="78"/>
      <c r="AU1876" s="78"/>
      <c r="AV1876" s="78"/>
      <c r="AW1876" s="78"/>
      <c r="AX1876" s="78"/>
      <c r="AY1876" s="3"/>
      <c r="AZ1876" s="81"/>
      <c r="BB1876" s="5"/>
      <c r="BC1876" s="5"/>
    </row>
    <row r="1877" spans="1:55" x14ac:dyDescent="0.25">
      <c r="A1877" s="51">
        <v>43915</v>
      </c>
      <c r="B1877" s="54"/>
      <c r="C1877" s="55"/>
      <c r="D1877" s="55"/>
      <c r="E1877" s="55"/>
      <c r="F1877" s="55"/>
      <c r="G1877" s="55"/>
      <c r="H1877" s="55"/>
      <c r="I1877" s="55"/>
      <c r="J1877" s="55"/>
      <c r="K1877" s="55"/>
      <c r="L1877" s="55"/>
      <c r="M1877" s="55"/>
      <c r="N1877" s="55"/>
      <c r="O1877" s="55"/>
      <c r="P1877" s="56"/>
      <c r="AI1877" s="49"/>
      <c r="AJ1877" s="78"/>
      <c r="AK1877" s="78"/>
      <c r="AL1877" s="78"/>
      <c r="AM1877" s="78"/>
      <c r="AN1877" s="78"/>
      <c r="AO1877" s="78"/>
      <c r="AP1877" s="78"/>
      <c r="AQ1877" s="78"/>
      <c r="AR1877" s="78"/>
      <c r="AS1877" s="78"/>
      <c r="AT1877" s="78"/>
      <c r="AU1877" s="78"/>
      <c r="AV1877" s="78"/>
      <c r="AW1877" s="78"/>
      <c r="AX1877" s="78"/>
      <c r="AY1877" s="3"/>
      <c r="AZ1877" s="81"/>
      <c r="BB1877" s="5"/>
      <c r="BC1877" s="5"/>
    </row>
    <row r="1878" spans="1:55" x14ac:dyDescent="0.25">
      <c r="A1878" s="51">
        <v>43916</v>
      </c>
      <c r="B1878" s="54"/>
      <c r="C1878" s="55"/>
      <c r="D1878" s="55"/>
      <c r="E1878" s="55"/>
      <c r="F1878" s="55"/>
      <c r="G1878" s="55"/>
      <c r="H1878" s="55"/>
      <c r="I1878" s="55"/>
      <c r="J1878" s="55"/>
      <c r="K1878" s="55"/>
      <c r="L1878" s="55"/>
      <c r="M1878" s="55"/>
      <c r="N1878" s="55"/>
      <c r="O1878" s="55"/>
      <c r="P1878" s="56"/>
      <c r="AI1878" s="49"/>
      <c r="AJ1878" s="78"/>
      <c r="AK1878" s="78"/>
      <c r="AL1878" s="78"/>
      <c r="AM1878" s="78"/>
      <c r="AN1878" s="78"/>
      <c r="AO1878" s="78"/>
      <c r="AP1878" s="78"/>
      <c r="AQ1878" s="78"/>
      <c r="AR1878" s="78"/>
      <c r="AS1878" s="78"/>
      <c r="AT1878" s="78"/>
      <c r="AU1878" s="78"/>
      <c r="AV1878" s="78"/>
      <c r="AW1878" s="78"/>
      <c r="AX1878" s="78"/>
      <c r="AY1878" s="3"/>
      <c r="AZ1878" s="81"/>
      <c r="BB1878" s="5"/>
      <c r="BC1878" s="5"/>
    </row>
    <row r="1879" spans="1:55" x14ac:dyDescent="0.25">
      <c r="A1879" s="51">
        <v>43917</v>
      </c>
      <c r="B1879" s="54"/>
      <c r="C1879" s="55"/>
      <c r="D1879" s="55"/>
      <c r="E1879" s="55"/>
      <c r="F1879" s="55"/>
      <c r="G1879" s="55"/>
      <c r="H1879" s="55"/>
      <c r="I1879" s="55"/>
      <c r="J1879" s="55"/>
      <c r="K1879" s="55"/>
      <c r="L1879" s="55"/>
      <c r="M1879" s="55"/>
      <c r="N1879" s="55"/>
      <c r="O1879" s="55"/>
      <c r="P1879" s="55"/>
      <c r="AI1879" s="49"/>
      <c r="AJ1879" s="78"/>
      <c r="AK1879" s="78"/>
      <c r="AL1879" s="78"/>
      <c r="AM1879" s="78"/>
      <c r="AN1879" s="78"/>
      <c r="AO1879" s="78"/>
      <c r="AP1879" s="78"/>
      <c r="AQ1879" s="78"/>
      <c r="AR1879" s="78"/>
      <c r="AS1879" s="78"/>
      <c r="AT1879" s="78"/>
      <c r="AU1879" s="78"/>
      <c r="AV1879" s="78"/>
      <c r="AW1879" s="78"/>
      <c r="AX1879" s="78"/>
      <c r="AY1879" s="3"/>
      <c r="AZ1879" s="81"/>
      <c r="BB1879" s="5"/>
      <c r="BC1879" s="5"/>
    </row>
    <row r="1880" spans="1:55" x14ac:dyDescent="0.25">
      <c r="A1880" s="51">
        <v>43920</v>
      </c>
      <c r="B1880" s="54"/>
      <c r="C1880" s="55"/>
      <c r="D1880" s="55"/>
      <c r="E1880" s="55"/>
      <c r="F1880" s="55"/>
      <c r="G1880" s="55"/>
      <c r="H1880" s="55"/>
      <c r="I1880" s="55"/>
      <c r="J1880" s="55"/>
      <c r="K1880" s="55"/>
      <c r="L1880" s="55"/>
      <c r="M1880" s="55"/>
      <c r="N1880" s="55"/>
      <c r="O1880" s="55"/>
      <c r="P1880" s="55"/>
      <c r="AI1880" s="49"/>
      <c r="AJ1880" s="78"/>
      <c r="AK1880" s="78"/>
      <c r="AL1880" s="78"/>
      <c r="AM1880" s="78"/>
      <c r="AN1880" s="78"/>
      <c r="AO1880" s="78"/>
      <c r="AP1880" s="78"/>
      <c r="AQ1880" s="78"/>
      <c r="AR1880" s="78"/>
      <c r="AS1880" s="78"/>
      <c r="AT1880" s="78"/>
      <c r="AU1880" s="78"/>
      <c r="AV1880" s="78"/>
      <c r="AW1880" s="78"/>
      <c r="AX1880" s="78"/>
      <c r="AY1880" s="3"/>
      <c r="AZ1880" s="81"/>
      <c r="BB1880" s="5"/>
      <c r="BC1880" s="5"/>
    </row>
    <row r="1881" spans="1:55" x14ac:dyDescent="0.25">
      <c r="A1881" s="51">
        <v>43921</v>
      </c>
      <c r="B1881" s="54"/>
      <c r="C1881" s="55"/>
      <c r="D1881" s="55"/>
      <c r="E1881" s="55"/>
      <c r="F1881" s="55"/>
      <c r="G1881" s="55"/>
      <c r="H1881" s="55"/>
      <c r="I1881" s="55"/>
      <c r="J1881" s="55"/>
      <c r="K1881" s="55"/>
      <c r="L1881" s="55"/>
      <c r="M1881" s="55"/>
      <c r="N1881" s="55"/>
      <c r="O1881" s="55"/>
      <c r="P1881" s="55"/>
      <c r="AI1881" s="49"/>
      <c r="AJ1881" s="78"/>
      <c r="AK1881" s="78"/>
      <c r="AL1881" s="78"/>
      <c r="AM1881" s="78"/>
      <c r="AN1881" s="78"/>
      <c r="AO1881" s="78"/>
      <c r="AP1881" s="78"/>
      <c r="AQ1881" s="78"/>
      <c r="AR1881" s="78"/>
      <c r="AS1881" s="78"/>
      <c r="AT1881" s="78"/>
      <c r="AU1881" s="78"/>
      <c r="AV1881" s="78"/>
      <c r="AW1881" s="78"/>
      <c r="AX1881" s="78"/>
      <c r="AY1881" s="3"/>
      <c r="AZ1881" s="81"/>
      <c r="BB1881" s="5"/>
      <c r="BC1881" s="5"/>
    </row>
    <row r="1882" spans="1:55" x14ac:dyDescent="0.25">
      <c r="A1882" s="51">
        <v>43922</v>
      </c>
      <c r="B1882" s="54"/>
      <c r="C1882" s="55"/>
      <c r="D1882" s="55"/>
      <c r="E1882" s="55"/>
      <c r="F1882" s="55"/>
      <c r="G1882" s="55"/>
      <c r="H1882" s="55"/>
      <c r="I1882" s="55"/>
      <c r="J1882" s="55"/>
      <c r="K1882" s="55"/>
      <c r="L1882" s="55"/>
      <c r="M1882" s="55"/>
      <c r="N1882" s="55"/>
      <c r="O1882" s="55"/>
      <c r="P1882" s="55"/>
      <c r="AI1882" s="49"/>
      <c r="AJ1882" s="78"/>
      <c r="AK1882" s="78"/>
      <c r="AL1882" s="78"/>
      <c r="AM1882" s="78"/>
      <c r="AN1882" s="78"/>
      <c r="AO1882" s="78"/>
      <c r="AP1882" s="78"/>
      <c r="AQ1882" s="78"/>
      <c r="AR1882" s="78"/>
      <c r="AS1882" s="78"/>
      <c r="AT1882" s="78"/>
      <c r="AU1882" s="78"/>
      <c r="AV1882" s="78"/>
      <c r="AW1882" s="78"/>
      <c r="AX1882" s="78"/>
      <c r="AY1882" s="3"/>
      <c r="AZ1882" s="81"/>
      <c r="BB1882" s="5"/>
      <c r="BC1882" s="5"/>
    </row>
    <row r="1883" spans="1:55" x14ac:dyDescent="0.25">
      <c r="A1883" s="51">
        <v>43923</v>
      </c>
      <c r="B1883" s="54"/>
      <c r="C1883" s="55"/>
      <c r="D1883" s="55"/>
      <c r="E1883" s="55"/>
      <c r="F1883" s="55"/>
      <c r="G1883" s="55"/>
      <c r="H1883" s="55"/>
      <c r="I1883" s="55"/>
      <c r="J1883" s="55"/>
      <c r="K1883" s="55"/>
      <c r="L1883" s="55"/>
      <c r="M1883" s="55"/>
      <c r="N1883" s="55"/>
      <c r="O1883" s="55"/>
      <c r="P1883" s="55"/>
      <c r="AI1883" s="49"/>
      <c r="AJ1883" s="78"/>
      <c r="AK1883" s="78"/>
      <c r="AL1883" s="78"/>
      <c r="AM1883" s="78"/>
      <c r="AN1883" s="78"/>
      <c r="AO1883" s="78"/>
      <c r="AP1883" s="78"/>
      <c r="AQ1883" s="78"/>
      <c r="AR1883" s="78"/>
      <c r="AS1883" s="78"/>
      <c r="AT1883" s="78"/>
      <c r="AU1883" s="78"/>
      <c r="AV1883" s="78"/>
      <c r="AW1883" s="78"/>
      <c r="AX1883" s="78"/>
      <c r="AY1883" s="3"/>
      <c r="AZ1883" s="81"/>
      <c r="BB1883" s="5"/>
      <c r="BC1883" s="5"/>
    </row>
    <row r="1884" spans="1:55" x14ac:dyDescent="0.25">
      <c r="A1884" s="51">
        <v>43924</v>
      </c>
      <c r="B1884" s="54"/>
      <c r="C1884" s="55"/>
      <c r="D1884" s="55"/>
      <c r="E1884" s="55"/>
      <c r="F1884" s="55"/>
      <c r="G1884" s="55"/>
      <c r="H1884" s="55"/>
      <c r="I1884" s="55"/>
      <c r="J1884" s="55"/>
      <c r="K1884" s="55"/>
      <c r="L1884" s="55"/>
      <c r="M1884" s="55"/>
      <c r="N1884" s="55"/>
      <c r="O1884" s="55"/>
      <c r="P1884" s="55"/>
      <c r="AI1884" s="49"/>
      <c r="AJ1884" s="78"/>
      <c r="AK1884" s="78"/>
      <c r="AL1884" s="78"/>
      <c r="AM1884" s="78"/>
      <c r="AN1884" s="78"/>
      <c r="AO1884" s="78"/>
      <c r="AP1884" s="78"/>
      <c r="AQ1884" s="78"/>
      <c r="AR1884" s="78"/>
      <c r="AS1884" s="78"/>
      <c r="AT1884" s="78"/>
      <c r="AU1884" s="78"/>
      <c r="AV1884" s="78"/>
      <c r="AW1884" s="78"/>
      <c r="AX1884" s="78"/>
      <c r="AY1884" s="3"/>
      <c r="AZ1884" s="81"/>
      <c r="BB1884" s="5"/>
      <c r="BC1884" s="5"/>
    </row>
    <row r="1885" spans="1:55" x14ac:dyDescent="0.25">
      <c r="A1885" s="51">
        <v>43927</v>
      </c>
      <c r="B1885" s="54"/>
      <c r="C1885" s="55"/>
      <c r="D1885" s="55"/>
      <c r="E1885" s="55"/>
      <c r="F1885" s="55"/>
      <c r="G1885" s="55"/>
      <c r="H1885" s="55"/>
      <c r="I1885" s="55"/>
      <c r="J1885" s="55"/>
      <c r="K1885" s="55"/>
      <c r="L1885" s="55"/>
      <c r="M1885" s="55"/>
      <c r="N1885" s="55"/>
      <c r="O1885" s="55"/>
      <c r="P1885" s="55"/>
      <c r="AI1885" s="49"/>
      <c r="AJ1885" s="78"/>
      <c r="AK1885" s="78"/>
      <c r="AL1885" s="78"/>
      <c r="AM1885" s="78"/>
      <c r="AN1885" s="78"/>
      <c r="AO1885" s="78"/>
      <c r="AP1885" s="78"/>
      <c r="AQ1885" s="78"/>
      <c r="AR1885" s="78"/>
      <c r="AS1885" s="78"/>
      <c r="AT1885" s="78"/>
      <c r="AU1885" s="78"/>
      <c r="AV1885" s="78"/>
      <c r="AW1885" s="78"/>
      <c r="AX1885" s="78"/>
      <c r="AY1885" s="3"/>
      <c r="AZ1885" s="81"/>
      <c r="BB1885" s="5"/>
      <c r="BC1885" s="5"/>
    </row>
    <row r="1886" spans="1:55" x14ac:dyDescent="0.25">
      <c r="A1886" s="51">
        <v>43928</v>
      </c>
      <c r="B1886" s="54"/>
      <c r="C1886" s="55"/>
      <c r="D1886" s="55"/>
      <c r="E1886" s="55"/>
      <c r="F1886" s="55"/>
      <c r="G1886" s="55"/>
      <c r="H1886" s="55"/>
      <c r="I1886" s="55"/>
      <c r="J1886" s="55"/>
      <c r="K1886" s="55"/>
      <c r="L1886" s="55"/>
      <c r="M1886" s="55"/>
      <c r="N1886" s="55"/>
      <c r="O1886" s="55"/>
      <c r="P1886" s="55"/>
      <c r="AI1886" s="49"/>
      <c r="AJ1886" s="78"/>
      <c r="AK1886" s="78"/>
      <c r="AL1886" s="78"/>
      <c r="AM1886" s="78"/>
      <c r="AN1886" s="78"/>
      <c r="AO1886" s="78"/>
      <c r="AP1886" s="78"/>
      <c r="AQ1886" s="78"/>
      <c r="AR1886" s="78"/>
      <c r="AS1886" s="78"/>
      <c r="AT1886" s="78"/>
      <c r="AU1886" s="78"/>
      <c r="AV1886" s="78"/>
      <c r="AW1886" s="78"/>
      <c r="AX1886" s="78"/>
      <c r="AY1886" s="3"/>
      <c r="AZ1886" s="81"/>
      <c r="BB1886" s="5"/>
      <c r="BC1886" s="5"/>
    </row>
    <row r="1887" spans="1:55" x14ac:dyDescent="0.25">
      <c r="A1887" s="51">
        <v>43929</v>
      </c>
      <c r="B1887" s="54"/>
      <c r="C1887" s="55"/>
      <c r="D1887" s="55"/>
      <c r="E1887" s="55"/>
      <c r="F1887" s="55"/>
      <c r="G1887" s="55"/>
      <c r="H1887" s="55"/>
      <c r="I1887" s="55"/>
      <c r="J1887" s="55"/>
      <c r="K1887" s="55"/>
      <c r="L1887" s="55"/>
      <c r="M1887" s="55"/>
      <c r="N1887" s="55"/>
      <c r="O1887" s="55"/>
      <c r="P1887" s="55"/>
      <c r="AI1887" s="49"/>
      <c r="AJ1887" s="78"/>
      <c r="AK1887" s="78"/>
      <c r="AL1887" s="78"/>
      <c r="AM1887" s="78"/>
      <c r="AN1887" s="78"/>
      <c r="AO1887" s="78"/>
      <c r="AP1887" s="78"/>
      <c r="AQ1887" s="78"/>
      <c r="AR1887" s="78"/>
      <c r="AS1887" s="78"/>
      <c r="AT1887" s="78"/>
      <c r="AU1887" s="78"/>
      <c r="AV1887" s="78"/>
      <c r="AW1887" s="78"/>
      <c r="AX1887" s="78"/>
      <c r="AY1887" s="3"/>
      <c r="AZ1887" s="81"/>
      <c r="BB1887" s="5"/>
      <c r="BC1887" s="5"/>
    </row>
    <row r="1888" spans="1:55" x14ac:dyDescent="0.25">
      <c r="A1888" s="51">
        <v>43934</v>
      </c>
      <c r="B1888" s="54"/>
      <c r="C1888" s="55"/>
      <c r="D1888" s="55"/>
      <c r="E1888" s="55"/>
      <c r="F1888" s="55"/>
      <c r="G1888" s="55"/>
      <c r="H1888" s="55"/>
      <c r="I1888" s="55"/>
      <c r="J1888" s="55"/>
      <c r="K1888" s="55"/>
      <c r="L1888" s="55"/>
      <c r="M1888" s="55"/>
      <c r="N1888" s="55"/>
      <c r="O1888" s="55"/>
      <c r="P1888" s="55"/>
      <c r="AI1888" s="49"/>
      <c r="AJ1888" s="78"/>
      <c r="AK1888" s="78"/>
      <c r="AL1888" s="78"/>
      <c r="AM1888" s="78"/>
      <c r="AN1888" s="78"/>
      <c r="AO1888" s="78"/>
      <c r="AP1888" s="78"/>
      <c r="AQ1888" s="78"/>
      <c r="AR1888" s="78"/>
      <c r="AS1888" s="78"/>
      <c r="AT1888" s="78"/>
      <c r="AU1888" s="78"/>
      <c r="AV1888" s="78"/>
      <c r="AW1888" s="78"/>
      <c r="AX1888" s="78"/>
      <c r="AY1888" s="3"/>
      <c r="AZ1888" s="81"/>
      <c r="BB1888" s="5"/>
      <c r="BC1888" s="5"/>
    </row>
    <row r="1889" spans="1:55" x14ac:dyDescent="0.25">
      <c r="A1889" s="51">
        <v>43935</v>
      </c>
      <c r="B1889" s="54"/>
      <c r="C1889" s="55"/>
      <c r="D1889" s="55"/>
      <c r="E1889" s="55"/>
      <c r="F1889" s="55"/>
      <c r="G1889" s="55"/>
      <c r="H1889" s="55"/>
      <c r="I1889" s="55"/>
      <c r="J1889" s="55"/>
      <c r="K1889" s="55"/>
      <c r="L1889" s="55"/>
      <c r="M1889" s="55"/>
      <c r="N1889" s="55"/>
      <c r="O1889" s="55"/>
      <c r="P1889" s="55"/>
      <c r="AI1889" s="49"/>
      <c r="AJ1889" s="78"/>
      <c r="AK1889" s="78"/>
      <c r="AL1889" s="78"/>
      <c r="AM1889" s="78"/>
      <c r="AN1889" s="78"/>
      <c r="AO1889" s="78"/>
      <c r="AP1889" s="78"/>
      <c r="AQ1889" s="78"/>
      <c r="AR1889" s="78"/>
      <c r="AS1889" s="78"/>
      <c r="AT1889" s="78"/>
      <c r="AU1889" s="78"/>
      <c r="AV1889" s="78"/>
      <c r="AW1889" s="78"/>
      <c r="AX1889" s="78"/>
      <c r="AY1889" s="3"/>
      <c r="AZ1889" s="81"/>
      <c r="BB1889" s="5"/>
      <c r="BC1889" s="5"/>
    </row>
    <row r="1890" spans="1:55" x14ac:dyDescent="0.25">
      <c r="A1890" s="51">
        <v>43936</v>
      </c>
      <c r="B1890" s="54"/>
      <c r="C1890" s="55"/>
      <c r="D1890" s="55"/>
      <c r="E1890" s="55"/>
      <c r="F1890" s="55"/>
      <c r="G1890" s="55"/>
      <c r="H1890" s="55"/>
      <c r="I1890" s="55"/>
      <c r="J1890" s="55"/>
      <c r="K1890" s="55"/>
      <c r="L1890" s="55"/>
      <c r="M1890" s="55"/>
      <c r="N1890" s="55"/>
      <c r="O1890" s="55"/>
      <c r="P1890" s="55"/>
      <c r="AI1890" s="49"/>
      <c r="AJ1890" s="78"/>
      <c r="AK1890" s="78"/>
      <c r="AL1890" s="78"/>
      <c r="AM1890" s="78"/>
      <c r="AN1890" s="78"/>
      <c r="AO1890" s="78"/>
      <c r="AP1890" s="78"/>
      <c r="AQ1890" s="78"/>
      <c r="AR1890" s="78"/>
      <c r="AS1890" s="78"/>
      <c r="AT1890" s="78"/>
      <c r="AU1890" s="78"/>
      <c r="AV1890" s="78"/>
      <c r="AW1890" s="78"/>
      <c r="AX1890" s="78"/>
      <c r="AY1890" s="3"/>
      <c r="AZ1890" s="81"/>
      <c r="BB1890" s="5"/>
      <c r="BC1890" s="5"/>
    </row>
    <row r="1891" spans="1:55" x14ac:dyDescent="0.25">
      <c r="A1891" s="51">
        <v>43937</v>
      </c>
      <c r="B1891" s="54"/>
      <c r="C1891" s="55"/>
      <c r="D1891" s="55"/>
      <c r="E1891" s="55"/>
      <c r="F1891" s="55"/>
      <c r="G1891" s="55"/>
      <c r="H1891" s="55"/>
      <c r="I1891" s="55"/>
      <c r="J1891" s="55"/>
      <c r="K1891" s="55"/>
      <c r="L1891" s="55"/>
      <c r="M1891" s="55"/>
      <c r="N1891" s="55"/>
      <c r="O1891" s="55"/>
      <c r="P1891" s="55"/>
      <c r="AI1891" s="49"/>
      <c r="AJ1891" s="78"/>
      <c r="AK1891" s="78"/>
      <c r="AL1891" s="78"/>
      <c r="AM1891" s="78"/>
      <c r="AN1891" s="78"/>
      <c r="AO1891" s="78"/>
      <c r="AP1891" s="78"/>
      <c r="AQ1891" s="78"/>
      <c r="AR1891" s="78"/>
      <c r="AS1891" s="78"/>
      <c r="AT1891" s="78"/>
      <c r="AU1891" s="78"/>
      <c r="AV1891" s="78"/>
      <c r="AW1891" s="78"/>
      <c r="AX1891" s="78"/>
      <c r="AY1891" s="3"/>
      <c r="AZ1891" s="81"/>
      <c r="BB1891" s="5"/>
      <c r="BC1891" s="5"/>
    </row>
    <row r="1892" spans="1:55" x14ac:dyDescent="0.25">
      <c r="A1892" s="51">
        <v>43938</v>
      </c>
      <c r="B1892" s="54"/>
      <c r="C1892" s="55"/>
      <c r="D1892" s="55"/>
      <c r="E1892" s="55"/>
      <c r="F1892" s="55"/>
      <c r="G1892" s="55"/>
      <c r="H1892" s="55"/>
      <c r="I1892" s="55"/>
      <c r="J1892" s="55"/>
      <c r="K1892" s="55"/>
      <c r="L1892" s="55"/>
      <c r="M1892" s="55"/>
      <c r="N1892" s="55"/>
      <c r="O1892" s="55"/>
      <c r="P1892" s="55"/>
      <c r="AI1892" s="49"/>
      <c r="AJ1892" s="78"/>
      <c r="AK1892" s="78"/>
      <c r="AL1892" s="78"/>
      <c r="AM1892" s="78"/>
      <c r="AN1892" s="78"/>
      <c r="AO1892" s="78"/>
      <c r="AP1892" s="78"/>
      <c r="AQ1892" s="78"/>
      <c r="AR1892" s="78"/>
      <c r="AS1892" s="78"/>
      <c r="AT1892" s="78"/>
      <c r="AU1892" s="78"/>
      <c r="AV1892" s="78"/>
      <c r="AW1892" s="78"/>
      <c r="AX1892" s="78"/>
      <c r="AY1892" s="3"/>
      <c r="AZ1892" s="81"/>
      <c r="BB1892" s="5"/>
      <c r="BC1892" s="5"/>
    </row>
    <row r="1893" spans="1:55" x14ac:dyDescent="0.25">
      <c r="A1893" s="51">
        <v>43941</v>
      </c>
      <c r="B1893" s="54"/>
      <c r="C1893" s="55"/>
      <c r="D1893" s="55"/>
      <c r="E1893" s="55"/>
      <c r="F1893" s="55"/>
      <c r="G1893" s="55"/>
      <c r="H1893" s="55"/>
      <c r="I1893" s="55"/>
      <c r="J1893" s="55"/>
      <c r="K1893" s="55"/>
      <c r="L1893" s="55"/>
      <c r="M1893" s="55"/>
      <c r="N1893" s="55"/>
      <c r="O1893" s="55"/>
      <c r="P1893" s="55"/>
      <c r="AI1893" s="49"/>
      <c r="AJ1893" s="78"/>
      <c r="AK1893" s="78"/>
      <c r="AL1893" s="78"/>
      <c r="AM1893" s="78"/>
      <c r="AN1893" s="78"/>
      <c r="AO1893" s="78"/>
      <c r="AP1893" s="78"/>
      <c r="AQ1893" s="78"/>
      <c r="AR1893" s="78"/>
      <c r="AS1893" s="78"/>
      <c r="AT1893" s="78"/>
      <c r="AU1893" s="78"/>
      <c r="AV1893" s="78"/>
      <c r="AW1893" s="78"/>
      <c r="AX1893" s="78"/>
      <c r="AY1893" s="3"/>
      <c r="AZ1893" s="81"/>
      <c r="BB1893" s="5"/>
      <c r="BC1893" s="5"/>
    </row>
    <row r="1894" spans="1:55" x14ac:dyDescent="0.25">
      <c r="A1894" s="51">
        <v>43942</v>
      </c>
      <c r="B1894" s="54"/>
      <c r="C1894" s="55"/>
      <c r="D1894" s="55"/>
      <c r="E1894" s="55"/>
      <c r="F1894" s="55"/>
      <c r="G1894" s="55"/>
      <c r="H1894" s="55"/>
      <c r="I1894" s="55"/>
      <c r="J1894" s="55"/>
      <c r="K1894" s="55"/>
      <c r="L1894" s="55"/>
      <c r="M1894" s="55"/>
      <c r="N1894" s="55"/>
      <c r="O1894" s="55"/>
      <c r="P1894" s="55"/>
      <c r="AI1894" s="49"/>
      <c r="AJ1894" s="78"/>
      <c r="AK1894" s="78"/>
      <c r="AL1894" s="78"/>
      <c r="AM1894" s="78"/>
      <c r="AN1894" s="78"/>
      <c r="AO1894" s="78"/>
      <c r="AP1894" s="78"/>
      <c r="AQ1894" s="78"/>
      <c r="AR1894" s="78"/>
      <c r="AS1894" s="78"/>
      <c r="AT1894" s="78"/>
      <c r="AU1894" s="78"/>
      <c r="AV1894" s="78"/>
      <c r="AW1894" s="78"/>
      <c r="AX1894" s="78"/>
      <c r="AY1894" s="3"/>
      <c r="AZ1894" s="81"/>
      <c r="BB1894" s="5"/>
      <c r="BC1894" s="5"/>
    </row>
    <row r="1895" spans="1:55" x14ac:dyDescent="0.25">
      <c r="A1895" s="51">
        <v>43943</v>
      </c>
      <c r="B1895" s="54"/>
      <c r="C1895" s="55"/>
      <c r="D1895" s="55"/>
      <c r="E1895" s="55"/>
      <c r="F1895" s="55"/>
      <c r="G1895" s="55"/>
      <c r="H1895" s="55"/>
      <c r="I1895" s="55"/>
      <c r="J1895" s="55"/>
      <c r="K1895" s="55"/>
      <c r="L1895" s="55"/>
      <c r="M1895" s="55"/>
      <c r="N1895" s="55"/>
      <c r="O1895" s="55"/>
      <c r="P1895" s="55"/>
      <c r="AI1895" s="49"/>
      <c r="AJ1895" s="78"/>
      <c r="AK1895" s="78"/>
      <c r="AL1895" s="78"/>
      <c r="AM1895" s="78"/>
      <c r="AN1895" s="78"/>
      <c r="AO1895" s="78"/>
      <c r="AP1895" s="78"/>
      <c r="AQ1895" s="78"/>
      <c r="AR1895" s="78"/>
      <c r="AS1895" s="78"/>
      <c r="AT1895" s="78"/>
      <c r="AU1895" s="78"/>
      <c r="AV1895" s="78"/>
      <c r="AW1895" s="78"/>
      <c r="AX1895" s="78"/>
      <c r="AY1895" s="3"/>
      <c r="AZ1895" s="81"/>
      <c r="BB1895" s="5"/>
      <c r="BC1895" s="5"/>
    </row>
    <row r="1896" spans="1:55" x14ac:dyDescent="0.25">
      <c r="A1896" s="51">
        <v>43944</v>
      </c>
      <c r="B1896" s="54"/>
      <c r="C1896" s="55"/>
      <c r="D1896" s="55"/>
      <c r="E1896" s="55"/>
      <c r="F1896" s="55"/>
      <c r="G1896" s="55"/>
      <c r="H1896" s="55"/>
      <c r="I1896" s="55"/>
      <c r="J1896" s="55"/>
      <c r="K1896" s="55"/>
      <c r="L1896" s="55"/>
      <c r="M1896" s="55"/>
      <c r="N1896" s="55"/>
      <c r="O1896" s="55"/>
      <c r="P1896" s="55"/>
      <c r="AI1896" s="49"/>
      <c r="AJ1896" s="78"/>
      <c r="AK1896" s="78"/>
      <c r="AL1896" s="78"/>
      <c r="AM1896" s="78"/>
      <c r="AN1896" s="78"/>
      <c r="AO1896" s="78"/>
      <c r="AP1896" s="78"/>
      <c r="AQ1896" s="78"/>
      <c r="AR1896" s="78"/>
      <c r="AS1896" s="78"/>
      <c r="AT1896" s="78"/>
      <c r="AU1896" s="78"/>
      <c r="AV1896" s="78"/>
      <c r="AW1896" s="78"/>
      <c r="AX1896" s="78"/>
      <c r="AY1896" s="3"/>
      <c r="AZ1896" s="81"/>
      <c r="BB1896" s="5"/>
      <c r="BC1896" s="5"/>
    </row>
    <row r="1897" spans="1:55" x14ac:dyDescent="0.25">
      <c r="A1897" s="51">
        <v>43945</v>
      </c>
      <c r="B1897" s="54"/>
      <c r="C1897" s="55"/>
      <c r="D1897" s="55"/>
      <c r="E1897" s="55"/>
      <c r="F1897" s="55"/>
      <c r="G1897" s="55"/>
      <c r="H1897" s="55"/>
      <c r="I1897" s="55"/>
      <c r="J1897" s="55"/>
      <c r="K1897" s="55"/>
      <c r="L1897" s="55"/>
      <c r="M1897" s="55"/>
      <c r="N1897" s="55"/>
      <c r="O1897" s="55"/>
      <c r="P1897" s="55"/>
      <c r="AI1897" s="49"/>
      <c r="AJ1897" s="78"/>
      <c r="AK1897" s="78"/>
      <c r="AL1897" s="78"/>
      <c r="AM1897" s="78"/>
      <c r="AN1897" s="78"/>
      <c r="AO1897" s="78"/>
      <c r="AP1897" s="78"/>
      <c r="AQ1897" s="78"/>
      <c r="AR1897" s="78"/>
      <c r="AS1897" s="78"/>
      <c r="AT1897" s="78"/>
      <c r="AU1897" s="78"/>
      <c r="AV1897" s="78"/>
      <c r="AW1897" s="78"/>
      <c r="AX1897" s="78"/>
      <c r="AY1897" s="3"/>
      <c r="AZ1897" s="81"/>
      <c r="BB1897" s="5"/>
      <c r="BC1897" s="5"/>
    </row>
    <row r="1898" spans="1:55" x14ac:dyDescent="0.25">
      <c r="A1898" s="51">
        <v>43948</v>
      </c>
      <c r="B1898" s="54"/>
      <c r="C1898" s="55"/>
      <c r="D1898" s="55"/>
      <c r="E1898" s="55"/>
      <c r="F1898" s="55"/>
      <c r="G1898" s="55"/>
      <c r="H1898" s="55"/>
      <c r="I1898" s="55"/>
      <c r="J1898" s="55"/>
      <c r="K1898" s="55"/>
      <c r="L1898" s="55"/>
      <c r="M1898" s="55"/>
      <c r="N1898" s="55"/>
      <c r="O1898" s="55"/>
      <c r="P1898" s="55"/>
      <c r="AI1898" s="49"/>
      <c r="AJ1898" s="78"/>
      <c r="AK1898" s="78"/>
      <c r="AL1898" s="78"/>
      <c r="AM1898" s="78"/>
      <c r="AN1898" s="78"/>
      <c r="AO1898" s="78"/>
      <c r="AP1898" s="78"/>
      <c r="AQ1898" s="78"/>
      <c r="AR1898" s="78"/>
      <c r="AS1898" s="78"/>
      <c r="AT1898" s="78"/>
      <c r="AU1898" s="78"/>
      <c r="AV1898" s="78"/>
      <c r="AW1898" s="78"/>
      <c r="AX1898" s="78"/>
      <c r="AY1898" s="3"/>
      <c r="AZ1898" s="81"/>
      <c r="BB1898" s="5"/>
      <c r="BC1898" s="5"/>
    </row>
    <row r="1899" spans="1:55" x14ac:dyDescent="0.25">
      <c r="A1899" s="51">
        <v>43949</v>
      </c>
      <c r="B1899" s="54"/>
      <c r="C1899" s="55"/>
      <c r="D1899" s="55"/>
      <c r="E1899" s="55"/>
      <c r="F1899" s="55"/>
      <c r="G1899" s="55"/>
      <c r="H1899" s="55"/>
      <c r="I1899" s="55"/>
      <c r="J1899" s="55"/>
      <c r="K1899" s="55"/>
      <c r="L1899" s="55"/>
      <c r="M1899" s="55"/>
      <c r="N1899" s="55"/>
      <c r="O1899" s="55"/>
      <c r="P1899" s="55"/>
      <c r="AI1899" s="49"/>
      <c r="AJ1899" s="78"/>
      <c r="AK1899" s="78"/>
      <c r="AL1899" s="78"/>
      <c r="AM1899" s="78"/>
      <c r="AN1899" s="78"/>
      <c r="AO1899" s="78"/>
      <c r="AP1899" s="78"/>
      <c r="AQ1899" s="78"/>
      <c r="AR1899" s="78"/>
      <c r="AS1899" s="78"/>
      <c r="AT1899" s="78"/>
      <c r="AU1899" s="78"/>
      <c r="AV1899" s="78"/>
      <c r="AW1899" s="78"/>
      <c r="AX1899" s="78"/>
      <c r="AY1899" s="3"/>
      <c r="AZ1899" s="81"/>
      <c r="BB1899" s="5"/>
      <c r="BC1899" s="5"/>
    </row>
    <row r="1900" spans="1:55" x14ac:dyDescent="0.25">
      <c r="A1900" s="51">
        <v>43950</v>
      </c>
      <c r="B1900" s="54"/>
      <c r="C1900" s="55"/>
      <c r="D1900" s="55"/>
      <c r="E1900" s="55"/>
      <c r="F1900" s="55"/>
      <c r="G1900" s="55"/>
      <c r="H1900" s="55"/>
      <c r="I1900" s="55"/>
      <c r="J1900" s="55"/>
      <c r="K1900" s="55"/>
      <c r="L1900" s="55"/>
      <c r="M1900" s="55"/>
      <c r="N1900" s="55"/>
      <c r="O1900" s="55"/>
      <c r="P1900" s="55"/>
      <c r="AI1900" s="49"/>
      <c r="AJ1900" s="78"/>
      <c r="AK1900" s="78"/>
      <c r="AL1900" s="78"/>
      <c r="AM1900" s="78"/>
      <c r="AN1900" s="78"/>
      <c r="AO1900" s="78"/>
      <c r="AP1900" s="78"/>
      <c r="AQ1900" s="78"/>
      <c r="AR1900" s="78"/>
      <c r="AS1900" s="78"/>
      <c r="AT1900" s="78"/>
      <c r="AU1900" s="78"/>
      <c r="AV1900" s="78"/>
      <c r="AW1900" s="78"/>
      <c r="AX1900" s="78"/>
      <c r="AY1900" s="3"/>
      <c r="AZ1900" s="81"/>
      <c r="BB1900" s="5"/>
      <c r="BC1900" s="5"/>
    </row>
    <row r="1901" spans="1:55" x14ac:dyDescent="0.25">
      <c r="A1901" s="51">
        <v>43951</v>
      </c>
      <c r="B1901" s="54"/>
      <c r="C1901" s="55"/>
      <c r="D1901" s="55"/>
      <c r="E1901" s="55"/>
      <c r="F1901" s="55"/>
      <c r="G1901" s="55"/>
      <c r="H1901" s="55"/>
      <c r="I1901" s="55"/>
      <c r="J1901" s="55"/>
      <c r="K1901" s="55"/>
      <c r="L1901" s="55"/>
      <c r="M1901" s="55"/>
      <c r="N1901" s="55"/>
      <c r="O1901" s="55"/>
      <c r="P1901" s="55"/>
      <c r="AI1901" s="49"/>
      <c r="AJ1901" s="78"/>
      <c r="AK1901" s="78"/>
      <c r="AL1901" s="78"/>
      <c r="AM1901" s="78"/>
      <c r="AN1901" s="78"/>
      <c r="AO1901" s="78"/>
      <c r="AP1901" s="78"/>
      <c r="AQ1901" s="78"/>
      <c r="AR1901" s="78"/>
      <c r="AS1901" s="78"/>
      <c r="AT1901" s="78"/>
      <c r="AU1901" s="78"/>
      <c r="AV1901" s="78"/>
      <c r="AW1901" s="78"/>
      <c r="AX1901" s="78"/>
      <c r="AY1901" s="3"/>
      <c r="AZ1901" s="81"/>
      <c r="BB1901" s="5"/>
      <c r="BC1901" s="5"/>
    </row>
    <row r="1902" spans="1:55" x14ac:dyDescent="0.25">
      <c r="A1902" s="51">
        <v>43955</v>
      </c>
      <c r="B1902" s="54"/>
      <c r="C1902" s="55"/>
      <c r="D1902" s="55"/>
      <c r="E1902" s="55"/>
      <c r="F1902" s="55"/>
      <c r="G1902" s="55"/>
      <c r="H1902" s="55"/>
      <c r="I1902" s="55"/>
      <c r="J1902" s="55"/>
      <c r="K1902" s="55"/>
      <c r="L1902" s="55"/>
      <c r="M1902" s="55"/>
      <c r="N1902" s="55"/>
      <c r="O1902" s="55"/>
      <c r="P1902" s="55"/>
      <c r="AI1902" s="49"/>
      <c r="AJ1902" s="78"/>
      <c r="AK1902" s="78"/>
      <c r="AL1902" s="78"/>
      <c r="AM1902" s="78"/>
      <c r="AN1902" s="78"/>
      <c r="AO1902" s="78"/>
      <c r="AP1902" s="78"/>
      <c r="AQ1902" s="78"/>
      <c r="AR1902" s="78"/>
      <c r="AS1902" s="78"/>
      <c r="AT1902" s="78"/>
      <c r="AU1902" s="78"/>
      <c r="AV1902" s="78"/>
      <c r="AW1902" s="78"/>
      <c r="AX1902" s="78"/>
      <c r="AY1902" s="3"/>
      <c r="AZ1902" s="81"/>
      <c r="BB1902" s="5"/>
      <c r="BC1902" s="5"/>
    </row>
    <row r="1903" spans="1:55" x14ac:dyDescent="0.25">
      <c r="A1903" s="51">
        <v>43956</v>
      </c>
      <c r="B1903" s="54"/>
      <c r="C1903" s="55"/>
      <c r="D1903" s="55"/>
      <c r="E1903" s="55"/>
      <c r="F1903" s="55"/>
      <c r="G1903" s="55"/>
      <c r="H1903" s="55"/>
      <c r="I1903" s="55"/>
      <c r="J1903" s="55"/>
      <c r="K1903" s="55"/>
      <c r="L1903" s="55"/>
      <c r="M1903" s="55"/>
      <c r="N1903" s="55"/>
      <c r="O1903" s="55"/>
      <c r="P1903" s="55"/>
      <c r="AI1903" s="49"/>
      <c r="AJ1903" s="78"/>
      <c r="AK1903" s="78"/>
      <c r="AL1903" s="78"/>
      <c r="AM1903" s="78"/>
      <c r="AN1903" s="78"/>
      <c r="AO1903" s="78"/>
      <c r="AP1903" s="78"/>
      <c r="AQ1903" s="78"/>
      <c r="AR1903" s="78"/>
      <c r="AS1903" s="78"/>
      <c r="AT1903" s="78"/>
      <c r="AU1903" s="78"/>
      <c r="AV1903" s="78"/>
      <c r="AW1903" s="78"/>
      <c r="AX1903" s="78"/>
      <c r="AY1903" s="3"/>
      <c r="AZ1903" s="81"/>
      <c r="BB1903" s="5"/>
      <c r="BC1903" s="5"/>
    </row>
    <row r="1904" spans="1:55" x14ac:dyDescent="0.25">
      <c r="A1904" s="51">
        <v>43957</v>
      </c>
      <c r="B1904" s="54"/>
      <c r="C1904" s="55"/>
      <c r="D1904" s="55"/>
      <c r="E1904" s="55"/>
      <c r="F1904" s="55"/>
      <c r="G1904" s="55"/>
      <c r="H1904" s="55"/>
      <c r="I1904" s="55"/>
      <c r="J1904" s="55"/>
      <c r="K1904" s="55"/>
      <c r="L1904" s="55"/>
      <c r="M1904" s="55"/>
      <c r="N1904" s="55"/>
      <c r="O1904" s="55"/>
      <c r="P1904" s="55"/>
      <c r="AI1904" s="49"/>
      <c r="AJ1904" s="78"/>
      <c r="AK1904" s="78"/>
      <c r="AL1904" s="78"/>
      <c r="AM1904" s="78"/>
      <c r="AN1904" s="78"/>
      <c r="AO1904" s="78"/>
      <c r="AP1904" s="78"/>
      <c r="AQ1904" s="78"/>
      <c r="AR1904" s="78"/>
      <c r="AS1904" s="78"/>
      <c r="AT1904" s="78"/>
      <c r="AU1904" s="78"/>
      <c r="AV1904" s="78"/>
      <c r="AW1904" s="78"/>
      <c r="AX1904" s="78"/>
      <c r="AY1904" s="3"/>
      <c r="AZ1904" s="81"/>
      <c r="BB1904" s="5"/>
      <c r="BC1904" s="5"/>
    </row>
    <row r="1905" spans="1:69" x14ac:dyDescent="0.25">
      <c r="A1905" s="51">
        <v>43958</v>
      </c>
      <c r="B1905" s="54"/>
      <c r="C1905" s="55"/>
      <c r="D1905" s="55"/>
      <c r="E1905" s="55"/>
      <c r="F1905" s="55"/>
      <c r="G1905" s="55"/>
      <c r="H1905" s="55"/>
      <c r="I1905" s="55"/>
      <c r="J1905" s="55"/>
      <c r="K1905" s="55"/>
      <c r="L1905" s="55"/>
      <c r="M1905" s="55"/>
      <c r="N1905" s="55"/>
      <c r="O1905" s="55"/>
      <c r="P1905" s="55"/>
      <c r="AI1905" s="49"/>
      <c r="AJ1905" s="78"/>
      <c r="AK1905" s="78"/>
      <c r="AL1905" s="78"/>
      <c r="AM1905" s="78"/>
      <c r="AN1905" s="78"/>
      <c r="AO1905" s="78"/>
      <c r="AP1905" s="78"/>
      <c r="AQ1905" s="78"/>
      <c r="AR1905" s="78"/>
      <c r="AS1905" s="78"/>
      <c r="AT1905" s="78"/>
      <c r="AU1905" s="78"/>
      <c r="AV1905" s="78"/>
      <c r="AW1905" s="78"/>
      <c r="AX1905" s="78"/>
      <c r="AY1905" s="3"/>
      <c r="AZ1905" s="81"/>
      <c r="BB1905" s="5"/>
      <c r="BC1905" s="5"/>
    </row>
    <row r="1906" spans="1:69" x14ac:dyDescent="0.25">
      <c r="A1906" s="51">
        <v>43959</v>
      </c>
      <c r="B1906" s="54"/>
      <c r="C1906" s="55"/>
      <c r="D1906" s="55"/>
      <c r="E1906" s="55"/>
      <c r="F1906" s="55"/>
      <c r="G1906" s="55"/>
      <c r="H1906" s="55"/>
      <c r="I1906" s="55"/>
      <c r="J1906" s="55"/>
      <c r="K1906" s="55"/>
      <c r="L1906" s="55"/>
      <c r="M1906" s="55"/>
      <c r="N1906" s="55"/>
      <c r="O1906" s="55"/>
      <c r="P1906" s="55"/>
      <c r="AI1906" s="49"/>
      <c r="AJ1906" s="78"/>
      <c r="AK1906" s="78"/>
      <c r="AL1906" s="78"/>
      <c r="AM1906" s="78"/>
      <c r="AN1906" s="78"/>
      <c r="AO1906" s="78"/>
      <c r="AP1906" s="78"/>
      <c r="AQ1906" s="78"/>
      <c r="AR1906" s="78"/>
      <c r="AS1906" s="78"/>
      <c r="AT1906" s="78"/>
      <c r="AU1906" s="78"/>
      <c r="AV1906" s="78"/>
      <c r="AW1906" s="78"/>
      <c r="AX1906" s="78"/>
      <c r="AY1906" s="3"/>
      <c r="AZ1906" s="81"/>
      <c r="BB1906" s="5"/>
      <c r="BC1906" s="5"/>
    </row>
    <row r="1907" spans="1:69" x14ac:dyDescent="0.25">
      <c r="A1907" s="51">
        <v>43962</v>
      </c>
      <c r="B1907" s="54"/>
      <c r="C1907" s="55"/>
      <c r="D1907" s="55"/>
      <c r="E1907" s="55"/>
      <c r="F1907" s="55"/>
      <c r="G1907" s="55"/>
      <c r="H1907" s="55"/>
      <c r="I1907" s="55"/>
      <c r="J1907" s="55"/>
      <c r="K1907" s="55"/>
      <c r="L1907" s="55"/>
      <c r="M1907" s="55"/>
      <c r="N1907" s="55"/>
      <c r="O1907" s="55"/>
      <c r="P1907" s="55"/>
      <c r="AI1907" s="49"/>
      <c r="AJ1907" s="78"/>
      <c r="AK1907" s="78"/>
      <c r="AL1907" s="78"/>
      <c r="AM1907" s="78"/>
      <c r="AN1907" s="78"/>
      <c r="AO1907" s="78"/>
      <c r="AP1907" s="78"/>
      <c r="AQ1907" s="78"/>
      <c r="AR1907" s="78"/>
      <c r="AS1907" s="78"/>
      <c r="AT1907" s="78"/>
      <c r="AU1907" s="78"/>
      <c r="AV1907" s="78"/>
      <c r="AW1907" s="78"/>
      <c r="AX1907" s="78"/>
      <c r="AY1907" s="3"/>
      <c r="AZ1907" s="81"/>
      <c r="BB1907" s="5"/>
      <c r="BC1907" s="5"/>
    </row>
    <row r="1908" spans="1:69" x14ac:dyDescent="0.25">
      <c r="A1908" s="51">
        <v>43963</v>
      </c>
      <c r="B1908" s="54"/>
      <c r="C1908" s="55"/>
      <c r="D1908" s="55"/>
      <c r="E1908" s="55"/>
      <c r="F1908" s="55"/>
      <c r="G1908" s="55"/>
      <c r="H1908" s="55"/>
      <c r="I1908" s="55"/>
      <c r="J1908" s="55"/>
      <c r="K1908" s="55"/>
      <c r="L1908" s="55"/>
      <c r="M1908" s="55"/>
      <c r="N1908" s="55"/>
      <c r="O1908" s="55"/>
      <c r="P1908" s="55"/>
      <c r="AI1908" s="49"/>
      <c r="AJ1908" s="78"/>
      <c r="AK1908" s="78"/>
      <c r="AL1908" s="78"/>
      <c r="AM1908" s="78"/>
      <c r="AN1908" s="78"/>
      <c r="AO1908" s="78"/>
      <c r="AP1908" s="78"/>
      <c r="AQ1908" s="78"/>
      <c r="AR1908" s="78"/>
      <c r="AS1908" s="78"/>
      <c r="AT1908" s="78"/>
      <c r="AU1908" s="78"/>
      <c r="AV1908" s="78"/>
      <c r="AW1908" s="78"/>
      <c r="AX1908" s="78"/>
      <c r="AY1908" s="3"/>
      <c r="AZ1908" s="81"/>
      <c r="BB1908" s="5"/>
      <c r="BC1908" s="5"/>
    </row>
    <row r="1909" spans="1:69" x14ac:dyDescent="0.25">
      <c r="A1909" s="51">
        <v>43964</v>
      </c>
      <c r="B1909" s="54"/>
      <c r="C1909" s="55"/>
      <c r="D1909" s="55"/>
      <c r="E1909" s="55"/>
      <c r="F1909" s="55"/>
      <c r="G1909" s="55"/>
      <c r="H1909" s="55"/>
      <c r="I1909" s="55"/>
      <c r="J1909" s="55"/>
      <c r="K1909" s="55"/>
      <c r="L1909" s="55"/>
      <c r="M1909" s="55"/>
      <c r="N1909" s="55"/>
      <c r="O1909" s="55"/>
      <c r="P1909" s="55"/>
      <c r="AI1909" s="49"/>
      <c r="AJ1909" s="78"/>
      <c r="AK1909" s="78"/>
      <c r="AL1909" s="78"/>
      <c r="AM1909" s="78"/>
      <c r="AN1909" s="78"/>
      <c r="AO1909" s="78"/>
      <c r="AP1909" s="78"/>
      <c r="AQ1909" s="78"/>
      <c r="AR1909" s="78"/>
      <c r="AS1909" s="78"/>
      <c r="AT1909" s="78"/>
      <c r="AU1909" s="78"/>
      <c r="AV1909" s="78"/>
      <c r="AW1909" s="78"/>
      <c r="AX1909" s="78"/>
      <c r="AY1909" s="3"/>
      <c r="AZ1909" s="81"/>
      <c r="BB1909" s="5"/>
      <c r="BC1909" s="5"/>
    </row>
    <row r="1910" spans="1:69" x14ac:dyDescent="0.25">
      <c r="A1910" s="51">
        <v>43965</v>
      </c>
      <c r="B1910" s="54"/>
      <c r="C1910" s="55"/>
      <c r="D1910" s="55"/>
      <c r="E1910" s="55"/>
      <c r="F1910" s="55"/>
      <c r="G1910" s="55"/>
      <c r="H1910" s="55"/>
      <c r="I1910" s="55"/>
      <c r="J1910" s="55"/>
      <c r="K1910" s="55"/>
      <c r="L1910" s="55"/>
      <c r="M1910" s="55"/>
      <c r="N1910" s="55"/>
      <c r="O1910" s="55"/>
      <c r="P1910" s="55"/>
      <c r="AI1910" s="49"/>
      <c r="AJ1910" s="78"/>
      <c r="AK1910" s="78"/>
      <c r="AL1910" s="78"/>
      <c r="AM1910" s="78"/>
      <c r="AN1910" s="78"/>
      <c r="AO1910" s="78"/>
      <c r="AP1910" s="78"/>
      <c r="AQ1910" s="78"/>
      <c r="AR1910" s="78"/>
      <c r="AS1910" s="78"/>
      <c r="AT1910" s="78"/>
      <c r="AU1910" s="78"/>
      <c r="AV1910" s="78"/>
      <c r="AW1910" s="78"/>
      <c r="AX1910" s="78"/>
      <c r="AY1910" s="3"/>
      <c r="AZ1910" s="81"/>
      <c r="BB1910" s="5"/>
      <c r="BC1910" s="5"/>
    </row>
    <row r="1911" spans="1:69" x14ac:dyDescent="0.25">
      <c r="A1911" s="51">
        <v>43966</v>
      </c>
      <c r="B1911" s="54"/>
      <c r="C1911" s="55"/>
      <c r="D1911" s="55"/>
      <c r="E1911" s="55"/>
      <c r="F1911" s="55"/>
      <c r="G1911" s="55"/>
      <c r="H1911" s="55"/>
      <c r="I1911" s="55"/>
      <c r="J1911" s="55"/>
      <c r="K1911" s="55"/>
      <c r="L1911" s="55"/>
      <c r="M1911" s="55"/>
      <c r="N1911" s="55"/>
      <c r="O1911" s="55"/>
      <c r="P1911" s="55"/>
      <c r="AI1911" s="49"/>
      <c r="AJ1911" s="78"/>
      <c r="AK1911" s="78"/>
      <c r="AL1911" s="78"/>
      <c r="AM1911" s="78"/>
      <c r="AN1911" s="78"/>
      <c r="AO1911" s="78"/>
      <c r="AP1911" s="78"/>
      <c r="AQ1911" s="78"/>
      <c r="AR1911" s="78"/>
      <c r="AS1911" s="78"/>
      <c r="AT1911" s="78"/>
      <c r="AU1911" s="78"/>
      <c r="AV1911" s="78"/>
      <c r="AW1911" s="78"/>
      <c r="AX1911" s="78"/>
      <c r="AY1911" s="3"/>
      <c r="AZ1911" s="81"/>
      <c r="BB1911" s="5"/>
      <c r="BC1911" s="5"/>
    </row>
    <row r="1912" spans="1:69" x14ac:dyDescent="0.25">
      <c r="A1912" s="51">
        <v>43969</v>
      </c>
      <c r="B1912" s="54"/>
      <c r="C1912" s="55"/>
      <c r="D1912" s="55"/>
      <c r="E1912" s="55"/>
      <c r="F1912" s="55"/>
      <c r="G1912" s="55"/>
      <c r="H1912" s="55"/>
      <c r="I1912" s="55"/>
      <c r="J1912" s="55"/>
      <c r="K1912" s="55"/>
      <c r="L1912" s="55"/>
      <c r="M1912" s="55"/>
      <c r="N1912" s="55"/>
      <c r="O1912" s="55"/>
      <c r="P1912" s="55"/>
      <c r="AI1912" s="49"/>
      <c r="AJ1912" s="78"/>
      <c r="AK1912" s="78"/>
      <c r="AL1912" s="78"/>
      <c r="AM1912" s="78"/>
      <c r="AN1912" s="78"/>
      <c r="AO1912" s="78"/>
      <c r="AP1912" s="78"/>
      <c r="AQ1912" s="78"/>
      <c r="AR1912" s="78"/>
      <c r="AS1912" s="78"/>
      <c r="AT1912" s="78"/>
      <c r="AU1912" s="78"/>
      <c r="AV1912" s="78"/>
      <c r="AW1912" s="78"/>
      <c r="AX1912" s="78"/>
      <c r="AY1912" s="3"/>
      <c r="AZ1912" s="81"/>
      <c r="BB1912" s="5"/>
      <c r="BC1912" s="5"/>
    </row>
    <row r="1913" spans="1:69" x14ac:dyDescent="0.25">
      <c r="A1913" s="51">
        <v>43970</v>
      </c>
      <c r="B1913" s="54"/>
      <c r="C1913" s="55"/>
      <c r="D1913" s="55"/>
      <c r="E1913" s="55"/>
      <c r="F1913" s="55"/>
      <c r="G1913" s="55"/>
      <c r="H1913" s="55"/>
      <c r="I1913" s="55"/>
      <c r="J1913" s="55"/>
      <c r="K1913" s="55"/>
      <c r="L1913" s="55"/>
      <c r="M1913" s="55"/>
      <c r="N1913" s="55"/>
      <c r="O1913" s="55"/>
      <c r="P1913" s="55"/>
      <c r="AI1913" s="49"/>
      <c r="AJ1913" s="78"/>
      <c r="AK1913" s="78"/>
      <c r="AL1913" s="78"/>
      <c r="AM1913" s="78"/>
      <c r="AN1913" s="78"/>
      <c r="AO1913" s="78"/>
      <c r="AP1913" s="78"/>
      <c r="AQ1913" s="78"/>
      <c r="AR1913" s="78"/>
      <c r="AS1913" s="78"/>
      <c r="AT1913" s="78"/>
      <c r="AU1913" s="78"/>
      <c r="AV1913" s="78"/>
      <c r="AW1913" s="78"/>
      <c r="AX1913" s="78"/>
      <c r="AY1913" s="3"/>
      <c r="AZ1913" s="81"/>
      <c r="BB1913" s="5"/>
      <c r="BC1913" s="5"/>
    </row>
    <row r="1914" spans="1:69" x14ac:dyDescent="0.25">
      <c r="A1914" s="51">
        <v>43971</v>
      </c>
      <c r="B1914" s="54"/>
      <c r="C1914" s="55"/>
      <c r="D1914" s="55"/>
      <c r="E1914" s="55"/>
      <c r="F1914" s="55"/>
      <c r="G1914" s="55"/>
      <c r="H1914" s="55"/>
      <c r="I1914" s="55"/>
      <c r="J1914" s="55"/>
      <c r="K1914" s="55"/>
      <c r="L1914" s="55"/>
      <c r="M1914" s="55"/>
      <c r="N1914" s="55"/>
      <c r="O1914" s="55"/>
      <c r="P1914" s="55"/>
      <c r="AI1914" s="49"/>
      <c r="AJ1914" s="78"/>
      <c r="AK1914" s="78"/>
      <c r="AL1914" s="78"/>
      <c r="AM1914" s="78"/>
      <c r="AN1914" s="78"/>
      <c r="AO1914" s="78"/>
      <c r="AP1914" s="78"/>
      <c r="AQ1914" s="78"/>
      <c r="AR1914" s="78"/>
      <c r="AS1914" s="78"/>
      <c r="AT1914" s="78"/>
      <c r="AU1914" s="78"/>
      <c r="AV1914" s="78"/>
      <c r="AW1914" s="78"/>
      <c r="AX1914" s="78"/>
      <c r="AY1914" s="3"/>
      <c r="AZ1914" s="81"/>
      <c r="BB1914" s="5"/>
      <c r="BC1914" s="5"/>
    </row>
    <row r="1915" spans="1:69" x14ac:dyDescent="0.25">
      <c r="A1915" s="51">
        <v>43972</v>
      </c>
      <c r="B1915" s="54"/>
      <c r="C1915" s="55"/>
      <c r="D1915" s="55"/>
      <c r="E1915" s="55"/>
      <c r="F1915" s="55"/>
      <c r="G1915" s="55"/>
      <c r="H1915" s="55"/>
      <c r="I1915" s="55"/>
      <c r="J1915" s="55"/>
      <c r="K1915" s="55"/>
      <c r="L1915" s="55"/>
      <c r="M1915" s="55"/>
      <c r="N1915" s="55"/>
      <c r="O1915" s="55"/>
      <c r="P1915" s="55"/>
      <c r="AI1915" s="49"/>
      <c r="AJ1915" s="78"/>
      <c r="AK1915" s="78"/>
      <c r="AL1915" s="78"/>
      <c r="AM1915" s="78"/>
      <c r="AN1915" s="78"/>
      <c r="AO1915" s="78"/>
      <c r="AP1915" s="78"/>
      <c r="AQ1915" s="78"/>
      <c r="AR1915" s="78"/>
      <c r="AS1915" s="78"/>
      <c r="AT1915" s="78"/>
      <c r="AU1915" s="78"/>
      <c r="AV1915" s="78"/>
      <c r="AW1915" s="78"/>
      <c r="AX1915" s="78"/>
      <c r="AY1915" s="3"/>
      <c r="AZ1915" s="81"/>
      <c r="BB1915" s="5"/>
      <c r="BC1915" s="5"/>
    </row>
    <row r="1916" spans="1:69" x14ac:dyDescent="0.25">
      <c r="A1916" s="51">
        <v>43973</v>
      </c>
      <c r="B1916" s="54"/>
      <c r="C1916" s="55"/>
      <c r="D1916" s="55"/>
      <c r="E1916" s="55"/>
      <c r="F1916" s="55"/>
      <c r="G1916" s="55"/>
      <c r="H1916" s="55"/>
      <c r="I1916" s="55"/>
      <c r="J1916" s="55"/>
      <c r="K1916" s="55"/>
      <c r="L1916" s="55"/>
      <c r="M1916" s="55"/>
      <c r="N1916" s="55"/>
      <c r="O1916" s="55"/>
      <c r="P1916" s="55"/>
      <c r="AI1916" s="49"/>
      <c r="AJ1916" s="78"/>
      <c r="AK1916" s="78"/>
      <c r="AL1916" s="78"/>
      <c r="AM1916" s="78"/>
      <c r="AN1916" s="78"/>
      <c r="AO1916" s="78"/>
      <c r="AP1916" s="78"/>
      <c r="AQ1916" s="78"/>
      <c r="AR1916" s="78"/>
      <c r="AS1916" s="78"/>
      <c r="AT1916" s="78"/>
      <c r="AU1916" s="78"/>
      <c r="AV1916" s="78"/>
      <c r="AW1916" s="78"/>
      <c r="AX1916" s="78"/>
      <c r="AY1916" s="3"/>
      <c r="AZ1916" s="81"/>
      <c r="BB1916" s="5"/>
      <c r="BC1916" s="5"/>
    </row>
    <row r="1917" spans="1:69" x14ac:dyDescent="0.25">
      <c r="A1917" s="51">
        <v>43976</v>
      </c>
      <c r="B1917" s="54">
        <f>+LN(rprecios!B1916/rprecios!B1915)</f>
        <v>-2.5940351770465356E-3</v>
      </c>
      <c r="C1917" s="55">
        <f>+LN(rprecios!C1916/rprecios!C1915)</f>
        <v>0</v>
      </c>
      <c r="D1917" s="55">
        <f>+LN(rprecios!D1916/rprecios!D1915)</f>
        <v>7.6336248550712051E-3</v>
      </c>
      <c r="E1917" s="55">
        <f>+LN(rprecios!E1916/rprecios!E1915)</f>
        <v>0</v>
      </c>
      <c r="F1917" s="55">
        <f>+LN(rprecios!F1916/rprecios!F1915)</f>
        <v>0</v>
      </c>
      <c r="G1917" s="55">
        <f>+LN(rprecios!G1916/rprecios!G1915)</f>
        <v>2.8778964550043327E-2</v>
      </c>
      <c r="H1917" s="55">
        <f>+LN(rprecios!H1916/rprecios!H1915)</f>
        <v>-1.3986241974739952E-2</v>
      </c>
      <c r="I1917" s="55">
        <f>+LN(rprecios!I1916/rprecios!I1915)</f>
        <v>2.4194728587056971E-2</v>
      </c>
      <c r="J1917" s="55">
        <f>+LN(rprecios!J1916/rprecios!J1915)</f>
        <v>0</v>
      </c>
      <c r="K1917" s="55">
        <f>+LN(rprecios!K1916/rprecios!K1915)</f>
        <v>0</v>
      </c>
      <c r="L1917" s="55">
        <f>+LN(rprecios!L1916/rprecios!L1915)</f>
        <v>0</v>
      </c>
      <c r="M1917" s="55">
        <f>+LN(rprecios!M1916/rprecios!M1915)</f>
        <v>0</v>
      </c>
      <c r="N1917" s="55">
        <f>+LN(rprecios!N1916/rprecios!N1915)</f>
        <v>0</v>
      </c>
      <c r="O1917" s="55">
        <f>+LN(rprecios!O1916/rprecios!O1915)</f>
        <v>2.9413885206293192E-2</v>
      </c>
      <c r="P1917" s="55">
        <f>+LN(rprecios!P1916/rprecios!P1915)</f>
        <v>-8.8626872578453173E-3</v>
      </c>
      <c r="AI1917" s="49"/>
      <c r="AJ1917" s="78"/>
      <c r="AK1917" s="78"/>
      <c r="AL1917" s="78"/>
      <c r="AM1917" s="78"/>
      <c r="AN1917" s="78"/>
      <c r="AO1917" s="78"/>
      <c r="AP1917" s="78"/>
      <c r="AQ1917" s="78"/>
      <c r="AR1917" s="78"/>
      <c r="AS1917" s="78"/>
      <c r="AT1917" s="78"/>
      <c r="AU1917" s="78"/>
      <c r="AV1917" s="78"/>
      <c r="AW1917" s="78"/>
      <c r="AX1917" s="78"/>
      <c r="AY1917" s="3"/>
      <c r="AZ1917" s="81"/>
      <c r="BA1917" s="3"/>
      <c r="BB1917" s="5"/>
      <c r="BC1917" s="5"/>
    </row>
    <row r="1918" spans="1:69" x14ac:dyDescent="0.25">
      <c r="A1918" s="51">
        <v>43977</v>
      </c>
      <c r="B1918" s="54">
        <f>+LN(rprecios!B1917/rprecios!B1916)</f>
        <v>-1.3072081567352888E-2</v>
      </c>
      <c r="C1918" s="55">
        <f>+LN(rprecios!C1917/rprecios!C1916)</f>
        <v>3.2350841253166875E-2</v>
      </c>
      <c r="D1918" s="55">
        <f>+LN(rprecios!D1917/rprecios!D1916)</f>
        <v>1.5094626222484888E-2</v>
      </c>
      <c r="E1918" s="55">
        <f>+LN(rprecios!E1917/rprecios!E1916)</f>
        <v>-7.472014838701066E-3</v>
      </c>
      <c r="F1918" s="55">
        <f>+LN(rprecios!F1917/rprecios!F1916)</f>
        <v>-1.0384309305716381E-2</v>
      </c>
      <c r="G1918" s="55">
        <f>+LN(rprecios!G1917/rprecios!G1916)</f>
        <v>-7.1174677688639896E-3</v>
      </c>
      <c r="H1918" s="55">
        <f>+LN(rprecios!H1917/rprecios!H1916)</f>
        <v>-2.1353124470568946E-2</v>
      </c>
      <c r="I1918" s="55">
        <f>+LN(rprecios!I1917/rprecios!I1916)</f>
        <v>5.9583095836306249E-3</v>
      </c>
      <c r="J1918" s="55">
        <f>+LN(rprecios!J1917/rprecios!J1916)</f>
        <v>0</v>
      </c>
      <c r="K1918" s="55">
        <f>+LN(rprecios!K1917/rprecios!K1916)</f>
        <v>-3.4688799479068214E-3</v>
      </c>
      <c r="L1918" s="55">
        <f>+LN(rprecios!L1917/rprecios!L1916)</f>
        <v>0</v>
      </c>
      <c r="M1918" s="55">
        <f>+LN(rprecios!M1917/rprecios!M1916)</f>
        <v>0</v>
      </c>
      <c r="N1918" s="55">
        <f>+LN(rprecios!N1917/rprecios!N1916)</f>
        <v>-2.9413885206293341E-2</v>
      </c>
      <c r="O1918" s="55">
        <f>+LN(rprecios!O1917/rprecios!O1916)</f>
        <v>0</v>
      </c>
      <c r="P1918" s="55">
        <f>+LN(rprecios!P1917/rprecios!P1916)</f>
        <v>8.8626872578453243E-3</v>
      </c>
      <c r="AH1918">
        <v>0</v>
      </c>
      <c r="AI1918" s="49"/>
      <c r="AJ1918" s="78"/>
      <c r="AK1918" s="79"/>
      <c r="AL1918" s="79"/>
      <c r="AM1918" s="79"/>
      <c r="AN1918" s="79"/>
      <c r="AO1918" s="79"/>
      <c r="AP1918" s="79"/>
      <c r="AQ1918" s="79"/>
      <c r="AR1918" s="78"/>
      <c r="AS1918" s="78"/>
      <c r="AT1918" s="79"/>
      <c r="AU1918" s="79"/>
      <c r="AV1918" s="79"/>
      <c r="AW1918" s="79"/>
      <c r="AX1918" s="79"/>
      <c r="AZ1918" s="81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</row>
    <row r="1919" spans="1:69" x14ac:dyDescent="0.25">
      <c r="A1919" s="51">
        <v>43978</v>
      </c>
      <c r="B1919" s="54">
        <f>+LN(rprecios!B1918/rprecios!B1917)</f>
        <v>-6.6006840313520242E-3</v>
      </c>
      <c r="C1919" s="55">
        <f>+LN(rprecios!C1918/rprecios!C1917)</f>
        <v>3.2258539051838432E-2</v>
      </c>
      <c r="D1919" s="55">
        <f>+LN(rprecios!D1918/rprecios!D1917)</f>
        <v>7.4627212015895943E-3</v>
      </c>
      <c r="E1919" s="55">
        <f>+LN(rprecios!E1918/rprecios!E1917)</f>
        <v>2.3472356185142068E-2</v>
      </c>
      <c r="F1919" s="55">
        <f>+LN(rprecios!F1918/rprecios!F1917)</f>
        <v>0</v>
      </c>
      <c r="G1919" s="55">
        <f>+LN(rprecios!G1918/rprecios!G1917)</f>
        <v>7.1174677688639549E-3</v>
      </c>
      <c r="H1919" s="55">
        <f>+LN(rprecios!H1918/rprecios!H1917)</f>
        <v>7.168489478612497E-3</v>
      </c>
      <c r="I1919" s="55">
        <f>+LN(rprecios!I1918/rprecios!I1917)</f>
        <v>4.4537854430901684E-2</v>
      </c>
      <c r="J1919" s="55">
        <f>+LN(rprecios!J1918/rprecios!J1917)</f>
        <v>-1.6260520871780291E-2</v>
      </c>
      <c r="K1919" s="55">
        <f>+LN(rprecios!K1918/rprecios!K1917)</f>
        <v>4.1223458324421203E-2</v>
      </c>
      <c r="L1919" s="55">
        <f>+LN(rprecios!L1918/rprecios!L1917)</f>
        <v>2.7973852042406162E-2</v>
      </c>
      <c r="M1919" s="55">
        <f>+LN(rprecios!M1918/rprecios!M1917)</f>
        <v>0</v>
      </c>
      <c r="N1919" s="55">
        <f>+LN(rprecios!N1918/rprecios!N1917)</f>
        <v>-6.1557892999433435E-2</v>
      </c>
      <c r="O1919" s="55">
        <f>+LN(rprecios!O1918/rprecios!O1917)</f>
        <v>-7.2727593290795849E-3</v>
      </c>
      <c r="P1919" s="55">
        <f>+LN(rprecios!P1918/rprecios!P1917)</f>
        <v>-1.4815085785140699E-2</v>
      </c>
      <c r="AI1919" s="49"/>
      <c r="AJ1919" s="78"/>
      <c r="AK1919" s="79"/>
      <c r="AL1919" s="79"/>
      <c r="AM1919" s="79"/>
      <c r="AN1919" s="79"/>
      <c r="AO1919" s="79"/>
      <c r="AP1919" s="79"/>
      <c r="AQ1919" s="79"/>
      <c r="AR1919" s="78"/>
      <c r="AS1919" s="78"/>
      <c r="AT1919" s="79"/>
      <c r="AU1919" s="79"/>
      <c r="AV1919" s="79"/>
      <c r="AW1919" s="79"/>
      <c r="AX1919" s="79"/>
      <c r="AZ1919" s="81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</row>
    <row r="1920" spans="1:69" x14ac:dyDescent="0.25">
      <c r="A1920" s="51">
        <v>43979</v>
      </c>
      <c r="B1920" s="54">
        <f>+LN(rprecios!B1919/rprecios!B1918)</f>
        <v>2.6145280104322207E-2</v>
      </c>
      <c r="C1920" s="55">
        <f>+LN(rprecios!C1919/rprecios!C1918)</f>
        <v>2.6182656573768221E-3</v>
      </c>
      <c r="D1920" s="55">
        <f>+LN(rprecios!D1919/rprecios!D1918)</f>
        <v>0</v>
      </c>
      <c r="E1920" s="55">
        <f>+LN(rprecios!E1919/rprecios!E1918)</f>
        <v>-8.5837436913915547E-3</v>
      </c>
      <c r="F1920" s="55">
        <f>+LN(rprecios!F1919/rprecios!F1918)</f>
        <v>-1.8967902706810924E-2</v>
      </c>
      <c r="G1920" s="55">
        <f>+LN(rprecios!G1919/rprecios!G1918)</f>
        <v>7.0671672230923528E-3</v>
      </c>
      <c r="H1920" s="55">
        <f>+LN(rprecios!H1919/rprecios!H1918)</f>
        <v>7.1174677688639549E-3</v>
      </c>
      <c r="I1920" s="55">
        <f>+LN(rprecios!I1919/rprecios!I1918)</f>
        <v>1.8921481520379623E-3</v>
      </c>
      <c r="J1920" s="55">
        <f>+LN(rprecios!J1919/rprecios!J1918)</f>
        <v>0</v>
      </c>
      <c r="K1920" s="55">
        <f>+LN(rprecios!K1919/rprecios!K1918)</f>
        <v>9.5870940793398047E-3</v>
      </c>
      <c r="L1920" s="55">
        <f>+LN(rprecios!L1919/rprecios!L1918)</f>
        <v>2.7212563524884794E-2</v>
      </c>
      <c r="M1920" s="55">
        <f>+LN(rprecios!M1919/rprecios!M1918)</f>
        <v>0</v>
      </c>
      <c r="N1920" s="55">
        <f>+LN(rprecios!N1919/rprecios!N1918)</f>
        <v>-4.8790164169432056E-2</v>
      </c>
      <c r="O1920" s="55">
        <f>+LN(rprecios!O1919/rprecios!O1918)</f>
        <v>0</v>
      </c>
      <c r="P1920" s="55">
        <f>+LN(rprecios!P1919/rprecios!P1918)</f>
        <v>-5.5228757947785818E-2</v>
      </c>
      <c r="AI1920" s="49"/>
      <c r="AJ1920" s="78"/>
      <c r="AK1920" s="79"/>
      <c r="AL1920" s="79"/>
      <c r="AM1920" s="79"/>
      <c r="AN1920" s="79"/>
      <c r="AO1920" s="79"/>
      <c r="AP1920" s="79"/>
      <c r="AQ1920" s="79"/>
      <c r="AR1920" s="78"/>
      <c r="AS1920" s="78"/>
      <c r="AT1920" s="79"/>
      <c r="AU1920" s="79"/>
      <c r="AV1920" s="79"/>
      <c r="AW1920" s="79"/>
      <c r="AX1920" s="79"/>
      <c r="AZ1920" s="81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</row>
    <row r="1921" spans="1:68" x14ac:dyDescent="0.25">
      <c r="A1921" s="51">
        <v>43980</v>
      </c>
      <c r="B1921" s="54">
        <f>+LN(rprecios!B1920/rprecios!B1919)</f>
        <v>6.4308903302903314E-3</v>
      </c>
      <c r="C1921" s="55">
        <f>+LN(rprecios!C1920/rprecios!C1919)</f>
        <v>-3.2318791255167401E-2</v>
      </c>
      <c r="D1921" s="55">
        <f>+LN(rprecios!D1920/rprecios!D1919)</f>
        <v>-7.4627212015896003E-3</v>
      </c>
      <c r="E1921" s="55">
        <f>+LN(rprecios!E1920/rprecios!E1919)</f>
        <v>-4.1489294290929547E-2</v>
      </c>
      <c r="F1921" s="55">
        <f>+LN(rprecios!F1920/rprecios!F1919)</f>
        <v>1.0582109330537008E-2</v>
      </c>
      <c r="G1921" s="55">
        <f>+LN(rprecios!G1920/rprecios!G1919)</f>
        <v>1.398624197473987E-2</v>
      </c>
      <c r="H1921" s="55">
        <f>+LN(rprecios!H1920/rprecios!H1919)</f>
        <v>6.1875403718087453E-2</v>
      </c>
      <c r="I1921" s="55">
        <f>+LN(rprecios!I1920/rprecios!I1919)</f>
        <v>-3.1882861835720144E-2</v>
      </c>
      <c r="J1921" s="55">
        <f>+LN(rprecios!J1920/rprecios!J1919)</f>
        <v>6.8616508393650197E-3</v>
      </c>
      <c r="K1921" s="55">
        <f>+LN(rprecios!K1920/rprecios!K1919)</f>
        <v>-2.7908788117076502E-2</v>
      </c>
      <c r="L1921" s="55">
        <f>+LN(rprecios!L1920/rprecios!L1919)</f>
        <v>0</v>
      </c>
      <c r="M1921" s="55">
        <f>+LN(rprecios!M1920/rprecios!M1919)</f>
        <v>0</v>
      </c>
      <c r="N1921" s="55">
        <f>+LN(rprecios!N1920/rprecios!N1919)</f>
        <v>-3.3901551675681228E-2</v>
      </c>
      <c r="O1921" s="55">
        <f>+LN(rprecios!O1920/rprecios!O1919)</f>
        <v>2.1661496781179249E-2</v>
      </c>
      <c r="P1921" s="55">
        <f>+LN(rprecios!P1920/rprecios!P1919)</f>
        <v>4.6233195039208072E-2</v>
      </c>
      <c r="AI1921" s="49"/>
      <c r="AJ1921" s="78"/>
      <c r="AK1921" s="79"/>
      <c r="AL1921" s="79"/>
      <c r="AM1921" s="79"/>
      <c r="AN1921" s="79"/>
      <c r="AO1921" s="79"/>
      <c r="AP1921" s="79"/>
      <c r="AQ1921" s="79"/>
      <c r="AR1921" s="78"/>
      <c r="AS1921" s="78"/>
      <c r="AT1921" s="79"/>
      <c r="AU1921" s="79"/>
      <c r="AV1921" s="79"/>
      <c r="AW1921" s="79"/>
      <c r="AX1921" s="79"/>
      <c r="AZ1921" s="81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</row>
    <row r="1922" spans="1:68" x14ac:dyDescent="0.25">
      <c r="A1922" s="51">
        <v>43983</v>
      </c>
      <c r="B1922" s="54">
        <f>+LN(rprecios!B1921/rprecios!B1920)</f>
        <v>-6.4308903302904025E-3</v>
      </c>
      <c r="C1922" s="55">
        <f>+LN(rprecios!C1921/rprecios!C1920)</f>
        <v>2.5226562945675563E-2</v>
      </c>
      <c r="D1922" s="55">
        <f>+LN(rprecios!D1921/rprecios!D1920)</f>
        <v>0</v>
      </c>
      <c r="E1922" s="55">
        <f>+LN(rprecios!E1921/rprecios!E1920)</f>
        <v>5.8583727650229761E-2</v>
      </c>
      <c r="F1922" s="55">
        <f>+LN(rprecios!F1921/rprecios!F1920)</f>
        <v>-1.0582109330536859E-2</v>
      </c>
      <c r="G1922" s="55">
        <f>+LN(rprecios!G1921/rprecios!G1920)</f>
        <v>-2.8170876966696335E-2</v>
      </c>
      <c r="H1922" s="55">
        <f>+LN(rprecios!H1921/rprecios!H1920)</f>
        <v>0</v>
      </c>
      <c r="I1922" s="55">
        <f>+LN(rprecios!I1921/rprecios!I1920)</f>
        <v>-1.0989121575595206E-2</v>
      </c>
      <c r="J1922" s="55">
        <f>+LN(rprecios!J1921/rprecios!J1920)</f>
        <v>2.5399211378856288E-2</v>
      </c>
      <c r="K1922" s="55">
        <f>+LN(rprecios!K1921/rprecios!K1920)</f>
        <v>0</v>
      </c>
      <c r="L1922" s="55">
        <f>+LN(rprecios!L1921/rprecios!L1920)</f>
        <v>0</v>
      </c>
      <c r="M1922" s="55">
        <f>+LN(rprecios!M1921/rprecios!M1920)</f>
        <v>0</v>
      </c>
      <c r="N1922" s="55">
        <f>+LN(rprecios!N1921/rprecios!N1920)</f>
        <v>0</v>
      </c>
      <c r="O1922" s="55">
        <f>+LN(rprecios!O1921/rprecios!O1920)</f>
        <v>-1.4388737452099669E-2</v>
      </c>
      <c r="P1922" s="55">
        <f>+LN(rprecios!P1921/rprecios!P1920)</f>
        <v>-6.0423144559625863E-3</v>
      </c>
      <c r="AI1922" s="49"/>
      <c r="AJ1922" s="78"/>
      <c r="AK1922" s="79"/>
      <c r="AL1922" s="79"/>
      <c r="AM1922" s="79"/>
      <c r="AN1922" s="79"/>
      <c r="AO1922" s="79"/>
      <c r="AP1922" s="79"/>
      <c r="AQ1922" s="79"/>
      <c r="AR1922" s="78"/>
      <c r="AS1922" s="78"/>
      <c r="AT1922" s="79"/>
      <c r="AU1922" s="79"/>
      <c r="AV1922" s="79"/>
      <c r="AW1922" s="79"/>
      <c r="AX1922" s="79"/>
      <c r="AZ1922" s="81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</row>
    <row r="1923" spans="1:68" x14ac:dyDescent="0.25">
      <c r="A1923" s="51">
        <v>43984</v>
      </c>
      <c r="B1923" s="54">
        <f>+LN(rprecios!B1922/rprecios!B1921)</f>
        <v>6.4308903302903314E-3</v>
      </c>
      <c r="C1923" s="55">
        <f>+LN(rprecios!C1922/rprecios!C1921)</f>
        <v>1.7637141486106876E-2</v>
      </c>
      <c r="D1923" s="55">
        <f>+LN(rprecios!D1922/rprecios!D1921)</f>
        <v>-3.6617363238223309E-2</v>
      </c>
      <c r="E1923" s="55">
        <f>+LN(rprecios!E1922/rprecios!E1921)</f>
        <v>-2.4511031014349691E-2</v>
      </c>
      <c r="F1923" s="55">
        <f>+LN(rprecios!F1922/rprecios!F1921)</f>
        <v>1.0582109330537008E-2</v>
      </c>
      <c r="G1923" s="55">
        <f>+LN(rprecios!G1922/rprecios!G1921)</f>
        <v>7.1174677688639549E-3</v>
      </c>
      <c r="H1923" s="55">
        <f>+LN(rprecios!H1922/rprecios!H1921)</f>
        <v>3.278982282299097E-2</v>
      </c>
      <c r="I1923" s="55">
        <f>+LN(rprecios!I1922/rprecios!I1921)</f>
        <v>-1.5797791595183908E-3</v>
      </c>
      <c r="J1923" s="55">
        <f>+LN(rprecios!J1922/rprecios!J1921)</f>
        <v>3.125254350410453E-2</v>
      </c>
      <c r="K1923" s="55">
        <f>+LN(rprecios!K1922/rprecios!K1921)</f>
        <v>1.8692133012152546E-2</v>
      </c>
      <c r="L1923" s="55">
        <f>+LN(rprecios!L1922/rprecios!L1921)</f>
        <v>0</v>
      </c>
      <c r="M1923" s="55">
        <f>+LN(rprecios!M1922/rprecios!M1921)</f>
        <v>0</v>
      </c>
      <c r="N1923" s="55">
        <f>+LN(rprecios!N1922/rprecios!N1921)</f>
        <v>0</v>
      </c>
      <c r="O1923" s="55">
        <f>+LN(rprecios!O1922/rprecios!O1921)</f>
        <v>1.4388737452099671E-2</v>
      </c>
      <c r="P1923" s="55">
        <f>+LN(rprecios!P1922/rprecios!P1921)</f>
        <v>-1.2195273093818243E-2</v>
      </c>
      <c r="AI1923" s="49"/>
      <c r="AJ1923" s="78"/>
      <c r="AK1923" s="79"/>
      <c r="AL1923" s="79"/>
      <c r="AM1923" s="79"/>
      <c r="AN1923" s="79"/>
      <c r="AO1923" s="79"/>
      <c r="AP1923" s="79"/>
      <c r="AQ1923" s="79"/>
      <c r="AR1923" s="78"/>
      <c r="AS1923" s="78"/>
      <c r="AT1923" s="79"/>
      <c r="AU1923" s="79"/>
      <c r="AV1923" s="79"/>
      <c r="AW1923" s="79"/>
      <c r="AX1923" s="79"/>
      <c r="AZ1923" s="81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</row>
    <row r="1924" spans="1:68" x14ac:dyDescent="0.25">
      <c r="A1924" s="51">
        <v>43985</v>
      </c>
      <c r="B1924" s="54">
        <f>+LN(rprecios!B1923/rprecios!B1922)</f>
        <v>1.5267472130788381E-2</v>
      </c>
      <c r="C1924" s="55">
        <f>+LN(rprecios!C1923/rprecios!C1922)</f>
        <v>5.6618252439027676E-2</v>
      </c>
      <c r="D1924" s="55">
        <f>+LN(rprecios!D1923/rprecios!D1922)</f>
        <v>1.3889112160667093E-2</v>
      </c>
      <c r="E1924" s="55">
        <f>+LN(rprecios!E1923/rprecios!E1922)</f>
        <v>4.6068752089328716E-2</v>
      </c>
      <c r="F1924" s="55">
        <f>+LN(rprecios!F1923/rprecios!F1922)</f>
        <v>3.1090587070031182E-2</v>
      </c>
      <c r="G1924" s="55">
        <f>+LN(rprecios!G1923/rprecios!G1922)</f>
        <v>1.4084739881739023E-2</v>
      </c>
      <c r="H1924" s="55">
        <f>+LN(rprecios!H1923/rprecios!H1922)</f>
        <v>3.174869831458027E-2</v>
      </c>
      <c r="I1924" s="55">
        <f>+LN(rprecios!I1923/rprecios!I1922)</f>
        <v>9.7822293093845256E-2</v>
      </c>
      <c r="J1924" s="55">
        <f>+LN(rprecios!J1923/rprecios!J1922)</f>
        <v>1.5267472130788381E-2</v>
      </c>
      <c r="K1924" s="55">
        <f>+LN(rprecios!K1923/rprecios!K1922)</f>
        <v>0</v>
      </c>
      <c r="L1924" s="55">
        <f>+LN(rprecios!L1923/rprecios!L1922)</f>
        <v>1.3333530869465168E-2</v>
      </c>
      <c r="M1924" s="55">
        <f>+LN(rprecios!M1923/rprecios!M1922)</f>
        <v>3.278982282299097E-2</v>
      </c>
      <c r="N1924" s="55">
        <f>+LN(rprecios!N1923/rprecios!N1922)</f>
        <v>6.6691374498672143E-2</v>
      </c>
      <c r="O1924" s="55">
        <f>+LN(rprecios!O1923/rprecios!O1922)</f>
        <v>4.8790164169432049E-2</v>
      </c>
      <c r="P1924" s="55">
        <f>+LN(rprecios!P1923/rprecios!P1922)</f>
        <v>2.1245108613736279E-2</v>
      </c>
      <c r="AI1924" s="49"/>
      <c r="AJ1924" s="78"/>
      <c r="AK1924" s="79"/>
      <c r="AL1924" s="79"/>
      <c r="AM1924" s="79"/>
      <c r="AN1924" s="79"/>
      <c r="AO1924" s="79"/>
      <c r="AP1924" s="79"/>
      <c r="AQ1924" s="79"/>
      <c r="AR1924" s="78"/>
      <c r="AS1924" s="78"/>
      <c r="AT1924" s="79"/>
      <c r="AU1924" s="79"/>
      <c r="AV1924" s="79"/>
      <c r="AW1924" s="79"/>
      <c r="AX1924" s="79"/>
      <c r="AZ1924" s="81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</row>
    <row r="1925" spans="1:68" x14ac:dyDescent="0.25">
      <c r="A1925" s="51">
        <v>43986</v>
      </c>
      <c r="B1925" s="54">
        <f>+LN(rprecios!B1924/rprecios!B1923)</f>
        <v>2.616971773338482E-2</v>
      </c>
      <c r="C1925" s="55">
        <f>+LN(rprecios!C1924/rprecios!C1923)</f>
        <v>2.2024874880085529E-2</v>
      </c>
      <c r="D1925" s="55">
        <f>+LN(rprecios!D1924/rprecios!D1923)</f>
        <v>0</v>
      </c>
      <c r="E1925" s="55">
        <f>+LN(rprecios!E1924/rprecios!E1923)</f>
        <v>7.0838548884050419E-3</v>
      </c>
      <c r="F1925" s="55">
        <f>+LN(rprecios!F1924/rprecios!F1923)</f>
        <v>0</v>
      </c>
      <c r="G1925" s="55">
        <f>+LN(rprecios!G1924/rprecios!G1923)</f>
        <v>0</v>
      </c>
      <c r="H1925" s="55">
        <f>+LN(rprecios!H1924/rprecios!H1923)</f>
        <v>0</v>
      </c>
      <c r="I1925" s="55">
        <f>+LN(rprecios!I1924/rprecios!I1923)</f>
        <v>-1.4440684154794247E-2</v>
      </c>
      <c r="J1925" s="55">
        <f>+LN(rprecios!J1924/rprecios!J1923)</f>
        <v>1.2048338516174355E-2</v>
      </c>
      <c r="K1925" s="55">
        <f>+LN(rprecios!K1924/rprecios!K1923)</f>
        <v>0</v>
      </c>
      <c r="L1925" s="55">
        <f>+LN(rprecios!L1924/rprecios!L1923)</f>
        <v>6.6006840313520927E-3</v>
      </c>
      <c r="M1925" s="55">
        <f>+LN(rprecios!M1924/rprecios!M1923)</f>
        <v>2.1277398447284879E-2</v>
      </c>
      <c r="N1925" s="55">
        <f>+LN(rprecios!N1924/rprecios!N1923)</f>
        <v>4.7252884850545511E-2</v>
      </c>
      <c r="O1925" s="55">
        <f>+LN(rprecios!O1924/rprecios!O1923)</f>
        <v>2.0202707317519469E-2</v>
      </c>
      <c r="P1925" s="55">
        <f>+LN(rprecios!P1924/rprecios!P1923)</f>
        <v>2.0803127629763326E-2</v>
      </c>
      <c r="AI1925" s="49"/>
      <c r="AJ1925" s="78"/>
      <c r="AK1925" s="79"/>
      <c r="AL1925" s="79"/>
      <c r="AM1925" s="79"/>
      <c r="AN1925" s="79"/>
      <c r="AO1925" s="79"/>
      <c r="AP1925" s="79"/>
      <c r="AQ1925" s="79"/>
      <c r="AR1925" s="78"/>
      <c r="AS1925" s="78"/>
      <c r="AT1925" s="79"/>
      <c r="AU1925" s="79"/>
      <c r="AV1925" s="79"/>
      <c r="AW1925" s="79"/>
      <c r="AX1925" s="79"/>
      <c r="AZ1925" s="81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</row>
    <row r="1926" spans="1:68" x14ac:dyDescent="0.25">
      <c r="A1926" s="51">
        <v>43987</v>
      </c>
      <c r="B1926" s="54">
        <f>+LN(rprecios!B1925/rprecios!B1924)</f>
        <v>6.1998397384068753E-2</v>
      </c>
      <c r="C1926" s="55">
        <f>+LN(rprecios!C1925/rprecios!C1924)</f>
        <v>6.8087484372138851E-2</v>
      </c>
      <c r="D1926" s="55">
        <f>+LN(rprecios!D1925/rprecios!D1924)</f>
        <v>7.6336248550712051E-3</v>
      </c>
      <c r="E1926" s="55">
        <f>+LN(rprecios!E1925/rprecios!E1924)</f>
        <v>1.1696039763191236E-2</v>
      </c>
      <c r="F1926" s="55">
        <f>+LN(rprecios!F1925/rprecios!F1924)</f>
        <v>2.0202707317519469E-2</v>
      </c>
      <c r="G1926" s="55">
        <f>+LN(rprecios!G1925/rprecios!G1924)</f>
        <v>6.1035890586369088E-2</v>
      </c>
      <c r="H1926" s="55">
        <f>+LN(rprecios!H1925/rprecios!H1924)</f>
        <v>1.242251999855711E-2</v>
      </c>
      <c r="I1926" s="55">
        <f>+LN(rprecios!I1925/rprecios!I1924)</f>
        <v>4.2362625320747888E-2</v>
      </c>
      <c r="J1926" s="55">
        <f>+LN(rprecios!J1925/rprecios!J1924)</f>
        <v>6.0976796498715374E-2</v>
      </c>
      <c r="K1926" s="55">
        <f>+LN(rprecios!K1925/rprecios!K1924)</f>
        <v>1.8349138668196617E-2</v>
      </c>
      <c r="L1926" s="55">
        <f>+LN(rprecios!L1925/rprecios!L1924)</f>
        <v>2.5975486403260736E-2</v>
      </c>
      <c r="M1926" s="55">
        <f>+LN(rprecios!M1925/rprecios!M1924)</f>
        <v>0.10008345855698263</v>
      </c>
      <c r="N1926" s="55">
        <f>+LN(rprecios!N1925/rprecios!N1924)</f>
        <v>4.5120435280469641E-2</v>
      </c>
      <c r="O1926" s="55">
        <f>+LN(rprecios!O1925/rprecios!O1924)</f>
        <v>3.278982282299097E-2</v>
      </c>
      <c r="P1926" s="55">
        <f>+LN(rprecios!P1925/rprecios!P1924)</f>
        <v>5.1587368790493054E-2</v>
      </c>
      <c r="AI1926" s="49"/>
      <c r="AJ1926" s="78"/>
      <c r="AK1926" s="79"/>
      <c r="AL1926" s="79"/>
      <c r="AM1926" s="79"/>
      <c r="AN1926" s="79"/>
      <c r="AO1926" s="79"/>
      <c r="AP1926" s="79"/>
      <c r="AQ1926" s="79"/>
      <c r="AR1926" s="78"/>
      <c r="AS1926" s="78"/>
      <c r="AT1926" s="79"/>
      <c r="AU1926" s="79"/>
      <c r="AV1926" s="79"/>
      <c r="AW1926" s="79"/>
      <c r="AX1926" s="79"/>
      <c r="AZ1926" s="81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</row>
    <row r="1927" spans="1:68" x14ac:dyDescent="0.25">
      <c r="A1927" s="51">
        <v>43990</v>
      </c>
      <c r="B1927" s="54">
        <f>+LN(rprecios!B1926/rprecios!B1925)</f>
        <v>-5.7971176843259579E-3</v>
      </c>
      <c r="C1927" s="55">
        <f>+LN(rprecios!C1926/rprecios!C1925)</f>
        <v>2.0619287202735825E-2</v>
      </c>
      <c r="D1927" s="55">
        <f>+LN(rprecios!D1926/rprecios!D1925)</f>
        <v>7.5757938084577226E-3</v>
      </c>
      <c r="E1927" s="55">
        <f>+LN(rprecios!E1926/rprecios!E1925)</f>
        <v>3.5412038223255872E-2</v>
      </c>
      <c r="F1927" s="55">
        <f>+LN(rprecios!F1926/rprecios!F1925)</f>
        <v>0</v>
      </c>
      <c r="G1927" s="55">
        <f>+LN(rprecios!G1926/rprecios!G1925)</f>
        <v>1.3072081567352701E-2</v>
      </c>
      <c r="H1927" s="55">
        <f>+LN(rprecios!H1926/rprecios!H1925)</f>
        <v>-1.2422519998557209E-2</v>
      </c>
      <c r="I1927" s="55">
        <f>+LN(rprecios!I1926/rprecios!I1925)</f>
        <v>6.7062346505781981E-2</v>
      </c>
      <c r="J1927" s="55">
        <f>+LN(rprecios!J1926/rprecios!J1925)</f>
        <v>8.4471355156573631E-4</v>
      </c>
      <c r="K1927" s="55">
        <f>+LN(rprecios!K1926/rprecios!K1925)</f>
        <v>-3.6370249537135579E-4</v>
      </c>
      <c r="L1927" s="55">
        <f>+LN(rprecios!L1926/rprecios!L1925)</f>
        <v>1.9048194970694411E-2</v>
      </c>
      <c r="M1927" s="55">
        <f>+LN(rprecios!M1926/rprecios!M1925)</f>
        <v>9.0971778205726592E-2</v>
      </c>
      <c r="N1927" s="55">
        <f>+LN(rprecios!N1926/rprecios!N1925)</f>
        <v>2.8987536873252406E-2</v>
      </c>
      <c r="O1927" s="55">
        <f>+LN(rprecios!O1926/rprecios!O1925)</f>
        <v>1.9169916107720123E-2</v>
      </c>
      <c r="P1927" s="55">
        <f>+LN(rprecios!P1926/rprecios!P1925)</f>
        <v>3.2970019237569897E-2</v>
      </c>
      <c r="AI1927" s="49"/>
      <c r="AJ1927" s="78"/>
      <c r="AK1927" s="79"/>
      <c r="AL1927" s="79"/>
      <c r="AM1927" s="79"/>
      <c r="AN1927" s="79"/>
      <c r="AO1927" s="79"/>
      <c r="AP1927" s="79"/>
      <c r="AQ1927" s="79"/>
      <c r="AR1927" s="78"/>
      <c r="AS1927" s="78"/>
      <c r="AT1927" s="79"/>
      <c r="AU1927" s="79"/>
      <c r="AV1927" s="79"/>
      <c r="AW1927" s="79"/>
      <c r="AX1927" s="79"/>
      <c r="AZ1927" s="81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</row>
    <row r="1928" spans="1:68" x14ac:dyDescent="0.25">
      <c r="A1928" s="51">
        <v>43991</v>
      </c>
      <c r="B1928" s="54">
        <f>+LN(rprecios!B1927/rprecios!B1926)</f>
        <v>-1.7595761890379601E-2</v>
      </c>
      <c r="C1928" s="55">
        <f>+LN(rprecios!C1927/rprecios!C1926)</f>
        <v>-1.7604512534645969E-2</v>
      </c>
      <c r="D1928" s="55">
        <f>+LN(rprecios!D1927/rprecios!D1926)</f>
        <v>1.4981553615616894E-2</v>
      </c>
      <c r="E1928" s="55">
        <f>+LN(rprecios!E1927/rprecios!E1926)</f>
        <v>-5.894253563344997E-2</v>
      </c>
      <c r="F1928" s="55">
        <f>+LN(rprecios!F1927/rprecios!F1926)</f>
        <v>-1.0050335853501451E-2</v>
      </c>
      <c r="G1928" s="55">
        <f>+LN(rprecios!G1927/rprecios!G1926)</f>
        <v>-3.9740328649514108E-2</v>
      </c>
      <c r="H1928" s="55">
        <f>+LN(rprecios!H1927/rprecios!H1926)</f>
        <v>-3.1748698314580298E-2</v>
      </c>
      <c r="I1928" s="55">
        <f>+LN(rprecios!I1927/rprecios!I1926)</f>
        <v>-3.2463930690401516E-2</v>
      </c>
      <c r="J1928" s="55">
        <f>+LN(rprecios!J1927/rprecios!J1926)</f>
        <v>1.9682278250490997E-3</v>
      </c>
      <c r="K1928" s="55">
        <f>+LN(rprecios!K1927/rprecios!K1926)</f>
        <v>0</v>
      </c>
      <c r="L1928" s="55">
        <f>+LN(rprecios!L1927/rprecios!L1926)</f>
        <v>1.2500162764231468E-2</v>
      </c>
      <c r="M1928" s="55">
        <f>+LN(rprecios!M1927/rprecios!M1926)</f>
        <v>0</v>
      </c>
      <c r="N1928" s="55">
        <f>+LN(rprecios!N1927/rprecios!N1926)</f>
        <v>0</v>
      </c>
      <c r="O1928" s="55">
        <f>+LN(rprecios!O1927/rprecios!O1926)</f>
        <v>-1.9169916107720172E-2</v>
      </c>
      <c r="P1928" s="55">
        <f>+LN(rprecios!P1927/rprecios!P1926)</f>
        <v>-2.7398974188114503E-2</v>
      </c>
      <c r="AI1928" s="49"/>
      <c r="AJ1928" s="78"/>
      <c r="AK1928" s="79"/>
      <c r="AL1928" s="79"/>
      <c r="AM1928" s="79"/>
      <c r="AN1928" s="79"/>
      <c r="AO1928" s="79"/>
      <c r="AP1928" s="79"/>
      <c r="AQ1928" s="79"/>
      <c r="AR1928" s="78"/>
      <c r="AS1928" s="78"/>
      <c r="AT1928" s="79"/>
      <c r="AU1928" s="79"/>
      <c r="AV1928" s="79"/>
      <c r="AW1928" s="79"/>
      <c r="AX1928" s="79"/>
      <c r="AZ1928" s="81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</row>
    <row r="1929" spans="1:68" x14ac:dyDescent="0.25">
      <c r="A1929" s="51">
        <v>43992</v>
      </c>
      <c r="B1929" s="54">
        <f>+LN(rprecios!B1928/rprecios!B1927)</f>
        <v>0</v>
      </c>
      <c r="C1929" s="55">
        <f>+LN(rprecios!C1928/rprecios!C1927)</f>
        <v>-3.3673215106587835E-2</v>
      </c>
      <c r="D1929" s="55">
        <f>+LN(rprecios!D1928/rprecios!D1927)</f>
        <v>1.1090686694158356E-2</v>
      </c>
      <c r="E1929" s="55">
        <f>+LN(rprecios!E1928/rprecios!E1927)</f>
        <v>9.0971778205726592E-2</v>
      </c>
      <c r="F1929" s="55">
        <f>+LN(rprecios!F1928/rprecios!F1927)</f>
        <v>-1.0152371464017962E-2</v>
      </c>
      <c r="G1929" s="55">
        <f>+LN(rprecios!G1928/rprecios!G1927)</f>
        <v>-2.0478531343540676E-2</v>
      </c>
      <c r="H1929" s="55">
        <f>+LN(rprecios!H1928/rprecios!H1927)</f>
        <v>0</v>
      </c>
      <c r="I1929" s="55">
        <f>+LN(rprecios!I1928/rprecios!I1927)</f>
        <v>4.7027295269061239E-3</v>
      </c>
      <c r="J1929" s="55">
        <f>+LN(rprecios!J1928/rprecios!J1927)</f>
        <v>8.3916576362483807E-3</v>
      </c>
      <c r="K1929" s="55">
        <f>+LN(rprecios!K1928/rprecios!K1927)</f>
        <v>0</v>
      </c>
      <c r="L1929" s="55">
        <f>+LN(rprecios!L1928/rprecios!L1927)</f>
        <v>0</v>
      </c>
      <c r="M1929" s="55">
        <f>+LN(rprecios!M1928/rprecios!M1927)</f>
        <v>0</v>
      </c>
      <c r="N1929" s="55">
        <f>+LN(rprecios!N1928/rprecios!N1927)</f>
        <v>-1.4388737452099669E-2</v>
      </c>
      <c r="O1929" s="55">
        <f>+LN(rprecios!O1928/rprecios!O1927)</f>
        <v>6.4308903302903314E-3</v>
      </c>
      <c r="P1929" s="55">
        <f>+LN(rprecios!P1928/rprecios!P1927)</f>
        <v>1.3793322132335769E-2</v>
      </c>
      <c r="AI1929" s="49"/>
      <c r="AJ1929" s="78"/>
      <c r="AK1929" s="79"/>
      <c r="AL1929" s="79"/>
      <c r="AM1929" s="79"/>
      <c r="AN1929" s="79"/>
      <c r="AO1929" s="79"/>
      <c r="AP1929" s="79"/>
      <c r="AQ1929" s="79"/>
      <c r="AR1929" s="78"/>
      <c r="AS1929" s="78"/>
      <c r="AT1929" s="79"/>
      <c r="AU1929" s="79"/>
      <c r="AV1929" s="79"/>
      <c r="AW1929" s="79"/>
      <c r="AX1929" s="79"/>
      <c r="AZ1929" s="81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</row>
    <row r="1930" spans="1:68" x14ac:dyDescent="0.25">
      <c r="A1930" s="51">
        <v>43993</v>
      </c>
      <c r="B1930" s="54">
        <f>+LN(rprecios!B1929/rprecios!B1928)</f>
        <v>-2.6380426680103854E-2</v>
      </c>
      <c r="C1930" s="55">
        <f>+LN(rprecios!C1929/rprecios!C1928)</f>
        <v>-3.8722705174861073E-2</v>
      </c>
      <c r="D1930" s="55">
        <f>+LN(rprecios!D1929/rprecios!D1928)</f>
        <v>-4.5120435280469655E-2</v>
      </c>
      <c r="E1930" s="55">
        <f>+LN(rprecios!E1929/rprecios!E1928)</f>
        <v>-0.12610561592767311</v>
      </c>
      <c r="F1930" s="55">
        <f>+LN(rprecios!F1929/rprecios!F1928)</f>
        <v>-4.1672696400568074E-2</v>
      </c>
      <c r="G1930" s="55">
        <f>+LN(rprecios!G1929/rprecios!G1928)</f>
        <v>-4.9480057263369813E-2</v>
      </c>
      <c r="H1930" s="55">
        <f>+LN(rprecios!H1929/rprecios!H1928)</f>
        <v>-3.2789822822990956E-2</v>
      </c>
      <c r="I1930" s="55">
        <f>+LN(rprecios!I1929/rprecios!I1928)</f>
        <v>-6.7046599896768719E-4</v>
      </c>
      <c r="J1930" s="55">
        <f>+LN(rprecios!J1929/rprecios!J1928)</f>
        <v>-1.1204599012863019E-2</v>
      </c>
      <c r="K1930" s="55">
        <f>+LN(rprecios!K1929/rprecios!K1928)</f>
        <v>0</v>
      </c>
      <c r="L1930" s="55">
        <f>+LN(rprecios!L1929/rprecios!L1928)</f>
        <v>-3.1548357734926008E-2</v>
      </c>
      <c r="M1930" s="55">
        <f>+LN(rprecios!M1929/rprecios!M1928)</f>
        <v>0</v>
      </c>
      <c r="N1930" s="55">
        <f>+LN(rprecios!N1929/rprecios!N1928)</f>
        <v>-7.5223421237587629E-2</v>
      </c>
      <c r="O1930" s="55">
        <f>+LN(rprecios!O1929/rprecios!O1928)</f>
        <v>-7.3122264828962738E-2</v>
      </c>
      <c r="P1930" s="55">
        <f>+LN(rprecios!P1929/rprecios!P1928)</f>
        <v>-7.0951735972284366E-2</v>
      </c>
      <c r="AI1930" s="49"/>
      <c r="AJ1930" s="78"/>
      <c r="AK1930" s="79"/>
      <c r="AL1930" s="79"/>
      <c r="AM1930" s="79"/>
      <c r="AN1930" s="79"/>
      <c r="AO1930" s="79"/>
      <c r="AP1930" s="79"/>
      <c r="AQ1930" s="79"/>
      <c r="AR1930" s="78"/>
      <c r="AS1930" s="78"/>
      <c r="AT1930" s="79"/>
      <c r="AU1930" s="79"/>
      <c r="AV1930" s="79"/>
      <c r="AW1930" s="79"/>
      <c r="AX1930" s="79"/>
      <c r="AZ1930" s="81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</row>
    <row r="1931" spans="1:68" x14ac:dyDescent="0.25">
      <c r="A1931" s="51">
        <v>43994</v>
      </c>
      <c r="B1931" s="54">
        <f>+LN(rprecios!B1930/rprecios!B1929)</f>
        <v>-3.6518604187711842E-3</v>
      </c>
      <c r="C1931" s="55">
        <f>+LN(rprecios!C1930/rprecios!C1929)</f>
        <v>9.7260114213577453E-3</v>
      </c>
      <c r="D1931" s="55">
        <f>+LN(rprecios!D1930/rprecios!D1929)</f>
        <v>1.1472401162236781E-2</v>
      </c>
      <c r="E1931" s="55">
        <f>+LN(rprecios!E1930/rprecios!E1929)</f>
        <v>4.1068573241760928E-2</v>
      </c>
      <c r="F1931" s="55">
        <f>+LN(rprecios!F1930/rprecios!F1929)</f>
        <v>1.0582109330537008E-2</v>
      </c>
      <c r="G1931" s="55">
        <f>+LN(rprecios!G1930/rprecios!G1929)</f>
        <v>1.4388737452099671E-2</v>
      </c>
      <c r="H1931" s="55">
        <f>+LN(rprecios!H1930/rprecios!H1929)</f>
        <v>5.8268908123975824E-2</v>
      </c>
      <c r="I1931" s="55">
        <f>+LN(rprecios!I1930/rprecios!I1929)</f>
        <v>2.6791710600483271E-3</v>
      </c>
      <c r="J1931" s="55">
        <f>+LN(rprecios!J1930/rprecios!J1929)</f>
        <v>-5.6353903999145887E-4</v>
      </c>
      <c r="K1931" s="55">
        <f>+LN(rprecios!K1930/rprecios!K1929)</f>
        <v>-1.2445255797209865E-2</v>
      </c>
      <c r="L1931" s="55">
        <f>+LN(rprecios!L1930/rprecios!L1929)</f>
        <v>0</v>
      </c>
      <c r="M1931" s="55">
        <f>+LN(rprecios!M1930/rprecios!M1929)</f>
        <v>-9.0971778205726633E-2</v>
      </c>
      <c r="N1931" s="55">
        <f>+LN(rprecios!N1930/rprecios!N1929)</f>
        <v>4.5809536031294201E-2</v>
      </c>
      <c r="O1931" s="55">
        <f>+LN(rprecios!O1930/rprecios!O1929)</f>
        <v>6.0218859993054874E-2</v>
      </c>
      <c r="P1931" s="55">
        <f>+LN(rprecios!P1930/rprecios!P1929)</f>
        <v>1.7493157447517119E-2</v>
      </c>
      <c r="AI1931" s="49"/>
      <c r="AJ1931" s="78"/>
      <c r="AK1931" s="79"/>
      <c r="AL1931" s="79"/>
      <c r="AM1931" s="79"/>
      <c r="AN1931" s="79"/>
      <c r="AO1931" s="79"/>
      <c r="AP1931" s="79"/>
      <c r="AQ1931" s="79"/>
      <c r="AR1931" s="78"/>
      <c r="AS1931" s="78"/>
      <c r="AT1931" s="79"/>
      <c r="AU1931" s="79"/>
      <c r="AV1931" s="79"/>
      <c r="AW1931" s="79"/>
      <c r="AX1931" s="79"/>
      <c r="AZ1931" s="81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</row>
    <row r="1932" spans="1:68" x14ac:dyDescent="0.25">
      <c r="A1932" s="51">
        <v>43997</v>
      </c>
      <c r="B1932" s="54">
        <f>+LN(rprecios!B1931/rprecios!B1930)</f>
        <v>-6.1162270174359825E-3</v>
      </c>
      <c r="C1932" s="55">
        <f>+LN(rprecios!C1931/rprecios!C1930)</f>
        <v>1.2674925267808924E-2</v>
      </c>
      <c r="D1932" s="55">
        <f>+LN(rprecios!D1931/rprecios!D1930)</f>
        <v>-1.1472401162236696E-2</v>
      </c>
      <c r="E1932" s="55">
        <f>+LN(rprecios!E1931/rprecios!E1930)</f>
        <v>5.1884835369011721E-2</v>
      </c>
      <c r="F1932" s="55">
        <f>+LN(rprecios!F1931/rprecios!F1930)</f>
        <v>0</v>
      </c>
      <c r="G1932" s="55">
        <f>+LN(rprecios!G1931/rprecios!G1930)</f>
        <v>-1.4388737452099669E-2</v>
      </c>
      <c r="H1932" s="55">
        <f>+LN(rprecios!H1931/rprecios!H1930)</f>
        <v>1.8692133012152546E-2</v>
      </c>
      <c r="I1932" s="55">
        <f>+LN(rprecios!I1931/rprecios!I1930)</f>
        <v>9.9834439841832052E-3</v>
      </c>
      <c r="J1932" s="55">
        <f>+LN(rprecios!J1931/rprecios!J1930)</f>
        <v>-1.3621095951964963E-2</v>
      </c>
      <c r="K1932" s="55">
        <f>+LN(rprecios!K1931/rprecios!K1930)</f>
        <v>1.2445255797209825E-2</v>
      </c>
      <c r="L1932" s="55">
        <f>+LN(rprecios!L1931/rprecios!L1930)</f>
        <v>-1.2903404835907954E-2</v>
      </c>
      <c r="M1932" s="55">
        <f>+LN(rprecios!M1931/rprecios!M1930)</f>
        <v>0</v>
      </c>
      <c r="N1932" s="55">
        <f>+LN(rprecios!N1931/rprecios!N1930)</f>
        <v>-3.0305349495328922E-2</v>
      </c>
      <c r="O1932" s="55">
        <f>+LN(rprecios!O1931/rprecios!O1930)</f>
        <v>-1.9672765598704893E-2</v>
      </c>
      <c r="P1932" s="55">
        <f>+LN(rprecios!P1931/rprecios!P1930)</f>
        <v>-3.2308243232657664E-2</v>
      </c>
      <c r="AI1932" s="49"/>
      <c r="AJ1932" s="78"/>
      <c r="AK1932" s="79"/>
      <c r="AL1932" s="79"/>
      <c r="AM1932" s="79"/>
      <c r="AN1932" s="79"/>
      <c r="AO1932" s="79"/>
      <c r="AP1932" s="79"/>
      <c r="AQ1932" s="79"/>
      <c r="AR1932" s="78"/>
      <c r="AS1932" s="78"/>
      <c r="AT1932" s="79"/>
      <c r="AU1932" s="79"/>
      <c r="AV1932" s="79"/>
      <c r="AW1932" s="79"/>
      <c r="AX1932" s="79"/>
      <c r="AZ1932" s="81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</row>
    <row r="1933" spans="1:68" x14ac:dyDescent="0.25">
      <c r="A1933" s="51">
        <v>43998</v>
      </c>
      <c r="B1933" s="54">
        <f>+LN(rprecios!B1932/rprecios!B1931)</f>
        <v>3.6148514116310933E-2</v>
      </c>
      <c r="C1933" s="55">
        <f>+LN(rprecios!C1932/rprecios!C1931)</f>
        <v>-5.4579052792913261E-3</v>
      </c>
      <c r="D1933" s="55">
        <f>+LN(rprecios!D1932/rprecios!D1931)</f>
        <v>1.9048194970694411E-2</v>
      </c>
      <c r="E1933" s="55">
        <f>+LN(rprecios!E1932/rprecios!E1931)</f>
        <v>-3.4289073478632193E-2</v>
      </c>
      <c r="F1933" s="55">
        <f>+LN(rprecios!F1932/rprecios!F1931)</f>
        <v>3.1090587070031182E-2</v>
      </c>
      <c r="G1933" s="55">
        <f>+LN(rprecios!G1932/rprecios!G1931)</f>
        <v>2.1506205220963682E-2</v>
      </c>
      <c r="H1933" s="55">
        <f>+LN(rprecios!H1932/rprecios!H1931)</f>
        <v>-1.2422519998557209E-2</v>
      </c>
      <c r="I1933" s="55">
        <f>+LN(rprecios!I1932/rprecios!I1931)</f>
        <v>-6.6445427186685013E-3</v>
      </c>
      <c r="J1933" s="55">
        <f>+LN(rprecios!J1932/rprecios!J1931)</f>
        <v>0</v>
      </c>
      <c r="K1933" s="55">
        <f>+LN(rprecios!K1932/rprecios!K1931)</f>
        <v>-1.2445255797209865E-2</v>
      </c>
      <c r="L1933" s="55">
        <f>+LN(rprecios!L1932/rprecios!L1931)</f>
        <v>0</v>
      </c>
      <c r="M1933" s="55">
        <f>+LN(rprecios!M1932/rprecios!M1931)</f>
        <v>0</v>
      </c>
      <c r="N1933" s="55">
        <f>+LN(rprecios!N1932/rprecios!N1931)</f>
        <v>4.5120435280469641E-2</v>
      </c>
      <c r="O1933" s="55">
        <f>+LN(rprecios!O1932/rprecios!O1931)</f>
        <v>5.7893978418902668E-2</v>
      </c>
      <c r="P1933" s="55">
        <f>+LN(rprecios!P1932/rprecios!P1931)</f>
        <v>3.5194248121792684E-2</v>
      </c>
      <c r="AI1933" s="49"/>
      <c r="AJ1933" s="78"/>
      <c r="AK1933" s="79"/>
      <c r="AL1933" s="79"/>
      <c r="AM1933" s="79"/>
      <c r="AN1933" s="79"/>
      <c r="AO1933" s="79"/>
      <c r="AP1933" s="79"/>
      <c r="AQ1933" s="79"/>
      <c r="AR1933" s="78"/>
      <c r="AS1933" s="78"/>
      <c r="AT1933" s="79"/>
      <c r="AU1933" s="79"/>
      <c r="AV1933" s="79"/>
      <c r="AW1933" s="79"/>
      <c r="AX1933" s="79"/>
      <c r="AZ1933" s="81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</row>
    <row r="1934" spans="1:68" x14ac:dyDescent="0.25">
      <c r="A1934" s="51">
        <v>43999</v>
      </c>
      <c r="B1934" s="54">
        <f>+LN(rprecios!B1933/rprecios!B1932)</f>
        <v>-9.5125568676985538E-3</v>
      </c>
      <c r="C1934" s="55">
        <f>+LN(rprecios!C1933/rprecios!C1932)</f>
        <v>-1.9989739111309187E-2</v>
      </c>
      <c r="D1934" s="55">
        <f>+LN(rprecios!D1933/rprecios!D1932)</f>
        <v>1.8692133012152546E-2</v>
      </c>
      <c r="E1934" s="55">
        <f>+LN(rprecios!E1933/rprecios!E1932)</f>
        <v>0</v>
      </c>
      <c r="F1934" s="55">
        <f>+LN(rprecios!F1933/rprecios!F1932)</f>
        <v>4.0005334613698991E-2</v>
      </c>
      <c r="G1934" s="55">
        <f>+LN(rprecios!G1933/rprecios!G1932)</f>
        <v>2.7973852042406162E-2</v>
      </c>
      <c r="H1934" s="55">
        <f>+LN(rprecios!H1933/rprecios!H1932)</f>
        <v>1.242251999855711E-2</v>
      </c>
      <c r="I1934" s="55">
        <f>+LN(rprecios!I1933/rprecios!I1932)</f>
        <v>1.6529301951210506E-2</v>
      </c>
      <c r="J1934" s="55">
        <f>+LN(rprecios!J1933/rprecios!J1932)</f>
        <v>0</v>
      </c>
      <c r="K1934" s="55">
        <f>+LN(rprecios!K1933/rprecios!K1932)</f>
        <v>-2.8013036227674006E-2</v>
      </c>
      <c r="L1934" s="55">
        <f>+LN(rprecios!L1933/rprecios!L1932)</f>
        <v>0</v>
      </c>
      <c r="M1934" s="55">
        <f>+LN(rprecios!M1933/rprecios!M1932)</f>
        <v>4.6520015634892907E-2</v>
      </c>
      <c r="N1934" s="55">
        <f>+LN(rprecios!N1933/rprecios!N1932)</f>
        <v>0</v>
      </c>
      <c r="O1934" s="55">
        <f>+LN(rprecios!O1933/rprecios!O1932)</f>
        <v>0</v>
      </c>
      <c r="P1934" s="55">
        <f>+LN(rprecios!P1933/rprecios!P1932)</f>
        <v>2.2793009528556566E-2</v>
      </c>
      <c r="AI1934" s="49"/>
      <c r="AJ1934" s="78"/>
      <c r="AK1934" s="79"/>
      <c r="AL1934" s="79"/>
      <c r="AM1934" s="79"/>
      <c r="AN1934" s="79"/>
      <c r="AO1934" s="79"/>
      <c r="AP1934" s="79"/>
      <c r="AQ1934" s="79"/>
      <c r="AR1934" s="78"/>
      <c r="AS1934" s="78"/>
      <c r="AT1934" s="79"/>
      <c r="AU1934" s="79"/>
      <c r="AV1934" s="79"/>
      <c r="AW1934" s="79"/>
      <c r="AX1934" s="79"/>
      <c r="AZ1934" s="81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</row>
    <row r="1935" spans="1:68" x14ac:dyDescent="0.25">
      <c r="A1935" s="51">
        <v>44000</v>
      </c>
      <c r="B1935" s="54">
        <f>+LN(rprecios!B1934/rprecios!B1933)</f>
        <v>-1.2019375465783933E-2</v>
      </c>
      <c r="C1935" s="55">
        <f>+LN(rprecios!C1934/rprecios!C1933)</f>
        <v>-2.4846815221049288E-2</v>
      </c>
      <c r="D1935" s="55">
        <f>+LN(rprecios!D1934/rprecios!D1933)</f>
        <v>0</v>
      </c>
      <c r="E1935" s="55">
        <f>+LN(rprecios!E1934/rprecios!E1933)</f>
        <v>1.1621151801772967E-3</v>
      </c>
      <c r="F1935" s="55">
        <f>+LN(rprecios!F1934/rprecios!F1933)</f>
        <v>0</v>
      </c>
      <c r="G1935" s="55">
        <f>+LN(rprecios!G1934/rprecios!G1933)</f>
        <v>-2.0906684819313712E-2</v>
      </c>
      <c r="H1935" s="55">
        <f>+LN(rprecios!H1934/rprecios!H1933)</f>
        <v>0</v>
      </c>
      <c r="I1935" s="55">
        <f>+LN(rprecios!I1934/rprecios!I1933)</f>
        <v>-1.6406894574598886E-3</v>
      </c>
      <c r="J1935" s="55">
        <f>+LN(rprecios!J1934/rprecios!J1933)</f>
        <v>-1.4388737452099556E-2</v>
      </c>
      <c r="K1935" s="55">
        <f>+LN(rprecios!K1934/rprecios!K1933)</f>
        <v>-1.4114291145796381E-2</v>
      </c>
      <c r="L1935" s="55">
        <f>+LN(rprecios!L1934/rprecios!L1933)</f>
        <v>0</v>
      </c>
      <c r="M1935" s="55">
        <f>+LN(rprecios!M1934/rprecios!M1933)</f>
        <v>1.8018505502678431E-2</v>
      </c>
      <c r="N1935" s="55">
        <f>+LN(rprecios!N1934/rprecios!N1933)</f>
        <v>-2.985296314968116E-2</v>
      </c>
      <c r="O1935" s="55">
        <f>+LN(rprecios!O1934/rprecios!O1933)</f>
        <v>0</v>
      </c>
      <c r="P1935" s="55">
        <f>+LN(rprecios!P1934/rprecios!P1933)</f>
        <v>-1.4184634991956413E-2</v>
      </c>
      <c r="AI1935" s="49"/>
      <c r="AJ1935" s="78"/>
      <c r="AK1935" s="79"/>
      <c r="AL1935" s="79"/>
      <c r="AM1935" s="79"/>
      <c r="AN1935" s="79"/>
      <c r="AO1935" s="79"/>
      <c r="AP1935" s="79"/>
      <c r="AQ1935" s="79"/>
      <c r="AR1935" s="78"/>
      <c r="AS1935" s="78"/>
      <c r="AT1935" s="79"/>
      <c r="AU1935" s="79"/>
      <c r="AV1935" s="79"/>
      <c r="AW1935" s="79"/>
      <c r="AX1935" s="79"/>
      <c r="AZ1935" s="81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</row>
    <row r="1936" spans="1:68" x14ac:dyDescent="0.25">
      <c r="AI1936" s="49"/>
      <c r="AJ1936" s="78"/>
      <c r="AK1936" s="79"/>
      <c r="AL1936" s="79"/>
      <c r="AM1936" s="79"/>
      <c r="AN1936" s="79"/>
      <c r="AO1936" s="79"/>
      <c r="AP1936" s="79"/>
      <c r="AQ1936" s="79"/>
      <c r="AR1936" s="78"/>
      <c r="AS1936" s="78"/>
      <c r="AT1936" s="79"/>
      <c r="AU1936" s="79"/>
      <c r="AV1936" s="79"/>
      <c r="AW1936" s="79"/>
      <c r="AX1936" s="79"/>
      <c r="AZ1936" s="81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</row>
    <row r="1937" spans="35:68" x14ac:dyDescent="0.25">
      <c r="AI1937" s="49"/>
      <c r="AJ1937" s="78"/>
      <c r="AK1937" s="79"/>
      <c r="AL1937" s="79"/>
      <c r="AM1937" s="79"/>
      <c r="AN1937" s="79"/>
      <c r="AO1937" s="79"/>
      <c r="AP1937" s="79"/>
      <c r="AQ1937" s="79"/>
      <c r="AR1937" s="78"/>
      <c r="AS1937" s="78"/>
      <c r="AT1937" s="79"/>
      <c r="AU1937" s="79"/>
      <c r="AV1937" s="79"/>
      <c r="AW1937" s="79"/>
      <c r="AX1937" s="79"/>
      <c r="AZ1937" s="81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</row>
    <row r="1938" spans="35:68" x14ac:dyDescent="0.25">
      <c r="AI1938" s="49"/>
      <c r="AJ1938" s="78"/>
      <c r="AK1938" s="79"/>
      <c r="AL1938" s="79"/>
      <c r="AM1938" s="79"/>
      <c r="AN1938" s="79"/>
      <c r="AO1938" s="79"/>
      <c r="AP1938" s="79"/>
      <c r="AQ1938" s="79"/>
      <c r="AR1938" s="78"/>
      <c r="AS1938" s="78"/>
      <c r="AT1938" s="79"/>
      <c r="AU1938" s="79"/>
      <c r="AV1938" s="79"/>
      <c r="AW1938" s="79"/>
      <c r="AX1938" s="79"/>
      <c r="AZ1938" s="81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</row>
    <row r="1939" spans="35:68" x14ac:dyDescent="0.25">
      <c r="AI1939" s="49"/>
      <c r="AJ1939" s="78"/>
      <c r="AK1939" s="79"/>
      <c r="AL1939" s="79"/>
      <c r="AM1939" s="79"/>
      <c r="AN1939" s="79"/>
      <c r="AO1939" s="79"/>
      <c r="AP1939" s="79"/>
      <c r="AQ1939" s="79"/>
      <c r="AR1939" s="78"/>
      <c r="AS1939" s="78"/>
      <c r="AT1939" s="79"/>
      <c r="AU1939" s="79"/>
      <c r="AV1939" s="79"/>
      <c r="AW1939" s="79"/>
      <c r="AX1939" s="79"/>
      <c r="AZ1939" s="81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</row>
    <row r="1940" spans="35:68" x14ac:dyDescent="0.25">
      <c r="AI1940" s="49"/>
      <c r="AJ1940" s="78"/>
      <c r="AK1940" s="79"/>
      <c r="AL1940" s="79"/>
      <c r="AM1940" s="79"/>
      <c r="AN1940" s="79"/>
      <c r="AO1940" s="79"/>
      <c r="AP1940" s="79"/>
      <c r="AQ1940" s="79"/>
      <c r="AR1940" s="78"/>
      <c r="AS1940" s="78"/>
      <c r="AT1940" s="79"/>
      <c r="AU1940" s="79"/>
      <c r="AV1940" s="79"/>
      <c r="AW1940" s="79"/>
      <c r="AX1940" s="79"/>
      <c r="AZ1940" s="81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</row>
    <row r="1941" spans="35:68" x14ac:dyDescent="0.25">
      <c r="AI1941" s="49"/>
      <c r="AJ1941" s="78"/>
      <c r="AK1941" s="79"/>
      <c r="AL1941" s="79"/>
      <c r="AM1941" s="79"/>
      <c r="AN1941" s="79"/>
      <c r="AO1941" s="79"/>
      <c r="AP1941" s="79"/>
      <c r="AQ1941" s="79"/>
      <c r="AR1941" s="78"/>
      <c r="AS1941" s="78"/>
      <c r="AT1941" s="79"/>
      <c r="AU1941" s="79"/>
      <c r="AV1941" s="79"/>
      <c r="AW1941" s="79"/>
      <c r="AX1941" s="79"/>
      <c r="AZ1941" s="81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</row>
    <row r="1942" spans="35:68" x14ac:dyDescent="0.25">
      <c r="AI1942" s="49"/>
      <c r="AJ1942" s="78"/>
      <c r="AK1942" s="79"/>
      <c r="AL1942" s="79"/>
      <c r="AM1942" s="79"/>
      <c r="AN1942" s="79"/>
      <c r="AO1942" s="79"/>
      <c r="AP1942" s="79"/>
      <c r="AQ1942" s="79"/>
      <c r="AR1942" s="78"/>
      <c r="AS1942" s="78"/>
      <c r="AT1942" s="79"/>
      <c r="AU1942" s="79"/>
      <c r="AV1942" s="79"/>
      <c r="AW1942" s="79"/>
      <c r="AX1942" s="79"/>
      <c r="AZ1942" s="81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</row>
    <row r="1943" spans="35:68" x14ac:dyDescent="0.25">
      <c r="AI1943" s="49"/>
      <c r="AJ1943" s="78"/>
      <c r="AK1943" s="79"/>
      <c r="AL1943" s="79"/>
      <c r="AM1943" s="79"/>
      <c r="AN1943" s="79"/>
      <c r="AO1943" s="79"/>
      <c r="AP1943" s="79"/>
      <c r="AQ1943" s="79"/>
      <c r="AR1943" s="78"/>
      <c r="AS1943" s="78"/>
      <c r="AT1943" s="79"/>
      <c r="AU1943" s="79"/>
      <c r="AV1943" s="79"/>
      <c r="AW1943" s="79"/>
      <c r="AX1943" s="79"/>
      <c r="AZ1943" s="81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</row>
    <row r="1944" spans="35:68" x14ac:dyDescent="0.25">
      <c r="AI1944" s="49"/>
      <c r="AJ1944" s="78"/>
      <c r="AK1944" s="79"/>
      <c r="AL1944" s="79"/>
      <c r="AM1944" s="79"/>
      <c r="AN1944" s="79"/>
      <c r="AO1944" s="79"/>
      <c r="AP1944" s="79"/>
      <c r="AQ1944" s="79"/>
      <c r="AR1944" s="78"/>
      <c r="AS1944" s="78"/>
      <c r="AT1944" s="79"/>
      <c r="AU1944" s="79"/>
      <c r="AV1944" s="79"/>
      <c r="AW1944" s="79"/>
      <c r="AX1944" s="79"/>
      <c r="AZ1944" s="81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</row>
    <row r="1945" spans="35:68" x14ac:dyDescent="0.25">
      <c r="AI1945" s="49"/>
      <c r="AJ1945" s="78"/>
      <c r="AK1945" s="79"/>
      <c r="AL1945" s="79"/>
      <c r="AM1945" s="79"/>
      <c r="AN1945" s="79"/>
      <c r="AO1945" s="79"/>
      <c r="AP1945" s="79"/>
      <c r="AQ1945" s="79"/>
      <c r="AR1945" s="78"/>
      <c r="AS1945" s="78"/>
      <c r="AT1945" s="79"/>
      <c r="AU1945" s="79"/>
      <c r="AV1945" s="79"/>
      <c r="AW1945" s="79"/>
      <c r="AX1945" s="79"/>
      <c r="AZ1945" s="81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</row>
    <row r="1946" spans="35:68" x14ac:dyDescent="0.25">
      <c r="AI1946" s="49"/>
      <c r="AJ1946" s="78"/>
      <c r="AK1946" s="79"/>
      <c r="AL1946" s="79"/>
      <c r="AM1946" s="79"/>
      <c r="AN1946" s="79"/>
      <c r="AO1946" s="79"/>
      <c r="AP1946" s="79"/>
      <c r="AQ1946" s="79"/>
      <c r="AR1946" s="78"/>
      <c r="AS1946" s="78"/>
      <c r="AT1946" s="79"/>
      <c r="AU1946" s="79"/>
      <c r="AV1946" s="79"/>
      <c r="AW1946" s="79"/>
      <c r="AX1946" s="79"/>
      <c r="AZ1946" s="81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</row>
    <row r="1947" spans="35:68" x14ac:dyDescent="0.25">
      <c r="AI1947" s="49"/>
      <c r="AJ1947" s="78"/>
      <c r="AK1947" s="79"/>
      <c r="AL1947" s="79"/>
      <c r="AM1947" s="79"/>
      <c r="AN1947" s="79"/>
      <c r="AO1947" s="79"/>
      <c r="AP1947" s="79"/>
      <c r="AQ1947" s="79"/>
      <c r="AR1947" s="78"/>
      <c r="AS1947" s="78"/>
      <c r="AT1947" s="79"/>
      <c r="AU1947" s="79"/>
      <c r="AV1947" s="79"/>
      <c r="AW1947" s="79"/>
      <c r="AX1947" s="79"/>
      <c r="AZ1947" s="81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</row>
    <row r="1948" spans="35:68" x14ac:dyDescent="0.25">
      <c r="AI1948" s="49"/>
      <c r="AJ1948" s="78"/>
      <c r="AK1948" s="79"/>
      <c r="AL1948" s="79"/>
      <c r="AM1948" s="79"/>
      <c r="AN1948" s="79"/>
      <c r="AO1948" s="79"/>
      <c r="AP1948" s="79"/>
      <c r="AQ1948" s="79"/>
      <c r="AR1948" s="78"/>
      <c r="AS1948" s="78"/>
      <c r="AT1948" s="79"/>
      <c r="AU1948" s="79"/>
      <c r="AV1948" s="79"/>
      <c r="AW1948" s="79"/>
      <c r="AX1948" s="79"/>
      <c r="AZ1948" s="81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</row>
    <row r="1949" spans="35:68" x14ac:dyDescent="0.25">
      <c r="AI1949" s="49"/>
      <c r="AJ1949" s="78"/>
      <c r="AK1949" s="79"/>
      <c r="AL1949" s="79"/>
      <c r="AM1949" s="79"/>
      <c r="AN1949" s="79"/>
      <c r="AO1949" s="79"/>
      <c r="AP1949" s="79"/>
      <c r="AQ1949" s="79"/>
      <c r="AR1949" s="78"/>
      <c r="AS1949" s="78"/>
      <c r="AT1949" s="79"/>
      <c r="AU1949" s="79"/>
      <c r="AV1949" s="79"/>
      <c r="AW1949" s="79"/>
      <c r="AX1949" s="79"/>
      <c r="AZ1949" s="81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</row>
    <row r="1950" spans="35:68" x14ac:dyDescent="0.25">
      <c r="AI1950" s="49"/>
      <c r="AJ1950" s="78"/>
      <c r="AK1950" s="79"/>
      <c r="AL1950" s="79"/>
      <c r="AM1950" s="79"/>
      <c r="AN1950" s="79"/>
      <c r="AO1950" s="79"/>
      <c r="AP1950" s="79"/>
      <c r="AQ1950" s="79"/>
      <c r="AR1950" s="78"/>
      <c r="AS1950" s="78"/>
      <c r="AT1950" s="79"/>
      <c r="AU1950" s="79"/>
      <c r="AV1950" s="79"/>
      <c r="AW1950" s="79"/>
      <c r="AX1950" s="79"/>
      <c r="AZ1950" s="81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</row>
    <row r="1951" spans="35:68" x14ac:dyDescent="0.25">
      <c r="AI1951" s="49"/>
      <c r="AJ1951" s="78"/>
      <c r="AK1951" s="79"/>
      <c r="AL1951" s="79"/>
      <c r="AM1951" s="79"/>
      <c r="AN1951" s="79"/>
      <c r="AO1951" s="79"/>
      <c r="AP1951" s="79"/>
      <c r="AQ1951" s="79"/>
      <c r="AR1951" s="78"/>
      <c r="AS1951" s="78"/>
      <c r="AT1951" s="79"/>
      <c r="AU1951" s="79"/>
      <c r="AV1951" s="79"/>
      <c r="AW1951" s="79"/>
      <c r="AX1951" s="79"/>
      <c r="AZ1951" s="81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</row>
    <row r="1952" spans="35:68" x14ac:dyDescent="0.25">
      <c r="AI1952" s="49"/>
      <c r="AJ1952" s="78"/>
      <c r="AK1952" s="79"/>
      <c r="AL1952" s="79"/>
      <c r="AM1952" s="79"/>
      <c r="AN1952" s="79"/>
      <c r="AO1952" s="79"/>
      <c r="AP1952" s="79"/>
      <c r="AQ1952" s="79"/>
      <c r="AR1952" s="78"/>
      <c r="AS1952" s="78"/>
      <c r="AT1952" s="79"/>
      <c r="AU1952" s="79"/>
      <c r="AV1952" s="79"/>
      <c r="AW1952" s="79"/>
      <c r="AX1952" s="79"/>
      <c r="AZ1952" s="81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</row>
    <row r="1953" spans="35:68" x14ac:dyDescent="0.25">
      <c r="AI1953" s="49"/>
      <c r="AJ1953" s="78"/>
      <c r="AK1953" s="79"/>
      <c r="AL1953" s="79"/>
      <c r="AM1953" s="79"/>
      <c r="AN1953" s="79"/>
      <c r="AO1953" s="79"/>
      <c r="AP1953" s="79"/>
      <c r="AQ1953" s="79"/>
      <c r="AR1953" s="78"/>
      <c r="AS1953" s="78"/>
      <c r="AT1953" s="79"/>
      <c r="AU1953" s="79"/>
      <c r="AV1953" s="79"/>
      <c r="AW1953" s="79"/>
      <c r="AX1953" s="79"/>
      <c r="AZ1953" s="81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</row>
    <row r="1954" spans="35:68" x14ac:dyDescent="0.25">
      <c r="AI1954" s="49"/>
      <c r="AJ1954" s="78"/>
      <c r="AK1954" s="79"/>
      <c r="AL1954" s="79"/>
      <c r="AM1954" s="79"/>
      <c r="AN1954" s="79"/>
      <c r="AO1954" s="79"/>
      <c r="AP1954" s="79"/>
      <c r="AQ1954" s="79"/>
      <c r="AR1954" s="78"/>
      <c r="AS1954" s="78"/>
      <c r="AT1954" s="79"/>
      <c r="AU1954" s="79"/>
      <c r="AV1954" s="79"/>
      <c r="AW1954" s="79"/>
      <c r="AX1954" s="79"/>
      <c r="AZ1954" s="81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</row>
    <row r="1955" spans="35:68" x14ac:dyDescent="0.25">
      <c r="AI1955" s="49"/>
      <c r="AJ1955" s="78"/>
      <c r="AK1955" s="79"/>
      <c r="AL1955" s="79"/>
      <c r="AM1955" s="79"/>
      <c r="AN1955" s="79"/>
      <c r="AO1955" s="79"/>
      <c r="AP1955" s="79"/>
      <c r="AQ1955" s="79"/>
      <c r="AR1955" s="78"/>
      <c r="AS1955" s="78"/>
      <c r="AT1955" s="79"/>
      <c r="AU1955" s="79"/>
      <c r="AV1955" s="79"/>
      <c r="AW1955" s="79"/>
      <c r="AX1955" s="79"/>
      <c r="AZ1955" s="81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</row>
    <row r="1956" spans="35:68" x14ac:dyDescent="0.25">
      <c r="AI1956" s="49"/>
      <c r="AJ1956" s="78"/>
      <c r="AK1956" s="79"/>
      <c r="AL1956" s="79"/>
      <c r="AM1956" s="79"/>
      <c r="AN1956" s="79"/>
      <c r="AO1956" s="79"/>
      <c r="AP1956" s="79"/>
      <c r="AQ1956" s="79"/>
      <c r="AR1956" s="78"/>
      <c r="AS1956" s="78"/>
      <c r="AT1956" s="79"/>
      <c r="AU1956" s="79"/>
      <c r="AV1956" s="79"/>
      <c r="AW1956" s="79"/>
      <c r="AX1956" s="79"/>
      <c r="AZ1956" s="81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</row>
    <row r="1957" spans="35:68" x14ac:dyDescent="0.25">
      <c r="AI1957" s="49"/>
      <c r="AJ1957" s="78"/>
      <c r="AK1957" s="79"/>
      <c r="AL1957" s="79"/>
      <c r="AM1957" s="79"/>
      <c r="AN1957" s="79"/>
      <c r="AO1957" s="79"/>
      <c r="AP1957" s="79"/>
      <c r="AQ1957" s="79"/>
      <c r="AR1957" s="78"/>
      <c r="AS1957" s="78"/>
      <c r="AT1957" s="79"/>
      <c r="AU1957" s="79"/>
      <c r="AV1957" s="79"/>
      <c r="AW1957" s="79"/>
      <c r="AX1957" s="79"/>
      <c r="AZ1957" s="81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</row>
    <row r="1958" spans="35:68" x14ac:dyDescent="0.25">
      <c r="AI1958" s="49"/>
      <c r="AJ1958" s="78"/>
      <c r="AK1958" s="79"/>
      <c r="AL1958" s="79"/>
      <c r="AM1958" s="79"/>
      <c r="AN1958" s="79"/>
      <c r="AO1958" s="79"/>
      <c r="AP1958" s="79"/>
      <c r="AQ1958" s="79"/>
      <c r="AR1958" s="78"/>
      <c r="AS1958" s="78"/>
      <c r="AT1958" s="79"/>
      <c r="AU1958" s="79"/>
      <c r="AV1958" s="79"/>
      <c r="AW1958" s="79"/>
      <c r="AX1958" s="79"/>
      <c r="AZ1958" s="81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</row>
    <row r="1959" spans="35:68" x14ac:dyDescent="0.25">
      <c r="AI1959" s="49"/>
      <c r="AJ1959" s="78"/>
      <c r="AK1959" s="79"/>
      <c r="AL1959" s="79"/>
      <c r="AM1959" s="79"/>
      <c r="AN1959" s="79"/>
      <c r="AO1959" s="79"/>
      <c r="AP1959" s="79"/>
      <c r="AQ1959" s="79"/>
      <c r="AR1959" s="78"/>
      <c r="AS1959" s="78"/>
      <c r="AT1959" s="79"/>
      <c r="AU1959" s="79"/>
      <c r="AV1959" s="79"/>
      <c r="AW1959" s="79"/>
      <c r="AX1959" s="79"/>
      <c r="AZ1959" s="81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</row>
    <row r="1960" spans="35:68" x14ac:dyDescent="0.25">
      <c r="AI1960" s="49"/>
      <c r="AJ1960" s="78"/>
      <c r="AK1960" s="79"/>
      <c r="AL1960" s="79"/>
      <c r="AM1960" s="79"/>
      <c r="AN1960" s="79"/>
      <c r="AO1960" s="79"/>
      <c r="AP1960" s="79"/>
      <c r="AQ1960" s="79"/>
      <c r="AR1960" s="78"/>
      <c r="AS1960" s="78"/>
      <c r="AT1960" s="79"/>
      <c r="AU1960" s="79"/>
      <c r="AV1960" s="79"/>
      <c r="AW1960" s="79"/>
      <c r="AX1960" s="79"/>
      <c r="AZ1960" s="81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</row>
    <row r="1961" spans="35:68" x14ac:dyDescent="0.25">
      <c r="AI1961" s="49"/>
      <c r="AJ1961" s="78"/>
      <c r="AK1961" s="79"/>
      <c r="AL1961" s="79"/>
      <c r="AM1961" s="79"/>
      <c r="AN1961" s="79"/>
      <c r="AO1961" s="79"/>
      <c r="AP1961" s="79"/>
      <c r="AQ1961" s="79"/>
      <c r="AR1961" s="78"/>
      <c r="AS1961" s="78"/>
      <c r="AT1961" s="79"/>
      <c r="AU1961" s="79"/>
      <c r="AV1961" s="79"/>
      <c r="AW1961" s="79"/>
      <c r="AX1961" s="79"/>
      <c r="AZ1961" s="81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</row>
    <row r="1962" spans="35:68" x14ac:dyDescent="0.25">
      <c r="AI1962" s="49"/>
      <c r="AJ1962" s="78"/>
      <c r="AK1962" s="79"/>
      <c r="AL1962" s="79"/>
      <c r="AM1962" s="79"/>
      <c r="AN1962" s="79"/>
      <c r="AO1962" s="79"/>
      <c r="AP1962" s="79"/>
      <c r="AQ1962" s="79"/>
      <c r="AR1962" s="78"/>
      <c r="AS1962" s="78"/>
      <c r="AT1962" s="79"/>
      <c r="AU1962" s="79"/>
      <c r="AV1962" s="79"/>
      <c r="AW1962" s="79"/>
      <c r="AX1962" s="79"/>
      <c r="AZ1962" s="81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</row>
    <row r="1963" spans="35:68" x14ac:dyDescent="0.25">
      <c r="AI1963" s="49"/>
      <c r="AJ1963" s="78"/>
      <c r="AK1963" s="79"/>
      <c r="AL1963" s="79"/>
      <c r="AM1963" s="79"/>
      <c r="AN1963" s="79"/>
      <c r="AO1963" s="79"/>
      <c r="AP1963" s="79"/>
      <c r="AQ1963" s="79"/>
      <c r="AR1963" s="78"/>
      <c r="AS1963" s="78"/>
      <c r="AT1963" s="79"/>
      <c r="AU1963" s="79"/>
      <c r="AV1963" s="79"/>
      <c r="AW1963" s="79"/>
      <c r="AX1963" s="79"/>
      <c r="AZ1963" s="81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</row>
    <row r="1964" spans="35:68" x14ac:dyDescent="0.25">
      <c r="AI1964" s="49"/>
      <c r="AJ1964" s="78"/>
      <c r="AK1964" s="79"/>
      <c r="AL1964" s="79"/>
      <c r="AM1964" s="79"/>
      <c r="AN1964" s="79"/>
      <c r="AO1964" s="79"/>
      <c r="AP1964" s="79"/>
      <c r="AQ1964" s="79"/>
      <c r="AR1964" s="78"/>
      <c r="AS1964" s="78"/>
      <c r="AT1964" s="79"/>
      <c r="AU1964" s="79"/>
      <c r="AV1964" s="79"/>
      <c r="AW1964" s="79"/>
      <c r="AX1964" s="79"/>
      <c r="AZ1964" s="81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</row>
    <row r="1965" spans="35:68" x14ac:dyDescent="0.25">
      <c r="AI1965" s="49"/>
      <c r="AJ1965" s="78"/>
      <c r="AK1965" s="79"/>
      <c r="AL1965" s="79"/>
      <c r="AM1965" s="79"/>
      <c r="AN1965" s="79"/>
      <c r="AO1965" s="79"/>
      <c r="AP1965" s="79"/>
      <c r="AQ1965" s="79"/>
      <c r="AR1965" s="78"/>
      <c r="AS1965" s="78"/>
      <c r="AT1965" s="79"/>
      <c r="AU1965" s="79"/>
      <c r="AV1965" s="79"/>
      <c r="AW1965" s="79"/>
      <c r="AX1965" s="79"/>
      <c r="AZ1965" s="81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</row>
    <row r="1966" spans="35:68" x14ac:dyDescent="0.25">
      <c r="AI1966" s="49"/>
      <c r="AJ1966" s="78"/>
      <c r="AK1966" s="79"/>
      <c r="AL1966" s="79"/>
      <c r="AM1966" s="79"/>
      <c r="AN1966" s="79"/>
      <c r="AO1966" s="79"/>
      <c r="AP1966" s="79"/>
      <c r="AQ1966" s="79"/>
      <c r="AR1966" s="78"/>
      <c r="AS1966" s="78"/>
      <c r="AT1966" s="79"/>
      <c r="AU1966" s="79"/>
      <c r="AV1966" s="79"/>
      <c r="AW1966" s="79"/>
      <c r="AX1966" s="79"/>
      <c r="AZ1966" s="81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</row>
    <row r="1967" spans="35:68" x14ac:dyDescent="0.25">
      <c r="AI1967" s="49"/>
      <c r="AJ1967" s="78"/>
      <c r="AK1967" s="79"/>
      <c r="AL1967" s="79"/>
      <c r="AM1967" s="79"/>
      <c r="AN1967" s="79"/>
      <c r="AO1967" s="79"/>
      <c r="AP1967" s="79"/>
      <c r="AQ1967" s="79"/>
      <c r="AR1967" s="78"/>
      <c r="AS1967" s="78"/>
      <c r="AT1967" s="79"/>
      <c r="AU1967" s="79"/>
      <c r="AV1967" s="79"/>
      <c r="AW1967" s="79"/>
      <c r="AX1967" s="79"/>
      <c r="AZ1967" s="81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</row>
    <row r="1968" spans="35:68" x14ac:dyDescent="0.25">
      <c r="AI1968" s="49"/>
      <c r="AJ1968" s="78"/>
      <c r="AK1968" s="79"/>
      <c r="AL1968" s="79"/>
      <c r="AM1968" s="79"/>
      <c r="AN1968" s="79"/>
      <c r="AO1968" s="79"/>
      <c r="AP1968" s="79"/>
      <c r="AQ1968" s="79"/>
      <c r="AR1968" s="78"/>
      <c r="AS1968" s="78"/>
      <c r="AT1968" s="79"/>
      <c r="AU1968" s="79"/>
      <c r="AV1968" s="79"/>
      <c r="AW1968" s="79"/>
      <c r="AX1968" s="79"/>
      <c r="AZ1968" s="81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</row>
    <row r="1969" spans="35:68" x14ac:dyDescent="0.25">
      <c r="AI1969" s="49"/>
      <c r="AJ1969" s="78"/>
      <c r="AK1969" s="79"/>
      <c r="AL1969" s="79"/>
      <c r="AM1969" s="79"/>
      <c r="AN1969" s="79"/>
      <c r="AO1969" s="79"/>
      <c r="AP1969" s="79"/>
      <c r="AQ1969" s="79"/>
      <c r="AR1969" s="78"/>
      <c r="AS1969" s="78"/>
      <c r="AT1969" s="79"/>
      <c r="AU1969" s="79"/>
      <c r="AV1969" s="79"/>
      <c r="AW1969" s="79"/>
      <c r="AX1969" s="79"/>
      <c r="AZ1969" s="81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</row>
    <row r="1970" spans="35:68" x14ac:dyDescent="0.25">
      <c r="AI1970" s="49"/>
      <c r="AJ1970" s="78"/>
      <c r="AK1970" s="79"/>
      <c r="AL1970" s="79"/>
      <c r="AM1970" s="79"/>
      <c r="AN1970" s="79"/>
      <c r="AO1970" s="79"/>
      <c r="AP1970" s="79"/>
      <c r="AQ1970" s="79"/>
      <c r="AR1970" s="78"/>
      <c r="AS1970" s="78"/>
      <c r="AT1970" s="79"/>
      <c r="AU1970" s="79"/>
      <c r="AV1970" s="79"/>
      <c r="AW1970" s="79"/>
      <c r="AX1970" s="79"/>
      <c r="AZ1970" s="81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</row>
    <row r="1971" spans="35:68" x14ac:dyDescent="0.25">
      <c r="AI1971" s="49"/>
      <c r="AJ1971" s="78"/>
      <c r="AK1971" s="79"/>
      <c r="AL1971" s="79"/>
      <c r="AM1971" s="79"/>
      <c r="AN1971" s="79"/>
      <c r="AO1971" s="79"/>
      <c r="AP1971" s="79"/>
      <c r="AQ1971" s="79"/>
      <c r="AR1971" s="78"/>
      <c r="AS1971" s="78"/>
      <c r="AT1971" s="79"/>
      <c r="AU1971" s="79"/>
      <c r="AV1971" s="79"/>
      <c r="AW1971" s="79"/>
      <c r="AX1971" s="79"/>
      <c r="AZ1971" s="81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</row>
    <row r="1972" spans="35:68" x14ac:dyDescent="0.25">
      <c r="AI1972" s="49"/>
      <c r="AJ1972" s="78"/>
      <c r="AK1972" s="79"/>
      <c r="AL1972" s="79"/>
      <c r="AM1972" s="79"/>
      <c r="AN1972" s="79"/>
      <c r="AO1972" s="79"/>
      <c r="AP1972" s="79"/>
      <c r="AQ1972" s="79"/>
      <c r="AR1972" s="78"/>
      <c r="AS1972" s="78"/>
      <c r="AT1972" s="79"/>
      <c r="AU1972" s="79"/>
      <c r="AV1972" s="79"/>
      <c r="AW1972" s="79"/>
      <c r="AX1972" s="79"/>
      <c r="AZ1972" s="81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</row>
    <row r="1973" spans="35:68" x14ac:dyDescent="0.25">
      <c r="AI1973" s="49"/>
      <c r="AJ1973" s="78"/>
      <c r="AK1973" s="79"/>
      <c r="AL1973" s="79"/>
      <c r="AM1973" s="79"/>
      <c r="AN1973" s="79"/>
      <c r="AO1973" s="79"/>
      <c r="AP1973" s="79"/>
      <c r="AQ1973" s="79"/>
      <c r="AR1973" s="78"/>
      <c r="AS1973" s="78"/>
      <c r="AT1973" s="79"/>
      <c r="AU1973" s="79"/>
      <c r="AV1973" s="79"/>
      <c r="AW1973" s="79"/>
      <c r="AX1973" s="79"/>
      <c r="AZ1973" s="81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</row>
    <row r="1974" spans="35:68" x14ac:dyDescent="0.25">
      <c r="AI1974" s="49"/>
      <c r="AJ1974" s="78"/>
      <c r="AK1974" s="79"/>
      <c r="AL1974" s="79"/>
      <c r="AM1974" s="79"/>
      <c r="AN1974" s="79"/>
      <c r="AO1974" s="79"/>
      <c r="AP1974" s="79"/>
      <c r="AQ1974" s="79"/>
      <c r="AR1974" s="78"/>
      <c r="AS1974" s="78"/>
      <c r="AT1974" s="79"/>
      <c r="AU1974" s="79"/>
      <c r="AV1974" s="79"/>
      <c r="AW1974" s="79"/>
      <c r="AX1974" s="79"/>
      <c r="AZ1974" s="81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</row>
    <row r="1975" spans="35:68" x14ac:dyDescent="0.25">
      <c r="AI1975" s="49"/>
      <c r="AJ1975" s="78"/>
      <c r="AK1975" s="79"/>
      <c r="AL1975" s="79"/>
      <c r="AM1975" s="79"/>
      <c r="AN1975" s="79"/>
      <c r="AO1975" s="79"/>
      <c r="AP1975" s="79"/>
      <c r="AQ1975" s="79"/>
      <c r="AR1975" s="78"/>
      <c r="AS1975" s="78"/>
      <c r="AT1975" s="79"/>
      <c r="AU1975" s="79"/>
      <c r="AV1975" s="79"/>
      <c r="AW1975" s="79"/>
      <c r="AX1975" s="79"/>
      <c r="AZ1975" s="81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</row>
    <row r="1976" spans="35:68" x14ac:dyDescent="0.25">
      <c r="AI1976" s="49"/>
      <c r="AJ1976" s="78"/>
      <c r="AK1976" s="79"/>
      <c r="AL1976" s="79"/>
      <c r="AM1976" s="79"/>
      <c r="AN1976" s="79"/>
      <c r="AO1976" s="79"/>
      <c r="AP1976" s="79"/>
      <c r="AQ1976" s="79"/>
      <c r="AR1976" s="78"/>
      <c r="AS1976" s="78"/>
      <c r="AT1976" s="79"/>
      <c r="AU1976" s="79"/>
      <c r="AV1976" s="79"/>
      <c r="AW1976" s="79"/>
      <c r="AX1976" s="79"/>
      <c r="AZ1976" s="81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</row>
    <row r="1977" spans="35:68" x14ac:dyDescent="0.25">
      <c r="AI1977" s="49"/>
      <c r="AJ1977" s="78"/>
      <c r="AK1977" s="79"/>
      <c r="AL1977" s="79"/>
      <c r="AM1977" s="79"/>
      <c r="AN1977" s="79"/>
      <c r="AO1977" s="79"/>
      <c r="AP1977" s="79"/>
      <c r="AQ1977" s="79"/>
      <c r="AR1977" s="78"/>
      <c r="AS1977" s="78"/>
      <c r="AT1977" s="79"/>
      <c r="AU1977" s="79"/>
      <c r="AV1977" s="79"/>
      <c r="AW1977" s="79"/>
      <c r="AX1977" s="79"/>
      <c r="AZ1977" s="81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</row>
    <row r="1978" spans="35:68" x14ac:dyDescent="0.25">
      <c r="AI1978" s="49"/>
      <c r="AJ1978" s="78"/>
      <c r="AK1978" s="79"/>
      <c r="AL1978" s="79"/>
      <c r="AM1978" s="79"/>
      <c r="AN1978" s="79"/>
      <c r="AO1978" s="79"/>
      <c r="AP1978" s="79"/>
      <c r="AQ1978" s="79"/>
      <c r="AR1978" s="78"/>
      <c r="AS1978" s="78"/>
      <c r="AT1978" s="79"/>
      <c r="AU1978" s="79"/>
      <c r="AV1978" s="79"/>
      <c r="AW1978" s="79"/>
      <c r="AX1978" s="79"/>
      <c r="AZ1978" s="81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</row>
    <row r="1979" spans="35:68" x14ac:dyDescent="0.25">
      <c r="AI1979" s="49"/>
      <c r="AJ1979" s="78"/>
      <c r="AK1979" s="79"/>
      <c r="AL1979" s="79"/>
      <c r="AM1979" s="79"/>
      <c r="AN1979" s="79"/>
      <c r="AO1979" s="79"/>
      <c r="AP1979" s="79"/>
      <c r="AQ1979" s="79"/>
      <c r="AR1979" s="78"/>
      <c r="AS1979" s="78"/>
      <c r="AT1979" s="79"/>
      <c r="AU1979" s="79"/>
      <c r="AV1979" s="79"/>
      <c r="AW1979" s="79"/>
      <c r="AX1979" s="79"/>
      <c r="AZ1979" s="81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</row>
    <row r="1980" spans="35:68" x14ac:dyDescent="0.25">
      <c r="AI1980" s="49"/>
      <c r="AJ1980" s="78"/>
      <c r="AK1980" s="79"/>
      <c r="AL1980" s="79"/>
      <c r="AM1980" s="79"/>
      <c r="AN1980" s="79"/>
      <c r="AO1980" s="79"/>
      <c r="AP1980" s="79"/>
      <c r="AQ1980" s="79"/>
      <c r="AR1980" s="78"/>
      <c r="AS1980" s="78"/>
      <c r="AT1980" s="79"/>
      <c r="AU1980" s="79"/>
      <c r="AV1980" s="79"/>
      <c r="AW1980" s="79"/>
      <c r="AX1980" s="79"/>
      <c r="AZ1980" s="81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</row>
    <row r="1981" spans="35:68" x14ac:dyDescent="0.25">
      <c r="AI1981" s="49"/>
      <c r="AJ1981" s="78"/>
      <c r="AK1981" s="79"/>
      <c r="AL1981" s="79"/>
      <c r="AM1981" s="79"/>
      <c r="AN1981" s="79"/>
      <c r="AO1981" s="79"/>
      <c r="AP1981" s="79"/>
      <c r="AQ1981" s="79"/>
      <c r="AR1981" s="78"/>
      <c r="AS1981" s="78"/>
      <c r="AT1981" s="79"/>
      <c r="AU1981" s="79"/>
      <c r="AV1981" s="79"/>
      <c r="AW1981" s="79"/>
      <c r="AX1981" s="79"/>
      <c r="AZ1981" s="81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</row>
    <row r="1982" spans="35:68" x14ac:dyDescent="0.25">
      <c r="AI1982" s="49"/>
      <c r="AJ1982" s="78"/>
      <c r="AK1982" s="79"/>
      <c r="AL1982" s="79"/>
      <c r="AM1982" s="79"/>
      <c r="AN1982" s="79"/>
      <c r="AO1982" s="79"/>
      <c r="AP1982" s="79"/>
      <c r="AQ1982" s="79"/>
      <c r="AR1982" s="78"/>
      <c r="AS1982" s="78"/>
      <c r="AT1982" s="79"/>
      <c r="AU1982" s="79"/>
      <c r="AV1982" s="79"/>
      <c r="AW1982" s="79"/>
      <c r="AX1982" s="79"/>
      <c r="AZ1982" s="81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</row>
    <row r="1983" spans="35:68" x14ac:dyDescent="0.25">
      <c r="AI1983" s="49"/>
      <c r="AJ1983" s="78"/>
      <c r="AK1983" s="79"/>
      <c r="AL1983" s="79"/>
      <c r="AM1983" s="79"/>
      <c r="AN1983" s="79"/>
      <c r="AO1983" s="79"/>
      <c r="AP1983" s="79"/>
      <c r="AQ1983" s="79"/>
      <c r="AR1983" s="78"/>
      <c r="AS1983" s="78"/>
      <c r="AT1983" s="79"/>
      <c r="AU1983" s="79"/>
      <c r="AV1983" s="79"/>
      <c r="AW1983" s="79"/>
      <c r="AX1983" s="79"/>
      <c r="AZ1983" s="81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</row>
    <row r="1984" spans="35:68" x14ac:dyDescent="0.25">
      <c r="AI1984" s="49"/>
      <c r="AJ1984" s="78"/>
      <c r="AK1984" s="79"/>
      <c r="AL1984" s="79"/>
      <c r="AM1984" s="79"/>
      <c r="AN1984" s="79"/>
      <c r="AO1984" s="79"/>
      <c r="AP1984" s="79"/>
      <c r="AQ1984" s="79"/>
      <c r="AR1984" s="78"/>
      <c r="AS1984" s="78"/>
      <c r="AT1984" s="79"/>
      <c r="AU1984" s="79"/>
      <c r="AV1984" s="79"/>
      <c r="AW1984" s="79"/>
      <c r="AX1984" s="79"/>
      <c r="AZ1984" s="81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</row>
    <row r="1985" spans="35:68" x14ac:dyDescent="0.25">
      <c r="AI1985" s="49"/>
      <c r="AJ1985" s="78"/>
      <c r="AK1985" s="79"/>
      <c r="AL1985" s="79"/>
      <c r="AM1985" s="79"/>
      <c r="AN1985" s="79"/>
      <c r="AO1985" s="79"/>
      <c r="AP1985" s="79"/>
      <c r="AQ1985" s="79"/>
      <c r="AR1985" s="78"/>
      <c r="AS1985" s="78"/>
      <c r="AT1985" s="79"/>
      <c r="AU1985" s="79"/>
      <c r="AV1985" s="79"/>
      <c r="AW1985" s="79"/>
      <c r="AX1985" s="79"/>
      <c r="AZ1985" s="81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</row>
    <row r="1986" spans="35:68" x14ac:dyDescent="0.25">
      <c r="AI1986" s="49"/>
      <c r="AJ1986" s="78"/>
      <c r="AK1986" s="79"/>
      <c r="AL1986" s="79"/>
      <c r="AM1986" s="79"/>
      <c r="AN1986" s="79"/>
      <c r="AO1986" s="79"/>
      <c r="AP1986" s="79"/>
      <c r="AQ1986" s="79"/>
      <c r="AR1986" s="78"/>
      <c r="AS1986" s="78"/>
      <c r="AT1986" s="79"/>
      <c r="AU1986" s="79"/>
      <c r="AV1986" s="79"/>
      <c r="AW1986" s="79"/>
      <c r="AX1986" s="79"/>
      <c r="AZ1986" s="81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</row>
    <row r="1987" spans="35:68" x14ac:dyDescent="0.25">
      <c r="AI1987" s="49"/>
      <c r="AJ1987" s="78"/>
      <c r="AK1987" s="79"/>
      <c r="AL1987" s="79"/>
      <c r="AM1987" s="79"/>
      <c r="AN1987" s="79"/>
      <c r="AO1987" s="79"/>
      <c r="AP1987" s="79"/>
      <c r="AQ1987" s="79"/>
      <c r="AR1987" s="78"/>
      <c r="AS1987" s="78"/>
      <c r="AT1987" s="79"/>
      <c r="AU1987" s="79"/>
      <c r="AV1987" s="79"/>
      <c r="AW1987" s="79"/>
      <c r="AX1987" s="79"/>
      <c r="AZ1987" s="81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</row>
    <row r="1988" spans="35:68" x14ac:dyDescent="0.25">
      <c r="AI1988" s="49"/>
      <c r="AJ1988" s="78"/>
      <c r="AK1988" s="79"/>
      <c r="AL1988" s="79"/>
      <c r="AM1988" s="79"/>
      <c r="AN1988" s="79"/>
      <c r="AO1988" s="79"/>
      <c r="AP1988" s="79"/>
      <c r="AQ1988" s="79"/>
      <c r="AR1988" s="78"/>
      <c r="AS1988" s="78"/>
      <c r="AT1988" s="79"/>
      <c r="AU1988" s="79"/>
      <c r="AV1988" s="79"/>
      <c r="AW1988" s="79"/>
      <c r="AX1988" s="79"/>
      <c r="AZ1988" s="81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</row>
    <row r="1989" spans="35:68" x14ac:dyDescent="0.25">
      <c r="AI1989" s="49"/>
      <c r="AJ1989" s="78"/>
      <c r="AK1989" s="79"/>
      <c r="AL1989" s="79"/>
      <c r="AM1989" s="79"/>
      <c r="AN1989" s="79"/>
      <c r="AO1989" s="79"/>
      <c r="AP1989" s="79"/>
      <c r="AQ1989" s="79"/>
      <c r="AR1989" s="78"/>
      <c r="AS1989" s="78"/>
      <c r="AT1989" s="79"/>
      <c r="AU1989" s="79"/>
      <c r="AV1989" s="79"/>
      <c r="AW1989" s="79"/>
      <c r="AX1989" s="79"/>
      <c r="AZ1989" s="81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</row>
    <row r="1990" spans="35:68" x14ac:dyDescent="0.25">
      <c r="AI1990" s="49"/>
      <c r="AJ1990" s="78"/>
      <c r="AK1990" s="79"/>
      <c r="AL1990" s="79"/>
      <c r="AM1990" s="79"/>
      <c r="AN1990" s="79"/>
      <c r="AO1990" s="79"/>
      <c r="AP1990" s="79"/>
      <c r="AQ1990" s="79"/>
      <c r="AR1990" s="78"/>
      <c r="AS1990" s="78"/>
      <c r="AT1990" s="79"/>
      <c r="AU1990" s="79"/>
      <c r="AV1990" s="79"/>
      <c r="AW1990" s="79"/>
      <c r="AX1990" s="79"/>
      <c r="AZ1990" s="81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</row>
    <row r="1991" spans="35:68" x14ac:dyDescent="0.25">
      <c r="AI1991" s="49"/>
      <c r="AJ1991" s="78"/>
      <c r="AK1991" s="79"/>
      <c r="AL1991" s="79"/>
      <c r="AM1991" s="79"/>
      <c r="AN1991" s="79"/>
      <c r="AO1991" s="79"/>
      <c r="AP1991" s="79"/>
      <c r="AQ1991" s="79"/>
      <c r="AR1991" s="78"/>
      <c r="AS1991" s="78"/>
      <c r="AT1991" s="79"/>
      <c r="AU1991" s="79"/>
      <c r="AV1991" s="79"/>
      <c r="AW1991" s="79"/>
      <c r="AX1991" s="79"/>
      <c r="AZ1991" s="81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</row>
    <row r="1992" spans="35:68" x14ac:dyDescent="0.25">
      <c r="AI1992" s="49"/>
      <c r="AJ1992" s="78"/>
      <c r="AK1992" s="79"/>
      <c r="AL1992" s="79"/>
      <c r="AM1992" s="79"/>
      <c r="AN1992" s="79"/>
      <c r="AO1992" s="79"/>
      <c r="AP1992" s="79"/>
      <c r="AQ1992" s="79"/>
      <c r="AR1992" s="78"/>
      <c r="AS1992" s="78"/>
      <c r="AT1992" s="79"/>
      <c r="AU1992" s="79"/>
      <c r="AV1992" s="79"/>
      <c r="AW1992" s="79"/>
      <c r="AX1992" s="79"/>
      <c r="AZ1992" s="81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</row>
    <row r="1993" spans="35:68" x14ac:dyDescent="0.25">
      <c r="AI1993" s="49"/>
      <c r="AJ1993" s="78"/>
      <c r="AK1993" s="79"/>
      <c r="AL1993" s="79"/>
      <c r="AM1993" s="79"/>
      <c r="AN1993" s="79"/>
      <c r="AO1993" s="79"/>
      <c r="AP1993" s="79"/>
      <c r="AQ1993" s="79"/>
      <c r="AR1993" s="78"/>
      <c r="AS1993" s="78"/>
      <c r="AT1993" s="79"/>
      <c r="AU1993" s="79"/>
      <c r="AV1993" s="79"/>
      <c r="AW1993" s="79"/>
      <c r="AX1993" s="79"/>
      <c r="AZ1993" s="81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</row>
    <row r="1994" spans="35:68" x14ac:dyDescent="0.25">
      <c r="AI1994" s="49"/>
      <c r="AJ1994" s="78"/>
      <c r="AK1994" s="79"/>
      <c r="AL1994" s="79"/>
      <c r="AM1994" s="79"/>
      <c r="AN1994" s="79"/>
      <c r="AO1994" s="79"/>
      <c r="AP1994" s="79"/>
      <c r="AQ1994" s="79"/>
      <c r="AR1994" s="78"/>
      <c r="AS1994" s="78"/>
      <c r="AT1994" s="79"/>
      <c r="AU1994" s="79"/>
      <c r="AV1994" s="79"/>
      <c r="AW1994" s="79"/>
      <c r="AX1994" s="79"/>
      <c r="AZ1994" s="81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</row>
    <row r="1995" spans="35:68" x14ac:dyDescent="0.25">
      <c r="AI1995" s="49"/>
      <c r="AJ1995" s="78"/>
      <c r="AK1995" s="79"/>
      <c r="AL1995" s="79"/>
      <c r="AM1995" s="79"/>
      <c r="AN1995" s="79"/>
      <c r="AO1995" s="79"/>
      <c r="AP1995" s="79"/>
      <c r="AQ1995" s="79"/>
      <c r="AR1995" s="78"/>
      <c r="AS1995" s="78"/>
      <c r="AT1995" s="79"/>
      <c r="AU1995" s="79"/>
      <c r="AV1995" s="79"/>
      <c r="AW1995" s="79"/>
      <c r="AX1995" s="79"/>
      <c r="AZ1995" s="81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</row>
    <row r="1996" spans="35:68" x14ac:dyDescent="0.25">
      <c r="AI1996" s="49"/>
      <c r="AJ1996" s="78"/>
      <c r="AK1996" s="79"/>
      <c r="AL1996" s="79"/>
      <c r="AM1996" s="79"/>
      <c r="AN1996" s="79"/>
      <c r="AO1996" s="79"/>
      <c r="AP1996" s="79"/>
      <c r="AQ1996" s="79"/>
      <c r="AR1996" s="78"/>
      <c r="AS1996" s="78"/>
      <c r="AT1996" s="79"/>
      <c r="AU1996" s="79"/>
      <c r="AV1996" s="79"/>
      <c r="AW1996" s="79"/>
      <c r="AX1996" s="79"/>
      <c r="AZ1996" s="81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</row>
    <row r="1997" spans="35:68" x14ac:dyDescent="0.25">
      <c r="AI1997" s="49"/>
      <c r="AJ1997" s="78"/>
      <c r="AK1997" s="79"/>
      <c r="AL1997" s="79"/>
      <c r="AM1997" s="79"/>
      <c r="AN1997" s="79"/>
      <c r="AO1997" s="79"/>
      <c r="AP1997" s="79"/>
      <c r="AQ1997" s="79"/>
      <c r="AR1997" s="78"/>
      <c r="AS1997" s="78"/>
      <c r="AT1997" s="79"/>
      <c r="AU1997" s="79"/>
      <c r="AV1997" s="79"/>
      <c r="AW1997" s="79"/>
      <c r="AX1997" s="79"/>
      <c r="AZ1997" s="81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</row>
    <row r="1998" spans="35:68" x14ac:dyDescent="0.25">
      <c r="AI1998" s="49"/>
      <c r="AJ1998" s="78"/>
      <c r="AK1998" s="79"/>
      <c r="AL1998" s="79"/>
      <c r="AM1998" s="79"/>
      <c r="AN1998" s="79"/>
      <c r="AO1998" s="79"/>
      <c r="AP1998" s="79"/>
      <c r="AQ1998" s="79"/>
      <c r="AR1998" s="78"/>
      <c r="AS1998" s="78"/>
      <c r="AT1998" s="79"/>
      <c r="AU1998" s="79"/>
      <c r="AV1998" s="79"/>
      <c r="AW1998" s="79"/>
      <c r="AX1998" s="79"/>
      <c r="AZ1998" s="81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</row>
    <row r="1999" spans="35:68" x14ac:dyDescent="0.25">
      <c r="AI1999" s="49"/>
      <c r="AJ1999" s="78"/>
      <c r="AK1999" s="79"/>
      <c r="AL1999" s="79"/>
      <c r="AM1999" s="79"/>
      <c r="AN1999" s="79"/>
      <c r="AO1999" s="79"/>
      <c r="AP1999" s="79"/>
      <c r="AQ1999" s="79"/>
      <c r="AR1999" s="78"/>
      <c r="AS1999" s="78"/>
      <c r="AT1999" s="79"/>
      <c r="AU1999" s="79"/>
      <c r="AV1999" s="79"/>
      <c r="AW1999" s="79"/>
      <c r="AX1999" s="79"/>
      <c r="AZ1999" s="81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</row>
    <row r="2000" spans="35:68" x14ac:dyDescent="0.25">
      <c r="AI2000" s="49"/>
      <c r="AJ2000" s="78"/>
      <c r="AK2000" s="79"/>
      <c r="AL2000" s="79"/>
      <c r="AM2000" s="79"/>
      <c r="AN2000" s="79"/>
      <c r="AO2000" s="79"/>
      <c r="AP2000" s="79"/>
      <c r="AQ2000" s="79"/>
      <c r="AR2000" s="78"/>
      <c r="AS2000" s="78"/>
      <c r="AT2000" s="79"/>
      <c r="AU2000" s="79"/>
      <c r="AV2000" s="79"/>
      <c r="AW2000" s="79"/>
      <c r="AX2000" s="79"/>
      <c r="AZ2000" s="81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</row>
    <row r="2001" spans="35:68" x14ac:dyDescent="0.25">
      <c r="AI2001" s="49"/>
      <c r="AJ2001" s="78"/>
      <c r="AK2001" s="79"/>
      <c r="AL2001" s="79"/>
      <c r="AM2001" s="79"/>
      <c r="AN2001" s="79"/>
      <c r="AO2001" s="79"/>
      <c r="AP2001" s="79"/>
      <c r="AQ2001" s="79"/>
      <c r="AR2001" s="78"/>
      <c r="AS2001" s="78"/>
      <c r="AT2001" s="79"/>
      <c r="AU2001" s="79"/>
      <c r="AV2001" s="79"/>
      <c r="AW2001" s="79"/>
      <c r="AX2001" s="79"/>
      <c r="AZ2001" s="81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</row>
    <row r="2002" spans="35:68" x14ac:dyDescent="0.25">
      <c r="AI2002" s="49"/>
      <c r="AJ2002" s="78"/>
      <c r="AK2002" s="79"/>
      <c r="AL2002" s="79"/>
      <c r="AM2002" s="79"/>
      <c r="AN2002" s="79"/>
      <c r="AO2002" s="79"/>
      <c r="AP2002" s="79"/>
      <c r="AQ2002" s="79"/>
      <c r="AR2002" s="78"/>
      <c r="AS2002" s="78"/>
      <c r="AT2002" s="79"/>
      <c r="AU2002" s="79"/>
      <c r="AV2002" s="79"/>
      <c r="AW2002" s="79"/>
      <c r="AX2002" s="79"/>
      <c r="AZ2002" s="81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</row>
    <row r="2003" spans="35:68" x14ac:dyDescent="0.25">
      <c r="AI2003" s="49"/>
      <c r="AJ2003" s="78"/>
      <c r="AK2003" s="79"/>
      <c r="AL2003" s="79"/>
      <c r="AM2003" s="79"/>
      <c r="AN2003" s="79"/>
      <c r="AO2003" s="79"/>
      <c r="AP2003" s="79"/>
      <c r="AQ2003" s="79"/>
      <c r="AR2003" s="78"/>
      <c r="AS2003" s="78"/>
      <c r="AT2003" s="79"/>
      <c r="AU2003" s="79"/>
      <c r="AV2003" s="79"/>
      <c r="AW2003" s="79"/>
      <c r="AX2003" s="79"/>
      <c r="AZ2003" s="81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</row>
    <row r="2004" spans="35:68" x14ac:dyDescent="0.25">
      <c r="AI2004" s="49"/>
      <c r="AJ2004" s="78"/>
      <c r="AK2004" s="79"/>
      <c r="AL2004" s="79"/>
      <c r="AM2004" s="79"/>
      <c r="AN2004" s="79"/>
      <c r="AO2004" s="79"/>
      <c r="AP2004" s="79"/>
      <c r="AQ2004" s="79"/>
      <c r="AR2004" s="78"/>
      <c r="AS2004" s="78"/>
      <c r="AT2004" s="79"/>
      <c r="AU2004" s="79"/>
      <c r="AV2004" s="79"/>
      <c r="AW2004" s="79"/>
      <c r="AX2004" s="79"/>
      <c r="AZ2004" s="81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</row>
    <row r="2005" spans="35:68" x14ac:dyDescent="0.25">
      <c r="AI2005" s="49"/>
      <c r="AJ2005" s="78"/>
      <c r="AK2005" s="79"/>
      <c r="AL2005" s="79"/>
      <c r="AM2005" s="79"/>
      <c r="AN2005" s="79"/>
      <c r="AO2005" s="79"/>
      <c r="AP2005" s="79"/>
      <c r="AQ2005" s="79"/>
      <c r="AR2005" s="78"/>
      <c r="AS2005" s="78"/>
      <c r="AT2005" s="79"/>
      <c r="AU2005" s="79"/>
      <c r="AV2005" s="79"/>
      <c r="AW2005" s="79"/>
      <c r="AX2005" s="79"/>
      <c r="AZ2005" s="81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</row>
    <row r="2006" spans="35:68" x14ac:dyDescent="0.25">
      <c r="AI2006" s="49"/>
      <c r="AJ2006" s="78"/>
      <c r="AK2006" s="79"/>
      <c r="AL2006" s="79"/>
      <c r="AM2006" s="79"/>
      <c r="AN2006" s="79"/>
      <c r="AO2006" s="79"/>
      <c r="AP2006" s="79"/>
      <c r="AQ2006" s="79"/>
      <c r="AR2006" s="78"/>
      <c r="AS2006" s="78"/>
      <c r="AT2006" s="79"/>
      <c r="AU2006" s="79"/>
      <c r="AV2006" s="79"/>
      <c r="AW2006" s="79"/>
      <c r="AX2006" s="79"/>
      <c r="AZ2006" s="81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</row>
    <row r="2007" spans="35:68" x14ac:dyDescent="0.25">
      <c r="AI2007" s="49"/>
      <c r="AJ2007" s="78"/>
      <c r="AK2007" s="79"/>
      <c r="AL2007" s="79"/>
      <c r="AM2007" s="79"/>
      <c r="AN2007" s="79"/>
      <c r="AO2007" s="79"/>
      <c r="AP2007" s="79"/>
      <c r="AQ2007" s="79"/>
      <c r="AR2007" s="78"/>
      <c r="AS2007" s="78"/>
      <c r="AT2007" s="79"/>
      <c r="AU2007" s="79"/>
      <c r="AV2007" s="79"/>
      <c r="AW2007" s="79"/>
      <c r="AX2007" s="79"/>
      <c r="AZ2007" s="81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</row>
    <row r="2008" spans="35:68" x14ac:dyDescent="0.25">
      <c r="AI2008" s="49"/>
      <c r="AJ2008" s="78"/>
      <c r="AK2008" s="79"/>
      <c r="AL2008" s="79"/>
      <c r="AM2008" s="79"/>
      <c r="AN2008" s="79"/>
      <c r="AO2008" s="79"/>
      <c r="AP2008" s="79"/>
      <c r="AQ2008" s="79"/>
      <c r="AR2008" s="78"/>
      <c r="AS2008" s="78"/>
      <c r="AT2008" s="79"/>
      <c r="AU2008" s="79"/>
      <c r="AV2008" s="79"/>
      <c r="AW2008" s="79"/>
      <c r="AX2008" s="79"/>
      <c r="AZ2008" s="81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</row>
    <row r="2009" spans="35:68" x14ac:dyDescent="0.25">
      <c r="AI2009" s="49"/>
      <c r="AJ2009" s="78"/>
      <c r="AK2009" s="79"/>
      <c r="AL2009" s="79"/>
      <c r="AM2009" s="79"/>
      <c r="AN2009" s="79"/>
      <c r="AO2009" s="79"/>
      <c r="AP2009" s="79"/>
      <c r="AQ2009" s="79"/>
      <c r="AR2009" s="78"/>
      <c r="AS2009" s="78"/>
      <c r="AT2009" s="79"/>
      <c r="AU2009" s="79"/>
      <c r="AV2009" s="79"/>
      <c r="AW2009" s="79"/>
      <c r="AX2009" s="79"/>
      <c r="AZ2009" s="81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</row>
    <row r="2010" spans="35:68" x14ac:dyDescent="0.25">
      <c r="AI2010" s="49"/>
      <c r="AJ2010" s="78"/>
      <c r="AK2010" s="79"/>
      <c r="AL2010" s="79"/>
      <c r="AM2010" s="79"/>
      <c r="AN2010" s="79"/>
      <c r="AO2010" s="79"/>
      <c r="AP2010" s="79"/>
      <c r="AQ2010" s="79"/>
      <c r="AR2010" s="78"/>
      <c r="AS2010" s="78"/>
      <c r="AT2010" s="79"/>
      <c r="AU2010" s="79"/>
      <c r="AV2010" s="79"/>
      <c r="AW2010" s="79"/>
      <c r="AX2010" s="79"/>
      <c r="AZ2010" s="81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</row>
    <row r="2011" spans="35:68" x14ac:dyDescent="0.25">
      <c r="AI2011" s="49"/>
      <c r="AJ2011" s="78"/>
      <c r="AK2011" s="79"/>
      <c r="AL2011" s="79"/>
      <c r="AM2011" s="79"/>
      <c r="AN2011" s="79"/>
      <c r="AO2011" s="79"/>
      <c r="AP2011" s="79"/>
      <c r="AQ2011" s="79"/>
      <c r="AR2011" s="78"/>
      <c r="AS2011" s="78"/>
      <c r="AT2011" s="79"/>
      <c r="AU2011" s="79"/>
      <c r="AV2011" s="79"/>
      <c r="AW2011" s="79"/>
      <c r="AX2011" s="79"/>
      <c r="AZ2011" s="81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</row>
    <row r="2012" spans="35:68" x14ac:dyDescent="0.25">
      <c r="AI2012" s="49"/>
      <c r="AJ2012" s="78"/>
      <c r="AK2012" s="79"/>
      <c r="AL2012" s="79"/>
      <c r="AM2012" s="79"/>
      <c r="AN2012" s="79"/>
      <c r="AO2012" s="79"/>
      <c r="AP2012" s="79"/>
      <c r="AQ2012" s="79"/>
      <c r="AR2012" s="78"/>
      <c r="AS2012" s="78"/>
      <c r="AT2012" s="79"/>
      <c r="AU2012" s="79"/>
      <c r="AV2012" s="79"/>
      <c r="AW2012" s="79"/>
      <c r="AX2012" s="79"/>
      <c r="AZ2012" s="81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</row>
    <row r="2013" spans="35:68" x14ac:dyDescent="0.25">
      <c r="AI2013" s="49"/>
      <c r="AJ2013" s="78"/>
      <c r="AK2013" s="79"/>
      <c r="AL2013" s="79"/>
      <c r="AM2013" s="79"/>
      <c r="AN2013" s="79"/>
      <c r="AO2013" s="79"/>
      <c r="AP2013" s="79"/>
      <c r="AQ2013" s="79"/>
      <c r="AR2013" s="78"/>
      <c r="AS2013" s="78"/>
      <c r="AT2013" s="79"/>
      <c r="AU2013" s="79"/>
      <c r="AV2013" s="79"/>
      <c r="AW2013" s="79"/>
      <c r="AX2013" s="79"/>
      <c r="AZ2013" s="81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</row>
    <row r="2014" spans="35:68" x14ac:dyDescent="0.25">
      <c r="AI2014" s="49"/>
      <c r="AJ2014" s="78"/>
      <c r="AK2014" s="79"/>
      <c r="AL2014" s="79"/>
      <c r="AM2014" s="79"/>
      <c r="AN2014" s="79"/>
      <c r="AO2014" s="79"/>
      <c r="AP2014" s="79"/>
      <c r="AQ2014" s="79"/>
      <c r="AR2014" s="78"/>
      <c r="AS2014" s="78"/>
      <c r="AT2014" s="79"/>
      <c r="AU2014" s="79"/>
      <c r="AV2014" s="79"/>
      <c r="AW2014" s="79"/>
      <c r="AX2014" s="79"/>
      <c r="AZ2014" s="81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</row>
    <row r="2015" spans="35:68" x14ac:dyDescent="0.25">
      <c r="AI2015" s="49"/>
      <c r="AJ2015" s="78"/>
      <c r="AK2015" s="79"/>
      <c r="AL2015" s="79"/>
      <c r="AM2015" s="79"/>
      <c r="AN2015" s="79"/>
      <c r="AO2015" s="79"/>
      <c r="AP2015" s="79"/>
      <c r="AQ2015" s="79"/>
      <c r="AR2015" s="78"/>
      <c r="AS2015" s="78"/>
      <c r="AT2015" s="79"/>
      <c r="AU2015" s="79"/>
      <c r="AV2015" s="79"/>
      <c r="AW2015" s="79"/>
      <c r="AX2015" s="79"/>
      <c r="AZ2015" s="81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</row>
    <row r="2016" spans="35:68" x14ac:dyDescent="0.25">
      <c r="AI2016" s="49"/>
      <c r="AJ2016" s="78"/>
      <c r="AK2016" s="79"/>
      <c r="AL2016" s="79"/>
      <c r="AM2016" s="79"/>
      <c r="AN2016" s="79"/>
      <c r="AO2016" s="79"/>
      <c r="AP2016" s="79"/>
      <c r="AQ2016" s="79"/>
      <c r="AR2016" s="78"/>
      <c r="AS2016" s="78"/>
      <c r="AT2016" s="79"/>
      <c r="AU2016" s="79"/>
      <c r="AV2016" s="79"/>
      <c r="AW2016" s="79"/>
      <c r="AX2016" s="79"/>
      <c r="AZ2016" s="81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</row>
    <row r="2017" spans="35:68" x14ac:dyDescent="0.25">
      <c r="AI2017" s="49"/>
      <c r="AJ2017" s="78"/>
      <c r="AK2017" s="79"/>
      <c r="AL2017" s="79"/>
      <c r="AM2017" s="79"/>
      <c r="AN2017" s="79"/>
      <c r="AO2017" s="79"/>
      <c r="AP2017" s="79"/>
      <c r="AQ2017" s="79"/>
      <c r="AR2017" s="78"/>
      <c r="AS2017" s="78"/>
      <c r="AT2017" s="79"/>
      <c r="AU2017" s="79"/>
      <c r="AV2017" s="79"/>
      <c r="AW2017" s="79"/>
      <c r="AX2017" s="79"/>
      <c r="AZ2017" s="81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</row>
    <row r="2018" spans="35:68" x14ac:dyDescent="0.25">
      <c r="AI2018" s="49"/>
      <c r="AJ2018" s="78"/>
      <c r="AK2018" s="79"/>
      <c r="AL2018" s="79"/>
      <c r="AM2018" s="79"/>
      <c r="AN2018" s="79"/>
      <c r="AO2018" s="79"/>
      <c r="AP2018" s="79"/>
      <c r="AQ2018" s="79"/>
      <c r="AR2018" s="78"/>
      <c r="AS2018" s="78"/>
      <c r="AT2018" s="79"/>
      <c r="AU2018" s="79"/>
      <c r="AV2018" s="79"/>
      <c r="AW2018" s="79"/>
      <c r="AX2018" s="79"/>
      <c r="AZ2018" s="81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</row>
    <row r="2019" spans="35:68" x14ac:dyDescent="0.25">
      <c r="AI2019" s="49"/>
      <c r="AJ2019" s="78"/>
      <c r="AK2019" s="79"/>
      <c r="AL2019" s="79"/>
      <c r="AM2019" s="79"/>
      <c r="AN2019" s="79"/>
      <c r="AO2019" s="79"/>
      <c r="AP2019" s="79"/>
      <c r="AQ2019" s="79"/>
      <c r="AR2019" s="78"/>
      <c r="AS2019" s="78"/>
      <c r="AT2019" s="79"/>
      <c r="AU2019" s="79"/>
      <c r="AV2019" s="79"/>
      <c r="AW2019" s="79"/>
      <c r="AX2019" s="79"/>
      <c r="AZ2019" s="81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</row>
    <row r="2020" spans="35:68" x14ac:dyDescent="0.25">
      <c r="AI2020" s="49"/>
      <c r="AJ2020" s="78"/>
      <c r="AK2020" s="79"/>
      <c r="AL2020" s="79"/>
      <c r="AM2020" s="79"/>
      <c r="AN2020" s="79"/>
      <c r="AO2020" s="79"/>
      <c r="AP2020" s="79"/>
      <c r="AQ2020" s="79"/>
      <c r="AR2020" s="78"/>
      <c r="AS2020" s="78"/>
      <c r="AT2020" s="79"/>
      <c r="AU2020" s="79"/>
      <c r="AV2020" s="79"/>
      <c r="AW2020" s="79"/>
      <c r="AX2020" s="79"/>
      <c r="AZ2020" s="81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</row>
    <row r="2021" spans="35:68" x14ac:dyDescent="0.25">
      <c r="AI2021" s="49"/>
      <c r="AJ2021" s="78"/>
      <c r="AK2021" s="79"/>
      <c r="AL2021" s="79"/>
      <c r="AM2021" s="79"/>
      <c r="AN2021" s="79"/>
      <c r="AO2021" s="79"/>
      <c r="AP2021" s="79"/>
      <c r="AQ2021" s="79"/>
      <c r="AR2021" s="78"/>
      <c r="AS2021" s="78"/>
      <c r="AT2021" s="79"/>
      <c r="AU2021" s="79"/>
      <c r="AV2021" s="79"/>
      <c r="AW2021" s="79"/>
      <c r="AX2021" s="79"/>
      <c r="AZ2021" s="81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</row>
    <row r="2022" spans="35:68" x14ac:dyDescent="0.25">
      <c r="AI2022" s="49"/>
      <c r="AJ2022" s="78"/>
      <c r="AK2022" s="79"/>
      <c r="AL2022" s="79"/>
      <c r="AM2022" s="79"/>
      <c r="AN2022" s="79"/>
      <c r="AO2022" s="79"/>
      <c r="AP2022" s="79"/>
      <c r="AQ2022" s="79"/>
      <c r="AR2022" s="78"/>
      <c r="AS2022" s="78"/>
      <c r="AT2022" s="79"/>
      <c r="AU2022" s="79"/>
      <c r="AV2022" s="79"/>
      <c r="AW2022" s="79"/>
      <c r="AX2022" s="79"/>
      <c r="AZ2022" s="81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</row>
    <row r="2023" spans="35:68" x14ac:dyDescent="0.25">
      <c r="AI2023" s="49"/>
      <c r="AJ2023" s="78"/>
      <c r="AK2023" s="79"/>
      <c r="AL2023" s="79"/>
      <c r="AM2023" s="79"/>
      <c r="AN2023" s="79"/>
      <c r="AO2023" s="79"/>
      <c r="AP2023" s="79"/>
      <c r="AQ2023" s="79"/>
      <c r="AR2023" s="78"/>
      <c r="AS2023" s="78"/>
      <c r="AT2023" s="79"/>
      <c r="AU2023" s="79"/>
      <c r="AV2023" s="79"/>
      <c r="AW2023" s="79"/>
      <c r="AX2023" s="79"/>
      <c r="AZ2023" s="81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</row>
    <row r="2024" spans="35:68" x14ac:dyDescent="0.25">
      <c r="AI2024" s="49"/>
      <c r="AJ2024" s="78"/>
      <c r="AK2024" s="79"/>
      <c r="AL2024" s="79"/>
      <c r="AM2024" s="79"/>
      <c r="AN2024" s="79"/>
      <c r="AO2024" s="79"/>
      <c r="AP2024" s="79"/>
      <c r="AQ2024" s="79"/>
      <c r="AR2024" s="78"/>
      <c r="AS2024" s="78"/>
      <c r="AT2024" s="79"/>
      <c r="AU2024" s="79"/>
      <c r="AV2024" s="79"/>
      <c r="AW2024" s="79"/>
      <c r="AX2024" s="79"/>
      <c r="AZ2024" s="81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</row>
    <row r="2025" spans="35:68" x14ac:dyDescent="0.25">
      <c r="AI2025" s="49"/>
      <c r="AJ2025" s="78"/>
      <c r="AK2025" s="79"/>
      <c r="AL2025" s="79"/>
      <c r="AM2025" s="79"/>
      <c r="AN2025" s="79"/>
      <c r="AO2025" s="79"/>
      <c r="AP2025" s="79"/>
      <c r="AQ2025" s="79"/>
      <c r="AR2025" s="78"/>
      <c r="AS2025" s="78"/>
      <c r="AT2025" s="79"/>
      <c r="AU2025" s="79"/>
      <c r="AV2025" s="79"/>
      <c r="AW2025" s="79"/>
      <c r="AX2025" s="79"/>
      <c r="AZ2025" s="81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</row>
    <row r="2026" spans="35:68" x14ac:dyDescent="0.25">
      <c r="AI2026" s="49"/>
      <c r="AJ2026" s="78"/>
      <c r="AK2026" s="79"/>
      <c r="AL2026" s="79"/>
      <c r="AM2026" s="79"/>
      <c r="AN2026" s="79"/>
      <c r="AO2026" s="79"/>
      <c r="AP2026" s="79"/>
      <c r="AQ2026" s="79"/>
      <c r="AR2026" s="78"/>
      <c r="AS2026" s="78"/>
      <c r="AT2026" s="79"/>
      <c r="AU2026" s="79"/>
      <c r="AV2026" s="79"/>
      <c r="AW2026" s="79"/>
      <c r="AX2026" s="79"/>
      <c r="AZ2026" s="81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</row>
    <row r="2027" spans="35:68" x14ac:dyDescent="0.25">
      <c r="AI2027" s="49"/>
      <c r="AJ2027" s="78"/>
      <c r="AK2027" s="79"/>
      <c r="AL2027" s="79"/>
      <c r="AM2027" s="79"/>
      <c r="AN2027" s="79"/>
      <c r="AO2027" s="79"/>
      <c r="AP2027" s="79"/>
      <c r="AQ2027" s="79"/>
      <c r="AR2027" s="78"/>
      <c r="AS2027" s="78"/>
      <c r="AT2027" s="79"/>
      <c r="AU2027" s="79"/>
      <c r="AV2027" s="79"/>
      <c r="AW2027" s="79"/>
      <c r="AX2027" s="79"/>
      <c r="AZ2027" s="81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</row>
    <row r="2028" spans="35:68" x14ac:dyDescent="0.25">
      <c r="AI2028" s="49"/>
      <c r="AJ2028" s="78"/>
      <c r="AK2028" s="79"/>
      <c r="AL2028" s="79"/>
      <c r="AM2028" s="79"/>
      <c r="AN2028" s="79"/>
      <c r="AO2028" s="79"/>
      <c r="AP2028" s="79"/>
      <c r="AQ2028" s="79"/>
      <c r="AR2028" s="78"/>
      <c r="AS2028" s="78"/>
      <c r="AT2028" s="79"/>
      <c r="AU2028" s="79"/>
      <c r="AV2028" s="79"/>
      <c r="AW2028" s="79"/>
      <c r="AX2028" s="79"/>
      <c r="AZ2028" s="81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</row>
    <row r="2029" spans="35:68" x14ac:dyDescent="0.25">
      <c r="AI2029" s="49"/>
      <c r="AJ2029" s="78"/>
      <c r="AK2029" s="79"/>
      <c r="AL2029" s="79"/>
      <c r="AM2029" s="79"/>
      <c r="AN2029" s="79"/>
      <c r="AO2029" s="79"/>
      <c r="AP2029" s="79"/>
      <c r="AQ2029" s="79"/>
      <c r="AR2029" s="78"/>
      <c r="AS2029" s="78"/>
      <c r="AT2029" s="79"/>
      <c r="AU2029" s="79"/>
      <c r="AV2029" s="79"/>
      <c r="AW2029" s="79"/>
      <c r="AX2029" s="79"/>
      <c r="AZ2029" s="81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</row>
    <row r="2030" spans="35:68" x14ac:dyDescent="0.25">
      <c r="AI2030" s="49"/>
      <c r="AJ2030" s="78"/>
      <c r="AK2030" s="79"/>
      <c r="AL2030" s="79"/>
      <c r="AM2030" s="79"/>
      <c r="AN2030" s="79"/>
      <c r="AO2030" s="79"/>
      <c r="AP2030" s="79"/>
      <c r="AQ2030" s="79"/>
      <c r="AR2030" s="78"/>
      <c r="AS2030" s="78"/>
      <c r="AT2030" s="79"/>
      <c r="AU2030" s="79"/>
      <c r="AV2030" s="79"/>
      <c r="AW2030" s="79"/>
      <c r="AX2030" s="79"/>
      <c r="AZ2030" s="81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</row>
    <row r="2031" spans="35:68" x14ac:dyDescent="0.25">
      <c r="AI2031" s="49"/>
      <c r="AJ2031" s="78"/>
      <c r="AK2031" s="79"/>
      <c r="AL2031" s="79"/>
      <c r="AM2031" s="79"/>
      <c r="AN2031" s="79"/>
      <c r="AO2031" s="79"/>
      <c r="AP2031" s="79"/>
      <c r="AQ2031" s="79"/>
      <c r="AR2031" s="78"/>
      <c r="AS2031" s="78"/>
      <c r="AT2031" s="79"/>
      <c r="AU2031" s="79"/>
      <c r="AV2031" s="79"/>
      <c r="AW2031" s="79"/>
      <c r="AX2031" s="79"/>
      <c r="AZ2031" s="81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</row>
    <row r="2032" spans="35:68" x14ac:dyDescent="0.25">
      <c r="AI2032" s="49"/>
      <c r="AJ2032" s="78"/>
      <c r="AK2032" s="79"/>
      <c r="AL2032" s="79"/>
      <c r="AM2032" s="79"/>
      <c r="AN2032" s="79"/>
      <c r="AO2032" s="79"/>
      <c r="AP2032" s="79"/>
      <c r="AQ2032" s="79"/>
      <c r="AR2032" s="78"/>
      <c r="AS2032" s="78"/>
      <c r="AT2032" s="79"/>
      <c r="AU2032" s="79"/>
      <c r="AV2032" s="79"/>
      <c r="AW2032" s="79"/>
      <c r="AX2032" s="79"/>
      <c r="AZ2032" s="81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</row>
    <row r="2033" spans="35:68" x14ac:dyDescent="0.25">
      <c r="AI2033" s="49"/>
      <c r="AJ2033" s="78"/>
      <c r="AK2033" s="79"/>
      <c r="AL2033" s="79"/>
      <c r="AM2033" s="79"/>
      <c r="AN2033" s="79"/>
      <c r="AO2033" s="79"/>
      <c r="AP2033" s="79"/>
      <c r="AQ2033" s="79"/>
      <c r="AR2033" s="78"/>
      <c r="AS2033" s="78"/>
      <c r="AT2033" s="79"/>
      <c r="AU2033" s="79"/>
      <c r="AV2033" s="79"/>
      <c r="AW2033" s="79"/>
      <c r="AX2033" s="79"/>
      <c r="AZ2033" s="81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</row>
    <row r="2034" spans="35:68" x14ac:dyDescent="0.25">
      <c r="AI2034" s="49"/>
      <c r="AJ2034" s="78"/>
      <c r="AK2034" s="79"/>
      <c r="AL2034" s="79"/>
      <c r="AM2034" s="79"/>
      <c r="AN2034" s="79"/>
      <c r="AO2034" s="79"/>
      <c r="AP2034" s="79"/>
      <c r="AQ2034" s="79"/>
      <c r="AR2034" s="78"/>
      <c r="AS2034" s="78"/>
      <c r="AT2034" s="79"/>
      <c r="AU2034" s="79"/>
      <c r="AV2034" s="79"/>
      <c r="AW2034" s="79"/>
      <c r="AX2034" s="79"/>
      <c r="AZ2034" s="81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</row>
    <row r="2035" spans="35:68" x14ac:dyDescent="0.25">
      <c r="AI2035" s="49"/>
      <c r="AJ2035" s="78"/>
      <c r="AK2035" s="79"/>
      <c r="AL2035" s="79"/>
      <c r="AM2035" s="79"/>
      <c r="AN2035" s="79"/>
      <c r="AO2035" s="79"/>
      <c r="AP2035" s="79"/>
      <c r="AQ2035" s="79"/>
      <c r="AR2035" s="78"/>
      <c r="AS2035" s="78"/>
      <c r="AT2035" s="79"/>
      <c r="AU2035" s="79"/>
      <c r="AV2035" s="79"/>
      <c r="AW2035" s="79"/>
      <c r="AX2035" s="79"/>
      <c r="AZ2035" s="81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</row>
    <row r="2036" spans="35:68" x14ac:dyDescent="0.25">
      <c r="AI2036" s="49"/>
      <c r="AJ2036" s="78"/>
      <c r="AK2036" s="79"/>
      <c r="AL2036" s="79"/>
      <c r="AM2036" s="79"/>
      <c r="AN2036" s="79"/>
      <c r="AO2036" s="79"/>
      <c r="AP2036" s="79"/>
      <c r="AQ2036" s="79"/>
      <c r="AR2036" s="78"/>
      <c r="AS2036" s="78"/>
      <c r="AT2036" s="79"/>
      <c r="AU2036" s="79"/>
      <c r="AV2036" s="79"/>
      <c r="AW2036" s="79"/>
      <c r="AX2036" s="79"/>
      <c r="AZ2036" s="81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</row>
    <row r="2037" spans="35:68" x14ac:dyDescent="0.25">
      <c r="AI2037" s="49"/>
      <c r="AJ2037" s="78"/>
      <c r="AK2037" s="79"/>
      <c r="AL2037" s="79"/>
      <c r="AM2037" s="79"/>
      <c r="AN2037" s="79"/>
      <c r="AO2037" s="79"/>
      <c r="AP2037" s="79"/>
      <c r="AQ2037" s="79"/>
      <c r="AR2037" s="78"/>
      <c r="AS2037" s="78"/>
      <c r="AT2037" s="79"/>
      <c r="AU2037" s="79"/>
      <c r="AV2037" s="79"/>
      <c r="AW2037" s="79"/>
      <c r="AX2037" s="79"/>
      <c r="AZ2037" s="81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</row>
    <row r="2038" spans="35:68" x14ac:dyDescent="0.25">
      <c r="AI2038" s="49"/>
      <c r="AJ2038" s="78"/>
      <c r="AK2038" s="79"/>
      <c r="AL2038" s="79"/>
      <c r="AM2038" s="79"/>
      <c r="AN2038" s="79"/>
      <c r="AO2038" s="79"/>
      <c r="AP2038" s="79"/>
      <c r="AQ2038" s="79"/>
      <c r="AR2038" s="78"/>
      <c r="AS2038" s="78"/>
      <c r="AT2038" s="79"/>
      <c r="AU2038" s="79"/>
      <c r="AV2038" s="79"/>
      <c r="AW2038" s="79"/>
      <c r="AX2038" s="79"/>
      <c r="AZ2038" s="81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</row>
    <row r="2039" spans="35:68" x14ac:dyDescent="0.25">
      <c r="AI2039" s="49"/>
      <c r="AJ2039" s="78"/>
      <c r="AK2039" s="79"/>
      <c r="AL2039" s="79"/>
      <c r="AM2039" s="79"/>
      <c r="AN2039" s="79"/>
      <c r="AO2039" s="79"/>
      <c r="AP2039" s="79"/>
      <c r="AQ2039" s="79"/>
      <c r="AR2039" s="78"/>
      <c r="AS2039" s="78"/>
      <c r="AT2039" s="79"/>
      <c r="AU2039" s="79"/>
      <c r="AV2039" s="79"/>
      <c r="AW2039" s="79"/>
      <c r="AX2039" s="79"/>
      <c r="AZ2039" s="81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</row>
    <row r="2040" spans="35:68" x14ac:dyDescent="0.25">
      <c r="AI2040" s="49"/>
      <c r="AJ2040" s="78"/>
      <c r="AK2040" s="79"/>
      <c r="AL2040" s="79"/>
      <c r="AM2040" s="79"/>
      <c r="AN2040" s="79"/>
      <c r="AO2040" s="79"/>
      <c r="AP2040" s="79"/>
      <c r="AQ2040" s="79"/>
      <c r="AR2040" s="78"/>
      <c r="AS2040" s="78"/>
      <c r="AT2040" s="79"/>
      <c r="AU2040" s="79"/>
      <c r="AV2040" s="79"/>
      <c r="AW2040" s="79"/>
      <c r="AX2040" s="79"/>
      <c r="AZ2040" s="81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</row>
    <row r="2041" spans="35:68" x14ac:dyDescent="0.25">
      <c r="AI2041" s="49"/>
      <c r="AJ2041" s="78"/>
      <c r="AK2041" s="79"/>
      <c r="AL2041" s="79"/>
      <c r="AM2041" s="79"/>
      <c r="AN2041" s="79"/>
      <c r="AO2041" s="79"/>
      <c r="AP2041" s="79"/>
      <c r="AQ2041" s="79"/>
      <c r="AR2041" s="78"/>
      <c r="AS2041" s="78"/>
      <c r="AT2041" s="79"/>
      <c r="AU2041" s="79"/>
      <c r="AV2041" s="79"/>
      <c r="AW2041" s="79"/>
      <c r="AX2041" s="79"/>
      <c r="AZ2041" s="81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</row>
    <row r="2042" spans="35:68" x14ac:dyDescent="0.25">
      <c r="AI2042" s="49"/>
      <c r="AJ2042" s="78"/>
      <c r="AK2042" s="79"/>
      <c r="AL2042" s="79"/>
      <c r="AM2042" s="79"/>
      <c r="AN2042" s="79"/>
      <c r="AO2042" s="79"/>
      <c r="AP2042" s="79"/>
      <c r="AQ2042" s="79"/>
      <c r="AR2042" s="78"/>
      <c r="AS2042" s="78"/>
      <c r="AT2042" s="79"/>
      <c r="AU2042" s="79"/>
      <c r="AV2042" s="79"/>
      <c r="AW2042" s="79"/>
      <c r="AX2042" s="79"/>
      <c r="AZ2042" s="81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</row>
    <row r="2043" spans="35:68" x14ac:dyDescent="0.25">
      <c r="AI2043" s="49"/>
      <c r="AJ2043" s="78"/>
      <c r="AK2043" s="79"/>
      <c r="AL2043" s="79"/>
      <c r="AM2043" s="79"/>
      <c r="AN2043" s="79"/>
      <c r="AO2043" s="79"/>
      <c r="AP2043" s="79"/>
      <c r="AQ2043" s="79"/>
      <c r="AR2043" s="78"/>
      <c r="AS2043" s="78"/>
      <c r="AT2043" s="79"/>
      <c r="AU2043" s="79"/>
      <c r="AV2043" s="79"/>
      <c r="AW2043" s="79"/>
      <c r="AX2043" s="79"/>
      <c r="AZ2043" s="81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</row>
    <row r="2044" spans="35:68" x14ac:dyDescent="0.25">
      <c r="AI2044" s="49"/>
      <c r="AJ2044" s="78"/>
      <c r="AK2044" s="79"/>
      <c r="AL2044" s="79"/>
      <c r="AM2044" s="79"/>
      <c r="AN2044" s="79"/>
      <c r="AO2044" s="79"/>
      <c r="AP2044" s="79"/>
      <c r="AQ2044" s="79"/>
      <c r="AR2044" s="78"/>
      <c r="AS2044" s="78"/>
      <c r="AT2044" s="79"/>
      <c r="AU2044" s="79"/>
      <c r="AV2044" s="79"/>
      <c r="AW2044" s="79"/>
      <c r="AX2044" s="79"/>
      <c r="AZ2044" s="81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</row>
    <row r="2045" spans="35:68" x14ac:dyDescent="0.25">
      <c r="AI2045" s="49"/>
      <c r="AJ2045" s="78"/>
      <c r="AK2045" s="79"/>
      <c r="AL2045" s="79"/>
      <c r="AM2045" s="79"/>
      <c r="AN2045" s="79"/>
      <c r="AO2045" s="79"/>
      <c r="AP2045" s="79"/>
      <c r="AQ2045" s="79"/>
      <c r="AR2045" s="78"/>
      <c r="AS2045" s="78"/>
      <c r="AT2045" s="79"/>
      <c r="AU2045" s="79"/>
      <c r="AV2045" s="79"/>
      <c r="AW2045" s="79"/>
      <c r="AX2045" s="79"/>
      <c r="AZ2045" s="81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</row>
    <row r="2046" spans="35:68" x14ac:dyDescent="0.25">
      <c r="AI2046" s="49"/>
      <c r="AJ2046" s="78"/>
      <c r="AK2046" s="79"/>
      <c r="AL2046" s="79"/>
      <c r="AM2046" s="79"/>
      <c r="AN2046" s="79"/>
      <c r="AO2046" s="79"/>
      <c r="AP2046" s="79"/>
      <c r="AQ2046" s="79"/>
      <c r="AR2046" s="78"/>
      <c r="AS2046" s="78"/>
      <c r="AT2046" s="79"/>
      <c r="AU2046" s="79"/>
      <c r="AV2046" s="79"/>
      <c r="AW2046" s="79"/>
      <c r="AX2046" s="79"/>
      <c r="AZ2046" s="81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</row>
    <row r="2047" spans="35:68" x14ac:dyDescent="0.25">
      <c r="AI2047" s="49"/>
      <c r="AJ2047" s="78"/>
      <c r="AK2047" s="79"/>
      <c r="AL2047" s="79"/>
      <c r="AM2047" s="79"/>
      <c r="AN2047" s="79"/>
      <c r="AO2047" s="79"/>
      <c r="AP2047" s="79"/>
      <c r="AQ2047" s="79"/>
      <c r="AR2047" s="78"/>
      <c r="AS2047" s="78"/>
      <c r="AT2047" s="79"/>
      <c r="AU2047" s="79"/>
      <c r="AV2047" s="79"/>
      <c r="AW2047" s="79"/>
      <c r="AX2047" s="79"/>
      <c r="AZ2047" s="81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</row>
    <row r="2048" spans="35:68" x14ac:dyDescent="0.25">
      <c r="AI2048" s="49"/>
      <c r="AJ2048" s="78"/>
      <c r="AK2048" s="79"/>
      <c r="AL2048" s="79"/>
      <c r="AM2048" s="79"/>
      <c r="AN2048" s="79"/>
      <c r="AO2048" s="79"/>
      <c r="AP2048" s="79"/>
      <c r="AQ2048" s="79"/>
      <c r="AR2048" s="78"/>
      <c r="AS2048" s="78"/>
      <c r="AT2048" s="79"/>
      <c r="AU2048" s="79"/>
      <c r="AV2048" s="79"/>
      <c r="AW2048" s="79"/>
      <c r="AX2048" s="79"/>
      <c r="AZ2048" s="81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</row>
    <row r="2049" spans="35:68" x14ac:dyDescent="0.25">
      <c r="AI2049" s="49"/>
      <c r="AJ2049" s="78"/>
      <c r="AK2049" s="79"/>
      <c r="AL2049" s="79"/>
      <c r="AM2049" s="79"/>
      <c r="AN2049" s="79"/>
      <c r="AO2049" s="79"/>
      <c r="AP2049" s="79"/>
      <c r="AQ2049" s="79"/>
      <c r="AR2049" s="78"/>
      <c r="AS2049" s="78"/>
      <c r="AT2049" s="79"/>
      <c r="AU2049" s="79"/>
      <c r="AV2049" s="79"/>
      <c r="AW2049" s="79"/>
      <c r="AX2049" s="79"/>
      <c r="AZ2049" s="81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</row>
    <row r="2050" spans="35:68" x14ac:dyDescent="0.25">
      <c r="AI2050" s="49"/>
      <c r="AJ2050" s="78"/>
      <c r="AK2050" s="79"/>
      <c r="AL2050" s="79"/>
      <c r="AM2050" s="79"/>
      <c r="AN2050" s="79"/>
      <c r="AO2050" s="79"/>
      <c r="AP2050" s="79"/>
      <c r="AQ2050" s="79"/>
      <c r="AR2050" s="78"/>
      <c r="AS2050" s="78"/>
      <c r="AT2050" s="79"/>
      <c r="AU2050" s="79"/>
      <c r="AV2050" s="79"/>
      <c r="AW2050" s="79"/>
      <c r="AX2050" s="79"/>
      <c r="AZ2050" s="81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</row>
    <row r="2051" spans="35:68" x14ac:dyDescent="0.25">
      <c r="AI2051" s="49"/>
      <c r="AJ2051" s="78"/>
      <c r="AK2051" s="79"/>
      <c r="AL2051" s="79"/>
      <c r="AM2051" s="79"/>
      <c r="AN2051" s="79"/>
      <c r="AO2051" s="79"/>
      <c r="AP2051" s="79"/>
      <c r="AQ2051" s="79"/>
      <c r="AR2051" s="78"/>
      <c r="AS2051" s="78"/>
      <c r="AT2051" s="79"/>
      <c r="AU2051" s="79"/>
      <c r="AV2051" s="79"/>
      <c r="AW2051" s="79"/>
      <c r="AX2051" s="79"/>
      <c r="AZ2051" s="81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</row>
    <row r="2052" spans="35:68" x14ac:dyDescent="0.25">
      <c r="AI2052" s="49"/>
      <c r="AJ2052" s="78"/>
      <c r="AK2052" s="79"/>
      <c r="AL2052" s="79"/>
      <c r="AM2052" s="79"/>
      <c r="AN2052" s="79"/>
      <c r="AO2052" s="79"/>
      <c r="AP2052" s="79"/>
      <c r="AQ2052" s="79"/>
      <c r="AR2052" s="78"/>
      <c r="AS2052" s="78"/>
      <c r="AT2052" s="79"/>
      <c r="AU2052" s="79"/>
      <c r="AV2052" s="79"/>
      <c r="AW2052" s="79"/>
      <c r="AX2052" s="79"/>
      <c r="AZ2052" s="81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</row>
    <row r="2053" spans="35:68" x14ac:dyDescent="0.25">
      <c r="AI2053" s="49"/>
      <c r="AJ2053" s="78"/>
      <c r="AK2053" s="79"/>
      <c r="AL2053" s="79"/>
      <c r="AM2053" s="79"/>
      <c r="AN2053" s="79"/>
      <c r="AO2053" s="79"/>
      <c r="AP2053" s="79"/>
      <c r="AQ2053" s="79"/>
      <c r="AR2053" s="78"/>
      <c r="AS2053" s="78"/>
      <c r="AT2053" s="79"/>
      <c r="AU2053" s="79"/>
      <c r="AV2053" s="79"/>
      <c r="AW2053" s="79"/>
      <c r="AX2053" s="79"/>
      <c r="AZ2053" s="81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</row>
    <row r="2054" spans="35:68" x14ac:dyDescent="0.25">
      <c r="AI2054" s="49"/>
      <c r="AJ2054" s="78"/>
      <c r="AK2054" s="79"/>
      <c r="AL2054" s="79"/>
      <c r="AM2054" s="79"/>
      <c r="AN2054" s="79"/>
      <c r="AO2054" s="79"/>
      <c r="AP2054" s="79"/>
      <c r="AQ2054" s="79"/>
      <c r="AR2054" s="78"/>
      <c r="AS2054" s="78"/>
      <c r="AT2054" s="79"/>
      <c r="AU2054" s="79"/>
      <c r="AV2054" s="79"/>
      <c r="AW2054" s="79"/>
      <c r="AX2054" s="79"/>
      <c r="AZ2054" s="81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</row>
    <row r="2055" spans="35:68" x14ac:dyDescent="0.25">
      <c r="AI2055" s="49"/>
      <c r="AJ2055" s="78"/>
      <c r="AK2055" s="79"/>
      <c r="AL2055" s="79"/>
      <c r="AM2055" s="79"/>
      <c r="AN2055" s="79"/>
      <c r="AO2055" s="79"/>
      <c r="AP2055" s="79"/>
      <c r="AQ2055" s="79"/>
      <c r="AR2055" s="78"/>
      <c r="AS2055" s="78"/>
      <c r="AT2055" s="79"/>
      <c r="AU2055" s="79"/>
      <c r="AV2055" s="79"/>
      <c r="AW2055" s="79"/>
      <c r="AX2055" s="79"/>
      <c r="AZ2055" s="81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</row>
    <row r="2056" spans="35:68" x14ac:dyDescent="0.25">
      <c r="AI2056" s="49"/>
      <c r="AJ2056" s="78"/>
      <c r="AK2056" s="79"/>
      <c r="AL2056" s="79"/>
      <c r="AM2056" s="79"/>
      <c r="AN2056" s="79"/>
      <c r="AO2056" s="79"/>
      <c r="AP2056" s="79"/>
      <c r="AQ2056" s="79"/>
      <c r="AR2056" s="78"/>
      <c r="AS2056" s="78"/>
      <c r="AT2056" s="79"/>
      <c r="AU2056" s="79"/>
      <c r="AV2056" s="79"/>
      <c r="AW2056" s="79"/>
      <c r="AX2056" s="79"/>
      <c r="AZ2056" s="81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</row>
    <row r="2057" spans="35:68" x14ac:dyDescent="0.25">
      <c r="AI2057" s="49"/>
      <c r="AJ2057" s="78"/>
      <c r="AK2057" s="79"/>
      <c r="AL2057" s="79"/>
      <c r="AM2057" s="79"/>
      <c r="AN2057" s="79"/>
      <c r="AO2057" s="79"/>
      <c r="AP2057" s="79"/>
      <c r="AQ2057" s="79"/>
      <c r="AR2057" s="78"/>
      <c r="AS2057" s="78"/>
      <c r="AT2057" s="79"/>
      <c r="AU2057" s="79"/>
      <c r="AV2057" s="79"/>
      <c r="AW2057" s="79"/>
      <c r="AX2057" s="79"/>
      <c r="AZ2057" s="81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</row>
    <row r="2058" spans="35:68" x14ac:dyDescent="0.25">
      <c r="AI2058" s="49"/>
      <c r="AJ2058" s="78"/>
      <c r="AK2058" s="79"/>
      <c r="AL2058" s="79"/>
      <c r="AM2058" s="79"/>
      <c r="AN2058" s="79"/>
      <c r="AO2058" s="79"/>
      <c r="AP2058" s="79"/>
      <c r="AQ2058" s="79"/>
      <c r="AR2058" s="78"/>
      <c r="AS2058" s="78"/>
      <c r="AT2058" s="79"/>
      <c r="AU2058" s="79"/>
      <c r="AV2058" s="79"/>
      <c r="AW2058" s="79"/>
      <c r="AX2058" s="79"/>
      <c r="AZ2058" s="81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</row>
    <row r="2059" spans="35:68" x14ac:dyDescent="0.25">
      <c r="AI2059" s="49"/>
      <c r="AJ2059" s="78"/>
      <c r="AK2059" s="79"/>
      <c r="AL2059" s="79"/>
      <c r="AM2059" s="79"/>
      <c r="AN2059" s="79"/>
      <c r="AO2059" s="79"/>
      <c r="AP2059" s="79"/>
      <c r="AQ2059" s="79"/>
      <c r="AR2059" s="78"/>
      <c r="AS2059" s="78"/>
      <c r="AT2059" s="79"/>
      <c r="AU2059" s="79"/>
      <c r="AV2059" s="79"/>
      <c r="AW2059" s="79"/>
      <c r="AX2059" s="79"/>
      <c r="AZ2059" s="81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</row>
    <row r="2060" spans="35:68" x14ac:dyDescent="0.25">
      <c r="AI2060" s="49"/>
      <c r="AJ2060" s="78"/>
      <c r="AK2060" s="79"/>
      <c r="AL2060" s="79"/>
      <c r="AM2060" s="79"/>
      <c r="AN2060" s="79"/>
      <c r="AO2060" s="79"/>
      <c r="AP2060" s="79"/>
      <c r="AQ2060" s="79"/>
      <c r="AR2060" s="78"/>
      <c r="AS2060" s="78"/>
      <c r="AT2060" s="79"/>
      <c r="AU2060" s="79"/>
      <c r="AV2060" s="79"/>
      <c r="AW2060" s="79"/>
      <c r="AX2060" s="79"/>
      <c r="AZ2060" s="81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</row>
    <row r="2061" spans="35:68" x14ac:dyDescent="0.25">
      <c r="AI2061" s="49"/>
      <c r="AJ2061" s="78"/>
      <c r="AK2061" s="79"/>
      <c r="AL2061" s="79"/>
      <c r="AM2061" s="79"/>
      <c r="AN2061" s="79"/>
      <c r="AO2061" s="79"/>
      <c r="AP2061" s="79"/>
      <c r="AQ2061" s="79"/>
      <c r="AR2061" s="78"/>
      <c r="AS2061" s="78"/>
      <c r="AT2061" s="79"/>
      <c r="AU2061" s="79"/>
      <c r="AV2061" s="79"/>
      <c r="AW2061" s="79"/>
      <c r="AX2061" s="79"/>
      <c r="AZ2061" s="81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</row>
    <row r="2062" spans="35:68" x14ac:dyDescent="0.25">
      <c r="AI2062" s="49"/>
      <c r="AJ2062" s="78"/>
      <c r="AK2062" s="79"/>
      <c r="AL2062" s="79"/>
      <c r="AM2062" s="79"/>
      <c r="AN2062" s="79"/>
      <c r="AO2062" s="79"/>
      <c r="AP2062" s="79"/>
      <c r="AQ2062" s="79"/>
      <c r="AR2062" s="78"/>
      <c r="AS2062" s="78"/>
      <c r="AT2062" s="79"/>
      <c r="AU2062" s="79"/>
      <c r="AV2062" s="79"/>
      <c r="AW2062" s="79"/>
      <c r="AX2062" s="79"/>
      <c r="AZ2062" s="81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</row>
    <row r="2063" spans="35:68" x14ac:dyDescent="0.25">
      <c r="AI2063" s="49"/>
      <c r="AJ2063" s="78"/>
      <c r="AK2063" s="79"/>
      <c r="AL2063" s="79"/>
      <c r="AM2063" s="79"/>
      <c r="AN2063" s="79"/>
      <c r="AO2063" s="79"/>
      <c r="AP2063" s="79"/>
      <c r="AQ2063" s="79"/>
      <c r="AR2063" s="78"/>
      <c r="AS2063" s="78"/>
      <c r="AT2063" s="79"/>
      <c r="AU2063" s="79"/>
      <c r="AV2063" s="79"/>
      <c r="AW2063" s="79"/>
      <c r="AX2063" s="79"/>
      <c r="AZ2063" s="81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</row>
    <row r="2064" spans="35:68" x14ac:dyDescent="0.25">
      <c r="AI2064" s="49"/>
      <c r="AJ2064" s="78"/>
      <c r="AK2064" s="79"/>
      <c r="AL2064" s="79"/>
      <c r="AM2064" s="79"/>
      <c r="AN2064" s="79"/>
      <c r="AO2064" s="79"/>
      <c r="AP2064" s="79"/>
      <c r="AQ2064" s="79"/>
      <c r="AR2064" s="78"/>
      <c r="AS2064" s="78"/>
      <c r="AT2064" s="79"/>
      <c r="AU2064" s="79"/>
      <c r="AV2064" s="79"/>
      <c r="AW2064" s="79"/>
      <c r="AX2064" s="79"/>
      <c r="AZ2064" s="81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</row>
    <row r="2065" spans="35:68" x14ac:dyDescent="0.25">
      <c r="AI2065" s="49"/>
      <c r="AJ2065" s="78"/>
      <c r="AK2065" s="79"/>
      <c r="AL2065" s="79"/>
      <c r="AM2065" s="79"/>
      <c r="AN2065" s="79"/>
      <c r="AO2065" s="79"/>
      <c r="AP2065" s="79"/>
      <c r="AQ2065" s="79"/>
      <c r="AR2065" s="78"/>
      <c r="AS2065" s="78"/>
      <c r="AT2065" s="79"/>
      <c r="AU2065" s="79"/>
      <c r="AV2065" s="79"/>
      <c r="AW2065" s="79"/>
      <c r="AX2065" s="79"/>
      <c r="AZ2065" s="81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</row>
    <row r="2066" spans="35:68" x14ac:dyDescent="0.25">
      <c r="AI2066" s="49"/>
      <c r="AJ2066" s="78"/>
      <c r="AK2066" s="79"/>
      <c r="AL2066" s="79"/>
      <c r="AM2066" s="79"/>
      <c r="AN2066" s="79"/>
      <c r="AO2066" s="79"/>
      <c r="AP2066" s="79"/>
      <c r="AQ2066" s="79"/>
      <c r="AR2066" s="78"/>
      <c r="AS2066" s="78"/>
      <c r="AT2066" s="79"/>
      <c r="AU2066" s="79"/>
      <c r="AV2066" s="79"/>
      <c r="AW2066" s="79"/>
      <c r="AX2066" s="79"/>
      <c r="AZ2066" s="81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</row>
    <row r="2067" spans="35:68" x14ac:dyDescent="0.25">
      <c r="AI2067" s="49"/>
      <c r="AJ2067" s="78"/>
      <c r="AK2067" s="79"/>
      <c r="AL2067" s="79"/>
      <c r="AM2067" s="79"/>
      <c r="AN2067" s="79"/>
      <c r="AO2067" s="79"/>
      <c r="AP2067" s="79"/>
      <c r="AQ2067" s="79"/>
      <c r="AR2067" s="78"/>
      <c r="AS2067" s="78"/>
      <c r="AT2067" s="79"/>
      <c r="AU2067" s="79"/>
      <c r="AV2067" s="79"/>
      <c r="AW2067" s="79"/>
      <c r="AX2067" s="79"/>
      <c r="AZ2067" s="81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</row>
    <row r="2068" spans="35:68" x14ac:dyDescent="0.25">
      <c r="AI2068" s="49"/>
      <c r="AJ2068" s="78"/>
      <c r="AK2068" s="79"/>
      <c r="AL2068" s="79"/>
      <c r="AM2068" s="79"/>
      <c r="AN2068" s="79"/>
      <c r="AO2068" s="79"/>
      <c r="AP2068" s="79"/>
      <c r="AQ2068" s="79"/>
      <c r="AR2068" s="78"/>
      <c r="AS2068" s="78"/>
      <c r="AT2068" s="79"/>
      <c r="AU2068" s="79"/>
      <c r="AV2068" s="79"/>
      <c r="AW2068" s="79"/>
      <c r="AX2068" s="79"/>
      <c r="AZ2068" s="81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</row>
    <row r="2069" spans="35:68" x14ac:dyDescent="0.25">
      <c r="AI2069" s="49"/>
      <c r="AJ2069" s="78"/>
      <c r="AK2069" s="79"/>
      <c r="AL2069" s="79"/>
      <c r="AM2069" s="79"/>
      <c r="AN2069" s="79"/>
      <c r="AO2069" s="79"/>
      <c r="AP2069" s="79"/>
      <c r="AQ2069" s="79"/>
      <c r="AR2069" s="78"/>
      <c r="AS2069" s="78"/>
      <c r="AT2069" s="79"/>
      <c r="AU2069" s="79"/>
      <c r="AV2069" s="79"/>
      <c r="AW2069" s="79"/>
      <c r="AX2069" s="79"/>
      <c r="AZ2069" s="81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</row>
    <row r="2070" spans="35:68" x14ac:dyDescent="0.25">
      <c r="AI2070" s="49"/>
      <c r="AJ2070" s="78"/>
      <c r="AK2070" s="79"/>
      <c r="AL2070" s="79"/>
      <c r="AM2070" s="79"/>
      <c r="AN2070" s="79"/>
      <c r="AO2070" s="79"/>
      <c r="AP2070" s="79"/>
      <c r="AQ2070" s="79"/>
      <c r="AR2070" s="78"/>
      <c r="AS2070" s="78"/>
      <c r="AT2070" s="79"/>
      <c r="AU2070" s="79"/>
      <c r="AV2070" s="79"/>
      <c r="AW2070" s="79"/>
      <c r="AX2070" s="79"/>
      <c r="AZ2070" s="81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</row>
    <row r="2071" spans="35:68" x14ac:dyDescent="0.25">
      <c r="AI2071" s="49"/>
      <c r="AJ2071" s="78"/>
      <c r="AK2071" s="79"/>
      <c r="AL2071" s="79"/>
      <c r="AM2071" s="79"/>
      <c r="AN2071" s="79"/>
      <c r="AO2071" s="79"/>
      <c r="AP2071" s="79"/>
      <c r="AQ2071" s="79"/>
      <c r="AR2071" s="78"/>
      <c r="AS2071" s="78"/>
      <c r="AT2071" s="79"/>
      <c r="AU2071" s="79"/>
      <c r="AV2071" s="79"/>
      <c r="AW2071" s="79"/>
      <c r="AX2071" s="79"/>
      <c r="AZ2071" s="81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</row>
    <row r="2072" spans="35:68" x14ac:dyDescent="0.25">
      <c r="AI2072" s="49"/>
      <c r="AJ2072" s="78"/>
      <c r="AK2072" s="79"/>
      <c r="AL2072" s="79"/>
      <c r="AM2072" s="79"/>
      <c r="AN2072" s="79"/>
      <c r="AO2072" s="79"/>
      <c r="AP2072" s="79"/>
      <c r="AQ2072" s="79"/>
      <c r="AR2072" s="78"/>
      <c r="AS2072" s="78"/>
      <c r="AT2072" s="79"/>
      <c r="AU2072" s="79"/>
      <c r="AV2072" s="79"/>
      <c r="AW2072" s="79"/>
      <c r="AX2072" s="79"/>
      <c r="AZ2072" s="81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</row>
    <row r="2073" spans="35:68" x14ac:dyDescent="0.25">
      <c r="AI2073" s="49"/>
      <c r="AJ2073" s="78"/>
      <c r="AK2073" s="79"/>
      <c r="AL2073" s="79"/>
      <c r="AM2073" s="79"/>
      <c r="AN2073" s="79"/>
      <c r="AO2073" s="79"/>
      <c r="AP2073" s="79"/>
      <c r="AQ2073" s="79"/>
      <c r="AR2073" s="78"/>
      <c r="AS2073" s="78"/>
      <c r="AT2073" s="79"/>
      <c r="AU2073" s="79"/>
      <c r="AV2073" s="79"/>
      <c r="AW2073" s="79"/>
      <c r="AX2073" s="79"/>
      <c r="AZ2073" s="81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</row>
    <row r="2074" spans="35:68" x14ac:dyDescent="0.25">
      <c r="AI2074" s="49"/>
      <c r="AJ2074" s="78"/>
      <c r="AK2074" s="79"/>
      <c r="AL2074" s="79"/>
      <c r="AM2074" s="79"/>
      <c r="AN2074" s="79"/>
      <c r="AO2074" s="79"/>
      <c r="AP2074" s="79"/>
      <c r="AQ2074" s="79"/>
      <c r="AR2074" s="78"/>
      <c r="AS2074" s="78"/>
      <c r="AT2074" s="79"/>
      <c r="AU2074" s="79"/>
      <c r="AV2074" s="79"/>
      <c r="AW2074" s="79"/>
      <c r="AX2074" s="79"/>
      <c r="AZ2074" s="81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</row>
    <row r="2075" spans="35:68" x14ac:dyDescent="0.25">
      <c r="AI2075" s="49"/>
      <c r="AJ2075" s="78"/>
      <c r="AK2075" s="79"/>
      <c r="AL2075" s="79"/>
      <c r="AM2075" s="79"/>
      <c r="AN2075" s="79"/>
      <c r="AO2075" s="79"/>
      <c r="AP2075" s="79"/>
      <c r="AQ2075" s="79"/>
      <c r="AR2075" s="78"/>
      <c r="AS2075" s="78"/>
      <c r="AT2075" s="79"/>
      <c r="AU2075" s="79"/>
      <c r="AV2075" s="79"/>
      <c r="AW2075" s="79"/>
      <c r="AX2075" s="79"/>
      <c r="AZ2075" s="81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</row>
    <row r="2076" spans="35:68" x14ac:dyDescent="0.25">
      <c r="AI2076" s="49"/>
      <c r="AJ2076" s="78"/>
      <c r="AK2076" s="79"/>
      <c r="AL2076" s="79"/>
      <c r="AM2076" s="79"/>
      <c r="AN2076" s="79"/>
      <c r="AO2076" s="79"/>
      <c r="AP2076" s="79"/>
      <c r="AQ2076" s="79"/>
      <c r="AR2076" s="78"/>
      <c r="AS2076" s="78"/>
      <c r="AT2076" s="79"/>
      <c r="AU2076" s="79"/>
      <c r="AV2076" s="79"/>
      <c r="AW2076" s="79"/>
      <c r="AX2076" s="79"/>
      <c r="AZ2076" s="81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</row>
    <row r="2077" spans="35:68" x14ac:dyDescent="0.25">
      <c r="AI2077" s="49"/>
      <c r="AJ2077" s="78"/>
      <c r="AK2077" s="79"/>
      <c r="AL2077" s="79"/>
      <c r="AM2077" s="79"/>
      <c r="AN2077" s="79"/>
      <c r="AO2077" s="79"/>
      <c r="AP2077" s="79"/>
      <c r="AQ2077" s="79"/>
      <c r="AR2077" s="78"/>
      <c r="AS2077" s="78"/>
      <c r="AT2077" s="79"/>
      <c r="AU2077" s="79"/>
      <c r="AV2077" s="79"/>
      <c r="AW2077" s="79"/>
      <c r="AX2077" s="79"/>
      <c r="AZ2077" s="81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</row>
    <row r="2078" spans="35:68" x14ac:dyDescent="0.25">
      <c r="AI2078" s="49"/>
      <c r="AJ2078" s="78"/>
      <c r="AK2078" s="79"/>
      <c r="AL2078" s="79"/>
      <c r="AM2078" s="79"/>
      <c r="AN2078" s="79"/>
      <c r="AO2078" s="79"/>
      <c r="AP2078" s="79"/>
      <c r="AQ2078" s="79"/>
      <c r="AR2078" s="78"/>
      <c r="AS2078" s="78"/>
      <c r="AT2078" s="79"/>
      <c r="AU2078" s="79"/>
      <c r="AV2078" s="79"/>
      <c r="AW2078" s="79"/>
      <c r="AX2078" s="79"/>
      <c r="AZ2078" s="81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</row>
    <row r="2079" spans="35:68" x14ac:dyDescent="0.25">
      <c r="AI2079" s="49"/>
      <c r="AJ2079" s="78"/>
      <c r="AK2079" s="79"/>
      <c r="AL2079" s="79"/>
      <c r="AM2079" s="79"/>
      <c r="AN2079" s="79"/>
      <c r="AO2079" s="79"/>
      <c r="AP2079" s="79"/>
      <c r="AQ2079" s="79"/>
      <c r="AR2079" s="78"/>
      <c r="AS2079" s="78"/>
      <c r="AT2079" s="79"/>
      <c r="AU2079" s="79"/>
      <c r="AV2079" s="79"/>
      <c r="AW2079" s="79"/>
      <c r="AX2079" s="79"/>
      <c r="AZ2079" s="81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</row>
    <row r="2080" spans="35:68" x14ac:dyDescent="0.25">
      <c r="AI2080" s="49"/>
      <c r="AJ2080" s="78"/>
      <c r="AK2080" s="79"/>
      <c r="AL2080" s="79"/>
      <c r="AM2080" s="79"/>
      <c r="AN2080" s="79"/>
      <c r="AO2080" s="79"/>
      <c r="AP2080" s="79"/>
      <c r="AQ2080" s="79"/>
      <c r="AR2080" s="78"/>
      <c r="AS2080" s="78"/>
      <c r="AT2080" s="79"/>
      <c r="AU2080" s="79"/>
      <c r="AV2080" s="79"/>
      <c r="AW2080" s="79"/>
      <c r="AX2080" s="79"/>
      <c r="AZ2080" s="81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</row>
    <row r="2081" spans="35:68" x14ac:dyDescent="0.25">
      <c r="AI2081" s="49"/>
      <c r="AJ2081" s="78"/>
      <c r="AK2081" s="79"/>
      <c r="AL2081" s="79"/>
      <c r="AM2081" s="79"/>
      <c r="AN2081" s="79"/>
      <c r="AO2081" s="79"/>
      <c r="AP2081" s="79"/>
      <c r="AQ2081" s="79"/>
      <c r="AR2081" s="78"/>
      <c r="AS2081" s="78"/>
      <c r="AT2081" s="79"/>
      <c r="AU2081" s="79"/>
      <c r="AV2081" s="79"/>
      <c r="AW2081" s="79"/>
      <c r="AX2081" s="79"/>
      <c r="AZ2081" s="81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</row>
    <row r="2082" spans="35:68" x14ac:dyDescent="0.25">
      <c r="AI2082" s="49"/>
      <c r="AJ2082" s="78"/>
      <c r="AK2082" s="79"/>
      <c r="AL2082" s="79"/>
      <c r="AM2082" s="79"/>
      <c r="AN2082" s="79"/>
      <c r="AO2082" s="79"/>
      <c r="AP2082" s="79"/>
      <c r="AQ2082" s="79"/>
      <c r="AR2082" s="78"/>
      <c r="AS2082" s="78"/>
      <c r="AT2082" s="79"/>
      <c r="AU2082" s="79"/>
      <c r="AV2082" s="79"/>
      <c r="AW2082" s="79"/>
      <c r="AX2082" s="79"/>
      <c r="AZ2082" s="81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</row>
    <row r="2083" spans="35:68" x14ac:dyDescent="0.25">
      <c r="AI2083" s="49"/>
      <c r="AJ2083" s="78"/>
      <c r="AK2083" s="79"/>
      <c r="AL2083" s="79"/>
      <c r="AM2083" s="79"/>
      <c r="AN2083" s="79"/>
      <c r="AO2083" s="79"/>
      <c r="AP2083" s="79"/>
      <c r="AQ2083" s="79"/>
      <c r="AR2083" s="78"/>
      <c r="AS2083" s="78"/>
      <c r="AT2083" s="79"/>
      <c r="AU2083" s="79"/>
      <c r="AV2083" s="79"/>
      <c r="AW2083" s="79"/>
      <c r="AX2083" s="79"/>
      <c r="AZ2083" s="81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</row>
    <row r="2084" spans="35:68" x14ac:dyDescent="0.25">
      <c r="AI2084" s="49"/>
      <c r="AJ2084" s="78"/>
      <c r="AK2084" s="79"/>
      <c r="AL2084" s="79"/>
      <c r="AM2084" s="79"/>
      <c r="AN2084" s="79"/>
      <c r="AO2084" s="79"/>
      <c r="AP2084" s="79"/>
      <c r="AQ2084" s="79"/>
      <c r="AR2084" s="78"/>
      <c r="AS2084" s="78"/>
      <c r="AT2084" s="79"/>
      <c r="AU2084" s="79"/>
      <c r="AV2084" s="79"/>
      <c r="AW2084" s="79"/>
      <c r="AX2084" s="79"/>
      <c r="AZ2084" s="81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</row>
    <row r="2085" spans="35:68" x14ac:dyDescent="0.25">
      <c r="AI2085" s="49"/>
      <c r="AJ2085" s="78"/>
      <c r="AK2085" s="79"/>
      <c r="AL2085" s="79"/>
      <c r="AM2085" s="79"/>
      <c r="AN2085" s="79"/>
      <c r="AO2085" s="79"/>
      <c r="AP2085" s="79"/>
      <c r="AQ2085" s="79"/>
      <c r="AR2085" s="78"/>
      <c r="AS2085" s="78"/>
      <c r="AT2085" s="79"/>
      <c r="AU2085" s="79"/>
      <c r="AV2085" s="79"/>
      <c r="AW2085" s="79"/>
      <c r="AX2085" s="79"/>
      <c r="AZ2085" s="81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</row>
    <row r="2086" spans="35:68" x14ac:dyDescent="0.25">
      <c r="AI2086" s="49"/>
      <c r="AJ2086" s="78"/>
      <c r="AK2086" s="79"/>
      <c r="AL2086" s="79"/>
      <c r="AM2086" s="79"/>
      <c r="AN2086" s="79"/>
      <c r="AO2086" s="79"/>
      <c r="AP2086" s="79"/>
      <c r="AQ2086" s="79"/>
      <c r="AR2086" s="78"/>
      <c r="AS2086" s="78"/>
      <c r="AT2086" s="79"/>
      <c r="AU2086" s="79"/>
      <c r="AV2086" s="79"/>
      <c r="AW2086" s="79"/>
      <c r="AX2086" s="79"/>
      <c r="AZ2086" s="81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</row>
    <row r="2087" spans="35:68" x14ac:dyDescent="0.25">
      <c r="AI2087" s="49"/>
      <c r="AJ2087" s="78"/>
      <c r="AK2087" s="79"/>
      <c r="AL2087" s="79"/>
      <c r="AM2087" s="79"/>
      <c r="AN2087" s="79"/>
      <c r="AO2087" s="79"/>
      <c r="AP2087" s="79"/>
      <c r="AQ2087" s="79"/>
      <c r="AR2087" s="78"/>
      <c r="AS2087" s="78"/>
      <c r="AT2087" s="79"/>
      <c r="AU2087" s="79"/>
      <c r="AV2087" s="79"/>
      <c r="AW2087" s="79"/>
      <c r="AX2087" s="79"/>
      <c r="AZ2087" s="81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</row>
    <row r="2088" spans="35:68" x14ac:dyDescent="0.25">
      <c r="AI2088" s="49"/>
      <c r="AJ2088" s="78"/>
      <c r="AK2088" s="79"/>
      <c r="AL2088" s="79"/>
      <c r="AM2088" s="79"/>
      <c r="AN2088" s="79"/>
      <c r="AO2088" s="79"/>
      <c r="AP2088" s="79"/>
      <c r="AQ2088" s="79"/>
      <c r="AR2088" s="78"/>
      <c r="AS2088" s="78"/>
      <c r="AT2088" s="79"/>
      <c r="AU2088" s="79"/>
      <c r="AV2088" s="79"/>
      <c r="AW2088" s="79"/>
      <c r="AX2088" s="79"/>
      <c r="AZ2088" s="81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</row>
    <row r="2089" spans="35:68" x14ac:dyDescent="0.25">
      <c r="AI2089" s="49"/>
      <c r="AJ2089" s="78"/>
      <c r="AK2089" s="79"/>
      <c r="AL2089" s="79"/>
      <c r="AM2089" s="79"/>
      <c r="AN2089" s="79"/>
      <c r="AO2089" s="79"/>
      <c r="AP2089" s="79"/>
      <c r="AQ2089" s="79"/>
      <c r="AR2089" s="78"/>
      <c r="AS2089" s="78"/>
      <c r="AT2089" s="79"/>
      <c r="AU2089" s="79"/>
      <c r="AV2089" s="79"/>
      <c r="AW2089" s="79"/>
      <c r="AX2089" s="79"/>
      <c r="AZ2089" s="81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</row>
    <row r="2090" spans="35:68" x14ac:dyDescent="0.25">
      <c r="AI2090" s="49"/>
      <c r="AJ2090" s="78"/>
      <c r="AK2090" s="79"/>
      <c r="AL2090" s="79"/>
      <c r="AM2090" s="79"/>
      <c r="AN2090" s="79"/>
      <c r="AO2090" s="79"/>
      <c r="AP2090" s="79"/>
      <c r="AQ2090" s="79"/>
      <c r="AR2090" s="78"/>
      <c r="AS2090" s="78"/>
      <c r="AT2090" s="79"/>
      <c r="AU2090" s="79"/>
      <c r="AV2090" s="79"/>
      <c r="AW2090" s="79"/>
      <c r="AX2090" s="79"/>
      <c r="AZ2090" s="81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</row>
    <row r="2091" spans="35:68" x14ac:dyDescent="0.25">
      <c r="AI2091" s="49"/>
      <c r="AJ2091" s="78"/>
      <c r="AK2091" s="79"/>
      <c r="AL2091" s="79"/>
      <c r="AM2091" s="79"/>
      <c r="AN2091" s="79"/>
      <c r="AO2091" s="79"/>
      <c r="AP2091" s="79"/>
      <c r="AQ2091" s="79"/>
      <c r="AR2091" s="78"/>
      <c r="AS2091" s="78"/>
      <c r="AT2091" s="79"/>
      <c r="AU2091" s="79"/>
      <c r="AV2091" s="79"/>
      <c r="AW2091" s="79"/>
      <c r="AX2091" s="79"/>
      <c r="AZ2091" s="81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</row>
    <row r="2092" spans="35:68" x14ac:dyDescent="0.25">
      <c r="AI2092" s="49"/>
      <c r="AJ2092" s="78"/>
      <c r="AK2092" s="79"/>
      <c r="AL2092" s="79"/>
      <c r="AM2092" s="79"/>
      <c r="AN2092" s="79"/>
      <c r="AO2092" s="79"/>
      <c r="AP2092" s="79"/>
      <c r="AQ2092" s="79"/>
      <c r="AR2092" s="78"/>
      <c r="AS2092" s="78"/>
      <c r="AT2092" s="79"/>
      <c r="AU2092" s="79"/>
      <c r="AV2092" s="79"/>
      <c r="AW2092" s="79"/>
      <c r="AX2092" s="79"/>
      <c r="AZ2092" s="81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</row>
    <row r="2093" spans="35:68" x14ac:dyDescent="0.25">
      <c r="AI2093" s="49"/>
      <c r="AJ2093" s="78"/>
      <c r="AK2093" s="79"/>
      <c r="AL2093" s="79"/>
      <c r="AM2093" s="79"/>
      <c r="AN2093" s="79"/>
      <c r="AO2093" s="79"/>
      <c r="AP2093" s="79"/>
      <c r="AQ2093" s="79"/>
      <c r="AR2093" s="78"/>
      <c r="AS2093" s="78"/>
      <c r="AT2093" s="79"/>
      <c r="AU2093" s="79"/>
      <c r="AV2093" s="79"/>
      <c r="AW2093" s="79"/>
      <c r="AX2093" s="79"/>
      <c r="AZ2093" s="81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</row>
    <row r="2094" spans="35:68" x14ac:dyDescent="0.25">
      <c r="AI2094" s="49"/>
      <c r="AJ2094" s="78"/>
      <c r="AK2094" s="79"/>
      <c r="AL2094" s="79"/>
      <c r="AM2094" s="79"/>
      <c r="AN2094" s="79"/>
      <c r="AO2094" s="79"/>
      <c r="AP2094" s="79"/>
      <c r="AQ2094" s="79"/>
      <c r="AR2094" s="78"/>
      <c r="AS2094" s="78"/>
      <c r="AT2094" s="79"/>
      <c r="AU2094" s="79"/>
      <c r="AV2094" s="79"/>
      <c r="AW2094" s="79"/>
      <c r="AX2094" s="79"/>
      <c r="AZ2094" s="81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</row>
    <row r="2095" spans="35:68" x14ac:dyDescent="0.25">
      <c r="AI2095" s="49"/>
      <c r="AJ2095" s="78"/>
      <c r="AK2095" s="79"/>
      <c r="AL2095" s="79"/>
      <c r="AM2095" s="79"/>
      <c r="AN2095" s="79"/>
      <c r="AO2095" s="79"/>
      <c r="AP2095" s="79"/>
      <c r="AQ2095" s="79"/>
      <c r="AR2095" s="78"/>
      <c r="AS2095" s="78"/>
      <c r="AT2095" s="79"/>
      <c r="AU2095" s="79"/>
      <c r="AV2095" s="79"/>
      <c r="AW2095" s="79"/>
      <c r="AX2095" s="79"/>
      <c r="AZ2095" s="81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</row>
    <row r="2096" spans="35:68" x14ac:dyDescent="0.25">
      <c r="AI2096" s="49"/>
      <c r="AJ2096" s="78"/>
      <c r="AK2096" s="79"/>
      <c r="AL2096" s="79"/>
      <c r="AM2096" s="79"/>
      <c r="AN2096" s="79"/>
      <c r="AO2096" s="79"/>
      <c r="AP2096" s="79"/>
      <c r="AQ2096" s="79"/>
      <c r="AR2096" s="78"/>
      <c r="AS2096" s="78"/>
      <c r="AT2096" s="79"/>
      <c r="AU2096" s="79"/>
      <c r="AV2096" s="79"/>
      <c r="AW2096" s="79"/>
      <c r="AX2096" s="79"/>
      <c r="AZ2096" s="81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</row>
    <row r="2097" spans="35:68" x14ac:dyDescent="0.25">
      <c r="AI2097" s="49"/>
      <c r="AJ2097" s="78"/>
      <c r="AK2097" s="79"/>
      <c r="AL2097" s="79"/>
      <c r="AM2097" s="79"/>
      <c r="AN2097" s="79"/>
      <c r="AO2097" s="79"/>
      <c r="AP2097" s="79"/>
      <c r="AQ2097" s="79"/>
      <c r="AR2097" s="78"/>
      <c r="AS2097" s="78"/>
      <c r="AT2097" s="79"/>
      <c r="AU2097" s="79"/>
      <c r="AV2097" s="79"/>
      <c r="AW2097" s="79"/>
      <c r="AX2097" s="79"/>
      <c r="AZ2097" s="81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</row>
    <row r="2098" spans="35:68" x14ac:dyDescent="0.25">
      <c r="AI2098" s="49"/>
      <c r="AJ2098" s="78"/>
      <c r="AK2098" s="79"/>
      <c r="AL2098" s="79"/>
      <c r="AM2098" s="79"/>
      <c r="AN2098" s="79"/>
      <c r="AO2098" s="79"/>
      <c r="AP2098" s="79"/>
      <c r="AQ2098" s="79"/>
      <c r="AR2098" s="78"/>
      <c r="AS2098" s="78"/>
      <c r="AT2098" s="79"/>
      <c r="AU2098" s="79"/>
      <c r="AV2098" s="79"/>
      <c r="AW2098" s="79"/>
      <c r="AX2098" s="79"/>
      <c r="AZ2098" s="81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</row>
    <row r="2099" spans="35:68" x14ac:dyDescent="0.25">
      <c r="AI2099" s="49"/>
      <c r="AJ2099" s="78"/>
      <c r="AK2099" s="79"/>
      <c r="AL2099" s="79"/>
      <c r="AM2099" s="79"/>
      <c r="AN2099" s="79"/>
      <c r="AO2099" s="79"/>
      <c r="AP2099" s="79"/>
      <c r="AQ2099" s="79"/>
      <c r="AR2099" s="78"/>
      <c r="AS2099" s="78"/>
      <c r="AT2099" s="79"/>
      <c r="AU2099" s="79"/>
      <c r="AV2099" s="79"/>
      <c r="AW2099" s="79"/>
      <c r="AX2099" s="79"/>
      <c r="AZ2099" s="81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</row>
    <row r="2100" spans="35:68" x14ac:dyDescent="0.25">
      <c r="AI2100" s="49"/>
      <c r="AJ2100" s="78"/>
      <c r="AK2100" s="79"/>
      <c r="AL2100" s="79"/>
      <c r="AM2100" s="79"/>
      <c r="AN2100" s="79"/>
      <c r="AO2100" s="79"/>
      <c r="AP2100" s="79"/>
      <c r="AQ2100" s="79"/>
      <c r="AR2100" s="78"/>
      <c r="AS2100" s="78"/>
      <c r="AT2100" s="79"/>
      <c r="AU2100" s="79"/>
      <c r="AV2100" s="79"/>
      <c r="AW2100" s="79"/>
      <c r="AX2100" s="79"/>
      <c r="AZ2100" s="81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</row>
    <row r="2101" spans="35:68" x14ac:dyDescent="0.25">
      <c r="AI2101" s="49"/>
      <c r="AJ2101" s="78"/>
      <c r="AK2101" s="79"/>
      <c r="AL2101" s="79"/>
      <c r="AM2101" s="79"/>
      <c r="AN2101" s="79"/>
      <c r="AO2101" s="79"/>
      <c r="AP2101" s="79"/>
      <c r="AQ2101" s="79"/>
      <c r="AR2101" s="78"/>
      <c r="AS2101" s="78"/>
      <c r="AT2101" s="79"/>
      <c r="AU2101" s="79"/>
      <c r="AV2101" s="79"/>
      <c r="AW2101" s="79"/>
      <c r="AX2101" s="79"/>
      <c r="AZ2101" s="81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</row>
    <row r="2102" spans="35:68" x14ac:dyDescent="0.25">
      <c r="AI2102" s="49"/>
      <c r="AJ2102" s="78"/>
      <c r="AK2102" s="79"/>
      <c r="AL2102" s="79"/>
      <c r="AM2102" s="79"/>
      <c r="AN2102" s="79"/>
      <c r="AO2102" s="79"/>
      <c r="AP2102" s="79"/>
      <c r="AQ2102" s="79"/>
      <c r="AR2102" s="78"/>
      <c r="AS2102" s="78"/>
      <c r="AT2102" s="79"/>
      <c r="AU2102" s="79"/>
      <c r="AV2102" s="79"/>
      <c r="AW2102" s="79"/>
      <c r="AX2102" s="79"/>
      <c r="AZ2102" s="81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</row>
    <row r="2103" spans="35:68" x14ac:dyDescent="0.25">
      <c r="AI2103" s="49"/>
      <c r="AJ2103" s="78"/>
      <c r="AK2103" s="79"/>
      <c r="AL2103" s="79"/>
      <c r="AM2103" s="79"/>
      <c r="AN2103" s="79"/>
      <c r="AO2103" s="79"/>
      <c r="AP2103" s="79"/>
      <c r="AQ2103" s="79"/>
      <c r="AR2103" s="78"/>
      <c r="AS2103" s="78"/>
      <c r="AT2103" s="79"/>
      <c r="AU2103" s="79"/>
      <c r="AV2103" s="79"/>
      <c r="AW2103" s="79"/>
      <c r="AX2103" s="79"/>
      <c r="AZ2103" s="81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</row>
    <row r="2104" spans="35:68" x14ac:dyDescent="0.25">
      <c r="AI2104" s="49"/>
      <c r="AJ2104" s="78"/>
      <c r="AK2104" s="79"/>
      <c r="AL2104" s="79"/>
      <c r="AM2104" s="79"/>
      <c r="AN2104" s="79"/>
      <c r="AO2104" s="79"/>
      <c r="AP2104" s="79"/>
      <c r="AQ2104" s="79"/>
      <c r="AR2104" s="78"/>
      <c r="AS2104" s="78"/>
      <c r="AT2104" s="79"/>
      <c r="AU2104" s="79"/>
      <c r="AV2104" s="79"/>
      <c r="AW2104" s="79"/>
      <c r="AX2104" s="79"/>
      <c r="AZ2104" s="81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</row>
    <row r="2105" spans="35:68" x14ac:dyDescent="0.25">
      <c r="AI2105" s="49"/>
      <c r="AJ2105" s="78"/>
      <c r="AK2105" s="79"/>
      <c r="AL2105" s="79"/>
      <c r="AM2105" s="79"/>
      <c r="AN2105" s="79"/>
      <c r="AO2105" s="79"/>
      <c r="AP2105" s="79"/>
      <c r="AQ2105" s="79"/>
      <c r="AR2105" s="78"/>
      <c r="AS2105" s="78"/>
      <c r="AT2105" s="79"/>
      <c r="AU2105" s="79"/>
      <c r="AV2105" s="79"/>
      <c r="AW2105" s="79"/>
      <c r="AX2105" s="79"/>
      <c r="AZ2105" s="81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</row>
    <row r="2106" spans="35:68" x14ac:dyDescent="0.25">
      <c r="AI2106" s="49"/>
      <c r="AJ2106" s="78"/>
      <c r="AK2106" s="79"/>
      <c r="AL2106" s="79"/>
      <c r="AM2106" s="79"/>
      <c r="AN2106" s="79"/>
      <c r="AO2106" s="79"/>
      <c r="AP2106" s="79"/>
      <c r="AQ2106" s="79"/>
      <c r="AR2106" s="78"/>
      <c r="AS2106" s="78"/>
      <c r="AT2106" s="79"/>
      <c r="AU2106" s="79"/>
      <c r="AV2106" s="79"/>
      <c r="AW2106" s="79"/>
      <c r="AX2106" s="79"/>
      <c r="AZ2106" s="81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</row>
    <row r="2107" spans="35:68" x14ac:dyDescent="0.25">
      <c r="AI2107" s="49"/>
      <c r="AJ2107" s="78"/>
      <c r="AK2107" s="79"/>
      <c r="AL2107" s="79"/>
      <c r="AM2107" s="79"/>
      <c r="AN2107" s="79"/>
      <c r="AO2107" s="79"/>
      <c r="AP2107" s="79"/>
      <c r="AQ2107" s="79"/>
      <c r="AR2107" s="78"/>
      <c r="AS2107" s="78"/>
      <c r="AT2107" s="79"/>
      <c r="AU2107" s="79"/>
      <c r="AV2107" s="79"/>
      <c r="AW2107" s="79"/>
      <c r="AX2107" s="79"/>
      <c r="AZ2107" s="81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</row>
    <row r="2108" spans="35:68" x14ac:dyDescent="0.25">
      <c r="AI2108" s="49"/>
      <c r="AJ2108" s="78"/>
      <c r="AK2108" s="79"/>
      <c r="AL2108" s="79"/>
      <c r="AM2108" s="79"/>
      <c r="AN2108" s="79"/>
      <c r="AO2108" s="79"/>
      <c r="AP2108" s="79"/>
      <c r="AQ2108" s="79"/>
      <c r="AR2108" s="78"/>
      <c r="AS2108" s="78"/>
      <c r="AT2108" s="79"/>
      <c r="AU2108" s="79"/>
      <c r="AV2108" s="79"/>
      <c r="AW2108" s="79"/>
      <c r="AX2108" s="79"/>
      <c r="AZ2108" s="81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</row>
    <row r="2109" spans="35:68" x14ac:dyDescent="0.25">
      <c r="AI2109" s="49"/>
      <c r="AJ2109" s="78"/>
      <c r="AK2109" s="79"/>
      <c r="AL2109" s="79"/>
      <c r="AM2109" s="79"/>
      <c r="AN2109" s="79"/>
      <c r="AO2109" s="79"/>
      <c r="AP2109" s="79"/>
      <c r="AQ2109" s="79"/>
      <c r="AR2109" s="78"/>
      <c r="AS2109" s="78"/>
      <c r="AT2109" s="79"/>
      <c r="AU2109" s="79"/>
      <c r="AV2109" s="79"/>
      <c r="AW2109" s="79"/>
      <c r="AX2109" s="79"/>
      <c r="AZ2109" s="81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</row>
    <row r="2110" spans="35:68" x14ac:dyDescent="0.25">
      <c r="AI2110" s="49"/>
      <c r="AJ2110" s="78"/>
      <c r="AK2110" s="79"/>
      <c r="AL2110" s="79"/>
      <c r="AM2110" s="79"/>
      <c r="AN2110" s="79"/>
      <c r="AO2110" s="79"/>
      <c r="AP2110" s="79"/>
      <c r="AQ2110" s="79"/>
      <c r="AR2110" s="78"/>
      <c r="AS2110" s="78"/>
      <c r="AT2110" s="79"/>
      <c r="AU2110" s="79"/>
      <c r="AV2110" s="79"/>
      <c r="AW2110" s="79"/>
      <c r="AX2110" s="79"/>
      <c r="AZ2110" s="81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</row>
    <row r="2111" spans="35:68" x14ac:dyDescent="0.25">
      <c r="AI2111" s="49"/>
      <c r="AJ2111" s="78"/>
      <c r="AK2111" s="79"/>
      <c r="AL2111" s="79"/>
      <c r="AM2111" s="79"/>
      <c r="AN2111" s="79"/>
      <c r="AO2111" s="79"/>
      <c r="AP2111" s="79"/>
      <c r="AQ2111" s="79"/>
      <c r="AR2111" s="78"/>
      <c r="AS2111" s="78"/>
      <c r="AT2111" s="79"/>
      <c r="AU2111" s="79"/>
      <c r="AV2111" s="79"/>
      <c r="AW2111" s="79"/>
      <c r="AX2111" s="79"/>
      <c r="AZ2111" s="81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</row>
    <row r="2112" spans="35:68" x14ac:dyDescent="0.25">
      <c r="AI2112" s="49"/>
      <c r="AJ2112" s="78"/>
      <c r="AK2112" s="79"/>
      <c r="AL2112" s="79"/>
      <c r="AM2112" s="79"/>
      <c r="AN2112" s="79"/>
      <c r="AO2112" s="79"/>
      <c r="AP2112" s="79"/>
      <c r="AQ2112" s="79"/>
      <c r="AR2112" s="78"/>
      <c r="AS2112" s="78"/>
      <c r="AT2112" s="79"/>
      <c r="AU2112" s="79"/>
      <c r="AV2112" s="79"/>
      <c r="AW2112" s="79"/>
      <c r="AX2112" s="79"/>
      <c r="AZ2112" s="81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</row>
    <row r="2113" spans="35:68" x14ac:dyDescent="0.25">
      <c r="AI2113" s="49"/>
      <c r="AJ2113" s="78"/>
      <c r="AK2113" s="79"/>
      <c r="AL2113" s="79"/>
      <c r="AM2113" s="79"/>
      <c r="AN2113" s="79"/>
      <c r="AO2113" s="79"/>
      <c r="AP2113" s="79"/>
      <c r="AQ2113" s="79"/>
      <c r="AR2113" s="78"/>
      <c r="AS2113" s="78"/>
      <c r="AT2113" s="79"/>
      <c r="AU2113" s="79"/>
      <c r="AV2113" s="79"/>
      <c r="AW2113" s="79"/>
      <c r="AX2113" s="79"/>
      <c r="AZ2113" s="81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</row>
    <row r="2114" spans="35:68" x14ac:dyDescent="0.25">
      <c r="AI2114" s="49"/>
      <c r="AJ2114" s="78"/>
      <c r="AK2114" s="79"/>
      <c r="AL2114" s="79"/>
      <c r="AM2114" s="79"/>
      <c r="AN2114" s="79"/>
      <c r="AO2114" s="79"/>
      <c r="AP2114" s="79"/>
      <c r="AQ2114" s="79"/>
      <c r="AR2114" s="78"/>
      <c r="AS2114" s="78"/>
      <c r="AT2114" s="79"/>
      <c r="AU2114" s="79"/>
      <c r="AV2114" s="79"/>
      <c r="AW2114" s="79"/>
      <c r="AX2114" s="79"/>
      <c r="AZ2114" s="81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</row>
    <row r="2115" spans="35:68" x14ac:dyDescent="0.25">
      <c r="AI2115" s="49"/>
      <c r="AJ2115" s="78"/>
      <c r="AK2115" s="79"/>
      <c r="AL2115" s="79"/>
      <c r="AM2115" s="79"/>
      <c r="AN2115" s="79"/>
      <c r="AO2115" s="79"/>
      <c r="AP2115" s="79"/>
      <c r="AQ2115" s="79"/>
      <c r="AR2115" s="78"/>
      <c r="AS2115" s="78"/>
      <c r="AT2115" s="79"/>
      <c r="AU2115" s="79"/>
      <c r="AV2115" s="79"/>
      <c r="AW2115" s="79"/>
      <c r="AX2115" s="79"/>
      <c r="AZ2115" s="81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</row>
    <row r="2116" spans="35:68" x14ac:dyDescent="0.25">
      <c r="AI2116" s="49"/>
      <c r="AJ2116" s="78"/>
      <c r="AK2116" s="79"/>
      <c r="AL2116" s="79"/>
      <c r="AM2116" s="79"/>
      <c r="AN2116" s="79"/>
      <c r="AO2116" s="79"/>
      <c r="AP2116" s="79"/>
      <c r="AQ2116" s="79"/>
      <c r="AR2116" s="78"/>
      <c r="AS2116" s="78"/>
      <c r="AT2116" s="79"/>
      <c r="AU2116" s="79"/>
      <c r="AV2116" s="79"/>
      <c r="AW2116" s="79"/>
      <c r="AX2116" s="79"/>
      <c r="AZ2116" s="81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</row>
    <row r="2117" spans="35:68" x14ac:dyDescent="0.25">
      <c r="AI2117" s="49"/>
      <c r="AJ2117" s="78"/>
      <c r="AK2117" s="79"/>
      <c r="AL2117" s="79"/>
      <c r="AM2117" s="79"/>
      <c r="AN2117" s="79"/>
      <c r="AO2117" s="79"/>
      <c r="AP2117" s="79"/>
      <c r="AQ2117" s="79"/>
      <c r="AR2117" s="78"/>
      <c r="AS2117" s="78"/>
      <c r="AT2117" s="79"/>
      <c r="AU2117" s="79"/>
      <c r="AV2117" s="79"/>
      <c r="AW2117" s="79"/>
      <c r="AX2117" s="79"/>
      <c r="AZ2117" s="81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</row>
    <row r="2118" spans="35:68" x14ac:dyDescent="0.25">
      <c r="AI2118" s="49"/>
      <c r="AJ2118" s="78"/>
      <c r="AK2118" s="79"/>
      <c r="AL2118" s="79"/>
      <c r="AM2118" s="79"/>
      <c r="AN2118" s="79"/>
      <c r="AO2118" s="79"/>
      <c r="AP2118" s="79"/>
      <c r="AQ2118" s="79"/>
      <c r="AR2118" s="78"/>
      <c r="AS2118" s="78"/>
      <c r="AT2118" s="79"/>
      <c r="AU2118" s="79"/>
      <c r="AV2118" s="79"/>
      <c r="AW2118" s="79"/>
      <c r="AX2118" s="79"/>
      <c r="AZ2118" s="81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</row>
    <row r="2119" spans="35:68" x14ac:dyDescent="0.25">
      <c r="AI2119" s="49"/>
      <c r="AJ2119" s="78"/>
      <c r="AK2119" s="79"/>
      <c r="AL2119" s="79"/>
      <c r="AM2119" s="79"/>
      <c r="AN2119" s="79"/>
      <c r="AO2119" s="79"/>
      <c r="AP2119" s="79"/>
      <c r="AQ2119" s="79"/>
      <c r="AR2119" s="78"/>
      <c r="AS2119" s="78"/>
      <c r="AT2119" s="79"/>
      <c r="AU2119" s="79"/>
      <c r="AV2119" s="79"/>
      <c r="AW2119" s="79"/>
      <c r="AX2119" s="79"/>
      <c r="AZ2119" s="81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</row>
    <row r="2120" spans="35:68" x14ac:dyDescent="0.25">
      <c r="AI2120" s="49"/>
      <c r="AJ2120" s="78"/>
      <c r="AK2120" s="79"/>
      <c r="AL2120" s="79"/>
      <c r="AM2120" s="79"/>
      <c r="AN2120" s="79"/>
      <c r="AO2120" s="79"/>
      <c r="AP2120" s="79"/>
      <c r="AQ2120" s="79"/>
      <c r="AR2120" s="78"/>
      <c r="AS2120" s="78"/>
      <c r="AT2120" s="79"/>
      <c r="AU2120" s="79"/>
      <c r="AV2120" s="79"/>
      <c r="AW2120" s="79"/>
      <c r="AX2120" s="79"/>
      <c r="AZ2120" s="81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</row>
    <row r="2121" spans="35:68" x14ac:dyDescent="0.25">
      <c r="AI2121" s="49"/>
      <c r="AJ2121" s="78"/>
      <c r="AK2121" s="79"/>
      <c r="AL2121" s="79"/>
      <c r="AM2121" s="79"/>
      <c r="AN2121" s="79"/>
      <c r="AO2121" s="79"/>
      <c r="AP2121" s="79"/>
      <c r="AQ2121" s="79"/>
      <c r="AR2121" s="78"/>
      <c r="AS2121" s="78"/>
      <c r="AT2121" s="79"/>
      <c r="AU2121" s="79"/>
      <c r="AV2121" s="79"/>
      <c r="AW2121" s="79"/>
      <c r="AX2121" s="79"/>
      <c r="AZ2121" s="81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</row>
    <row r="2122" spans="35:68" x14ac:dyDescent="0.25">
      <c r="AI2122" s="49"/>
      <c r="AJ2122" s="78"/>
      <c r="AK2122" s="79"/>
      <c r="AL2122" s="79"/>
      <c r="AM2122" s="79"/>
      <c r="AN2122" s="79"/>
      <c r="AO2122" s="79"/>
      <c r="AP2122" s="79"/>
      <c r="AQ2122" s="79"/>
      <c r="AR2122" s="78"/>
      <c r="AS2122" s="78"/>
      <c r="AT2122" s="79"/>
      <c r="AU2122" s="79"/>
      <c r="AV2122" s="79"/>
      <c r="AW2122" s="79"/>
      <c r="AX2122" s="79"/>
      <c r="AZ2122" s="81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</row>
    <row r="2123" spans="35:68" x14ac:dyDescent="0.25">
      <c r="AI2123" s="49"/>
      <c r="AJ2123" s="78"/>
      <c r="AK2123" s="79"/>
      <c r="AL2123" s="79"/>
      <c r="AM2123" s="79"/>
      <c r="AN2123" s="79"/>
      <c r="AO2123" s="79"/>
      <c r="AP2123" s="79"/>
      <c r="AQ2123" s="79"/>
      <c r="AR2123" s="78"/>
      <c r="AS2123" s="78"/>
      <c r="AT2123" s="79"/>
      <c r="AU2123" s="79"/>
      <c r="AV2123" s="79"/>
      <c r="AW2123" s="79"/>
      <c r="AX2123" s="79"/>
      <c r="AZ2123" s="81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</row>
    <row r="2124" spans="35:68" x14ac:dyDescent="0.25">
      <c r="AI2124" s="49"/>
      <c r="AJ2124" s="78"/>
      <c r="AK2124" s="79"/>
      <c r="AL2124" s="79"/>
      <c r="AM2124" s="79"/>
      <c r="AN2124" s="79"/>
      <c r="AO2124" s="79"/>
      <c r="AP2124" s="79"/>
      <c r="AQ2124" s="79"/>
      <c r="AR2124" s="78"/>
      <c r="AS2124" s="78"/>
      <c r="AT2124" s="79"/>
      <c r="AU2124" s="79"/>
      <c r="AV2124" s="79"/>
      <c r="AW2124" s="79"/>
      <c r="AX2124" s="79"/>
      <c r="AZ2124" s="81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</row>
    <row r="2125" spans="35:68" x14ac:dyDescent="0.25">
      <c r="AI2125" s="49"/>
      <c r="AJ2125" s="78"/>
      <c r="AK2125" s="79"/>
      <c r="AL2125" s="79"/>
      <c r="AM2125" s="79"/>
      <c r="AN2125" s="79"/>
      <c r="AO2125" s="79"/>
      <c r="AP2125" s="79"/>
      <c r="AQ2125" s="79"/>
      <c r="AR2125" s="78"/>
      <c r="AS2125" s="78"/>
      <c r="AT2125" s="79"/>
      <c r="AU2125" s="79"/>
      <c r="AV2125" s="79"/>
      <c r="AW2125" s="79"/>
      <c r="AX2125" s="79"/>
      <c r="AZ2125" s="81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</row>
    <row r="2126" spans="35:68" x14ac:dyDescent="0.25">
      <c r="AI2126" s="49"/>
      <c r="AJ2126" s="78"/>
      <c r="AK2126" s="79"/>
      <c r="AL2126" s="79"/>
      <c r="AM2126" s="79"/>
      <c r="AN2126" s="79"/>
      <c r="AO2126" s="79"/>
      <c r="AP2126" s="79"/>
      <c r="AQ2126" s="79"/>
      <c r="AR2126" s="78"/>
      <c r="AS2126" s="78"/>
      <c r="AT2126" s="79"/>
      <c r="AU2126" s="79"/>
      <c r="AV2126" s="79"/>
      <c r="AW2126" s="79"/>
      <c r="AX2126" s="79"/>
      <c r="AZ2126" s="81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</row>
    <row r="2127" spans="35:68" x14ac:dyDescent="0.25">
      <c r="AI2127" s="49"/>
      <c r="AJ2127" s="78"/>
      <c r="AK2127" s="79"/>
      <c r="AL2127" s="79"/>
      <c r="AM2127" s="79"/>
      <c r="AN2127" s="79"/>
      <c r="AO2127" s="79"/>
      <c r="AP2127" s="79"/>
      <c r="AQ2127" s="79"/>
      <c r="AR2127" s="78"/>
      <c r="AS2127" s="78"/>
      <c r="AT2127" s="79"/>
      <c r="AU2127" s="79"/>
      <c r="AV2127" s="79"/>
      <c r="AW2127" s="79"/>
      <c r="AX2127" s="79"/>
      <c r="AZ2127" s="81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</row>
    <row r="2128" spans="35:68" x14ac:dyDescent="0.25">
      <c r="AI2128" s="49"/>
      <c r="AJ2128" s="78"/>
      <c r="AK2128" s="79"/>
      <c r="AL2128" s="79"/>
      <c r="AM2128" s="79"/>
      <c r="AN2128" s="79"/>
      <c r="AO2128" s="79"/>
      <c r="AP2128" s="79"/>
      <c r="AQ2128" s="79"/>
      <c r="AR2128" s="78"/>
      <c r="AS2128" s="78"/>
      <c r="AT2128" s="79"/>
      <c r="AU2128" s="79"/>
      <c r="AV2128" s="79"/>
      <c r="AW2128" s="79"/>
      <c r="AX2128" s="79"/>
      <c r="AZ2128" s="81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</row>
    <row r="2129" spans="35:68" x14ac:dyDescent="0.25">
      <c r="AI2129" s="49"/>
      <c r="AJ2129" s="78"/>
      <c r="AK2129" s="79"/>
      <c r="AL2129" s="79"/>
      <c r="AM2129" s="79"/>
      <c r="AN2129" s="79"/>
      <c r="AO2129" s="79"/>
      <c r="AP2129" s="79"/>
      <c r="AQ2129" s="79"/>
      <c r="AR2129" s="78"/>
      <c r="AS2129" s="78"/>
      <c r="AT2129" s="79"/>
      <c r="AU2129" s="79"/>
      <c r="AV2129" s="79"/>
      <c r="AW2129" s="79"/>
      <c r="AX2129" s="79"/>
      <c r="AZ2129" s="81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</row>
    <row r="2130" spans="35:68" x14ac:dyDescent="0.25">
      <c r="AI2130" s="49"/>
      <c r="AJ2130" s="78"/>
      <c r="AK2130" s="79"/>
      <c r="AL2130" s="79"/>
      <c r="AM2130" s="79"/>
      <c r="AN2130" s="79"/>
      <c r="AO2130" s="79"/>
      <c r="AP2130" s="79"/>
      <c r="AQ2130" s="79"/>
      <c r="AR2130" s="78"/>
      <c r="AS2130" s="78"/>
      <c r="AT2130" s="79"/>
      <c r="AU2130" s="79"/>
      <c r="AV2130" s="79"/>
      <c r="AW2130" s="79"/>
      <c r="AX2130" s="79"/>
      <c r="AZ2130" s="81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</row>
    <row r="2131" spans="35:68" x14ac:dyDescent="0.25">
      <c r="AI2131" s="49"/>
      <c r="AJ2131" s="78"/>
      <c r="AK2131" s="79"/>
      <c r="AL2131" s="79"/>
      <c r="AM2131" s="79"/>
      <c r="AN2131" s="79"/>
      <c r="AO2131" s="79"/>
      <c r="AP2131" s="79"/>
      <c r="AQ2131" s="79"/>
      <c r="AR2131" s="78"/>
      <c r="AS2131" s="78"/>
      <c r="AT2131" s="79"/>
      <c r="AU2131" s="79"/>
      <c r="AV2131" s="79"/>
      <c r="AW2131" s="79"/>
      <c r="AX2131" s="79"/>
      <c r="AZ2131" s="81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</row>
    <row r="2132" spans="35:68" x14ac:dyDescent="0.25">
      <c r="AI2132" s="49"/>
      <c r="AJ2132" s="78"/>
      <c r="AK2132" s="79"/>
      <c r="AL2132" s="79"/>
      <c r="AM2132" s="79"/>
      <c r="AN2132" s="79"/>
      <c r="AO2132" s="79"/>
      <c r="AP2132" s="79"/>
      <c r="AQ2132" s="79"/>
      <c r="AR2132" s="78"/>
      <c r="AS2132" s="78"/>
      <c r="AT2132" s="79"/>
      <c r="AU2132" s="79"/>
      <c r="AV2132" s="79"/>
      <c r="AW2132" s="79"/>
      <c r="AX2132" s="79"/>
      <c r="AZ2132" s="81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</row>
    <row r="2133" spans="35:68" x14ac:dyDescent="0.25">
      <c r="AI2133" s="49"/>
      <c r="AJ2133" s="78"/>
      <c r="AK2133" s="79"/>
      <c r="AL2133" s="79"/>
      <c r="AM2133" s="79"/>
      <c r="AN2133" s="79"/>
      <c r="AO2133" s="79"/>
      <c r="AP2133" s="79"/>
      <c r="AQ2133" s="79"/>
      <c r="AR2133" s="78"/>
      <c r="AS2133" s="78"/>
      <c r="AT2133" s="79"/>
      <c r="AU2133" s="79"/>
      <c r="AV2133" s="79"/>
      <c r="AW2133" s="79"/>
      <c r="AX2133" s="79"/>
      <c r="AZ2133" s="81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</row>
    <row r="2134" spans="35:68" x14ac:dyDescent="0.25">
      <c r="AI2134" s="49"/>
      <c r="AJ2134" s="78"/>
      <c r="AK2134" s="79"/>
      <c r="AL2134" s="79"/>
      <c r="AM2134" s="79"/>
      <c r="AN2134" s="79"/>
      <c r="AO2134" s="79"/>
      <c r="AP2134" s="79"/>
      <c r="AQ2134" s="79"/>
      <c r="AR2134" s="78"/>
      <c r="AS2134" s="78"/>
      <c r="AT2134" s="79"/>
      <c r="AU2134" s="79"/>
      <c r="AV2134" s="79"/>
      <c r="AW2134" s="79"/>
      <c r="AX2134" s="79"/>
      <c r="AZ2134" s="81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</row>
    <row r="2135" spans="35:68" x14ac:dyDescent="0.25">
      <c r="AI2135" s="49"/>
      <c r="AJ2135" s="78"/>
      <c r="AK2135" s="79"/>
      <c r="AL2135" s="79"/>
      <c r="AM2135" s="79"/>
      <c r="AN2135" s="79"/>
      <c r="AO2135" s="79"/>
      <c r="AP2135" s="79"/>
      <c r="AQ2135" s="79"/>
      <c r="AR2135" s="78"/>
      <c r="AS2135" s="78"/>
      <c r="AT2135" s="79"/>
      <c r="AU2135" s="79"/>
      <c r="AV2135" s="79"/>
      <c r="AW2135" s="79"/>
      <c r="AX2135" s="79"/>
      <c r="AZ2135" s="81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</row>
    <row r="2136" spans="35:68" x14ac:dyDescent="0.25">
      <c r="AI2136" s="49"/>
      <c r="AJ2136" s="78"/>
      <c r="AK2136" s="79"/>
      <c r="AL2136" s="79"/>
      <c r="AM2136" s="79"/>
      <c r="AN2136" s="79"/>
      <c r="AO2136" s="79"/>
      <c r="AP2136" s="79"/>
      <c r="AQ2136" s="79"/>
      <c r="AR2136" s="78"/>
      <c r="AS2136" s="78"/>
      <c r="AT2136" s="79"/>
      <c r="AU2136" s="79"/>
      <c r="AV2136" s="79"/>
      <c r="AW2136" s="79"/>
      <c r="AX2136" s="79"/>
      <c r="AZ2136" s="81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</row>
    <row r="2137" spans="35:68" x14ac:dyDescent="0.25">
      <c r="AI2137" s="49"/>
      <c r="AJ2137" s="78"/>
      <c r="AK2137" s="79"/>
      <c r="AL2137" s="79"/>
      <c r="AM2137" s="79"/>
      <c r="AN2137" s="79"/>
      <c r="AO2137" s="79"/>
      <c r="AP2137" s="79"/>
      <c r="AQ2137" s="79"/>
      <c r="AR2137" s="78"/>
      <c r="AS2137" s="78"/>
      <c r="AT2137" s="79"/>
      <c r="AU2137" s="79"/>
      <c r="AV2137" s="79"/>
      <c r="AW2137" s="79"/>
      <c r="AX2137" s="79"/>
      <c r="AZ2137" s="81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</row>
    <row r="2138" spans="35:68" x14ac:dyDescent="0.25">
      <c r="AI2138" s="49"/>
      <c r="AJ2138" s="78"/>
      <c r="AK2138" s="79"/>
      <c r="AL2138" s="79"/>
      <c r="AM2138" s="79"/>
      <c r="AN2138" s="79"/>
      <c r="AO2138" s="79"/>
      <c r="AP2138" s="79"/>
      <c r="AQ2138" s="79"/>
      <c r="AR2138" s="78"/>
      <c r="AS2138" s="78"/>
      <c r="AT2138" s="79"/>
      <c r="AU2138" s="79"/>
      <c r="AV2138" s="79"/>
      <c r="AW2138" s="79"/>
      <c r="AX2138" s="79"/>
      <c r="AZ2138" s="81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</row>
    <row r="2139" spans="35:68" x14ac:dyDescent="0.25">
      <c r="AI2139" s="49"/>
      <c r="AJ2139" s="78"/>
      <c r="AK2139" s="79"/>
      <c r="AL2139" s="79"/>
      <c r="AM2139" s="79"/>
      <c r="AN2139" s="79"/>
      <c r="AO2139" s="79"/>
      <c r="AP2139" s="79"/>
      <c r="AQ2139" s="79"/>
      <c r="AR2139" s="78"/>
      <c r="AS2139" s="78"/>
      <c r="AT2139" s="79"/>
      <c r="AU2139" s="79"/>
      <c r="AV2139" s="79"/>
      <c r="AW2139" s="79"/>
      <c r="AX2139" s="79"/>
      <c r="AZ2139" s="81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</row>
    <row r="2140" spans="35:68" x14ac:dyDescent="0.25">
      <c r="AI2140" s="49"/>
      <c r="AJ2140" s="78"/>
      <c r="AK2140" s="79"/>
      <c r="AL2140" s="79"/>
      <c r="AM2140" s="79"/>
      <c r="AN2140" s="79"/>
      <c r="AO2140" s="79"/>
      <c r="AP2140" s="79"/>
      <c r="AQ2140" s="79"/>
      <c r="AR2140" s="78"/>
      <c r="AS2140" s="78"/>
      <c r="AT2140" s="79"/>
      <c r="AU2140" s="79"/>
      <c r="AV2140" s="79"/>
      <c r="AW2140" s="79"/>
      <c r="AX2140" s="79"/>
      <c r="AZ2140" s="81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</row>
    <row r="2141" spans="35:68" x14ac:dyDescent="0.25">
      <c r="AI2141" s="49"/>
      <c r="AJ2141" s="78"/>
      <c r="AK2141" s="79"/>
      <c r="AL2141" s="79"/>
      <c r="AM2141" s="79"/>
      <c r="AN2141" s="79"/>
      <c r="AO2141" s="79"/>
      <c r="AP2141" s="79"/>
      <c r="AQ2141" s="79"/>
      <c r="AR2141" s="78"/>
      <c r="AS2141" s="78"/>
      <c r="AT2141" s="79"/>
      <c r="AU2141" s="79"/>
      <c r="AV2141" s="79"/>
      <c r="AW2141" s="79"/>
      <c r="AX2141" s="79"/>
      <c r="AZ2141" s="81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</row>
    <row r="2142" spans="35:68" x14ac:dyDescent="0.25">
      <c r="AI2142" s="49"/>
      <c r="AJ2142" s="78"/>
      <c r="AK2142" s="79"/>
      <c r="AL2142" s="79"/>
      <c r="AM2142" s="79"/>
      <c r="AN2142" s="79"/>
      <c r="AO2142" s="79"/>
      <c r="AP2142" s="79"/>
      <c r="AQ2142" s="79"/>
      <c r="AR2142" s="78"/>
      <c r="AS2142" s="78"/>
      <c r="AT2142" s="79"/>
      <c r="AU2142" s="79"/>
      <c r="AV2142" s="79"/>
      <c r="AW2142" s="79"/>
      <c r="AX2142" s="79"/>
      <c r="AZ2142" s="81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</row>
    <row r="2143" spans="35:68" x14ac:dyDescent="0.25">
      <c r="AI2143" s="49"/>
      <c r="AJ2143" s="78"/>
      <c r="AK2143" s="79"/>
      <c r="AL2143" s="79"/>
      <c r="AM2143" s="79"/>
      <c r="AN2143" s="79"/>
      <c r="AO2143" s="79"/>
      <c r="AP2143" s="79"/>
      <c r="AQ2143" s="79"/>
      <c r="AR2143" s="78"/>
      <c r="AS2143" s="78"/>
      <c r="AT2143" s="79"/>
      <c r="AU2143" s="79"/>
      <c r="AV2143" s="79"/>
      <c r="AW2143" s="79"/>
      <c r="AX2143" s="79"/>
      <c r="AZ2143" s="81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</row>
    <row r="2144" spans="35:68" x14ac:dyDescent="0.25">
      <c r="AI2144" s="49"/>
      <c r="AJ2144" s="78"/>
      <c r="AK2144" s="79"/>
      <c r="AL2144" s="79"/>
      <c r="AM2144" s="79"/>
      <c r="AN2144" s="79"/>
      <c r="AO2144" s="79"/>
      <c r="AP2144" s="79"/>
      <c r="AQ2144" s="79"/>
      <c r="AR2144" s="78"/>
      <c r="AS2144" s="78"/>
      <c r="AT2144" s="79"/>
      <c r="AU2144" s="79"/>
      <c r="AV2144" s="79"/>
      <c r="AW2144" s="79"/>
      <c r="AX2144" s="79"/>
      <c r="AZ2144" s="81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</row>
    <row r="2145" spans="35:68" x14ac:dyDescent="0.25">
      <c r="AI2145" s="49"/>
      <c r="AJ2145" s="78"/>
      <c r="AK2145" s="79"/>
      <c r="AL2145" s="79"/>
      <c r="AM2145" s="79"/>
      <c r="AN2145" s="79"/>
      <c r="AO2145" s="79"/>
      <c r="AP2145" s="79"/>
      <c r="AQ2145" s="79"/>
      <c r="AR2145" s="78"/>
      <c r="AS2145" s="78"/>
      <c r="AT2145" s="79"/>
      <c r="AU2145" s="79"/>
      <c r="AV2145" s="79"/>
      <c r="AW2145" s="79"/>
      <c r="AX2145" s="79"/>
      <c r="AZ2145" s="81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</row>
    <row r="2146" spans="35:68" x14ac:dyDescent="0.25">
      <c r="AI2146" s="49"/>
      <c r="AJ2146" s="78"/>
      <c r="AK2146" s="79"/>
      <c r="AL2146" s="79"/>
      <c r="AM2146" s="79"/>
      <c r="AN2146" s="79"/>
      <c r="AO2146" s="79"/>
      <c r="AP2146" s="79"/>
      <c r="AQ2146" s="79"/>
      <c r="AR2146" s="78"/>
      <c r="AS2146" s="78"/>
      <c r="AT2146" s="79"/>
      <c r="AU2146" s="79"/>
      <c r="AV2146" s="79"/>
      <c r="AW2146" s="79"/>
      <c r="AX2146" s="79"/>
      <c r="AZ2146" s="81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</row>
    <row r="2147" spans="35:68" x14ac:dyDescent="0.25">
      <c r="AI2147" s="49"/>
      <c r="AJ2147" s="78"/>
      <c r="AK2147" s="79"/>
      <c r="AL2147" s="79"/>
      <c r="AM2147" s="79"/>
      <c r="AN2147" s="79"/>
      <c r="AO2147" s="79"/>
      <c r="AP2147" s="79"/>
      <c r="AQ2147" s="79"/>
      <c r="AR2147" s="78"/>
      <c r="AS2147" s="78"/>
      <c r="AT2147" s="79"/>
      <c r="AU2147" s="79"/>
      <c r="AV2147" s="79"/>
      <c r="AW2147" s="79"/>
      <c r="AX2147" s="79"/>
      <c r="AZ2147" s="81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</row>
    <row r="2148" spans="35:68" x14ac:dyDescent="0.25">
      <c r="AI2148" s="49"/>
      <c r="AJ2148" s="78"/>
      <c r="AK2148" s="79"/>
      <c r="AL2148" s="79"/>
      <c r="AM2148" s="79"/>
      <c r="AN2148" s="79"/>
      <c r="AO2148" s="79"/>
      <c r="AP2148" s="79"/>
      <c r="AQ2148" s="79"/>
      <c r="AR2148" s="78"/>
      <c r="AS2148" s="78"/>
      <c r="AT2148" s="79"/>
      <c r="AU2148" s="79"/>
      <c r="AV2148" s="79"/>
      <c r="AW2148" s="79"/>
      <c r="AX2148" s="79"/>
      <c r="AZ2148" s="81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</row>
    <row r="2149" spans="35:68" x14ac:dyDescent="0.25">
      <c r="AI2149" s="49"/>
      <c r="AJ2149" s="78"/>
      <c r="AK2149" s="79"/>
      <c r="AL2149" s="79"/>
      <c r="AM2149" s="79"/>
      <c r="AN2149" s="79"/>
      <c r="AO2149" s="79"/>
      <c r="AP2149" s="79"/>
      <c r="AQ2149" s="79"/>
      <c r="AR2149" s="78"/>
      <c r="AS2149" s="78"/>
      <c r="AT2149" s="79"/>
      <c r="AU2149" s="79"/>
      <c r="AV2149" s="79"/>
      <c r="AW2149" s="79"/>
      <c r="AX2149" s="79"/>
      <c r="AZ2149" s="81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</row>
    <row r="2150" spans="35:68" x14ac:dyDescent="0.25">
      <c r="AI2150" s="49"/>
      <c r="AJ2150" s="78"/>
      <c r="AK2150" s="79"/>
      <c r="AL2150" s="79"/>
      <c r="AM2150" s="79"/>
      <c r="AN2150" s="79"/>
      <c r="AO2150" s="79"/>
      <c r="AP2150" s="79"/>
      <c r="AQ2150" s="79"/>
      <c r="AR2150" s="78"/>
      <c r="AS2150" s="78"/>
      <c r="AT2150" s="79"/>
      <c r="AU2150" s="79"/>
      <c r="AV2150" s="79"/>
      <c r="AW2150" s="79"/>
      <c r="AX2150" s="79"/>
      <c r="AZ2150" s="81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</row>
    <row r="2151" spans="35:68" x14ac:dyDescent="0.25">
      <c r="AI2151" s="49"/>
      <c r="AJ2151" s="78"/>
      <c r="AK2151" s="79"/>
      <c r="AL2151" s="79"/>
      <c r="AM2151" s="79"/>
      <c r="AN2151" s="79"/>
      <c r="AO2151" s="79"/>
      <c r="AP2151" s="79"/>
      <c r="AQ2151" s="79"/>
      <c r="AR2151" s="78"/>
      <c r="AS2151" s="78"/>
      <c r="AT2151" s="79"/>
      <c r="AU2151" s="79"/>
      <c r="AV2151" s="79"/>
      <c r="AW2151" s="79"/>
      <c r="AX2151" s="79"/>
      <c r="AZ2151" s="81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</row>
    <row r="2152" spans="35:68" x14ac:dyDescent="0.25">
      <c r="AI2152" s="49"/>
      <c r="AJ2152" s="78"/>
      <c r="AK2152" s="79"/>
      <c r="AL2152" s="79"/>
      <c r="AM2152" s="79"/>
      <c r="AN2152" s="79"/>
      <c r="AO2152" s="79"/>
      <c r="AP2152" s="79"/>
      <c r="AQ2152" s="79"/>
      <c r="AR2152" s="78"/>
      <c r="AS2152" s="78"/>
      <c r="AT2152" s="79"/>
      <c r="AU2152" s="79"/>
      <c r="AV2152" s="79"/>
      <c r="AW2152" s="79"/>
      <c r="AX2152" s="79"/>
      <c r="AZ2152" s="81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</row>
    <row r="2153" spans="35:68" x14ac:dyDescent="0.25">
      <c r="AI2153" s="49"/>
      <c r="AJ2153" s="78"/>
      <c r="AK2153" s="79"/>
      <c r="AL2153" s="79"/>
      <c r="AM2153" s="79"/>
      <c r="AN2153" s="79"/>
      <c r="AO2153" s="79"/>
      <c r="AP2153" s="79"/>
      <c r="AQ2153" s="79"/>
      <c r="AR2153" s="78"/>
      <c r="AS2153" s="78"/>
      <c r="AT2153" s="79"/>
      <c r="AU2153" s="79"/>
      <c r="AV2153" s="79"/>
      <c r="AW2153" s="79"/>
      <c r="AX2153" s="79"/>
      <c r="AZ2153" s="81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</row>
    <row r="2154" spans="35:68" x14ac:dyDescent="0.25">
      <c r="AI2154" s="49"/>
      <c r="AJ2154" s="78"/>
      <c r="AK2154" s="79"/>
      <c r="AL2154" s="79"/>
      <c r="AM2154" s="79"/>
      <c r="AN2154" s="79"/>
      <c r="AO2154" s="79"/>
      <c r="AP2154" s="79"/>
      <c r="AQ2154" s="79"/>
      <c r="AR2154" s="78"/>
      <c r="AS2154" s="78"/>
      <c r="AT2154" s="79"/>
      <c r="AU2154" s="79"/>
      <c r="AV2154" s="79"/>
      <c r="AW2154" s="79"/>
      <c r="AX2154" s="79"/>
      <c r="AZ2154" s="81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</row>
    <row r="2155" spans="35:68" x14ac:dyDescent="0.25">
      <c r="AI2155" s="49"/>
      <c r="AJ2155" s="78"/>
      <c r="AK2155" s="79"/>
      <c r="AL2155" s="79"/>
      <c r="AM2155" s="79"/>
      <c r="AN2155" s="79"/>
      <c r="AO2155" s="79"/>
      <c r="AP2155" s="79"/>
      <c r="AQ2155" s="79"/>
      <c r="AR2155" s="78"/>
      <c r="AS2155" s="78"/>
      <c r="AT2155" s="79"/>
      <c r="AU2155" s="79"/>
      <c r="AV2155" s="79"/>
      <c r="AW2155" s="79"/>
      <c r="AX2155" s="79"/>
      <c r="AZ2155" s="81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</row>
    <row r="2156" spans="35:68" x14ac:dyDescent="0.25">
      <c r="AI2156" s="49"/>
      <c r="AJ2156" s="78"/>
      <c r="AK2156" s="79"/>
      <c r="AL2156" s="79"/>
      <c r="AM2156" s="79"/>
      <c r="AN2156" s="79"/>
      <c r="AO2156" s="79"/>
      <c r="AP2156" s="79"/>
      <c r="AQ2156" s="79"/>
      <c r="AR2156" s="78"/>
      <c r="AS2156" s="78"/>
      <c r="AT2156" s="79"/>
      <c r="AU2156" s="79"/>
      <c r="AV2156" s="79"/>
      <c r="AW2156" s="79"/>
      <c r="AX2156" s="79"/>
      <c r="AZ2156" s="81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</row>
    <row r="2157" spans="35:68" x14ac:dyDescent="0.25">
      <c r="AI2157" s="49"/>
      <c r="AJ2157" s="78"/>
      <c r="AK2157" s="79"/>
      <c r="AL2157" s="79"/>
      <c r="AM2157" s="79"/>
      <c r="AN2157" s="79"/>
      <c r="AO2157" s="79"/>
      <c r="AP2157" s="79"/>
      <c r="AQ2157" s="79"/>
      <c r="AR2157" s="78"/>
      <c r="AS2157" s="78"/>
      <c r="AT2157" s="79"/>
      <c r="AU2157" s="79"/>
      <c r="AV2157" s="79"/>
      <c r="AW2157" s="79"/>
      <c r="AX2157" s="79"/>
      <c r="AZ2157" s="81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</row>
    <row r="2158" spans="35:68" x14ac:dyDescent="0.25">
      <c r="AI2158" s="49"/>
      <c r="AJ2158" s="78"/>
      <c r="AK2158" s="79"/>
      <c r="AL2158" s="79"/>
      <c r="AM2158" s="79"/>
      <c r="AN2158" s="79"/>
      <c r="AO2158" s="79"/>
      <c r="AP2158" s="79"/>
      <c r="AQ2158" s="79"/>
      <c r="AR2158" s="78"/>
      <c r="AS2158" s="78"/>
      <c r="AT2158" s="79"/>
      <c r="AU2158" s="79"/>
      <c r="AV2158" s="79"/>
      <c r="AW2158" s="79"/>
      <c r="AX2158" s="79"/>
      <c r="AZ2158" s="81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</row>
    <row r="2159" spans="35:68" x14ac:dyDescent="0.25">
      <c r="AI2159" s="49"/>
      <c r="AJ2159" s="78"/>
      <c r="AK2159" s="79"/>
      <c r="AL2159" s="79"/>
      <c r="AM2159" s="79"/>
      <c r="AN2159" s="79"/>
      <c r="AO2159" s="79"/>
      <c r="AP2159" s="79"/>
      <c r="AQ2159" s="79"/>
      <c r="AR2159" s="78"/>
      <c r="AS2159" s="78"/>
      <c r="AT2159" s="79"/>
      <c r="AU2159" s="79"/>
      <c r="AV2159" s="79"/>
      <c r="AW2159" s="79"/>
      <c r="AX2159" s="79"/>
      <c r="AZ2159" s="81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</row>
    <row r="2160" spans="35:68" x14ac:dyDescent="0.25">
      <c r="AI2160" s="49"/>
      <c r="AJ2160" s="78"/>
      <c r="AK2160" s="79"/>
      <c r="AL2160" s="79"/>
      <c r="AM2160" s="79"/>
      <c r="AN2160" s="79"/>
      <c r="AO2160" s="79"/>
      <c r="AP2160" s="79"/>
      <c r="AQ2160" s="79"/>
      <c r="AR2160" s="78"/>
      <c r="AS2160" s="78"/>
      <c r="AT2160" s="79"/>
      <c r="AU2160" s="79"/>
      <c r="AV2160" s="79"/>
      <c r="AW2160" s="79"/>
      <c r="AX2160" s="79"/>
      <c r="AZ2160" s="81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</row>
    <row r="2161" spans="35:68" x14ac:dyDescent="0.25">
      <c r="AI2161" s="49"/>
      <c r="AJ2161" s="78"/>
      <c r="AK2161" s="79"/>
      <c r="AL2161" s="79"/>
      <c r="AM2161" s="79"/>
      <c r="AN2161" s="79"/>
      <c r="AO2161" s="79"/>
      <c r="AP2161" s="79"/>
      <c r="AQ2161" s="79"/>
      <c r="AR2161" s="78"/>
      <c r="AS2161" s="78"/>
      <c r="AT2161" s="79"/>
      <c r="AU2161" s="79"/>
      <c r="AV2161" s="79"/>
      <c r="AW2161" s="79"/>
      <c r="AX2161" s="79"/>
      <c r="AZ2161" s="81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</row>
    <row r="2162" spans="35:68" x14ac:dyDescent="0.25">
      <c r="AI2162" s="49"/>
      <c r="AJ2162" s="78"/>
      <c r="AK2162" s="79"/>
      <c r="AL2162" s="79"/>
      <c r="AM2162" s="79"/>
      <c r="AN2162" s="79"/>
      <c r="AO2162" s="79"/>
      <c r="AP2162" s="79"/>
      <c r="AQ2162" s="79"/>
      <c r="AR2162" s="78"/>
      <c r="AS2162" s="78"/>
      <c r="AT2162" s="79"/>
      <c r="AU2162" s="79"/>
      <c r="AV2162" s="79"/>
      <c r="AW2162" s="79"/>
      <c r="AX2162" s="79"/>
      <c r="AZ2162" s="81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</row>
    <row r="2163" spans="35:68" x14ac:dyDescent="0.25">
      <c r="AI2163" s="49"/>
      <c r="AJ2163" s="78"/>
      <c r="AK2163" s="79"/>
      <c r="AL2163" s="79"/>
      <c r="AM2163" s="79"/>
      <c r="AN2163" s="79"/>
      <c r="AO2163" s="79"/>
      <c r="AP2163" s="79"/>
      <c r="AQ2163" s="79"/>
      <c r="AR2163" s="78"/>
      <c r="AS2163" s="78"/>
      <c r="AT2163" s="79"/>
      <c r="AU2163" s="79"/>
      <c r="AV2163" s="79"/>
      <c r="AW2163" s="79"/>
      <c r="AX2163" s="79"/>
      <c r="AZ2163" s="81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</row>
    <row r="2164" spans="35:68" x14ac:dyDescent="0.25">
      <c r="AI2164" s="49"/>
      <c r="AJ2164" s="78"/>
      <c r="AK2164" s="79"/>
      <c r="AL2164" s="79"/>
      <c r="AM2164" s="79"/>
      <c r="AN2164" s="79"/>
      <c r="AO2164" s="79"/>
      <c r="AP2164" s="79"/>
      <c r="AQ2164" s="79"/>
      <c r="AR2164" s="78"/>
      <c r="AS2164" s="78"/>
      <c r="AT2164" s="79"/>
      <c r="AU2164" s="79"/>
      <c r="AV2164" s="79"/>
      <c r="AW2164" s="79"/>
      <c r="AX2164" s="79"/>
      <c r="AZ2164" s="81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</row>
    <row r="2165" spans="35:68" x14ac:dyDescent="0.25">
      <c r="AI2165" s="49"/>
      <c r="AJ2165" s="78"/>
      <c r="AK2165" s="79"/>
      <c r="AL2165" s="79"/>
      <c r="AM2165" s="79"/>
      <c r="AN2165" s="79"/>
      <c r="AO2165" s="79"/>
      <c r="AP2165" s="79"/>
      <c r="AQ2165" s="79"/>
      <c r="AR2165" s="78"/>
      <c r="AS2165" s="78"/>
      <c r="AT2165" s="79"/>
      <c r="AU2165" s="79"/>
      <c r="AV2165" s="79"/>
      <c r="AW2165" s="79"/>
      <c r="AX2165" s="79"/>
      <c r="AZ2165" s="81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</row>
    <row r="2166" spans="35:68" x14ac:dyDescent="0.25">
      <c r="AI2166" s="49"/>
      <c r="AJ2166" s="78"/>
      <c r="AK2166" s="79"/>
      <c r="AL2166" s="79"/>
      <c r="AM2166" s="79"/>
      <c r="AN2166" s="79"/>
      <c r="AO2166" s="79"/>
      <c r="AP2166" s="79"/>
      <c r="AQ2166" s="79"/>
      <c r="AR2166" s="78"/>
      <c r="AS2166" s="78"/>
      <c r="AT2166" s="79"/>
      <c r="AU2166" s="79"/>
      <c r="AV2166" s="79"/>
      <c r="AW2166" s="79"/>
      <c r="AX2166" s="79"/>
      <c r="AZ2166" s="81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</row>
    <row r="2167" spans="35:68" x14ac:dyDescent="0.25">
      <c r="AI2167" s="49"/>
      <c r="AJ2167" s="78"/>
      <c r="AK2167" s="79"/>
      <c r="AL2167" s="79"/>
      <c r="AM2167" s="79"/>
      <c r="AN2167" s="79"/>
      <c r="AO2167" s="79"/>
      <c r="AP2167" s="79"/>
      <c r="AQ2167" s="79"/>
      <c r="AR2167" s="78"/>
      <c r="AS2167" s="78"/>
      <c r="AT2167" s="79"/>
      <c r="AU2167" s="79"/>
      <c r="AV2167" s="79"/>
      <c r="AW2167" s="79"/>
      <c r="AX2167" s="79"/>
      <c r="AZ2167" s="81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</row>
    <row r="2168" spans="35:68" x14ac:dyDescent="0.25">
      <c r="AI2168" s="49"/>
      <c r="AJ2168" s="78"/>
      <c r="AK2168" s="79"/>
      <c r="AL2168" s="79"/>
      <c r="AM2168" s="79"/>
      <c r="AN2168" s="79"/>
      <c r="AO2168" s="79"/>
      <c r="AP2168" s="79"/>
      <c r="AQ2168" s="79"/>
      <c r="AR2168" s="78"/>
      <c r="AS2168" s="78"/>
      <c r="AT2168" s="79"/>
      <c r="AU2168" s="79"/>
      <c r="AV2168" s="79"/>
      <c r="AW2168" s="79"/>
      <c r="AX2168" s="79"/>
      <c r="AZ2168" s="81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</row>
    <row r="2169" spans="35:68" x14ac:dyDescent="0.25">
      <c r="AI2169" s="49"/>
      <c r="AJ2169" s="78"/>
      <c r="AK2169" s="79"/>
      <c r="AL2169" s="79"/>
      <c r="AM2169" s="79"/>
      <c r="AN2169" s="79"/>
      <c r="AO2169" s="79"/>
      <c r="AP2169" s="79"/>
      <c r="AQ2169" s="79"/>
      <c r="AR2169" s="78"/>
      <c r="AS2169" s="78"/>
      <c r="AT2169" s="79"/>
      <c r="AU2169" s="79"/>
      <c r="AV2169" s="79"/>
      <c r="AW2169" s="79"/>
      <c r="AX2169" s="79"/>
      <c r="AZ2169" s="81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</row>
    <row r="2170" spans="35:68" x14ac:dyDescent="0.25">
      <c r="AI2170" s="49"/>
      <c r="AJ2170" s="78"/>
      <c r="AK2170" s="79"/>
      <c r="AL2170" s="79"/>
      <c r="AM2170" s="79"/>
      <c r="AN2170" s="79"/>
      <c r="AO2170" s="79"/>
      <c r="AP2170" s="79"/>
      <c r="AQ2170" s="79"/>
      <c r="AR2170" s="78"/>
      <c r="AS2170" s="78"/>
      <c r="AT2170" s="79"/>
      <c r="AU2170" s="79"/>
      <c r="AV2170" s="79"/>
      <c r="AW2170" s="79"/>
      <c r="AX2170" s="79"/>
      <c r="AZ2170" s="81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</row>
    <row r="2171" spans="35:68" x14ac:dyDescent="0.25">
      <c r="AI2171" s="49"/>
      <c r="AJ2171" s="78"/>
      <c r="AK2171" s="79"/>
      <c r="AL2171" s="79"/>
      <c r="AM2171" s="79"/>
      <c r="AN2171" s="79"/>
      <c r="AO2171" s="79"/>
      <c r="AP2171" s="79"/>
      <c r="AQ2171" s="79"/>
      <c r="AR2171" s="78"/>
      <c r="AS2171" s="78"/>
      <c r="AT2171" s="79"/>
      <c r="AU2171" s="79"/>
      <c r="AV2171" s="79"/>
      <c r="AW2171" s="79"/>
      <c r="AX2171" s="79"/>
      <c r="AZ2171" s="81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</row>
    <row r="2172" spans="35:68" x14ac:dyDescent="0.25">
      <c r="AI2172" s="49"/>
      <c r="AJ2172" s="78"/>
      <c r="AK2172" s="79"/>
      <c r="AL2172" s="79"/>
      <c r="AM2172" s="79"/>
      <c r="AN2172" s="79"/>
      <c r="AO2172" s="79"/>
      <c r="AP2172" s="79"/>
      <c r="AQ2172" s="79"/>
      <c r="AR2172" s="78"/>
      <c r="AS2172" s="78"/>
      <c r="AT2172" s="79"/>
      <c r="AU2172" s="79"/>
      <c r="AV2172" s="79"/>
      <c r="AW2172" s="79"/>
      <c r="AX2172" s="79"/>
      <c r="AZ2172" s="81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</row>
    <row r="2173" spans="35:68" x14ac:dyDescent="0.25">
      <c r="AI2173" s="49"/>
      <c r="AJ2173" s="78"/>
      <c r="AK2173" s="79"/>
      <c r="AL2173" s="79"/>
      <c r="AM2173" s="79"/>
      <c r="AN2173" s="79"/>
      <c r="AO2173" s="79"/>
      <c r="AP2173" s="79"/>
      <c r="AQ2173" s="79"/>
      <c r="AR2173" s="78"/>
      <c r="AS2173" s="78"/>
      <c r="AT2173" s="79"/>
      <c r="AU2173" s="79"/>
      <c r="AV2173" s="79"/>
      <c r="AW2173" s="79"/>
      <c r="AX2173" s="79"/>
      <c r="AZ2173" s="81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</row>
    <row r="2174" spans="35:68" x14ac:dyDescent="0.25">
      <c r="AI2174" s="49"/>
      <c r="AJ2174" s="78"/>
      <c r="AK2174" s="79"/>
      <c r="AL2174" s="79"/>
      <c r="AM2174" s="79"/>
      <c r="AN2174" s="79"/>
      <c r="AO2174" s="79"/>
      <c r="AP2174" s="79"/>
      <c r="AQ2174" s="79"/>
      <c r="AR2174" s="78"/>
      <c r="AS2174" s="78"/>
      <c r="AT2174" s="79"/>
      <c r="AU2174" s="79"/>
      <c r="AV2174" s="79"/>
      <c r="AW2174" s="79"/>
      <c r="AX2174" s="79"/>
      <c r="AZ2174" s="81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</row>
    <row r="2175" spans="35:68" x14ac:dyDescent="0.25">
      <c r="AI2175" s="49"/>
      <c r="AJ2175" s="78"/>
      <c r="AK2175" s="79"/>
      <c r="AL2175" s="79"/>
      <c r="AM2175" s="79"/>
      <c r="AN2175" s="79"/>
      <c r="AO2175" s="79"/>
      <c r="AP2175" s="79"/>
      <c r="AQ2175" s="79"/>
      <c r="AR2175" s="78"/>
      <c r="AS2175" s="78"/>
      <c r="AT2175" s="79"/>
      <c r="AU2175" s="79"/>
      <c r="AV2175" s="79"/>
      <c r="AW2175" s="79"/>
      <c r="AX2175" s="79"/>
      <c r="AZ2175" s="81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</row>
    <row r="2176" spans="35:68" x14ac:dyDescent="0.25">
      <c r="AI2176" s="49"/>
      <c r="AJ2176" s="78"/>
      <c r="AK2176" s="79"/>
      <c r="AL2176" s="79"/>
      <c r="AM2176" s="79"/>
      <c r="AN2176" s="79"/>
      <c r="AO2176" s="79"/>
      <c r="AP2176" s="79"/>
      <c r="AQ2176" s="79"/>
      <c r="AR2176" s="78"/>
      <c r="AS2176" s="78"/>
      <c r="AT2176" s="79"/>
      <c r="AU2176" s="79"/>
      <c r="AV2176" s="79"/>
      <c r="AW2176" s="79"/>
      <c r="AX2176" s="79"/>
      <c r="AZ2176" s="81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</row>
    <row r="2177" spans="35:68" x14ac:dyDescent="0.25">
      <c r="AI2177" s="49"/>
      <c r="AJ2177" s="78"/>
      <c r="AK2177" s="79"/>
      <c r="AL2177" s="79"/>
      <c r="AM2177" s="79"/>
      <c r="AN2177" s="79"/>
      <c r="AO2177" s="79"/>
      <c r="AP2177" s="79"/>
      <c r="AQ2177" s="79"/>
      <c r="AR2177" s="78"/>
      <c r="AS2177" s="78"/>
      <c r="AT2177" s="79"/>
      <c r="AU2177" s="79"/>
      <c r="AV2177" s="79"/>
      <c r="AW2177" s="79"/>
      <c r="AX2177" s="79"/>
      <c r="AZ2177" s="81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</row>
    <row r="2178" spans="35:68" x14ac:dyDescent="0.25">
      <c r="AI2178" s="49"/>
      <c r="AJ2178" s="78"/>
      <c r="AK2178" s="79"/>
      <c r="AL2178" s="79"/>
      <c r="AM2178" s="79"/>
      <c r="AN2178" s="79"/>
      <c r="AO2178" s="79"/>
      <c r="AP2178" s="79"/>
      <c r="AQ2178" s="79"/>
      <c r="AR2178" s="78"/>
      <c r="AS2178" s="78"/>
      <c r="AT2178" s="79"/>
      <c r="AU2178" s="79"/>
      <c r="AV2178" s="79"/>
      <c r="AW2178" s="79"/>
      <c r="AX2178" s="79"/>
      <c r="AZ2178" s="81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</row>
    <row r="2179" spans="35:68" x14ac:dyDescent="0.25">
      <c r="AI2179" s="49"/>
      <c r="AJ2179" s="78"/>
      <c r="AK2179" s="79"/>
      <c r="AL2179" s="79"/>
      <c r="AM2179" s="79"/>
      <c r="AN2179" s="79"/>
      <c r="AO2179" s="79"/>
      <c r="AP2179" s="79"/>
      <c r="AQ2179" s="79"/>
      <c r="AR2179" s="78"/>
      <c r="AS2179" s="78"/>
      <c r="AT2179" s="79"/>
      <c r="AU2179" s="79"/>
      <c r="AV2179" s="79"/>
      <c r="AW2179" s="79"/>
      <c r="AX2179" s="79"/>
      <c r="AZ2179" s="81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</row>
    <row r="2180" spans="35:68" x14ac:dyDescent="0.25">
      <c r="AI2180" s="49"/>
      <c r="AJ2180" s="78"/>
      <c r="AK2180" s="79"/>
      <c r="AL2180" s="79"/>
      <c r="AM2180" s="79"/>
      <c r="AN2180" s="79"/>
      <c r="AO2180" s="79"/>
      <c r="AP2180" s="79"/>
      <c r="AQ2180" s="79"/>
      <c r="AR2180" s="78"/>
      <c r="AS2180" s="78"/>
      <c r="AT2180" s="79"/>
      <c r="AU2180" s="79"/>
      <c r="AV2180" s="79"/>
      <c r="AW2180" s="79"/>
      <c r="AX2180" s="79"/>
      <c r="AZ2180" s="81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</row>
    <row r="2181" spans="35:68" x14ac:dyDescent="0.25">
      <c r="AI2181" s="49"/>
      <c r="AJ2181" s="78"/>
      <c r="AK2181" s="79"/>
      <c r="AL2181" s="79"/>
      <c r="AM2181" s="79"/>
      <c r="AN2181" s="79"/>
      <c r="AO2181" s="79"/>
      <c r="AP2181" s="79"/>
      <c r="AQ2181" s="79"/>
      <c r="AR2181" s="78"/>
      <c r="AS2181" s="78"/>
      <c r="AT2181" s="79"/>
      <c r="AU2181" s="79"/>
      <c r="AV2181" s="79"/>
      <c r="AW2181" s="79"/>
      <c r="AX2181" s="79"/>
      <c r="AZ2181" s="81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</row>
    <row r="2182" spans="35:68" x14ac:dyDescent="0.25">
      <c r="AI2182" s="49"/>
      <c r="AJ2182" s="78"/>
      <c r="AK2182" s="79"/>
      <c r="AL2182" s="79"/>
      <c r="AM2182" s="79"/>
      <c r="AN2182" s="79"/>
      <c r="AO2182" s="79"/>
      <c r="AP2182" s="79"/>
      <c r="AQ2182" s="79"/>
      <c r="AR2182" s="78"/>
      <c r="AS2182" s="78"/>
      <c r="AT2182" s="79"/>
      <c r="AU2182" s="79"/>
      <c r="AV2182" s="79"/>
      <c r="AW2182" s="79"/>
      <c r="AX2182" s="79"/>
      <c r="AZ2182" s="81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</row>
    <row r="2183" spans="35:68" x14ac:dyDescent="0.25">
      <c r="AI2183" s="49"/>
      <c r="AJ2183" s="78"/>
      <c r="AK2183" s="79"/>
      <c r="AL2183" s="79"/>
      <c r="AM2183" s="79"/>
      <c r="AN2183" s="79"/>
      <c r="AO2183" s="79"/>
      <c r="AP2183" s="79"/>
      <c r="AQ2183" s="79"/>
      <c r="AR2183" s="78"/>
      <c r="AS2183" s="78"/>
      <c r="AT2183" s="79"/>
      <c r="AU2183" s="79"/>
      <c r="AV2183" s="79"/>
      <c r="AW2183" s="79"/>
      <c r="AX2183" s="79"/>
      <c r="AZ2183" s="81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</row>
    <row r="2184" spans="35:68" x14ac:dyDescent="0.25">
      <c r="AI2184" s="49"/>
      <c r="AJ2184" s="78"/>
      <c r="AK2184" s="79"/>
      <c r="AL2184" s="79"/>
      <c r="AM2184" s="79"/>
      <c r="AN2184" s="79"/>
      <c r="AO2184" s="79"/>
      <c r="AP2184" s="79"/>
      <c r="AQ2184" s="79"/>
      <c r="AR2184" s="78"/>
      <c r="AS2184" s="78"/>
      <c r="AT2184" s="79"/>
      <c r="AU2184" s="79"/>
      <c r="AV2184" s="79"/>
      <c r="AW2184" s="79"/>
      <c r="AX2184" s="79"/>
      <c r="AZ2184" s="81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</row>
    <row r="2185" spans="35:68" x14ac:dyDescent="0.25">
      <c r="AI2185" s="49"/>
      <c r="AJ2185" s="78"/>
      <c r="AK2185" s="79"/>
      <c r="AL2185" s="79"/>
      <c r="AM2185" s="79"/>
      <c r="AN2185" s="79"/>
      <c r="AO2185" s="79"/>
      <c r="AP2185" s="79"/>
      <c r="AQ2185" s="79"/>
      <c r="AR2185" s="78"/>
      <c r="AS2185" s="78"/>
      <c r="AT2185" s="79"/>
      <c r="AU2185" s="79"/>
      <c r="AV2185" s="79"/>
      <c r="AW2185" s="79"/>
      <c r="AX2185" s="79"/>
      <c r="AZ2185" s="81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</row>
    <row r="2186" spans="35:68" x14ac:dyDescent="0.25">
      <c r="AI2186" s="49"/>
      <c r="AJ2186" s="78"/>
      <c r="AK2186" s="79"/>
      <c r="AL2186" s="79"/>
      <c r="AM2186" s="79"/>
      <c r="AN2186" s="79"/>
      <c r="AO2186" s="79"/>
      <c r="AP2186" s="79"/>
      <c r="AQ2186" s="79"/>
      <c r="AR2186" s="78"/>
      <c r="AS2186" s="78"/>
      <c r="AT2186" s="79"/>
      <c r="AU2186" s="79"/>
      <c r="AV2186" s="79"/>
      <c r="AW2186" s="79"/>
      <c r="AX2186" s="79"/>
      <c r="AZ2186" s="81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</row>
    <row r="2187" spans="35:68" x14ac:dyDescent="0.25">
      <c r="AI2187" s="49"/>
      <c r="AJ2187" s="78"/>
      <c r="AK2187" s="79"/>
      <c r="AL2187" s="79"/>
      <c r="AM2187" s="79"/>
      <c r="AN2187" s="79"/>
      <c r="AO2187" s="79"/>
      <c r="AP2187" s="79"/>
      <c r="AQ2187" s="79"/>
      <c r="AR2187" s="78"/>
      <c r="AS2187" s="78"/>
      <c r="AT2187" s="79"/>
      <c r="AU2187" s="79"/>
      <c r="AV2187" s="79"/>
      <c r="AW2187" s="79"/>
      <c r="AX2187" s="79"/>
      <c r="AZ2187" s="81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</row>
    <row r="2188" spans="35:68" x14ac:dyDescent="0.25">
      <c r="AI2188" s="49"/>
      <c r="AJ2188" s="78"/>
      <c r="AK2188" s="79"/>
      <c r="AL2188" s="79"/>
      <c r="AM2188" s="79"/>
      <c r="AN2188" s="79"/>
      <c r="AO2188" s="79"/>
      <c r="AP2188" s="79"/>
      <c r="AQ2188" s="79"/>
      <c r="AR2188" s="78"/>
      <c r="AS2188" s="78"/>
      <c r="AT2188" s="79"/>
      <c r="AU2188" s="79"/>
      <c r="AV2188" s="79"/>
      <c r="AW2188" s="79"/>
      <c r="AX2188" s="79"/>
      <c r="AZ2188" s="81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</row>
    <row r="2189" spans="35:68" x14ac:dyDescent="0.25">
      <c r="AI2189" s="49"/>
      <c r="AJ2189" s="78"/>
      <c r="AK2189" s="79"/>
      <c r="AL2189" s="79"/>
      <c r="AM2189" s="79"/>
      <c r="AN2189" s="79"/>
      <c r="AO2189" s="79"/>
      <c r="AP2189" s="79"/>
      <c r="AQ2189" s="79"/>
      <c r="AR2189" s="78"/>
      <c r="AS2189" s="78"/>
      <c r="AT2189" s="79"/>
      <c r="AU2189" s="79"/>
      <c r="AV2189" s="79"/>
      <c r="AW2189" s="79"/>
      <c r="AX2189" s="79"/>
      <c r="AZ2189" s="81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</row>
    <row r="2190" spans="35:68" x14ac:dyDescent="0.25">
      <c r="AI2190" s="49"/>
      <c r="AJ2190" s="78"/>
      <c r="AK2190" s="79"/>
      <c r="AL2190" s="79"/>
      <c r="AM2190" s="79"/>
      <c r="AN2190" s="79"/>
      <c r="AO2190" s="79"/>
      <c r="AP2190" s="79"/>
      <c r="AQ2190" s="79"/>
      <c r="AR2190" s="78"/>
      <c r="AS2190" s="78"/>
      <c r="AT2190" s="79"/>
      <c r="AU2190" s="79"/>
      <c r="AV2190" s="79"/>
      <c r="AW2190" s="79"/>
      <c r="AX2190" s="79"/>
      <c r="AZ2190" s="81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</row>
    <row r="2191" spans="35:68" x14ac:dyDescent="0.25">
      <c r="AI2191" s="49"/>
      <c r="AJ2191" s="78"/>
      <c r="AK2191" s="79"/>
      <c r="AL2191" s="79"/>
      <c r="AM2191" s="79"/>
      <c r="AN2191" s="79"/>
      <c r="AO2191" s="79"/>
      <c r="AP2191" s="79"/>
      <c r="AQ2191" s="79"/>
      <c r="AR2191" s="78"/>
      <c r="AS2191" s="78"/>
      <c r="AT2191" s="79"/>
      <c r="AU2191" s="79"/>
      <c r="AV2191" s="79"/>
      <c r="AW2191" s="79"/>
      <c r="AX2191" s="79"/>
      <c r="AZ2191" s="81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</row>
    <row r="2192" spans="35:68" x14ac:dyDescent="0.25">
      <c r="AI2192" s="49"/>
      <c r="AJ2192" s="78"/>
      <c r="AK2192" s="79"/>
      <c r="AL2192" s="79"/>
      <c r="AM2192" s="79"/>
      <c r="AN2192" s="79"/>
      <c r="AO2192" s="79"/>
      <c r="AP2192" s="79"/>
      <c r="AQ2192" s="79"/>
      <c r="AR2192" s="78"/>
      <c r="AS2192" s="78"/>
      <c r="AT2192" s="79"/>
      <c r="AU2192" s="79"/>
      <c r="AV2192" s="79"/>
      <c r="AW2192" s="79"/>
      <c r="AX2192" s="79"/>
      <c r="AZ2192" s="81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</row>
    <row r="2193" spans="35:68" x14ac:dyDescent="0.25">
      <c r="AI2193" s="49"/>
      <c r="AJ2193" s="78"/>
      <c r="AK2193" s="79"/>
      <c r="AL2193" s="79"/>
      <c r="AM2193" s="79"/>
      <c r="AN2193" s="79"/>
      <c r="AO2193" s="79"/>
      <c r="AP2193" s="79"/>
      <c r="AQ2193" s="79"/>
      <c r="AR2193" s="78"/>
      <c r="AS2193" s="78"/>
      <c r="AT2193" s="79"/>
      <c r="AU2193" s="79"/>
      <c r="AV2193" s="79"/>
      <c r="AW2193" s="79"/>
      <c r="AX2193" s="79"/>
      <c r="AZ2193" s="81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</row>
    <row r="2194" spans="35:68" x14ac:dyDescent="0.25">
      <c r="AI2194" s="49"/>
      <c r="AJ2194" s="78"/>
      <c r="AK2194" s="79"/>
      <c r="AL2194" s="79"/>
      <c r="AM2194" s="79"/>
      <c r="AN2194" s="79"/>
      <c r="AO2194" s="79"/>
      <c r="AP2194" s="79"/>
      <c r="AQ2194" s="79"/>
      <c r="AR2194" s="78"/>
      <c r="AS2194" s="78"/>
      <c r="AT2194" s="79"/>
      <c r="AU2194" s="79"/>
      <c r="AV2194" s="79"/>
      <c r="AW2194" s="79"/>
      <c r="AX2194" s="79"/>
      <c r="AZ2194" s="81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</row>
    <row r="2195" spans="35:68" x14ac:dyDescent="0.25">
      <c r="AI2195" s="49"/>
      <c r="AJ2195" s="78"/>
      <c r="AK2195" s="79"/>
      <c r="AL2195" s="79"/>
      <c r="AM2195" s="79"/>
      <c r="AN2195" s="79"/>
      <c r="AO2195" s="79"/>
      <c r="AP2195" s="79"/>
      <c r="AQ2195" s="79"/>
      <c r="AR2195" s="78"/>
      <c r="AS2195" s="78"/>
      <c r="AT2195" s="79"/>
      <c r="AU2195" s="79"/>
      <c r="AV2195" s="79"/>
      <c r="AW2195" s="79"/>
      <c r="AX2195" s="79"/>
      <c r="AZ2195" s="81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</row>
    <row r="2196" spans="35:68" x14ac:dyDescent="0.25">
      <c r="AI2196" s="49"/>
      <c r="AJ2196" s="78"/>
      <c r="AK2196" s="79"/>
      <c r="AL2196" s="79"/>
      <c r="AM2196" s="79"/>
      <c r="AN2196" s="79"/>
      <c r="AO2196" s="79"/>
      <c r="AP2196" s="79"/>
      <c r="AQ2196" s="79"/>
      <c r="AR2196" s="78"/>
      <c r="AS2196" s="78"/>
      <c r="AT2196" s="79"/>
      <c r="AU2196" s="79"/>
      <c r="AV2196" s="79"/>
      <c r="AW2196" s="79"/>
      <c r="AX2196" s="79"/>
      <c r="AZ2196" s="81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</row>
    <row r="2197" spans="35:68" x14ac:dyDescent="0.25">
      <c r="AI2197" s="49"/>
      <c r="AJ2197" s="78"/>
      <c r="AK2197" s="79"/>
      <c r="AL2197" s="79"/>
      <c r="AM2197" s="79"/>
      <c r="AN2197" s="79"/>
      <c r="AO2197" s="79"/>
      <c r="AP2197" s="79"/>
      <c r="AQ2197" s="79"/>
      <c r="AR2197" s="78"/>
      <c r="AS2197" s="78"/>
      <c r="AT2197" s="79"/>
      <c r="AU2197" s="79"/>
      <c r="AV2197" s="79"/>
      <c r="AW2197" s="79"/>
      <c r="AX2197" s="79"/>
      <c r="AZ2197" s="81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</row>
    <row r="2198" spans="35:68" x14ac:dyDescent="0.25">
      <c r="AI2198" s="49"/>
      <c r="AJ2198" s="78"/>
      <c r="AK2198" s="79"/>
      <c r="AL2198" s="79"/>
      <c r="AM2198" s="79"/>
      <c r="AN2198" s="79"/>
      <c r="AO2198" s="79"/>
      <c r="AP2198" s="79"/>
      <c r="AQ2198" s="79"/>
      <c r="AR2198" s="78"/>
      <c r="AS2198" s="78"/>
      <c r="AT2198" s="79"/>
      <c r="AU2198" s="79"/>
      <c r="AV2198" s="79"/>
      <c r="AW2198" s="79"/>
      <c r="AX2198" s="79"/>
      <c r="AZ2198" s="81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</row>
    <row r="2199" spans="35:68" x14ac:dyDescent="0.25">
      <c r="AI2199" s="49"/>
      <c r="AJ2199" s="78"/>
      <c r="AK2199" s="79"/>
      <c r="AL2199" s="79"/>
      <c r="AM2199" s="79"/>
      <c r="AN2199" s="79"/>
      <c r="AO2199" s="79"/>
      <c r="AP2199" s="79"/>
      <c r="AQ2199" s="79"/>
      <c r="AR2199" s="78"/>
      <c r="AS2199" s="78"/>
      <c r="AT2199" s="79"/>
      <c r="AU2199" s="79"/>
      <c r="AV2199" s="79"/>
      <c r="AW2199" s="79"/>
      <c r="AX2199" s="79"/>
      <c r="AZ2199" s="81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</row>
    <row r="2200" spans="35:68" x14ac:dyDescent="0.25">
      <c r="AI2200" s="49"/>
      <c r="AJ2200" s="78"/>
      <c r="AK2200" s="79"/>
      <c r="AL2200" s="79"/>
      <c r="AM2200" s="79"/>
      <c r="AN2200" s="79"/>
      <c r="AO2200" s="79"/>
      <c r="AP2200" s="79"/>
      <c r="AQ2200" s="79"/>
      <c r="AR2200" s="78"/>
      <c r="AS2200" s="78"/>
      <c r="AT2200" s="79"/>
      <c r="AU2200" s="79"/>
      <c r="AV2200" s="79"/>
      <c r="AW2200" s="79"/>
      <c r="AX2200" s="79"/>
      <c r="AZ2200" s="81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</row>
    <row r="2201" spans="35:68" x14ac:dyDescent="0.25">
      <c r="AI2201" s="49"/>
      <c r="AJ2201" s="78"/>
      <c r="AK2201" s="79"/>
      <c r="AL2201" s="79"/>
      <c r="AM2201" s="79"/>
      <c r="AN2201" s="79"/>
      <c r="AO2201" s="79"/>
      <c r="AP2201" s="79"/>
      <c r="AQ2201" s="79"/>
      <c r="AR2201" s="78"/>
      <c r="AS2201" s="78"/>
      <c r="AT2201" s="79"/>
      <c r="AU2201" s="79"/>
      <c r="AV2201" s="79"/>
      <c r="AW2201" s="79"/>
      <c r="AX2201" s="79"/>
      <c r="AZ2201" s="81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</row>
    <row r="2202" spans="35:68" x14ac:dyDescent="0.25">
      <c r="AI2202" s="49"/>
      <c r="AJ2202" s="78"/>
      <c r="AK2202" s="79"/>
      <c r="AL2202" s="79"/>
      <c r="AM2202" s="79"/>
      <c r="AN2202" s="79"/>
      <c r="AO2202" s="79"/>
      <c r="AP2202" s="79"/>
      <c r="AQ2202" s="79"/>
      <c r="AR2202" s="78"/>
      <c r="AS2202" s="78"/>
      <c r="AT2202" s="79"/>
      <c r="AU2202" s="79"/>
      <c r="AV2202" s="79"/>
      <c r="AW2202" s="79"/>
      <c r="AX2202" s="79"/>
      <c r="AZ2202" s="81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</row>
    <row r="2203" spans="35:68" x14ac:dyDescent="0.25">
      <c r="AI2203" s="49"/>
      <c r="AJ2203" s="78"/>
      <c r="AK2203" s="79"/>
      <c r="AL2203" s="79"/>
      <c r="AM2203" s="79"/>
      <c r="AN2203" s="79"/>
      <c r="AO2203" s="79"/>
      <c r="AP2203" s="79"/>
      <c r="AQ2203" s="79"/>
      <c r="AR2203" s="78"/>
      <c r="AS2203" s="78"/>
      <c r="AT2203" s="79"/>
      <c r="AU2203" s="79"/>
      <c r="AV2203" s="79"/>
      <c r="AW2203" s="79"/>
      <c r="AX2203" s="79"/>
      <c r="AZ2203" s="81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</row>
    <row r="2204" spans="35:68" x14ac:dyDescent="0.25">
      <c r="AI2204" s="49"/>
      <c r="AJ2204" s="78"/>
      <c r="AK2204" s="79"/>
      <c r="AL2204" s="79"/>
      <c r="AM2204" s="79"/>
      <c r="AN2204" s="79"/>
      <c r="AO2204" s="79"/>
      <c r="AP2204" s="79"/>
      <c r="AQ2204" s="79"/>
      <c r="AR2204" s="78"/>
      <c r="AS2204" s="78"/>
      <c r="AT2204" s="79"/>
      <c r="AU2204" s="79"/>
      <c r="AV2204" s="79"/>
      <c r="AW2204" s="79"/>
      <c r="AX2204" s="79"/>
      <c r="AZ2204" s="81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</row>
    <row r="2205" spans="35:68" x14ac:dyDescent="0.25">
      <c r="AI2205" s="49"/>
      <c r="AJ2205" s="78"/>
      <c r="AK2205" s="79"/>
      <c r="AL2205" s="79"/>
      <c r="AM2205" s="79"/>
      <c r="AN2205" s="79"/>
      <c r="AO2205" s="79"/>
      <c r="AP2205" s="79"/>
      <c r="AQ2205" s="79"/>
      <c r="AR2205" s="78"/>
      <c r="AS2205" s="78"/>
      <c r="AT2205" s="79"/>
      <c r="AU2205" s="79"/>
      <c r="AV2205" s="79"/>
      <c r="AW2205" s="79"/>
      <c r="AX2205" s="79"/>
      <c r="AZ2205" s="81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</row>
    <row r="2206" spans="35:68" x14ac:dyDescent="0.25">
      <c r="AI2206" s="49"/>
      <c r="AJ2206" s="78"/>
      <c r="AK2206" s="79"/>
      <c r="AL2206" s="79"/>
      <c r="AM2206" s="79"/>
      <c r="AN2206" s="79"/>
      <c r="AO2206" s="79"/>
      <c r="AP2206" s="79"/>
      <c r="AQ2206" s="79"/>
      <c r="AR2206" s="78"/>
      <c r="AS2206" s="78"/>
      <c r="AT2206" s="79"/>
      <c r="AU2206" s="79"/>
      <c r="AV2206" s="79"/>
      <c r="AW2206" s="79"/>
      <c r="AX2206" s="79"/>
      <c r="AZ2206" s="81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</row>
    <row r="2207" spans="35:68" x14ac:dyDescent="0.25">
      <c r="AI2207" s="49"/>
      <c r="AJ2207" s="78"/>
      <c r="AK2207" s="79"/>
      <c r="AL2207" s="79"/>
      <c r="AM2207" s="79"/>
      <c r="AN2207" s="79"/>
      <c r="AO2207" s="79"/>
      <c r="AP2207" s="79"/>
      <c r="AQ2207" s="79"/>
      <c r="AR2207" s="78"/>
      <c r="AS2207" s="78"/>
      <c r="AT2207" s="79"/>
      <c r="AU2207" s="79"/>
      <c r="AV2207" s="79"/>
      <c r="AW2207" s="79"/>
      <c r="AX2207" s="79"/>
      <c r="AZ2207" s="81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</row>
    <row r="2208" spans="35:68" x14ac:dyDescent="0.25">
      <c r="AI2208" s="49"/>
      <c r="AJ2208" s="78"/>
      <c r="AK2208" s="79"/>
      <c r="AL2208" s="79"/>
      <c r="AM2208" s="79"/>
      <c r="AN2208" s="79"/>
      <c r="AO2208" s="79"/>
      <c r="AP2208" s="79"/>
      <c r="AQ2208" s="79"/>
      <c r="AR2208" s="78"/>
      <c r="AS2208" s="78"/>
      <c r="AT2208" s="79"/>
      <c r="AU2208" s="79"/>
      <c r="AV2208" s="79"/>
      <c r="AW2208" s="79"/>
      <c r="AX2208" s="79"/>
      <c r="AZ2208" s="81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</row>
    <row r="2209" spans="35:68" x14ac:dyDescent="0.25">
      <c r="AI2209" s="49"/>
      <c r="AJ2209" s="78"/>
      <c r="AK2209" s="79"/>
      <c r="AL2209" s="79"/>
      <c r="AM2209" s="79"/>
      <c r="AN2209" s="79"/>
      <c r="AO2209" s="79"/>
      <c r="AP2209" s="79"/>
      <c r="AQ2209" s="79"/>
      <c r="AR2209" s="78"/>
      <c r="AS2209" s="78"/>
      <c r="AT2209" s="79"/>
      <c r="AU2209" s="79"/>
      <c r="AV2209" s="79"/>
      <c r="AW2209" s="79"/>
      <c r="AX2209" s="79"/>
      <c r="AZ2209" s="81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</row>
    <row r="2210" spans="35:68" x14ac:dyDescent="0.25">
      <c r="AI2210" s="49"/>
      <c r="AJ2210" s="78"/>
      <c r="AK2210" s="79"/>
      <c r="AL2210" s="79"/>
      <c r="AM2210" s="79"/>
      <c r="AN2210" s="79"/>
      <c r="AO2210" s="79"/>
      <c r="AP2210" s="79"/>
      <c r="AQ2210" s="79"/>
      <c r="AR2210" s="78"/>
      <c r="AS2210" s="78"/>
      <c r="AT2210" s="79"/>
      <c r="AU2210" s="79"/>
      <c r="AV2210" s="79"/>
      <c r="AW2210" s="79"/>
      <c r="AX2210" s="79"/>
      <c r="AZ2210" s="81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</row>
    <row r="2211" spans="35:68" x14ac:dyDescent="0.25">
      <c r="AI2211" s="49"/>
      <c r="AJ2211" s="78"/>
      <c r="AK2211" s="79"/>
      <c r="AL2211" s="79"/>
      <c r="AM2211" s="79"/>
      <c r="AN2211" s="79"/>
      <c r="AO2211" s="79"/>
      <c r="AP2211" s="79"/>
      <c r="AQ2211" s="79"/>
      <c r="AR2211" s="78"/>
      <c r="AS2211" s="78"/>
      <c r="AT2211" s="79"/>
      <c r="AU2211" s="79"/>
      <c r="AV2211" s="79"/>
      <c r="AW2211" s="79"/>
      <c r="AX2211" s="79"/>
      <c r="AZ2211" s="81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</row>
    <row r="2212" spans="35:68" x14ac:dyDescent="0.25">
      <c r="AI2212" s="49"/>
      <c r="AJ2212" s="78"/>
      <c r="AK2212" s="79"/>
      <c r="AL2212" s="79"/>
      <c r="AM2212" s="79"/>
      <c r="AN2212" s="79"/>
      <c r="AO2212" s="79"/>
      <c r="AP2212" s="79"/>
      <c r="AQ2212" s="79"/>
      <c r="AR2212" s="78"/>
      <c r="AS2212" s="78"/>
      <c r="AT2212" s="79"/>
      <c r="AU2212" s="79"/>
      <c r="AV2212" s="79"/>
      <c r="AW2212" s="79"/>
      <c r="AX2212" s="79"/>
      <c r="AZ2212" s="81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</row>
    <row r="2213" spans="35:68" x14ac:dyDescent="0.25">
      <c r="AI2213" s="49"/>
      <c r="AJ2213" s="78"/>
      <c r="AK2213" s="79"/>
      <c r="AL2213" s="79"/>
      <c r="AM2213" s="79"/>
      <c r="AN2213" s="79"/>
      <c r="AO2213" s="79"/>
      <c r="AP2213" s="79"/>
      <c r="AQ2213" s="79"/>
      <c r="AR2213" s="78"/>
      <c r="AS2213" s="78"/>
      <c r="AT2213" s="79"/>
      <c r="AU2213" s="79"/>
      <c r="AV2213" s="79"/>
      <c r="AW2213" s="79"/>
      <c r="AX2213" s="79"/>
      <c r="AZ2213" s="81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</row>
    <row r="2214" spans="35:68" x14ac:dyDescent="0.25">
      <c r="AI2214" s="49"/>
      <c r="AJ2214" s="78"/>
      <c r="AK2214" s="79"/>
      <c r="AL2214" s="79"/>
      <c r="AM2214" s="79"/>
      <c r="AN2214" s="79"/>
      <c r="AO2214" s="79"/>
      <c r="AP2214" s="79"/>
      <c r="AQ2214" s="79"/>
      <c r="AR2214" s="78"/>
      <c r="AS2214" s="78"/>
      <c r="AT2214" s="79"/>
      <c r="AU2214" s="79"/>
      <c r="AV2214" s="79"/>
      <c r="AW2214" s="79"/>
      <c r="AX2214" s="79"/>
      <c r="AZ2214" s="81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</row>
    <row r="2215" spans="35:68" x14ac:dyDescent="0.25">
      <c r="AI2215" s="49"/>
      <c r="AJ2215" s="78"/>
      <c r="AK2215" s="79"/>
      <c r="AL2215" s="79"/>
      <c r="AM2215" s="79"/>
      <c r="AN2215" s="79"/>
      <c r="AO2215" s="79"/>
      <c r="AP2215" s="79"/>
      <c r="AQ2215" s="79"/>
      <c r="AR2215" s="78"/>
      <c r="AS2215" s="78"/>
      <c r="AT2215" s="79"/>
      <c r="AU2215" s="79"/>
      <c r="AV2215" s="79"/>
      <c r="AW2215" s="79"/>
      <c r="AX2215" s="79"/>
      <c r="AZ2215" s="81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</row>
    <row r="2216" spans="35:68" x14ac:dyDescent="0.25">
      <c r="AI2216" s="49"/>
      <c r="AJ2216" s="78"/>
      <c r="AK2216" s="79"/>
      <c r="AL2216" s="79"/>
      <c r="AM2216" s="79"/>
      <c r="AN2216" s="79"/>
      <c r="AO2216" s="79"/>
      <c r="AP2216" s="79"/>
      <c r="AQ2216" s="79"/>
      <c r="AR2216" s="78"/>
      <c r="AS2216" s="78"/>
      <c r="AT2216" s="79"/>
      <c r="AU2216" s="79"/>
      <c r="AV2216" s="79"/>
      <c r="AW2216" s="79"/>
      <c r="AX2216" s="79"/>
      <c r="AZ2216" s="81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</row>
    <row r="2217" spans="35:68" x14ac:dyDescent="0.25">
      <c r="AI2217" s="49"/>
      <c r="AJ2217" s="78"/>
      <c r="AK2217" s="79"/>
      <c r="AL2217" s="79"/>
      <c r="AM2217" s="79"/>
      <c r="AN2217" s="79"/>
      <c r="AO2217" s="79"/>
      <c r="AP2217" s="79"/>
      <c r="AQ2217" s="79"/>
      <c r="AR2217" s="78"/>
      <c r="AS2217" s="78"/>
      <c r="AT2217" s="79"/>
      <c r="AU2217" s="79"/>
      <c r="AV2217" s="79"/>
      <c r="AW2217" s="79"/>
      <c r="AX2217" s="79"/>
      <c r="AZ2217" s="81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</row>
    <row r="2218" spans="35:68" x14ac:dyDescent="0.25">
      <c r="AI2218" s="49"/>
      <c r="AJ2218" s="78"/>
      <c r="AK2218" s="79"/>
      <c r="AL2218" s="79"/>
      <c r="AM2218" s="79"/>
      <c r="AN2218" s="79"/>
      <c r="AO2218" s="79"/>
      <c r="AP2218" s="79"/>
      <c r="AQ2218" s="79"/>
      <c r="AR2218" s="78"/>
      <c r="AS2218" s="78"/>
      <c r="AT2218" s="79"/>
      <c r="AU2218" s="79"/>
      <c r="AV2218" s="79"/>
      <c r="AW2218" s="79"/>
      <c r="AX2218" s="79"/>
      <c r="AZ2218" s="81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</row>
    <row r="2219" spans="35:68" x14ac:dyDescent="0.25">
      <c r="AI2219" s="49"/>
      <c r="AJ2219" s="78"/>
      <c r="AK2219" s="79"/>
      <c r="AL2219" s="79"/>
      <c r="AM2219" s="79"/>
      <c r="AN2219" s="79"/>
      <c r="AO2219" s="79"/>
      <c r="AP2219" s="79"/>
      <c r="AQ2219" s="79"/>
      <c r="AR2219" s="78"/>
      <c r="AS2219" s="78"/>
      <c r="AT2219" s="79"/>
      <c r="AU2219" s="79"/>
      <c r="AV2219" s="79"/>
      <c r="AW2219" s="79"/>
      <c r="AX2219" s="79"/>
      <c r="AZ2219" s="81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</row>
    <row r="2220" spans="35:68" x14ac:dyDescent="0.25">
      <c r="AI2220" s="49"/>
      <c r="AJ2220" s="78"/>
      <c r="AK2220" s="79"/>
      <c r="AL2220" s="79"/>
      <c r="AM2220" s="79"/>
      <c r="AN2220" s="79"/>
      <c r="AO2220" s="79"/>
      <c r="AP2220" s="79"/>
      <c r="AQ2220" s="79"/>
      <c r="AR2220" s="78"/>
      <c r="AS2220" s="78"/>
      <c r="AT2220" s="79"/>
      <c r="AU2220" s="79"/>
      <c r="AV2220" s="79"/>
      <c r="AW2220" s="79"/>
      <c r="AX2220" s="79"/>
      <c r="AZ2220" s="81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</row>
    <row r="2221" spans="35:68" x14ac:dyDescent="0.25">
      <c r="AI2221" s="49"/>
      <c r="AJ2221" s="78"/>
      <c r="AK2221" s="79"/>
      <c r="AL2221" s="79"/>
      <c r="AM2221" s="79"/>
      <c r="AN2221" s="79"/>
      <c r="AO2221" s="79"/>
      <c r="AP2221" s="79"/>
      <c r="AQ2221" s="79"/>
      <c r="AR2221" s="78"/>
      <c r="AS2221" s="78"/>
      <c r="AT2221" s="79"/>
      <c r="AU2221" s="79"/>
      <c r="AV2221" s="79"/>
      <c r="AW2221" s="79"/>
      <c r="AX2221" s="79"/>
      <c r="AZ2221" s="81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</row>
    <row r="2222" spans="35:68" x14ac:dyDescent="0.25">
      <c r="AI2222" s="49"/>
      <c r="AJ2222" s="78"/>
      <c r="AK2222" s="79"/>
      <c r="AL2222" s="79"/>
      <c r="AM2222" s="79"/>
      <c r="AN2222" s="79"/>
      <c r="AO2222" s="79"/>
      <c r="AP2222" s="79"/>
      <c r="AQ2222" s="79"/>
      <c r="AR2222" s="78"/>
      <c r="AS2222" s="78"/>
      <c r="AT2222" s="79"/>
      <c r="AU2222" s="79"/>
      <c r="AV2222" s="79"/>
      <c r="AW2222" s="79"/>
      <c r="AX2222" s="79"/>
      <c r="AZ2222" s="81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</row>
    <row r="2223" spans="35:68" x14ac:dyDescent="0.25">
      <c r="AI2223" s="49"/>
      <c r="AJ2223" s="78"/>
      <c r="AK2223" s="79"/>
      <c r="AL2223" s="79"/>
      <c r="AM2223" s="79"/>
      <c r="AN2223" s="79"/>
      <c r="AO2223" s="79"/>
      <c r="AP2223" s="79"/>
      <c r="AQ2223" s="79"/>
      <c r="AR2223" s="78"/>
      <c r="AS2223" s="78"/>
      <c r="AT2223" s="79"/>
      <c r="AU2223" s="79"/>
      <c r="AV2223" s="79"/>
      <c r="AW2223" s="79"/>
      <c r="AX2223" s="79"/>
      <c r="AZ2223" s="81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</row>
    <row r="2224" spans="35:68" x14ac:dyDescent="0.25">
      <c r="AI2224" s="49"/>
      <c r="AJ2224" s="78"/>
      <c r="AK2224" s="79"/>
      <c r="AL2224" s="79"/>
      <c r="AM2224" s="79"/>
      <c r="AN2224" s="79"/>
      <c r="AO2224" s="79"/>
      <c r="AP2224" s="79"/>
      <c r="AQ2224" s="79"/>
      <c r="AR2224" s="78"/>
      <c r="AS2224" s="78"/>
      <c r="AT2224" s="79"/>
      <c r="AU2224" s="79"/>
      <c r="AV2224" s="79"/>
      <c r="AW2224" s="79"/>
      <c r="AX2224" s="79"/>
      <c r="AZ2224" s="81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</row>
    <row r="2225" spans="35:68" x14ac:dyDescent="0.25">
      <c r="AI2225" s="49"/>
      <c r="AJ2225" s="78"/>
      <c r="AK2225" s="79"/>
      <c r="AL2225" s="79"/>
      <c r="AM2225" s="79"/>
      <c r="AN2225" s="79"/>
      <c r="AO2225" s="79"/>
      <c r="AP2225" s="79"/>
      <c r="AQ2225" s="79"/>
      <c r="AR2225" s="78"/>
      <c r="AS2225" s="78"/>
      <c r="AT2225" s="79"/>
      <c r="AU2225" s="79"/>
      <c r="AV2225" s="79"/>
      <c r="AW2225" s="79"/>
      <c r="AX2225" s="79"/>
      <c r="AZ2225" s="81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</row>
    <row r="2226" spans="35:68" x14ac:dyDescent="0.25">
      <c r="AI2226" s="49"/>
      <c r="AJ2226" s="78"/>
      <c r="AK2226" s="79"/>
      <c r="AL2226" s="79"/>
      <c r="AM2226" s="79"/>
      <c r="AN2226" s="79"/>
      <c r="AO2226" s="79"/>
      <c r="AP2226" s="79"/>
      <c r="AQ2226" s="79"/>
      <c r="AR2226" s="78"/>
      <c r="AS2226" s="78"/>
      <c r="AT2226" s="79"/>
      <c r="AU2226" s="79"/>
      <c r="AV2226" s="79"/>
      <c r="AW2226" s="79"/>
      <c r="AX2226" s="79"/>
      <c r="AZ2226" s="81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</row>
    <row r="2227" spans="35:68" x14ac:dyDescent="0.25">
      <c r="AI2227" s="49"/>
      <c r="AJ2227" s="78"/>
      <c r="AK2227" s="79"/>
      <c r="AL2227" s="79"/>
      <c r="AM2227" s="79"/>
      <c r="AN2227" s="79"/>
      <c r="AO2227" s="79"/>
      <c r="AP2227" s="79"/>
      <c r="AQ2227" s="79"/>
      <c r="AR2227" s="78"/>
      <c r="AS2227" s="78"/>
      <c r="AT2227" s="79"/>
      <c r="AU2227" s="79"/>
      <c r="AV2227" s="79"/>
      <c r="AW2227" s="79"/>
      <c r="AX2227" s="79"/>
      <c r="AZ2227" s="81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</row>
    <row r="2228" spans="35:68" x14ac:dyDescent="0.25">
      <c r="AI2228" s="49"/>
      <c r="AJ2228" s="78"/>
      <c r="AK2228" s="79"/>
      <c r="AL2228" s="79"/>
      <c r="AM2228" s="79"/>
      <c r="AN2228" s="79"/>
      <c r="AO2228" s="79"/>
      <c r="AP2228" s="79"/>
      <c r="AQ2228" s="79"/>
      <c r="AR2228" s="78"/>
      <c r="AS2228" s="78"/>
      <c r="AT2228" s="79"/>
      <c r="AU2228" s="79"/>
      <c r="AV2228" s="79"/>
      <c r="AW2228" s="79"/>
      <c r="AX2228" s="79"/>
      <c r="AZ2228" s="81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</row>
    <row r="2229" spans="35:68" x14ac:dyDescent="0.25">
      <c r="AI2229" s="49"/>
      <c r="AJ2229" s="78"/>
      <c r="AK2229" s="79"/>
      <c r="AL2229" s="79"/>
      <c r="AM2229" s="79"/>
      <c r="AN2229" s="79"/>
      <c r="AO2229" s="79"/>
      <c r="AP2229" s="79"/>
      <c r="AQ2229" s="79"/>
      <c r="AR2229" s="78"/>
      <c r="AS2229" s="78"/>
      <c r="AT2229" s="79"/>
      <c r="AU2229" s="79"/>
      <c r="AV2229" s="79"/>
      <c r="AW2229" s="79"/>
      <c r="AX2229" s="79"/>
      <c r="AZ2229" s="81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</row>
    <row r="2230" spans="35:68" x14ac:dyDescent="0.25">
      <c r="AI2230" s="49"/>
      <c r="AJ2230" s="78"/>
      <c r="AK2230" s="79"/>
      <c r="AL2230" s="79"/>
      <c r="AM2230" s="79"/>
      <c r="AN2230" s="79"/>
      <c r="AO2230" s="79"/>
      <c r="AP2230" s="79"/>
      <c r="AQ2230" s="79"/>
      <c r="AR2230" s="78"/>
      <c r="AS2230" s="78"/>
      <c r="AT2230" s="79"/>
      <c r="AU2230" s="79"/>
      <c r="AV2230" s="79"/>
      <c r="AW2230" s="79"/>
      <c r="AX2230" s="79"/>
      <c r="AZ2230" s="81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</row>
    <row r="2231" spans="35:68" x14ac:dyDescent="0.25">
      <c r="AI2231" s="49"/>
      <c r="AJ2231" s="78"/>
      <c r="AK2231" s="79"/>
      <c r="AL2231" s="79"/>
      <c r="AM2231" s="79"/>
      <c r="AN2231" s="79"/>
      <c r="AO2231" s="79"/>
      <c r="AP2231" s="79"/>
      <c r="AQ2231" s="79"/>
      <c r="AR2231" s="78"/>
      <c r="AS2231" s="78"/>
      <c r="AT2231" s="79"/>
      <c r="AU2231" s="79"/>
      <c r="AV2231" s="79"/>
      <c r="AW2231" s="79"/>
      <c r="AX2231" s="79"/>
      <c r="AZ2231" s="81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</row>
    <row r="2232" spans="35:68" x14ac:dyDescent="0.25">
      <c r="AI2232" s="49"/>
      <c r="AJ2232" s="78"/>
      <c r="AK2232" s="79"/>
      <c r="AL2232" s="79"/>
      <c r="AM2232" s="79"/>
      <c r="AN2232" s="79"/>
      <c r="AO2232" s="79"/>
      <c r="AP2232" s="79"/>
      <c r="AQ2232" s="79"/>
      <c r="AR2232" s="78"/>
      <c r="AS2232" s="78"/>
      <c r="AT2232" s="79"/>
      <c r="AU2232" s="79"/>
      <c r="AV2232" s="79"/>
      <c r="AW2232" s="79"/>
      <c r="AX2232" s="79"/>
      <c r="AZ2232" s="81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</row>
    <row r="2233" spans="35:68" x14ac:dyDescent="0.25">
      <c r="AI2233" s="49"/>
      <c r="AJ2233" s="78"/>
      <c r="AK2233" s="79"/>
      <c r="AL2233" s="79"/>
      <c r="AM2233" s="79"/>
      <c r="AN2233" s="79"/>
      <c r="AO2233" s="79"/>
      <c r="AP2233" s="79"/>
      <c r="AQ2233" s="79"/>
      <c r="AR2233" s="78"/>
      <c r="AS2233" s="78"/>
      <c r="AT2233" s="79"/>
      <c r="AU2233" s="79"/>
      <c r="AV2233" s="79"/>
      <c r="AW2233" s="79"/>
      <c r="AX2233" s="79"/>
      <c r="AZ2233" s="81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</row>
    <row r="2234" spans="35:68" x14ac:dyDescent="0.25">
      <c r="AI2234" s="49"/>
      <c r="AJ2234" s="78"/>
      <c r="AK2234" s="79"/>
      <c r="AL2234" s="79"/>
      <c r="AM2234" s="79"/>
      <c r="AN2234" s="79"/>
      <c r="AO2234" s="79"/>
      <c r="AP2234" s="79"/>
      <c r="AQ2234" s="79"/>
      <c r="AR2234" s="78"/>
      <c r="AS2234" s="78"/>
      <c r="AT2234" s="79"/>
      <c r="AU2234" s="79"/>
      <c r="AV2234" s="79"/>
      <c r="AW2234" s="79"/>
      <c r="AX2234" s="79"/>
      <c r="AZ2234" s="81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</row>
    <row r="2235" spans="35:68" x14ac:dyDescent="0.25">
      <c r="AI2235" s="49"/>
      <c r="AJ2235" s="78"/>
      <c r="AK2235" s="79"/>
      <c r="AL2235" s="79"/>
      <c r="AM2235" s="79"/>
      <c r="AN2235" s="79"/>
      <c r="AO2235" s="79"/>
      <c r="AP2235" s="79"/>
      <c r="AQ2235" s="79"/>
      <c r="AR2235" s="78"/>
      <c r="AS2235" s="78"/>
      <c r="AT2235" s="79"/>
      <c r="AU2235" s="79"/>
      <c r="AV2235" s="79"/>
      <c r="AW2235" s="79"/>
      <c r="AX2235" s="79"/>
      <c r="AZ2235" s="81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</row>
    <row r="2236" spans="35:68" x14ac:dyDescent="0.25">
      <c r="AI2236" s="49"/>
      <c r="AJ2236" s="78"/>
      <c r="AK2236" s="79"/>
      <c r="AL2236" s="79"/>
      <c r="AM2236" s="79"/>
      <c r="AN2236" s="79"/>
      <c r="AO2236" s="79"/>
      <c r="AP2236" s="79"/>
      <c r="AQ2236" s="79"/>
      <c r="AR2236" s="78"/>
      <c r="AS2236" s="78"/>
      <c r="AT2236" s="79"/>
      <c r="AU2236" s="79"/>
      <c r="AV2236" s="79"/>
      <c r="AW2236" s="79"/>
      <c r="AX2236" s="79"/>
      <c r="AZ2236" s="81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</row>
    <row r="2237" spans="35:68" x14ac:dyDescent="0.25">
      <c r="AI2237" s="49"/>
      <c r="AJ2237" s="78"/>
      <c r="AK2237" s="79"/>
      <c r="AL2237" s="79"/>
      <c r="AM2237" s="79"/>
      <c r="AN2237" s="79"/>
      <c r="AO2237" s="79"/>
      <c r="AP2237" s="79"/>
      <c r="AQ2237" s="79"/>
      <c r="AR2237" s="78"/>
      <c r="AS2237" s="78"/>
      <c r="AT2237" s="79"/>
      <c r="AU2237" s="79"/>
      <c r="AV2237" s="79"/>
      <c r="AW2237" s="79"/>
      <c r="AX2237" s="79"/>
      <c r="AZ2237" s="81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</row>
    <row r="2238" spans="35:68" x14ac:dyDescent="0.25">
      <c r="AI2238" s="49"/>
      <c r="AJ2238" s="78"/>
      <c r="AK2238" s="79"/>
      <c r="AL2238" s="79"/>
      <c r="AM2238" s="79"/>
      <c r="AN2238" s="79"/>
      <c r="AO2238" s="79"/>
      <c r="AP2238" s="79"/>
      <c r="AQ2238" s="79"/>
      <c r="AR2238" s="78"/>
      <c r="AS2238" s="78"/>
      <c r="AT2238" s="79"/>
      <c r="AU2238" s="79"/>
      <c r="AV2238" s="79"/>
      <c r="AW2238" s="79"/>
      <c r="AX2238" s="79"/>
      <c r="AZ2238" s="81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</row>
    <row r="2239" spans="35:68" x14ac:dyDescent="0.25">
      <c r="AI2239" s="49"/>
      <c r="AJ2239" s="78"/>
      <c r="AK2239" s="79"/>
      <c r="AL2239" s="79"/>
      <c r="AM2239" s="79"/>
      <c r="AN2239" s="79"/>
      <c r="AO2239" s="79"/>
      <c r="AP2239" s="79"/>
      <c r="AQ2239" s="79"/>
      <c r="AR2239" s="78"/>
      <c r="AS2239" s="78"/>
      <c r="AT2239" s="79"/>
      <c r="AU2239" s="79"/>
      <c r="AV2239" s="79"/>
      <c r="AW2239" s="79"/>
      <c r="AX2239" s="79"/>
      <c r="AZ2239" s="81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</row>
    <row r="2240" spans="35:68" x14ac:dyDescent="0.25">
      <c r="AI2240" s="49"/>
      <c r="AJ2240" s="78"/>
      <c r="AK2240" s="79"/>
      <c r="AL2240" s="79"/>
      <c r="AM2240" s="79"/>
      <c r="AN2240" s="79"/>
      <c r="AO2240" s="79"/>
      <c r="AP2240" s="79"/>
      <c r="AQ2240" s="79"/>
      <c r="AR2240" s="78"/>
      <c r="AS2240" s="78"/>
      <c r="AT2240" s="79"/>
      <c r="AU2240" s="79"/>
      <c r="AV2240" s="79"/>
      <c r="AW2240" s="79"/>
      <c r="AX2240" s="79"/>
      <c r="AZ2240" s="81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</row>
    <row r="2241" spans="35:68" x14ac:dyDescent="0.25">
      <c r="AI2241" s="49"/>
      <c r="AJ2241" s="78"/>
      <c r="AK2241" s="79"/>
      <c r="AL2241" s="79"/>
      <c r="AM2241" s="79"/>
      <c r="AN2241" s="79"/>
      <c r="AO2241" s="79"/>
      <c r="AP2241" s="79"/>
      <c r="AQ2241" s="79"/>
      <c r="AR2241" s="78"/>
      <c r="AS2241" s="78"/>
      <c r="AT2241" s="79"/>
      <c r="AU2241" s="79"/>
      <c r="AV2241" s="79"/>
      <c r="AW2241" s="79"/>
      <c r="AX2241" s="79"/>
      <c r="AZ2241" s="81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</row>
    <row r="2242" spans="35:68" x14ac:dyDescent="0.25">
      <c r="AI2242" s="49"/>
      <c r="AJ2242" s="78"/>
      <c r="AK2242" s="79"/>
      <c r="AL2242" s="79"/>
      <c r="AM2242" s="79"/>
      <c r="AN2242" s="79"/>
      <c r="AO2242" s="79"/>
      <c r="AP2242" s="79"/>
      <c r="AQ2242" s="79"/>
      <c r="AR2242" s="78"/>
      <c r="AS2242" s="78"/>
      <c r="AT2242" s="79"/>
      <c r="AU2242" s="79"/>
      <c r="AV2242" s="79"/>
      <c r="AW2242" s="79"/>
      <c r="AX2242" s="79"/>
      <c r="AZ2242" s="81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</row>
    <row r="2243" spans="35:68" x14ac:dyDescent="0.25">
      <c r="AI2243" s="49"/>
      <c r="AJ2243" s="78"/>
      <c r="AK2243" s="79"/>
      <c r="AL2243" s="79"/>
      <c r="AM2243" s="79"/>
      <c r="AN2243" s="79"/>
      <c r="AO2243" s="79"/>
      <c r="AP2243" s="79"/>
      <c r="AQ2243" s="79"/>
      <c r="AR2243" s="78"/>
      <c r="AS2243" s="78"/>
      <c r="AT2243" s="79"/>
      <c r="AU2243" s="79"/>
      <c r="AV2243" s="79"/>
      <c r="AW2243" s="79"/>
      <c r="AX2243" s="79"/>
      <c r="AZ2243" s="81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</row>
    <row r="2244" spans="35:68" x14ac:dyDescent="0.25">
      <c r="AI2244" s="49"/>
      <c r="AJ2244" s="78"/>
      <c r="AK2244" s="79"/>
      <c r="AL2244" s="79"/>
      <c r="AM2244" s="79"/>
      <c r="AN2244" s="79"/>
      <c r="AO2244" s="79"/>
      <c r="AP2244" s="79"/>
      <c r="AQ2244" s="79"/>
      <c r="AR2244" s="78"/>
      <c r="AS2244" s="78"/>
      <c r="AT2244" s="79"/>
      <c r="AU2244" s="79"/>
      <c r="AV2244" s="79"/>
      <c r="AW2244" s="79"/>
      <c r="AX2244" s="79"/>
      <c r="AZ2244" s="81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</row>
    <row r="2245" spans="35:68" x14ac:dyDescent="0.25">
      <c r="AI2245" s="49"/>
      <c r="AJ2245" s="78"/>
      <c r="AK2245" s="79"/>
      <c r="AL2245" s="79"/>
      <c r="AM2245" s="79"/>
      <c r="AN2245" s="79"/>
      <c r="AO2245" s="79"/>
      <c r="AP2245" s="79"/>
      <c r="AQ2245" s="79"/>
      <c r="AR2245" s="78"/>
      <c r="AS2245" s="78"/>
      <c r="AT2245" s="79"/>
      <c r="AU2245" s="79"/>
      <c r="AV2245" s="79"/>
      <c r="AW2245" s="79"/>
      <c r="AX2245" s="79"/>
      <c r="AZ2245" s="81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</row>
    <row r="2246" spans="35:68" x14ac:dyDescent="0.25">
      <c r="AI2246" s="49"/>
      <c r="AJ2246" s="78"/>
      <c r="AK2246" s="79"/>
      <c r="AL2246" s="79"/>
      <c r="AM2246" s="79"/>
      <c r="AN2246" s="79"/>
      <c r="AO2246" s="79"/>
      <c r="AP2246" s="79"/>
      <c r="AQ2246" s="79"/>
      <c r="AR2246" s="78"/>
      <c r="AS2246" s="78"/>
      <c r="AT2246" s="79"/>
      <c r="AU2246" s="79"/>
      <c r="AV2246" s="79"/>
      <c r="AW2246" s="79"/>
      <c r="AX2246" s="79"/>
      <c r="AZ2246" s="81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</row>
    <row r="2247" spans="35:68" x14ac:dyDescent="0.25">
      <c r="AI2247" s="49"/>
      <c r="AJ2247" s="78"/>
      <c r="AK2247" s="79"/>
      <c r="AL2247" s="79"/>
      <c r="AM2247" s="79"/>
      <c r="AN2247" s="79"/>
      <c r="AO2247" s="79"/>
      <c r="AP2247" s="79"/>
      <c r="AQ2247" s="79"/>
      <c r="AR2247" s="78"/>
      <c r="AS2247" s="78"/>
      <c r="AT2247" s="79"/>
      <c r="AU2247" s="79"/>
      <c r="AV2247" s="79"/>
      <c r="AW2247" s="79"/>
      <c r="AX2247" s="79"/>
      <c r="AZ2247" s="81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</row>
    <row r="2248" spans="35:68" x14ac:dyDescent="0.25">
      <c r="AI2248" s="49"/>
      <c r="AJ2248" s="78"/>
      <c r="AK2248" s="79"/>
      <c r="AL2248" s="79"/>
      <c r="AM2248" s="79"/>
      <c r="AN2248" s="79"/>
      <c r="AO2248" s="79"/>
      <c r="AP2248" s="79"/>
      <c r="AQ2248" s="79"/>
      <c r="AR2248" s="78"/>
      <c r="AS2248" s="78"/>
      <c r="AT2248" s="79"/>
      <c r="AU2248" s="79"/>
      <c r="AV2248" s="79"/>
      <c r="AW2248" s="79"/>
      <c r="AX2248" s="79"/>
      <c r="AZ2248" s="81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</row>
    <row r="2249" spans="35:68" x14ac:dyDescent="0.25">
      <c r="AI2249" s="49"/>
      <c r="AJ2249" s="78"/>
      <c r="AK2249" s="79"/>
      <c r="AL2249" s="79"/>
      <c r="AM2249" s="79"/>
      <c r="AN2249" s="79"/>
      <c r="AO2249" s="79"/>
      <c r="AP2249" s="79"/>
      <c r="AQ2249" s="79"/>
      <c r="AR2249" s="78"/>
      <c r="AS2249" s="78"/>
      <c r="AT2249" s="79"/>
      <c r="AU2249" s="79"/>
      <c r="AV2249" s="79"/>
      <c r="AW2249" s="79"/>
      <c r="AX2249" s="79"/>
      <c r="AZ2249" s="81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</row>
    <row r="2250" spans="35:68" x14ac:dyDescent="0.25">
      <c r="AI2250" s="49"/>
      <c r="AJ2250" s="78"/>
      <c r="AK2250" s="79"/>
      <c r="AL2250" s="79"/>
      <c r="AM2250" s="79"/>
      <c r="AN2250" s="79"/>
      <c r="AO2250" s="79"/>
      <c r="AP2250" s="79"/>
      <c r="AQ2250" s="79"/>
      <c r="AR2250" s="78"/>
      <c r="AS2250" s="78"/>
      <c r="AT2250" s="79"/>
      <c r="AU2250" s="79"/>
      <c r="AV2250" s="79"/>
      <c r="AW2250" s="79"/>
      <c r="AX2250" s="79"/>
      <c r="AZ2250" s="81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</row>
    <row r="2251" spans="35:68" x14ac:dyDescent="0.25">
      <c r="AI2251" s="49"/>
      <c r="AJ2251" s="78"/>
      <c r="AK2251" s="79"/>
      <c r="AL2251" s="79"/>
      <c r="AM2251" s="79"/>
      <c r="AN2251" s="79"/>
      <c r="AO2251" s="79"/>
      <c r="AP2251" s="79"/>
      <c r="AQ2251" s="79"/>
      <c r="AR2251" s="78"/>
      <c r="AS2251" s="78"/>
      <c r="AT2251" s="79"/>
      <c r="AU2251" s="79"/>
      <c r="AV2251" s="79"/>
      <c r="AW2251" s="79"/>
      <c r="AX2251" s="79"/>
      <c r="AZ2251" s="81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</row>
    <row r="2252" spans="35:68" x14ac:dyDescent="0.25">
      <c r="AI2252" s="49"/>
      <c r="AJ2252" s="78"/>
      <c r="AK2252" s="79"/>
      <c r="AL2252" s="79"/>
      <c r="AM2252" s="79"/>
      <c r="AN2252" s="79"/>
      <c r="AO2252" s="79"/>
      <c r="AP2252" s="79"/>
      <c r="AQ2252" s="79"/>
      <c r="AR2252" s="78"/>
      <c r="AS2252" s="78"/>
      <c r="AT2252" s="79"/>
      <c r="AU2252" s="79"/>
      <c r="AV2252" s="79"/>
      <c r="AW2252" s="79"/>
      <c r="AX2252" s="79"/>
      <c r="AZ2252" s="81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</row>
    <row r="2253" spans="35:68" x14ac:dyDescent="0.25">
      <c r="AI2253" s="49"/>
      <c r="AJ2253" s="78"/>
      <c r="AK2253" s="79"/>
      <c r="AL2253" s="79"/>
      <c r="AM2253" s="79"/>
      <c r="AN2253" s="79"/>
      <c r="AO2253" s="79"/>
      <c r="AP2253" s="79"/>
      <c r="AQ2253" s="79"/>
      <c r="AR2253" s="78"/>
      <c r="AS2253" s="78"/>
      <c r="AT2253" s="79"/>
      <c r="AU2253" s="79"/>
      <c r="AV2253" s="79"/>
      <c r="AW2253" s="79"/>
      <c r="AX2253" s="79"/>
      <c r="AZ2253" s="81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</row>
    <row r="2254" spans="35:68" x14ac:dyDescent="0.25">
      <c r="AI2254" s="49"/>
      <c r="AJ2254" s="78"/>
      <c r="AK2254" s="79"/>
      <c r="AL2254" s="79"/>
      <c r="AM2254" s="79"/>
      <c r="AN2254" s="79"/>
      <c r="AO2254" s="79"/>
      <c r="AP2254" s="79"/>
      <c r="AQ2254" s="79"/>
      <c r="AR2254" s="78"/>
      <c r="AS2254" s="78"/>
      <c r="AT2254" s="79"/>
      <c r="AU2254" s="79"/>
      <c r="AV2254" s="79"/>
      <c r="AW2254" s="79"/>
      <c r="AX2254" s="79"/>
      <c r="AZ2254" s="81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</row>
    <row r="2255" spans="35:68" x14ac:dyDescent="0.25">
      <c r="AI2255" s="49"/>
      <c r="AJ2255" s="78"/>
      <c r="AK2255" s="79"/>
      <c r="AL2255" s="79"/>
      <c r="AM2255" s="79"/>
      <c r="AN2255" s="79"/>
      <c r="AO2255" s="79"/>
      <c r="AP2255" s="79"/>
      <c r="AQ2255" s="79"/>
      <c r="AR2255" s="78"/>
      <c r="AS2255" s="78"/>
      <c r="AT2255" s="79"/>
      <c r="AU2255" s="79"/>
      <c r="AV2255" s="79"/>
      <c r="AW2255" s="79"/>
      <c r="AX2255" s="79"/>
      <c r="AZ2255" s="81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</row>
    <row r="2256" spans="35:68" x14ac:dyDescent="0.25">
      <c r="AI2256" s="49"/>
      <c r="AJ2256" s="78"/>
      <c r="AK2256" s="79"/>
      <c r="AL2256" s="79"/>
      <c r="AM2256" s="79"/>
      <c r="AN2256" s="79"/>
      <c r="AO2256" s="79"/>
      <c r="AP2256" s="79"/>
      <c r="AQ2256" s="79"/>
      <c r="AR2256" s="78"/>
      <c r="AS2256" s="78"/>
      <c r="AT2256" s="79"/>
      <c r="AU2256" s="79"/>
      <c r="AV2256" s="79"/>
      <c r="AW2256" s="79"/>
      <c r="AX2256" s="79"/>
      <c r="AZ2256" s="81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</row>
    <row r="2257" spans="35:68" x14ac:dyDescent="0.25">
      <c r="AI2257" s="49"/>
      <c r="AJ2257" s="78"/>
      <c r="AK2257" s="79"/>
      <c r="AL2257" s="79"/>
      <c r="AM2257" s="79"/>
      <c r="AN2257" s="79"/>
      <c r="AO2257" s="79"/>
      <c r="AP2257" s="79"/>
      <c r="AQ2257" s="79"/>
      <c r="AR2257" s="78"/>
      <c r="AS2257" s="78"/>
      <c r="AT2257" s="79"/>
      <c r="AU2257" s="79"/>
      <c r="AV2257" s="79"/>
      <c r="AW2257" s="79"/>
      <c r="AX2257" s="79"/>
      <c r="AZ2257" s="81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</row>
    <row r="2258" spans="35:68" x14ac:dyDescent="0.25">
      <c r="AI2258" s="49"/>
      <c r="AJ2258" s="78"/>
      <c r="AK2258" s="79"/>
      <c r="AL2258" s="79"/>
      <c r="AM2258" s="79"/>
      <c r="AN2258" s="79"/>
      <c r="AO2258" s="79"/>
      <c r="AP2258" s="79"/>
      <c r="AQ2258" s="79"/>
      <c r="AR2258" s="78"/>
      <c r="AS2258" s="78"/>
      <c r="AT2258" s="79"/>
      <c r="AU2258" s="79"/>
      <c r="AV2258" s="79"/>
      <c r="AW2258" s="79"/>
      <c r="AX2258" s="79"/>
      <c r="AZ2258" s="81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</row>
    <row r="2259" spans="35:68" x14ac:dyDescent="0.25">
      <c r="AI2259" s="49"/>
      <c r="AJ2259" s="78"/>
      <c r="AK2259" s="79"/>
      <c r="AL2259" s="79"/>
      <c r="AM2259" s="79"/>
      <c r="AN2259" s="79"/>
      <c r="AO2259" s="79"/>
      <c r="AP2259" s="79"/>
      <c r="AQ2259" s="79"/>
      <c r="AR2259" s="78"/>
      <c r="AS2259" s="78"/>
      <c r="AT2259" s="79"/>
      <c r="AU2259" s="79"/>
      <c r="AV2259" s="79"/>
      <c r="AW2259" s="79"/>
      <c r="AX2259" s="79"/>
      <c r="AZ2259" s="81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</row>
    <row r="2260" spans="35:68" x14ac:dyDescent="0.25">
      <c r="AI2260" s="49"/>
      <c r="AJ2260" s="78"/>
      <c r="AK2260" s="79"/>
      <c r="AL2260" s="79"/>
      <c r="AM2260" s="79"/>
      <c r="AN2260" s="79"/>
      <c r="AO2260" s="79"/>
      <c r="AP2260" s="79"/>
      <c r="AQ2260" s="79"/>
      <c r="AR2260" s="78"/>
      <c r="AS2260" s="78"/>
      <c r="AT2260" s="79"/>
      <c r="AU2260" s="79"/>
      <c r="AV2260" s="79"/>
      <c r="AW2260" s="79"/>
      <c r="AX2260" s="79"/>
      <c r="AZ2260" s="81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</row>
    <row r="2261" spans="35:68" x14ac:dyDescent="0.25">
      <c r="AI2261" s="49"/>
      <c r="AJ2261" s="78"/>
      <c r="AK2261" s="79"/>
      <c r="AL2261" s="79"/>
      <c r="AM2261" s="79"/>
      <c r="AN2261" s="79"/>
      <c r="AO2261" s="79"/>
      <c r="AP2261" s="79"/>
      <c r="AQ2261" s="79"/>
      <c r="AR2261" s="78"/>
      <c r="AS2261" s="78"/>
      <c r="AT2261" s="79"/>
      <c r="AU2261" s="79"/>
      <c r="AV2261" s="79"/>
      <c r="AW2261" s="79"/>
      <c r="AX2261" s="79"/>
      <c r="AZ2261" s="81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</row>
    <row r="2262" spans="35:68" x14ac:dyDescent="0.25">
      <c r="AI2262" s="49"/>
      <c r="AJ2262" s="78"/>
      <c r="AK2262" s="79"/>
      <c r="AL2262" s="79"/>
      <c r="AM2262" s="79"/>
      <c r="AN2262" s="79"/>
      <c r="AO2262" s="79"/>
      <c r="AP2262" s="79"/>
      <c r="AQ2262" s="79"/>
      <c r="AR2262" s="78"/>
      <c r="AS2262" s="78"/>
      <c r="AT2262" s="79"/>
      <c r="AU2262" s="79"/>
      <c r="AV2262" s="79"/>
      <c r="AW2262" s="79"/>
      <c r="AX2262" s="79"/>
      <c r="AZ2262" s="81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</row>
    <row r="2263" spans="35:68" x14ac:dyDescent="0.25">
      <c r="AI2263" s="49"/>
      <c r="AJ2263" s="78"/>
      <c r="AK2263" s="79"/>
      <c r="AL2263" s="79"/>
      <c r="AM2263" s="79"/>
      <c r="AN2263" s="79"/>
      <c r="AO2263" s="79"/>
      <c r="AP2263" s="79"/>
      <c r="AQ2263" s="79"/>
      <c r="AR2263" s="78"/>
      <c r="AS2263" s="78"/>
      <c r="AT2263" s="79"/>
      <c r="AU2263" s="79"/>
      <c r="AV2263" s="79"/>
      <c r="AW2263" s="79"/>
      <c r="AX2263" s="79"/>
      <c r="AZ2263" s="81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</row>
    <row r="2264" spans="35:68" x14ac:dyDescent="0.25">
      <c r="AI2264" s="49"/>
      <c r="AJ2264" s="78"/>
      <c r="AK2264" s="79"/>
      <c r="AL2264" s="79"/>
      <c r="AM2264" s="79"/>
      <c r="AN2264" s="79"/>
      <c r="AO2264" s="79"/>
      <c r="AP2264" s="79"/>
      <c r="AQ2264" s="79"/>
      <c r="AR2264" s="78"/>
      <c r="AS2264" s="78"/>
      <c r="AT2264" s="79"/>
      <c r="AU2264" s="79"/>
      <c r="AV2264" s="79"/>
      <c r="AW2264" s="79"/>
      <c r="AX2264" s="79"/>
      <c r="AZ2264" s="81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</row>
    <row r="2265" spans="35:68" x14ac:dyDescent="0.25">
      <c r="AI2265" s="49"/>
      <c r="AJ2265" s="78"/>
      <c r="AK2265" s="79"/>
      <c r="AL2265" s="79"/>
      <c r="AM2265" s="79"/>
      <c r="AN2265" s="79"/>
      <c r="AO2265" s="79"/>
      <c r="AP2265" s="79"/>
      <c r="AQ2265" s="79"/>
      <c r="AR2265" s="78"/>
      <c r="AS2265" s="78"/>
      <c r="AT2265" s="79"/>
      <c r="AU2265" s="79"/>
      <c r="AV2265" s="79"/>
      <c r="AW2265" s="79"/>
      <c r="AX2265" s="79"/>
      <c r="AZ2265" s="81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</row>
    <row r="2266" spans="35:68" x14ac:dyDescent="0.25">
      <c r="AI2266" s="49"/>
      <c r="AJ2266" s="78"/>
      <c r="AK2266" s="79"/>
      <c r="AL2266" s="79"/>
      <c r="AM2266" s="79"/>
      <c r="AN2266" s="79"/>
      <c r="AO2266" s="79"/>
      <c r="AP2266" s="79"/>
      <c r="AQ2266" s="79"/>
      <c r="AR2266" s="78"/>
      <c r="AS2266" s="78"/>
      <c r="AT2266" s="79"/>
      <c r="AU2266" s="79"/>
      <c r="AV2266" s="79"/>
      <c r="AW2266" s="79"/>
      <c r="AX2266" s="79"/>
      <c r="AZ2266" s="81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</row>
    <row r="2267" spans="35:68" x14ac:dyDescent="0.25">
      <c r="AI2267" s="49"/>
      <c r="AJ2267" s="78"/>
      <c r="AK2267" s="79"/>
      <c r="AL2267" s="79"/>
      <c r="AM2267" s="79"/>
      <c r="AN2267" s="79"/>
      <c r="AO2267" s="79"/>
      <c r="AP2267" s="79"/>
      <c r="AQ2267" s="79"/>
      <c r="AR2267" s="78"/>
      <c r="AS2267" s="78"/>
      <c r="AT2267" s="79"/>
      <c r="AU2267" s="79"/>
      <c r="AV2267" s="79"/>
      <c r="AW2267" s="79"/>
      <c r="AX2267" s="79"/>
      <c r="AZ2267" s="81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</row>
    <row r="2268" spans="35:68" x14ac:dyDescent="0.25">
      <c r="AI2268" s="49"/>
      <c r="AJ2268" s="78"/>
      <c r="AK2268" s="79"/>
      <c r="AL2268" s="79"/>
      <c r="AM2268" s="79"/>
      <c r="AN2268" s="79"/>
      <c r="AO2268" s="79"/>
      <c r="AP2268" s="79"/>
      <c r="AQ2268" s="79"/>
      <c r="AR2268" s="78"/>
      <c r="AS2268" s="78"/>
      <c r="AT2268" s="79"/>
      <c r="AU2268" s="79"/>
      <c r="AV2268" s="79"/>
      <c r="AW2268" s="79"/>
      <c r="AX2268" s="79"/>
      <c r="AZ2268" s="81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</row>
    <row r="2269" spans="35:68" x14ac:dyDescent="0.25">
      <c r="AI2269" s="49"/>
      <c r="AJ2269" s="78"/>
      <c r="AK2269" s="79"/>
      <c r="AL2269" s="79"/>
      <c r="AM2269" s="79"/>
      <c r="AN2269" s="79"/>
      <c r="AO2269" s="79"/>
      <c r="AP2269" s="79"/>
      <c r="AQ2269" s="79"/>
      <c r="AR2269" s="78"/>
      <c r="AS2269" s="78"/>
      <c r="AT2269" s="79"/>
      <c r="AU2269" s="79"/>
      <c r="AV2269" s="79"/>
      <c r="AW2269" s="79"/>
      <c r="AX2269" s="79"/>
      <c r="AZ2269" s="81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</row>
    <row r="2270" spans="35:68" x14ac:dyDescent="0.25">
      <c r="AI2270" s="49"/>
      <c r="AJ2270" s="78"/>
      <c r="AK2270" s="79"/>
      <c r="AL2270" s="79"/>
      <c r="AM2270" s="79"/>
      <c r="AN2270" s="79"/>
      <c r="AO2270" s="79"/>
      <c r="AP2270" s="79"/>
      <c r="AQ2270" s="79"/>
      <c r="AR2270" s="78"/>
      <c r="AS2270" s="78"/>
      <c r="AT2270" s="79"/>
      <c r="AU2270" s="79"/>
      <c r="AV2270" s="79"/>
      <c r="AW2270" s="79"/>
      <c r="AX2270" s="79"/>
      <c r="AZ2270" s="81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</row>
    <row r="2271" spans="35:68" x14ac:dyDescent="0.25">
      <c r="AI2271" s="49"/>
      <c r="AJ2271" s="78"/>
      <c r="AK2271" s="79"/>
      <c r="AL2271" s="79"/>
      <c r="AM2271" s="79"/>
      <c r="AN2271" s="79"/>
      <c r="AO2271" s="79"/>
      <c r="AP2271" s="79"/>
      <c r="AQ2271" s="79"/>
      <c r="AR2271" s="78"/>
      <c r="AS2271" s="78"/>
      <c r="AT2271" s="79"/>
      <c r="AU2271" s="79"/>
      <c r="AV2271" s="79"/>
      <c r="AW2271" s="79"/>
      <c r="AX2271" s="79"/>
      <c r="AZ2271" s="81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</row>
    <row r="2272" spans="35:68" x14ac:dyDescent="0.25">
      <c r="AI2272" s="49"/>
      <c r="AJ2272" s="78"/>
      <c r="AK2272" s="79"/>
      <c r="AL2272" s="79"/>
      <c r="AM2272" s="79"/>
      <c r="AN2272" s="79"/>
      <c r="AO2272" s="79"/>
      <c r="AP2272" s="79"/>
      <c r="AQ2272" s="79"/>
      <c r="AR2272" s="78"/>
      <c r="AS2272" s="78"/>
      <c r="AT2272" s="79"/>
      <c r="AU2272" s="79"/>
      <c r="AV2272" s="79"/>
      <c r="AW2272" s="79"/>
      <c r="AX2272" s="79"/>
      <c r="AZ2272" s="81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</row>
    <row r="2273" spans="35:68" x14ac:dyDescent="0.25">
      <c r="AI2273" s="49"/>
      <c r="AJ2273" s="78"/>
      <c r="AK2273" s="79"/>
      <c r="AL2273" s="79"/>
      <c r="AM2273" s="79"/>
      <c r="AN2273" s="79"/>
      <c r="AO2273" s="79"/>
      <c r="AP2273" s="79"/>
      <c r="AQ2273" s="79"/>
      <c r="AR2273" s="78"/>
      <c r="AS2273" s="78"/>
      <c r="AT2273" s="79"/>
      <c r="AU2273" s="79"/>
      <c r="AV2273" s="79"/>
      <c r="AW2273" s="79"/>
      <c r="AX2273" s="79"/>
      <c r="AZ2273" s="81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</row>
    <row r="2274" spans="35:68" x14ac:dyDescent="0.25">
      <c r="AI2274" s="49"/>
      <c r="AJ2274" s="78"/>
      <c r="AK2274" s="79"/>
      <c r="AL2274" s="79"/>
      <c r="AM2274" s="79"/>
      <c r="AN2274" s="79"/>
      <c r="AO2274" s="79"/>
      <c r="AP2274" s="79"/>
      <c r="AQ2274" s="79"/>
      <c r="AR2274" s="78"/>
      <c r="AS2274" s="78"/>
      <c r="AT2274" s="79"/>
      <c r="AU2274" s="79"/>
      <c r="AV2274" s="79"/>
      <c r="AW2274" s="79"/>
      <c r="AX2274" s="79"/>
      <c r="AZ2274" s="81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</row>
    <row r="2275" spans="35:68" x14ac:dyDescent="0.25">
      <c r="AI2275" s="49"/>
      <c r="AJ2275" s="78"/>
      <c r="AK2275" s="79"/>
      <c r="AL2275" s="79"/>
      <c r="AM2275" s="79"/>
      <c r="AN2275" s="79"/>
      <c r="AO2275" s="79"/>
      <c r="AP2275" s="79"/>
      <c r="AQ2275" s="79"/>
      <c r="AR2275" s="78"/>
      <c r="AS2275" s="78"/>
      <c r="AT2275" s="79"/>
      <c r="AU2275" s="79"/>
      <c r="AV2275" s="79"/>
      <c r="AW2275" s="79"/>
      <c r="AX2275" s="79"/>
      <c r="AZ2275" s="81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</row>
    <row r="2276" spans="35:68" x14ac:dyDescent="0.25">
      <c r="AI2276" s="49"/>
      <c r="AJ2276" s="78"/>
      <c r="AK2276" s="79"/>
      <c r="AL2276" s="79"/>
      <c r="AM2276" s="79"/>
      <c r="AN2276" s="79"/>
      <c r="AO2276" s="79"/>
      <c r="AP2276" s="79"/>
      <c r="AQ2276" s="79"/>
      <c r="AR2276" s="78"/>
      <c r="AS2276" s="78"/>
      <c r="AT2276" s="79"/>
      <c r="AU2276" s="79"/>
      <c r="AV2276" s="79"/>
      <c r="AW2276" s="79"/>
      <c r="AX2276" s="79"/>
      <c r="AZ2276" s="81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</row>
    <row r="2277" spans="35:68" x14ac:dyDescent="0.25">
      <c r="AI2277" s="49"/>
      <c r="AJ2277" s="78"/>
      <c r="AK2277" s="79"/>
      <c r="AL2277" s="79"/>
      <c r="AM2277" s="79"/>
      <c r="AN2277" s="79"/>
      <c r="AO2277" s="79"/>
      <c r="AP2277" s="79"/>
      <c r="AQ2277" s="79"/>
      <c r="AR2277" s="78"/>
      <c r="AS2277" s="78"/>
      <c r="AT2277" s="79"/>
      <c r="AU2277" s="79"/>
      <c r="AV2277" s="79"/>
      <c r="AW2277" s="79"/>
      <c r="AX2277" s="79"/>
      <c r="AZ2277" s="81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</row>
    <row r="2278" spans="35:68" x14ac:dyDescent="0.25">
      <c r="AI2278" s="49"/>
      <c r="AJ2278" s="78"/>
      <c r="AK2278" s="79"/>
      <c r="AL2278" s="79"/>
      <c r="AM2278" s="79"/>
      <c r="AN2278" s="79"/>
      <c r="AO2278" s="79"/>
      <c r="AP2278" s="79"/>
      <c r="AQ2278" s="79"/>
      <c r="AR2278" s="78"/>
      <c r="AS2278" s="78"/>
      <c r="AT2278" s="79"/>
      <c r="AU2278" s="79"/>
      <c r="AV2278" s="79"/>
      <c r="AW2278" s="79"/>
      <c r="AX2278" s="79"/>
      <c r="AZ2278" s="81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</row>
    <row r="2279" spans="35:68" x14ac:dyDescent="0.25">
      <c r="AI2279" s="49"/>
      <c r="AJ2279" s="78"/>
      <c r="AK2279" s="79"/>
      <c r="AL2279" s="79"/>
      <c r="AM2279" s="79"/>
      <c r="AN2279" s="79"/>
      <c r="AO2279" s="79"/>
      <c r="AP2279" s="79"/>
      <c r="AQ2279" s="79"/>
      <c r="AR2279" s="78"/>
      <c r="AS2279" s="78"/>
      <c r="AT2279" s="79"/>
      <c r="AU2279" s="79"/>
      <c r="AV2279" s="79"/>
      <c r="AW2279" s="79"/>
      <c r="AX2279" s="79"/>
      <c r="AZ2279" s="81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</row>
    <row r="2280" spans="35:68" x14ac:dyDescent="0.25">
      <c r="AI2280" s="49"/>
      <c r="AJ2280" s="78"/>
      <c r="AK2280" s="79"/>
      <c r="AL2280" s="79"/>
      <c r="AM2280" s="79"/>
      <c r="AN2280" s="79"/>
      <c r="AO2280" s="79"/>
      <c r="AP2280" s="79"/>
      <c r="AQ2280" s="79"/>
      <c r="AR2280" s="78"/>
      <c r="AS2280" s="78"/>
      <c r="AT2280" s="79"/>
      <c r="AU2280" s="79"/>
      <c r="AV2280" s="79"/>
      <c r="AW2280" s="79"/>
      <c r="AX2280" s="79"/>
      <c r="AZ2280" s="81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</row>
    <row r="2281" spans="35:68" x14ac:dyDescent="0.25">
      <c r="AI2281" s="49"/>
      <c r="AJ2281" s="78"/>
      <c r="AK2281" s="79"/>
      <c r="AL2281" s="79"/>
      <c r="AM2281" s="79"/>
      <c r="AN2281" s="79"/>
      <c r="AO2281" s="79"/>
      <c r="AP2281" s="79"/>
      <c r="AQ2281" s="79"/>
      <c r="AR2281" s="78"/>
      <c r="AS2281" s="78"/>
      <c r="AT2281" s="79"/>
      <c r="AU2281" s="79"/>
      <c r="AV2281" s="79"/>
      <c r="AW2281" s="79"/>
      <c r="AX2281" s="79"/>
      <c r="AZ2281" s="81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</row>
    <row r="2282" spans="35:68" x14ac:dyDescent="0.25">
      <c r="AI2282" s="49"/>
      <c r="AJ2282" s="78"/>
      <c r="AK2282" s="79"/>
      <c r="AL2282" s="79"/>
      <c r="AM2282" s="79"/>
      <c r="AN2282" s="79"/>
      <c r="AO2282" s="79"/>
      <c r="AP2282" s="79"/>
      <c r="AQ2282" s="79"/>
      <c r="AR2282" s="78"/>
      <c r="AS2282" s="78"/>
      <c r="AT2282" s="79"/>
      <c r="AU2282" s="79"/>
      <c r="AV2282" s="79"/>
      <c r="AW2282" s="79"/>
      <c r="AX2282" s="79"/>
      <c r="AZ2282" s="81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</row>
    <row r="2283" spans="35:68" x14ac:dyDescent="0.25">
      <c r="AI2283" s="49"/>
      <c r="AJ2283" s="78"/>
      <c r="AK2283" s="79"/>
      <c r="AL2283" s="79"/>
      <c r="AM2283" s="79"/>
      <c r="AN2283" s="79"/>
      <c r="AO2283" s="79"/>
      <c r="AP2283" s="79"/>
      <c r="AQ2283" s="79"/>
      <c r="AR2283" s="78"/>
      <c r="AS2283" s="78"/>
      <c r="AT2283" s="79"/>
      <c r="AU2283" s="79"/>
      <c r="AV2283" s="79"/>
      <c r="AW2283" s="79"/>
      <c r="AX2283" s="79"/>
      <c r="AZ2283" s="81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</row>
    <row r="2284" spans="35:68" x14ac:dyDescent="0.25">
      <c r="AI2284" s="49"/>
      <c r="AJ2284" s="78"/>
      <c r="AK2284" s="79"/>
      <c r="AL2284" s="79"/>
      <c r="AM2284" s="79"/>
      <c r="AN2284" s="79"/>
      <c r="AO2284" s="79"/>
      <c r="AP2284" s="79"/>
      <c r="AQ2284" s="79"/>
      <c r="AR2284" s="78"/>
      <c r="AS2284" s="78"/>
      <c r="AT2284" s="79"/>
      <c r="AU2284" s="79"/>
      <c r="AV2284" s="79"/>
      <c r="AW2284" s="79"/>
      <c r="AX2284" s="79"/>
      <c r="AZ2284" s="81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</row>
    <row r="2285" spans="35:68" x14ac:dyDescent="0.25">
      <c r="AI2285" s="49"/>
      <c r="AJ2285" s="78"/>
      <c r="AK2285" s="79"/>
      <c r="AL2285" s="79"/>
      <c r="AM2285" s="79"/>
      <c r="AN2285" s="79"/>
      <c r="AO2285" s="79"/>
      <c r="AP2285" s="79"/>
      <c r="AQ2285" s="79"/>
      <c r="AR2285" s="78"/>
      <c r="AS2285" s="78"/>
      <c r="AT2285" s="79"/>
      <c r="AU2285" s="79"/>
      <c r="AV2285" s="79"/>
      <c r="AW2285" s="79"/>
      <c r="AX2285" s="79"/>
      <c r="AZ2285" s="81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</row>
    <row r="2286" spans="35:68" x14ac:dyDescent="0.25">
      <c r="AI2286" s="49"/>
      <c r="AJ2286" s="78"/>
      <c r="AK2286" s="79"/>
      <c r="AL2286" s="79"/>
      <c r="AM2286" s="79"/>
      <c r="AN2286" s="79"/>
      <c r="AO2286" s="79"/>
      <c r="AP2286" s="79"/>
      <c r="AQ2286" s="79"/>
      <c r="AR2286" s="78"/>
      <c r="AS2286" s="78"/>
      <c r="AT2286" s="79"/>
      <c r="AU2286" s="79"/>
      <c r="AV2286" s="79"/>
      <c r="AW2286" s="79"/>
      <c r="AX2286" s="79"/>
      <c r="AZ2286" s="81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</row>
    <row r="2287" spans="35:68" x14ac:dyDescent="0.25">
      <c r="AI2287" s="49"/>
      <c r="AJ2287" s="78"/>
      <c r="AK2287" s="79"/>
      <c r="AL2287" s="79"/>
      <c r="AM2287" s="79"/>
      <c r="AN2287" s="79"/>
      <c r="AO2287" s="79"/>
      <c r="AP2287" s="79"/>
      <c r="AQ2287" s="79"/>
      <c r="AR2287" s="78"/>
      <c r="AS2287" s="78"/>
      <c r="AT2287" s="79"/>
      <c r="AU2287" s="79"/>
      <c r="AV2287" s="79"/>
      <c r="AW2287" s="79"/>
      <c r="AX2287" s="79"/>
      <c r="AZ2287" s="81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</row>
    <row r="2288" spans="35:68" x14ac:dyDescent="0.25">
      <c r="AI2288" s="49"/>
      <c r="AJ2288" s="78"/>
      <c r="AK2288" s="79"/>
      <c r="AL2288" s="79"/>
      <c r="AM2288" s="79"/>
      <c r="AN2288" s="79"/>
      <c r="AO2288" s="79"/>
      <c r="AP2288" s="79"/>
      <c r="AQ2288" s="79"/>
      <c r="AR2288" s="78"/>
      <c r="AS2288" s="78"/>
      <c r="AT2288" s="79"/>
      <c r="AU2288" s="79"/>
      <c r="AV2288" s="79"/>
      <c r="AW2288" s="79"/>
      <c r="AX2288" s="79"/>
      <c r="AZ2288" s="81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</row>
    <row r="2289" spans="35:68" x14ac:dyDescent="0.25">
      <c r="AI2289" s="49"/>
      <c r="AJ2289" s="78"/>
      <c r="AK2289" s="79"/>
      <c r="AL2289" s="79"/>
      <c r="AM2289" s="79"/>
      <c r="AN2289" s="79"/>
      <c r="AO2289" s="79"/>
      <c r="AP2289" s="79"/>
      <c r="AQ2289" s="79"/>
      <c r="AR2289" s="78"/>
      <c r="AS2289" s="78"/>
      <c r="AT2289" s="79"/>
      <c r="AU2289" s="79"/>
      <c r="AV2289" s="79"/>
      <c r="AW2289" s="79"/>
      <c r="AX2289" s="79"/>
      <c r="AZ2289" s="81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</row>
    <row r="2290" spans="35:68" x14ac:dyDescent="0.25">
      <c r="AI2290" s="49"/>
      <c r="AJ2290" s="78"/>
      <c r="AK2290" s="79"/>
      <c r="AL2290" s="79"/>
      <c r="AM2290" s="79"/>
      <c r="AN2290" s="79"/>
      <c r="AO2290" s="79"/>
      <c r="AP2290" s="79"/>
      <c r="AQ2290" s="79"/>
      <c r="AR2290" s="78"/>
      <c r="AS2290" s="78"/>
      <c r="AT2290" s="79"/>
      <c r="AU2290" s="79"/>
      <c r="AV2290" s="79"/>
      <c r="AW2290" s="79"/>
      <c r="AX2290" s="79"/>
      <c r="AZ2290" s="81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</row>
    <row r="2291" spans="35:68" x14ac:dyDescent="0.25">
      <c r="AI2291" s="49"/>
      <c r="AJ2291" s="78"/>
      <c r="AK2291" s="79"/>
      <c r="AL2291" s="79"/>
      <c r="AM2291" s="79"/>
      <c r="AN2291" s="79"/>
      <c r="AO2291" s="79"/>
      <c r="AP2291" s="79"/>
      <c r="AQ2291" s="79"/>
      <c r="AR2291" s="78"/>
      <c r="AS2291" s="78"/>
      <c r="AT2291" s="79"/>
      <c r="AU2291" s="79"/>
      <c r="AV2291" s="79"/>
      <c r="AW2291" s="79"/>
      <c r="AX2291" s="79"/>
      <c r="AZ2291" s="81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</row>
    <row r="2292" spans="35:68" x14ac:dyDescent="0.25">
      <c r="AI2292" s="49"/>
      <c r="AJ2292" s="78"/>
      <c r="AK2292" s="79"/>
      <c r="AL2292" s="79"/>
      <c r="AM2292" s="79"/>
      <c r="AN2292" s="79"/>
      <c r="AO2292" s="79"/>
      <c r="AP2292" s="79"/>
      <c r="AQ2292" s="79"/>
      <c r="AR2292" s="78"/>
      <c r="AS2292" s="78"/>
      <c r="AT2292" s="79"/>
      <c r="AU2292" s="79"/>
      <c r="AV2292" s="79"/>
      <c r="AW2292" s="79"/>
      <c r="AX2292" s="79"/>
      <c r="AZ2292" s="81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</row>
    <row r="2293" spans="35:68" x14ac:dyDescent="0.25">
      <c r="AI2293" s="49"/>
      <c r="AJ2293" s="78"/>
      <c r="AK2293" s="79"/>
      <c r="AL2293" s="79"/>
      <c r="AM2293" s="79"/>
      <c r="AN2293" s="79"/>
      <c r="AO2293" s="79"/>
      <c r="AP2293" s="79"/>
      <c r="AQ2293" s="79"/>
      <c r="AR2293" s="78"/>
      <c r="AS2293" s="78"/>
      <c r="AT2293" s="79"/>
      <c r="AU2293" s="79"/>
      <c r="AV2293" s="79"/>
      <c r="AW2293" s="79"/>
      <c r="AX2293" s="79"/>
      <c r="AZ2293" s="81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</row>
    <row r="2294" spans="35:68" x14ac:dyDescent="0.25">
      <c r="AI2294" s="49"/>
      <c r="AJ2294" s="78"/>
      <c r="AK2294" s="79"/>
      <c r="AL2294" s="79"/>
      <c r="AM2294" s="79"/>
      <c r="AN2294" s="79"/>
      <c r="AO2294" s="79"/>
      <c r="AP2294" s="79"/>
      <c r="AQ2294" s="79"/>
      <c r="AR2294" s="78"/>
      <c r="AS2294" s="78"/>
      <c r="AT2294" s="79"/>
      <c r="AU2294" s="79"/>
      <c r="AV2294" s="79"/>
      <c r="AW2294" s="79"/>
      <c r="AX2294" s="79"/>
      <c r="AZ2294" s="81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</row>
    <row r="2295" spans="35:68" x14ac:dyDescent="0.25">
      <c r="AI2295" s="49"/>
      <c r="AJ2295" s="78"/>
      <c r="AK2295" s="79"/>
      <c r="AL2295" s="79"/>
      <c r="AM2295" s="79"/>
      <c r="AN2295" s="79"/>
      <c r="AO2295" s="79"/>
      <c r="AP2295" s="79"/>
      <c r="AQ2295" s="79"/>
      <c r="AR2295" s="78"/>
      <c r="AS2295" s="78"/>
      <c r="AT2295" s="79"/>
      <c r="AU2295" s="79"/>
      <c r="AV2295" s="79"/>
      <c r="AW2295" s="79"/>
      <c r="AX2295" s="79"/>
      <c r="AZ2295" s="81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</row>
    <row r="2296" spans="35:68" x14ac:dyDescent="0.25">
      <c r="AI2296" s="49"/>
      <c r="AJ2296" s="78"/>
      <c r="AK2296" s="79"/>
      <c r="AL2296" s="79"/>
      <c r="AM2296" s="79"/>
      <c r="AN2296" s="79"/>
      <c r="AO2296" s="79"/>
      <c r="AP2296" s="79"/>
      <c r="AQ2296" s="79"/>
      <c r="AR2296" s="78"/>
      <c r="AS2296" s="78"/>
      <c r="AT2296" s="79"/>
      <c r="AU2296" s="79"/>
      <c r="AV2296" s="79"/>
      <c r="AW2296" s="79"/>
      <c r="AX2296" s="79"/>
      <c r="AZ2296" s="81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</row>
    <row r="2297" spans="35:68" x14ac:dyDescent="0.25">
      <c r="AI2297" s="49"/>
      <c r="AJ2297" s="78"/>
      <c r="AK2297" s="79"/>
      <c r="AL2297" s="79"/>
      <c r="AM2297" s="79"/>
      <c r="AN2297" s="79"/>
      <c r="AO2297" s="79"/>
      <c r="AP2297" s="79"/>
      <c r="AQ2297" s="79"/>
      <c r="AR2297" s="78"/>
      <c r="AS2297" s="78"/>
      <c r="AT2297" s="79"/>
      <c r="AU2297" s="79"/>
      <c r="AV2297" s="79"/>
      <c r="AW2297" s="79"/>
      <c r="AX2297" s="79"/>
      <c r="AZ2297" s="81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</row>
    <row r="2298" spans="35:68" x14ac:dyDescent="0.25">
      <c r="AI2298" s="49"/>
      <c r="AJ2298" s="78"/>
      <c r="AK2298" s="79"/>
      <c r="AL2298" s="79"/>
      <c r="AM2298" s="79"/>
      <c r="AN2298" s="79"/>
      <c r="AO2298" s="79"/>
      <c r="AP2298" s="79"/>
      <c r="AQ2298" s="79"/>
      <c r="AR2298" s="78"/>
      <c r="AS2298" s="78"/>
      <c r="AT2298" s="79"/>
      <c r="AU2298" s="79"/>
      <c r="AV2298" s="79"/>
      <c r="AW2298" s="79"/>
      <c r="AX2298" s="79"/>
      <c r="AZ2298" s="81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</row>
    <row r="2299" spans="35:68" x14ac:dyDescent="0.25">
      <c r="AI2299" s="49"/>
      <c r="AJ2299" s="78"/>
      <c r="AK2299" s="79"/>
      <c r="AL2299" s="79"/>
      <c r="AM2299" s="79"/>
      <c r="AN2299" s="79"/>
      <c r="AO2299" s="79"/>
      <c r="AP2299" s="79"/>
      <c r="AQ2299" s="79"/>
      <c r="AR2299" s="78"/>
      <c r="AS2299" s="78"/>
      <c r="AT2299" s="79"/>
      <c r="AU2299" s="79"/>
      <c r="AV2299" s="79"/>
      <c r="AW2299" s="79"/>
      <c r="AX2299" s="79"/>
      <c r="AZ2299" s="81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</row>
    <row r="2300" spans="35:68" x14ac:dyDescent="0.25">
      <c r="AI2300" s="49"/>
      <c r="AJ2300" s="78"/>
      <c r="AK2300" s="79"/>
      <c r="AL2300" s="79"/>
      <c r="AM2300" s="79"/>
      <c r="AN2300" s="79"/>
      <c r="AO2300" s="79"/>
      <c r="AP2300" s="79"/>
      <c r="AQ2300" s="79"/>
      <c r="AR2300" s="78"/>
      <c r="AS2300" s="78"/>
      <c r="AT2300" s="79"/>
      <c r="AU2300" s="79"/>
      <c r="AV2300" s="79"/>
      <c r="AW2300" s="79"/>
      <c r="AX2300" s="79"/>
      <c r="AZ2300" s="81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</row>
    <row r="2301" spans="35:68" x14ac:dyDescent="0.25">
      <c r="AI2301" s="49"/>
      <c r="AJ2301" s="78"/>
      <c r="AK2301" s="79"/>
      <c r="AL2301" s="79"/>
      <c r="AM2301" s="79"/>
      <c r="AN2301" s="79"/>
      <c r="AO2301" s="79"/>
      <c r="AP2301" s="79"/>
      <c r="AQ2301" s="79"/>
      <c r="AR2301" s="78"/>
      <c r="AS2301" s="78"/>
      <c r="AT2301" s="79"/>
      <c r="AU2301" s="79"/>
      <c r="AV2301" s="79"/>
      <c r="AW2301" s="79"/>
      <c r="AX2301" s="79"/>
      <c r="AZ2301" s="81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</row>
    <row r="2302" spans="35:68" x14ac:dyDescent="0.25">
      <c r="AI2302" s="49"/>
      <c r="AJ2302" s="78"/>
      <c r="AK2302" s="79"/>
      <c r="AL2302" s="79"/>
      <c r="AM2302" s="79"/>
      <c r="AN2302" s="79"/>
      <c r="AO2302" s="79"/>
      <c r="AP2302" s="79"/>
      <c r="AQ2302" s="79"/>
      <c r="AR2302" s="78"/>
      <c r="AS2302" s="78"/>
      <c r="AT2302" s="79"/>
      <c r="AU2302" s="79"/>
      <c r="AV2302" s="79"/>
      <c r="AW2302" s="79"/>
      <c r="AX2302" s="79"/>
      <c r="AZ2302" s="81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</row>
    <row r="2303" spans="35:68" x14ac:dyDescent="0.25">
      <c r="AI2303" s="49"/>
      <c r="AJ2303" s="78"/>
      <c r="AK2303" s="79"/>
      <c r="AL2303" s="79"/>
      <c r="AM2303" s="79"/>
      <c r="AN2303" s="79"/>
      <c r="AO2303" s="79"/>
      <c r="AP2303" s="79"/>
      <c r="AQ2303" s="79"/>
      <c r="AR2303" s="78"/>
      <c r="AS2303" s="78"/>
      <c r="AT2303" s="79"/>
      <c r="AU2303" s="79"/>
      <c r="AV2303" s="79"/>
      <c r="AW2303" s="79"/>
      <c r="AX2303" s="79"/>
      <c r="AZ2303" s="81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</row>
    <row r="2304" spans="35:68" x14ac:dyDescent="0.25">
      <c r="AI2304" s="49"/>
      <c r="AJ2304" s="78"/>
      <c r="AK2304" s="79"/>
      <c r="AL2304" s="79"/>
      <c r="AM2304" s="79"/>
      <c r="AN2304" s="79"/>
      <c r="AO2304" s="79"/>
      <c r="AP2304" s="79"/>
      <c r="AQ2304" s="79"/>
      <c r="AR2304" s="78"/>
      <c r="AS2304" s="78"/>
      <c r="AT2304" s="79"/>
      <c r="AU2304" s="79"/>
      <c r="AV2304" s="79"/>
      <c r="AW2304" s="79"/>
      <c r="AX2304" s="79"/>
      <c r="AZ2304" s="81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</row>
    <row r="2305" spans="35:68" x14ac:dyDescent="0.25">
      <c r="AI2305" s="49"/>
      <c r="AJ2305" s="78"/>
      <c r="AK2305" s="79"/>
      <c r="AL2305" s="79"/>
      <c r="AM2305" s="79"/>
      <c r="AN2305" s="79"/>
      <c r="AO2305" s="79"/>
      <c r="AP2305" s="79"/>
      <c r="AQ2305" s="79"/>
      <c r="AR2305" s="78"/>
      <c r="AS2305" s="78"/>
      <c r="AT2305" s="79"/>
      <c r="AU2305" s="79"/>
      <c r="AV2305" s="79"/>
      <c r="AW2305" s="79"/>
      <c r="AX2305" s="79"/>
      <c r="AZ2305" s="81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</row>
    <row r="2306" spans="35:68" x14ac:dyDescent="0.25">
      <c r="AI2306" s="49"/>
      <c r="AJ2306" s="78"/>
      <c r="AK2306" s="79"/>
      <c r="AL2306" s="79"/>
      <c r="AM2306" s="79"/>
      <c r="AN2306" s="79"/>
      <c r="AO2306" s="79"/>
      <c r="AP2306" s="79"/>
      <c r="AQ2306" s="79"/>
      <c r="AR2306" s="78"/>
      <c r="AS2306" s="78"/>
      <c r="AT2306" s="79"/>
      <c r="AU2306" s="79"/>
      <c r="AV2306" s="79"/>
      <c r="AW2306" s="79"/>
      <c r="AX2306" s="79"/>
      <c r="AZ2306" s="81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</row>
    <row r="2307" spans="35:68" x14ac:dyDescent="0.25">
      <c r="AI2307" s="49"/>
      <c r="AJ2307" s="78"/>
      <c r="AK2307" s="79"/>
      <c r="AL2307" s="79"/>
      <c r="AM2307" s="79"/>
      <c r="AN2307" s="79"/>
      <c r="AO2307" s="79"/>
      <c r="AP2307" s="79"/>
      <c r="AQ2307" s="79"/>
      <c r="AR2307" s="78"/>
      <c r="AS2307" s="78"/>
      <c r="AT2307" s="79"/>
      <c r="AU2307" s="79"/>
      <c r="AV2307" s="79"/>
      <c r="AW2307" s="79"/>
      <c r="AX2307" s="79"/>
      <c r="AZ2307" s="81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</row>
    <row r="2308" spans="35:68" x14ac:dyDescent="0.25">
      <c r="AI2308" s="49"/>
      <c r="AJ2308" s="78"/>
      <c r="AK2308" s="79"/>
      <c r="AL2308" s="79"/>
      <c r="AM2308" s="79"/>
      <c r="AN2308" s="79"/>
      <c r="AO2308" s="79"/>
      <c r="AP2308" s="79"/>
      <c r="AQ2308" s="79"/>
      <c r="AR2308" s="78"/>
      <c r="AS2308" s="78"/>
      <c r="AT2308" s="79"/>
      <c r="AU2308" s="79"/>
      <c r="AV2308" s="79"/>
      <c r="AW2308" s="79"/>
      <c r="AX2308" s="79"/>
      <c r="AZ2308" s="81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</row>
    <row r="2309" spans="35:68" x14ac:dyDescent="0.25">
      <c r="AI2309" s="49"/>
      <c r="AJ2309" s="78"/>
      <c r="AK2309" s="79"/>
      <c r="AL2309" s="79"/>
      <c r="AM2309" s="79"/>
      <c r="AN2309" s="79"/>
      <c r="AO2309" s="79"/>
      <c r="AP2309" s="79"/>
      <c r="AQ2309" s="79"/>
      <c r="AR2309" s="78"/>
      <c r="AS2309" s="78"/>
      <c r="AT2309" s="79"/>
      <c r="AU2309" s="79"/>
      <c r="AV2309" s="79"/>
      <c r="AW2309" s="79"/>
      <c r="AX2309" s="79"/>
      <c r="AZ2309" s="81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</row>
    <row r="2310" spans="35:68" x14ac:dyDescent="0.25">
      <c r="AI2310" s="49"/>
      <c r="AJ2310" s="78"/>
      <c r="AK2310" s="79"/>
      <c r="AL2310" s="79"/>
      <c r="AM2310" s="79"/>
      <c r="AN2310" s="79"/>
      <c r="AO2310" s="79"/>
      <c r="AP2310" s="79"/>
      <c r="AQ2310" s="79"/>
      <c r="AR2310" s="78"/>
      <c r="AS2310" s="78"/>
      <c r="AT2310" s="79"/>
      <c r="AU2310" s="79"/>
      <c r="AV2310" s="79"/>
      <c r="AW2310" s="79"/>
      <c r="AX2310" s="79"/>
      <c r="AZ2310" s="81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</row>
    <row r="2311" spans="35:68" x14ac:dyDescent="0.25">
      <c r="AI2311" s="49"/>
      <c r="AJ2311" s="78"/>
      <c r="AK2311" s="79"/>
      <c r="AL2311" s="79"/>
      <c r="AM2311" s="79"/>
      <c r="AN2311" s="79"/>
      <c r="AO2311" s="79"/>
      <c r="AP2311" s="79"/>
      <c r="AQ2311" s="79"/>
      <c r="AR2311" s="78"/>
      <c r="AS2311" s="78"/>
      <c r="AT2311" s="79"/>
      <c r="AU2311" s="79"/>
      <c r="AV2311" s="79"/>
      <c r="AW2311" s="79"/>
      <c r="AX2311" s="79"/>
      <c r="AZ2311" s="81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</row>
    <row r="2312" spans="35:68" x14ac:dyDescent="0.25">
      <c r="AI2312" s="49"/>
      <c r="AJ2312" s="78"/>
      <c r="AK2312" s="79"/>
      <c r="AL2312" s="79"/>
      <c r="AM2312" s="79"/>
      <c r="AN2312" s="79"/>
      <c r="AO2312" s="79"/>
      <c r="AP2312" s="79"/>
      <c r="AQ2312" s="79"/>
      <c r="AR2312" s="78"/>
      <c r="AS2312" s="78"/>
      <c r="AT2312" s="79"/>
      <c r="AU2312" s="79"/>
      <c r="AV2312" s="79"/>
      <c r="AW2312" s="79"/>
      <c r="AX2312" s="79"/>
      <c r="AZ2312" s="81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</row>
    <row r="2313" spans="35:68" x14ac:dyDescent="0.25">
      <c r="AI2313" s="49"/>
      <c r="AJ2313" s="78"/>
      <c r="AK2313" s="79"/>
      <c r="AL2313" s="79"/>
      <c r="AM2313" s="79"/>
      <c r="AN2313" s="79"/>
      <c r="AO2313" s="79"/>
      <c r="AP2313" s="79"/>
      <c r="AQ2313" s="79"/>
      <c r="AR2313" s="78"/>
      <c r="AS2313" s="78"/>
      <c r="AT2313" s="79"/>
      <c r="AU2313" s="79"/>
      <c r="AV2313" s="79"/>
      <c r="AW2313" s="79"/>
      <c r="AX2313" s="79"/>
      <c r="AZ2313" s="81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</row>
    <row r="2314" spans="35:68" x14ac:dyDescent="0.25">
      <c r="AI2314" s="49"/>
      <c r="AJ2314" s="78"/>
      <c r="AK2314" s="79"/>
      <c r="AL2314" s="79"/>
      <c r="AM2314" s="79"/>
      <c r="AN2314" s="79"/>
      <c r="AO2314" s="79"/>
      <c r="AP2314" s="79"/>
      <c r="AQ2314" s="79"/>
      <c r="AR2314" s="78"/>
      <c r="AS2314" s="78"/>
      <c r="AT2314" s="79"/>
      <c r="AU2314" s="79"/>
      <c r="AV2314" s="79"/>
      <c r="AW2314" s="79"/>
      <c r="AX2314" s="79"/>
      <c r="AZ2314" s="81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</row>
    <row r="2315" spans="35:68" x14ac:dyDescent="0.25">
      <c r="AI2315" s="49"/>
      <c r="AJ2315" s="78"/>
      <c r="AK2315" s="79"/>
      <c r="AL2315" s="79"/>
      <c r="AM2315" s="79"/>
      <c r="AN2315" s="79"/>
      <c r="AO2315" s="79"/>
      <c r="AP2315" s="79"/>
      <c r="AQ2315" s="79"/>
      <c r="AR2315" s="78"/>
      <c r="AS2315" s="78"/>
      <c r="AT2315" s="79"/>
      <c r="AU2315" s="79"/>
      <c r="AV2315" s="79"/>
      <c r="AW2315" s="79"/>
      <c r="AX2315" s="79"/>
      <c r="AZ2315" s="81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</row>
    <row r="2316" spans="35:68" x14ac:dyDescent="0.25">
      <c r="AI2316" s="49"/>
      <c r="AJ2316" s="78"/>
      <c r="AK2316" s="79"/>
      <c r="AL2316" s="79"/>
      <c r="AM2316" s="79"/>
      <c r="AN2316" s="79"/>
      <c r="AO2316" s="79"/>
      <c r="AP2316" s="79"/>
      <c r="AQ2316" s="79"/>
      <c r="AR2316" s="78"/>
      <c r="AS2316" s="78"/>
      <c r="AT2316" s="79"/>
      <c r="AU2316" s="79"/>
      <c r="AV2316" s="79"/>
      <c r="AW2316" s="79"/>
      <c r="AX2316" s="79"/>
      <c r="AZ2316" s="81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</row>
    <row r="2317" spans="35:68" x14ac:dyDescent="0.25">
      <c r="AI2317" s="49"/>
      <c r="AJ2317" s="78"/>
      <c r="AK2317" s="79"/>
      <c r="AL2317" s="79"/>
      <c r="AM2317" s="79"/>
      <c r="AN2317" s="79"/>
      <c r="AO2317" s="79"/>
      <c r="AP2317" s="79"/>
      <c r="AQ2317" s="79"/>
      <c r="AR2317" s="78"/>
      <c r="AS2317" s="78"/>
      <c r="AT2317" s="79"/>
      <c r="AU2317" s="79"/>
      <c r="AV2317" s="79"/>
      <c r="AW2317" s="79"/>
      <c r="AX2317" s="79"/>
      <c r="AZ2317" s="81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</row>
    <row r="2318" spans="35:68" x14ac:dyDescent="0.25">
      <c r="AI2318" s="49"/>
      <c r="AJ2318" s="78"/>
      <c r="AK2318" s="79"/>
      <c r="AL2318" s="79"/>
      <c r="AM2318" s="79"/>
      <c r="AN2318" s="79"/>
      <c r="AO2318" s="79"/>
      <c r="AP2318" s="79"/>
      <c r="AQ2318" s="79"/>
      <c r="AR2318" s="78"/>
      <c r="AS2318" s="78"/>
      <c r="AT2318" s="79"/>
      <c r="AU2318" s="79"/>
      <c r="AV2318" s="79"/>
      <c r="AW2318" s="79"/>
      <c r="AX2318" s="79"/>
      <c r="AZ2318" s="81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</row>
    <row r="2319" spans="35:68" x14ac:dyDescent="0.25">
      <c r="AI2319" s="49"/>
      <c r="AJ2319" s="78"/>
      <c r="AK2319" s="79"/>
      <c r="AL2319" s="79"/>
      <c r="AM2319" s="79"/>
      <c r="AN2319" s="79"/>
      <c r="AO2319" s="79"/>
      <c r="AP2319" s="79"/>
      <c r="AQ2319" s="79"/>
      <c r="AR2319" s="78"/>
      <c r="AS2319" s="78"/>
      <c r="AT2319" s="79"/>
      <c r="AU2319" s="79"/>
      <c r="AV2319" s="79"/>
      <c r="AW2319" s="79"/>
      <c r="AX2319" s="79"/>
      <c r="AZ2319" s="81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</row>
    <row r="2320" spans="35:68" x14ac:dyDescent="0.25">
      <c r="AI2320" s="49"/>
      <c r="AJ2320" s="78"/>
      <c r="AK2320" s="79"/>
      <c r="AL2320" s="79"/>
      <c r="AM2320" s="79"/>
      <c r="AN2320" s="79"/>
      <c r="AO2320" s="79"/>
      <c r="AP2320" s="79"/>
      <c r="AQ2320" s="79"/>
      <c r="AR2320" s="78"/>
      <c r="AS2320" s="78"/>
      <c r="AT2320" s="79"/>
      <c r="AU2320" s="79"/>
      <c r="AV2320" s="79"/>
      <c r="AW2320" s="79"/>
      <c r="AX2320" s="79"/>
      <c r="AZ2320" s="81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</row>
    <row r="2321" spans="35:68" x14ac:dyDescent="0.25">
      <c r="AI2321" s="49"/>
      <c r="AJ2321" s="78"/>
      <c r="AK2321" s="79"/>
      <c r="AL2321" s="79"/>
      <c r="AM2321" s="79"/>
      <c r="AN2321" s="79"/>
      <c r="AO2321" s="79"/>
      <c r="AP2321" s="79"/>
      <c r="AQ2321" s="79"/>
      <c r="AR2321" s="78"/>
      <c r="AS2321" s="78"/>
      <c r="AT2321" s="79"/>
      <c r="AU2321" s="79"/>
      <c r="AV2321" s="79"/>
      <c r="AW2321" s="79"/>
      <c r="AX2321" s="79"/>
      <c r="AZ2321" s="81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</row>
    <row r="2322" spans="35:68" x14ac:dyDescent="0.25">
      <c r="AI2322" s="49"/>
      <c r="AJ2322" s="78"/>
      <c r="AK2322" s="79"/>
      <c r="AL2322" s="79"/>
      <c r="AM2322" s="79"/>
      <c r="AN2322" s="79"/>
      <c r="AO2322" s="79"/>
      <c r="AP2322" s="79"/>
      <c r="AQ2322" s="79"/>
      <c r="AR2322" s="78"/>
      <c r="AS2322" s="78"/>
      <c r="AT2322" s="79"/>
      <c r="AU2322" s="79"/>
      <c r="AV2322" s="79"/>
      <c r="AW2322" s="79"/>
      <c r="AX2322" s="79"/>
      <c r="AZ2322" s="81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</row>
    <row r="2323" spans="35:68" x14ac:dyDescent="0.25">
      <c r="AI2323" s="49"/>
      <c r="AJ2323" s="78"/>
      <c r="AK2323" s="79"/>
      <c r="AL2323" s="79"/>
      <c r="AM2323" s="79"/>
      <c r="AN2323" s="79"/>
      <c r="AO2323" s="79"/>
      <c r="AP2323" s="79"/>
      <c r="AQ2323" s="79"/>
      <c r="AR2323" s="78"/>
      <c r="AS2323" s="78"/>
      <c r="AT2323" s="79"/>
      <c r="AU2323" s="79"/>
      <c r="AV2323" s="79"/>
      <c r="AW2323" s="79"/>
      <c r="AX2323" s="79"/>
      <c r="AZ2323" s="81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</row>
    <row r="2324" spans="35:68" x14ac:dyDescent="0.25">
      <c r="AI2324" s="49"/>
      <c r="AJ2324" s="78"/>
      <c r="AK2324" s="79"/>
      <c r="AL2324" s="79"/>
      <c r="AM2324" s="79"/>
      <c r="AN2324" s="79"/>
      <c r="AO2324" s="79"/>
      <c r="AP2324" s="79"/>
      <c r="AQ2324" s="79"/>
      <c r="AR2324" s="78"/>
      <c r="AS2324" s="78"/>
      <c r="AT2324" s="79"/>
      <c r="AU2324" s="79"/>
      <c r="AV2324" s="79"/>
      <c r="AW2324" s="79"/>
      <c r="AX2324" s="79"/>
      <c r="AZ2324" s="81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</row>
    <row r="2325" spans="35:68" x14ac:dyDescent="0.25">
      <c r="AI2325" s="49"/>
      <c r="AJ2325" s="78"/>
      <c r="AK2325" s="79"/>
      <c r="AL2325" s="79"/>
      <c r="AM2325" s="79"/>
      <c r="AN2325" s="79"/>
      <c r="AO2325" s="79"/>
      <c r="AP2325" s="79"/>
      <c r="AQ2325" s="79"/>
      <c r="AR2325" s="78"/>
      <c r="AS2325" s="78"/>
      <c r="AT2325" s="79"/>
      <c r="AU2325" s="79"/>
      <c r="AV2325" s="79"/>
      <c r="AW2325" s="79"/>
      <c r="AX2325" s="79"/>
      <c r="AZ2325" s="81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</row>
    <row r="2326" spans="35:68" x14ac:dyDescent="0.25">
      <c r="AI2326" s="49"/>
      <c r="AJ2326" s="78"/>
      <c r="AK2326" s="79"/>
      <c r="AL2326" s="79"/>
      <c r="AM2326" s="79"/>
      <c r="AN2326" s="79"/>
      <c r="AO2326" s="79"/>
      <c r="AP2326" s="79"/>
      <c r="AQ2326" s="79"/>
      <c r="AR2326" s="78"/>
      <c r="AS2326" s="78"/>
      <c r="AT2326" s="79"/>
      <c r="AU2326" s="79"/>
      <c r="AV2326" s="79"/>
      <c r="AW2326" s="79"/>
      <c r="AX2326" s="79"/>
      <c r="AZ2326" s="81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</row>
    <row r="2327" spans="35:68" x14ac:dyDescent="0.25">
      <c r="AI2327" s="49"/>
      <c r="AJ2327" s="78"/>
      <c r="AK2327" s="79"/>
      <c r="AL2327" s="79"/>
      <c r="AM2327" s="79"/>
      <c r="AN2327" s="79"/>
      <c r="AO2327" s="79"/>
      <c r="AP2327" s="79"/>
      <c r="AQ2327" s="79"/>
      <c r="AR2327" s="78"/>
      <c r="AS2327" s="78"/>
      <c r="AT2327" s="79"/>
      <c r="AU2327" s="79"/>
      <c r="AV2327" s="79"/>
      <c r="AW2327" s="79"/>
      <c r="AX2327" s="79"/>
      <c r="AZ2327" s="81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</row>
    <row r="2328" spans="35:68" x14ac:dyDescent="0.25">
      <c r="AI2328" s="49"/>
      <c r="AJ2328" s="78"/>
      <c r="AK2328" s="79"/>
      <c r="AL2328" s="79"/>
      <c r="AM2328" s="79"/>
      <c r="AN2328" s="79"/>
      <c r="AO2328" s="79"/>
      <c r="AP2328" s="79"/>
      <c r="AQ2328" s="79"/>
      <c r="AR2328" s="78"/>
      <c r="AS2328" s="78"/>
      <c r="AT2328" s="79"/>
      <c r="AU2328" s="79"/>
      <c r="AV2328" s="79"/>
      <c r="AW2328" s="79"/>
      <c r="AX2328" s="79"/>
      <c r="AZ2328" s="81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</row>
    <row r="2329" spans="35:68" x14ac:dyDescent="0.25">
      <c r="AI2329" s="49"/>
      <c r="AJ2329" s="78"/>
      <c r="AK2329" s="79"/>
      <c r="AL2329" s="79"/>
      <c r="AM2329" s="79"/>
      <c r="AN2329" s="79"/>
      <c r="AO2329" s="79"/>
      <c r="AP2329" s="79"/>
      <c r="AQ2329" s="79"/>
      <c r="AR2329" s="78"/>
      <c r="AS2329" s="78"/>
      <c r="AT2329" s="79"/>
      <c r="AU2329" s="79"/>
      <c r="AV2329" s="79"/>
      <c r="AW2329" s="79"/>
      <c r="AX2329" s="79"/>
      <c r="AZ2329" s="81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</row>
    <row r="2330" spans="35:68" x14ac:dyDescent="0.25">
      <c r="AI2330" s="49"/>
      <c r="AJ2330" s="78"/>
      <c r="AK2330" s="79"/>
      <c r="AL2330" s="79"/>
      <c r="AM2330" s="79"/>
      <c r="AN2330" s="79"/>
      <c r="AO2330" s="79"/>
      <c r="AP2330" s="79"/>
      <c r="AQ2330" s="79"/>
      <c r="AR2330" s="78"/>
      <c r="AS2330" s="78"/>
      <c r="AT2330" s="79"/>
      <c r="AU2330" s="79"/>
      <c r="AV2330" s="79"/>
      <c r="AW2330" s="79"/>
      <c r="AX2330" s="79"/>
      <c r="AZ2330" s="81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</row>
    <row r="2331" spans="35:68" x14ac:dyDescent="0.25">
      <c r="AI2331" s="49"/>
      <c r="AJ2331" s="78"/>
      <c r="AK2331" s="79"/>
      <c r="AL2331" s="79"/>
      <c r="AM2331" s="79"/>
      <c r="AN2331" s="79"/>
      <c r="AO2331" s="79"/>
      <c r="AP2331" s="79"/>
      <c r="AQ2331" s="79"/>
      <c r="AR2331" s="78"/>
      <c r="AS2331" s="78"/>
      <c r="AT2331" s="79"/>
      <c r="AU2331" s="79"/>
      <c r="AV2331" s="79"/>
      <c r="AW2331" s="79"/>
      <c r="AX2331" s="79"/>
      <c r="AZ2331" s="81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</row>
    <row r="2332" spans="35:68" x14ac:dyDescent="0.25">
      <c r="AI2332" s="49"/>
      <c r="AJ2332" s="78"/>
      <c r="AK2332" s="79"/>
      <c r="AL2332" s="79"/>
      <c r="AM2332" s="79"/>
      <c r="AN2332" s="79"/>
      <c r="AO2332" s="79"/>
      <c r="AP2332" s="79"/>
      <c r="AQ2332" s="79"/>
      <c r="AR2332" s="78"/>
      <c r="AS2332" s="78"/>
      <c r="AT2332" s="79"/>
      <c r="AU2332" s="79"/>
      <c r="AV2332" s="79"/>
      <c r="AW2332" s="79"/>
      <c r="AX2332" s="79"/>
      <c r="AZ2332" s="81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</row>
    <row r="2333" spans="35:68" x14ac:dyDescent="0.25">
      <c r="AI2333" s="49"/>
      <c r="AJ2333" s="78"/>
      <c r="AK2333" s="79"/>
      <c r="AL2333" s="79"/>
      <c r="AM2333" s="79"/>
      <c r="AN2333" s="79"/>
      <c r="AO2333" s="79"/>
      <c r="AP2333" s="79"/>
      <c r="AQ2333" s="79"/>
      <c r="AR2333" s="78"/>
      <c r="AS2333" s="78"/>
      <c r="AT2333" s="79"/>
      <c r="AU2333" s="79"/>
      <c r="AV2333" s="79"/>
      <c r="AW2333" s="79"/>
      <c r="AX2333" s="79"/>
      <c r="AZ2333" s="81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</row>
    <row r="2334" spans="35:68" x14ac:dyDescent="0.25">
      <c r="AI2334" s="49"/>
      <c r="AJ2334" s="78"/>
      <c r="AK2334" s="79"/>
      <c r="AL2334" s="79"/>
      <c r="AM2334" s="79"/>
      <c r="AN2334" s="79"/>
      <c r="AO2334" s="79"/>
      <c r="AP2334" s="79"/>
      <c r="AQ2334" s="79"/>
      <c r="AR2334" s="78"/>
      <c r="AS2334" s="78"/>
      <c r="AT2334" s="79"/>
      <c r="AU2334" s="79"/>
      <c r="AV2334" s="79"/>
      <c r="AW2334" s="79"/>
      <c r="AX2334" s="79"/>
      <c r="AZ2334" s="81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</row>
    <row r="2335" spans="35:68" x14ac:dyDescent="0.25">
      <c r="AI2335" s="49"/>
      <c r="AJ2335" s="78"/>
      <c r="AK2335" s="79"/>
      <c r="AL2335" s="79"/>
      <c r="AM2335" s="79"/>
      <c r="AN2335" s="79"/>
      <c r="AO2335" s="79"/>
      <c r="AP2335" s="79"/>
      <c r="AQ2335" s="79"/>
      <c r="AR2335" s="78"/>
      <c r="AS2335" s="78"/>
      <c r="AT2335" s="79"/>
      <c r="AU2335" s="79"/>
      <c r="AV2335" s="79"/>
      <c r="AW2335" s="79"/>
      <c r="AX2335" s="79"/>
      <c r="AZ2335" s="81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</row>
    <row r="2336" spans="35:68" x14ac:dyDescent="0.25">
      <c r="AI2336" s="49"/>
      <c r="AJ2336" s="78"/>
      <c r="AK2336" s="79"/>
      <c r="AL2336" s="79"/>
      <c r="AM2336" s="79"/>
      <c r="AN2336" s="79"/>
      <c r="AO2336" s="79"/>
      <c r="AP2336" s="79"/>
      <c r="AQ2336" s="79"/>
      <c r="AR2336" s="78"/>
      <c r="AS2336" s="78"/>
      <c r="AT2336" s="79"/>
      <c r="AU2336" s="79"/>
      <c r="AV2336" s="79"/>
      <c r="AW2336" s="79"/>
      <c r="AX2336" s="79"/>
      <c r="AZ2336" s="81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</row>
    <row r="2337" spans="35:68" x14ac:dyDescent="0.25">
      <c r="AI2337" s="49"/>
      <c r="AJ2337" s="78"/>
      <c r="AK2337" s="79"/>
      <c r="AL2337" s="79"/>
      <c r="AM2337" s="79"/>
      <c r="AN2337" s="79"/>
      <c r="AO2337" s="79"/>
      <c r="AP2337" s="79"/>
      <c r="AQ2337" s="79"/>
      <c r="AR2337" s="78"/>
      <c r="AS2337" s="78"/>
      <c r="AT2337" s="79"/>
      <c r="AU2337" s="79"/>
      <c r="AV2337" s="79"/>
      <c r="AW2337" s="79"/>
      <c r="AX2337" s="79"/>
      <c r="AZ2337" s="81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</row>
    <row r="2338" spans="35:68" x14ac:dyDescent="0.25">
      <c r="AI2338" s="49"/>
      <c r="AJ2338" s="78"/>
      <c r="AK2338" s="79"/>
      <c r="AL2338" s="79"/>
      <c r="AM2338" s="79"/>
      <c r="AN2338" s="79"/>
      <c r="AO2338" s="79"/>
      <c r="AP2338" s="79"/>
      <c r="AQ2338" s="79"/>
      <c r="AR2338" s="78"/>
      <c r="AS2338" s="78"/>
      <c r="AT2338" s="79"/>
      <c r="AU2338" s="79"/>
      <c r="AV2338" s="79"/>
      <c r="AW2338" s="79"/>
      <c r="AX2338" s="79"/>
      <c r="AZ2338" s="81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</row>
    <row r="2339" spans="35:68" x14ac:dyDescent="0.25">
      <c r="AI2339" s="49"/>
      <c r="AJ2339" s="78"/>
      <c r="AK2339" s="79"/>
      <c r="AL2339" s="79"/>
      <c r="AM2339" s="79"/>
      <c r="AN2339" s="79"/>
      <c r="AO2339" s="79"/>
      <c r="AP2339" s="79"/>
      <c r="AQ2339" s="79"/>
      <c r="AR2339" s="78"/>
      <c r="AS2339" s="78"/>
      <c r="AT2339" s="79"/>
      <c r="AU2339" s="79"/>
      <c r="AV2339" s="79"/>
      <c r="AW2339" s="79"/>
      <c r="AX2339" s="79"/>
      <c r="AZ2339" s="81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</row>
    <row r="2340" spans="35:68" x14ac:dyDescent="0.25">
      <c r="AI2340" s="49"/>
      <c r="AJ2340" s="78"/>
      <c r="AK2340" s="79"/>
      <c r="AL2340" s="79"/>
      <c r="AM2340" s="79"/>
      <c r="AN2340" s="79"/>
      <c r="AO2340" s="79"/>
      <c r="AP2340" s="79"/>
      <c r="AQ2340" s="79"/>
      <c r="AR2340" s="78"/>
      <c r="AS2340" s="78"/>
      <c r="AT2340" s="79"/>
      <c r="AU2340" s="79"/>
      <c r="AV2340" s="79"/>
      <c r="AW2340" s="79"/>
      <c r="AX2340" s="79"/>
      <c r="AZ2340" s="81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</row>
    <row r="2341" spans="35:68" x14ac:dyDescent="0.25">
      <c r="AI2341" s="49"/>
      <c r="AJ2341" s="78"/>
      <c r="AK2341" s="79"/>
      <c r="AL2341" s="79"/>
      <c r="AM2341" s="79"/>
      <c r="AN2341" s="79"/>
      <c r="AO2341" s="79"/>
      <c r="AP2341" s="79"/>
      <c r="AQ2341" s="79"/>
      <c r="AR2341" s="78"/>
      <c r="AS2341" s="78"/>
      <c r="AT2341" s="79"/>
      <c r="AU2341" s="79"/>
      <c r="AV2341" s="79"/>
      <c r="AW2341" s="79"/>
      <c r="AX2341" s="79"/>
      <c r="AZ2341" s="81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</row>
    <row r="2342" spans="35:68" x14ac:dyDescent="0.25">
      <c r="AI2342" s="49"/>
      <c r="AJ2342" s="78"/>
      <c r="AK2342" s="79"/>
      <c r="AL2342" s="79"/>
      <c r="AM2342" s="79"/>
      <c r="AN2342" s="79"/>
      <c r="AO2342" s="79"/>
      <c r="AP2342" s="79"/>
      <c r="AQ2342" s="79"/>
      <c r="AR2342" s="78"/>
      <c r="AS2342" s="78"/>
      <c r="AT2342" s="79"/>
      <c r="AU2342" s="79"/>
      <c r="AV2342" s="79"/>
      <c r="AW2342" s="79"/>
      <c r="AX2342" s="79"/>
      <c r="AZ2342" s="81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</row>
    <row r="2343" spans="35:68" x14ac:dyDescent="0.25">
      <c r="AI2343" s="49"/>
      <c r="AJ2343" s="78"/>
      <c r="AK2343" s="79"/>
      <c r="AL2343" s="79"/>
      <c r="AM2343" s="79"/>
      <c r="AN2343" s="79"/>
      <c r="AO2343" s="79"/>
      <c r="AP2343" s="79"/>
      <c r="AQ2343" s="79"/>
      <c r="AR2343" s="78"/>
      <c r="AS2343" s="78"/>
      <c r="AT2343" s="79"/>
      <c r="AU2343" s="79"/>
      <c r="AV2343" s="79"/>
      <c r="AW2343" s="79"/>
      <c r="AX2343" s="79"/>
      <c r="AZ2343" s="81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</row>
    <row r="2344" spans="35:68" x14ac:dyDescent="0.25">
      <c r="AI2344" s="49"/>
      <c r="AJ2344" s="78"/>
      <c r="AK2344" s="79"/>
      <c r="AL2344" s="79"/>
      <c r="AM2344" s="79"/>
      <c r="AN2344" s="79"/>
      <c r="AO2344" s="79"/>
      <c r="AP2344" s="79"/>
      <c r="AQ2344" s="79"/>
      <c r="AR2344" s="78"/>
      <c r="AS2344" s="78"/>
      <c r="AT2344" s="79"/>
      <c r="AU2344" s="79"/>
      <c r="AV2344" s="79"/>
      <c r="AW2344" s="79"/>
      <c r="AX2344" s="79"/>
      <c r="AZ2344" s="81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</row>
    <row r="2345" spans="35:68" x14ac:dyDescent="0.25">
      <c r="AI2345" s="49"/>
      <c r="AJ2345" s="78"/>
      <c r="AK2345" s="79"/>
      <c r="AL2345" s="79"/>
      <c r="AM2345" s="79"/>
      <c r="AN2345" s="79"/>
      <c r="AO2345" s="79"/>
      <c r="AP2345" s="79"/>
      <c r="AQ2345" s="79"/>
      <c r="AR2345" s="78"/>
      <c r="AS2345" s="78"/>
      <c r="AT2345" s="79"/>
      <c r="AU2345" s="79"/>
      <c r="AV2345" s="79"/>
      <c r="AW2345" s="79"/>
      <c r="AX2345" s="79"/>
      <c r="AZ2345" s="81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</row>
    <row r="2346" spans="35:68" x14ac:dyDescent="0.25">
      <c r="AI2346" s="49"/>
      <c r="AJ2346" s="78"/>
      <c r="AK2346" s="79"/>
      <c r="AL2346" s="79"/>
      <c r="AM2346" s="79"/>
      <c r="AN2346" s="79"/>
      <c r="AO2346" s="79"/>
      <c r="AP2346" s="79"/>
      <c r="AQ2346" s="79"/>
      <c r="AR2346" s="78"/>
      <c r="AS2346" s="78"/>
      <c r="AT2346" s="79"/>
      <c r="AU2346" s="79"/>
      <c r="AV2346" s="79"/>
      <c r="AW2346" s="79"/>
      <c r="AX2346" s="79"/>
      <c r="AZ2346" s="81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</row>
    <row r="2347" spans="35:68" x14ac:dyDescent="0.25">
      <c r="AI2347" s="49"/>
      <c r="AJ2347" s="78"/>
      <c r="AK2347" s="79"/>
      <c r="AL2347" s="79"/>
      <c r="AM2347" s="79"/>
      <c r="AN2347" s="79"/>
      <c r="AO2347" s="79"/>
      <c r="AP2347" s="79"/>
      <c r="AQ2347" s="79"/>
      <c r="AR2347" s="78"/>
      <c r="AS2347" s="78"/>
      <c r="AT2347" s="79"/>
      <c r="AU2347" s="79"/>
      <c r="AV2347" s="79"/>
      <c r="AW2347" s="79"/>
      <c r="AX2347" s="79"/>
      <c r="AZ2347" s="81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</row>
    <row r="2348" spans="35:68" x14ac:dyDescent="0.25">
      <c r="AI2348" s="49"/>
      <c r="AJ2348" s="78"/>
      <c r="AK2348" s="79"/>
      <c r="AL2348" s="79"/>
      <c r="AM2348" s="79"/>
      <c r="AN2348" s="79"/>
      <c r="AO2348" s="79"/>
      <c r="AP2348" s="79"/>
      <c r="AQ2348" s="79"/>
      <c r="AR2348" s="78"/>
      <c r="AS2348" s="78"/>
      <c r="AT2348" s="79"/>
      <c r="AU2348" s="79"/>
      <c r="AV2348" s="79"/>
      <c r="AW2348" s="79"/>
      <c r="AX2348" s="79"/>
      <c r="AZ2348" s="81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</row>
    <row r="2349" spans="35:68" x14ac:dyDescent="0.25">
      <c r="AI2349" s="49"/>
      <c r="AJ2349" s="78"/>
      <c r="AK2349" s="79"/>
      <c r="AL2349" s="79"/>
      <c r="AM2349" s="79"/>
      <c r="AN2349" s="79"/>
      <c r="AO2349" s="79"/>
      <c r="AP2349" s="79"/>
      <c r="AQ2349" s="79"/>
      <c r="AR2349" s="78"/>
      <c r="AS2349" s="78"/>
      <c r="AT2349" s="79"/>
      <c r="AU2349" s="79"/>
      <c r="AV2349" s="79"/>
      <c r="AW2349" s="79"/>
      <c r="AX2349" s="79"/>
      <c r="AZ2349" s="81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</row>
    <row r="2350" spans="35:68" x14ac:dyDescent="0.25">
      <c r="AI2350" s="49"/>
      <c r="AJ2350" s="78"/>
      <c r="AK2350" s="79"/>
      <c r="AL2350" s="79"/>
      <c r="AM2350" s="79"/>
      <c r="AN2350" s="79"/>
      <c r="AO2350" s="79"/>
      <c r="AP2350" s="79"/>
      <c r="AQ2350" s="79"/>
      <c r="AR2350" s="78"/>
      <c r="AS2350" s="78"/>
      <c r="AT2350" s="79"/>
      <c r="AU2350" s="79"/>
      <c r="AV2350" s="79"/>
      <c r="AW2350" s="79"/>
      <c r="AX2350" s="79"/>
      <c r="AZ2350" s="81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</row>
    <row r="2351" spans="35:68" x14ac:dyDescent="0.25">
      <c r="AI2351" s="49"/>
      <c r="AJ2351" s="78"/>
      <c r="AK2351" s="79"/>
      <c r="AL2351" s="79"/>
      <c r="AM2351" s="79"/>
      <c r="AN2351" s="79"/>
      <c r="AO2351" s="79"/>
      <c r="AP2351" s="79"/>
      <c r="AQ2351" s="79"/>
      <c r="AR2351" s="78"/>
      <c r="AS2351" s="78"/>
      <c r="AT2351" s="79"/>
      <c r="AU2351" s="79"/>
      <c r="AV2351" s="79"/>
      <c r="AW2351" s="79"/>
      <c r="AX2351" s="79"/>
      <c r="AZ2351" s="81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</row>
    <row r="2352" spans="35:68" x14ac:dyDescent="0.25">
      <c r="AI2352" s="49"/>
      <c r="AJ2352" s="78"/>
      <c r="AK2352" s="79"/>
      <c r="AL2352" s="79"/>
      <c r="AM2352" s="79"/>
      <c r="AN2352" s="79"/>
      <c r="AO2352" s="79"/>
      <c r="AP2352" s="79"/>
      <c r="AQ2352" s="79"/>
      <c r="AR2352" s="78"/>
      <c r="AS2352" s="78"/>
      <c r="AT2352" s="79"/>
      <c r="AU2352" s="79"/>
      <c r="AV2352" s="79"/>
      <c r="AW2352" s="79"/>
      <c r="AX2352" s="79"/>
      <c r="AZ2352" s="81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</row>
    <row r="2353" spans="35:68" x14ac:dyDescent="0.25">
      <c r="AI2353" s="49"/>
      <c r="AJ2353" s="78"/>
      <c r="AK2353" s="79"/>
      <c r="AL2353" s="79"/>
      <c r="AM2353" s="79"/>
      <c r="AN2353" s="79"/>
      <c r="AO2353" s="79"/>
      <c r="AP2353" s="79"/>
      <c r="AQ2353" s="79"/>
      <c r="AR2353" s="78"/>
      <c r="AS2353" s="78"/>
      <c r="AT2353" s="79"/>
      <c r="AU2353" s="79"/>
      <c r="AV2353" s="79"/>
      <c r="AW2353" s="79"/>
      <c r="AX2353" s="79"/>
      <c r="AZ2353" s="81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</row>
    <row r="2354" spans="35:68" x14ac:dyDescent="0.25">
      <c r="AI2354" s="49"/>
      <c r="AJ2354" s="78"/>
      <c r="AK2354" s="79"/>
      <c r="AL2354" s="79"/>
      <c r="AM2354" s="79"/>
      <c r="AN2354" s="79"/>
      <c r="AO2354" s="79"/>
      <c r="AP2354" s="79"/>
      <c r="AQ2354" s="79"/>
      <c r="AR2354" s="78"/>
      <c r="AS2354" s="78"/>
      <c r="AT2354" s="79"/>
      <c r="AU2354" s="79"/>
      <c r="AV2354" s="79"/>
      <c r="AW2354" s="79"/>
      <c r="AX2354" s="79"/>
      <c r="AZ2354" s="81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</row>
    <row r="2355" spans="35:68" x14ac:dyDescent="0.25">
      <c r="AI2355" s="49"/>
      <c r="AJ2355" s="78"/>
      <c r="AK2355" s="79"/>
      <c r="AL2355" s="79"/>
      <c r="AM2355" s="79"/>
      <c r="AN2355" s="79"/>
      <c r="AO2355" s="79"/>
      <c r="AP2355" s="79"/>
      <c r="AQ2355" s="79"/>
      <c r="AR2355" s="78"/>
      <c r="AS2355" s="78"/>
      <c r="AT2355" s="79"/>
      <c r="AU2355" s="79"/>
      <c r="AV2355" s="79"/>
      <c r="AW2355" s="79"/>
      <c r="AX2355" s="79"/>
      <c r="AZ2355" s="81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</row>
    <row r="2356" spans="35:68" x14ac:dyDescent="0.25">
      <c r="AI2356" s="49"/>
      <c r="AJ2356" s="78"/>
      <c r="AK2356" s="79"/>
      <c r="AL2356" s="79"/>
      <c r="AM2356" s="79"/>
      <c r="AN2356" s="79"/>
      <c r="AO2356" s="79"/>
      <c r="AP2356" s="79"/>
      <c r="AQ2356" s="79"/>
      <c r="AR2356" s="78"/>
      <c r="AS2356" s="78"/>
      <c r="AT2356" s="79"/>
      <c r="AU2356" s="79"/>
      <c r="AV2356" s="79"/>
      <c r="AW2356" s="79"/>
      <c r="AX2356" s="79"/>
      <c r="AZ2356" s="81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</row>
    <row r="2357" spans="35:68" x14ac:dyDescent="0.25">
      <c r="AI2357" s="49"/>
      <c r="AJ2357" s="78"/>
      <c r="AK2357" s="79"/>
      <c r="AL2357" s="79"/>
      <c r="AM2357" s="79"/>
      <c r="AN2357" s="79"/>
      <c r="AO2357" s="79"/>
      <c r="AP2357" s="79"/>
      <c r="AQ2357" s="79"/>
      <c r="AR2357" s="78"/>
      <c r="AS2357" s="78"/>
      <c r="AT2357" s="79"/>
      <c r="AU2357" s="79"/>
      <c r="AV2357" s="79"/>
      <c r="AW2357" s="79"/>
      <c r="AX2357" s="79"/>
      <c r="AZ2357" s="81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</row>
    <row r="2358" spans="35:68" x14ac:dyDescent="0.25">
      <c r="AI2358" s="49"/>
      <c r="AJ2358" s="78"/>
      <c r="AK2358" s="79"/>
      <c r="AL2358" s="79"/>
      <c r="AM2358" s="79"/>
      <c r="AN2358" s="79"/>
      <c r="AO2358" s="79"/>
      <c r="AP2358" s="79"/>
      <c r="AQ2358" s="79"/>
      <c r="AR2358" s="78"/>
      <c r="AS2358" s="78"/>
      <c r="AT2358" s="79"/>
      <c r="AU2358" s="79"/>
      <c r="AV2358" s="79"/>
      <c r="AW2358" s="79"/>
      <c r="AX2358" s="79"/>
      <c r="AZ2358" s="81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</row>
    <row r="2359" spans="35:68" x14ac:dyDescent="0.25">
      <c r="AI2359" s="49"/>
      <c r="AJ2359" s="78"/>
      <c r="AK2359" s="79"/>
      <c r="AL2359" s="79"/>
      <c r="AM2359" s="79"/>
      <c r="AN2359" s="79"/>
      <c r="AO2359" s="79"/>
      <c r="AP2359" s="79"/>
      <c r="AQ2359" s="79"/>
      <c r="AR2359" s="78"/>
      <c r="AS2359" s="78"/>
      <c r="AT2359" s="79"/>
      <c r="AU2359" s="79"/>
      <c r="AV2359" s="79"/>
      <c r="AW2359" s="79"/>
      <c r="AX2359" s="79"/>
      <c r="AZ2359" s="81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</row>
    <row r="2360" spans="35:68" x14ac:dyDescent="0.25">
      <c r="AI2360" s="49"/>
      <c r="AJ2360" s="78"/>
      <c r="AK2360" s="79"/>
      <c r="AL2360" s="79"/>
      <c r="AM2360" s="79"/>
      <c r="AN2360" s="79"/>
      <c r="AO2360" s="79"/>
      <c r="AP2360" s="79"/>
      <c r="AQ2360" s="79"/>
      <c r="AR2360" s="78"/>
      <c r="AS2360" s="78"/>
      <c r="AT2360" s="79"/>
      <c r="AU2360" s="79"/>
      <c r="AV2360" s="79"/>
      <c r="AW2360" s="79"/>
      <c r="AX2360" s="79"/>
      <c r="AZ2360" s="81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</row>
    <row r="2361" spans="35:68" x14ac:dyDescent="0.25">
      <c r="AI2361" s="49"/>
      <c r="AJ2361" s="78"/>
      <c r="AK2361" s="79"/>
      <c r="AL2361" s="79"/>
      <c r="AM2361" s="79"/>
      <c r="AN2361" s="79"/>
      <c r="AO2361" s="79"/>
      <c r="AP2361" s="79"/>
      <c r="AQ2361" s="79"/>
      <c r="AR2361" s="78"/>
      <c r="AS2361" s="78"/>
      <c r="AT2361" s="79"/>
      <c r="AU2361" s="79"/>
      <c r="AV2361" s="79"/>
      <c r="AW2361" s="79"/>
      <c r="AX2361" s="79"/>
      <c r="AZ2361" s="81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</row>
    <row r="2362" spans="35:68" x14ac:dyDescent="0.25">
      <c r="AI2362" s="49"/>
      <c r="AJ2362" s="78"/>
      <c r="AK2362" s="79"/>
      <c r="AL2362" s="79"/>
      <c r="AM2362" s="79"/>
      <c r="AN2362" s="79"/>
      <c r="AO2362" s="79"/>
      <c r="AP2362" s="79"/>
      <c r="AQ2362" s="79"/>
      <c r="AR2362" s="78"/>
      <c r="AS2362" s="78"/>
      <c r="AT2362" s="79"/>
      <c r="AU2362" s="79"/>
      <c r="AV2362" s="79"/>
      <c r="AW2362" s="79"/>
      <c r="AX2362" s="79"/>
      <c r="AZ2362" s="81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</row>
    <row r="2363" spans="35:68" x14ac:dyDescent="0.25">
      <c r="AI2363" s="49"/>
      <c r="AJ2363" s="78"/>
      <c r="AK2363" s="79"/>
      <c r="AL2363" s="79"/>
      <c r="AM2363" s="79"/>
      <c r="AN2363" s="79"/>
      <c r="AO2363" s="79"/>
      <c r="AP2363" s="79"/>
      <c r="AQ2363" s="79"/>
      <c r="AR2363" s="78"/>
      <c r="AS2363" s="78"/>
      <c r="AT2363" s="79"/>
      <c r="AU2363" s="79"/>
      <c r="AV2363" s="79"/>
      <c r="AW2363" s="79"/>
      <c r="AX2363" s="79"/>
      <c r="AZ2363" s="81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</row>
    <row r="2364" spans="35:68" x14ac:dyDescent="0.25">
      <c r="AI2364" s="49"/>
      <c r="AJ2364" s="78"/>
      <c r="AK2364" s="79"/>
      <c r="AL2364" s="79"/>
      <c r="AM2364" s="79"/>
      <c r="AN2364" s="79"/>
      <c r="AO2364" s="79"/>
      <c r="AP2364" s="79"/>
      <c r="AQ2364" s="79"/>
      <c r="AR2364" s="78"/>
      <c r="AS2364" s="78"/>
      <c r="AT2364" s="79"/>
      <c r="AU2364" s="79"/>
      <c r="AV2364" s="79"/>
      <c r="AW2364" s="79"/>
      <c r="AX2364" s="79"/>
      <c r="AZ2364" s="81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</row>
    <row r="2365" spans="35:68" x14ac:dyDescent="0.25">
      <c r="AI2365" s="49"/>
      <c r="AJ2365" s="78"/>
      <c r="AK2365" s="79"/>
      <c r="AL2365" s="79"/>
      <c r="AM2365" s="79"/>
      <c r="AN2365" s="79"/>
      <c r="AO2365" s="79"/>
      <c r="AP2365" s="79"/>
      <c r="AQ2365" s="79"/>
      <c r="AR2365" s="78"/>
      <c r="AS2365" s="78"/>
      <c r="AT2365" s="79"/>
      <c r="AU2365" s="79"/>
      <c r="AV2365" s="79"/>
      <c r="AW2365" s="79"/>
      <c r="AX2365" s="79"/>
      <c r="AZ2365" s="81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</row>
    <row r="2366" spans="35:68" x14ac:dyDescent="0.25">
      <c r="AI2366" s="49"/>
      <c r="AJ2366" s="78"/>
      <c r="AK2366" s="79"/>
      <c r="AL2366" s="79"/>
      <c r="AM2366" s="79"/>
      <c r="AN2366" s="79"/>
      <c r="AO2366" s="79"/>
      <c r="AP2366" s="79"/>
      <c r="AQ2366" s="79"/>
      <c r="AR2366" s="78"/>
      <c r="AS2366" s="78"/>
      <c r="AT2366" s="79"/>
      <c r="AU2366" s="79"/>
      <c r="AV2366" s="79"/>
      <c r="AW2366" s="79"/>
      <c r="AX2366" s="79"/>
      <c r="AZ2366" s="81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</row>
    <row r="2367" spans="35:68" x14ac:dyDescent="0.25">
      <c r="AI2367" s="49"/>
      <c r="AJ2367" s="78"/>
      <c r="AK2367" s="79"/>
      <c r="AL2367" s="79"/>
      <c r="AM2367" s="79"/>
      <c r="AN2367" s="79"/>
      <c r="AO2367" s="79"/>
      <c r="AP2367" s="79"/>
      <c r="AQ2367" s="79"/>
      <c r="AR2367" s="78"/>
      <c r="AS2367" s="78"/>
      <c r="AT2367" s="79"/>
      <c r="AU2367" s="79"/>
      <c r="AV2367" s="79"/>
      <c r="AW2367" s="79"/>
      <c r="AX2367" s="79"/>
      <c r="AZ2367" s="81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</row>
    <row r="2368" spans="35:68" x14ac:dyDescent="0.25">
      <c r="AI2368" s="49"/>
      <c r="AJ2368" s="78"/>
      <c r="AK2368" s="79"/>
      <c r="AL2368" s="79"/>
      <c r="AM2368" s="79"/>
      <c r="AN2368" s="79"/>
      <c r="AO2368" s="79"/>
      <c r="AP2368" s="79"/>
      <c r="AQ2368" s="79"/>
      <c r="AR2368" s="78"/>
      <c r="AS2368" s="78"/>
      <c r="AT2368" s="79"/>
      <c r="AU2368" s="79"/>
      <c r="AV2368" s="79"/>
      <c r="AW2368" s="79"/>
      <c r="AX2368" s="79"/>
      <c r="AZ2368" s="81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</row>
    <row r="2369" spans="35:68" x14ac:dyDescent="0.25">
      <c r="AI2369" s="49"/>
      <c r="AJ2369" s="78"/>
      <c r="AK2369" s="79"/>
      <c r="AL2369" s="79"/>
      <c r="AM2369" s="79"/>
      <c r="AN2369" s="79"/>
      <c r="AO2369" s="79"/>
      <c r="AP2369" s="79"/>
      <c r="AQ2369" s="79"/>
      <c r="AR2369" s="78"/>
      <c r="AS2369" s="78"/>
      <c r="AT2369" s="79"/>
      <c r="AU2369" s="79"/>
      <c r="AV2369" s="79"/>
      <c r="AW2369" s="79"/>
      <c r="AX2369" s="79"/>
      <c r="AZ2369" s="81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</row>
    <row r="2370" spans="35:68" x14ac:dyDescent="0.25">
      <c r="AI2370" s="49"/>
      <c r="AJ2370" s="78"/>
      <c r="AK2370" s="79"/>
      <c r="AL2370" s="79"/>
      <c r="AM2370" s="79"/>
      <c r="AN2370" s="79"/>
      <c r="AO2370" s="79"/>
      <c r="AP2370" s="79"/>
      <c r="AQ2370" s="79"/>
      <c r="AR2370" s="78"/>
      <c r="AS2370" s="78"/>
      <c r="AT2370" s="79"/>
      <c r="AU2370" s="79"/>
      <c r="AV2370" s="79"/>
      <c r="AW2370" s="79"/>
      <c r="AX2370" s="79"/>
      <c r="AZ2370" s="81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</row>
    <row r="2371" spans="35:68" x14ac:dyDescent="0.25">
      <c r="AI2371" s="49"/>
      <c r="AJ2371" s="78"/>
      <c r="AK2371" s="79"/>
      <c r="AL2371" s="79"/>
      <c r="AM2371" s="79"/>
      <c r="AN2371" s="79"/>
      <c r="AO2371" s="79"/>
      <c r="AP2371" s="79"/>
      <c r="AQ2371" s="79"/>
      <c r="AR2371" s="78"/>
      <c r="AS2371" s="78"/>
      <c r="AT2371" s="79"/>
      <c r="AU2371" s="79"/>
      <c r="AV2371" s="79"/>
      <c r="AW2371" s="79"/>
      <c r="AX2371" s="79"/>
      <c r="AZ2371" s="81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</row>
    <row r="2372" spans="35:68" x14ac:dyDescent="0.25">
      <c r="AI2372" s="49"/>
      <c r="AJ2372" s="78"/>
      <c r="AK2372" s="79"/>
      <c r="AL2372" s="79"/>
      <c r="AM2372" s="79"/>
      <c r="AN2372" s="79"/>
      <c r="AO2372" s="79"/>
      <c r="AP2372" s="79"/>
      <c r="AQ2372" s="79"/>
      <c r="AR2372" s="78"/>
      <c r="AS2372" s="78"/>
      <c r="AT2372" s="79"/>
      <c r="AU2372" s="79"/>
      <c r="AV2372" s="79"/>
      <c r="AW2372" s="79"/>
      <c r="AX2372" s="79"/>
      <c r="AZ2372" s="81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</row>
    <row r="2373" spans="35:68" x14ac:dyDescent="0.25">
      <c r="AI2373" s="49"/>
      <c r="AJ2373" s="78"/>
      <c r="AK2373" s="79"/>
      <c r="AL2373" s="79"/>
      <c r="AM2373" s="79"/>
      <c r="AN2373" s="79"/>
      <c r="AO2373" s="79"/>
      <c r="AP2373" s="79"/>
      <c r="AQ2373" s="79"/>
      <c r="AR2373" s="78"/>
      <c r="AS2373" s="78"/>
      <c r="AT2373" s="79"/>
      <c r="AU2373" s="79"/>
      <c r="AV2373" s="79"/>
      <c r="AW2373" s="79"/>
      <c r="AX2373" s="79"/>
      <c r="AZ2373" s="81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</row>
    <row r="2374" spans="35:68" x14ac:dyDescent="0.25">
      <c r="AI2374" s="49"/>
      <c r="AJ2374" s="78"/>
      <c r="AK2374" s="79"/>
      <c r="AL2374" s="79"/>
      <c r="AM2374" s="79"/>
      <c r="AN2374" s="79"/>
      <c r="AO2374" s="79"/>
      <c r="AP2374" s="79"/>
      <c r="AQ2374" s="79"/>
      <c r="AR2374" s="78"/>
      <c r="AS2374" s="78"/>
      <c r="AT2374" s="79"/>
      <c r="AU2374" s="79"/>
      <c r="AV2374" s="79"/>
      <c r="AW2374" s="79"/>
      <c r="AX2374" s="79"/>
      <c r="AZ2374" s="81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</row>
    <row r="2375" spans="35:68" x14ac:dyDescent="0.25">
      <c r="AI2375" s="49"/>
      <c r="AJ2375" s="78"/>
      <c r="AK2375" s="79"/>
      <c r="AL2375" s="79"/>
      <c r="AM2375" s="79"/>
      <c r="AN2375" s="79"/>
      <c r="AO2375" s="79"/>
      <c r="AP2375" s="79"/>
      <c r="AQ2375" s="79"/>
      <c r="AR2375" s="78"/>
      <c r="AS2375" s="78"/>
      <c r="AT2375" s="79"/>
      <c r="AU2375" s="79"/>
      <c r="AV2375" s="79"/>
      <c r="AW2375" s="79"/>
      <c r="AX2375" s="79"/>
      <c r="AZ2375" s="81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</row>
    <row r="2376" spans="35:68" x14ac:dyDescent="0.25">
      <c r="AI2376" s="49"/>
      <c r="AJ2376" s="78"/>
      <c r="AK2376" s="79"/>
      <c r="AL2376" s="79"/>
      <c r="AM2376" s="79"/>
      <c r="AN2376" s="79"/>
      <c r="AO2376" s="79"/>
      <c r="AP2376" s="79"/>
      <c r="AQ2376" s="79"/>
      <c r="AR2376" s="78"/>
      <c r="AS2376" s="78"/>
      <c r="AT2376" s="79"/>
      <c r="AU2376" s="79"/>
      <c r="AV2376" s="79"/>
      <c r="AW2376" s="79"/>
      <c r="AX2376" s="79"/>
      <c r="AZ2376" s="81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</row>
    <row r="2377" spans="35:68" x14ac:dyDescent="0.25">
      <c r="AI2377" s="49"/>
      <c r="AJ2377" s="78"/>
      <c r="AK2377" s="79"/>
      <c r="AL2377" s="79"/>
      <c r="AM2377" s="79"/>
      <c r="AN2377" s="79"/>
      <c r="AO2377" s="79"/>
      <c r="AP2377" s="79"/>
      <c r="AQ2377" s="79"/>
      <c r="AR2377" s="78"/>
      <c r="AS2377" s="78"/>
      <c r="AT2377" s="79"/>
      <c r="AU2377" s="79"/>
      <c r="AV2377" s="79"/>
      <c r="AW2377" s="79"/>
      <c r="AX2377" s="79"/>
      <c r="AZ2377" s="81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</row>
    <row r="2378" spans="35:68" x14ac:dyDescent="0.25">
      <c r="AI2378" s="49"/>
      <c r="AJ2378" s="78"/>
      <c r="AK2378" s="79"/>
      <c r="AL2378" s="79"/>
      <c r="AM2378" s="79"/>
      <c r="AN2378" s="79"/>
      <c r="AO2378" s="79"/>
      <c r="AP2378" s="79"/>
      <c r="AQ2378" s="79"/>
      <c r="AR2378" s="78"/>
      <c r="AS2378" s="78"/>
      <c r="AT2378" s="79"/>
      <c r="AU2378" s="79"/>
      <c r="AV2378" s="79"/>
      <c r="AW2378" s="79"/>
      <c r="AX2378" s="79"/>
      <c r="AZ2378" s="81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</row>
    <row r="2379" spans="35:68" x14ac:dyDescent="0.25">
      <c r="AI2379" s="49"/>
      <c r="AJ2379" s="78"/>
      <c r="AK2379" s="79"/>
      <c r="AL2379" s="79"/>
      <c r="AM2379" s="79"/>
      <c r="AN2379" s="79"/>
      <c r="AO2379" s="79"/>
      <c r="AP2379" s="79"/>
      <c r="AQ2379" s="79"/>
      <c r="AR2379" s="78"/>
      <c r="AS2379" s="78"/>
      <c r="AT2379" s="79"/>
      <c r="AU2379" s="79"/>
      <c r="AV2379" s="79"/>
      <c r="AW2379" s="79"/>
      <c r="AX2379" s="79"/>
      <c r="AZ2379" s="81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</row>
    <row r="2380" spans="35:68" x14ac:dyDescent="0.25">
      <c r="AI2380" s="49"/>
      <c r="AJ2380" s="78"/>
      <c r="AK2380" s="79"/>
      <c r="AL2380" s="79"/>
      <c r="AM2380" s="79"/>
      <c r="AN2380" s="79"/>
      <c r="AO2380" s="79"/>
      <c r="AP2380" s="79"/>
      <c r="AQ2380" s="79"/>
      <c r="AR2380" s="78"/>
      <c r="AS2380" s="78"/>
      <c r="AT2380" s="79"/>
      <c r="AU2380" s="79"/>
      <c r="AV2380" s="79"/>
      <c r="AW2380" s="79"/>
      <c r="AX2380" s="79"/>
      <c r="AZ2380" s="81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</row>
    <row r="2381" spans="35:68" x14ac:dyDescent="0.25">
      <c r="AI2381" s="49"/>
      <c r="AJ2381" s="78"/>
      <c r="AK2381" s="79"/>
      <c r="AL2381" s="79"/>
      <c r="AM2381" s="79"/>
      <c r="AN2381" s="79"/>
      <c r="AO2381" s="79"/>
      <c r="AP2381" s="79"/>
      <c r="AQ2381" s="79"/>
      <c r="AR2381" s="78"/>
      <c r="AS2381" s="78"/>
      <c r="AT2381" s="79"/>
      <c r="AU2381" s="79"/>
      <c r="AV2381" s="79"/>
      <c r="AW2381" s="79"/>
      <c r="AX2381" s="79"/>
      <c r="AZ2381" s="81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</row>
    <row r="2382" spans="35:68" x14ac:dyDescent="0.25">
      <c r="AI2382" s="49"/>
      <c r="AJ2382" s="78"/>
      <c r="AK2382" s="79"/>
      <c r="AL2382" s="79"/>
      <c r="AM2382" s="79"/>
      <c r="AN2382" s="79"/>
      <c r="AO2382" s="79"/>
      <c r="AP2382" s="79"/>
      <c r="AQ2382" s="79"/>
      <c r="AR2382" s="78"/>
      <c r="AS2382" s="78"/>
      <c r="AT2382" s="79"/>
      <c r="AU2382" s="79"/>
      <c r="AV2382" s="79"/>
      <c r="AW2382" s="79"/>
      <c r="AX2382" s="79"/>
      <c r="AZ2382" s="81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</row>
    <row r="2383" spans="35:68" x14ac:dyDescent="0.25">
      <c r="AI2383" s="49"/>
      <c r="AJ2383" s="78"/>
      <c r="AK2383" s="79"/>
      <c r="AL2383" s="79"/>
      <c r="AM2383" s="79"/>
      <c r="AN2383" s="79"/>
      <c r="AO2383" s="79"/>
      <c r="AP2383" s="79"/>
      <c r="AQ2383" s="79"/>
      <c r="AR2383" s="78"/>
      <c r="AS2383" s="78"/>
      <c r="AT2383" s="79"/>
      <c r="AU2383" s="79"/>
      <c r="AV2383" s="79"/>
      <c r="AW2383" s="79"/>
      <c r="AX2383" s="79"/>
      <c r="AZ2383" s="81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</row>
    <row r="2384" spans="35:68" x14ac:dyDescent="0.25">
      <c r="AI2384" s="49"/>
      <c r="AJ2384" s="78"/>
      <c r="AK2384" s="79"/>
      <c r="AL2384" s="79"/>
      <c r="AM2384" s="79"/>
      <c r="AN2384" s="79"/>
      <c r="AO2384" s="79"/>
      <c r="AP2384" s="79"/>
      <c r="AQ2384" s="79"/>
      <c r="AR2384" s="78"/>
      <c r="AS2384" s="78"/>
      <c r="AT2384" s="79"/>
      <c r="AU2384" s="79"/>
      <c r="AV2384" s="79"/>
      <c r="AW2384" s="79"/>
      <c r="AX2384" s="79"/>
      <c r="AZ2384" s="81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</row>
    <row r="2385" spans="35:68" x14ac:dyDescent="0.25">
      <c r="AI2385" s="49"/>
      <c r="AJ2385" s="78"/>
      <c r="AK2385" s="79"/>
      <c r="AL2385" s="79"/>
      <c r="AM2385" s="79"/>
      <c r="AN2385" s="79"/>
      <c r="AO2385" s="79"/>
      <c r="AP2385" s="79"/>
      <c r="AQ2385" s="79"/>
      <c r="AR2385" s="78"/>
      <c r="AS2385" s="78"/>
      <c r="AT2385" s="79"/>
      <c r="AU2385" s="79"/>
      <c r="AV2385" s="79"/>
      <c r="AW2385" s="79"/>
      <c r="AX2385" s="79"/>
      <c r="AZ2385" s="81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</row>
    <row r="2386" spans="35:68" x14ac:dyDescent="0.25">
      <c r="AI2386" s="49"/>
      <c r="AJ2386" s="78"/>
      <c r="AK2386" s="79"/>
      <c r="AL2386" s="79"/>
      <c r="AM2386" s="79"/>
      <c r="AN2386" s="79"/>
      <c r="AO2386" s="79"/>
      <c r="AP2386" s="79"/>
      <c r="AQ2386" s="79"/>
      <c r="AR2386" s="78"/>
      <c r="AS2386" s="78"/>
      <c r="AT2386" s="79"/>
      <c r="AU2386" s="79"/>
      <c r="AV2386" s="79"/>
      <c r="AW2386" s="79"/>
      <c r="AX2386" s="79"/>
      <c r="AZ2386" s="81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</row>
    <row r="2387" spans="35:68" x14ac:dyDescent="0.25">
      <c r="AI2387" s="49"/>
      <c r="AJ2387" s="78"/>
      <c r="AK2387" s="79"/>
      <c r="AL2387" s="79"/>
      <c r="AM2387" s="79"/>
      <c r="AN2387" s="79"/>
      <c r="AO2387" s="79"/>
      <c r="AP2387" s="79"/>
      <c r="AQ2387" s="79"/>
      <c r="AR2387" s="78"/>
      <c r="AS2387" s="78"/>
      <c r="AT2387" s="79"/>
      <c r="AU2387" s="79"/>
      <c r="AV2387" s="79"/>
      <c r="AW2387" s="79"/>
      <c r="AX2387" s="79"/>
      <c r="AZ2387" s="81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</row>
    <row r="2388" spans="35:68" x14ac:dyDescent="0.25">
      <c r="AI2388" s="49"/>
      <c r="AJ2388" s="78"/>
      <c r="AK2388" s="79"/>
      <c r="AL2388" s="79"/>
      <c r="AM2388" s="79"/>
      <c r="AN2388" s="79"/>
      <c r="AO2388" s="79"/>
      <c r="AP2388" s="79"/>
      <c r="AQ2388" s="79"/>
      <c r="AR2388" s="78"/>
      <c r="AS2388" s="78"/>
      <c r="AT2388" s="79"/>
      <c r="AU2388" s="79"/>
      <c r="AV2388" s="79"/>
      <c r="AW2388" s="79"/>
      <c r="AX2388" s="79"/>
      <c r="AZ2388" s="81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</row>
    <row r="2389" spans="35:68" x14ac:dyDescent="0.25">
      <c r="AI2389" s="49"/>
      <c r="AJ2389" s="78"/>
      <c r="AK2389" s="79"/>
      <c r="AL2389" s="79"/>
      <c r="AM2389" s="79"/>
      <c r="AN2389" s="79"/>
      <c r="AO2389" s="79"/>
      <c r="AP2389" s="79"/>
      <c r="AQ2389" s="79"/>
      <c r="AR2389" s="78"/>
      <c r="AS2389" s="78"/>
      <c r="AT2389" s="79"/>
      <c r="AU2389" s="79"/>
      <c r="AV2389" s="79"/>
      <c r="AW2389" s="79"/>
      <c r="AX2389" s="79"/>
      <c r="AZ2389" s="81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</row>
    <row r="2390" spans="35:68" x14ac:dyDescent="0.25">
      <c r="AI2390" s="49"/>
      <c r="AJ2390" s="78"/>
      <c r="AK2390" s="79"/>
      <c r="AL2390" s="79"/>
      <c r="AM2390" s="79"/>
      <c r="AN2390" s="79"/>
      <c r="AO2390" s="79"/>
      <c r="AP2390" s="79"/>
      <c r="AQ2390" s="79"/>
      <c r="AR2390" s="78"/>
      <c r="AS2390" s="78"/>
      <c r="AT2390" s="79"/>
      <c r="AU2390" s="79"/>
      <c r="AV2390" s="79"/>
      <c r="AW2390" s="79"/>
      <c r="AX2390" s="79"/>
      <c r="AZ2390" s="81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</row>
    <row r="2391" spans="35:68" x14ac:dyDescent="0.25">
      <c r="AI2391" s="49"/>
      <c r="AJ2391" s="78"/>
      <c r="AK2391" s="79"/>
      <c r="AL2391" s="79"/>
      <c r="AM2391" s="79"/>
      <c r="AN2391" s="79"/>
      <c r="AO2391" s="79"/>
      <c r="AP2391" s="79"/>
      <c r="AQ2391" s="79"/>
      <c r="AR2391" s="78"/>
      <c r="AS2391" s="78"/>
      <c r="AT2391" s="79"/>
      <c r="AU2391" s="79"/>
      <c r="AV2391" s="79"/>
      <c r="AW2391" s="79"/>
      <c r="AX2391" s="79"/>
      <c r="AZ2391" s="81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</row>
    <row r="2392" spans="35:68" x14ac:dyDescent="0.25">
      <c r="AI2392" s="49"/>
      <c r="AJ2392" s="78"/>
      <c r="AK2392" s="79"/>
      <c r="AL2392" s="79"/>
      <c r="AM2392" s="79"/>
      <c r="AN2392" s="79"/>
      <c r="AO2392" s="79"/>
      <c r="AP2392" s="79"/>
      <c r="AQ2392" s="79"/>
      <c r="AR2392" s="78"/>
      <c r="AS2392" s="78"/>
      <c r="AT2392" s="79"/>
      <c r="AU2392" s="79"/>
      <c r="AV2392" s="79"/>
      <c r="AW2392" s="79"/>
      <c r="AX2392" s="79"/>
      <c r="AZ2392" s="81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</row>
    <row r="2393" spans="35:68" x14ac:dyDescent="0.25">
      <c r="AI2393" s="49"/>
      <c r="AJ2393" s="78"/>
      <c r="AK2393" s="79"/>
      <c r="AL2393" s="79"/>
      <c r="AM2393" s="79"/>
      <c r="AN2393" s="79"/>
      <c r="AO2393" s="79"/>
      <c r="AP2393" s="79"/>
      <c r="AQ2393" s="79"/>
      <c r="AR2393" s="78"/>
      <c r="AS2393" s="78"/>
      <c r="AT2393" s="79"/>
      <c r="AU2393" s="79"/>
      <c r="AV2393" s="79"/>
      <c r="AW2393" s="79"/>
      <c r="AX2393" s="79"/>
      <c r="AZ2393" s="81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</row>
    <row r="2394" spans="35:68" x14ac:dyDescent="0.25">
      <c r="AI2394" s="49"/>
      <c r="AJ2394" s="78"/>
      <c r="AK2394" s="79"/>
      <c r="AL2394" s="79"/>
      <c r="AM2394" s="79"/>
      <c r="AN2394" s="79"/>
      <c r="AO2394" s="79"/>
      <c r="AP2394" s="79"/>
      <c r="AQ2394" s="79"/>
      <c r="AR2394" s="78"/>
      <c r="AS2394" s="78"/>
      <c r="AT2394" s="79"/>
      <c r="AU2394" s="79"/>
      <c r="AV2394" s="79"/>
      <c r="AW2394" s="79"/>
      <c r="AX2394" s="79"/>
      <c r="AZ2394" s="81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</row>
    <row r="2395" spans="35:68" x14ac:dyDescent="0.25">
      <c r="AI2395" s="49"/>
      <c r="AJ2395" s="78"/>
      <c r="AK2395" s="79"/>
      <c r="AL2395" s="79"/>
      <c r="AM2395" s="79"/>
      <c r="AN2395" s="79"/>
      <c r="AO2395" s="79"/>
      <c r="AP2395" s="79"/>
      <c r="AQ2395" s="79"/>
      <c r="AR2395" s="78"/>
      <c r="AS2395" s="78"/>
      <c r="AT2395" s="79"/>
      <c r="AU2395" s="79"/>
      <c r="AV2395" s="79"/>
      <c r="AW2395" s="79"/>
      <c r="AX2395" s="79"/>
      <c r="AZ2395" s="81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</row>
    <row r="2396" spans="35:68" x14ac:dyDescent="0.25">
      <c r="AI2396" s="49"/>
      <c r="AJ2396" s="78"/>
      <c r="AK2396" s="79"/>
      <c r="AL2396" s="79"/>
      <c r="AM2396" s="79"/>
      <c r="AN2396" s="79"/>
      <c r="AO2396" s="79"/>
      <c r="AP2396" s="79"/>
      <c r="AQ2396" s="79"/>
      <c r="AR2396" s="78"/>
      <c r="AS2396" s="78"/>
      <c r="AT2396" s="79"/>
      <c r="AU2396" s="79"/>
      <c r="AV2396" s="79"/>
      <c r="AW2396" s="79"/>
      <c r="AX2396" s="79"/>
      <c r="AZ2396" s="81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</row>
    <row r="2397" spans="35:68" x14ac:dyDescent="0.25">
      <c r="AI2397" s="49"/>
      <c r="AJ2397" s="78"/>
      <c r="AK2397" s="79"/>
      <c r="AL2397" s="79"/>
      <c r="AM2397" s="79"/>
      <c r="AN2397" s="79"/>
      <c r="AO2397" s="79"/>
      <c r="AP2397" s="79"/>
      <c r="AQ2397" s="79"/>
      <c r="AR2397" s="78"/>
      <c r="AS2397" s="78"/>
      <c r="AT2397" s="79"/>
      <c r="AU2397" s="79"/>
      <c r="AV2397" s="79"/>
      <c r="AW2397" s="79"/>
      <c r="AX2397" s="79"/>
      <c r="AZ2397" s="81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</row>
    <row r="2398" spans="35:68" x14ac:dyDescent="0.25">
      <c r="AI2398" s="49"/>
      <c r="AJ2398" s="78"/>
      <c r="AK2398" s="79"/>
      <c r="AL2398" s="79"/>
      <c r="AM2398" s="79"/>
      <c r="AN2398" s="79"/>
      <c r="AO2398" s="79"/>
      <c r="AP2398" s="79"/>
      <c r="AQ2398" s="79"/>
      <c r="AR2398" s="78"/>
      <c r="AS2398" s="78"/>
      <c r="AT2398" s="79"/>
      <c r="AU2398" s="79"/>
      <c r="AV2398" s="79"/>
      <c r="AW2398" s="79"/>
      <c r="AX2398" s="79"/>
      <c r="AZ2398" s="81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</row>
    <row r="2399" spans="35:68" x14ac:dyDescent="0.25">
      <c r="AI2399" s="49"/>
      <c r="AJ2399" s="78"/>
      <c r="AK2399" s="79"/>
      <c r="AL2399" s="79"/>
      <c r="AM2399" s="79"/>
      <c r="AN2399" s="79"/>
      <c r="AO2399" s="79"/>
      <c r="AP2399" s="79"/>
      <c r="AQ2399" s="79"/>
      <c r="AR2399" s="78"/>
      <c r="AS2399" s="78"/>
      <c r="AT2399" s="79"/>
      <c r="AU2399" s="79"/>
      <c r="AV2399" s="79"/>
      <c r="AW2399" s="79"/>
      <c r="AX2399" s="79"/>
      <c r="AZ2399" s="81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</row>
    <row r="2400" spans="35:68" x14ac:dyDescent="0.25">
      <c r="AI2400" s="49"/>
      <c r="AJ2400" s="78"/>
      <c r="AK2400" s="79"/>
      <c r="AL2400" s="79"/>
      <c r="AM2400" s="79"/>
      <c r="AN2400" s="79"/>
      <c r="AO2400" s="79"/>
      <c r="AP2400" s="79"/>
      <c r="AQ2400" s="79"/>
      <c r="AR2400" s="78"/>
      <c r="AS2400" s="78"/>
      <c r="AT2400" s="79"/>
      <c r="AU2400" s="79"/>
      <c r="AV2400" s="79"/>
      <c r="AW2400" s="79"/>
      <c r="AX2400" s="79"/>
      <c r="AZ2400" s="81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</row>
    <row r="2401" spans="35:68" x14ac:dyDescent="0.25">
      <c r="AI2401" s="49"/>
      <c r="AJ2401" s="78"/>
      <c r="AK2401" s="79"/>
      <c r="AL2401" s="79"/>
      <c r="AM2401" s="79"/>
      <c r="AN2401" s="79"/>
      <c r="AO2401" s="79"/>
      <c r="AP2401" s="79"/>
      <c r="AQ2401" s="79"/>
      <c r="AR2401" s="78"/>
      <c r="AS2401" s="78"/>
      <c r="AT2401" s="79"/>
      <c r="AU2401" s="79"/>
      <c r="AV2401" s="79"/>
      <c r="AW2401" s="79"/>
      <c r="AX2401" s="79"/>
      <c r="AZ2401" s="81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</row>
    <row r="2402" spans="35:68" x14ac:dyDescent="0.25">
      <c r="AI2402" s="49"/>
      <c r="AJ2402" s="78"/>
      <c r="AK2402" s="79"/>
      <c r="AL2402" s="79"/>
      <c r="AM2402" s="79"/>
      <c r="AN2402" s="79"/>
      <c r="AO2402" s="79"/>
      <c r="AP2402" s="79"/>
      <c r="AQ2402" s="79"/>
      <c r="AR2402" s="78"/>
      <c r="AS2402" s="78"/>
      <c r="AT2402" s="79"/>
      <c r="AU2402" s="79"/>
      <c r="AV2402" s="79"/>
      <c r="AW2402" s="79"/>
      <c r="AX2402" s="79"/>
      <c r="AZ2402" s="81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</row>
    <row r="2403" spans="35:68" x14ac:dyDescent="0.25">
      <c r="AI2403" s="49"/>
      <c r="AJ2403" s="78"/>
      <c r="AK2403" s="79"/>
      <c r="AL2403" s="79"/>
      <c r="AM2403" s="79"/>
      <c r="AN2403" s="79"/>
      <c r="AO2403" s="79"/>
      <c r="AP2403" s="79"/>
      <c r="AQ2403" s="79"/>
      <c r="AR2403" s="78"/>
      <c r="AS2403" s="78"/>
      <c r="AT2403" s="79"/>
      <c r="AU2403" s="79"/>
      <c r="AV2403" s="79"/>
      <c r="AW2403" s="79"/>
      <c r="AX2403" s="79"/>
      <c r="AZ2403" s="81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</row>
    <row r="2404" spans="35:68" x14ac:dyDescent="0.25">
      <c r="AI2404" s="49"/>
      <c r="AJ2404" s="78"/>
      <c r="AK2404" s="79"/>
      <c r="AL2404" s="79"/>
      <c r="AM2404" s="79"/>
      <c r="AN2404" s="79"/>
      <c r="AO2404" s="79"/>
      <c r="AP2404" s="79"/>
      <c r="AQ2404" s="79"/>
      <c r="AR2404" s="78"/>
      <c r="AS2404" s="78"/>
      <c r="AT2404" s="79"/>
      <c r="AU2404" s="79"/>
      <c r="AV2404" s="79"/>
      <c r="AW2404" s="79"/>
      <c r="AX2404" s="79"/>
      <c r="AZ2404" s="81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</row>
    <row r="2405" spans="35:68" x14ac:dyDescent="0.25">
      <c r="AI2405" s="49"/>
      <c r="AJ2405" s="78"/>
      <c r="AK2405" s="79"/>
      <c r="AL2405" s="79"/>
      <c r="AM2405" s="79"/>
      <c r="AN2405" s="79"/>
      <c r="AO2405" s="79"/>
      <c r="AP2405" s="79"/>
      <c r="AQ2405" s="79"/>
      <c r="AR2405" s="78"/>
      <c r="AS2405" s="78"/>
      <c r="AT2405" s="79"/>
      <c r="AU2405" s="79"/>
      <c r="AV2405" s="79"/>
      <c r="AW2405" s="79"/>
      <c r="AX2405" s="79"/>
      <c r="AZ2405" s="81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</row>
    <row r="2406" spans="35:68" x14ac:dyDescent="0.25">
      <c r="AI2406" s="49"/>
      <c r="AJ2406" s="78"/>
      <c r="AK2406" s="79"/>
      <c r="AL2406" s="79"/>
      <c r="AM2406" s="79"/>
      <c r="AN2406" s="79"/>
      <c r="AO2406" s="79"/>
      <c r="AP2406" s="79"/>
      <c r="AQ2406" s="79"/>
      <c r="AR2406" s="78"/>
      <c r="AS2406" s="78"/>
      <c r="AT2406" s="79"/>
      <c r="AU2406" s="79"/>
      <c r="AV2406" s="79"/>
      <c r="AW2406" s="79"/>
      <c r="AX2406" s="79"/>
      <c r="AZ2406" s="81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</row>
    <row r="2407" spans="35:68" x14ac:dyDescent="0.25">
      <c r="AI2407" s="49"/>
      <c r="AJ2407" s="78"/>
      <c r="AK2407" s="79"/>
      <c r="AL2407" s="79"/>
      <c r="AM2407" s="79"/>
      <c r="AN2407" s="79"/>
      <c r="AO2407" s="79"/>
      <c r="AP2407" s="79"/>
      <c r="AQ2407" s="79"/>
      <c r="AR2407" s="78"/>
      <c r="AS2407" s="78"/>
      <c r="AT2407" s="79"/>
      <c r="AU2407" s="79"/>
      <c r="AV2407" s="79"/>
      <c r="AW2407" s="79"/>
      <c r="AX2407" s="79"/>
      <c r="AZ2407" s="81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</row>
    <row r="2408" spans="35:68" x14ac:dyDescent="0.25">
      <c r="AI2408" s="49"/>
      <c r="AJ2408" s="78"/>
      <c r="AK2408" s="79"/>
      <c r="AL2408" s="79"/>
      <c r="AM2408" s="79"/>
      <c r="AN2408" s="79"/>
      <c r="AO2408" s="79"/>
      <c r="AP2408" s="79"/>
      <c r="AQ2408" s="79"/>
      <c r="AR2408" s="78"/>
      <c r="AS2408" s="78"/>
      <c r="AT2408" s="79"/>
      <c r="AU2408" s="79"/>
      <c r="AV2408" s="79"/>
      <c r="AW2408" s="79"/>
      <c r="AX2408" s="79"/>
      <c r="AZ2408" s="81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</row>
    <row r="2409" spans="35:68" x14ac:dyDescent="0.25">
      <c r="AI2409" s="49"/>
      <c r="AJ2409" s="78"/>
      <c r="AK2409" s="79"/>
      <c r="AL2409" s="79"/>
      <c r="AM2409" s="79"/>
      <c r="AN2409" s="79"/>
      <c r="AO2409" s="79"/>
      <c r="AP2409" s="79"/>
      <c r="AQ2409" s="79"/>
      <c r="AR2409" s="78"/>
      <c r="AS2409" s="78"/>
      <c r="AT2409" s="79"/>
      <c r="AU2409" s="79"/>
      <c r="AV2409" s="79"/>
      <c r="AW2409" s="79"/>
      <c r="AX2409" s="79"/>
      <c r="AZ2409" s="81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</row>
    <row r="2410" spans="35:68" x14ac:dyDescent="0.25">
      <c r="AI2410" s="49"/>
      <c r="AJ2410" s="78"/>
      <c r="AK2410" s="79"/>
      <c r="AL2410" s="79"/>
      <c r="AM2410" s="79"/>
      <c r="AN2410" s="79"/>
      <c r="AO2410" s="79"/>
      <c r="AP2410" s="79"/>
      <c r="AQ2410" s="79"/>
      <c r="AR2410" s="78"/>
      <c r="AS2410" s="78"/>
      <c r="AT2410" s="79"/>
      <c r="AU2410" s="79"/>
      <c r="AV2410" s="79"/>
      <c r="AW2410" s="79"/>
      <c r="AX2410" s="79"/>
      <c r="AZ2410" s="81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</row>
    <row r="2411" spans="35:68" x14ac:dyDescent="0.25">
      <c r="AI2411" s="49"/>
      <c r="AJ2411" s="78"/>
      <c r="AK2411" s="79"/>
      <c r="AL2411" s="79"/>
      <c r="AM2411" s="79"/>
      <c r="AN2411" s="79"/>
      <c r="AO2411" s="79"/>
      <c r="AP2411" s="79"/>
      <c r="AQ2411" s="79"/>
      <c r="AR2411" s="78"/>
      <c r="AS2411" s="78"/>
      <c r="AT2411" s="79"/>
      <c r="AU2411" s="79"/>
      <c r="AV2411" s="79"/>
      <c r="AW2411" s="79"/>
      <c r="AX2411" s="79"/>
      <c r="AZ2411" s="81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</row>
    <row r="2412" spans="35:68" x14ac:dyDescent="0.25">
      <c r="AI2412" s="49"/>
      <c r="AJ2412" s="78"/>
      <c r="AK2412" s="79"/>
      <c r="AL2412" s="79"/>
      <c r="AM2412" s="79"/>
      <c r="AN2412" s="79"/>
      <c r="AO2412" s="79"/>
      <c r="AP2412" s="79"/>
      <c r="AQ2412" s="79"/>
      <c r="AR2412" s="78"/>
      <c r="AS2412" s="78"/>
      <c r="AT2412" s="79"/>
      <c r="AU2412" s="79"/>
      <c r="AV2412" s="79"/>
      <c r="AW2412" s="79"/>
      <c r="AX2412" s="79"/>
      <c r="AZ2412" s="81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</row>
    <row r="2413" spans="35:68" x14ac:dyDescent="0.25">
      <c r="AI2413" s="49"/>
      <c r="AJ2413" s="78"/>
      <c r="AK2413" s="79"/>
      <c r="AL2413" s="79"/>
      <c r="AM2413" s="79"/>
      <c r="AN2413" s="79"/>
      <c r="AO2413" s="79"/>
      <c r="AP2413" s="79"/>
      <c r="AQ2413" s="79"/>
      <c r="AR2413" s="78"/>
      <c r="AS2413" s="78"/>
      <c r="AT2413" s="79"/>
      <c r="AU2413" s="79"/>
      <c r="AV2413" s="79"/>
      <c r="AW2413" s="79"/>
      <c r="AX2413" s="79"/>
      <c r="AZ2413" s="81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</row>
    <row r="2414" spans="35:68" x14ac:dyDescent="0.25">
      <c r="AI2414" s="49"/>
      <c r="AJ2414" s="78"/>
      <c r="AK2414" s="79"/>
      <c r="AL2414" s="79"/>
      <c r="AM2414" s="79"/>
      <c r="AN2414" s="79"/>
      <c r="AO2414" s="79"/>
      <c r="AP2414" s="79"/>
      <c r="AQ2414" s="79"/>
      <c r="AR2414" s="78"/>
      <c r="AS2414" s="78"/>
      <c r="AT2414" s="79"/>
      <c r="AU2414" s="79"/>
      <c r="AV2414" s="79"/>
      <c r="AW2414" s="79"/>
      <c r="AX2414" s="79"/>
      <c r="AZ2414" s="81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</row>
    <row r="2415" spans="35:68" x14ac:dyDescent="0.25">
      <c r="AI2415" s="49"/>
      <c r="AJ2415" s="78"/>
      <c r="AK2415" s="79"/>
      <c r="AL2415" s="79"/>
      <c r="AM2415" s="79"/>
      <c r="AN2415" s="79"/>
      <c r="AO2415" s="79"/>
      <c r="AP2415" s="79"/>
      <c r="AQ2415" s="79"/>
      <c r="AR2415" s="78"/>
      <c r="AS2415" s="78"/>
      <c r="AT2415" s="79"/>
      <c r="AU2415" s="79"/>
      <c r="AV2415" s="79"/>
      <c r="AW2415" s="79"/>
      <c r="AX2415" s="79"/>
      <c r="AZ2415" s="81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</row>
    <row r="2416" spans="35:68" x14ac:dyDescent="0.25">
      <c r="AI2416" s="49"/>
      <c r="AJ2416" s="78"/>
      <c r="AK2416" s="79"/>
      <c r="AL2416" s="79"/>
      <c r="AM2416" s="79"/>
      <c r="AN2416" s="79"/>
      <c r="AO2416" s="79"/>
      <c r="AP2416" s="79"/>
      <c r="AQ2416" s="79"/>
      <c r="AR2416" s="78"/>
      <c r="AS2416" s="78"/>
      <c r="AT2416" s="79"/>
      <c r="AU2416" s="79"/>
      <c r="AV2416" s="79"/>
      <c r="AW2416" s="79"/>
      <c r="AX2416" s="79"/>
      <c r="AZ2416" s="81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</row>
    <row r="2417" spans="35:68" x14ac:dyDescent="0.25">
      <c r="AI2417" s="49"/>
      <c r="AJ2417" s="78"/>
      <c r="AK2417" s="79"/>
      <c r="AL2417" s="79"/>
      <c r="AM2417" s="79"/>
      <c r="AN2417" s="79"/>
      <c r="AO2417" s="79"/>
      <c r="AP2417" s="79"/>
      <c r="AQ2417" s="79"/>
      <c r="AR2417" s="78"/>
      <c r="AS2417" s="78"/>
      <c r="AT2417" s="79"/>
      <c r="AU2417" s="79"/>
      <c r="AV2417" s="79"/>
      <c r="AW2417" s="79"/>
      <c r="AX2417" s="79"/>
      <c r="AZ2417" s="81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</row>
    <row r="2418" spans="35:68" x14ac:dyDescent="0.25">
      <c r="AI2418" s="49"/>
      <c r="AJ2418" s="78"/>
      <c r="AK2418" s="79"/>
      <c r="AL2418" s="79"/>
      <c r="AM2418" s="79"/>
      <c r="AN2418" s="79"/>
      <c r="AO2418" s="79"/>
      <c r="AP2418" s="79"/>
      <c r="AQ2418" s="79"/>
      <c r="AR2418" s="78"/>
      <c r="AS2418" s="78"/>
      <c r="AT2418" s="79"/>
      <c r="AU2418" s="79"/>
      <c r="AV2418" s="79"/>
      <c r="AW2418" s="79"/>
      <c r="AX2418" s="79"/>
      <c r="AZ2418" s="81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</row>
    <row r="2419" spans="35:68" x14ac:dyDescent="0.25">
      <c r="AI2419" s="49"/>
      <c r="AJ2419" s="78"/>
      <c r="AK2419" s="79"/>
      <c r="AL2419" s="79"/>
      <c r="AM2419" s="79"/>
      <c r="AN2419" s="79"/>
      <c r="AO2419" s="79"/>
      <c r="AP2419" s="79"/>
      <c r="AQ2419" s="79"/>
      <c r="AR2419" s="78"/>
      <c r="AS2419" s="78"/>
      <c r="AT2419" s="79"/>
      <c r="AU2419" s="79"/>
      <c r="AV2419" s="79"/>
      <c r="AW2419" s="79"/>
      <c r="AX2419" s="79"/>
      <c r="AZ2419" s="81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</row>
    <row r="2420" spans="35:68" x14ac:dyDescent="0.25">
      <c r="AI2420" s="49"/>
      <c r="AJ2420" s="78"/>
      <c r="AK2420" s="79"/>
      <c r="AL2420" s="79"/>
      <c r="AM2420" s="79"/>
      <c r="AN2420" s="79"/>
      <c r="AO2420" s="79"/>
      <c r="AP2420" s="79"/>
      <c r="AQ2420" s="79"/>
      <c r="AR2420" s="78"/>
      <c r="AS2420" s="78"/>
      <c r="AT2420" s="79"/>
      <c r="AU2420" s="79"/>
      <c r="AV2420" s="79"/>
      <c r="AW2420" s="79"/>
      <c r="AX2420" s="79"/>
      <c r="AZ2420" s="81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</row>
    <row r="2421" spans="35:68" x14ac:dyDescent="0.25">
      <c r="AI2421" s="49"/>
      <c r="AJ2421" s="78"/>
      <c r="AK2421" s="79"/>
      <c r="AL2421" s="79"/>
      <c r="AM2421" s="79"/>
      <c r="AN2421" s="79"/>
      <c r="AO2421" s="79"/>
      <c r="AP2421" s="79"/>
      <c r="AQ2421" s="79"/>
      <c r="AR2421" s="78"/>
      <c r="AS2421" s="78"/>
      <c r="AT2421" s="79"/>
      <c r="AU2421" s="79"/>
      <c r="AV2421" s="79"/>
      <c r="AW2421" s="79"/>
      <c r="AX2421" s="79"/>
      <c r="AZ2421" s="81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</row>
    <row r="2422" spans="35:68" x14ac:dyDescent="0.25">
      <c r="AI2422" s="49"/>
      <c r="AJ2422" s="78"/>
      <c r="AK2422" s="79"/>
      <c r="AL2422" s="79"/>
      <c r="AM2422" s="79"/>
      <c r="AN2422" s="79"/>
      <c r="AO2422" s="79"/>
      <c r="AP2422" s="79"/>
      <c r="AQ2422" s="79"/>
      <c r="AR2422" s="78"/>
      <c r="AS2422" s="78"/>
      <c r="AT2422" s="79"/>
      <c r="AU2422" s="79"/>
      <c r="AV2422" s="79"/>
      <c r="AW2422" s="79"/>
      <c r="AX2422" s="79"/>
      <c r="AZ2422" s="81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</row>
    <row r="2423" spans="35:68" x14ac:dyDescent="0.25">
      <c r="AI2423" s="49"/>
      <c r="AJ2423" s="78"/>
      <c r="AK2423" s="79"/>
      <c r="AL2423" s="79"/>
      <c r="AM2423" s="79"/>
      <c r="AN2423" s="79"/>
      <c r="AO2423" s="79"/>
      <c r="AP2423" s="79"/>
      <c r="AQ2423" s="79"/>
      <c r="AR2423" s="78"/>
      <c r="AS2423" s="78"/>
      <c r="AT2423" s="79"/>
      <c r="AU2423" s="79"/>
      <c r="AV2423" s="79"/>
      <c r="AW2423" s="79"/>
      <c r="AX2423" s="79"/>
      <c r="AZ2423" s="81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</row>
    <row r="2424" spans="35:68" x14ac:dyDescent="0.25">
      <c r="AI2424" s="49"/>
      <c r="AJ2424" s="78"/>
      <c r="AK2424" s="79"/>
      <c r="AL2424" s="79"/>
      <c r="AM2424" s="79"/>
      <c r="AN2424" s="79"/>
      <c r="AO2424" s="79"/>
      <c r="AP2424" s="79"/>
      <c r="AQ2424" s="79"/>
      <c r="AR2424" s="78"/>
      <c r="AS2424" s="78"/>
      <c r="AT2424" s="79"/>
      <c r="AU2424" s="79"/>
      <c r="AV2424" s="79"/>
      <c r="AW2424" s="79"/>
      <c r="AX2424" s="79"/>
      <c r="AZ2424" s="81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</row>
    <row r="2425" spans="35:68" x14ac:dyDescent="0.25">
      <c r="AI2425" s="49"/>
      <c r="AJ2425" s="78"/>
      <c r="AK2425" s="79"/>
      <c r="AL2425" s="79"/>
      <c r="AM2425" s="79"/>
      <c r="AN2425" s="79"/>
      <c r="AO2425" s="79"/>
      <c r="AP2425" s="79"/>
      <c r="AQ2425" s="79"/>
      <c r="AR2425" s="78"/>
      <c r="AS2425" s="78"/>
      <c r="AT2425" s="79"/>
      <c r="AU2425" s="79"/>
      <c r="AV2425" s="79"/>
      <c r="AW2425" s="79"/>
      <c r="AX2425" s="79"/>
      <c r="AZ2425" s="81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</row>
    <row r="2426" spans="35:68" x14ac:dyDescent="0.25">
      <c r="AI2426" s="49"/>
      <c r="AJ2426" s="78"/>
      <c r="AK2426" s="79"/>
      <c r="AL2426" s="79"/>
      <c r="AM2426" s="79"/>
      <c r="AN2426" s="79"/>
      <c r="AO2426" s="79"/>
      <c r="AP2426" s="79"/>
      <c r="AQ2426" s="79"/>
      <c r="AR2426" s="78"/>
      <c r="AS2426" s="78"/>
      <c r="AT2426" s="79"/>
      <c r="AU2426" s="79"/>
      <c r="AV2426" s="79"/>
      <c r="AW2426" s="79"/>
      <c r="AX2426" s="79"/>
      <c r="AZ2426" s="81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</row>
    <row r="2427" spans="35:68" x14ac:dyDescent="0.25">
      <c r="AI2427" s="49"/>
      <c r="AJ2427" s="78"/>
      <c r="AK2427" s="79"/>
      <c r="AL2427" s="79"/>
      <c r="AM2427" s="79"/>
      <c r="AN2427" s="79"/>
      <c r="AO2427" s="79"/>
      <c r="AP2427" s="79"/>
      <c r="AQ2427" s="79"/>
      <c r="AR2427" s="78"/>
      <c r="AS2427" s="78"/>
      <c r="AT2427" s="79"/>
      <c r="AU2427" s="79"/>
      <c r="AV2427" s="79"/>
      <c r="AW2427" s="79"/>
      <c r="AX2427" s="79"/>
      <c r="AZ2427" s="81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</row>
    <row r="2428" spans="35:68" x14ac:dyDescent="0.25">
      <c r="AI2428" s="49"/>
      <c r="AJ2428" s="78"/>
      <c r="AK2428" s="79"/>
      <c r="AL2428" s="79"/>
      <c r="AM2428" s="79"/>
      <c r="AN2428" s="79"/>
      <c r="AO2428" s="79"/>
      <c r="AP2428" s="79"/>
      <c r="AQ2428" s="79"/>
      <c r="AR2428" s="78"/>
      <c r="AS2428" s="78"/>
      <c r="AT2428" s="79"/>
      <c r="AU2428" s="79"/>
      <c r="AV2428" s="79"/>
      <c r="AW2428" s="79"/>
      <c r="AX2428" s="79"/>
      <c r="AZ2428" s="81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</row>
    <row r="2429" spans="35:68" x14ac:dyDescent="0.25">
      <c r="AI2429" s="49"/>
      <c r="AJ2429" s="78"/>
      <c r="AK2429" s="79"/>
      <c r="AL2429" s="79"/>
      <c r="AM2429" s="79"/>
      <c r="AN2429" s="79"/>
      <c r="AO2429" s="79"/>
      <c r="AP2429" s="79"/>
      <c r="AQ2429" s="79"/>
      <c r="AR2429" s="78"/>
      <c r="AS2429" s="78"/>
      <c r="AT2429" s="79"/>
      <c r="AU2429" s="79"/>
      <c r="AV2429" s="79"/>
      <c r="AW2429" s="79"/>
      <c r="AX2429" s="79"/>
      <c r="AZ2429" s="81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</row>
    <row r="2430" spans="35:68" x14ac:dyDescent="0.25">
      <c r="AI2430" s="49"/>
      <c r="AJ2430" s="78"/>
      <c r="AK2430" s="79"/>
      <c r="AL2430" s="79"/>
      <c r="AM2430" s="79"/>
      <c r="AN2430" s="79"/>
      <c r="AO2430" s="79"/>
      <c r="AP2430" s="79"/>
      <c r="AQ2430" s="79"/>
      <c r="AR2430" s="78"/>
      <c r="AS2430" s="78"/>
      <c r="AT2430" s="79"/>
      <c r="AU2430" s="79"/>
      <c r="AV2430" s="79"/>
      <c r="AW2430" s="79"/>
      <c r="AX2430" s="79"/>
      <c r="AZ2430" s="81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</row>
    <row r="2431" spans="35:68" x14ac:dyDescent="0.25">
      <c r="AI2431" s="49"/>
      <c r="AJ2431" s="78"/>
      <c r="AK2431" s="79"/>
      <c r="AL2431" s="79"/>
      <c r="AM2431" s="79"/>
      <c r="AN2431" s="79"/>
      <c r="AO2431" s="79"/>
      <c r="AP2431" s="79"/>
      <c r="AQ2431" s="79"/>
      <c r="AR2431" s="78"/>
      <c r="AS2431" s="78"/>
      <c r="AT2431" s="79"/>
      <c r="AU2431" s="79"/>
      <c r="AV2431" s="79"/>
      <c r="AW2431" s="79"/>
      <c r="AX2431" s="79"/>
      <c r="AZ2431" s="81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</row>
    <row r="2432" spans="35:68" x14ac:dyDescent="0.25">
      <c r="AI2432" s="49"/>
      <c r="AJ2432" s="78"/>
      <c r="AK2432" s="79"/>
      <c r="AL2432" s="79"/>
      <c r="AM2432" s="79"/>
      <c r="AN2432" s="79"/>
      <c r="AO2432" s="79"/>
      <c r="AP2432" s="79"/>
      <c r="AQ2432" s="79"/>
      <c r="AR2432" s="78"/>
      <c r="AS2432" s="78"/>
      <c r="AT2432" s="79"/>
      <c r="AU2432" s="79"/>
      <c r="AV2432" s="79"/>
      <c r="AW2432" s="79"/>
      <c r="AX2432" s="79"/>
      <c r="AZ2432" s="81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</row>
    <row r="2433" spans="35:68" x14ac:dyDescent="0.25">
      <c r="AI2433" s="49"/>
      <c r="AJ2433" s="78"/>
      <c r="AK2433" s="79"/>
      <c r="AL2433" s="79"/>
      <c r="AM2433" s="79"/>
      <c r="AN2433" s="79"/>
      <c r="AO2433" s="79"/>
      <c r="AP2433" s="79"/>
      <c r="AQ2433" s="79"/>
      <c r="AR2433" s="78"/>
      <c r="AS2433" s="78"/>
      <c r="AT2433" s="79"/>
      <c r="AU2433" s="79"/>
      <c r="AV2433" s="79"/>
      <c r="AW2433" s="79"/>
      <c r="AX2433" s="79"/>
      <c r="AZ2433" s="81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</row>
    <row r="2434" spans="35:68" x14ac:dyDescent="0.25">
      <c r="AI2434" s="49"/>
      <c r="AJ2434" s="78"/>
      <c r="AK2434" s="79"/>
      <c r="AL2434" s="79"/>
      <c r="AM2434" s="79"/>
      <c r="AN2434" s="79"/>
      <c r="AO2434" s="79"/>
      <c r="AP2434" s="79"/>
      <c r="AQ2434" s="79"/>
      <c r="AR2434" s="78"/>
      <c r="AS2434" s="78"/>
      <c r="AT2434" s="79"/>
      <c r="AU2434" s="79"/>
      <c r="AV2434" s="79"/>
      <c r="AW2434" s="79"/>
      <c r="AX2434" s="79"/>
      <c r="AZ2434" s="81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</row>
    <row r="2435" spans="35:68" x14ac:dyDescent="0.25">
      <c r="AI2435" s="49"/>
      <c r="AJ2435" s="78"/>
      <c r="AK2435" s="79"/>
      <c r="AL2435" s="79"/>
      <c r="AM2435" s="79"/>
      <c r="AN2435" s="79"/>
      <c r="AO2435" s="79"/>
      <c r="AP2435" s="79"/>
      <c r="AQ2435" s="79"/>
      <c r="AR2435" s="78"/>
      <c r="AS2435" s="78"/>
      <c r="AT2435" s="79"/>
      <c r="AU2435" s="79"/>
      <c r="AV2435" s="79"/>
      <c r="AW2435" s="79"/>
      <c r="AX2435" s="79"/>
      <c r="AZ2435" s="81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</row>
    <row r="2436" spans="35:68" x14ac:dyDescent="0.25">
      <c r="AI2436" s="49"/>
      <c r="AJ2436" s="78"/>
      <c r="AK2436" s="79"/>
      <c r="AL2436" s="79"/>
      <c r="AM2436" s="79"/>
      <c r="AN2436" s="79"/>
      <c r="AO2436" s="79"/>
      <c r="AP2436" s="79"/>
      <c r="AQ2436" s="79"/>
      <c r="AR2436" s="78"/>
      <c r="AS2436" s="78"/>
      <c r="AT2436" s="79"/>
      <c r="AU2436" s="79"/>
      <c r="AV2436" s="79"/>
      <c r="AW2436" s="79"/>
      <c r="AX2436" s="79"/>
      <c r="AZ2436" s="81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</row>
    <row r="2437" spans="35:68" x14ac:dyDescent="0.25">
      <c r="AI2437" s="49"/>
      <c r="AJ2437" s="78"/>
      <c r="AK2437" s="79"/>
      <c r="AL2437" s="79"/>
      <c r="AM2437" s="79"/>
      <c r="AN2437" s="79"/>
      <c r="AO2437" s="79"/>
      <c r="AP2437" s="79"/>
      <c r="AQ2437" s="79"/>
      <c r="AR2437" s="78"/>
      <c r="AS2437" s="78"/>
      <c r="AT2437" s="79"/>
      <c r="AU2437" s="79"/>
      <c r="AV2437" s="79"/>
      <c r="AW2437" s="79"/>
      <c r="AX2437" s="79"/>
      <c r="AZ2437" s="81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</row>
    <row r="2438" spans="35:68" x14ac:dyDescent="0.25">
      <c r="AI2438" s="49"/>
      <c r="AJ2438" s="78"/>
      <c r="AK2438" s="79"/>
      <c r="AL2438" s="79"/>
      <c r="AM2438" s="79"/>
      <c r="AN2438" s="79"/>
      <c r="AO2438" s="79"/>
      <c r="AP2438" s="79"/>
      <c r="AQ2438" s="79"/>
      <c r="AR2438" s="78"/>
      <c r="AS2438" s="78"/>
      <c r="AT2438" s="79"/>
      <c r="AU2438" s="79"/>
      <c r="AV2438" s="79"/>
      <c r="AW2438" s="79"/>
      <c r="AX2438" s="79"/>
      <c r="AZ2438" s="81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</row>
    <row r="2439" spans="35:68" x14ac:dyDescent="0.25">
      <c r="AI2439" s="49"/>
      <c r="AJ2439" s="78"/>
      <c r="AK2439" s="79"/>
      <c r="AL2439" s="79"/>
      <c r="AM2439" s="79"/>
      <c r="AN2439" s="79"/>
      <c r="AO2439" s="79"/>
      <c r="AP2439" s="79"/>
      <c r="AQ2439" s="79"/>
      <c r="AR2439" s="78"/>
      <c r="AS2439" s="78"/>
      <c r="AT2439" s="79"/>
      <c r="AU2439" s="79"/>
      <c r="AV2439" s="79"/>
      <c r="AW2439" s="79"/>
      <c r="AX2439" s="79"/>
      <c r="AZ2439" s="81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</row>
    <row r="2440" spans="35:68" x14ac:dyDescent="0.25">
      <c r="AI2440" s="49"/>
      <c r="AJ2440" s="78"/>
      <c r="AK2440" s="79"/>
      <c r="AL2440" s="79"/>
      <c r="AM2440" s="79"/>
      <c r="AN2440" s="79"/>
      <c r="AO2440" s="79"/>
      <c r="AP2440" s="79"/>
      <c r="AQ2440" s="79"/>
      <c r="AR2440" s="78"/>
      <c r="AS2440" s="78"/>
      <c r="AT2440" s="79"/>
      <c r="AU2440" s="79"/>
      <c r="AV2440" s="79"/>
      <c r="AW2440" s="79"/>
      <c r="AX2440" s="79"/>
      <c r="AZ2440" s="81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</row>
    <row r="2441" spans="35:68" x14ac:dyDescent="0.25">
      <c r="AI2441" s="49"/>
      <c r="AJ2441" s="78"/>
      <c r="AK2441" s="79"/>
      <c r="AL2441" s="79"/>
      <c r="AM2441" s="79"/>
      <c r="AN2441" s="79"/>
      <c r="AO2441" s="79"/>
      <c r="AP2441" s="79"/>
      <c r="AQ2441" s="79"/>
      <c r="AR2441" s="78"/>
      <c r="AS2441" s="78"/>
      <c r="AT2441" s="79"/>
      <c r="AU2441" s="79"/>
      <c r="AV2441" s="79"/>
      <c r="AW2441" s="79"/>
      <c r="AX2441" s="79"/>
      <c r="AZ2441" s="81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</row>
    <row r="2442" spans="35:68" x14ac:dyDescent="0.25">
      <c r="AI2442" s="49"/>
      <c r="AJ2442" s="78"/>
      <c r="AK2442" s="79"/>
      <c r="AL2442" s="79"/>
      <c r="AM2442" s="79"/>
      <c r="AN2442" s="79"/>
      <c r="AO2442" s="79"/>
      <c r="AP2442" s="79"/>
      <c r="AQ2442" s="79"/>
      <c r="AR2442" s="78"/>
      <c r="AS2442" s="78"/>
      <c r="AT2442" s="79"/>
      <c r="AU2442" s="79"/>
      <c r="AV2442" s="79"/>
      <c r="AW2442" s="79"/>
      <c r="AX2442" s="79"/>
      <c r="AZ2442" s="81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</row>
    <row r="2443" spans="35:68" x14ac:dyDescent="0.25">
      <c r="AI2443" s="49"/>
      <c r="AJ2443" s="78"/>
      <c r="AK2443" s="79"/>
      <c r="AL2443" s="79"/>
      <c r="AM2443" s="79"/>
      <c r="AN2443" s="79"/>
      <c r="AO2443" s="79"/>
      <c r="AP2443" s="79"/>
      <c r="AQ2443" s="79"/>
      <c r="AR2443" s="78"/>
      <c r="AS2443" s="78"/>
      <c r="AT2443" s="79"/>
      <c r="AU2443" s="79"/>
      <c r="AV2443" s="79"/>
      <c r="AW2443" s="79"/>
      <c r="AX2443" s="79"/>
      <c r="AZ2443" s="81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</row>
    <row r="2444" spans="35:68" x14ac:dyDescent="0.25">
      <c r="AI2444" s="49"/>
      <c r="AJ2444" s="78"/>
      <c r="AK2444" s="79"/>
      <c r="AL2444" s="79"/>
      <c r="AM2444" s="79"/>
      <c r="AN2444" s="79"/>
      <c r="AO2444" s="79"/>
      <c r="AP2444" s="79"/>
      <c r="AQ2444" s="79"/>
      <c r="AR2444" s="78"/>
      <c r="AS2444" s="78"/>
      <c r="AT2444" s="79"/>
      <c r="AU2444" s="79"/>
      <c r="AV2444" s="79"/>
      <c r="AW2444" s="79"/>
      <c r="AX2444" s="79"/>
      <c r="AZ2444" s="81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</row>
    <row r="2445" spans="35:68" x14ac:dyDescent="0.25">
      <c r="AI2445" s="49"/>
      <c r="AJ2445" s="78"/>
      <c r="AK2445" s="79"/>
      <c r="AL2445" s="79"/>
      <c r="AM2445" s="79"/>
      <c r="AN2445" s="79"/>
      <c r="AO2445" s="79"/>
      <c r="AP2445" s="79"/>
      <c r="AQ2445" s="79"/>
      <c r="AR2445" s="78"/>
      <c r="AS2445" s="78"/>
      <c r="AT2445" s="79"/>
      <c r="AU2445" s="79"/>
      <c r="AV2445" s="79"/>
      <c r="AW2445" s="79"/>
      <c r="AX2445" s="79"/>
      <c r="AZ2445" s="81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</row>
    <row r="2446" spans="35:68" x14ac:dyDescent="0.25">
      <c r="AI2446" s="49"/>
      <c r="AJ2446" s="78"/>
      <c r="AK2446" s="79"/>
      <c r="AL2446" s="79"/>
      <c r="AM2446" s="79"/>
      <c r="AN2446" s="79"/>
      <c r="AO2446" s="79"/>
      <c r="AP2446" s="79"/>
      <c r="AQ2446" s="79"/>
      <c r="AR2446" s="78"/>
      <c r="AS2446" s="78"/>
      <c r="AT2446" s="79"/>
      <c r="AU2446" s="79"/>
      <c r="AV2446" s="79"/>
      <c r="AW2446" s="79"/>
      <c r="AX2446" s="79"/>
      <c r="AZ2446" s="81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</row>
    <row r="2447" spans="35:68" x14ac:dyDescent="0.25">
      <c r="AI2447" s="49"/>
      <c r="AJ2447" s="78"/>
      <c r="AK2447" s="79"/>
      <c r="AL2447" s="79"/>
      <c r="AM2447" s="79"/>
      <c r="AN2447" s="79"/>
      <c r="AO2447" s="79"/>
      <c r="AP2447" s="79"/>
      <c r="AQ2447" s="79"/>
      <c r="AR2447" s="78"/>
      <c r="AS2447" s="78"/>
      <c r="AT2447" s="79"/>
      <c r="AU2447" s="79"/>
      <c r="AV2447" s="79"/>
      <c r="AW2447" s="79"/>
      <c r="AX2447" s="79"/>
      <c r="AZ2447" s="81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</row>
    <row r="2448" spans="35:68" x14ac:dyDescent="0.25">
      <c r="AI2448" s="49"/>
      <c r="AJ2448" s="78"/>
      <c r="AK2448" s="79"/>
      <c r="AL2448" s="79"/>
      <c r="AM2448" s="79"/>
      <c r="AN2448" s="79"/>
      <c r="AO2448" s="79"/>
      <c r="AP2448" s="79"/>
      <c r="AQ2448" s="79"/>
      <c r="AR2448" s="78"/>
      <c r="AS2448" s="78"/>
      <c r="AT2448" s="79"/>
      <c r="AU2448" s="79"/>
      <c r="AV2448" s="79"/>
      <c r="AW2448" s="79"/>
      <c r="AX2448" s="79"/>
      <c r="AZ2448" s="81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</row>
    <row r="2449" spans="35:68" x14ac:dyDescent="0.25">
      <c r="AI2449" s="49"/>
      <c r="AJ2449" s="78"/>
      <c r="AK2449" s="79"/>
      <c r="AL2449" s="79"/>
      <c r="AM2449" s="79"/>
      <c r="AN2449" s="79"/>
      <c r="AO2449" s="79"/>
      <c r="AP2449" s="79"/>
      <c r="AQ2449" s="79"/>
      <c r="AR2449" s="78"/>
      <c r="AS2449" s="78"/>
      <c r="AT2449" s="79"/>
      <c r="AU2449" s="79"/>
      <c r="AV2449" s="79"/>
      <c r="AW2449" s="79"/>
      <c r="AX2449" s="79"/>
      <c r="AZ2449" s="81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</row>
    <row r="2450" spans="35:68" x14ac:dyDescent="0.25">
      <c r="AI2450" s="49"/>
      <c r="AJ2450" s="78"/>
      <c r="AK2450" s="79"/>
      <c r="AL2450" s="79"/>
      <c r="AM2450" s="79"/>
      <c r="AN2450" s="79"/>
      <c r="AO2450" s="79"/>
      <c r="AP2450" s="79"/>
      <c r="AQ2450" s="79"/>
      <c r="AR2450" s="78"/>
      <c r="AS2450" s="78"/>
      <c r="AT2450" s="79"/>
      <c r="AU2450" s="79"/>
      <c r="AV2450" s="79"/>
      <c r="AW2450" s="79"/>
      <c r="AX2450" s="79"/>
      <c r="AZ2450" s="81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</row>
    <row r="2451" spans="35:68" x14ac:dyDescent="0.25">
      <c r="AI2451" s="49"/>
      <c r="AJ2451" s="78"/>
      <c r="AK2451" s="79"/>
      <c r="AL2451" s="79"/>
      <c r="AM2451" s="79"/>
      <c r="AN2451" s="79"/>
      <c r="AO2451" s="79"/>
      <c r="AP2451" s="79"/>
      <c r="AQ2451" s="79"/>
      <c r="AR2451" s="78"/>
      <c r="AS2451" s="78"/>
      <c r="AT2451" s="79"/>
      <c r="AU2451" s="79"/>
      <c r="AV2451" s="79"/>
      <c r="AW2451" s="79"/>
      <c r="AX2451" s="79"/>
      <c r="AZ2451" s="81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</row>
    <row r="2452" spans="35:68" x14ac:dyDescent="0.25">
      <c r="AI2452" s="49"/>
      <c r="AJ2452" s="78"/>
      <c r="AK2452" s="79"/>
      <c r="AL2452" s="79"/>
      <c r="AM2452" s="79"/>
      <c r="AN2452" s="79"/>
      <c r="AO2452" s="79"/>
      <c r="AP2452" s="79"/>
      <c r="AQ2452" s="79"/>
      <c r="AR2452" s="78"/>
      <c r="AS2452" s="78"/>
      <c r="AT2452" s="79"/>
      <c r="AU2452" s="79"/>
      <c r="AV2452" s="79"/>
      <c r="AW2452" s="79"/>
      <c r="AX2452" s="79"/>
      <c r="AZ2452" s="81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</row>
    <row r="2453" spans="35:68" x14ac:dyDescent="0.25">
      <c r="AI2453" s="49"/>
      <c r="AJ2453" s="78"/>
      <c r="AK2453" s="79"/>
      <c r="AL2453" s="79"/>
      <c r="AM2453" s="79"/>
      <c r="AN2453" s="79"/>
      <c r="AO2453" s="79"/>
      <c r="AP2453" s="79"/>
      <c r="AQ2453" s="79"/>
      <c r="AR2453" s="78"/>
      <c r="AS2453" s="78"/>
      <c r="AT2453" s="79"/>
      <c r="AU2453" s="79"/>
      <c r="AV2453" s="79"/>
      <c r="AW2453" s="79"/>
      <c r="AX2453" s="79"/>
      <c r="AZ2453" s="81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</row>
    <row r="2454" spans="35:68" x14ac:dyDescent="0.25">
      <c r="AI2454" s="49"/>
      <c r="AJ2454" s="78"/>
      <c r="AK2454" s="79"/>
      <c r="AL2454" s="79"/>
      <c r="AM2454" s="79"/>
      <c r="AN2454" s="79"/>
      <c r="AO2454" s="79"/>
      <c r="AP2454" s="79"/>
      <c r="AQ2454" s="79"/>
      <c r="AR2454" s="78"/>
      <c r="AS2454" s="78"/>
      <c r="AT2454" s="79"/>
      <c r="AU2454" s="79"/>
      <c r="AV2454" s="79"/>
      <c r="AW2454" s="79"/>
      <c r="AX2454" s="79"/>
      <c r="AZ2454" s="81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</row>
    <row r="2455" spans="35:68" x14ac:dyDescent="0.25">
      <c r="AI2455" s="49"/>
      <c r="AJ2455" s="78"/>
      <c r="AK2455" s="79"/>
      <c r="AL2455" s="79"/>
      <c r="AM2455" s="79"/>
      <c r="AN2455" s="79"/>
      <c r="AO2455" s="79"/>
      <c r="AP2455" s="79"/>
      <c r="AQ2455" s="79"/>
      <c r="AR2455" s="78"/>
      <c r="AS2455" s="78"/>
      <c r="AT2455" s="79"/>
      <c r="AU2455" s="79"/>
      <c r="AV2455" s="79"/>
      <c r="AW2455" s="79"/>
      <c r="AX2455" s="79"/>
      <c r="AZ2455" s="81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</row>
    <row r="2456" spans="35:68" x14ac:dyDescent="0.25">
      <c r="AI2456" s="49"/>
      <c r="AJ2456" s="78"/>
      <c r="AK2456" s="79"/>
      <c r="AL2456" s="79"/>
      <c r="AM2456" s="79"/>
      <c r="AN2456" s="79"/>
      <c r="AO2456" s="79"/>
      <c r="AP2456" s="79"/>
      <c r="AQ2456" s="79"/>
      <c r="AR2456" s="78"/>
      <c r="AS2456" s="78"/>
      <c r="AT2456" s="79"/>
      <c r="AU2456" s="79"/>
      <c r="AV2456" s="79"/>
      <c r="AW2456" s="79"/>
      <c r="AX2456" s="79"/>
      <c r="AZ2456" s="81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</row>
    <row r="2457" spans="35:68" x14ac:dyDescent="0.25">
      <c r="AI2457" s="49"/>
      <c r="AJ2457" s="78"/>
      <c r="AK2457" s="79"/>
      <c r="AL2457" s="79"/>
      <c r="AM2457" s="79"/>
      <c r="AN2457" s="79"/>
      <c r="AO2457" s="79"/>
      <c r="AP2457" s="79"/>
      <c r="AQ2457" s="79"/>
      <c r="AR2457" s="78"/>
      <c r="AS2457" s="78"/>
      <c r="AT2457" s="79"/>
      <c r="AU2457" s="79"/>
      <c r="AV2457" s="79"/>
      <c r="AW2457" s="79"/>
      <c r="AX2457" s="79"/>
      <c r="AZ2457" s="81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</row>
    <row r="2458" spans="35:68" x14ac:dyDescent="0.25">
      <c r="AI2458" s="49"/>
      <c r="AJ2458" s="78"/>
      <c r="AK2458" s="79"/>
      <c r="AL2458" s="79"/>
      <c r="AM2458" s="79"/>
      <c r="AN2458" s="79"/>
      <c r="AO2458" s="79"/>
      <c r="AP2458" s="79"/>
      <c r="AQ2458" s="79"/>
      <c r="AR2458" s="78"/>
      <c r="AS2458" s="78"/>
      <c r="AT2458" s="79"/>
      <c r="AU2458" s="79"/>
      <c r="AV2458" s="79"/>
      <c r="AW2458" s="79"/>
      <c r="AX2458" s="79"/>
      <c r="AZ2458" s="81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</row>
    <row r="2459" spans="35:68" x14ac:dyDescent="0.25">
      <c r="AI2459" s="49"/>
      <c r="AJ2459" s="78"/>
      <c r="AK2459" s="79"/>
      <c r="AL2459" s="79"/>
      <c r="AM2459" s="79"/>
      <c r="AN2459" s="79"/>
      <c r="AO2459" s="79"/>
      <c r="AP2459" s="79"/>
      <c r="AQ2459" s="79"/>
      <c r="AR2459" s="78"/>
      <c r="AS2459" s="78"/>
      <c r="AT2459" s="79"/>
      <c r="AU2459" s="79"/>
      <c r="AV2459" s="79"/>
      <c r="AW2459" s="79"/>
      <c r="AX2459" s="79"/>
      <c r="AZ2459" s="81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</row>
    <row r="2460" spans="35:68" x14ac:dyDescent="0.25">
      <c r="AI2460" s="49"/>
      <c r="AJ2460" s="78"/>
      <c r="AK2460" s="79"/>
      <c r="AL2460" s="79"/>
      <c r="AM2460" s="79"/>
      <c r="AN2460" s="79"/>
      <c r="AO2460" s="79"/>
      <c r="AP2460" s="79"/>
      <c r="AQ2460" s="79"/>
      <c r="AR2460" s="78"/>
      <c r="AS2460" s="78"/>
      <c r="AT2460" s="79"/>
      <c r="AU2460" s="79"/>
      <c r="AV2460" s="79"/>
      <c r="AW2460" s="79"/>
      <c r="AX2460" s="79"/>
      <c r="AZ2460" s="81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</row>
    <row r="2461" spans="35:68" x14ac:dyDescent="0.25">
      <c r="AI2461" s="49"/>
      <c r="AJ2461" s="78"/>
      <c r="AK2461" s="79"/>
      <c r="AL2461" s="79"/>
      <c r="AM2461" s="79"/>
      <c r="AN2461" s="79"/>
      <c r="AO2461" s="79"/>
      <c r="AP2461" s="79"/>
      <c r="AQ2461" s="79"/>
      <c r="AR2461" s="78"/>
      <c r="AS2461" s="78"/>
      <c r="AT2461" s="79"/>
      <c r="AU2461" s="79"/>
      <c r="AV2461" s="79"/>
      <c r="AW2461" s="79"/>
      <c r="AX2461" s="79"/>
      <c r="AZ2461" s="81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</row>
    <row r="2462" spans="35:68" x14ac:dyDescent="0.25">
      <c r="AI2462" s="49"/>
      <c r="AJ2462" s="78"/>
      <c r="AK2462" s="79"/>
      <c r="AL2462" s="79"/>
      <c r="AM2462" s="79"/>
      <c r="AN2462" s="79"/>
      <c r="AO2462" s="79"/>
      <c r="AP2462" s="79"/>
      <c r="AQ2462" s="79"/>
      <c r="AR2462" s="78"/>
      <c r="AS2462" s="78"/>
      <c r="AT2462" s="79"/>
      <c r="AU2462" s="79"/>
      <c r="AV2462" s="79"/>
      <c r="AW2462" s="79"/>
      <c r="AX2462" s="79"/>
      <c r="AZ2462" s="81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</row>
    <row r="2463" spans="35:68" x14ac:dyDescent="0.25">
      <c r="AI2463" s="49"/>
      <c r="AJ2463" s="78"/>
      <c r="AK2463" s="79"/>
      <c r="AL2463" s="79"/>
      <c r="AM2463" s="79"/>
      <c r="AN2463" s="79"/>
      <c r="AO2463" s="79"/>
      <c r="AP2463" s="79"/>
      <c r="AQ2463" s="79"/>
      <c r="AR2463" s="78"/>
      <c r="AS2463" s="78"/>
      <c r="AT2463" s="79"/>
      <c r="AU2463" s="79"/>
      <c r="AV2463" s="79"/>
      <c r="AW2463" s="79"/>
      <c r="AX2463" s="79"/>
      <c r="AZ2463" s="81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</row>
    <row r="2464" spans="35:68" x14ac:dyDescent="0.25">
      <c r="AI2464" s="49"/>
      <c r="AJ2464" s="78"/>
      <c r="AK2464" s="79"/>
      <c r="AL2464" s="79"/>
      <c r="AM2464" s="79"/>
      <c r="AN2464" s="79"/>
      <c r="AO2464" s="79"/>
      <c r="AP2464" s="79"/>
      <c r="AQ2464" s="79"/>
      <c r="AR2464" s="78"/>
      <c r="AS2464" s="78"/>
      <c r="AT2464" s="79"/>
      <c r="AU2464" s="79"/>
      <c r="AV2464" s="79"/>
      <c r="AW2464" s="79"/>
      <c r="AX2464" s="79"/>
      <c r="AZ2464" s="81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</row>
    <row r="2465" spans="35:68" x14ac:dyDescent="0.25">
      <c r="AI2465" s="49"/>
      <c r="AJ2465" s="78"/>
      <c r="AK2465" s="79"/>
      <c r="AL2465" s="79"/>
      <c r="AM2465" s="79"/>
      <c r="AN2465" s="79"/>
      <c r="AO2465" s="79"/>
      <c r="AP2465" s="79"/>
      <c r="AQ2465" s="79"/>
      <c r="AR2465" s="78"/>
      <c r="AS2465" s="78"/>
      <c r="AT2465" s="79"/>
      <c r="AU2465" s="79"/>
      <c r="AV2465" s="79"/>
      <c r="AW2465" s="79"/>
      <c r="AX2465" s="79"/>
      <c r="AZ2465" s="81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</row>
    <row r="2466" spans="35:68" x14ac:dyDescent="0.25">
      <c r="AI2466" s="49"/>
      <c r="AJ2466" s="78"/>
      <c r="AK2466" s="79"/>
      <c r="AL2466" s="79"/>
      <c r="AM2466" s="79"/>
      <c r="AN2466" s="79"/>
      <c r="AO2466" s="79"/>
      <c r="AP2466" s="79"/>
      <c r="AQ2466" s="79"/>
      <c r="AR2466" s="78"/>
      <c r="AS2466" s="78"/>
      <c r="AT2466" s="79"/>
      <c r="AU2466" s="79"/>
      <c r="AV2466" s="79"/>
      <c r="AW2466" s="79"/>
      <c r="AX2466" s="79"/>
      <c r="AZ2466" s="81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</row>
    <row r="2467" spans="35:68" x14ac:dyDescent="0.25">
      <c r="AI2467" s="49"/>
      <c r="AJ2467" s="78"/>
      <c r="AK2467" s="79"/>
      <c r="AL2467" s="79"/>
      <c r="AM2467" s="79"/>
      <c r="AN2467" s="79"/>
      <c r="AO2467" s="79"/>
      <c r="AP2467" s="79"/>
      <c r="AQ2467" s="79"/>
      <c r="AR2467" s="78"/>
      <c r="AS2467" s="78"/>
      <c r="AT2467" s="79"/>
      <c r="AU2467" s="79"/>
      <c r="AV2467" s="79"/>
      <c r="AW2467" s="79"/>
      <c r="AX2467" s="79"/>
      <c r="AZ2467" s="81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</row>
    <row r="2468" spans="35:68" x14ac:dyDescent="0.25">
      <c r="AI2468" s="49"/>
      <c r="AJ2468" s="78"/>
      <c r="AK2468" s="79"/>
      <c r="AL2468" s="79"/>
      <c r="AM2468" s="79"/>
      <c r="AN2468" s="79"/>
      <c r="AO2468" s="79"/>
      <c r="AP2468" s="79"/>
      <c r="AQ2468" s="79"/>
      <c r="AR2468" s="78"/>
      <c r="AS2468" s="78"/>
      <c r="AT2468" s="79"/>
      <c r="AU2468" s="79"/>
      <c r="AV2468" s="79"/>
      <c r="AW2468" s="79"/>
      <c r="AX2468" s="79"/>
      <c r="AZ2468" s="81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</row>
    <row r="2469" spans="35:68" x14ac:dyDescent="0.25">
      <c r="AI2469" s="49"/>
      <c r="AJ2469" s="78"/>
      <c r="AK2469" s="79"/>
      <c r="AL2469" s="79"/>
      <c r="AM2469" s="79"/>
      <c r="AN2469" s="79"/>
      <c r="AO2469" s="79"/>
      <c r="AP2469" s="79"/>
      <c r="AQ2469" s="79"/>
      <c r="AR2469" s="78"/>
      <c r="AS2469" s="78"/>
      <c r="AT2469" s="79"/>
      <c r="AU2469" s="79"/>
      <c r="AV2469" s="79"/>
      <c r="AW2469" s="79"/>
      <c r="AX2469" s="79"/>
      <c r="AZ2469" s="81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</row>
    <row r="2470" spans="35:68" x14ac:dyDescent="0.25">
      <c r="AI2470" s="49"/>
      <c r="AJ2470" s="78"/>
      <c r="AK2470" s="79"/>
      <c r="AL2470" s="79"/>
      <c r="AM2470" s="79"/>
      <c r="AN2470" s="79"/>
      <c r="AO2470" s="79"/>
      <c r="AP2470" s="79"/>
      <c r="AQ2470" s="79"/>
      <c r="AR2470" s="78"/>
      <c r="AS2470" s="78"/>
      <c r="AT2470" s="79"/>
      <c r="AU2470" s="79"/>
      <c r="AV2470" s="79"/>
      <c r="AW2470" s="79"/>
      <c r="AX2470" s="79"/>
      <c r="AZ2470" s="81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</row>
    <row r="2471" spans="35:68" x14ac:dyDescent="0.25">
      <c r="AI2471" s="49"/>
      <c r="AJ2471" s="78"/>
      <c r="AK2471" s="79"/>
      <c r="AL2471" s="79"/>
      <c r="AM2471" s="79"/>
      <c r="AN2471" s="79"/>
      <c r="AO2471" s="79"/>
      <c r="AP2471" s="79"/>
      <c r="AQ2471" s="79"/>
      <c r="AR2471" s="78"/>
      <c r="AS2471" s="78"/>
      <c r="AT2471" s="79"/>
      <c r="AU2471" s="79"/>
      <c r="AV2471" s="79"/>
      <c r="AW2471" s="79"/>
      <c r="AX2471" s="79"/>
      <c r="AZ2471" s="81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</row>
    <row r="2472" spans="35:68" x14ac:dyDescent="0.25">
      <c r="AI2472" s="49"/>
      <c r="AJ2472" s="78"/>
      <c r="AK2472" s="79"/>
      <c r="AL2472" s="79"/>
      <c r="AM2472" s="79"/>
      <c r="AN2472" s="79"/>
      <c r="AO2472" s="79"/>
      <c r="AP2472" s="79"/>
      <c r="AQ2472" s="79"/>
      <c r="AR2472" s="78"/>
      <c r="AS2472" s="78"/>
      <c r="AT2472" s="79"/>
      <c r="AU2472" s="79"/>
      <c r="AV2472" s="79"/>
      <c r="AW2472" s="79"/>
      <c r="AX2472" s="79"/>
      <c r="AZ2472" s="81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</row>
    <row r="2473" spans="35:68" x14ac:dyDescent="0.25">
      <c r="AI2473" s="49"/>
      <c r="AJ2473" s="78"/>
      <c r="AK2473" s="79"/>
      <c r="AL2473" s="79"/>
      <c r="AM2473" s="79"/>
      <c r="AN2473" s="79"/>
      <c r="AO2473" s="79"/>
      <c r="AP2473" s="79"/>
      <c r="AQ2473" s="79"/>
      <c r="AR2473" s="78"/>
      <c r="AS2473" s="78"/>
      <c r="AT2473" s="79"/>
      <c r="AU2473" s="79"/>
      <c r="AV2473" s="79"/>
      <c r="AW2473" s="79"/>
      <c r="AX2473" s="79"/>
      <c r="AZ2473" s="81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</row>
    <row r="2474" spans="35:68" x14ac:dyDescent="0.25">
      <c r="AI2474" s="49"/>
      <c r="AJ2474" s="78"/>
      <c r="AK2474" s="79"/>
      <c r="AL2474" s="79"/>
      <c r="AM2474" s="79"/>
      <c r="AN2474" s="79"/>
      <c r="AO2474" s="79"/>
      <c r="AP2474" s="79"/>
      <c r="AQ2474" s="79"/>
      <c r="AR2474" s="78"/>
      <c r="AS2474" s="78"/>
      <c r="AT2474" s="79"/>
      <c r="AU2474" s="79"/>
      <c r="AV2474" s="79"/>
      <c r="AW2474" s="79"/>
      <c r="AX2474" s="79"/>
      <c r="AZ2474" s="81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</row>
    <row r="2475" spans="35:68" x14ac:dyDescent="0.25">
      <c r="AI2475" s="49"/>
      <c r="AJ2475" s="78"/>
      <c r="AK2475" s="79"/>
      <c r="AL2475" s="79"/>
      <c r="AM2475" s="79"/>
      <c r="AN2475" s="79"/>
      <c r="AO2475" s="79"/>
      <c r="AP2475" s="79"/>
      <c r="AQ2475" s="79"/>
      <c r="AR2475" s="78"/>
      <c r="AS2475" s="78"/>
      <c r="AT2475" s="79"/>
      <c r="AU2475" s="79"/>
      <c r="AV2475" s="79"/>
      <c r="AW2475" s="79"/>
      <c r="AX2475" s="79"/>
      <c r="AZ2475" s="81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</row>
    <row r="2476" spans="35:68" x14ac:dyDescent="0.25">
      <c r="AI2476" s="49"/>
      <c r="AJ2476" s="78"/>
      <c r="AK2476" s="79"/>
      <c r="AL2476" s="79"/>
      <c r="AM2476" s="79"/>
      <c r="AN2476" s="79"/>
      <c r="AO2476" s="79"/>
      <c r="AP2476" s="79"/>
      <c r="AQ2476" s="79"/>
      <c r="AR2476" s="78"/>
      <c r="AS2476" s="78"/>
      <c r="AT2476" s="79"/>
      <c r="AU2476" s="79"/>
      <c r="AV2476" s="79"/>
      <c r="AW2476" s="79"/>
      <c r="AX2476" s="79"/>
      <c r="AZ2476" s="81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</row>
    <row r="2477" spans="35:68" x14ac:dyDescent="0.25">
      <c r="AI2477" s="49"/>
      <c r="AJ2477" s="78"/>
      <c r="AK2477" s="79"/>
      <c r="AL2477" s="79"/>
      <c r="AM2477" s="79"/>
      <c r="AN2477" s="79"/>
      <c r="AO2477" s="79"/>
      <c r="AP2477" s="79"/>
      <c r="AQ2477" s="79"/>
      <c r="AR2477" s="78"/>
      <c r="AS2477" s="78"/>
      <c r="AT2477" s="79"/>
      <c r="AU2477" s="79"/>
      <c r="AV2477" s="79"/>
      <c r="AW2477" s="79"/>
      <c r="AX2477" s="79"/>
      <c r="AZ2477" s="81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</row>
    <row r="2478" spans="35:68" x14ac:dyDescent="0.25">
      <c r="AI2478" s="49"/>
      <c r="AJ2478" s="78"/>
      <c r="AK2478" s="79"/>
      <c r="AL2478" s="79"/>
      <c r="AM2478" s="79"/>
      <c r="AN2478" s="79"/>
      <c r="AO2478" s="79"/>
      <c r="AP2478" s="79"/>
      <c r="AQ2478" s="79"/>
      <c r="AR2478" s="78"/>
      <c r="AS2478" s="78"/>
      <c r="AT2478" s="79"/>
      <c r="AU2478" s="79"/>
      <c r="AV2478" s="79"/>
      <c r="AW2478" s="79"/>
      <c r="AX2478" s="79"/>
      <c r="AZ2478" s="81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</row>
    <row r="2479" spans="35:68" x14ac:dyDescent="0.25">
      <c r="AI2479" s="49"/>
      <c r="AJ2479" s="78"/>
      <c r="AK2479" s="79"/>
      <c r="AL2479" s="79"/>
      <c r="AM2479" s="79"/>
      <c r="AN2479" s="79"/>
      <c r="AO2479" s="79"/>
      <c r="AP2479" s="79"/>
      <c r="AQ2479" s="79"/>
      <c r="AR2479" s="78"/>
      <c r="AS2479" s="78"/>
      <c r="AT2479" s="79"/>
      <c r="AU2479" s="79"/>
      <c r="AV2479" s="79"/>
      <c r="AW2479" s="79"/>
      <c r="AX2479" s="79"/>
      <c r="AZ2479" s="81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</row>
    <row r="2480" spans="35:68" x14ac:dyDescent="0.25">
      <c r="AI2480" s="49"/>
      <c r="AJ2480" s="78"/>
      <c r="AK2480" s="79"/>
      <c r="AL2480" s="79"/>
      <c r="AM2480" s="79"/>
      <c r="AN2480" s="79"/>
      <c r="AO2480" s="79"/>
      <c r="AP2480" s="79"/>
      <c r="AQ2480" s="79"/>
      <c r="AR2480" s="78"/>
      <c r="AS2480" s="78"/>
      <c r="AT2480" s="79"/>
      <c r="AU2480" s="79"/>
      <c r="AV2480" s="79"/>
      <c r="AW2480" s="79"/>
      <c r="AX2480" s="79"/>
      <c r="AZ2480" s="81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</row>
    <row r="2481" spans="35:68" x14ac:dyDescent="0.25">
      <c r="AI2481" s="49"/>
      <c r="AJ2481" s="78"/>
      <c r="AK2481" s="79"/>
      <c r="AL2481" s="79"/>
      <c r="AM2481" s="79"/>
      <c r="AN2481" s="79"/>
      <c r="AO2481" s="79"/>
      <c r="AP2481" s="79"/>
      <c r="AQ2481" s="79"/>
      <c r="AR2481" s="78"/>
      <c r="AS2481" s="78"/>
      <c r="AT2481" s="79"/>
      <c r="AU2481" s="79"/>
      <c r="AV2481" s="79"/>
      <c r="AW2481" s="79"/>
      <c r="AX2481" s="79"/>
      <c r="AZ2481" s="81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</row>
    <row r="2482" spans="35:68" x14ac:dyDescent="0.25">
      <c r="AI2482" s="49"/>
      <c r="AJ2482" s="78"/>
      <c r="AK2482" s="79"/>
      <c r="AL2482" s="79"/>
      <c r="AM2482" s="79"/>
      <c r="AN2482" s="79"/>
      <c r="AO2482" s="79"/>
      <c r="AP2482" s="79"/>
      <c r="AQ2482" s="79"/>
      <c r="AR2482" s="78"/>
      <c r="AS2482" s="78"/>
      <c r="AT2482" s="79"/>
      <c r="AU2482" s="79"/>
      <c r="AV2482" s="79"/>
      <c r="AW2482" s="79"/>
      <c r="AX2482" s="79"/>
      <c r="AZ2482" s="81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</row>
    <row r="2483" spans="35:68" x14ac:dyDescent="0.25">
      <c r="AI2483" s="49"/>
      <c r="AJ2483" s="78"/>
      <c r="AK2483" s="79"/>
      <c r="AL2483" s="79"/>
      <c r="AM2483" s="79"/>
      <c r="AN2483" s="79"/>
      <c r="AO2483" s="79"/>
      <c r="AP2483" s="79"/>
      <c r="AQ2483" s="79"/>
      <c r="AR2483" s="78"/>
      <c r="AS2483" s="78"/>
      <c r="AT2483" s="79"/>
      <c r="AU2483" s="79"/>
      <c r="AV2483" s="79"/>
      <c r="AW2483" s="79"/>
      <c r="AX2483" s="79"/>
      <c r="AZ2483" s="81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</row>
    <row r="2484" spans="35:68" x14ac:dyDescent="0.25">
      <c r="AI2484" s="49"/>
      <c r="AJ2484" s="78"/>
      <c r="AK2484" s="79"/>
      <c r="AL2484" s="79"/>
      <c r="AM2484" s="79"/>
      <c r="AN2484" s="79"/>
      <c r="AO2484" s="79"/>
      <c r="AP2484" s="79"/>
      <c r="AQ2484" s="79"/>
      <c r="AR2484" s="78"/>
      <c r="AS2484" s="78"/>
      <c r="AT2484" s="79"/>
      <c r="AU2484" s="79"/>
      <c r="AV2484" s="79"/>
      <c r="AW2484" s="79"/>
      <c r="AX2484" s="79"/>
      <c r="AZ2484" s="81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</row>
    <row r="2485" spans="35:68" x14ac:dyDescent="0.25">
      <c r="AI2485" s="49"/>
      <c r="AJ2485" s="78"/>
      <c r="AK2485" s="79"/>
      <c r="AL2485" s="79"/>
      <c r="AM2485" s="79"/>
      <c r="AN2485" s="79"/>
      <c r="AO2485" s="79"/>
      <c r="AP2485" s="79"/>
      <c r="AQ2485" s="79"/>
      <c r="AR2485" s="78"/>
      <c r="AS2485" s="78"/>
      <c r="AT2485" s="79"/>
      <c r="AU2485" s="79"/>
      <c r="AV2485" s="79"/>
      <c r="AW2485" s="79"/>
      <c r="AX2485" s="79"/>
      <c r="AZ2485" s="81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</row>
    <row r="2486" spans="35:68" x14ac:dyDescent="0.25">
      <c r="AI2486" s="49"/>
      <c r="AJ2486" s="78"/>
      <c r="AK2486" s="79"/>
      <c r="AL2486" s="79"/>
      <c r="AM2486" s="79"/>
      <c r="AN2486" s="79"/>
      <c r="AO2486" s="79"/>
      <c r="AP2486" s="79"/>
      <c r="AQ2486" s="79"/>
      <c r="AR2486" s="78"/>
      <c r="AS2486" s="78"/>
      <c r="AT2486" s="79"/>
      <c r="AU2486" s="79"/>
      <c r="AV2486" s="79"/>
      <c r="AW2486" s="79"/>
      <c r="AX2486" s="79"/>
      <c r="AZ2486" s="81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</row>
    <row r="2487" spans="35:68" x14ac:dyDescent="0.25">
      <c r="AI2487" s="49"/>
      <c r="AJ2487" s="78"/>
      <c r="AK2487" s="79"/>
      <c r="AL2487" s="79"/>
      <c r="AM2487" s="79"/>
      <c r="AN2487" s="79"/>
      <c r="AO2487" s="79"/>
      <c r="AP2487" s="79"/>
      <c r="AQ2487" s="79"/>
      <c r="AR2487" s="78"/>
      <c r="AS2487" s="78"/>
      <c r="AT2487" s="79"/>
      <c r="AU2487" s="79"/>
      <c r="AV2487" s="79"/>
      <c r="AW2487" s="79"/>
      <c r="AX2487" s="79"/>
      <c r="AZ2487" s="81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</row>
    <row r="2488" spans="35:68" x14ac:dyDescent="0.25">
      <c r="AI2488" s="49"/>
      <c r="AJ2488" s="78"/>
      <c r="AK2488" s="79"/>
      <c r="AL2488" s="79"/>
      <c r="AM2488" s="79"/>
      <c r="AN2488" s="79"/>
      <c r="AO2488" s="79"/>
      <c r="AP2488" s="79"/>
      <c r="AQ2488" s="79"/>
      <c r="AR2488" s="78"/>
      <c r="AS2488" s="78"/>
      <c r="AT2488" s="79"/>
      <c r="AU2488" s="79"/>
      <c r="AV2488" s="79"/>
      <c r="AW2488" s="79"/>
      <c r="AX2488" s="79"/>
      <c r="AZ2488" s="81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</row>
    <row r="2489" spans="35:68" x14ac:dyDescent="0.25">
      <c r="AI2489" s="49"/>
      <c r="AJ2489" s="78"/>
      <c r="AK2489" s="79"/>
      <c r="AL2489" s="79"/>
      <c r="AM2489" s="79"/>
      <c r="AN2489" s="79"/>
      <c r="AO2489" s="79"/>
      <c r="AP2489" s="79"/>
      <c r="AQ2489" s="79"/>
      <c r="AR2489" s="78"/>
      <c r="AS2489" s="78"/>
      <c r="AT2489" s="79"/>
      <c r="AU2489" s="79"/>
      <c r="AV2489" s="79"/>
      <c r="AW2489" s="79"/>
      <c r="AX2489" s="79"/>
      <c r="AZ2489" s="81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</row>
    <row r="2490" spans="35:68" x14ac:dyDescent="0.25">
      <c r="AI2490" s="49"/>
      <c r="AJ2490" s="78"/>
      <c r="AK2490" s="79"/>
      <c r="AL2490" s="79"/>
      <c r="AM2490" s="79"/>
      <c r="AN2490" s="79"/>
      <c r="AO2490" s="79"/>
      <c r="AP2490" s="79"/>
      <c r="AQ2490" s="79"/>
      <c r="AR2490" s="78"/>
      <c r="AS2490" s="78"/>
      <c r="AT2490" s="79"/>
      <c r="AU2490" s="79"/>
      <c r="AV2490" s="79"/>
      <c r="AW2490" s="79"/>
      <c r="AX2490" s="79"/>
      <c r="AZ2490" s="81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</row>
    <row r="2491" spans="35:68" x14ac:dyDescent="0.25">
      <c r="AI2491" s="49"/>
      <c r="AJ2491" s="78"/>
      <c r="AK2491" s="79"/>
      <c r="AL2491" s="79"/>
      <c r="AM2491" s="79"/>
      <c r="AN2491" s="79"/>
      <c r="AO2491" s="79"/>
      <c r="AP2491" s="79"/>
      <c r="AQ2491" s="79"/>
      <c r="AR2491" s="78"/>
      <c r="AS2491" s="78"/>
      <c r="AT2491" s="79"/>
      <c r="AU2491" s="79"/>
      <c r="AV2491" s="79"/>
      <c r="AW2491" s="79"/>
      <c r="AX2491" s="79"/>
      <c r="AZ2491" s="81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</row>
    <row r="2492" spans="35:68" x14ac:dyDescent="0.25">
      <c r="AI2492" s="49"/>
      <c r="AJ2492" s="78"/>
      <c r="AK2492" s="79"/>
      <c r="AL2492" s="79"/>
      <c r="AM2492" s="79"/>
      <c r="AN2492" s="79"/>
      <c r="AO2492" s="79"/>
      <c r="AP2492" s="79"/>
      <c r="AQ2492" s="79"/>
      <c r="AR2492" s="78"/>
      <c r="AS2492" s="78"/>
      <c r="AT2492" s="79"/>
      <c r="AU2492" s="79"/>
      <c r="AV2492" s="79"/>
      <c r="AW2492" s="79"/>
      <c r="AX2492" s="79"/>
      <c r="AZ2492" s="81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</row>
    <row r="2493" spans="35:68" x14ac:dyDescent="0.25">
      <c r="AI2493" s="49"/>
      <c r="AJ2493" s="78"/>
      <c r="AK2493" s="79"/>
      <c r="AL2493" s="79"/>
      <c r="AM2493" s="79"/>
      <c r="AN2493" s="79"/>
      <c r="AO2493" s="79"/>
      <c r="AP2493" s="79"/>
      <c r="AQ2493" s="79"/>
      <c r="AR2493" s="78"/>
      <c r="AS2493" s="78"/>
      <c r="AT2493" s="79"/>
      <c r="AU2493" s="79"/>
      <c r="AV2493" s="79"/>
      <c r="AW2493" s="79"/>
      <c r="AX2493" s="79"/>
      <c r="AZ2493" s="81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</row>
    <row r="2494" spans="35:68" x14ac:dyDescent="0.25">
      <c r="AI2494" s="49"/>
      <c r="AJ2494" s="78"/>
      <c r="AK2494" s="79"/>
      <c r="AL2494" s="79"/>
      <c r="AM2494" s="79"/>
      <c r="AN2494" s="79"/>
      <c r="AO2494" s="79"/>
      <c r="AP2494" s="79"/>
      <c r="AQ2494" s="79"/>
      <c r="AR2494" s="78"/>
      <c r="AS2494" s="78"/>
      <c r="AT2494" s="79"/>
      <c r="AU2494" s="79"/>
      <c r="AV2494" s="79"/>
      <c r="AW2494" s="79"/>
      <c r="AX2494" s="79"/>
      <c r="AZ2494" s="81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</row>
    <row r="2495" spans="35:68" x14ac:dyDescent="0.25">
      <c r="AI2495" s="49"/>
      <c r="AJ2495" s="78"/>
      <c r="AK2495" s="79"/>
      <c r="AL2495" s="79"/>
      <c r="AM2495" s="79"/>
      <c r="AN2495" s="79"/>
      <c r="AO2495" s="79"/>
      <c r="AP2495" s="79"/>
      <c r="AQ2495" s="79"/>
      <c r="AR2495" s="78"/>
      <c r="AS2495" s="78"/>
      <c r="AT2495" s="79"/>
      <c r="AU2495" s="79"/>
      <c r="AV2495" s="79"/>
      <c r="AW2495" s="79"/>
      <c r="AX2495" s="79"/>
      <c r="AZ2495" s="81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</row>
    <row r="2496" spans="35:68" x14ac:dyDescent="0.25">
      <c r="AI2496" s="49"/>
      <c r="AJ2496" s="78"/>
      <c r="AK2496" s="79"/>
      <c r="AL2496" s="79"/>
      <c r="AM2496" s="79"/>
      <c r="AN2496" s="79"/>
      <c r="AO2496" s="79"/>
      <c r="AP2496" s="79"/>
      <c r="AQ2496" s="79"/>
      <c r="AR2496" s="78"/>
      <c r="AS2496" s="78"/>
      <c r="AT2496" s="79"/>
      <c r="AU2496" s="79"/>
      <c r="AV2496" s="79"/>
      <c r="AW2496" s="79"/>
      <c r="AX2496" s="79"/>
      <c r="AZ2496" s="81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</row>
    <row r="2497" spans="35:68" x14ac:dyDescent="0.25">
      <c r="AI2497" s="49"/>
      <c r="AJ2497" s="78"/>
      <c r="AK2497" s="79"/>
      <c r="AL2497" s="79"/>
      <c r="AM2497" s="79"/>
      <c r="AN2497" s="79"/>
      <c r="AO2497" s="79"/>
      <c r="AP2497" s="79"/>
      <c r="AQ2497" s="79"/>
      <c r="AR2497" s="78"/>
      <c r="AS2497" s="78"/>
      <c r="AT2497" s="79"/>
      <c r="AU2497" s="79"/>
      <c r="AV2497" s="79"/>
      <c r="AW2497" s="79"/>
      <c r="AX2497" s="79"/>
      <c r="AZ2497" s="81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</row>
    <row r="2498" spans="35:68" x14ac:dyDescent="0.25">
      <c r="AI2498" s="49"/>
      <c r="AJ2498" s="78"/>
      <c r="AK2498" s="79"/>
      <c r="AL2498" s="79"/>
      <c r="AM2498" s="79"/>
      <c r="AN2498" s="79"/>
      <c r="AO2498" s="79"/>
      <c r="AP2498" s="79"/>
      <c r="AQ2498" s="79"/>
      <c r="AR2498" s="78"/>
      <c r="AS2498" s="78"/>
      <c r="AT2498" s="79"/>
      <c r="AU2498" s="79"/>
      <c r="AV2498" s="79"/>
      <c r="AW2498" s="79"/>
      <c r="AX2498" s="79"/>
      <c r="AZ2498" s="81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</row>
    <row r="2499" spans="35:68" x14ac:dyDescent="0.25">
      <c r="AI2499" s="49"/>
      <c r="AJ2499" s="78"/>
      <c r="AK2499" s="79"/>
      <c r="AL2499" s="79"/>
      <c r="AM2499" s="79"/>
      <c r="AN2499" s="79"/>
      <c r="AO2499" s="79"/>
      <c r="AP2499" s="79"/>
      <c r="AQ2499" s="79"/>
      <c r="AR2499" s="78"/>
      <c r="AS2499" s="78"/>
      <c r="AT2499" s="79"/>
      <c r="AU2499" s="79"/>
      <c r="AV2499" s="79"/>
      <c r="AW2499" s="79"/>
      <c r="AX2499" s="79"/>
      <c r="AZ2499" s="81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</row>
    <row r="2500" spans="35:68" x14ac:dyDescent="0.25">
      <c r="AI2500" s="49"/>
      <c r="AJ2500" s="78"/>
      <c r="AK2500" s="79"/>
      <c r="AL2500" s="79"/>
      <c r="AM2500" s="79"/>
      <c r="AN2500" s="79"/>
      <c r="AO2500" s="79"/>
      <c r="AP2500" s="79"/>
      <c r="AQ2500" s="79"/>
      <c r="AR2500" s="78"/>
      <c r="AS2500" s="78"/>
      <c r="AT2500" s="79"/>
      <c r="AU2500" s="79"/>
      <c r="AV2500" s="79"/>
      <c r="AW2500" s="79"/>
      <c r="AX2500" s="79"/>
      <c r="AZ2500" s="81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</row>
    <row r="2501" spans="35:68" x14ac:dyDescent="0.25">
      <c r="AI2501" s="49"/>
      <c r="AJ2501" s="78"/>
      <c r="AK2501" s="79"/>
      <c r="AL2501" s="79"/>
      <c r="AM2501" s="79"/>
      <c r="AN2501" s="79"/>
      <c r="AO2501" s="79"/>
      <c r="AP2501" s="79"/>
      <c r="AQ2501" s="79"/>
      <c r="AR2501" s="78"/>
      <c r="AS2501" s="78"/>
      <c r="AT2501" s="79"/>
      <c r="AU2501" s="79"/>
      <c r="AV2501" s="79"/>
      <c r="AW2501" s="79"/>
      <c r="AX2501" s="79"/>
      <c r="AZ2501" s="81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</row>
    <row r="2502" spans="35:68" x14ac:dyDescent="0.25">
      <c r="AI2502" s="49"/>
      <c r="AJ2502" s="78"/>
      <c r="AK2502" s="79"/>
      <c r="AL2502" s="79"/>
      <c r="AM2502" s="79"/>
      <c r="AN2502" s="79"/>
      <c r="AO2502" s="79"/>
      <c r="AP2502" s="79"/>
      <c r="AQ2502" s="79"/>
      <c r="AR2502" s="78"/>
      <c r="AS2502" s="78"/>
      <c r="AT2502" s="79"/>
      <c r="AU2502" s="79"/>
      <c r="AV2502" s="79"/>
      <c r="AW2502" s="79"/>
      <c r="AX2502" s="79"/>
      <c r="AZ2502" s="81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</row>
    <row r="2503" spans="35:68" x14ac:dyDescent="0.25">
      <c r="AI2503" s="49"/>
      <c r="AJ2503" s="78"/>
      <c r="AK2503" s="79"/>
      <c r="AL2503" s="79"/>
      <c r="AM2503" s="79"/>
      <c r="AN2503" s="79"/>
      <c r="AO2503" s="79"/>
      <c r="AP2503" s="79"/>
      <c r="AQ2503" s="79"/>
      <c r="AR2503" s="78"/>
      <c r="AS2503" s="78"/>
      <c r="AT2503" s="79"/>
      <c r="AU2503" s="79"/>
      <c r="AV2503" s="79"/>
      <c r="AW2503" s="79"/>
      <c r="AX2503" s="79"/>
      <c r="AZ2503" s="81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</row>
    <row r="2504" spans="35:68" x14ac:dyDescent="0.25">
      <c r="AI2504" s="49"/>
      <c r="AJ2504" s="78"/>
      <c r="AK2504" s="79"/>
      <c r="AL2504" s="79"/>
      <c r="AM2504" s="79"/>
      <c r="AN2504" s="79"/>
      <c r="AO2504" s="79"/>
      <c r="AP2504" s="79"/>
      <c r="AQ2504" s="79"/>
      <c r="AR2504" s="78"/>
      <c r="AS2504" s="78"/>
      <c r="AT2504" s="79"/>
      <c r="AU2504" s="79"/>
      <c r="AV2504" s="79"/>
      <c r="AW2504" s="79"/>
      <c r="AX2504" s="79"/>
      <c r="AZ2504" s="81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</row>
    <row r="2505" spans="35:68" x14ac:dyDescent="0.25">
      <c r="AI2505" s="49"/>
      <c r="AJ2505" s="78"/>
      <c r="AK2505" s="79"/>
      <c r="AL2505" s="79"/>
      <c r="AM2505" s="79"/>
      <c r="AN2505" s="79"/>
      <c r="AO2505" s="79"/>
      <c r="AP2505" s="79"/>
      <c r="AQ2505" s="79"/>
      <c r="AR2505" s="78"/>
      <c r="AS2505" s="78"/>
      <c r="AT2505" s="79"/>
      <c r="AU2505" s="79"/>
      <c r="AV2505" s="79"/>
      <c r="AW2505" s="79"/>
      <c r="AX2505" s="79"/>
      <c r="AZ2505" s="81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</row>
    <row r="2506" spans="35:68" x14ac:dyDescent="0.25">
      <c r="AI2506" s="49"/>
      <c r="AJ2506" s="78"/>
      <c r="AK2506" s="79"/>
      <c r="AL2506" s="79"/>
      <c r="AM2506" s="79"/>
      <c r="AN2506" s="79"/>
      <c r="AO2506" s="79"/>
      <c r="AP2506" s="79"/>
      <c r="AQ2506" s="79"/>
      <c r="AR2506" s="78"/>
      <c r="AS2506" s="78"/>
      <c r="AT2506" s="79"/>
      <c r="AU2506" s="79"/>
      <c r="AV2506" s="79"/>
      <c r="AW2506" s="79"/>
      <c r="AX2506" s="79"/>
      <c r="AZ2506" s="81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</row>
    <row r="2507" spans="35:68" x14ac:dyDescent="0.25">
      <c r="AI2507" s="49"/>
      <c r="AJ2507" s="78"/>
      <c r="AK2507" s="79"/>
      <c r="AL2507" s="79"/>
      <c r="AM2507" s="79"/>
      <c r="AN2507" s="79"/>
      <c r="AO2507" s="79"/>
      <c r="AP2507" s="79"/>
      <c r="AQ2507" s="79"/>
      <c r="AR2507" s="78"/>
      <c r="AS2507" s="78"/>
      <c r="AT2507" s="79"/>
      <c r="AU2507" s="79"/>
      <c r="AV2507" s="79"/>
      <c r="AW2507" s="79"/>
      <c r="AX2507" s="79"/>
      <c r="AZ2507" s="81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</row>
    <row r="2508" spans="35:68" x14ac:dyDescent="0.25">
      <c r="AI2508" s="49"/>
      <c r="AJ2508" s="78"/>
      <c r="AK2508" s="79"/>
      <c r="AL2508" s="79"/>
      <c r="AM2508" s="79"/>
      <c r="AN2508" s="79"/>
      <c r="AO2508" s="79"/>
      <c r="AP2508" s="79"/>
      <c r="AQ2508" s="79"/>
      <c r="AR2508" s="78"/>
      <c r="AS2508" s="78"/>
      <c r="AT2508" s="79"/>
      <c r="AU2508" s="79"/>
      <c r="AV2508" s="79"/>
      <c r="AW2508" s="79"/>
      <c r="AX2508" s="79"/>
      <c r="AZ2508" s="81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</row>
    <row r="2509" spans="35:68" x14ac:dyDescent="0.25">
      <c r="AI2509" s="49"/>
      <c r="AJ2509" s="78"/>
      <c r="AK2509" s="79"/>
      <c r="AL2509" s="79"/>
      <c r="AM2509" s="79"/>
      <c r="AN2509" s="79"/>
      <c r="AO2509" s="79"/>
      <c r="AP2509" s="79"/>
      <c r="AQ2509" s="79"/>
      <c r="AR2509" s="78"/>
      <c r="AS2509" s="78"/>
      <c r="AT2509" s="79"/>
      <c r="AU2509" s="79"/>
      <c r="AV2509" s="79"/>
      <c r="AW2509" s="79"/>
      <c r="AX2509" s="79"/>
      <c r="AZ2509" s="81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</row>
    <row r="2510" spans="35:68" x14ac:dyDescent="0.25">
      <c r="AI2510" s="49"/>
      <c r="AJ2510" s="78"/>
      <c r="AK2510" s="79"/>
      <c r="AL2510" s="79"/>
      <c r="AM2510" s="79"/>
      <c r="AN2510" s="79"/>
      <c r="AO2510" s="79"/>
      <c r="AP2510" s="79"/>
      <c r="AQ2510" s="79"/>
      <c r="AR2510" s="78"/>
      <c r="AS2510" s="78"/>
      <c r="AT2510" s="79"/>
      <c r="AU2510" s="79"/>
      <c r="AV2510" s="79"/>
      <c r="AW2510" s="79"/>
      <c r="AX2510" s="79"/>
      <c r="AZ2510" s="81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</row>
    <row r="2511" spans="35:68" x14ac:dyDescent="0.25">
      <c r="AI2511" s="49"/>
      <c r="AJ2511" s="78"/>
      <c r="AK2511" s="79"/>
      <c r="AL2511" s="79"/>
      <c r="AM2511" s="79"/>
      <c r="AN2511" s="79"/>
      <c r="AO2511" s="79"/>
      <c r="AP2511" s="79"/>
      <c r="AQ2511" s="79"/>
      <c r="AR2511" s="78"/>
      <c r="AS2511" s="78"/>
      <c r="AT2511" s="79"/>
      <c r="AU2511" s="79"/>
      <c r="AV2511" s="79"/>
      <c r="AW2511" s="79"/>
      <c r="AX2511" s="79"/>
      <c r="AZ2511" s="81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</row>
    <row r="2512" spans="35:68" x14ac:dyDescent="0.25">
      <c r="AI2512" s="49"/>
      <c r="AJ2512" s="78"/>
      <c r="AK2512" s="79"/>
      <c r="AL2512" s="79"/>
      <c r="AM2512" s="79"/>
      <c r="AN2512" s="79"/>
      <c r="AO2512" s="79"/>
      <c r="AP2512" s="79"/>
      <c r="AQ2512" s="79"/>
      <c r="AR2512" s="78"/>
      <c r="AS2512" s="78"/>
      <c r="AT2512" s="79"/>
      <c r="AU2512" s="79"/>
      <c r="AV2512" s="79"/>
      <c r="AW2512" s="79"/>
      <c r="AX2512" s="79"/>
      <c r="AZ2512" s="81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</row>
    <row r="2513" spans="35:68" x14ac:dyDescent="0.25">
      <c r="AI2513" s="49"/>
      <c r="AJ2513" s="78"/>
      <c r="AK2513" s="79"/>
      <c r="AL2513" s="79"/>
      <c r="AM2513" s="79"/>
      <c r="AN2513" s="79"/>
      <c r="AO2513" s="79"/>
      <c r="AP2513" s="79"/>
      <c r="AQ2513" s="79"/>
      <c r="AR2513" s="78"/>
      <c r="AS2513" s="78"/>
      <c r="AT2513" s="79"/>
      <c r="AU2513" s="79"/>
      <c r="AV2513" s="79"/>
      <c r="AW2513" s="79"/>
      <c r="AX2513" s="79"/>
      <c r="AZ2513" s="81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</row>
    <row r="2514" spans="35:68" x14ac:dyDescent="0.25">
      <c r="AI2514" s="49"/>
      <c r="AJ2514" s="78"/>
      <c r="AK2514" s="79"/>
      <c r="AL2514" s="79"/>
      <c r="AM2514" s="79"/>
      <c r="AN2514" s="79"/>
      <c r="AO2514" s="79"/>
      <c r="AP2514" s="79"/>
      <c r="AQ2514" s="79"/>
      <c r="AR2514" s="78"/>
      <c r="AS2514" s="78"/>
      <c r="AT2514" s="79"/>
      <c r="AU2514" s="79"/>
      <c r="AV2514" s="79"/>
      <c r="AW2514" s="79"/>
      <c r="AX2514" s="79"/>
      <c r="AZ2514" s="81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</row>
    <row r="2515" spans="35:68" x14ac:dyDescent="0.25">
      <c r="AI2515" s="49"/>
      <c r="AJ2515" s="78"/>
      <c r="AK2515" s="79"/>
      <c r="AL2515" s="79"/>
      <c r="AM2515" s="79"/>
      <c r="AN2515" s="79"/>
      <c r="AO2515" s="79"/>
      <c r="AP2515" s="79"/>
      <c r="AQ2515" s="79"/>
      <c r="AR2515" s="78"/>
      <c r="AS2515" s="78"/>
      <c r="AT2515" s="79"/>
      <c r="AU2515" s="79"/>
      <c r="AV2515" s="79"/>
      <c r="AW2515" s="79"/>
      <c r="AX2515" s="79"/>
      <c r="AZ2515" s="81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</row>
    <row r="2516" spans="35:68" x14ac:dyDescent="0.25">
      <c r="AI2516" s="49"/>
      <c r="AJ2516" s="78"/>
      <c r="AK2516" s="79"/>
      <c r="AL2516" s="79"/>
      <c r="AM2516" s="79"/>
      <c r="AN2516" s="79"/>
      <c r="AO2516" s="79"/>
      <c r="AP2516" s="79"/>
      <c r="AQ2516" s="79"/>
      <c r="AR2516" s="78"/>
      <c r="AS2516" s="78"/>
      <c r="AT2516" s="79"/>
      <c r="AU2516" s="79"/>
      <c r="AV2516" s="79"/>
      <c r="AW2516" s="79"/>
      <c r="AX2516" s="79"/>
      <c r="AZ2516" s="81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</row>
    <row r="2517" spans="35:68" x14ac:dyDescent="0.25">
      <c r="AI2517" s="49"/>
      <c r="AJ2517" s="78"/>
      <c r="AK2517" s="79"/>
      <c r="AL2517" s="79"/>
      <c r="AM2517" s="79"/>
      <c r="AN2517" s="79"/>
      <c r="AO2517" s="79"/>
      <c r="AP2517" s="79"/>
      <c r="AQ2517" s="79"/>
      <c r="AR2517" s="78"/>
      <c r="AS2517" s="78"/>
      <c r="AT2517" s="79"/>
      <c r="AU2517" s="79"/>
      <c r="AV2517" s="79"/>
      <c r="AW2517" s="79"/>
      <c r="AX2517" s="79"/>
      <c r="AZ2517" s="81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</row>
    <row r="2518" spans="35:68" x14ac:dyDescent="0.25">
      <c r="AI2518" s="49"/>
      <c r="AJ2518" s="78"/>
      <c r="AK2518" s="79"/>
      <c r="AL2518" s="79"/>
      <c r="AM2518" s="79"/>
      <c r="AN2518" s="79"/>
      <c r="AO2518" s="79"/>
      <c r="AP2518" s="79"/>
      <c r="AQ2518" s="79"/>
      <c r="AR2518" s="78"/>
      <c r="AS2518" s="78"/>
      <c r="AT2518" s="79"/>
      <c r="AU2518" s="79"/>
      <c r="AV2518" s="79"/>
      <c r="AW2518" s="79"/>
      <c r="AX2518" s="79"/>
      <c r="AZ2518" s="81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</row>
    <row r="2519" spans="35:68" x14ac:dyDescent="0.25">
      <c r="AI2519" s="49"/>
      <c r="AJ2519" s="78"/>
      <c r="AK2519" s="79"/>
      <c r="AL2519" s="79"/>
      <c r="AM2519" s="79"/>
      <c r="AN2519" s="79"/>
      <c r="AO2519" s="79"/>
      <c r="AP2519" s="79"/>
      <c r="AQ2519" s="79"/>
      <c r="AR2519" s="78"/>
      <c r="AS2519" s="78"/>
      <c r="AT2519" s="79"/>
      <c r="AU2519" s="79"/>
      <c r="AV2519" s="79"/>
      <c r="AW2519" s="79"/>
      <c r="AX2519" s="79"/>
      <c r="AZ2519" s="81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</row>
    <row r="2520" spans="35:68" x14ac:dyDescent="0.25">
      <c r="AI2520" s="49"/>
      <c r="AJ2520" s="78"/>
      <c r="AK2520" s="79"/>
      <c r="AL2520" s="79"/>
      <c r="AM2520" s="79"/>
      <c r="AN2520" s="79"/>
      <c r="AO2520" s="79"/>
      <c r="AP2520" s="79"/>
      <c r="AQ2520" s="79"/>
      <c r="AR2520" s="78"/>
      <c r="AS2520" s="78"/>
      <c r="AT2520" s="79"/>
      <c r="AU2520" s="79"/>
      <c r="AV2520" s="79"/>
      <c r="AW2520" s="79"/>
      <c r="AX2520" s="79"/>
      <c r="AZ2520" s="81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</row>
    <row r="2521" spans="35:68" x14ac:dyDescent="0.25">
      <c r="AI2521" s="49"/>
      <c r="AJ2521" s="78"/>
      <c r="AK2521" s="79"/>
      <c r="AL2521" s="79"/>
      <c r="AM2521" s="79"/>
      <c r="AN2521" s="79"/>
      <c r="AO2521" s="79"/>
      <c r="AP2521" s="79"/>
      <c r="AQ2521" s="79"/>
      <c r="AR2521" s="78"/>
      <c r="AS2521" s="78"/>
      <c r="AT2521" s="79"/>
      <c r="AU2521" s="79"/>
      <c r="AV2521" s="79"/>
      <c r="AW2521" s="79"/>
      <c r="AX2521" s="79"/>
      <c r="AZ2521" s="81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</row>
    <row r="2522" spans="35:68" x14ac:dyDescent="0.25">
      <c r="AI2522" s="49"/>
      <c r="AJ2522" s="78"/>
      <c r="AK2522" s="79"/>
      <c r="AL2522" s="79"/>
      <c r="AM2522" s="79"/>
      <c r="AN2522" s="79"/>
      <c r="AO2522" s="79"/>
      <c r="AP2522" s="79"/>
      <c r="AQ2522" s="79"/>
      <c r="AR2522" s="78"/>
      <c r="AS2522" s="78"/>
      <c r="AT2522" s="79"/>
      <c r="AU2522" s="79"/>
      <c r="AV2522" s="79"/>
      <c r="AW2522" s="79"/>
      <c r="AX2522" s="79"/>
      <c r="AZ2522" s="81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</row>
    <row r="2523" spans="35:68" x14ac:dyDescent="0.25">
      <c r="AI2523" s="49"/>
      <c r="AJ2523" s="78"/>
      <c r="AK2523" s="79"/>
      <c r="AL2523" s="79"/>
      <c r="AM2523" s="79"/>
      <c r="AN2523" s="79"/>
      <c r="AO2523" s="79"/>
      <c r="AP2523" s="79"/>
      <c r="AQ2523" s="79"/>
      <c r="AR2523" s="78"/>
      <c r="AS2523" s="78"/>
      <c r="AT2523" s="79"/>
      <c r="AU2523" s="79"/>
      <c r="AV2523" s="79"/>
      <c r="AW2523" s="79"/>
      <c r="AX2523" s="79"/>
      <c r="AZ2523" s="81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</row>
    <row r="2524" spans="35:68" x14ac:dyDescent="0.25">
      <c r="AI2524" s="49"/>
      <c r="AJ2524" s="78"/>
      <c r="AK2524" s="79"/>
      <c r="AL2524" s="79"/>
      <c r="AM2524" s="79"/>
      <c r="AN2524" s="79"/>
      <c r="AO2524" s="79"/>
      <c r="AP2524" s="79"/>
      <c r="AQ2524" s="79"/>
      <c r="AR2524" s="78"/>
      <c r="AS2524" s="78"/>
      <c r="AT2524" s="79"/>
      <c r="AU2524" s="79"/>
      <c r="AV2524" s="79"/>
      <c r="AW2524" s="79"/>
      <c r="AX2524" s="79"/>
      <c r="AZ2524" s="81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</row>
    <row r="2525" spans="35:68" x14ac:dyDescent="0.25">
      <c r="AI2525" s="49"/>
      <c r="AJ2525" s="78"/>
      <c r="AK2525" s="79"/>
      <c r="AL2525" s="79"/>
      <c r="AM2525" s="79"/>
      <c r="AN2525" s="79"/>
      <c r="AO2525" s="79"/>
      <c r="AP2525" s="79"/>
      <c r="AQ2525" s="79"/>
      <c r="AR2525" s="78"/>
      <c r="AS2525" s="78"/>
      <c r="AT2525" s="79"/>
      <c r="AU2525" s="79"/>
      <c r="AV2525" s="79"/>
      <c r="AW2525" s="79"/>
      <c r="AX2525" s="79"/>
      <c r="AZ2525" s="81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</row>
    <row r="2526" spans="35:68" x14ac:dyDescent="0.25">
      <c r="AI2526" s="49"/>
      <c r="AJ2526" s="78"/>
      <c r="AK2526" s="79"/>
      <c r="AL2526" s="79"/>
      <c r="AM2526" s="79"/>
      <c r="AN2526" s="79"/>
      <c r="AO2526" s="79"/>
      <c r="AP2526" s="79"/>
      <c r="AQ2526" s="79"/>
      <c r="AR2526" s="78"/>
      <c r="AS2526" s="78"/>
      <c r="AT2526" s="79"/>
      <c r="AU2526" s="79"/>
      <c r="AV2526" s="79"/>
      <c r="AW2526" s="79"/>
      <c r="AX2526" s="79"/>
      <c r="AZ2526" s="81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</row>
    <row r="2527" spans="35:68" x14ac:dyDescent="0.25">
      <c r="AI2527" s="49"/>
      <c r="AJ2527" s="78"/>
      <c r="AK2527" s="79"/>
      <c r="AL2527" s="79"/>
      <c r="AM2527" s="79"/>
      <c r="AN2527" s="79"/>
      <c r="AO2527" s="79"/>
      <c r="AP2527" s="79"/>
      <c r="AQ2527" s="79"/>
      <c r="AR2527" s="78"/>
      <c r="AS2527" s="78"/>
      <c r="AT2527" s="79"/>
      <c r="AU2527" s="79"/>
      <c r="AV2527" s="79"/>
      <c r="AW2527" s="79"/>
      <c r="AX2527" s="79"/>
      <c r="AZ2527" s="81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</row>
    <row r="2528" spans="35:68" x14ac:dyDescent="0.25">
      <c r="AI2528" s="49"/>
      <c r="AJ2528" s="78"/>
      <c r="AK2528" s="79"/>
      <c r="AL2528" s="79"/>
      <c r="AM2528" s="79"/>
      <c r="AN2528" s="79"/>
      <c r="AO2528" s="79"/>
      <c r="AP2528" s="79"/>
      <c r="AQ2528" s="79"/>
      <c r="AR2528" s="78"/>
      <c r="AS2528" s="78"/>
      <c r="AT2528" s="79"/>
      <c r="AU2528" s="79"/>
      <c r="AV2528" s="79"/>
      <c r="AW2528" s="79"/>
      <c r="AX2528" s="79"/>
      <c r="AZ2528" s="81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</row>
    <row r="2529" spans="35:68" x14ac:dyDescent="0.25">
      <c r="AI2529" s="49"/>
      <c r="AJ2529" s="78"/>
      <c r="AK2529" s="79"/>
      <c r="AL2529" s="79"/>
      <c r="AM2529" s="79"/>
      <c r="AN2529" s="79"/>
      <c r="AO2529" s="79"/>
      <c r="AP2529" s="79"/>
      <c r="AQ2529" s="79"/>
      <c r="AR2529" s="78"/>
      <c r="AS2529" s="78"/>
      <c r="AT2529" s="79"/>
      <c r="AU2529" s="79"/>
      <c r="AV2529" s="79"/>
      <c r="AW2529" s="79"/>
      <c r="AX2529" s="79"/>
      <c r="AZ2529" s="81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</row>
    <row r="2530" spans="35:68" x14ac:dyDescent="0.25">
      <c r="AI2530" s="49"/>
      <c r="AJ2530" s="78"/>
      <c r="AK2530" s="79"/>
      <c r="AL2530" s="79"/>
      <c r="AM2530" s="79"/>
      <c r="AN2530" s="79"/>
      <c r="AO2530" s="79"/>
      <c r="AP2530" s="79"/>
      <c r="AQ2530" s="79"/>
      <c r="AR2530" s="78"/>
      <c r="AS2530" s="78"/>
      <c r="AT2530" s="79"/>
      <c r="AU2530" s="79"/>
      <c r="AV2530" s="79"/>
      <c r="AW2530" s="79"/>
      <c r="AX2530" s="79"/>
      <c r="AZ2530" s="81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</row>
    <row r="2531" spans="35:68" x14ac:dyDescent="0.25">
      <c r="AI2531" s="49"/>
      <c r="AJ2531" s="78"/>
      <c r="AK2531" s="79"/>
      <c r="AL2531" s="79"/>
      <c r="AM2531" s="79"/>
      <c r="AN2531" s="79"/>
      <c r="AO2531" s="79"/>
      <c r="AP2531" s="79"/>
      <c r="AQ2531" s="79"/>
      <c r="AR2531" s="78"/>
      <c r="AS2531" s="78"/>
      <c r="AT2531" s="79"/>
      <c r="AU2531" s="79"/>
      <c r="AV2531" s="79"/>
      <c r="AW2531" s="79"/>
      <c r="AX2531" s="79"/>
      <c r="AZ2531" s="81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</row>
    <row r="2532" spans="35:68" x14ac:dyDescent="0.25">
      <c r="AI2532" s="49"/>
      <c r="AJ2532" s="78"/>
      <c r="AK2532" s="79"/>
      <c r="AL2532" s="79"/>
      <c r="AM2532" s="79"/>
      <c r="AN2532" s="79"/>
      <c r="AO2532" s="79"/>
      <c r="AP2532" s="79"/>
      <c r="AQ2532" s="79"/>
      <c r="AR2532" s="78"/>
      <c r="AS2532" s="78"/>
      <c r="AT2532" s="79"/>
      <c r="AU2532" s="79"/>
      <c r="AV2532" s="79"/>
      <c r="AW2532" s="79"/>
      <c r="AX2532" s="79"/>
      <c r="AZ2532" s="81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</row>
    <row r="2533" spans="35:68" x14ac:dyDescent="0.25">
      <c r="AI2533" s="49"/>
      <c r="AJ2533" s="78"/>
      <c r="AK2533" s="79"/>
      <c r="AL2533" s="79"/>
      <c r="AM2533" s="79"/>
      <c r="AN2533" s="79"/>
      <c r="AO2533" s="79"/>
      <c r="AP2533" s="79"/>
      <c r="AQ2533" s="79"/>
      <c r="AR2533" s="78"/>
      <c r="AS2533" s="78"/>
      <c r="AT2533" s="79"/>
      <c r="AU2533" s="79"/>
      <c r="AV2533" s="79"/>
      <c r="AW2533" s="79"/>
      <c r="AX2533" s="79"/>
      <c r="AZ2533" s="81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</row>
    <row r="2534" spans="35:68" x14ac:dyDescent="0.25">
      <c r="AI2534" s="49"/>
      <c r="AJ2534" s="78"/>
      <c r="AK2534" s="79"/>
      <c r="AL2534" s="79"/>
      <c r="AM2534" s="79"/>
      <c r="AN2534" s="79"/>
      <c r="AO2534" s="79"/>
      <c r="AP2534" s="79"/>
      <c r="AQ2534" s="79"/>
      <c r="AR2534" s="78"/>
      <c r="AS2534" s="78"/>
      <c r="AT2534" s="79"/>
      <c r="AU2534" s="79"/>
      <c r="AV2534" s="79"/>
      <c r="AW2534" s="79"/>
      <c r="AX2534" s="79"/>
      <c r="AZ2534" s="81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</row>
    <row r="2535" spans="35:68" x14ac:dyDescent="0.25">
      <c r="AI2535" s="49"/>
      <c r="AJ2535" s="78"/>
      <c r="AK2535" s="79"/>
      <c r="AL2535" s="79"/>
      <c r="AM2535" s="79"/>
      <c r="AN2535" s="79"/>
      <c r="AO2535" s="79"/>
      <c r="AP2535" s="79"/>
      <c r="AQ2535" s="79"/>
      <c r="AR2535" s="78"/>
      <c r="AS2535" s="78"/>
      <c r="AT2535" s="79"/>
      <c r="AU2535" s="79"/>
      <c r="AV2535" s="79"/>
      <c r="AW2535" s="79"/>
      <c r="AX2535" s="79"/>
      <c r="AZ2535" s="81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</row>
    <row r="2536" spans="35:68" x14ac:dyDescent="0.25">
      <c r="AI2536" s="49"/>
      <c r="AJ2536" s="78"/>
      <c r="AK2536" s="79"/>
      <c r="AL2536" s="79"/>
      <c r="AM2536" s="79"/>
      <c r="AN2536" s="79"/>
      <c r="AO2536" s="79"/>
      <c r="AP2536" s="79"/>
      <c r="AQ2536" s="79"/>
      <c r="AR2536" s="78"/>
      <c r="AS2536" s="78"/>
      <c r="AT2536" s="79"/>
      <c r="AU2536" s="79"/>
      <c r="AV2536" s="79"/>
      <c r="AW2536" s="79"/>
      <c r="AX2536" s="79"/>
      <c r="AZ2536" s="81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</row>
    <row r="2537" spans="35:68" x14ac:dyDescent="0.25">
      <c r="AI2537" s="49"/>
      <c r="AJ2537" s="78"/>
      <c r="AK2537" s="79"/>
      <c r="AL2537" s="79"/>
      <c r="AM2537" s="79"/>
      <c r="AN2537" s="79"/>
      <c r="AO2537" s="79"/>
      <c r="AP2537" s="79"/>
      <c r="AQ2537" s="79"/>
      <c r="AR2537" s="78"/>
      <c r="AS2537" s="78"/>
      <c r="AT2537" s="79"/>
      <c r="AU2537" s="79"/>
      <c r="AV2537" s="79"/>
      <c r="AW2537" s="79"/>
      <c r="AX2537" s="79"/>
      <c r="AZ2537" s="81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</row>
    <row r="2538" spans="35:68" x14ac:dyDescent="0.25">
      <c r="AI2538" s="49"/>
      <c r="AJ2538" s="78"/>
      <c r="AK2538" s="79"/>
      <c r="AL2538" s="79"/>
      <c r="AM2538" s="79"/>
      <c r="AN2538" s="79"/>
      <c r="AO2538" s="79"/>
      <c r="AP2538" s="79"/>
      <c r="AQ2538" s="79"/>
      <c r="AR2538" s="78"/>
      <c r="AS2538" s="78"/>
      <c r="AT2538" s="79"/>
      <c r="AU2538" s="79"/>
      <c r="AV2538" s="79"/>
      <c r="AW2538" s="79"/>
      <c r="AX2538" s="79"/>
      <c r="AZ2538" s="81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</row>
    <row r="2539" spans="35:68" x14ac:dyDescent="0.25">
      <c r="AI2539" s="49"/>
      <c r="AJ2539" s="78"/>
      <c r="AK2539" s="79"/>
      <c r="AL2539" s="79"/>
      <c r="AM2539" s="79"/>
      <c r="AN2539" s="79"/>
      <c r="AO2539" s="79"/>
      <c r="AP2539" s="79"/>
      <c r="AQ2539" s="79"/>
      <c r="AR2539" s="78"/>
      <c r="AS2539" s="78"/>
      <c r="AT2539" s="79"/>
      <c r="AU2539" s="79"/>
      <c r="AV2539" s="79"/>
      <c r="AW2539" s="79"/>
      <c r="AX2539" s="79"/>
      <c r="AZ2539" s="81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</row>
    <row r="2540" spans="35:68" x14ac:dyDescent="0.25">
      <c r="AI2540" s="49"/>
      <c r="AJ2540" s="78"/>
      <c r="AK2540" s="79"/>
      <c r="AL2540" s="79"/>
      <c r="AM2540" s="79"/>
      <c r="AN2540" s="79"/>
      <c r="AO2540" s="79"/>
      <c r="AP2540" s="79"/>
      <c r="AQ2540" s="79"/>
      <c r="AR2540" s="78"/>
      <c r="AS2540" s="78"/>
      <c r="AT2540" s="79"/>
      <c r="AU2540" s="79"/>
      <c r="AV2540" s="79"/>
      <c r="AW2540" s="79"/>
      <c r="AX2540" s="79"/>
      <c r="AZ2540" s="81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</row>
    <row r="2541" spans="35:68" x14ac:dyDescent="0.25">
      <c r="AI2541" s="49"/>
      <c r="AJ2541" s="78"/>
      <c r="AK2541" s="79"/>
      <c r="AL2541" s="79"/>
      <c r="AM2541" s="79"/>
      <c r="AN2541" s="79"/>
      <c r="AO2541" s="79"/>
      <c r="AP2541" s="79"/>
      <c r="AQ2541" s="79"/>
      <c r="AR2541" s="78"/>
      <c r="AS2541" s="78"/>
      <c r="AT2541" s="79"/>
      <c r="AU2541" s="79"/>
      <c r="AV2541" s="79"/>
      <c r="AW2541" s="79"/>
      <c r="AX2541" s="79"/>
      <c r="AZ2541" s="81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</row>
    <row r="2542" spans="35:68" x14ac:dyDescent="0.25">
      <c r="AI2542" s="49"/>
      <c r="AJ2542" s="78"/>
      <c r="AK2542" s="79"/>
      <c r="AL2542" s="79"/>
      <c r="AM2542" s="79"/>
      <c r="AN2542" s="79"/>
      <c r="AO2542" s="79"/>
      <c r="AP2542" s="79"/>
      <c r="AQ2542" s="79"/>
      <c r="AR2542" s="78"/>
      <c r="AS2542" s="78"/>
      <c r="AT2542" s="79"/>
      <c r="AU2542" s="79"/>
      <c r="AV2542" s="79"/>
      <c r="AW2542" s="79"/>
      <c r="AX2542" s="79"/>
      <c r="AZ2542" s="81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</row>
    <row r="2543" spans="35:68" x14ac:dyDescent="0.25">
      <c r="AI2543" s="49"/>
      <c r="AJ2543" s="78"/>
      <c r="AK2543" s="79"/>
      <c r="AL2543" s="79"/>
      <c r="AM2543" s="79"/>
      <c r="AN2543" s="79"/>
      <c r="AO2543" s="79"/>
      <c r="AP2543" s="79"/>
      <c r="AQ2543" s="79"/>
      <c r="AR2543" s="78"/>
      <c r="AS2543" s="78"/>
      <c r="AT2543" s="79"/>
      <c r="AU2543" s="79"/>
      <c r="AV2543" s="79"/>
      <c r="AW2543" s="79"/>
      <c r="AX2543" s="79"/>
      <c r="AZ2543" s="81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</row>
    <row r="2544" spans="35:68" x14ac:dyDescent="0.25">
      <c r="AI2544" s="49"/>
      <c r="AJ2544" s="78"/>
      <c r="AK2544" s="79"/>
      <c r="AL2544" s="79"/>
      <c r="AM2544" s="79"/>
      <c r="AN2544" s="79"/>
      <c r="AO2544" s="79"/>
      <c r="AP2544" s="79"/>
      <c r="AQ2544" s="79"/>
      <c r="AR2544" s="78"/>
      <c r="AS2544" s="78"/>
      <c r="AT2544" s="79"/>
      <c r="AU2544" s="79"/>
      <c r="AV2544" s="79"/>
      <c r="AW2544" s="79"/>
      <c r="AX2544" s="79"/>
      <c r="AZ2544" s="81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</row>
    <row r="2545" spans="35:68" x14ac:dyDescent="0.25">
      <c r="AI2545" s="49"/>
      <c r="AJ2545" s="78"/>
      <c r="AK2545" s="79"/>
      <c r="AL2545" s="79"/>
      <c r="AM2545" s="79"/>
      <c r="AN2545" s="79"/>
      <c r="AO2545" s="79"/>
      <c r="AP2545" s="79"/>
      <c r="AQ2545" s="79"/>
      <c r="AR2545" s="78"/>
      <c r="AS2545" s="78"/>
      <c r="AT2545" s="79"/>
      <c r="AU2545" s="79"/>
      <c r="AV2545" s="79"/>
      <c r="AW2545" s="79"/>
      <c r="AX2545" s="79"/>
      <c r="AZ2545" s="81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</row>
    <row r="2546" spans="35:68" x14ac:dyDescent="0.25">
      <c r="AI2546" s="49"/>
      <c r="AJ2546" s="78"/>
      <c r="AK2546" s="79"/>
      <c r="AL2546" s="79"/>
      <c r="AM2546" s="79"/>
      <c r="AN2546" s="79"/>
      <c r="AO2546" s="79"/>
      <c r="AP2546" s="79"/>
      <c r="AQ2546" s="79"/>
      <c r="AR2546" s="78"/>
      <c r="AS2546" s="78"/>
      <c r="AT2546" s="79"/>
      <c r="AU2546" s="79"/>
      <c r="AV2546" s="79"/>
      <c r="AW2546" s="79"/>
      <c r="AX2546" s="79"/>
      <c r="AZ2546" s="81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</row>
    <row r="2547" spans="35:68" x14ac:dyDescent="0.25">
      <c r="AI2547" s="49"/>
      <c r="AJ2547" s="78"/>
      <c r="AK2547" s="79"/>
      <c r="AL2547" s="79"/>
      <c r="AM2547" s="79"/>
      <c r="AN2547" s="79"/>
      <c r="AO2547" s="79"/>
      <c r="AP2547" s="79"/>
      <c r="AQ2547" s="79"/>
      <c r="AR2547" s="78"/>
      <c r="AS2547" s="78"/>
      <c r="AT2547" s="79"/>
      <c r="AU2547" s="79"/>
      <c r="AV2547" s="79"/>
      <c r="AW2547" s="79"/>
      <c r="AX2547" s="79"/>
      <c r="AZ2547" s="81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</row>
    <row r="2548" spans="35:68" x14ac:dyDescent="0.25">
      <c r="AI2548" s="49"/>
      <c r="AJ2548" s="78"/>
      <c r="AK2548" s="79"/>
      <c r="AL2548" s="79"/>
      <c r="AM2548" s="79"/>
      <c r="AN2548" s="79"/>
      <c r="AO2548" s="79"/>
      <c r="AP2548" s="79"/>
      <c r="AQ2548" s="79"/>
      <c r="AR2548" s="78"/>
      <c r="AS2548" s="78"/>
      <c r="AT2548" s="79"/>
      <c r="AU2548" s="79"/>
      <c r="AV2548" s="79"/>
      <c r="AW2548" s="79"/>
      <c r="AX2548" s="79"/>
      <c r="AZ2548" s="81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</row>
    <row r="2549" spans="35:68" x14ac:dyDescent="0.25">
      <c r="AI2549" s="49"/>
      <c r="AJ2549" s="78"/>
      <c r="AK2549" s="79"/>
      <c r="AL2549" s="79"/>
      <c r="AM2549" s="79"/>
      <c r="AN2549" s="79"/>
      <c r="AO2549" s="79"/>
      <c r="AP2549" s="79"/>
      <c r="AQ2549" s="79"/>
      <c r="AR2549" s="78"/>
      <c r="AS2549" s="78"/>
      <c r="AT2549" s="79"/>
      <c r="AU2549" s="79"/>
      <c r="AV2549" s="79"/>
      <c r="AW2549" s="79"/>
      <c r="AX2549" s="79"/>
      <c r="AZ2549" s="81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</row>
    <row r="2550" spans="35:68" x14ac:dyDescent="0.25">
      <c r="AI2550" s="49"/>
      <c r="AJ2550" s="78"/>
      <c r="AK2550" s="79"/>
      <c r="AL2550" s="79"/>
      <c r="AM2550" s="79"/>
      <c r="AN2550" s="79"/>
      <c r="AO2550" s="79"/>
      <c r="AP2550" s="79"/>
      <c r="AQ2550" s="79"/>
      <c r="AR2550" s="78"/>
      <c r="AS2550" s="78"/>
      <c r="AT2550" s="79"/>
      <c r="AU2550" s="79"/>
      <c r="AV2550" s="79"/>
      <c r="AW2550" s="79"/>
      <c r="AX2550" s="79"/>
      <c r="AZ2550" s="81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</row>
    <row r="2551" spans="35:68" x14ac:dyDescent="0.25">
      <c r="AI2551" s="49"/>
      <c r="AJ2551" s="78"/>
      <c r="AK2551" s="79"/>
      <c r="AL2551" s="79"/>
      <c r="AM2551" s="79"/>
      <c r="AN2551" s="79"/>
      <c r="AO2551" s="79"/>
      <c r="AP2551" s="79"/>
      <c r="AQ2551" s="79"/>
      <c r="AR2551" s="78"/>
      <c r="AS2551" s="78"/>
      <c r="AT2551" s="79"/>
      <c r="AU2551" s="79"/>
      <c r="AV2551" s="79"/>
      <c r="AW2551" s="79"/>
      <c r="AX2551" s="79"/>
      <c r="AZ2551" s="81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</row>
    <row r="2552" spans="35:68" x14ac:dyDescent="0.25">
      <c r="AI2552" s="49"/>
      <c r="AJ2552" s="78"/>
      <c r="AK2552" s="79"/>
      <c r="AL2552" s="79"/>
      <c r="AM2552" s="79"/>
      <c r="AN2552" s="79"/>
      <c r="AO2552" s="79"/>
      <c r="AP2552" s="79"/>
      <c r="AQ2552" s="79"/>
      <c r="AR2552" s="78"/>
      <c r="AS2552" s="78"/>
      <c r="AT2552" s="79"/>
      <c r="AU2552" s="79"/>
      <c r="AV2552" s="79"/>
      <c r="AW2552" s="79"/>
      <c r="AX2552" s="79"/>
      <c r="AZ2552" s="81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</row>
    <row r="2553" spans="35:68" x14ac:dyDescent="0.25">
      <c r="AI2553" s="49"/>
      <c r="AJ2553" s="78"/>
      <c r="AK2553" s="79"/>
      <c r="AL2553" s="79"/>
      <c r="AM2553" s="79"/>
      <c r="AN2553" s="79"/>
      <c r="AO2553" s="79"/>
      <c r="AP2553" s="79"/>
      <c r="AQ2553" s="79"/>
      <c r="AR2553" s="78"/>
      <c r="AS2553" s="78"/>
      <c r="AT2553" s="79"/>
      <c r="AU2553" s="79"/>
      <c r="AV2553" s="79"/>
      <c r="AW2553" s="79"/>
      <c r="AX2553" s="79"/>
      <c r="AZ2553" s="81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</row>
    <row r="2554" spans="35:68" x14ac:dyDescent="0.25">
      <c r="AI2554" s="49"/>
      <c r="AJ2554" s="78"/>
      <c r="AK2554" s="79"/>
      <c r="AL2554" s="79"/>
      <c r="AM2554" s="79"/>
      <c r="AN2554" s="79"/>
      <c r="AO2554" s="79"/>
      <c r="AP2554" s="79"/>
      <c r="AQ2554" s="79"/>
      <c r="AR2554" s="78"/>
      <c r="AS2554" s="78"/>
      <c r="AT2554" s="79"/>
      <c r="AU2554" s="79"/>
      <c r="AV2554" s="79"/>
      <c r="AW2554" s="79"/>
      <c r="AX2554" s="79"/>
      <c r="AZ2554" s="81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</row>
    <row r="2555" spans="35:68" x14ac:dyDescent="0.25">
      <c r="AI2555" s="49"/>
      <c r="AJ2555" s="78"/>
      <c r="AK2555" s="79"/>
      <c r="AL2555" s="79"/>
      <c r="AM2555" s="79"/>
      <c r="AN2555" s="79"/>
      <c r="AO2555" s="79"/>
      <c r="AP2555" s="79"/>
      <c r="AQ2555" s="79"/>
      <c r="AR2555" s="78"/>
      <c r="AS2555" s="78"/>
      <c r="AT2555" s="79"/>
      <c r="AU2555" s="79"/>
      <c r="AV2555" s="79"/>
      <c r="AW2555" s="79"/>
      <c r="AX2555" s="79"/>
      <c r="AZ2555" s="81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</row>
    <row r="2556" spans="35:68" x14ac:dyDescent="0.25">
      <c r="AI2556" s="49"/>
      <c r="AJ2556" s="78"/>
      <c r="AK2556" s="79"/>
      <c r="AL2556" s="79"/>
      <c r="AM2556" s="79"/>
      <c r="AN2556" s="79"/>
      <c r="AO2556" s="79"/>
      <c r="AP2556" s="79"/>
      <c r="AQ2556" s="79"/>
      <c r="AR2556" s="78"/>
      <c r="AS2556" s="78"/>
      <c r="AT2556" s="79"/>
      <c r="AU2556" s="79"/>
      <c r="AV2556" s="79"/>
      <c r="AW2556" s="79"/>
      <c r="AX2556" s="79"/>
      <c r="AZ2556" s="81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</row>
    <row r="2557" spans="35:68" x14ac:dyDescent="0.25">
      <c r="AI2557" s="49"/>
      <c r="AJ2557" s="78"/>
      <c r="AK2557" s="79"/>
      <c r="AL2557" s="79"/>
      <c r="AM2557" s="79"/>
      <c r="AN2557" s="79"/>
      <c r="AO2557" s="79"/>
      <c r="AP2557" s="79"/>
      <c r="AQ2557" s="79"/>
      <c r="AR2557" s="78"/>
      <c r="AS2557" s="78"/>
      <c r="AT2557" s="79"/>
      <c r="AU2557" s="79"/>
      <c r="AV2557" s="79"/>
      <c r="AW2557" s="79"/>
      <c r="AX2557" s="79"/>
      <c r="AZ2557" s="81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</row>
    <row r="2558" spans="35:68" x14ac:dyDescent="0.25">
      <c r="AI2558" s="49"/>
      <c r="AJ2558" s="78"/>
      <c r="AK2558" s="79"/>
      <c r="AL2558" s="79"/>
      <c r="AM2558" s="79"/>
      <c r="AN2558" s="79"/>
      <c r="AO2558" s="79"/>
      <c r="AP2558" s="79"/>
      <c r="AQ2558" s="79"/>
      <c r="AR2558" s="78"/>
      <c r="AS2558" s="78"/>
      <c r="AT2558" s="79"/>
      <c r="AU2558" s="79"/>
      <c r="AV2558" s="79"/>
      <c r="AW2558" s="79"/>
      <c r="AX2558" s="79"/>
      <c r="AZ2558" s="81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</row>
    <row r="2559" spans="35:68" x14ac:dyDescent="0.25">
      <c r="AI2559" s="49"/>
      <c r="AJ2559" s="78"/>
      <c r="AK2559" s="79"/>
      <c r="AL2559" s="79"/>
      <c r="AM2559" s="79"/>
      <c r="AN2559" s="79"/>
      <c r="AO2559" s="79"/>
      <c r="AP2559" s="79"/>
      <c r="AQ2559" s="79"/>
      <c r="AR2559" s="78"/>
      <c r="AS2559" s="78"/>
      <c r="AT2559" s="79"/>
      <c r="AU2559" s="79"/>
      <c r="AV2559" s="79"/>
      <c r="AW2559" s="79"/>
      <c r="AX2559" s="79"/>
      <c r="AZ2559" s="81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</row>
    <row r="2560" spans="35:68" x14ac:dyDescent="0.25">
      <c r="AI2560" s="49"/>
      <c r="AJ2560" s="78"/>
      <c r="AK2560" s="79"/>
      <c r="AL2560" s="79"/>
      <c r="AM2560" s="79"/>
      <c r="AN2560" s="79"/>
      <c r="AO2560" s="79"/>
      <c r="AP2560" s="79"/>
      <c r="AQ2560" s="79"/>
      <c r="AR2560" s="78"/>
      <c r="AS2560" s="78"/>
      <c r="AT2560" s="79"/>
      <c r="AU2560" s="79"/>
      <c r="AV2560" s="79"/>
      <c r="AW2560" s="79"/>
      <c r="AX2560" s="79"/>
      <c r="AZ2560" s="81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</row>
    <row r="2561" spans="35:68" x14ac:dyDescent="0.25">
      <c r="AI2561" s="49"/>
      <c r="AJ2561" s="78"/>
      <c r="AK2561" s="79"/>
      <c r="AL2561" s="79"/>
      <c r="AM2561" s="79"/>
      <c r="AN2561" s="79"/>
      <c r="AO2561" s="79"/>
      <c r="AP2561" s="79"/>
      <c r="AQ2561" s="79"/>
      <c r="AR2561" s="78"/>
      <c r="AS2561" s="78"/>
      <c r="AT2561" s="79"/>
      <c r="AU2561" s="79"/>
      <c r="AV2561" s="79"/>
      <c r="AW2561" s="79"/>
      <c r="AX2561" s="79"/>
      <c r="AZ2561" s="81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</row>
    <row r="2562" spans="35:68" x14ac:dyDescent="0.25">
      <c r="AI2562" s="49"/>
      <c r="AJ2562" s="78"/>
      <c r="AK2562" s="79"/>
      <c r="AL2562" s="79"/>
      <c r="AM2562" s="79"/>
      <c r="AN2562" s="79"/>
      <c r="AO2562" s="79"/>
      <c r="AP2562" s="79"/>
      <c r="AQ2562" s="79"/>
      <c r="AR2562" s="78"/>
      <c r="AS2562" s="78"/>
      <c r="AT2562" s="79"/>
      <c r="AU2562" s="79"/>
      <c r="AV2562" s="79"/>
      <c r="AW2562" s="79"/>
      <c r="AX2562" s="79"/>
      <c r="AZ2562" s="81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</row>
    <row r="2563" spans="35:68" x14ac:dyDescent="0.25">
      <c r="AI2563" s="49"/>
      <c r="AJ2563" s="78"/>
      <c r="AK2563" s="79"/>
      <c r="AL2563" s="79"/>
      <c r="AM2563" s="79"/>
      <c r="AN2563" s="79"/>
      <c r="AO2563" s="79"/>
      <c r="AP2563" s="79"/>
      <c r="AQ2563" s="79"/>
      <c r="AR2563" s="78"/>
      <c r="AS2563" s="78"/>
      <c r="AT2563" s="79"/>
      <c r="AU2563" s="79"/>
      <c r="AV2563" s="79"/>
      <c r="AW2563" s="79"/>
      <c r="AX2563" s="79"/>
      <c r="AZ2563" s="81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</row>
    <row r="2564" spans="35:68" x14ac:dyDescent="0.25">
      <c r="AI2564" s="49"/>
      <c r="AJ2564" s="78"/>
      <c r="AK2564" s="79"/>
      <c r="AL2564" s="79"/>
      <c r="AM2564" s="79"/>
      <c r="AN2564" s="79"/>
      <c r="AO2564" s="79"/>
      <c r="AP2564" s="79"/>
      <c r="AQ2564" s="79"/>
      <c r="AR2564" s="78"/>
      <c r="AS2564" s="78"/>
      <c r="AT2564" s="79"/>
      <c r="AU2564" s="79"/>
      <c r="AV2564" s="79"/>
      <c r="AW2564" s="79"/>
      <c r="AX2564" s="79"/>
      <c r="AZ2564" s="81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</row>
    <row r="2565" spans="35:68" x14ac:dyDescent="0.25">
      <c r="AI2565" s="49"/>
      <c r="AJ2565" s="78"/>
      <c r="AK2565" s="79"/>
      <c r="AL2565" s="79"/>
      <c r="AM2565" s="79"/>
      <c r="AN2565" s="79"/>
      <c r="AO2565" s="79"/>
      <c r="AP2565" s="79"/>
      <c r="AQ2565" s="79"/>
      <c r="AR2565" s="78"/>
      <c r="AS2565" s="78"/>
      <c r="AT2565" s="79"/>
      <c r="AU2565" s="79"/>
      <c r="AV2565" s="79"/>
      <c r="AW2565" s="79"/>
      <c r="AX2565" s="79"/>
      <c r="AZ2565" s="81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</row>
    <row r="2566" spans="35:68" x14ac:dyDescent="0.25">
      <c r="AI2566" s="49"/>
      <c r="AJ2566" s="78"/>
      <c r="AK2566" s="79"/>
      <c r="AL2566" s="79"/>
      <c r="AM2566" s="79"/>
      <c r="AN2566" s="79"/>
      <c r="AO2566" s="79"/>
      <c r="AP2566" s="79"/>
      <c r="AQ2566" s="79"/>
      <c r="AR2566" s="78"/>
      <c r="AS2566" s="78"/>
      <c r="AT2566" s="79"/>
      <c r="AU2566" s="79"/>
      <c r="AV2566" s="79"/>
      <c r="AW2566" s="79"/>
      <c r="AX2566" s="79"/>
      <c r="AZ2566" s="81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</row>
    <row r="2567" spans="35:68" x14ac:dyDescent="0.25">
      <c r="AI2567" s="49"/>
      <c r="AJ2567" s="78"/>
      <c r="AK2567" s="79"/>
      <c r="AL2567" s="79"/>
      <c r="AM2567" s="79"/>
      <c r="AN2567" s="79"/>
      <c r="AO2567" s="79"/>
      <c r="AP2567" s="79"/>
      <c r="AQ2567" s="79"/>
      <c r="AR2567" s="78"/>
      <c r="AS2567" s="78"/>
      <c r="AT2567" s="79"/>
      <c r="AU2567" s="79"/>
      <c r="AV2567" s="79"/>
      <c r="AW2567" s="79"/>
      <c r="AX2567" s="79"/>
      <c r="AZ2567" s="81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</row>
    <row r="2568" spans="35:68" x14ac:dyDescent="0.25">
      <c r="AI2568" s="49"/>
      <c r="AJ2568" s="78"/>
      <c r="AK2568" s="79"/>
      <c r="AL2568" s="79"/>
      <c r="AM2568" s="79"/>
      <c r="AN2568" s="79"/>
      <c r="AO2568" s="79"/>
      <c r="AP2568" s="79"/>
      <c r="AQ2568" s="79"/>
      <c r="AR2568" s="78"/>
      <c r="AS2568" s="78"/>
      <c r="AT2568" s="79"/>
      <c r="AU2568" s="79"/>
      <c r="AV2568" s="79"/>
      <c r="AW2568" s="79"/>
      <c r="AX2568" s="79"/>
      <c r="AZ2568" s="81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</row>
    <row r="2569" spans="35:68" x14ac:dyDescent="0.25">
      <c r="AI2569" s="49"/>
      <c r="AJ2569" s="78"/>
      <c r="AK2569" s="79"/>
      <c r="AL2569" s="79"/>
      <c r="AM2569" s="79"/>
      <c r="AN2569" s="79"/>
      <c r="AO2569" s="79"/>
      <c r="AP2569" s="79"/>
      <c r="AQ2569" s="79"/>
      <c r="AR2569" s="78"/>
      <c r="AS2569" s="78"/>
      <c r="AT2569" s="79"/>
      <c r="AU2569" s="79"/>
      <c r="AV2569" s="79"/>
      <c r="AW2569" s="79"/>
      <c r="AX2569" s="79"/>
      <c r="AZ2569" s="81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</row>
    <row r="2570" spans="35:68" x14ac:dyDescent="0.25">
      <c r="AI2570" s="49"/>
      <c r="AJ2570" s="78"/>
      <c r="AK2570" s="79"/>
      <c r="AL2570" s="79"/>
      <c r="AM2570" s="79"/>
      <c r="AN2570" s="79"/>
      <c r="AO2570" s="79"/>
      <c r="AP2570" s="79"/>
      <c r="AQ2570" s="79"/>
      <c r="AR2570" s="78"/>
      <c r="AS2570" s="78"/>
      <c r="AT2570" s="79"/>
      <c r="AU2570" s="79"/>
      <c r="AV2570" s="79"/>
      <c r="AW2570" s="79"/>
      <c r="AX2570" s="79"/>
      <c r="AZ2570" s="81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</row>
    <row r="2571" spans="35:68" x14ac:dyDescent="0.25">
      <c r="AI2571" s="49"/>
      <c r="AJ2571" s="78"/>
      <c r="AK2571" s="79"/>
      <c r="AL2571" s="79"/>
      <c r="AM2571" s="79"/>
      <c r="AN2571" s="79"/>
      <c r="AO2571" s="79"/>
      <c r="AP2571" s="79"/>
      <c r="AQ2571" s="79"/>
      <c r="AR2571" s="78"/>
      <c r="AS2571" s="78"/>
      <c r="AT2571" s="79"/>
      <c r="AU2571" s="79"/>
      <c r="AV2571" s="79"/>
      <c r="AW2571" s="79"/>
      <c r="AX2571" s="79"/>
      <c r="AZ2571" s="81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</row>
    <row r="2572" spans="35:68" x14ac:dyDescent="0.25">
      <c r="AI2572" s="49"/>
      <c r="AJ2572" s="78"/>
      <c r="AK2572" s="79"/>
      <c r="AL2572" s="79"/>
      <c r="AM2572" s="79"/>
      <c r="AN2572" s="79"/>
      <c r="AO2572" s="79"/>
      <c r="AP2572" s="79"/>
      <c r="AQ2572" s="79"/>
      <c r="AR2572" s="78"/>
      <c r="AS2572" s="78"/>
      <c r="AT2572" s="79"/>
      <c r="AU2572" s="79"/>
      <c r="AV2572" s="79"/>
      <c r="AW2572" s="79"/>
      <c r="AX2572" s="79"/>
      <c r="AZ2572" s="81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</row>
    <row r="2573" spans="35:68" x14ac:dyDescent="0.25">
      <c r="AI2573" s="49"/>
      <c r="AJ2573" s="78"/>
      <c r="AK2573" s="79"/>
      <c r="AL2573" s="79"/>
      <c r="AM2573" s="79"/>
      <c r="AN2573" s="79"/>
      <c r="AO2573" s="79"/>
      <c r="AP2573" s="79"/>
      <c r="AQ2573" s="79"/>
      <c r="AR2573" s="78"/>
      <c r="AS2573" s="78"/>
      <c r="AT2573" s="79"/>
      <c r="AU2573" s="79"/>
      <c r="AV2573" s="79"/>
      <c r="AW2573" s="79"/>
      <c r="AX2573" s="79"/>
      <c r="AZ2573" s="81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</row>
    <row r="2574" spans="35:68" x14ac:dyDescent="0.25">
      <c r="AI2574" s="49"/>
      <c r="AJ2574" s="78"/>
      <c r="AK2574" s="79"/>
      <c r="AL2574" s="79"/>
      <c r="AM2574" s="79"/>
      <c r="AN2574" s="79"/>
      <c r="AO2574" s="79"/>
      <c r="AP2574" s="79"/>
      <c r="AQ2574" s="79"/>
      <c r="AR2574" s="78"/>
      <c r="AS2574" s="78"/>
      <c r="AT2574" s="79"/>
      <c r="AU2574" s="79"/>
      <c r="AV2574" s="79"/>
      <c r="AW2574" s="79"/>
      <c r="AX2574" s="79"/>
      <c r="AZ2574" s="81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</row>
    <row r="2575" spans="35:68" x14ac:dyDescent="0.25">
      <c r="AI2575" s="49"/>
      <c r="AJ2575" s="78"/>
      <c r="AK2575" s="79"/>
      <c r="AL2575" s="79"/>
      <c r="AM2575" s="79"/>
      <c r="AN2575" s="79"/>
      <c r="AO2575" s="79"/>
      <c r="AP2575" s="79"/>
      <c r="AQ2575" s="79"/>
      <c r="AR2575" s="78"/>
      <c r="AS2575" s="78"/>
      <c r="AT2575" s="79"/>
      <c r="AU2575" s="79"/>
      <c r="AV2575" s="79"/>
      <c r="AW2575" s="79"/>
      <c r="AX2575" s="79"/>
      <c r="AZ2575" s="81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</row>
    <row r="2576" spans="35:68" x14ac:dyDescent="0.25">
      <c r="AI2576" s="49"/>
      <c r="AJ2576" s="78"/>
      <c r="AK2576" s="79"/>
      <c r="AL2576" s="79"/>
      <c r="AM2576" s="79"/>
      <c r="AN2576" s="79"/>
      <c r="AO2576" s="79"/>
      <c r="AP2576" s="79"/>
      <c r="AQ2576" s="79"/>
      <c r="AR2576" s="78"/>
      <c r="AS2576" s="78"/>
      <c r="AT2576" s="79"/>
      <c r="AU2576" s="79"/>
      <c r="AV2576" s="79"/>
      <c r="AW2576" s="79"/>
      <c r="AX2576" s="79"/>
      <c r="AZ2576" s="81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</row>
    <row r="2577" spans="35:68" x14ac:dyDescent="0.25">
      <c r="AI2577" s="49"/>
      <c r="AJ2577" s="78"/>
      <c r="AK2577" s="79"/>
      <c r="AL2577" s="79"/>
      <c r="AM2577" s="79"/>
      <c r="AN2577" s="79"/>
      <c r="AO2577" s="79"/>
      <c r="AP2577" s="79"/>
      <c r="AQ2577" s="79"/>
      <c r="AR2577" s="78"/>
      <c r="AS2577" s="78"/>
      <c r="AT2577" s="79"/>
      <c r="AU2577" s="79"/>
      <c r="AV2577" s="79"/>
      <c r="AW2577" s="79"/>
      <c r="AX2577" s="79"/>
      <c r="AZ2577" s="81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</row>
    <row r="2578" spans="35:68" x14ac:dyDescent="0.25">
      <c r="AI2578" s="49"/>
      <c r="AJ2578" s="78"/>
      <c r="AK2578" s="79"/>
      <c r="AL2578" s="79"/>
      <c r="AM2578" s="79"/>
      <c r="AN2578" s="79"/>
      <c r="AO2578" s="79"/>
      <c r="AP2578" s="79"/>
      <c r="AQ2578" s="79"/>
      <c r="AR2578" s="78"/>
      <c r="AS2578" s="78"/>
      <c r="AT2578" s="79"/>
      <c r="AU2578" s="79"/>
      <c r="AV2578" s="79"/>
      <c r="AW2578" s="79"/>
      <c r="AX2578" s="79"/>
      <c r="AZ2578" s="81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</row>
    <row r="2579" spans="35:68" x14ac:dyDescent="0.25">
      <c r="AI2579" s="49"/>
      <c r="AJ2579" s="78"/>
      <c r="AK2579" s="79"/>
      <c r="AL2579" s="79"/>
      <c r="AM2579" s="79"/>
      <c r="AN2579" s="79"/>
      <c r="AO2579" s="79"/>
      <c r="AP2579" s="79"/>
      <c r="AQ2579" s="79"/>
      <c r="AR2579" s="78"/>
      <c r="AS2579" s="78"/>
      <c r="AT2579" s="79"/>
      <c r="AU2579" s="79"/>
      <c r="AV2579" s="79"/>
      <c r="AW2579" s="79"/>
      <c r="AX2579" s="79"/>
      <c r="AZ2579" s="81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</row>
    <row r="2580" spans="35:68" x14ac:dyDescent="0.25">
      <c r="AI2580" s="49"/>
      <c r="AJ2580" s="78"/>
      <c r="AK2580" s="79"/>
      <c r="AL2580" s="79"/>
      <c r="AM2580" s="79"/>
      <c r="AN2580" s="79"/>
      <c r="AO2580" s="79"/>
      <c r="AP2580" s="79"/>
      <c r="AQ2580" s="79"/>
      <c r="AR2580" s="78"/>
      <c r="AS2580" s="78"/>
      <c r="AT2580" s="79"/>
      <c r="AU2580" s="79"/>
      <c r="AV2580" s="79"/>
      <c r="AW2580" s="79"/>
      <c r="AX2580" s="79"/>
      <c r="AZ2580" s="81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</row>
    <row r="2581" spans="35:68" x14ac:dyDescent="0.25">
      <c r="AI2581" s="49"/>
      <c r="AJ2581" s="78"/>
      <c r="AK2581" s="79"/>
      <c r="AL2581" s="79"/>
      <c r="AM2581" s="79"/>
      <c r="AN2581" s="79"/>
      <c r="AO2581" s="79"/>
      <c r="AP2581" s="79"/>
      <c r="AQ2581" s="79"/>
      <c r="AR2581" s="78"/>
      <c r="AS2581" s="78"/>
      <c r="AT2581" s="79"/>
      <c r="AU2581" s="79"/>
      <c r="AV2581" s="79"/>
      <c r="AW2581" s="79"/>
      <c r="AX2581" s="79"/>
      <c r="AZ2581" s="81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</row>
    <row r="2582" spans="35:68" x14ac:dyDescent="0.25">
      <c r="AI2582" s="49"/>
      <c r="AJ2582" s="78"/>
      <c r="AK2582" s="79"/>
      <c r="AL2582" s="79"/>
      <c r="AM2582" s="79"/>
      <c r="AN2582" s="79"/>
      <c r="AO2582" s="79"/>
      <c r="AP2582" s="79"/>
      <c r="AQ2582" s="79"/>
      <c r="AR2582" s="78"/>
      <c r="AS2582" s="78"/>
      <c r="AT2582" s="79"/>
      <c r="AU2582" s="79"/>
      <c r="AV2582" s="79"/>
      <c r="AW2582" s="79"/>
      <c r="AX2582" s="79"/>
      <c r="AZ2582" s="81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</row>
    <row r="2583" spans="35:68" x14ac:dyDescent="0.25">
      <c r="AI2583" s="49"/>
      <c r="AJ2583" s="78"/>
      <c r="AK2583" s="79"/>
      <c r="AL2583" s="79"/>
      <c r="AM2583" s="79"/>
      <c r="AN2583" s="79"/>
      <c r="AO2583" s="79"/>
      <c r="AP2583" s="79"/>
      <c r="AQ2583" s="79"/>
      <c r="AR2583" s="78"/>
      <c r="AS2583" s="78"/>
      <c r="AT2583" s="79"/>
      <c r="AU2583" s="79"/>
      <c r="AV2583" s="79"/>
      <c r="AW2583" s="79"/>
      <c r="AX2583" s="79"/>
      <c r="AZ2583" s="81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</row>
    <row r="2584" spans="35:68" x14ac:dyDescent="0.25">
      <c r="AI2584" s="49"/>
      <c r="AJ2584" s="78"/>
      <c r="AK2584" s="79"/>
      <c r="AL2584" s="79"/>
      <c r="AM2584" s="79"/>
      <c r="AN2584" s="79"/>
      <c r="AO2584" s="79"/>
      <c r="AP2584" s="79"/>
      <c r="AQ2584" s="79"/>
      <c r="AR2584" s="78"/>
      <c r="AS2584" s="78"/>
      <c r="AT2584" s="79"/>
      <c r="AU2584" s="79"/>
      <c r="AV2584" s="79"/>
      <c r="AW2584" s="79"/>
      <c r="AX2584" s="79"/>
      <c r="AZ2584" s="81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</row>
    <row r="2585" spans="35:68" x14ac:dyDescent="0.25">
      <c r="AI2585" s="49"/>
      <c r="AJ2585" s="78"/>
      <c r="AK2585" s="79"/>
      <c r="AL2585" s="79"/>
      <c r="AM2585" s="79"/>
      <c r="AN2585" s="79"/>
      <c r="AO2585" s="79"/>
      <c r="AP2585" s="79"/>
      <c r="AQ2585" s="79"/>
      <c r="AR2585" s="78"/>
      <c r="AS2585" s="78"/>
      <c r="AT2585" s="79"/>
      <c r="AU2585" s="79"/>
      <c r="AV2585" s="79"/>
      <c r="AW2585" s="79"/>
      <c r="AX2585" s="79"/>
      <c r="AZ2585" s="81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</row>
    <row r="2586" spans="35:68" x14ac:dyDescent="0.25">
      <c r="AI2586" s="49"/>
      <c r="AJ2586" s="78"/>
      <c r="AK2586" s="79"/>
      <c r="AL2586" s="79"/>
      <c r="AM2586" s="79"/>
      <c r="AN2586" s="79"/>
      <c r="AO2586" s="79"/>
      <c r="AP2586" s="79"/>
      <c r="AQ2586" s="79"/>
      <c r="AR2586" s="78"/>
      <c r="AS2586" s="78"/>
      <c r="AT2586" s="79"/>
      <c r="AU2586" s="79"/>
      <c r="AV2586" s="79"/>
      <c r="AW2586" s="79"/>
      <c r="AX2586" s="79"/>
      <c r="AZ2586" s="81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</row>
    <row r="2587" spans="35:68" x14ac:dyDescent="0.25">
      <c r="AI2587" s="49"/>
      <c r="AJ2587" s="78"/>
      <c r="AK2587" s="79"/>
      <c r="AL2587" s="79"/>
      <c r="AM2587" s="79"/>
      <c r="AN2587" s="79"/>
      <c r="AO2587" s="79"/>
      <c r="AP2587" s="79"/>
      <c r="AQ2587" s="79"/>
      <c r="AR2587" s="78"/>
      <c r="AS2587" s="78"/>
      <c r="AT2587" s="79"/>
      <c r="AU2587" s="79"/>
      <c r="AV2587" s="79"/>
      <c r="AW2587" s="79"/>
      <c r="AX2587" s="79"/>
      <c r="AZ2587" s="81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</row>
    <row r="2588" spans="35:68" x14ac:dyDescent="0.25">
      <c r="AI2588" s="49"/>
      <c r="AJ2588" s="78"/>
      <c r="AK2588" s="79"/>
      <c r="AL2588" s="79"/>
      <c r="AM2588" s="79"/>
      <c r="AN2588" s="79"/>
      <c r="AO2588" s="79"/>
      <c r="AP2588" s="79"/>
      <c r="AQ2588" s="79"/>
      <c r="AR2588" s="78"/>
      <c r="AS2588" s="78"/>
      <c r="AT2588" s="79"/>
      <c r="AU2588" s="79"/>
      <c r="AV2588" s="79"/>
      <c r="AW2588" s="79"/>
      <c r="AX2588" s="79"/>
      <c r="AZ2588" s="81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</row>
    <row r="2589" spans="35:68" x14ac:dyDescent="0.25">
      <c r="AI2589" s="49"/>
      <c r="AJ2589" s="78"/>
      <c r="AK2589" s="79"/>
      <c r="AL2589" s="79"/>
      <c r="AM2589" s="79"/>
      <c r="AN2589" s="79"/>
      <c r="AO2589" s="79"/>
      <c r="AP2589" s="79"/>
      <c r="AQ2589" s="79"/>
      <c r="AR2589" s="78"/>
      <c r="AS2589" s="78"/>
      <c r="AT2589" s="79"/>
      <c r="AU2589" s="79"/>
      <c r="AV2589" s="79"/>
      <c r="AW2589" s="79"/>
      <c r="AX2589" s="79"/>
      <c r="AZ2589" s="81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</row>
    <row r="2590" spans="35:68" x14ac:dyDescent="0.25">
      <c r="AI2590" s="49"/>
      <c r="AJ2590" s="78"/>
      <c r="AK2590" s="79"/>
      <c r="AL2590" s="79"/>
      <c r="AM2590" s="79"/>
      <c r="AN2590" s="79"/>
      <c r="AO2590" s="79"/>
      <c r="AP2590" s="79"/>
      <c r="AQ2590" s="79"/>
      <c r="AR2590" s="78"/>
      <c r="AS2590" s="78"/>
      <c r="AT2590" s="79"/>
      <c r="AU2590" s="79"/>
      <c r="AV2590" s="79"/>
      <c r="AW2590" s="79"/>
      <c r="AX2590" s="79"/>
      <c r="AZ2590" s="81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</row>
    <row r="2591" spans="35:68" x14ac:dyDescent="0.25">
      <c r="AI2591" s="49"/>
      <c r="AJ2591" s="78"/>
      <c r="AK2591" s="79"/>
      <c r="AL2591" s="79"/>
      <c r="AM2591" s="79"/>
      <c r="AN2591" s="79"/>
      <c r="AO2591" s="79"/>
      <c r="AP2591" s="79"/>
      <c r="AQ2591" s="79"/>
      <c r="AR2591" s="78"/>
      <c r="AS2591" s="78"/>
      <c r="AT2591" s="79"/>
      <c r="AU2591" s="79"/>
      <c r="AV2591" s="79"/>
      <c r="AW2591" s="79"/>
      <c r="AX2591" s="79"/>
      <c r="AZ2591" s="81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</row>
    <row r="2592" spans="35:68" x14ac:dyDescent="0.25">
      <c r="AI2592" s="49"/>
      <c r="AJ2592" s="78"/>
      <c r="AK2592" s="79"/>
      <c r="AL2592" s="79"/>
      <c r="AM2592" s="79"/>
      <c r="AN2592" s="79"/>
      <c r="AO2592" s="79"/>
      <c r="AP2592" s="79"/>
      <c r="AQ2592" s="79"/>
      <c r="AR2592" s="78"/>
      <c r="AS2592" s="78"/>
      <c r="AT2592" s="79"/>
      <c r="AU2592" s="79"/>
      <c r="AV2592" s="79"/>
      <c r="AW2592" s="79"/>
      <c r="AX2592" s="79"/>
      <c r="AZ2592" s="81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</row>
    <row r="2593" spans="35:68" x14ac:dyDescent="0.25">
      <c r="AI2593" s="49"/>
      <c r="AJ2593" s="78"/>
      <c r="AK2593" s="79"/>
      <c r="AL2593" s="79"/>
      <c r="AM2593" s="79"/>
      <c r="AN2593" s="79"/>
      <c r="AO2593" s="79"/>
      <c r="AP2593" s="79"/>
      <c r="AQ2593" s="79"/>
      <c r="AR2593" s="78"/>
      <c r="AS2593" s="78"/>
      <c r="AT2593" s="79"/>
      <c r="AU2593" s="79"/>
      <c r="AV2593" s="79"/>
      <c r="AW2593" s="79"/>
      <c r="AX2593" s="79"/>
      <c r="AZ2593" s="81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</row>
    <row r="2594" spans="35:68" x14ac:dyDescent="0.25">
      <c r="AI2594" s="49"/>
      <c r="AJ2594" s="78"/>
      <c r="AK2594" s="79"/>
      <c r="AL2594" s="79"/>
      <c r="AM2594" s="79"/>
      <c r="AN2594" s="79"/>
      <c r="AO2594" s="79"/>
      <c r="AP2594" s="79"/>
      <c r="AQ2594" s="79"/>
      <c r="AR2594" s="78"/>
      <c r="AS2594" s="78"/>
      <c r="AT2594" s="79"/>
      <c r="AU2594" s="79"/>
      <c r="AV2594" s="79"/>
      <c r="AW2594" s="79"/>
      <c r="AX2594" s="79"/>
      <c r="AZ2594" s="81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</row>
    <row r="2595" spans="35:68" x14ac:dyDescent="0.25">
      <c r="AI2595" s="49"/>
      <c r="AJ2595" s="78"/>
      <c r="AK2595" s="79"/>
      <c r="AL2595" s="79"/>
      <c r="AM2595" s="79"/>
      <c r="AN2595" s="79"/>
      <c r="AO2595" s="79"/>
      <c r="AP2595" s="79"/>
      <c r="AQ2595" s="79"/>
      <c r="AR2595" s="78"/>
      <c r="AS2595" s="78"/>
      <c r="AT2595" s="79"/>
      <c r="AU2595" s="79"/>
      <c r="AV2595" s="79"/>
      <c r="AW2595" s="79"/>
      <c r="AX2595" s="79"/>
      <c r="AZ2595" s="81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</row>
    <row r="2596" spans="35:68" x14ac:dyDescent="0.25">
      <c r="AI2596" s="49"/>
      <c r="AJ2596" s="78"/>
      <c r="AK2596" s="79"/>
      <c r="AL2596" s="79"/>
      <c r="AM2596" s="79"/>
      <c r="AN2596" s="79"/>
      <c r="AO2596" s="79"/>
      <c r="AP2596" s="79"/>
      <c r="AQ2596" s="79"/>
      <c r="AR2596" s="78"/>
      <c r="AS2596" s="78"/>
      <c r="AT2596" s="79"/>
      <c r="AU2596" s="79"/>
      <c r="AV2596" s="79"/>
      <c r="AW2596" s="79"/>
      <c r="AX2596" s="79"/>
      <c r="AZ2596" s="81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5"/>
      <c r="BP2596" s="5"/>
    </row>
    <row r="2597" spans="35:68" x14ac:dyDescent="0.25">
      <c r="AI2597" s="49"/>
      <c r="AJ2597" s="78"/>
      <c r="AK2597" s="79"/>
      <c r="AL2597" s="79"/>
      <c r="AM2597" s="79"/>
      <c r="AN2597" s="79"/>
      <c r="AO2597" s="79"/>
      <c r="AP2597" s="79"/>
      <c r="AQ2597" s="79"/>
      <c r="AR2597" s="78"/>
      <c r="AS2597" s="78"/>
      <c r="AT2597" s="79"/>
      <c r="AU2597" s="79"/>
      <c r="AV2597" s="79"/>
      <c r="AW2597" s="79"/>
      <c r="AX2597" s="79"/>
      <c r="AZ2597" s="81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</row>
    <row r="2598" spans="35:68" x14ac:dyDescent="0.25">
      <c r="AI2598" s="49"/>
      <c r="AJ2598" s="78"/>
      <c r="AK2598" s="79"/>
      <c r="AL2598" s="79"/>
      <c r="AM2598" s="79"/>
      <c r="AN2598" s="79"/>
      <c r="AO2598" s="79"/>
      <c r="AP2598" s="79"/>
      <c r="AQ2598" s="79"/>
      <c r="AR2598" s="78"/>
      <c r="AS2598" s="78"/>
      <c r="AT2598" s="79"/>
      <c r="AU2598" s="79"/>
      <c r="AV2598" s="79"/>
      <c r="AW2598" s="79"/>
      <c r="AX2598" s="79"/>
      <c r="AZ2598" s="81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</row>
    <row r="2599" spans="35:68" x14ac:dyDescent="0.25">
      <c r="AI2599" s="49"/>
      <c r="AJ2599" s="78"/>
      <c r="AK2599" s="79"/>
      <c r="AL2599" s="79"/>
      <c r="AM2599" s="79"/>
      <c r="AN2599" s="79"/>
      <c r="AO2599" s="79"/>
      <c r="AP2599" s="79"/>
      <c r="AQ2599" s="79"/>
      <c r="AR2599" s="78"/>
      <c r="AS2599" s="78"/>
      <c r="AT2599" s="79"/>
      <c r="AU2599" s="79"/>
      <c r="AV2599" s="79"/>
      <c r="AW2599" s="79"/>
      <c r="AX2599" s="79"/>
      <c r="AZ2599" s="81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</row>
    <row r="2600" spans="35:68" x14ac:dyDescent="0.25">
      <c r="AI2600" s="49"/>
      <c r="AJ2600" s="78"/>
      <c r="AK2600" s="79"/>
      <c r="AL2600" s="79"/>
      <c r="AM2600" s="79"/>
      <c r="AN2600" s="79"/>
      <c r="AO2600" s="79"/>
      <c r="AP2600" s="79"/>
      <c r="AQ2600" s="79"/>
      <c r="AR2600" s="78"/>
      <c r="AS2600" s="78"/>
      <c r="AT2600" s="79"/>
      <c r="AU2600" s="79"/>
      <c r="AV2600" s="79"/>
      <c r="AW2600" s="79"/>
      <c r="AX2600" s="79"/>
      <c r="AZ2600" s="81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</row>
    <row r="2601" spans="35:68" x14ac:dyDescent="0.25">
      <c r="AI2601" s="49"/>
      <c r="AJ2601" s="78"/>
      <c r="AK2601" s="79"/>
      <c r="AL2601" s="79"/>
      <c r="AM2601" s="79"/>
      <c r="AN2601" s="79"/>
      <c r="AO2601" s="79"/>
      <c r="AP2601" s="79"/>
      <c r="AQ2601" s="79"/>
      <c r="AR2601" s="78"/>
      <c r="AS2601" s="78"/>
      <c r="AT2601" s="79"/>
      <c r="AU2601" s="79"/>
      <c r="AV2601" s="79"/>
      <c r="AW2601" s="79"/>
      <c r="AX2601" s="79"/>
      <c r="AZ2601" s="81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</row>
    <row r="2602" spans="35:68" x14ac:dyDescent="0.25">
      <c r="AI2602" s="49"/>
      <c r="AJ2602" s="78"/>
      <c r="AK2602" s="79"/>
      <c r="AL2602" s="79"/>
      <c r="AM2602" s="79"/>
      <c r="AN2602" s="79"/>
      <c r="AO2602" s="79"/>
      <c r="AP2602" s="79"/>
      <c r="AQ2602" s="79"/>
      <c r="AR2602" s="78"/>
      <c r="AS2602" s="78"/>
      <c r="AT2602" s="79"/>
      <c r="AU2602" s="79"/>
      <c r="AV2602" s="79"/>
      <c r="AW2602" s="79"/>
      <c r="AX2602" s="79"/>
      <c r="AZ2602" s="81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</row>
    <row r="2603" spans="35:68" x14ac:dyDescent="0.25">
      <c r="AI2603" s="49"/>
      <c r="AJ2603" s="78"/>
      <c r="AK2603" s="79"/>
      <c r="AL2603" s="79"/>
      <c r="AM2603" s="79"/>
      <c r="AN2603" s="79"/>
      <c r="AO2603" s="79"/>
      <c r="AP2603" s="79"/>
      <c r="AQ2603" s="79"/>
      <c r="AR2603" s="78"/>
      <c r="AS2603" s="78"/>
      <c r="AT2603" s="79"/>
      <c r="AU2603" s="79"/>
      <c r="AV2603" s="79"/>
      <c r="AW2603" s="79"/>
      <c r="AX2603" s="79"/>
      <c r="AZ2603" s="81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</row>
    <row r="2604" spans="35:68" x14ac:dyDescent="0.25">
      <c r="AI2604" s="49"/>
      <c r="AJ2604" s="78"/>
      <c r="AK2604" s="79"/>
      <c r="AL2604" s="79"/>
      <c r="AM2604" s="79"/>
      <c r="AN2604" s="79"/>
      <c r="AO2604" s="79"/>
      <c r="AP2604" s="79"/>
      <c r="AQ2604" s="79"/>
      <c r="AR2604" s="78"/>
      <c r="AS2604" s="78"/>
      <c r="AT2604" s="79"/>
      <c r="AU2604" s="79"/>
      <c r="AV2604" s="79"/>
      <c r="AW2604" s="79"/>
      <c r="AX2604" s="79"/>
      <c r="AZ2604" s="81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</row>
    <row r="2605" spans="35:68" x14ac:dyDescent="0.25">
      <c r="AI2605" s="49"/>
      <c r="AJ2605" s="78"/>
      <c r="AK2605" s="79"/>
      <c r="AL2605" s="79"/>
      <c r="AM2605" s="79"/>
      <c r="AN2605" s="79"/>
      <c r="AO2605" s="79"/>
      <c r="AP2605" s="79"/>
      <c r="AQ2605" s="79"/>
      <c r="AR2605" s="78"/>
      <c r="AS2605" s="78"/>
      <c r="AT2605" s="79"/>
      <c r="AU2605" s="79"/>
      <c r="AV2605" s="79"/>
      <c r="AW2605" s="79"/>
      <c r="AX2605" s="79"/>
      <c r="AZ2605" s="81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</row>
    <row r="2606" spans="35:68" x14ac:dyDescent="0.25">
      <c r="AI2606" s="49"/>
      <c r="AJ2606" s="78"/>
      <c r="AK2606" s="79"/>
      <c r="AL2606" s="79"/>
      <c r="AM2606" s="79"/>
      <c r="AN2606" s="79"/>
      <c r="AO2606" s="79"/>
      <c r="AP2606" s="79"/>
      <c r="AQ2606" s="79"/>
      <c r="AR2606" s="78"/>
      <c r="AS2606" s="78"/>
      <c r="AT2606" s="79"/>
      <c r="AU2606" s="79"/>
      <c r="AV2606" s="79"/>
      <c r="AW2606" s="79"/>
      <c r="AX2606" s="79"/>
      <c r="AZ2606" s="81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</row>
    <row r="2607" spans="35:68" x14ac:dyDescent="0.25">
      <c r="AI2607" s="49"/>
      <c r="AJ2607" s="78"/>
      <c r="AK2607" s="79"/>
      <c r="AL2607" s="79"/>
      <c r="AM2607" s="79"/>
      <c r="AN2607" s="79"/>
      <c r="AO2607" s="79"/>
      <c r="AP2607" s="79"/>
      <c r="AQ2607" s="79"/>
      <c r="AR2607" s="78"/>
      <c r="AS2607" s="78"/>
      <c r="AT2607" s="79"/>
      <c r="AU2607" s="79"/>
      <c r="AV2607" s="79"/>
      <c r="AW2607" s="79"/>
      <c r="AX2607" s="79"/>
      <c r="AZ2607" s="81"/>
      <c r="BB2607" s="5"/>
      <c r="BC2607" s="5"/>
      <c r="BD2607" s="5"/>
      <c r="BE2607" s="5"/>
      <c r="BF2607" s="5"/>
      <c r="BG2607" s="5"/>
      <c r="BH2607" s="5"/>
      <c r="BI2607" s="5"/>
      <c r="BJ2607" s="5"/>
      <c r="BK2607" s="5"/>
      <c r="BL2607" s="5"/>
      <c r="BM2607" s="5"/>
      <c r="BN2607" s="5"/>
      <c r="BO2607" s="5"/>
      <c r="BP2607" s="5"/>
    </row>
    <row r="2608" spans="35:68" x14ac:dyDescent="0.25">
      <c r="AI2608" s="49"/>
      <c r="AJ2608" s="78"/>
      <c r="AK2608" s="79"/>
      <c r="AL2608" s="79"/>
      <c r="AM2608" s="79"/>
      <c r="AN2608" s="79"/>
      <c r="AO2608" s="79"/>
      <c r="AP2608" s="79"/>
      <c r="AQ2608" s="79"/>
      <c r="AR2608" s="78"/>
      <c r="AS2608" s="78"/>
      <c r="AT2608" s="79"/>
      <c r="AU2608" s="79"/>
      <c r="AV2608" s="79"/>
      <c r="AW2608" s="79"/>
      <c r="AX2608" s="79"/>
      <c r="AZ2608" s="81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</row>
    <row r="2609" spans="35:68" x14ac:dyDescent="0.25">
      <c r="AI2609" s="49"/>
      <c r="AJ2609" s="78"/>
      <c r="AK2609" s="79"/>
      <c r="AL2609" s="79"/>
      <c r="AM2609" s="79"/>
      <c r="AN2609" s="79"/>
      <c r="AO2609" s="79"/>
      <c r="AP2609" s="79"/>
      <c r="AQ2609" s="79"/>
      <c r="AR2609" s="78"/>
      <c r="AS2609" s="78"/>
      <c r="AT2609" s="79"/>
      <c r="AU2609" s="79"/>
      <c r="AV2609" s="79"/>
      <c r="AW2609" s="79"/>
      <c r="AX2609" s="79"/>
      <c r="AZ2609" s="81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</row>
    <row r="2610" spans="35:68" x14ac:dyDescent="0.25">
      <c r="AI2610" s="49"/>
      <c r="AJ2610" s="78"/>
      <c r="AK2610" s="79"/>
      <c r="AL2610" s="79"/>
      <c r="AM2610" s="79"/>
      <c r="AN2610" s="79"/>
      <c r="AO2610" s="79"/>
      <c r="AP2610" s="79"/>
      <c r="AQ2610" s="79"/>
      <c r="AR2610" s="78"/>
      <c r="AS2610" s="78"/>
      <c r="AT2610" s="79"/>
      <c r="AU2610" s="79"/>
      <c r="AV2610" s="79"/>
      <c r="AW2610" s="79"/>
      <c r="AX2610" s="79"/>
      <c r="AZ2610" s="81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</row>
    <row r="2611" spans="35:68" x14ac:dyDescent="0.25">
      <c r="AI2611" s="49"/>
      <c r="AJ2611" s="78"/>
      <c r="AK2611" s="79"/>
      <c r="AL2611" s="79"/>
      <c r="AM2611" s="79"/>
      <c r="AN2611" s="79"/>
      <c r="AO2611" s="79"/>
      <c r="AP2611" s="79"/>
      <c r="AQ2611" s="79"/>
      <c r="AR2611" s="78"/>
      <c r="AS2611" s="78"/>
      <c r="AT2611" s="79"/>
      <c r="AU2611" s="79"/>
      <c r="AV2611" s="79"/>
      <c r="AW2611" s="79"/>
      <c r="AX2611" s="79"/>
      <c r="AZ2611" s="81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</row>
    <row r="2612" spans="35:68" x14ac:dyDescent="0.25">
      <c r="AI2612" s="49"/>
      <c r="AJ2612" s="78"/>
      <c r="AK2612" s="79"/>
      <c r="AL2612" s="79"/>
      <c r="AM2612" s="79"/>
      <c r="AN2612" s="79"/>
      <c r="AO2612" s="79"/>
      <c r="AP2612" s="79"/>
      <c r="AQ2612" s="79"/>
      <c r="AR2612" s="78"/>
      <c r="AS2612" s="78"/>
      <c r="AT2612" s="79"/>
      <c r="AU2612" s="79"/>
      <c r="AV2612" s="79"/>
      <c r="AW2612" s="79"/>
      <c r="AX2612" s="79"/>
      <c r="AZ2612" s="81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</row>
    <row r="2613" spans="35:68" x14ac:dyDescent="0.25">
      <c r="AI2613" s="49"/>
      <c r="AJ2613" s="78"/>
      <c r="AK2613" s="79"/>
      <c r="AL2613" s="79"/>
      <c r="AM2613" s="79"/>
      <c r="AN2613" s="79"/>
      <c r="AO2613" s="79"/>
      <c r="AP2613" s="79"/>
      <c r="AQ2613" s="79"/>
      <c r="AR2613" s="78"/>
      <c r="AS2613" s="78"/>
      <c r="AT2613" s="79"/>
      <c r="AU2613" s="79"/>
      <c r="AV2613" s="79"/>
      <c r="AW2613" s="79"/>
      <c r="AX2613" s="79"/>
      <c r="AZ2613" s="81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</row>
    <row r="2614" spans="35:68" x14ac:dyDescent="0.25">
      <c r="AI2614" s="49"/>
      <c r="AJ2614" s="78"/>
      <c r="AK2614" s="79"/>
      <c r="AL2614" s="79"/>
      <c r="AM2614" s="79"/>
      <c r="AN2614" s="79"/>
      <c r="AO2614" s="79"/>
      <c r="AP2614" s="79"/>
      <c r="AQ2614" s="79"/>
      <c r="AR2614" s="78"/>
      <c r="AS2614" s="78"/>
      <c r="AT2614" s="79"/>
      <c r="AU2614" s="79"/>
      <c r="AV2614" s="79"/>
      <c r="AW2614" s="79"/>
      <c r="AX2614" s="79"/>
      <c r="AZ2614" s="81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</row>
    <row r="2615" spans="35:68" x14ac:dyDescent="0.25">
      <c r="AI2615" s="49"/>
      <c r="AJ2615" s="78"/>
      <c r="AK2615" s="79"/>
      <c r="AL2615" s="79"/>
      <c r="AM2615" s="79"/>
      <c r="AN2615" s="79"/>
      <c r="AO2615" s="79"/>
      <c r="AP2615" s="79"/>
      <c r="AQ2615" s="79"/>
      <c r="AR2615" s="78"/>
      <c r="AS2615" s="78"/>
      <c r="AT2615" s="79"/>
      <c r="AU2615" s="79"/>
      <c r="AV2615" s="79"/>
      <c r="AW2615" s="79"/>
      <c r="AX2615" s="79"/>
      <c r="AZ2615" s="81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</row>
    <row r="2616" spans="35:68" x14ac:dyDescent="0.25">
      <c r="AI2616" s="49"/>
      <c r="AJ2616" s="78"/>
      <c r="AK2616" s="79"/>
      <c r="AL2616" s="79"/>
      <c r="AM2616" s="79"/>
      <c r="AN2616" s="79"/>
      <c r="AO2616" s="79"/>
      <c r="AP2616" s="79"/>
      <c r="AQ2616" s="79"/>
      <c r="AR2616" s="78"/>
      <c r="AS2616" s="78"/>
      <c r="AT2616" s="79"/>
      <c r="AU2616" s="79"/>
      <c r="AV2616" s="79"/>
      <c r="AW2616" s="79"/>
      <c r="AX2616" s="79"/>
      <c r="AZ2616" s="81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</row>
    <row r="2617" spans="35:68" x14ac:dyDescent="0.25">
      <c r="AI2617" s="49"/>
      <c r="AJ2617" s="78"/>
      <c r="AK2617" s="79"/>
      <c r="AL2617" s="79"/>
      <c r="AM2617" s="79"/>
      <c r="AN2617" s="79"/>
      <c r="AO2617" s="79"/>
      <c r="AP2617" s="79"/>
      <c r="AQ2617" s="79"/>
      <c r="AR2617" s="78"/>
      <c r="AS2617" s="78"/>
      <c r="AT2617" s="79"/>
      <c r="AU2617" s="79"/>
      <c r="AV2617" s="79"/>
      <c r="AW2617" s="79"/>
      <c r="AX2617" s="79"/>
      <c r="AZ2617" s="81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</row>
    <row r="2618" spans="35:68" x14ac:dyDescent="0.25">
      <c r="AI2618" s="49"/>
      <c r="AJ2618" s="78"/>
      <c r="AK2618" s="79"/>
      <c r="AL2618" s="79"/>
      <c r="AM2618" s="79"/>
      <c r="AN2618" s="79"/>
      <c r="AO2618" s="79"/>
      <c r="AP2618" s="79"/>
      <c r="AQ2618" s="79"/>
      <c r="AR2618" s="78"/>
      <c r="AS2618" s="78"/>
      <c r="AT2618" s="79"/>
      <c r="AU2618" s="79"/>
      <c r="AV2618" s="79"/>
      <c r="AW2618" s="79"/>
      <c r="AX2618" s="79"/>
      <c r="AZ2618" s="81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</row>
    <row r="2619" spans="35:68" x14ac:dyDescent="0.25">
      <c r="AI2619" s="49"/>
      <c r="AJ2619" s="78"/>
      <c r="AK2619" s="79"/>
      <c r="AL2619" s="79"/>
      <c r="AM2619" s="79"/>
      <c r="AN2619" s="79"/>
      <c r="AO2619" s="79"/>
      <c r="AP2619" s="79"/>
      <c r="AQ2619" s="79"/>
      <c r="AR2619" s="78"/>
      <c r="AS2619" s="78"/>
      <c r="AT2619" s="79"/>
      <c r="AU2619" s="79"/>
      <c r="AV2619" s="79"/>
      <c r="AW2619" s="79"/>
      <c r="AX2619" s="79"/>
      <c r="AZ2619" s="81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</row>
    <row r="2620" spans="35:68" x14ac:dyDescent="0.25">
      <c r="AI2620" s="49"/>
      <c r="AJ2620" s="78"/>
      <c r="AK2620" s="79"/>
      <c r="AL2620" s="79"/>
      <c r="AM2620" s="79"/>
      <c r="AN2620" s="79"/>
      <c r="AO2620" s="79"/>
      <c r="AP2620" s="79"/>
      <c r="AQ2620" s="79"/>
      <c r="AR2620" s="78"/>
      <c r="AS2620" s="78"/>
      <c r="AT2620" s="79"/>
      <c r="AU2620" s="79"/>
      <c r="AV2620" s="79"/>
      <c r="AW2620" s="79"/>
      <c r="AX2620" s="79"/>
      <c r="AZ2620" s="81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</row>
    <row r="2621" spans="35:68" x14ac:dyDescent="0.25">
      <c r="AI2621" s="49"/>
      <c r="AJ2621" s="78"/>
      <c r="AK2621" s="79"/>
      <c r="AL2621" s="79"/>
      <c r="AM2621" s="79"/>
      <c r="AN2621" s="79"/>
      <c r="AO2621" s="79"/>
      <c r="AP2621" s="79"/>
      <c r="AQ2621" s="79"/>
      <c r="AR2621" s="78"/>
      <c r="AS2621" s="78"/>
      <c r="AT2621" s="79"/>
      <c r="AU2621" s="79"/>
      <c r="AV2621" s="79"/>
      <c r="AW2621" s="79"/>
      <c r="AX2621" s="79"/>
      <c r="AZ2621" s="81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</row>
    <row r="2622" spans="35:68" x14ac:dyDescent="0.25">
      <c r="AI2622" s="49"/>
      <c r="AJ2622" s="78"/>
      <c r="AK2622" s="79"/>
      <c r="AL2622" s="79"/>
      <c r="AM2622" s="79"/>
      <c r="AN2622" s="79"/>
      <c r="AO2622" s="79"/>
      <c r="AP2622" s="79"/>
      <c r="AQ2622" s="79"/>
      <c r="AR2622" s="78"/>
      <c r="AS2622" s="78"/>
      <c r="AT2622" s="79"/>
      <c r="AU2622" s="79"/>
      <c r="AV2622" s="79"/>
      <c r="AW2622" s="79"/>
      <c r="AX2622" s="79"/>
      <c r="AZ2622" s="81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</row>
    <row r="2623" spans="35:68" x14ac:dyDescent="0.25">
      <c r="AI2623" s="49"/>
      <c r="AJ2623" s="78"/>
      <c r="AK2623" s="79"/>
      <c r="AL2623" s="79"/>
      <c r="AM2623" s="79"/>
      <c r="AN2623" s="79"/>
      <c r="AO2623" s="79"/>
      <c r="AP2623" s="79"/>
      <c r="AQ2623" s="79"/>
      <c r="AR2623" s="78"/>
      <c r="AS2623" s="78"/>
      <c r="AT2623" s="79"/>
      <c r="AU2623" s="79"/>
      <c r="AV2623" s="79"/>
      <c r="AW2623" s="79"/>
      <c r="AX2623" s="79"/>
      <c r="AZ2623" s="81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</row>
    <row r="2624" spans="35:68" x14ac:dyDescent="0.25">
      <c r="AI2624" s="49"/>
      <c r="AJ2624" s="78"/>
      <c r="AK2624" s="79"/>
      <c r="AL2624" s="79"/>
      <c r="AM2624" s="79"/>
      <c r="AN2624" s="79"/>
      <c r="AO2624" s="79"/>
      <c r="AP2624" s="79"/>
      <c r="AQ2624" s="79"/>
      <c r="AR2624" s="78"/>
      <c r="AS2624" s="78"/>
      <c r="AT2624" s="79"/>
      <c r="AU2624" s="79"/>
      <c r="AV2624" s="79"/>
      <c r="AW2624" s="79"/>
      <c r="AX2624" s="79"/>
      <c r="AZ2624" s="81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</row>
    <row r="2625" spans="35:68" x14ac:dyDescent="0.25">
      <c r="AI2625" s="49"/>
      <c r="AJ2625" s="78"/>
      <c r="AK2625" s="79"/>
      <c r="AL2625" s="79"/>
      <c r="AM2625" s="79"/>
      <c r="AN2625" s="79"/>
      <c r="AO2625" s="79"/>
      <c r="AP2625" s="79"/>
      <c r="AQ2625" s="79"/>
      <c r="AR2625" s="78"/>
      <c r="AS2625" s="78"/>
      <c r="AT2625" s="79"/>
      <c r="AU2625" s="79"/>
      <c r="AV2625" s="79"/>
      <c r="AW2625" s="79"/>
      <c r="AX2625" s="79"/>
      <c r="AZ2625" s="81"/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</row>
    <row r="2626" spans="35:68" x14ac:dyDescent="0.25">
      <c r="AI2626" s="49"/>
      <c r="AJ2626" s="78"/>
      <c r="AK2626" s="79"/>
      <c r="AL2626" s="79"/>
      <c r="AM2626" s="79"/>
      <c r="AN2626" s="79"/>
      <c r="AO2626" s="79"/>
      <c r="AP2626" s="79"/>
      <c r="AQ2626" s="79"/>
      <c r="AR2626" s="78"/>
      <c r="AS2626" s="78"/>
      <c r="AT2626" s="79"/>
      <c r="AU2626" s="79"/>
      <c r="AV2626" s="79"/>
      <c r="AW2626" s="79"/>
      <c r="AX2626" s="79"/>
      <c r="AZ2626" s="81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</row>
    <row r="2627" spans="35:68" x14ac:dyDescent="0.25">
      <c r="AI2627" s="49"/>
      <c r="AJ2627" s="78"/>
      <c r="AK2627" s="79"/>
      <c r="AL2627" s="79"/>
      <c r="AM2627" s="79"/>
      <c r="AN2627" s="79"/>
      <c r="AO2627" s="79"/>
      <c r="AP2627" s="79"/>
      <c r="AQ2627" s="79"/>
      <c r="AR2627" s="78"/>
      <c r="AS2627" s="78"/>
      <c r="AT2627" s="79"/>
      <c r="AU2627" s="79"/>
      <c r="AV2627" s="79"/>
      <c r="AW2627" s="79"/>
      <c r="AX2627" s="79"/>
      <c r="AZ2627" s="81"/>
      <c r="BB2627" s="5"/>
      <c r="BC2627" s="5"/>
      <c r="BD2627" s="5"/>
      <c r="BE2627" s="5"/>
      <c r="BF2627" s="5"/>
      <c r="BG2627" s="5"/>
      <c r="BH2627" s="5"/>
      <c r="BI2627" s="5"/>
      <c r="BJ2627" s="5"/>
      <c r="BK2627" s="5"/>
      <c r="BL2627" s="5"/>
      <c r="BM2627" s="5"/>
      <c r="BN2627" s="5"/>
      <c r="BO2627" s="5"/>
      <c r="BP2627" s="5"/>
    </row>
    <row r="2628" spans="35:68" x14ac:dyDescent="0.25">
      <c r="AI2628" s="49"/>
      <c r="AJ2628" s="78"/>
      <c r="AK2628" s="79"/>
      <c r="AL2628" s="79"/>
      <c r="AM2628" s="79"/>
      <c r="AN2628" s="79"/>
      <c r="AO2628" s="79"/>
      <c r="AP2628" s="79"/>
      <c r="AQ2628" s="79"/>
      <c r="AR2628" s="78"/>
      <c r="AS2628" s="78"/>
      <c r="AT2628" s="79"/>
      <c r="AU2628" s="79"/>
      <c r="AV2628" s="79"/>
      <c r="AW2628" s="79"/>
      <c r="AX2628" s="79"/>
      <c r="AZ2628" s="81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</row>
    <row r="2629" spans="35:68" x14ac:dyDescent="0.25">
      <c r="AI2629" s="49"/>
      <c r="AJ2629" s="78"/>
      <c r="AK2629" s="79"/>
      <c r="AL2629" s="79"/>
      <c r="AM2629" s="79"/>
      <c r="AN2629" s="79"/>
      <c r="AO2629" s="79"/>
      <c r="AP2629" s="79"/>
      <c r="AQ2629" s="79"/>
      <c r="AR2629" s="78"/>
      <c r="AS2629" s="78"/>
      <c r="AT2629" s="79"/>
      <c r="AU2629" s="79"/>
      <c r="AV2629" s="79"/>
      <c r="AW2629" s="79"/>
      <c r="AX2629" s="79"/>
      <c r="AZ2629" s="81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</row>
    <row r="2630" spans="35:68" x14ac:dyDescent="0.25">
      <c r="AI2630" s="49"/>
      <c r="AJ2630" s="78"/>
      <c r="AK2630" s="79"/>
      <c r="AL2630" s="79"/>
      <c r="AM2630" s="79"/>
      <c r="AN2630" s="79"/>
      <c r="AO2630" s="79"/>
      <c r="AP2630" s="79"/>
      <c r="AQ2630" s="79"/>
      <c r="AR2630" s="78"/>
      <c r="AS2630" s="78"/>
      <c r="AT2630" s="79"/>
      <c r="AU2630" s="79"/>
      <c r="AV2630" s="79"/>
      <c r="AW2630" s="79"/>
      <c r="AX2630" s="79"/>
      <c r="AZ2630" s="81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</row>
    <row r="2631" spans="35:68" x14ac:dyDescent="0.25">
      <c r="AI2631" s="49"/>
      <c r="AJ2631" s="78"/>
      <c r="AK2631" s="79"/>
      <c r="AL2631" s="79"/>
      <c r="AM2631" s="79"/>
      <c r="AN2631" s="79"/>
      <c r="AO2631" s="79"/>
      <c r="AP2631" s="79"/>
      <c r="AQ2631" s="79"/>
      <c r="AR2631" s="78"/>
      <c r="AS2631" s="78"/>
      <c r="AT2631" s="79"/>
      <c r="AU2631" s="79"/>
      <c r="AV2631" s="79"/>
      <c r="AW2631" s="79"/>
      <c r="AX2631" s="79"/>
      <c r="AZ2631" s="81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</row>
    <row r="2632" spans="35:68" x14ac:dyDescent="0.25">
      <c r="AI2632" s="49"/>
      <c r="AJ2632" s="78"/>
      <c r="AK2632" s="79"/>
      <c r="AL2632" s="79"/>
      <c r="AM2632" s="79"/>
      <c r="AN2632" s="79"/>
      <c r="AO2632" s="79"/>
      <c r="AP2632" s="79"/>
      <c r="AQ2632" s="79"/>
      <c r="AR2632" s="78"/>
      <c r="AS2632" s="78"/>
      <c r="AT2632" s="79"/>
      <c r="AU2632" s="79"/>
      <c r="AV2632" s="79"/>
      <c r="AW2632" s="79"/>
      <c r="AX2632" s="79"/>
      <c r="AZ2632" s="81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</row>
    <row r="2633" spans="35:68" x14ac:dyDescent="0.25">
      <c r="AI2633" s="49"/>
      <c r="AJ2633" s="78"/>
      <c r="AK2633" s="79"/>
      <c r="AL2633" s="79"/>
      <c r="AM2633" s="79"/>
      <c r="AN2633" s="79"/>
      <c r="AO2633" s="79"/>
      <c r="AP2633" s="79"/>
      <c r="AQ2633" s="79"/>
      <c r="AR2633" s="78"/>
      <c r="AS2633" s="78"/>
      <c r="AT2633" s="79"/>
      <c r="AU2633" s="79"/>
      <c r="AV2633" s="79"/>
      <c r="AW2633" s="79"/>
      <c r="AX2633" s="79"/>
      <c r="AZ2633" s="81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</row>
    <row r="2634" spans="35:68" x14ac:dyDescent="0.25">
      <c r="AI2634" s="49"/>
      <c r="AJ2634" s="78"/>
      <c r="AK2634" s="79"/>
      <c r="AL2634" s="79"/>
      <c r="AM2634" s="79"/>
      <c r="AN2634" s="79"/>
      <c r="AO2634" s="79"/>
      <c r="AP2634" s="79"/>
      <c r="AQ2634" s="79"/>
      <c r="AR2634" s="78"/>
      <c r="AS2634" s="78"/>
      <c r="AT2634" s="79"/>
      <c r="AU2634" s="79"/>
      <c r="AV2634" s="79"/>
      <c r="AW2634" s="79"/>
      <c r="AX2634" s="79"/>
      <c r="AZ2634" s="81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</row>
    <row r="2635" spans="35:68" x14ac:dyDescent="0.25">
      <c r="AI2635" s="49"/>
      <c r="AJ2635" s="78"/>
      <c r="AK2635" s="79"/>
      <c r="AL2635" s="79"/>
      <c r="AM2635" s="79"/>
      <c r="AN2635" s="79"/>
      <c r="AO2635" s="79"/>
      <c r="AP2635" s="79"/>
      <c r="AQ2635" s="79"/>
      <c r="AR2635" s="78"/>
      <c r="AS2635" s="78"/>
      <c r="AT2635" s="79"/>
      <c r="AU2635" s="79"/>
      <c r="AV2635" s="79"/>
      <c r="AW2635" s="79"/>
      <c r="AX2635" s="79"/>
      <c r="AZ2635" s="81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</row>
    <row r="2636" spans="35:68" x14ac:dyDescent="0.25">
      <c r="AI2636" s="49"/>
      <c r="AJ2636" s="78"/>
      <c r="AK2636" s="79"/>
      <c r="AL2636" s="79"/>
      <c r="AM2636" s="79"/>
      <c r="AN2636" s="79"/>
      <c r="AO2636" s="79"/>
      <c r="AP2636" s="79"/>
      <c r="AQ2636" s="79"/>
      <c r="AR2636" s="78"/>
      <c r="AS2636" s="78"/>
      <c r="AT2636" s="79"/>
      <c r="AU2636" s="79"/>
      <c r="AV2636" s="79"/>
      <c r="AW2636" s="79"/>
      <c r="AX2636" s="79"/>
      <c r="AZ2636" s="81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</row>
    <row r="2637" spans="35:68" x14ac:dyDescent="0.25">
      <c r="AI2637" s="49"/>
      <c r="AJ2637" s="78"/>
      <c r="AK2637" s="79"/>
      <c r="AL2637" s="79"/>
      <c r="AM2637" s="79"/>
      <c r="AN2637" s="79"/>
      <c r="AO2637" s="79"/>
      <c r="AP2637" s="79"/>
      <c r="AQ2637" s="79"/>
      <c r="AR2637" s="78"/>
      <c r="AS2637" s="78"/>
      <c r="AT2637" s="79"/>
      <c r="AU2637" s="79"/>
      <c r="AV2637" s="79"/>
      <c r="AW2637" s="79"/>
      <c r="AX2637" s="79"/>
      <c r="AZ2637" s="81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5"/>
    </row>
    <row r="2638" spans="35:68" x14ac:dyDescent="0.25">
      <c r="AI2638" s="49"/>
      <c r="AJ2638" s="78"/>
      <c r="AK2638" s="79"/>
      <c r="AL2638" s="79"/>
      <c r="AM2638" s="79"/>
      <c r="AN2638" s="79"/>
      <c r="AO2638" s="79"/>
      <c r="AP2638" s="79"/>
      <c r="AQ2638" s="79"/>
      <c r="AR2638" s="78"/>
      <c r="AS2638" s="78"/>
      <c r="AT2638" s="79"/>
      <c r="AU2638" s="79"/>
      <c r="AV2638" s="79"/>
      <c r="AW2638" s="79"/>
      <c r="AX2638" s="79"/>
      <c r="AZ2638" s="81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</row>
    <row r="2639" spans="35:68" x14ac:dyDescent="0.25">
      <c r="AI2639" s="49"/>
      <c r="AJ2639" s="78"/>
      <c r="AK2639" s="79"/>
      <c r="AL2639" s="79"/>
      <c r="AM2639" s="79"/>
      <c r="AN2639" s="79"/>
      <c r="AO2639" s="79"/>
      <c r="AP2639" s="79"/>
      <c r="AQ2639" s="79"/>
      <c r="AR2639" s="78"/>
      <c r="AS2639" s="78"/>
      <c r="AT2639" s="79"/>
      <c r="AU2639" s="79"/>
      <c r="AV2639" s="79"/>
      <c r="AW2639" s="79"/>
      <c r="AX2639" s="79"/>
      <c r="AZ2639" s="81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</row>
    <row r="2640" spans="35:68" x14ac:dyDescent="0.25">
      <c r="AI2640" s="49"/>
      <c r="AJ2640" s="78"/>
      <c r="AK2640" s="79"/>
      <c r="AL2640" s="79"/>
      <c r="AM2640" s="79"/>
      <c r="AN2640" s="79"/>
      <c r="AO2640" s="79"/>
      <c r="AP2640" s="79"/>
      <c r="AQ2640" s="79"/>
      <c r="AR2640" s="78"/>
      <c r="AS2640" s="78"/>
      <c r="AT2640" s="79"/>
      <c r="AU2640" s="79"/>
      <c r="AV2640" s="79"/>
      <c r="AW2640" s="79"/>
      <c r="AX2640" s="79"/>
      <c r="AZ2640" s="81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</row>
    <row r="2641" spans="35:68" x14ac:dyDescent="0.25">
      <c r="AI2641" s="49"/>
      <c r="AJ2641" s="78"/>
      <c r="AK2641" s="79"/>
      <c r="AL2641" s="79"/>
      <c r="AM2641" s="79"/>
      <c r="AN2641" s="79"/>
      <c r="AO2641" s="79"/>
      <c r="AP2641" s="79"/>
      <c r="AQ2641" s="79"/>
      <c r="AR2641" s="78"/>
      <c r="AS2641" s="78"/>
      <c r="AT2641" s="79"/>
      <c r="AU2641" s="79"/>
      <c r="AV2641" s="79"/>
      <c r="AW2641" s="79"/>
      <c r="AX2641" s="79"/>
      <c r="AZ2641" s="81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</row>
    <row r="2642" spans="35:68" x14ac:dyDescent="0.25">
      <c r="AI2642" s="49"/>
      <c r="AJ2642" s="78"/>
      <c r="AK2642" s="79"/>
      <c r="AL2642" s="79"/>
      <c r="AM2642" s="79"/>
      <c r="AN2642" s="79"/>
      <c r="AO2642" s="79"/>
      <c r="AP2642" s="79"/>
      <c r="AQ2642" s="79"/>
      <c r="AR2642" s="78"/>
      <c r="AS2642" s="78"/>
      <c r="AT2642" s="79"/>
      <c r="AU2642" s="79"/>
      <c r="AV2642" s="79"/>
      <c r="AW2642" s="79"/>
      <c r="AX2642" s="79"/>
      <c r="AZ2642" s="81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</row>
    <row r="2643" spans="35:68" x14ac:dyDescent="0.25">
      <c r="AI2643" s="49"/>
      <c r="AJ2643" s="78"/>
      <c r="AK2643" s="79"/>
      <c r="AL2643" s="79"/>
      <c r="AM2643" s="79"/>
      <c r="AN2643" s="79"/>
      <c r="AO2643" s="79"/>
      <c r="AP2643" s="79"/>
      <c r="AQ2643" s="79"/>
      <c r="AR2643" s="78"/>
      <c r="AS2643" s="78"/>
      <c r="AT2643" s="79"/>
      <c r="AU2643" s="79"/>
      <c r="AV2643" s="79"/>
      <c r="AW2643" s="79"/>
      <c r="AX2643" s="79"/>
      <c r="AZ2643" s="81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</row>
    <row r="2644" spans="35:68" x14ac:dyDescent="0.25">
      <c r="AI2644" s="49"/>
      <c r="AJ2644" s="78"/>
      <c r="AK2644" s="79"/>
      <c r="AL2644" s="79"/>
      <c r="AM2644" s="79"/>
      <c r="AN2644" s="79"/>
      <c r="AO2644" s="79"/>
      <c r="AP2644" s="79"/>
      <c r="AQ2644" s="79"/>
      <c r="AR2644" s="78"/>
      <c r="AS2644" s="78"/>
      <c r="AT2644" s="79"/>
      <c r="AU2644" s="79"/>
      <c r="AV2644" s="79"/>
      <c r="AW2644" s="79"/>
      <c r="AX2644" s="79"/>
      <c r="AZ2644" s="81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</row>
    <row r="2645" spans="35:68" x14ac:dyDescent="0.25">
      <c r="AI2645" s="49"/>
      <c r="AJ2645" s="78"/>
      <c r="AK2645" s="79"/>
      <c r="AL2645" s="79"/>
      <c r="AM2645" s="79"/>
      <c r="AN2645" s="79"/>
      <c r="AO2645" s="79"/>
      <c r="AP2645" s="79"/>
      <c r="AQ2645" s="79"/>
      <c r="AR2645" s="78"/>
      <c r="AS2645" s="78"/>
      <c r="AT2645" s="79"/>
      <c r="AU2645" s="79"/>
      <c r="AV2645" s="79"/>
      <c r="AW2645" s="79"/>
      <c r="AX2645" s="79"/>
      <c r="AZ2645" s="81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</row>
    <row r="2646" spans="35:68" x14ac:dyDescent="0.25">
      <c r="AI2646" s="49"/>
      <c r="AJ2646" s="78"/>
      <c r="AK2646" s="79"/>
      <c r="AL2646" s="79"/>
      <c r="AM2646" s="79"/>
      <c r="AN2646" s="79"/>
      <c r="AO2646" s="79"/>
      <c r="AP2646" s="79"/>
      <c r="AQ2646" s="79"/>
      <c r="AR2646" s="78"/>
      <c r="AS2646" s="78"/>
      <c r="AT2646" s="79"/>
      <c r="AU2646" s="79"/>
      <c r="AV2646" s="79"/>
      <c r="AW2646" s="79"/>
      <c r="AX2646" s="79"/>
      <c r="AZ2646" s="81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</row>
    <row r="2647" spans="35:68" x14ac:dyDescent="0.25">
      <c r="AI2647" s="49"/>
      <c r="AJ2647" s="78"/>
      <c r="AK2647" s="79"/>
      <c r="AL2647" s="79"/>
      <c r="AM2647" s="79"/>
      <c r="AN2647" s="79"/>
      <c r="AO2647" s="79"/>
      <c r="AP2647" s="79"/>
      <c r="AQ2647" s="79"/>
      <c r="AR2647" s="78"/>
      <c r="AS2647" s="78"/>
      <c r="AT2647" s="79"/>
      <c r="AU2647" s="79"/>
      <c r="AV2647" s="79"/>
      <c r="AW2647" s="79"/>
      <c r="AX2647" s="79"/>
      <c r="AZ2647" s="81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</row>
    <row r="2648" spans="35:68" x14ac:dyDescent="0.25">
      <c r="AI2648" s="49"/>
      <c r="AJ2648" s="78"/>
      <c r="AK2648" s="79"/>
      <c r="AL2648" s="79"/>
      <c r="AM2648" s="79"/>
      <c r="AN2648" s="79"/>
      <c r="AO2648" s="79"/>
      <c r="AP2648" s="79"/>
      <c r="AQ2648" s="79"/>
      <c r="AR2648" s="78"/>
      <c r="AS2648" s="78"/>
      <c r="AT2648" s="79"/>
      <c r="AU2648" s="79"/>
      <c r="AV2648" s="79"/>
      <c r="AW2648" s="79"/>
      <c r="AX2648" s="79"/>
      <c r="AZ2648" s="81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</row>
    <row r="2649" spans="35:68" x14ac:dyDescent="0.25">
      <c r="AI2649" s="49"/>
      <c r="AJ2649" s="78"/>
      <c r="AK2649" s="79"/>
      <c r="AL2649" s="79"/>
      <c r="AM2649" s="79"/>
      <c r="AN2649" s="79"/>
      <c r="AO2649" s="79"/>
      <c r="AP2649" s="79"/>
      <c r="AQ2649" s="79"/>
      <c r="AR2649" s="78"/>
      <c r="AS2649" s="78"/>
      <c r="AT2649" s="79"/>
      <c r="AU2649" s="79"/>
      <c r="AV2649" s="79"/>
      <c r="AW2649" s="79"/>
      <c r="AX2649" s="79"/>
      <c r="AZ2649" s="81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</row>
    <row r="2650" spans="35:68" x14ac:dyDescent="0.25">
      <c r="AI2650" s="49"/>
      <c r="AJ2650" s="78"/>
      <c r="AK2650" s="79"/>
      <c r="AL2650" s="79"/>
      <c r="AM2650" s="79"/>
      <c r="AN2650" s="79"/>
      <c r="AO2650" s="79"/>
      <c r="AP2650" s="79"/>
      <c r="AQ2650" s="79"/>
      <c r="AR2650" s="78"/>
      <c r="AS2650" s="78"/>
      <c r="AT2650" s="79"/>
      <c r="AU2650" s="79"/>
      <c r="AV2650" s="79"/>
      <c r="AW2650" s="79"/>
      <c r="AX2650" s="79"/>
      <c r="AZ2650" s="81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</row>
    <row r="2651" spans="35:68" x14ac:dyDescent="0.25">
      <c r="AI2651" s="49"/>
      <c r="AJ2651" s="78"/>
      <c r="AK2651" s="79"/>
      <c r="AL2651" s="79"/>
      <c r="AM2651" s="79"/>
      <c r="AN2651" s="79"/>
      <c r="AO2651" s="79"/>
      <c r="AP2651" s="79"/>
      <c r="AQ2651" s="79"/>
      <c r="AR2651" s="78"/>
      <c r="AS2651" s="78"/>
      <c r="AT2651" s="79"/>
      <c r="AU2651" s="79"/>
      <c r="AV2651" s="79"/>
      <c r="AW2651" s="79"/>
      <c r="AX2651" s="79"/>
      <c r="AZ2651" s="81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</row>
    <row r="2652" spans="35:68" x14ac:dyDescent="0.25">
      <c r="AI2652" s="49"/>
      <c r="AJ2652" s="78"/>
      <c r="AK2652" s="79"/>
      <c r="AL2652" s="79"/>
      <c r="AM2652" s="79"/>
      <c r="AN2652" s="79"/>
      <c r="AO2652" s="79"/>
      <c r="AP2652" s="79"/>
      <c r="AQ2652" s="79"/>
      <c r="AR2652" s="78"/>
      <c r="AS2652" s="78"/>
      <c r="AT2652" s="79"/>
      <c r="AU2652" s="79"/>
      <c r="AV2652" s="79"/>
      <c r="AW2652" s="79"/>
      <c r="AX2652" s="79"/>
      <c r="AZ2652" s="81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</row>
    <row r="2653" spans="35:68" x14ac:dyDescent="0.25">
      <c r="AI2653" s="49"/>
      <c r="AJ2653" s="78"/>
      <c r="AK2653" s="79"/>
      <c r="AL2653" s="79"/>
      <c r="AM2653" s="79"/>
      <c r="AN2653" s="79"/>
      <c r="AO2653" s="79"/>
      <c r="AP2653" s="79"/>
      <c r="AQ2653" s="79"/>
      <c r="AR2653" s="78"/>
      <c r="AS2653" s="78"/>
      <c r="AT2653" s="79"/>
      <c r="AU2653" s="79"/>
      <c r="AV2653" s="79"/>
      <c r="AW2653" s="79"/>
      <c r="AX2653" s="79"/>
      <c r="AZ2653" s="81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</row>
    <row r="2654" spans="35:68" x14ac:dyDescent="0.25">
      <c r="AI2654" s="49"/>
      <c r="AJ2654" s="78"/>
      <c r="AK2654" s="79"/>
      <c r="AL2654" s="79"/>
      <c r="AM2654" s="79"/>
      <c r="AN2654" s="79"/>
      <c r="AO2654" s="79"/>
      <c r="AP2654" s="79"/>
      <c r="AQ2654" s="79"/>
      <c r="AR2654" s="78"/>
      <c r="AS2654" s="78"/>
      <c r="AT2654" s="79"/>
      <c r="AU2654" s="79"/>
      <c r="AV2654" s="79"/>
      <c r="AW2654" s="79"/>
      <c r="AX2654" s="79"/>
      <c r="AZ2654" s="81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</row>
    <row r="2655" spans="35:68" x14ac:dyDescent="0.25">
      <c r="AI2655" s="49"/>
      <c r="AJ2655" s="78"/>
      <c r="AK2655" s="79"/>
      <c r="AL2655" s="79"/>
      <c r="AM2655" s="79"/>
      <c r="AN2655" s="79"/>
      <c r="AO2655" s="79"/>
      <c r="AP2655" s="79"/>
      <c r="AQ2655" s="79"/>
      <c r="AR2655" s="78"/>
      <c r="AS2655" s="78"/>
      <c r="AT2655" s="79"/>
      <c r="AU2655" s="79"/>
      <c r="AV2655" s="79"/>
      <c r="AW2655" s="79"/>
      <c r="AX2655" s="79"/>
      <c r="AZ2655" s="81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5"/>
      <c r="BM2655" s="5"/>
      <c r="BN2655" s="5"/>
      <c r="BO2655" s="5"/>
      <c r="BP2655" s="5"/>
    </row>
    <row r="2656" spans="35:68" x14ac:dyDescent="0.25">
      <c r="AI2656" s="49"/>
      <c r="AJ2656" s="78"/>
      <c r="AK2656" s="79"/>
      <c r="AL2656" s="79"/>
      <c r="AM2656" s="79"/>
      <c r="AN2656" s="79"/>
      <c r="AO2656" s="79"/>
      <c r="AP2656" s="79"/>
      <c r="AQ2656" s="79"/>
      <c r="AR2656" s="78"/>
      <c r="AS2656" s="78"/>
      <c r="AT2656" s="79"/>
      <c r="AU2656" s="79"/>
      <c r="AV2656" s="79"/>
      <c r="AW2656" s="79"/>
      <c r="AX2656" s="79"/>
      <c r="AZ2656" s="81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</row>
    <row r="2657" spans="35:68" x14ac:dyDescent="0.25">
      <c r="AI2657" s="49"/>
      <c r="AJ2657" s="78"/>
      <c r="AK2657" s="79"/>
      <c r="AL2657" s="79"/>
      <c r="AM2657" s="79"/>
      <c r="AN2657" s="79"/>
      <c r="AO2657" s="79"/>
      <c r="AP2657" s="79"/>
      <c r="AQ2657" s="79"/>
      <c r="AR2657" s="78"/>
      <c r="AS2657" s="78"/>
      <c r="AT2657" s="79"/>
      <c r="AU2657" s="79"/>
      <c r="AV2657" s="79"/>
      <c r="AW2657" s="79"/>
      <c r="AX2657" s="79"/>
      <c r="AZ2657" s="81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</row>
    <row r="2658" spans="35:68" x14ac:dyDescent="0.25">
      <c r="AI2658" s="49"/>
      <c r="AJ2658" s="78"/>
      <c r="AK2658" s="79"/>
      <c r="AL2658" s="79"/>
      <c r="AM2658" s="79"/>
      <c r="AN2658" s="79"/>
      <c r="AO2658" s="79"/>
      <c r="AP2658" s="79"/>
      <c r="AQ2658" s="79"/>
      <c r="AR2658" s="78"/>
      <c r="AS2658" s="78"/>
      <c r="AT2658" s="79"/>
      <c r="AU2658" s="79"/>
      <c r="AV2658" s="79"/>
      <c r="AW2658" s="79"/>
      <c r="AX2658" s="79"/>
      <c r="AZ2658" s="81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</row>
    <row r="2659" spans="35:68" x14ac:dyDescent="0.25">
      <c r="AI2659" s="49"/>
      <c r="AJ2659" s="78"/>
      <c r="AK2659" s="79"/>
      <c r="AL2659" s="79"/>
      <c r="AM2659" s="79"/>
      <c r="AN2659" s="79"/>
      <c r="AO2659" s="79"/>
      <c r="AP2659" s="79"/>
      <c r="AQ2659" s="79"/>
      <c r="AR2659" s="78"/>
      <c r="AS2659" s="78"/>
      <c r="AT2659" s="79"/>
      <c r="AU2659" s="79"/>
      <c r="AV2659" s="79"/>
      <c r="AW2659" s="79"/>
      <c r="AX2659" s="79"/>
      <c r="AZ2659" s="81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</row>
    <row r="2660" spans="35:68" x14ac:dyDescent="0.25">
      <c r="AI2660" s="49"/>
      <c r="AJ2660" s="78"/>
      <c r="AK2660" s="79"/>
      <c r="AL2660" s="79"/>
      <c r="AM2660" s="79"/>
      <c r="AN2660" s="79"/>
      <c r="AO2660" s="79"/>
      <c r="AP2660" s="79"/>
      <c r="AQ2660" s="79"/>
      <c r="AR2660" s="78"/>
      <c r="AS2660" s="78"/>
      <c r="AT2660" s="79"/>
      <c r="AU2660" s="79"/>
      <c r="AV2660" s="79"/>
      <c r="AW2660" s="79"/>
      <c r="AX2660" s="79"/>
      <c r="AZ2660" s="81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</row>
    <row r="2661" spans="35:68" x14ac:dyDescent="0.25">
      <c r="AI2661" s="49"/>
      <c r="AJ2661" s="78"/>
      <c r="AK2661" s="79"/>
      <c r="AL2661" s="79"/>
      <c r="AM2661" s="79"/>
      <c r="AN2661" s="79"/>
      <c r="AO2661" s="79"/>
      <c r="AP2661" s="79"/>
      <c r="AQ2661" s="79"/>
      <c r="AR2661" s="78"/>
      <c r="AS2661" s="78"/>
      <c r="AT2661" s="79"/>
      <c r="AU2661" s="79"/>
      <c r="AV2661" s="79"/>
      <c r="AW2661" s="79"/>
      <c r="AX2661" s="79"/>
      <c r="AZ2661" s="81"/>
      <c r="BB2661" s="5"/>
      <c r="BC2661" s="5"/>
      <c r="BD2661" s="5"/>
      <c r="BE2661" s="5"/>
      <c r="BF2661" s="5"/>
      <c r="BG2661" s="5"/>
      <c r="BH2661" s="5"/>
      <c r="BI2661" s="5"/>
      <c r="BJ2661" s="5"/>
      <c r="BK2661" s="5"/>
      <c r="BL2661" s="5"/>
      <c r="BM2661" s="5"/>
      <c r="BN2661" s="5"/>
      <c r="BO2661" s="5"/>
      <c r="BP2661" s="5"/>
    </row>
    <row r="2662" spans="35:68" x14ac:dyDescent="0.25">
      <c r="AI2662" s="49"/>
      <c r="AJ2662" s="78"/>
      <c r="AK2662" s="79"/>
      <c r="AL2662" s="79"/>
      <c r="AM2662" s="79"/>
      <c r="AN2662" s="79"/>
      <c r="AO2662" s="79"/>
      <c r="AP2662" s="79"/>
      <c r="AQ2662" s="79"/>
      <c r="AR2662" s="78"/>
      <c r="AS2662" s="78"/>
      <c r="AT2662" s="79"/>
      <c r="AU2662" s="79"/>
      <c r="AV2662" s="79"/>
      <c r="AW2662" s="79"/>
      <c r="AX2662" s="79"/>
      <c r="AZ2662" s="81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</row>
    <row r="2663" spans="35:68" x14ac:dyDescent="0.25">
      <c r="AI2663" s="49"/>
      <c r="AJ2663" s="78"/>
      <c r="AK2663" s="79"/>
      <c r="AL2663" s="79"/>
      <c r="AM2663" s="79"/>
      <c r="AN2663" s="79"/>
      <c r="AO2663" s="79"/>
      <c r="AP2663" s="79"/>
      <c r="AQ2663" s="79"/>
      <c r="AR2663" s="78"/>
      <c r="AS2663" s="78"/>
      <c r="AT2663" s="79"/>
      <c r="AU2663" s="79"/>
      <c r="AV2663" s="79"/>
      <c r="AW2663" s="79"/>
      <c r="AX2663" s="79"/>
      <c r="AZ2663" s="81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</row>
    <row r="2664" spans="35:68" x14ac:dyDescent="0.25">
      <c r="AI2664" s="49"/>
      <c r="AJ2664" s="78"/>
      <c r="AK2664" s="79"/>
      <c r="AL2664" s="79"/>
      <c r="AM2664" s="79"/>
      <c r="AN2664" s="79"/>
      <c r="AO2664" s="79"/>
      <c r="AP2664" s="79"/>
      <c r="AQ2664" s="79"/>
      <c r="AR2664" s="78"/>
      <c r="AS2664" s="78"/>
      <c r="AT2664" s="79"/>
      <c r="AU2664" s="79"/>
      <c r="AV2664" s="79"/>
      <c r="AW2664" s="79"/>
      <c r="AX2664" s="79"/>
      <c r="AZ2664" s="81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</row>
    <row r="2665" spans="35:68" x14ac:dyDescent="0.25">
      <c r="AI2665" s="49"/>
      <c r="AJ2665" s="78"/>
      <c r="AK2665" s="79"/>
      <c r="AL2665" s="79"/>
      <c r="AM2665" s="79"/>
      <c r="AN2665" s="79"/>
      <c r="AO2665" s="79"/>
      <c r="AP2665" s="79"/>
      <c r="AQ2665" s="79"/>
      <c r="AR2665" s="78"/>
      <c r="AS2665" s="78"/>
      <c r="AT2665" s="79"/>
      <c r="AU2665" s="79"/>
      <c r="AV2665" s="79"/>
      <c r="AW2665" s="79"/>
      <c r="AX2665" s="79"/>
      <c r="AZ2665" s="81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</row>
    <row r="2666" spans="35:68" x14ac:dyDescent="0.25">
      <c r="AI2666" s="49"/>
      <c r="AJ2666" s="78"/>
      <c r="AK2666" s="79"/>
      <c r="AL2666" s="79"/>
      <c r="AM2666" s="79"/>
      <c r="AN2666" s="79"/>
      <c r="AO2666" s="79"/>
      <c r="AP2666" s="79"/>
      <c r="AQ2666" s="79"/>
      <c r="AR2666" s="78"/>
      <c r="AS2666" s="78"/>
      <c r="AT2666" s="79"/>
      <c r="AU2666" s="79"/>
      <c r="AV2666" s="79"/>
      <c r="AW2666" s="79"/>
      <c r="AX2666" s="79"/>
      <c r="AZ2666" s="81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</row>
    <row r="2667" spans="35:68" x14ac:dyDescent="0.25">
      <c r="AI2667" s="49"/>
      <c r="AJ2667" s="78"/>
      <c r="AK2667" s="79"/>
      <c r="AL2667" s="79"/>
      <c r="AM2667" s="79"/>
      <c r="AN2667" s="79"/>
      <c r="AO2667" s="79"/>
      <c r="AP2667" s="79"/>
      <c r="AQ2667" s="79"/>
      <c r="AR2667" s="78"/>
      <c r="AS2667" s="78"/>
      <c r="AT2667" s="79"/>
      <c r="AU2667" s="79"/>
      <c r="AV2667" s="79"/>
      <c r="AW2667" s="79"/>
      <c r="AX2667" s="79"/>
      <c r="AZ2667" s="81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</row>
    <row r="2668" spans="35:68" x14ac:dyDescent="0.25">
      <c r="AI2668" s="49"/>
      <c r="AJ2668" s="78"/>
      <c r="AK2668" s="79"/>
      <c r="AL2668" s="79"/>
      <c r="AM2668" s="79"/>
      <c r="AN2668" s="79"/>
      <c r="AO2668" s="79"/>
      <c r="AP2668" s="79"/>
      <c r="AQ2668" s="79"/>
      <c r="AR2668" s="78"/>
      <c r="AS2668" s="78"/>
      <c r="AT2668" s="79"/>
      <c r="AU2668" s="79"/>
      <c r="AV2668" s="79"/>
      <c r="AW2668" s="79"/>
      <c r="AX2668" s="79"/>
      <c r="AZ2668" s="81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</row>
    <row r="2669" spans="35:68" x14ac:dyDescent="0.25">
      <c r="AI2669" s="49"/>
      <c r="AJ2669" s="78"/>
      <c r="AK2669" s="79"/>
      <c r="AL2669" s="79"/>
      <c r="AM2669" s="79"/>
      <c r="AN2669" s="79"/>
      <c r="AO2669" s="79"/>
      <c r="AP2669" s="79"/>
      <c r="AQ2669" s="79"/>
      <c r="AR2669" s="78"/>
      <c r="AS2669" s="78"/>
      <c r="AT2669" s="79"/>
      <c r="AU2669" s="79"/>
      <c r="AV2669" s="79"/>
      <c r="AW2669" s="79"/>
      <c r="AX2669" s="79"/>
      <c r="AZ2669" s="81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</row>
    <row r="2670" spans="35:68" x14ac:dyDescent="0.25">
      <c r="AI2670" s="49"/>
      <c r="AJ2670" s="78"/>
      <c r="AK2670" s="79"/>
      <c r="AL2670" s="79"/>
      <c r="AM2670" s="79"/>
      <c r="AN2670" s="79"/>
      <c r="AO2670" s="79"/>
      <c r="AP2670" s="79"/>
      <c r="AQ2670" s="79"/>
      <c r="AR2670" s="78"/>
      <c r="AS2670" s="78"/>
      <c r="AT2670" s="79"/>
      <c r="AU2670" s="79"/>
      <c r="AV2670" s="79"/>
      <c r="AW2670" s="79"/>
      <c r="AX2670" s="79"/>
      <c r="AZ2670" s="81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</row>
    <row r="2671" spans="35:68" x14ac:dyDescent="0.25">
      <c r="AI2671" s="49"/>
      <c r="AJ2671" s="78"/>
      <c r="AK2671" s="79"/>
      <c r="AL2671" s="79"/>
      <c r="AM2671" s="79"/>
      <c r="AN2671" s="79"/>
      <c r="AO2671" s="79"/>
      <c r="AP2671" s="79"/>
      <c r="AQ2671" s="79"/>
      <c r="AR2671" s="78"/>
      <c r="AS2671" s="78"/>
      <c r="AT2671" s="79"/>
      <c r="AU2671" s="79"/>
      <c r="AV2671" s="79"/>
      <c r="AW2671" s="79"/>
      <c r="AX2671" s="79"/>
      <c r="AZ2671" s="81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5"/>
      <c r="BM2671" s="5"/>
      <c r="BN2671" s="5"/>
      <c r="BO2671" s="5"/>
      <c r="BP2671" s="5"/>
    </row>
    <row r="2672" spans="35:68" x14ac:dyDescent="0.25">
      <c r="AI2672" s="49"/>
      <c r="AJ2672" s="78"/>
      <c r="AK2672" s="79"/>
      <c r="AL2672" s="79"/>
      <c r="AM2672" s="79"/>
      <c r="AN2672" s="79"/>
      <c r="AO2672" s="79"/>
      <c r="AP2672" s="79"/>
      <c r="AQ2672" s="79"/>
      <c r="AR2672" s="78"/>
      <c r="AS2672" s="78"/>
      <c r="AT2672" s="79"/>
      <c r="AU2672" s="79"/>
      <c r="AV2672" s="79"/>
      <c r="AW2672" s="79"/>
      <c r="AX2672" s="79"/>
      <c r="AZ2672" s="81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</row>
    <row r="2673" spans="35:68" x14ac:dyDescent="0.25">
      <c r="AI2673" s="49"/>
      <c r="AJ2673" s="78"/>
      <c r="AK2673" s="79"/>
      <c r="AL2673" s="79"/>
      <c r="AM2673" s="79"/>
      <c r="AN2673" s="79"/>
      <c r="AO2673" s="79"/>
      <c r="AP2673" s="79"/>
      <c r="AQ2673" s="79"/>
      <c r="AR2673" s="78"/>
      <c r="AS2673" s="78"/>
      <c r="AT2673" s="79"/>
      <c r="AU2673" s="79"/>
      <c r="AV2673" s="79"/>
      <c r="AW2673" s="79"/>
      <c r="AX2673" s="79"/>
      <c r="AZ2673" s="81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5"/>
      <c r="BM2673" s="5"/>
      <c r="BN2673" s="5"/>
      <c r="BO2673" s="5"/>
      <c r="BP2673" s="5"/>
    </row>
    <row r="2674" spans="35:68" x14ac:dyDescent="0.25">
      <c r="AI2674" s="49"/>
      <c r="AJ2674" s="78"/>
      <c r="AK2674" s="79"/>
      <c r="AL2674" s="79"/>
      <c r="AM2674" s="79"/>
      <c r="AN2674" s="79"/>
      <c r="AO2674" s="79"/>
      <c r="AP2674" s="79"/>
      <c r="AQ2674" s="79"/>
      <c r="AR2674" s="78"/>
      <c r="AS2674" s="78"/>
      <c r="AT2674" s="79"/>
      <c r="AU2674" s="79"/>
      <c r="AV2674" s="79"/>
      <c r="AW2674" s="79"/>
      <c r="AX2674" s="79"/>
      <c r="AZ2674" s="81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</row>
    <row r="2675" spans="35:68" x14ac:dyDescent="0.25">
      <c r="AI2675" s="49"/>
      <c r="AJ2675" s="78"/>
      <c r="AK2675" s="79"/>
      <c r="AL2675" s="79"/>
      <c r="AM2675" s="79"/>
      <c r="AN2675" s="79"/>
      <c r="AO2675" s="79"/>
      <c r="AP2675" s="79"/>
      <c r="AQ2675" s="79"/>
      <c r="AR2675" s="78"/>
      <c r="AS2675" s="78"/>
      <c r="AT2675" s="79"/>
      <c r="AU2675" s="79"/>
      <c r="AV2675" s="79"/>
      <c r="AW2675" s="79"/>
      <c r="AX2675" s="79"/>
      <c r="AZ2675" s="81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</row>
    <row r="2676" spans="35:68" x14ac:dyDescent="0.25">
      <c r="AI2676" s="49"/>
      <c r="AJ2676" s="78"/>
      <c r="AK2676" s="79"/>
      <c r="AL2676" s="79"/>
      <c r="AM2676" s="79"/>
      <c r="AN2676" s="79"/>
      <c r="AO2676" s="79"/>
      <c r="AP2676" s="79"/>
      <c r="AQ2676" s="79"/>
      <c r="AR2676" s="78"/>
      <c r="AS2676" s="78"/>
      <c r="AT2676" s="79"/>
      <c r="AU2676" s="79"/>
      <c r="AV2676" s="79"/>
      <c r="AW2676" s="79"/>
      <c r="AX2676" s="79"/>
      <c r="AZ2676" s="81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</row>
    <row r="2677" spans="35:68" x14ac:dyDescent="0.25">
      <c r="AI2677" s="49"/>
      <c r="AJ2677" s="78"/>
      <c r="AK2677" s="79"/>
      <c r="AL2677" s="79"/>
      <c r="AM2677" s="79"/>
      <c r="AN2677" s="79"/>
      <c r="AO2677" s="79"/>
      <c r="AP2677" s="79"/>
      <c r="AQ2677" s="79"/>
      <c r="AR2677" s="78"/>
      <c r="AS2677" s="78"/>
      <c r="AT2677" s="79"/>
      <c r="AU2677" s="79"/>
      <c r="AV2677" s="79"/>
      <c r="AW2677" s="79"/>
      <c r="AX2677" s="79"/>
      <c r="AZ2677" s="81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</row>
    <row r="2678" spans="35:68" x14ac:dyDescent="0.25">
      <c r="AI2678" s="49"/>
      <c r="AJ2678" s="78"/>
      <c r="AK2678" s="79"/>
      <c r="AL2678" s="79"/>
      <c r="AM2678" s="79"/>
      <c r="AN2678" s="79"/>
      <c r="AO2678" s="79"/>
      <c r="AP2678" s="79"/>
      <c r="AQ2678" s="79"/>
      <c r="AR2678" s="78"/>
      <c r="AS2678" s="78"/>
      <c r="AT2678" s="79"/>
      <c r="AU2678" s="79"/>
      <c r="AV2678" s="79"/>
      <c r="AW2678" s="79"/>
      <c r="AX2678" s="79"/>
      <c r="AZ2678" s="81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</row>
    <row r="2679" spans="35:68" x14ac:dyDescent="0.25">
      <c r="AI2679" s="49"/>
      <c r="AJ2679" s="78"/>
      <c r="AK2679" s="79"/>
      <c r="AL2679" s="79"/>
      <c r="AM2679" s="79"/>
      <c r="AN2679" s="79"/>
      <c r="AO2679" s="79"/>
      <c r="AP2679" s="79"/>
      <c r="AQ2679" s="79"/>
      <c r="AR2679" s="78"/>
      <c r="AS2679" s="78"/>
      <c r="AT2679" s="79"/>
      <c r="AU2679" s="79"/>
      <c r="AV2679" s="79"/>
      <c r="AW2679" s="79"/>
      <c r="AX2679" s="79"/>
      <c r="AZ2679" s="81"/>
      <c r="BB2679" s="5"/>
      <c r="BC2679" s="5"/>
      <c r="BD2679" s="5"/>
      <c r="BE2679" s="5"/>
      <c r="BF2679" s="5"/>
      <c r="BG2679" s="5"/>
      <c r="BH2679" s="5"/>
      <c r="BI2679" s="5"/>
      <c r="BJ2679" s="5"/>
      <c r="BK2679" s="5"/>
      <c r="BL2679" s="5"/>
      <c r="BM2679" s="5"/>
      <c r="BN2679" s="5"/>
      <c r="BO2679" s="5"/>
      <c r="BP2679" s="5"/>
    </row>
    <row r="2680" spans="35:68" x14ac:dyDescent="0.25">
      <c r="AI2680" s="49"/>
      <c r="AJ2680" s="78"/>
      <c r="AK2680" s="79"/>
      <c r="AL2680" s="79"/>
      <c r="AM2680" s="79"/>
      <c r="AN2680" s="79"/>
      <c r="AO2680" s="79"/>
      <c r="AP2680" s="79"/>
      <c r="AQ2680" s="79"/>
      <c r="AR2680" s="78"/>
      <c r="AS2680" s="78"/>
      <c r="AT2680" s="79"/>
      <c r="AU2680" s="79"/>
      <c r="AV2680" s="79"/>
      <c r="AW2680" s="79"/>
      <c r="AX2680" s="79"/>
      <c r="AZ2680" s="81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</row>
    <row r="2681" spans="35:68" x14ac:dyDescent="0.25">
      <c r="AI2681" s="49"/>
      <c r="AJ2681" s="78"/>
      <c r="AK2681" s="79"/>
      <c r="AL2681" s="79"/>
      <c r="AM2681" s="79"/>
      <c r="AN2681" s="79"/>
      <c r="AO2681" s="79"/>
      <c r="AP2681" s="79"/>
      <c r="AQ2681" s="79"/>
      <c r="AR2681" s="78"/>
      <c r="AS2681" s="78"/>
      <c r="AT2681" s="79"/>
      <c r="AU2681" s="79"/>
      <c r="AV2681" s="79"/>
      <c r="AW2681" s="79"/>
      <c r="AX2681" s="79"/>
      <c r="AZ2681" s="81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</row>
    <row r="2682" spans="35:68" x14ac:dyDescent="0.25">
      <c r="AI2682" s="49"/>
      <c r="AJ2682" s="78"/>
      <c r="AK2682" s="79"/>
      <c r="AL2682" s="79"/>
      <c r="AM2682" s="79"/>
      <c r="AN2682" s="79"/>
      <c r="AO2682" s="79"/>
      <c r="AP2682" s="79"/>
      <c r="AQ2682" s="79"/>
      <c r="AR2682" s="78"/>
      <c r="AS2682" s="78"/>
      <c r="AT2682" s="79"/>
      <c r="AU2682" s="79"/>
      <c r="AV2682" s="79"/>
      <c r="AW2682" s="79"/>
      <c r="AX2682" s="79"/>
      <c r="AZ2682" s="81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</row>
    <row r="2683" spans="35:68" x14ac:dyDescent="0.25">
      <c r="AI2683" s="49"/>
      <c r="AJ2683" s="78"/>
      <c r="AK2683" s="79"/>
      <c r="AL2683" s="79"/>
      <c r="AM2683" s="79"/>
      <c r="AN2683" s="79"/>
      <c r="AO2683" s="79"/>
      <c r="AP2683" s="79"/>
      <c r="AQ2683" s="79"/>
      <c r="AR2683" s="78"/>
      <c r="AS2683" s="78"/>
      <c r="AT2683" s="79"/>
      <c r="AU2683" s="79"/>
      <c r="AV2683" s="79"/>
      <c r="AW2683" s="79"/>
      <c r="AX2683" s="79"/>
      <c r="AZ2683" s="81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/>
    </row>
    <row r="2684" spans="35:68" x14ac:dyDescent="0.25">
      <c r="AI2684" s="49"/>
      <c r="AJ2684" s="78"/>
      <c r="AK2684" s="79"/>
      <c r="AL2684" s="79"/>
      <c r="AM2684" s="79"/>
      <c r="AN2684" s="79"/>
      <c r="AO2684" s="79"/>
      <c r="AP2684" s="79"/>
      <c r="AQ2684" s="79"/>
      <c r="AR2684" s="78"/>
      <c r="AS2684" s="78"/>
      <c r="AT2684" s="79"/>
      <c r="AU2684" s="79"/>
      <c r="AV2684" s="79"/>
      <c r="AW2684" s="79"/>
      <c r="AX2684" s="79"/>
      <c r="AZ2684" s="81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</row>
    <row r="2685" spans="35:68" x14ac:dyDescent="0.25">
      <c r="AI2685" s="49"/>
      <c r="AJ2685" s="78"/>
      <c r="AK2685" s="79"/>
      <c r="AL2685" s="79"/>
      <c r="AM2685" s="79"/>
      <c r="AN2685" s="79"/>
      <c r="AO2685" s="79"/>
      <c r="AP2685" s="79"/>
      <c r="AQ2685" s="79"/>
      <c r="AR2685" s="78"/>
      <c r="AS2685" s="78"/>
      <c r="AT2685" s="79"/>
      <c r="AU2685" s="79"/>
      <c r="AV2685" s="79"/>
      <c r="AW2685" s="79"/>
      <c r="AX2685" s="79"/>
      <c r="AZ2685" s="81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</row>
    <row r="2686" spans="35:68" x14ac:dyDescent="0.25">
      <c r="AI2686" s="49"/>
      <c r="AJ2686" s="78"/>
      <c r="AK2686" s="79"/>
      <c r="AL2686" s="79"/>
      <c r="AM2686" s="79"/>
      <c r="AN2686" s="79"/>
      <c r="AO2686" s="79"/>
      <c r="AP2686" s="79"/>
      <c r="AQ2686" s="79"/>
      <c r="AR2686" s="78"/>
      <c r="AS2686" s="78"/>
      <c r="AT2686" s="79"/>
      <c r="AU2686" s="79"/>
      <c r="AV2686" s="79"/>
      <c r="AW2686" s="79"/>
      <c r="AX2686" s="79"/>
      <c r="AZ2686" s="81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</row>
    <row r="2687" spans="35:68" x14ac:dyDescent="0.25">
      <c r="AI2687" s="49"/>
      <c r="AJ2687" s="78"/>
      <c r="AK2687" s="79"/>
      <c r="AL2687" s="79"/>
      <c r="AM2687" s="79"/>
      <c r="AN2687" s="79"/>
      <c r="AO2687" s="79"/>
      <c r="AP2687" s="79"/>
      <c r="AQ2687" s="79"/>
      <c r="AR2687" s="78"/>
      <c r="AS2687" s="78"/>
      <c r="AT2687" s="79"/>
      <c r="AU2687" s="79"/>
      <c r="AV2687" s="79"/>
      <c r="AW2687" s="79"/>
      <c r="AX2687" s="79"/>
      <c r="AZ2687" s="81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</row>
    <row r="2688" spans="35:68" x14ac:dyDescent="0.25">
      <c r="AI2688" s="49"/>
      <c r="AJ2688" s="78"/>
      <c r="AK2688" s="79"/>
      <c r="AL2688" s="79"/>
      <c r="AM2688" s="79"/>
      <c r="AN2688" s="79"/>
      <c r="AO2688" s="79"/>
      <c r="AP2688" s="79"/>
      <c r="AQ2688" s="79"/>
      <c r="AR2688" s="78"/>
      <c r="AS2688" s="78"/>
      <c r="AT2688" s="79"/>
      <c r="AU2688" s="79"/>
      <c r="AV2688" s="79"/>
      <c r="AW2688" s="79"/>
      <c r="AX2688" s="79"/>
      <c r="AZ2688" s="81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</row>
    <row r="2689" spans="35:68" x14ac:dyDescent="0.25">
      <c r="AI2689" s="49"/>
      <c r="AJ2689" s="78"/>
      <c r="AK2689" s="79"/>
      <c r="AL2689" s="79"/>
      <c r="AM2689" s="79"/>
      <c r="AN2689" s="79"/>
      <c r="AO2689" s="79"/>
      <c r="AP2689" s="79"/>
      <c r="AQ2689" s="79"/>
      <c r="AR2689" s="78"/>
      <c r="AS2689" s="78"/>
      <c r="AT2689" s="79"/>
      <c r="AU2689" s="79"/>
      <c r="AV2689" s="79"/>
      <c r="AW2689" s="79"/>
      <c r="AX2689" s="79"/>
      <c r="AZ2689" s="81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</row>
    <row r="2690" spans="35:68" x14ac:dyDescent="0.25">
      <c r="AI2690" s="49"/>
      <c r="AJ2690" s="78"/>
      <c r="AK2690" s="79"/>
      <c r="AL2690" s="79"/>
      <c r="AM2690" s="79"/>
      <c r="AN2690" s="79"/>
      <c r="AO2690" s="79"/>
      <c r="AP2690" s="79"/>
      <c r="AQ2690" s="79"/>
      <c r="AR2690" s="78"/>
      <c r="AS2690" s="78"/>
      <c r="AT2690" s="79"/>
      <c r="AU2690" s="79"/>
      <c r="AV2690" s="79"/>
      <c r="AW2690" s="79"/>
      <c r="AX2690" s="79"/>
      <c r="AZ2690" s="81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</row>
    <row r="2691" spans="35:68" x14ac:dyDescent="0.25">
      <c r="AI2691" s="49"/>
      <c r="AJ2691" s="78"/>
      <c r="AK2691" s="79"/>
      <c r="AL2691" s="79"/>
      <c r="AM2691" s="79"/>
      <c r="AN2691" s="79"/>
      <c r="AO2691" s="79"/>
      <c r="AP2691" s="79"/>
      <c r="AQ2691" s="79"/>
      <c r="AR2691" s="78"/>
      <c r="AS2691" s="78"/>
      <c r="AT2691" s="79"/>
      <c r="AU2691" s="79"/>
      <c r="AV2691" s="79"/>
      <c r="AW2691" s="79"/>
      <c r="AX2691" s="79"/>
      <c r="AZ2691" s="81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</row>
    <row r="2692" spans="35:68" x14ac:dyDescent="0.25">
      <c r="AI2692" s="49"/>
      <c r="AJ2692" s="78"/>
      <c r="AK2692" s="79"/>
      <c r="AL2692" s="79"/>
      <c r="AM2692" s="79"/>
      <c r="AN2692" s="79"/>
      <c r="AO2692" s="79"/>
      <c r="AP2692" s="79"/>
      <c r="AQ2692" s="79"/>
      <c r="AR2692" s="78"/>
      <c r="AS2692" s="78"/>
      <c r="AT2692" s="79"/>
      <c r="AU2692" s="79"/>
      <c r="AV2692" s="79"/>
      <c r="AW2692" s="79"/>
      <c r="AX2692" s="79"/>
      <c r="AZ2692" s="81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</row>
    <row r="2693" spans="35:68" x14ac:dyDescent="0.25">
      <c r="AI2693" s="49"/>
      <c r="AJ2693" s="78"/>
      <c r="AK2693" s="79"/>
      <c r="AL2693" s="79"/>
      <c r="AM2693" s="79"/>
      <c r="AN2693" s="79"/>
      <c r="AO2693" s="79"/>
      <c r="AP2693" s="79"/>
      <c r="AQ2693" s="79"/>
      <c r="AR2693" s="78"/>
      <c r="AS2693" s="78"/>
      <c r="AT2693" s="79"/>
      <c r="AU2693" s="79"/>
      <c r="AV2693" s="79"/>
      <c r="AW2693" s="79"/>
      <c r="AX2693" s="79"/>
      <c r="AZ2693" s="81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5"/>
      <c r="BM2693" s="5"/>
      <c r="BN2693" s="5"/>
      <c r="BO2693" s="5"/>
      <c r="BP2693" s="5"/>
    </row>
    <row r="2694" spans="35:68" x14ac:dyDescent="0.25">
      <c r="AI2694" s="49"/>
      <c r="AJ2694" s="78"/>
      <c r="AK2694" s="79"/>
      <c r="AL2694" s="79"/>
      <c r="AM2694" s="79"/>
      <c r="AN2694" s="79"/>
      <c r="AO2694" s="79"/>
      <c r="AP2694" s="79"/>
      <c r="AQ2694" s="79"/>
      <c r="AR2694" s="78"/>
      <c r="AS2694" s="78"/>
      <c r="AT2694" s="79"/>
      <c r="AU2694" s="79"/>
      <c r="AV2694" s="79"/>
      <c r="AW2694" s="79"/>
      <c r="AX2694" s="79"/>
      <c r="AZ2694" s="81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</row>
    <row r="2695" spans="35:68" x14ac:dyDescent="0.25">
      <c r="AI2695" s="49"/>
      <c r="AJ2695" s="78"/>
      <c r="AK2695" s="79"/>
      <c r="AL2695" s="79"/>
      <c r="AM2695" s="79"/>
      <c r="AN2695" s="79"/>
      <c r="AO2695" s="79"/>
      <c r="AP2695" s="79"/>
      <c r="AQ2695" s="79"/>
      <c r="AR2695" s="78"/>
      <c r="AS2695" s="78"/>
      <c r="AT2695" s="79"/>
      <c r="AU2695" s="79"/>
      <c r="AV2695" s="79"/>
      <c r="AW2695" s="79"/>
      <c r="AX2695" s="79"/>
      <c r="AZ2695" s="81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</row>
    <row r="2696" spans="35:68" x14ac:dyDescent="0.25">
      <c r="AI2696" s="49"/>
      <c r="AJ2696" s="78"/>
      <c r="AK2696" s="79"/>
      <c r="AL2696" s="79"/>
      <c r="AM2696" s="79"/>
      <c r="AN2696" s="79"/>
      <c r="AO2696" s="79"/>
      <c r="AP2696" s="79"/>
      <c r="AQ2696" s="79"/>
      <c r="AR2696" s="78"/>
      <c r="AS2696" s="78"/>
      <c r="AT2696" s="79"/>
      <c r="AU2696" s="79"/>
      <c r="AV2696" s="79"/>
      <c r="AW2696" s="79"/>
      <c r="AX2696" s="79"/>
      <c r="AZ2696" s="81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</row>
    <row r="2697" spans="35:68" x14ac:dyDescent="0.25">
      <c r="AI2697" s="49"/>
      <c r="AJ2697" s="78"/>
      <c r="AK2697" s="79"/>
      <c r="AL2697" s="79"/>
      <c r="AM2697" s="79"/>
      <c r="AN2697" s="79"/>
      <c r="AO2697" s="79"/>
      <c r="AP2697" s="79"/>
      <c r="AQ2697" s="79"/>
      <c r="AR2697" s="78"/>
      <c r="AS2697" s="78"/>
      <c r="AT2697" s="79"/>
      <c r="AU2697" s="79"/>
      <c r="AV2697" s="79"/>
      <c r="AW2697" s="79"/>
      <c r="AX2697" s="79"/>
      <c r="AZ2697" s="81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</row>
    <row r="2698" spans="35:68" x14ac:dyDescent="0.25">
      <c r="AI2698" s="49"/>
      <c r="AJ2698" s="78"/>
      <c r="AK2698" s="79"/>
      <c r="AL2698" s="79"/>
      <c r="AM2698" s="79"/>
      <c r="AN2698" s="79"/>
      <c r="AO2698" s="79"/>
      <c r="AP2698" s="79"/>
      <c r="AQ2698" s="79"/>
      <c r="AR2698" s="78"/>
      <c r="AS2698" s="78"/>
      <c r="AT2698" s="79"/>
      <c r="AU2698" s="79"/>
      <c r="AV2698" s="79"/>
      <c r="AW2698" s="79"/>
      <c r="AX2698" s="79"/>
      <c r="AZ2698" s="81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</row>
    <row r="2699" spans="35:68" x14ac:dyDescent="0.25">
      <c r="AI2699" s="49"/>
      <c r="AJ2699" s="78"/>
      <c r="AK2699" s="79"/>
      <c r="AL2699" s="79"/>
      <c r="AM2699" s="79"/>
      <c r="AN2699" s="79"/>
      <c r="AO2699" s="79"/>
      <c r="AP2699" s="79"/>
      <c r="AQ2699" s="79"/>
      <c r="AR2699" s="78"/>
      <c r="AS2699" s="78"/>
      <c r="AT2699" s="79"/>
      <c r="AU2699" s="79"/>
      <c r="AV2699" s="79"/>
      <c r="AW2699" s="79"/>
      <c r="AX2699" s="79"/>
      <c r="AZ2699" s="81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</row>
    <row r="2700" spans="35:68" x14ac:dyDescent="0.25">
      <c r="AI2700" s="49"/>
      <c r="AJ2700" s="78"/>
      <c r="AK2700" s="79"/>
      <c r="AL2700" s="79"/>
      <c r="AM2700" s="79"/>
      <c r="AN2700" s="79"/>
      <c r="AO2700" s="79"/>
      <c r="AP2700" s="79"/>
      <c r="AQ2700" s="79"/>
      <c r="AR2700" s="78"/>
      <c r="AS2700" s="78"/>
      <c r="AT2700" s="79"/>
      <c r="AU2700" s="79"/>
      <c r="AV2700" s="79"/>
      <c r="AW2700" s="79"/>
      <c r="AX2700" s="79"/>
      <c r="AZ2700" s="81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</row>
    <row r="2701" spans="35:68" x14ac:dyDescent="0.25">
      <c r="AI2701" s="49"/>
      <c r="AJ2701" s="78"/>
      <c r="AK2701" s="79"/>
      <c r="AL2701" s="79"/>
      <c r="AM2701" s="79"/>
      <c r="AN2701" s="79"/>
      <c r="AO2701" s="79"/>
      <c r="AP2701" s="79"/>
      <c r="AQ2701" s="79"/>
      <c r="AR2701" s="78"/>
      <c r="AS2701" s="78"/>
      <c r="AT2701" s="79"/>
      <c r="AU2701" s="79"/>
      <c r="AV2701" s="79"/>
      <c r="AW2701" s="79"/>
      <c r="AX2701" s="79"/>
      <c r="AZ2701" s="81"/>
      <c r="BB2701" s="5"/>
      <c r="BC2701" s="5"/>
      <c r="BD2701" s="5"/>
      <c r="BE2701" s="5"/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</row>
    <row r="2702" spans="35:68" x14ac:dyDescent="0.25">
      <c r="AI2702" s="49"/>
      <c r="AJ2702" s="78"/>
      <c r="AK2702" s="79"/>
      <c r="AL2702" s="79"/>
      <c r="AM2702" s="79"/>
      <c r="AN2702" s="79"/>
      <c r="AO2702" s="79"/>
      <c r="AP2702" s="79"/>
      <c r="AQ2702" s="79"/>
      <c r="AR2702" s="78"/>
      <c r="AS2702" s="78"/>
      <c r="AT2702" s="79"/>
      <c r="AU2702" s="79"/>
      <c r="AV2702" s="79"/>
      <c r="AW2702" s="79"/>
      <c r="AX2702" s="79"/>
      <c r="AZ2702" s="81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</row>
    <row r="2703" spans="35:68" x14ac:dyDescent="0.25">
      <c r="AI2703" s="49"/>
      <c r="AJ2703" s="78"/>
      <c r="AK2703" s="79"/>
      <c r="AL2703" s="79"/>
      <c r="AM2703" s="79"/>
      <c r="AN2703" s="79"/>
      <c r="AO2703" s="79"/>
      <c r="AP2703" s="79"/>
      <c r="AQ2703" s="79"/>
      <c r="AR2703" s="78"/>
      <c r="AS2703" s="78"/>
      <c r="AT2703" s="79"/>
      <c r="AU2703" s="79"/>
      <c r="AV2703" s="79"/>
      <c r="AW2703" s="79"/>
      <c r="AX2703" s="79"/>
      <c r="AZ2703" s="81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</row>
    <row r="2704" spans="35:68" x14ac:dyDescent="0.25">
      <c r="AI2704" s="49"/>
      <c r="AJ2704" s="78"/>
      <c r="AK2704" s="79"/>
      <c r="AL2704" s="79"/>
      <c r="AM2704" s="79"/>
      <c r="AN2704" s="79"/>
      <c r="AO2704" s="79"/>
      <c r="AP2704" s="79"/>
      <c r="AQ2704" s="79"/>
      <c r="AR2704" s="78"/>
      <c r="AS2704" s="78"/>
      <c r="AT2704" s="79"/>
      <c r="AU2704" s="79"/>
      <c r="AV2704" s="79"/>
      <c r="AW2704" s="79"/>
      <c r="AX2704" s="79"/>
      <c r="AZ2704" s="81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</row>
    <row r="2705" spans="35:68" x14ac:dyDescent="0.25">
      <c r="AI2705" s="49"/>
      <c r="AJ2705" s="78"/>
      <c r="AK2705" s="79"/>
      <c r="AL2705" s="79"/>
      <c r="AM2705" s="79"/>
      <c r="AN2705" s="79"/>
      <c r="AO2705" s="79"/>
      <c r="AP2705" s="79"/>
      <c r="AQ2705" s="79"/>
      <c r="AR2705" s="78"/>
      <c r="AS2705" s="78"/>
      <c r="AT2705" s="79"/>
      <c r="AU2705" s="79"/>
      <c r="AV2705" s="79"/>
      <c r="AW2705" s="79"/>
      <c r="AX2705" s="79"/>
      <c r="AZ2705" s="81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/>
      <c r="BO2705" s="5"/>
      <c r="BP2705" s="5"/>
    </row>
    <row r="2706" spans="35:68" x14ac:dyDescent="0.25">
      <c r="AI2706" s="49"/>
      <c r="AJ2706" s="78"/>
      <c r="AK2706" s="79"/>
      <c r="AL2706" s="79"/>
      <c r="AM2706" s="79"/>
      <c r="AN2706" s="79"/>
      <c r="AO2706" s="79"/>
      <c r="AP2706" s="79"/>
      <c r="AQ2706" s="79"/>
      <c r="AR2706" s="78"/>
      <c r="AS2706" s="78"/>
      <c r="AT2706" s="79"/>
      <c r="AU2706" s="79"/>
      <c r="AV2706" s="79"/>
      <c r="AW2706" s="79"/>
      <c r="AX2706" s="79"/>
      <c r="AZ2706" s="81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</row>
    <row r="2707" spans="35:68" x14ac:dyDescent="0.25">
      <c r="AI2707" s="49"/>
      <c r="AJ2707" s="78"/>
      <c r="AK2707" s="79"/>
      <c r="AL2707" s="79"/>
      <c r="AM2707" s="79"/>
      <c r="AN2707" s="79"/>
      <c r="AO2707" s="79"/>
      <c r="AP2707" s="79"/>
      <c r="AQ2707" s="79"/>
      <c r="AR2707" s="78"/>
      <c r="AS2707" s="78"/>
      <c r="AT2707" s="79"/>
      <c r="AU2707" s="79"/>
      <c r="AV2707" s="79"/>
      <c r="AW2707" s="79"/>
      <c r="AX2707" s="79"/>
      <c r="AZ2707" s="81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</row>
    <row r="2708" spans="35:68" x14ac:dyDescent="0.25">
      <c r="AI2708" s="49"/>
      <c r="AJ2708" s="78"/>
      <c r="AK2708" s="79"/>
      <c r="AL2708" s="79"/>
      <c r="AM2708" s="79"/>
      <c r="AN2708" s="79"/>
      <c r="AO2708" s="79"/>
      <c r="AP2708" s="79"/>
      <c r="AQ2708" s="79"/>
      <c r="AR2708" s="78"/>
      <c r="AS2708" s="78"/>
      <c r="AT2708" s="79"/>
      <c r="AU2708" s="79"/>
      <c r="AV2708" s="79"/>
      <c r="AW2708" s="79"/>
      <c r="AX2708" s="79"/>
      <c r="AZ2708" s="81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</row>
    <row r="2709" spans="35:68" x14ac:dyDescent="0.25">
      <c r="AI2709" s="49"/>
      <c r="AJ2709" s="78"/>
      <c r="AK2709" s="79"/>
      <c r="AL2709" s="79"/>
      <c r="AM2709" s="79"/>
      <c r="AN2709" s="79"/>
      <c r="AO2709" s="79"/>
      <c r="AP2709" s="79"/>
      <c r="AQ2709" s="79"/>
      <c r="AR2709" s="78"/>
      <c r="AS2709" s="78"/>
      <c r="AT2709" s="79"/>
      <c r="AU2709" s="79"/>
      <c r="AV2709" s="79"/>
      <c r="AW2709" s="79"/>
      <c r="AX2709" s="79"/>
      <c r="AZ2709" s="81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</row>
    <row r="2710" spans="35:68" x14ac:dyDescent="0.25">
      <c r="AI2710" s="49"/>
      <c r="AJ2710" s="78"/>
      <c r="AK2710" s="79"/>
      <c r="AL2710" s="79"/>
      <c r="AM2710" s="79"/>
      <c r="AN2710" s="79"/>
      <c r="AO2710" s="79"/>
      <c r="AP2710" s="79"/>
      <c r="AQ2710" s="79"/>
      <c r="AR2710" s="78"/>
      <c r="AS2710" s="78"/>
      <c r="AT2710" s="79"/>
      <c r="AU2710" s="79"/>
      <c r="AV2710" s="79"/>
      <c r="AW2710" s="79"/>
      <c r="AX2710" s="79"/>
      <c r="AZ2710" s="81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</row>
    <row r="2711" spans="35:68" x14ac:dyDescent="0.25">
      <c r="AI2711" s="49"/>
      <c r="AJ2711" s="78"/>
      <c r="AK2711" s="79"/>
      <c r="AL2711" s="79"/>
      <c r="AM2711" s="79"/>
      <c r="AN2711" s="79"/>
      <c r="AO2711" s="79"/>
      <c r="AP2711" s="79"/>
      <c r="AQ2711" s="79"/>
      <c r="AR2711" s="78"/>
      <c r="AS2711" s="78"/>
      <c r="AT2711" s="79"/>
      <c r="AU2711" s="79"/>
      <c r="AV2711" s="79"/>
      <c r="AW2711" s="79"/>
      <c r="AX2711" s="79"/>
      <c r="AZ2711" s="81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5"/>
      <c r="BM2711" s="5"/>
      <c r="BN2711" s="5"/>
      <c r="BO2711" s="5"/>
      <c r="BP2711" s="5"/>
    </row>
    <row r="2712" spans="35:68" x14ac:dyDescent="0.25">
      <c r="AI2712" s="49"/>
      <c r="AJ2712" s="78"/>
      <c r="AK2712" s="79"/>
      <c r="AL2712" s="79"/>
      <c r="AM2712" s="79"/>
      <c r="AN2712" s="79"/>
      <c r="AO2712" s="79"/>
      <c r="AP2712" s="79"/>
      <c r="AQ2712" s="79"/>
      <c r="AR2712" s="78"/>
      <c r="AS2712" s="78"/>
      <c r="AT2712" s="79"/>
      <c r="AU2712" s="79"/>
      <c r="AV2712" s="79"/>
      <c r="AW2712" s="79"/>
      <c r="AX2712" s="79"/>
      <c r="AZ2712" s="81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</row>
    <row r="2713" spans="35:68" x14ac:dyDescent="0.25">
      <c r="AI2713" s="49"/>
      <c r="AJ2713" s="78"/>
      <c r="AK2713" s="79"/>
      <c r="AL2713" s="79"/>
      <c r="AM2713" s="79"/>
      <c r="AN2713" s="79"/>
      <c r="AO2713" s="79"/>
      <c r="AP2713" s="79"/>
      <c r="AQ2713" s="79"/>
      <c r="AR2713" s="78"/>
      <c r="AS2713" s="78"/>
      <c r="AT2713" s="79"/>
      <c r="AU2713" s="79"/>
      <c r="AV2713" s="79"/>
      <c r="AW2713" s="79"/>
      <c r="AX2713" s="79"/>
      <c r="AZ2713" s="81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</row>
    <row r="2714" spans="35:68" x14ac:dyDescent="0.25">
      <c r="AI2714" s="49"/>
      <c r="AJ2714" s="78"/>
      <c r="AK2714" s="79"/>
      <c r="AL2714" s="79"/>
      <c r="AM2714" s="79"/>
      <c r="AN2714" s="79"/>
      <c r="AO2714" s="79"/>
      <c r="AP2714" s="79"/>
      <c r="AQ2714" s="79"/>
      <c r="AR2714" s="78"/>
      <c r="AS2714" s="78"/>
      <c r="AT2714" s="79"/>
      <c r="AU2714" s="79"/>
      <c r="AV2714" s="79"/>
      <c r="AW2714" s="79"/>
      <c r="AX2714" s="79"/>
      <c r="AZ2714" s="81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</row>
    <row r="2715" spans="35:68" x14ac:dyDescent="0.25">
      <c r="AI2715" s="49"/>
      <c r="AJ2715" s="78"/>
      <c r="AK2715" s="79"/>
      <c r="AL2715" s="79"/>
      <c r="AM2715" s="79"/>
      <c r="AN2715" s="79"/>
      <c r="AO2715" s="79"/>
      <c r="AP2715" s="79"/>
      <c r="AQ2715" s="79"/>
      <c r="AR2715" s="78"/>
      <c r="AS2715" s="78"/>
      <c r="AT2715" s="79"/>
      <c r="AU2715" s="79"/>
      <c r="AV2715" s="79"/>
      <c r="AW2715" s="79"/>
      <c r="AX2715" s="79"/>
      <c r="AZ2715" s="81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</row>
    <row r="2716" spans="35:68" x14ac:dyDescent="0.25">
      <c r="AI2716" s="49"/>
      <c r="AJ2716" s="78"/>
      <c r="AK2716" s="79"/>
      <c r="AL2716" s="79"/>
      <c r="AM2716" s="79"/>
      <c r="AN2716" s="79"/>
      <c r="AO2716" s="79"/>
      <c r="AP2716" s="79"/>
      <c r="AQ2716" s="79"/>
      <c r="AR2716" s="78"/>
      <c r="AS2716" s="78"/>
      <c r="AT2716" s="79"/>
      <c r="AU2716" s="79"/>
      <c r="AV2716" s="79"/>
      <c r="AW2716" s="79"/>
      <c r="AX2716" s="79"/>
      <c r="AZ2716" s="81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</row>
    <row r="2717" spans="35:68" x14ac:dyDescent="0.25">
      <c r="AI2717" s="49"/>
      <c r="AJ2717" s="78"/>
      <c r="AK2717" s="79"/>
      <c r="AL2717" s="79"/>
      <c r="AM2717" s="79"/>
      <c r="AN2717" s="79"/>
      <c r="AO2717" s="79"/>
      <c r="AP2717" s="79"/>
      <c r="AQ2717" s="79"/>
      <c r="AR2717" s="78"/>
      <c r="AS2717" s="78"/>
      <c r="AT2717" s="79"/>
      <c r="AU2717" s="79"/>
      <c r="AV2717" s="79"/>
      <c r="AW2717" s="79"/>
      <c r="AX2717" s="79"/>
      <c r="AZ2717" s="81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</row>
    <row r="2718" spans="35:68" x14ac:dyDescent="0.25">
      <c r="AI2718" s="49"/>
      <c r="AJ2718" s="78"/>
      <c r="AK2718" s="79"/>
      <c r="AL2718" s="79"/>
      <c r="AM2718" s="79"/>
      <c r="AN2718" s="79"/>
      <c r="AO2718" s="79"/>
      <c r="AP2718" s="79"/>
      <c r="AQ2718" s="79"/>
      <c r="AR2718" s="78"/>
      <c r="AS2718" s="78"/>
      <c r="AT2718" s="79"/>
      <c r="AU2718" s="79"/>
      <c r="AV2718" s="79"/>
      <c r="AW2718" s="79"/>
      <c r="AX2718" s="79"/>
      <c r="AZ2718" s="81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</row>
    <row r="2719" spans="35:68" x14ac:dyDescent="0.25">
      <c r="AI2719" s="49"/>
      <c r="AJ2719" s="78"/>
      <c r="AK2719" s="79"/>
      <c r="AL2719" s="79"/>
      <c r="AM2719" s="79"/>
      <c r="AN2719" s="79"/>
      <c r="AO2719" s="79"/>
      <c r="AP2719" s="79"/>
      <c r="AQ2719" s="79"/>
      <c r="AR2719" s="78"/>
      <c r="AS2719" s="78"/>
      <c r="AT2719" s="79"/>
      <c r="AU2719" s="79"/>
      <c r="AV2719" s="79"/>
      <c r="AW2719" s="79"/>
      <c r="AX2719" s="79"/>
      <c r="AZ2719" s="81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</row>
    <row r="2720" spans="35:68" x14ac:dyDescent="0.25">
      <c r="AI2720" s="49"/>
      <c r="AJ2720" s="78"/>
      <c r="AK2720" s="79"/>
      <c r="AL2720" s="79"/>
      <c r="AM2720" s="79"/>
      <c r="AN2720" s="79"/>
      <c r="AO2720" s="79"/>
      <c r="AP2720" s="79"/>
      <c r="AQ2720" s="79"/>
      <c r="AR2720" s="78"/>
      <c r="AS2720" s="78"/>
      <c r="AT2720" s="79"/>
      <c r="AU2720" s="79"/>
      <c r="AV2720" s="79"/>
      <c r="AW2720" s="79"/>
      <c r="AX2720" s="79"/>
      <c r="AZ2720" s="81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</row>
    <row r="2721" spans="35:68" x14ac:dyDescent="0.25">
      <c r="AI2721" s="49"/>
      <c r="AJ2721" s="78"/>
      <c r="AK2721" s="79"/>
      <c r="AL2721" s="79"/>
      <c r="AM2721" s="79"/>
      <c r="AN2721" s="79"/>
      <c r="AO2721" s="79"/>
      <c r="AP2721" s="79"/>
      <c r="AQ2721" s="79"/>
      <c r="AR2721" s="78"/>
      <c r="AS2721" s="78"/>
      <c r="AT2721" s="79"/>
      <c r="AU2721" s="79"/>
      <c r="AV2721" s="79"/>
      <c r="AW2721" s="79"/>
      <c r="AX2721" s="79"/>
      <c r="AZ2721" s="81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</row>
    <row r="2722" spans="35:68" x14ac:dyDescent="0.25">
      <c r="AI2722" s="49"/>
      <c r="AJ2722" s="78"/>
      <c r="AK2722" s="79"/>
      <c r="AL2722" s="79"/>
      <c r="AM2722" s="79"/>
      <c r="AN2722" s="79"/>
      <c r="AO2722" s="79"/>
      <c r="AP2722" s="79"/>
      <c r="AQ2722" s="79"/>
      <c r="AR2722" s="78"/>
      <c r="AS2722" s="78"/>
      <c r="AT2722" s="79"/>
      <c r="AU2722" s="79"/>
      <c r="AV2722" s="79"/>
      <c r="AW2722" s="79"/>
      <c r="AX2722" s="79"/>
      <c r="AZ2722" s="81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</row>
    <row r="2723" spans="35:68" x14ac:dyDescent="0.25">
      <c r="AI2723" s="49"/>
      <c r="AJ2723" s="78"/>
      <c r="AK2723" s="79"/>
      <c r="AL2723" s="79"/>
      <c r="AM2723" s="79"/>
      <c r="AN2723" s="79"/>
      <c r="AO2723" s="79"/>
      <c r="AP2723" s="79"/>
      <c r="AQ2723" s="79"/>
      <c r="AR2723" s="78"/>
      <c r="AS2723" s="78"/>
      <c r="AT2723" s="79"/>
      <c r="AU2723" s="79"/>
      <c r="AV2723" s="79"/>
      <c r="AW2723" s="79"/>
      <c r="AX2723" s="79"/>
      <c r="AZ2723" s="81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</row>
    <row r="2724" spans="35:68" x14ac:dyDescent="0.25">
      <c r="AI2724" s="49"/>
      <c r="AJ2724" s="78"/>
      <c r="AK2724" s="79"/>
      <c r="AL2724" s="79"/>
      <c r="AM2724" s="79"/>
      <c r="AN2724" s="79"/>
      <c r="AO2724" s="79"/>
      <c r="AP2724" s="79"/>
      <c r="AQ2724" s="79"/>
      <c r="AR2724" s="78"/>
      <c r="AS2724" s="78"/>
      <c r="AT2724" s="79"/>
      <c r="AU2724" s="79"/>
      <c r="AV2724" s="79"/>
      <c r="AW2724" s="79"/>
      <c r="AX2724" s="79"/>
      <c r="AZ2724" s="81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</row>
    <row r="2725" spans="35:68" x14ac:dyDescent="0.25">
      <c r="AI2725" s="49"/>
      <c r="AJ2725" s="78"/>
      <c r="AK2725" s="79"/>
      <c r="AL2725" s="79"/>
      <c r="AM2725" s="79"/>
      <c r="AN2725" s="79"/>
      <c r="AO2725" s="79"/>
      <c r="AP2725" s="79"/>
      <c r="AQ2725" s="79"/>
      <c r="AR2725" s="78"/>
      <c r="AS2725" s="78"/>
      <c r="AT2725" s="79"/>
      <c r="AU2725" s="79"/>
      <c r="AV2725" s="79"/>
      <c r="AW2725" s="79"/>
      <c r="AX2725" s="79"/>
      <c r="AZ2725" s="81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</row>
    <row r="2726" spans="35:68" x14ac:dyDescent="0.25">
      <c r="AI2726" s="49"/>
      <c r="AJ2726" s="78"/>
      <c r="AK2726" s="79"/>
      <c r="AL2726" s="79"/>
      <c r="AM2726" s="79"/>
      <c r="AN2726" s="79"/>
      <c r="AO2726" s="79"/>
      <c r="AP2726" s="79"/>
      <c r="AQ2726" s="79"/>
      <c r="AR2726" s="78"/>
      <c r="AS2726" s="78"/>
      <c r="AT2726" s="79"/>
      <c r="AU2726" s="79"/>
      <c r="AV2726" s="79"/>
      <c r="AW2726" s="79"/>
      <c r="AX2726" s="79"/>
      <c r="AZ2726" s="81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</row>
    <row r="2727" spans="35:68" x14ac:dyDescent="0.25">
      <c r="AI2727" s="49"/>
      <c r="AJ2727" s="78"/>
      <c r="AK2727" s="79"/>
      <c r="AL2727" s="79"/>
      <c r="AM2727" s="79"/>
      <c r="AN2727" s="79"/>
      <c r="AO2727" s="79"/>
      <c r="AP2727" s="79"/>
      <c r="AQ2727" s="79"/>
      <c r="AR2727" s="78"/>
      <c r="AS2727" s="78"/>
      <c r="AT2727" s="79"/>
      <c r="AU2727" s="79"/>
      <c r="AV2727" s="79"/>
      <c r="AW2727" s="79"/>
      <c r="AX2727" s="79"/>
      <c r="AZ2727" s="81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</row>
    <row r="2728" spans="35:68" x14ac:dyDescent="0.25">
      <c r="AI2728" s="49"/>
      <c r="AJ2728" s="78"/>
      <c r="AK2728" s="79"/>
      <c r="AL2728" s="79"/>
      <c r="AM2728" s="79"/>
      <c r="AN2728" s="79"/>
      <c r="AO2728" s="79"/>
      <c r="AP2728" s="79"/>
      <c r="AQ2728" s="79"/>
      <c r="AR2728" s="78"/>
      <c r="AS2728" s="78"/>
      <c r="AT2728" s="79"/>
      <c r="AU2728" s="79"/>
      <c r="AV2728" s="79"/>
      <c r="AW2728" s="79"/>
      <c r="AX2728" s="79"/>
      <c r="AZ2728" s="81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</row>
    <row r="2729" spans="35:68" x14ac:dyDescent="0.25">
      <c r="AI2729" s="49"/>
      <c r="AJ2729" s="78"/>
      <c r="AK2729" s="79"/>
      <c r="AL2729" s="79"/>
      <c r="AM2729" s="79"/>
      <c r="AN2729" s="79"/>
      <c r="AO2729" s="79"/>
      <c r="AP2729" s="79"/>
      <c r="AQ2729" s="79"/>
      <c r="AR2729" s="78"/>
      <c r="AS2729" s="78"/>
      <c r="AT2729" s="79"/>
      <c r="AU2729" s="79"/>
      <c r="AV2729" s="79"/>
      <c r="AW2729" s="79"/>
      <c r="AX2729" s="79"/>
      <c r="AZ2729" s="81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</row>
    <row r="2730" spans="35:68" x14ac:dyDescent="0.25">
      <c r="AI2730" s="49"/>
      <c r="AJ2730" s="78"/>
      <c r="AK2730" s="79"/>
      <c r="AL2730" s="79"/>
      <c r="AM2730" s="79"/>
      <c r="AN2730" s="79"/>
      <c r="AO2730" s="79"/>
      <c r="AP2730" s="79"/>
      <c r="AQ2730" s="79"/>
      <c r="AR2730" s="78"/>
      <c r="AS2730" s="78"/>
      <c r="AT2730" s="79"/>
      <c r="AU2730" s="79"/>
      <c r="AV2730" s="79"/>
      <c r="AW2730" s="79"/>
      <c r="AX2730" s="79"/>
      <c r="AZ2730" s="81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</row>
    <row r="2731" spans="35:68" x14ac:dyDescent="0.25">
      <c r="AI2731" s="49"/>
      <c r="AJ2731" s="78"/>
      <c r="AK2731" s="79"/>
      <c r="AL2731" s="79"/>
      <c r="AM2731" s="79"/>
      <c r="AN2731" s="79"/>
      <c r="AO2731" s="79"/>
      <c r="AP2731" s="79"/>
      <c r="AQ2731" s="79"/>
      <c r="AR2731" s="78"/>
      <c r="AS2731" s="78"/>
      <c r="AT2731" s="79"/>
      <c r="AU2731" s="79"/>
      <c r="AV2731" s="79"/>
      <c r="AW2731" s="79"/>
      <c r="AX2731" s="79"/>
      <c r="AZ2731" s="81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</row>
    <row r="2732" spans="35:68" x14ac:dyDescent="0.25">
      <c r="AI2732" s="49"/>
      <c r="AJ2732" s="78"/>
      <c r="AK2732" s="79"/>
      <c r="AL2732" s="79"/>
      <c r="AM2732" s="79"/>
      <c r="AN2732" s="79"/>
      <c r="AO2732" s="79"/>
      <c r="AP2732" s="79"/>
      <c r="AQ2732" s="79"/>
      <c r="AR2732" s="78"/>
      <c r="AS2732" s="78"/>
      <c r="AT2732" s="79"/>
      <c r="AU2732" s="79"/>
      <c r="AV2732" s="79"/>
      <c r="AW2732" s="79"/>
      <c r="AX2732" s="79"/>
      <c r="AZ2732" s="81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</row>
    <row r="2733" spans="35:68" x14ac:dyDescent="0.25">
      <c r="AI2733" s="49"/>
      <c r="AJ2733" s="78"/>
      <c r="AK2733" s="79"/>
      <c r="AL2733" s="79"/>
      <c r="AM2733" s="79"/>
      <c r="AN2733" s="79"/>
      <c r="AO2733" s="79"/>
      <c r="AP2733" s="79"/>
      <c r="AQ2733" s="79"/>
      <c r="AR2733" s="78"/>
      <c r="AS2733" s="78"/>
      <c r="AT2733" s="79"/>
      <c r="AU2733" s="79"/>
      <c r="AV2733" s="79"/>
      <c r="AW2733" s="79"/>
      <c r="AX2733" s="79"/>
      <c r="AZ2733" s="81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5"/>
      <c r="BM2733" s="5"/>
      <c r="BN2733" s="5"/>
      <c r="BO2733" s="5"/>
      <c r="BP2733" s="5"/>
    </row>
    <row r="2734" spans="35:68" x14ac:dyDescent="0.25">
      <c r="AI2734" s="49"/>
      <c r="AJ2734" s="78"/>
      <c r="AK2734" s="79"/>
      <c r="AL2734" s="79"/>
      <c r="AM2734" s="79"/>
      <c r="AN2734" s="79"/>
      <c r="AO2734" s="79"/>
      <c r="AP2734" s="79"/>
      <c r="AQ2734" s="79"/>
      <c r="AR2734" s="78"/>
      <c r="AS2734" s="78"/>
      <c r="AT2734" s="79"/>
      <c r="AU2734" s="79"/>
      <c r="AV2734" s="79"/>
      <c r="AW2734" s="79"/>
      <c r="AX2734" s="79"/>
      <c r="AZ2734" s="81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</row>
    <row r="2735" spans="35:68" x14ac:dyDescent="0.25">
      <c r="AI2735" s="49"/>
      <c r="AJ2735" s="78"/>
      <c r="AK2735" s="79"/>
      <c r="AL2735" s="79"/>
      <c r="AM2735" s="79"/>
      <c r="AN2735" s="79"/>
      <c r="AO2735" s="79"/>
      <c r="AP2735" s="79"/>
      <c r="AQ2735" s="79"/>
      <c r="AR2735" s="78"/>
      <c r="AS2735" s="78"/>
      <c r="AT2735" s="79"/>
      <c r="AU2735" s="79"/>
      <c r="AV2735" s="79"/>
      <c r="AW2735" s="79"/>
      <c r="AX2735" s="79"/>
      <c r="AZ2735" s="81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</row>
    <row r="2736" spans="35:68" x14ac:dyDescent="0.25">
      <c r="AI2736" s="49"/>
      <c r="AJ2736" s="78"/>
      <c r="AK2736" s="79"/>
      <c r="AL2736" s="79"/>
      <c r="AM2736" s="79"/>
      <c r="AN2736" s="79"/>
      <c r="AO2736" s="79"/>
      <c r="AP2736" s="79"/>
      <c r="AQ2736" s="79"/>
      <c r="AR2736" s="78"/>
      <c r="AS2736" s="78"/>
      <c r="AT2736" s="79"/>
      <c r="AU2736" s="79"/>
      <c r="AV2736" s="79"/>
      <c r="AW2736" s="79"/>
      <c r="AX2736" s="79"/>
      <c r="AZ2736" s="81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</row>
    <row r="2737" spans="35:68" x14ac:dyDescent="0.25">
      <c r="AI2737" s="49"/>
      <c r="AJ2737" s="78"/>
      <c r="AK2737" s="79"/>
      <c r="AL2737" s="79"/>
      <c r="AM2737" s="79"/>
      <c r="AN2737" s="79"/>
      <c r="AO2737" s="79"/>
      <c r="AP2737" s="79"/>
      <c r="AQ2737" s="79"/>
      <c r="AR2737" s="78"/>
      <c r="AS2737" s="78"/>
      <c r="AT2737" s="79"/>
      <c r="AU2737" s="79"/>
      <c r="AV2737" s="79"/>
      <c r="AW2737" s="79"/>
      <c r="AX2737" s="79"/>
      <c r="AZ2737" s="81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</row>
    <row r="2738" spans="35:68" x14ac:dyDescent="0.25">
      <c r="AI2738" s="49"/>
      <c r="AJ2738" s="78"/>
      <c r="AK2738" s="79"/>
      <c r="AL2738" s="79"/>
      <c r="AM2738" s="79"/>
      <c r="AN2738" s="79"/>
      <c r="AO2738" s="79"/>
      <c r="AP2738" s="79"/>
      <c r="AQ2738" s="79"/>
      <c r="AR2738" s="78"/>
      <c r="AS2738" s="78"/>
      <c r="AT2738" s="79"/>
      <c r="AU2738" s="79"/>
      <c r="AV2738" s="79"/>
      <c r="AW2738" s="79"/>
      <c r="AX2738" s="79"/>
      <c r="AZ2738" s="81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</row>
    <row r="2739" spans="35:68" x14ac:dyDescent="0.25">
      <c r="AI2739" s="49"/>
      <c r="AJ2739" s="78"/>
      <c r="AK2739" s="79"/>
      <c r="AL2739" s="79"/>
      <c r="AM2739" s="79"/>
      <c r="AN2739" s="79"/>
      <c r="AO2739" s="79"/>
      <c r="AP2739" s="79"/>
      <c r="AQ2739" s="79"/>
      <c r="AR2739" s="78"/>
      <c r="AS2739" s="78"/>
      <c r="AT2739" s="79"/>
      <c r="AU2739" s="79"/>
      <c r="AV2739" s="79"/>
      <c r="AW2739" s="79"/>
      <c r="AX2739" s="79"/>
      <c r="AZ2739" s="81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</row>
    <row r="2740" spans="35:68" x14ac:dyDescent="0.25">
      <c r="AI2740" s="49"/>
      <c r="AJ2740" s="78"/>
      <c r="AK2740" s="79"/>
      <c r="AL2740" s="79"/>
      <c r="AM2740" s="79"/>
      <c r="AN2740" s="79"/>
      <c r="AO2740" s="79"/>
      <c r="AP2740" s="79"/>
      <c r="AQ2740" s="79"/>
      <c r="AR2740" s="78"/>
      <c r="AS2740" s="78"/>
      <c r="AT2740" s="79"/>
      <c r="AU2740" s="79"/>
      <c r="AV2740" s="79"/>
      <c r="AW2740" s="79"/>
      <c r="AX2740" s="79"/>
      <c r="AZ2740" s="81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</row>
    <row r="2741" spans="35:68" x14ac:dyDescent="0.25">
      <c r="AI2741" s="49"/>
      <c r="AJ2741" s="78"/>
      <c r="AK2741" s="79"/>
      <c r="AL2741" s="79"/>
      <c r="AM2741" s="79"/>
      <c r="AN2741" s="79"/>
      <c r="AO2741" s="79"/>
      <c r="AP2741" s="79"/>
      <c r="AQ2741" s="79"/>
      <c r="AR2741" s="78"/>
      <c r="AS2741" s="78"/>
      <c r="AT2741" s="79"/>
      <c r="AU2741" s="79"/>
      <c r="AV2741" s="79"/>
      <c r="AW2741" s="79"/>
      <c r="AX2741" s="79"/>
      <c r="AZ2741" s="81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</row>
    <row r="2742" spans="35:68" x14ac:dyDescent="0.25">
      <c r="AI2742" s="49"/>
      <c r="AJ2742" s="78"/>
      <c r="AK2742" s="79"/>
      <c r="AL2742" s="79"/>
      <c r="AM2742" s="79"/>
      <c r="AN2742" s="79"/>
      <c r="AO2742" s="79"/>
      <c r="AP2742" s="79"/>
      <c r="AQ2742" s="79"/>
      <c r="AR2742" s="78"/>
      <c r="AS2742" s="78"/>
      <c r="AT2742" s="79"/>
      <c r="AU2742" s="79"/>
      <c r="AV2742" s="79"/>
      <c r="AW2742" s="79"/>
      <c r="AX2742" s="79"/>
      <c r="AZ2742" s="81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</row>
    <row r="2743" spans="35:68" x14ac:dyDescent="0.25">
      <c r="AI2743" s="49"/>
      <c r="AJ2743" s="78"/>
      <c r="AK2743" s="79"/>
      <c r="AL2743" s="79"/>
      <c r="AM2743" s="79"/>
      <c r="AN2743" s="79"/>
      <c r="AO2743" s="79"/>
      <c r="AP2743" s="79"/>
      <c r="AQ2743" s="79"/>
      <c r="AR2743" s="78"/>
      <c r="AS2743" s="78"/>
      <c r="AT2743" s="79"/>
      <c r="AU2743" s="79"/>
      <c r="AV2743" s="79"/>
      <c r="AW2743" s="79"/>
      <c r="AX2743" s="79"/>
      <c r="AZ2743" s="81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</row>
    <row r="2744" spans="35:68" x14ac:dyDescent="0.25">
      <c r="AI2744" s="49"/>
      <c r="AJ2744" s="78"/>
      <c r="AK2744" s="79"/>
      <c r="AL2744" s="79"/>
      <c r="AM2744" s="79"/>
      <c r="AN2744" s="79"/>
      <c r="AO2744" s="79"/>
      <c r="AP2744" s="79"/>
      <c r="AQ2744" s="79"/>
      <c r="AR2744" s="78"/>
      <c r="AS2744" s="78"/>
      <c r="AT2744" s="79"/>
      <c r="AU2744" s="79"/>
      <c r="AV2744" s="79"/>
      <c r="AW2744" s="79"/>
      <c r="AX2744" s="79"/>
      <c r="AZ2744" s="81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</row>
    <row r="2745" spans="35:68" x14ac:dyDescent="0.25">
      <c r="AI2745" s="49"/>
      <c r="AJ2745" s="78"/>
      <c r="AK2745" s="79"/>
      <c r="AL2745" s="79"/>
      <c r="AM2745" s="79"/>
      <c r="AN2745" s="79"/>
      <c r="AO2745" s="79"/>
      <c r="AP2745" s="79"/>
      <c r="AQ2745" s="79"/>
      <c r="AR2745" s="78"/>
      <c r="AS2745" s="78"/>
      <c r="AT2745" s="79"/>
      <c r="AU2745" s="79"/>
      <c r="AV2745" s="79"/>
      <c r="AW2745" s="79"/>
      <c r="AX2745" s="79"/>
      <c r="AZ2745" s="81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</row>
    <row r="2746" spans="35:68" x14ac:dyDescent="0.25">
      <c r="AI2746" s="49"/>
      <c r="AJ2746" s="78"/>
      <c r="AK2746" s="79"/>
      <c r="AL2746" s="79"/>
      <c r="AM2746" s="79"/>
      <c r="AN2746" s="79"/>
      <c r="AO2746" s="79"/>
      <c r="AP2746" s="79"/>
      <c r="AQ2746" s="79"/>
      <c r="AR2746" s="78"/>
      <c r="AS2746" s="78"/>
      <c r="AT2746" s="79"/>
      <c r="AU2746" s="79"/>
      <c r="AV2746" s="79"/>
      <c r="AW2746" s="79"/>
      <c r="AX2746" s="79"/>
      <c r="AZ2746" s="81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</row>
    <row r="2747" spans="35:68" x14ac:dyDescent="0.25">
      <c r="AI2747" s="49"/>
      <c r="AJ2747" s="78"/>
      <c r="AK2747" s="79"/>
      <c r="AL2747" s="79"/>
      <c r="AM2747" s="79"/>
      <c r="AN2747" s="79"/>
      <c r="AO2747" s="79"/>
      <c r="AP2747" s="79"/>
      <c r="AQ2747" s="79"/>
      <c r="AR2747" s="78"/>
      <c r="AS2747" s="78"/>
      <c r="AT2747" s="79"/>
      <c r="AU2747" s="79"/>
      <c r="AV2747" s="79"/>
      <c r="AW2747" s="79"/>
      <c r="AX2747" s="79"/>
      <c r="AZ2747" s="81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</row>
    <row r="2748" spans="35:68" x14ac:dyDescent="0.25">
      <c r="AI2748" s="49"/>
      <c r="AJ2748" s="78"/>
      <c r="AK2748" s="79"/>
      <c r="AL2748" s="79"/>
      <c r="AM2748" s="79"/>
      <c r="AN2748" s="79"/>
      <c r="AO2748" s="79"/>
      <c r="AP2748" s="79"/>
      <c r="AQ2748" s="79"/>
      <c r="AR2748" s="78"/>
      <c r="AS2748" s="78"/>
      <c r="AT2748" s="79"/>
      <c r="AU2748" s="79"/>
      <c r="AV2748" s="79"/>
      <c r="AW2748" s="79"/>
      <c r="AX2748" s="79"/>
      <c r="AZ2748" s="81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</row>
    <row r="2749" spans="35:68" x14ac:dyDescent="0.25">
      <c r="AI2749" s="49"/>
      <c r="AJ2749" s="78"/>
      <c r="AK2749" s="79"/>
      <c r="AL2749" s="79"/>
      <c r="AM2749" s="79"/>
      <c r="AN2749" s="79"/>
      <c r="AO2749" s="79"/>
      <c r="AP2749" s="79"/>
      <c r="AQ2749" s="79"/>
      <c r="AR2749" s="78"/>
      <c r="AS2749" s="78"/>
      <c r="AT2749" s="79"/>
      <c r="AU2749" s="79"/>
      <c r="AV2749" s="79"/>
      <c r="AW2749" s="79"/>
      <c r="AX2749" s="79"/>
      <c r="AZ2749" s="81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</row>
    <row r="2750" spans="35:68" x14ac:dyDescent="0.25">
      <c r="AI2750" s="49"/>
      <c r="AJ2750" s="78"/>
      <c r="AK2750" s="79"/>
      <c r="AL2750" s="79"/>
      <c r="AM2750" s="79"/>
      <c r="AN2750" s="79"/>
      <c r="AO2750" s="79"/>
      <c r="AP2750" s="79"/>
      <c r="AQ2750" s="79"/>
      <c r="AR2750" s="78"/>
      <c r="AS2750" s="78"/>
      <c r="AT2750" s="79"/>
      <c r="AU2750" s="79"/>
      <c r="AV2750" s="79"/>
      <c r="AW2750" s="79"/>
      <c r="AX2750" s="79"/>
      <c r="AZ2750" s="81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</row>
    <row r="2751" spans="35:68" x14ac:dyDescent="0.25">
      <c r="AI2751" s="49"/>
      <c r="AJ2751" s="78"/>
      <c r="AK2751" s="79"/>
      <c r="AL2751" s="79"/>
      <c r="AM2751" s="79"/>
      <c r="AN2751" s="79"/>
      <c r="AO2751" s="79"/>
      <c r="AP2751" s="79"/>
      <c r="AQ2751" s="79"/>
      <c r="AR2751" s="78"/>
      <c r="AS2751" s="78"/>
      <c r="AT2751" s="79"/>
      <c r="AU2751" s="79"/>
      <c r="AV2751" s="79"/>
      <c r="AW2751" s="79"/>
      <c r="AX2751" s="79"/>
      <c r="AZ2751" s="81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</row>
    <row r="2752" spans="35:68" x14ac:dyDescent="0.25">
      <c r="AI2752" s="49"/>
      <c r="AJ2752" s="78"/>
      <c r="AK2752" s="79"/>
      <c r="AL2752" s="79"/>
      <c r="AM2752" s="79"/>
      <c r="AN2752" s="79"/>
      <c r="AO2752" s="79"/>
      <c r="AP2752" s="79"/>
      <c r="AQ2752" s="79"/>
      <c r="AR2752" s="78"/>
      <c r="AS2752" s="78"/>
      <c r="AT2752" s="79"/>
      <c r="AU2752" s="79"/>
      <c r="AV2752" s="79"/>
      <c r="AW2752" s="79"/>
      <c r="AX2752" s="79"/>
      <c r="AZ2752" s="81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</row>
    <row r="2753" spans="35:68" x14ac:dyDescent="0.25">
      <c r="AI2753" s="49"/>
      <c r="AJ2753" s="78"/>
      <c r="AK2753" s="79"/>
      <c r="AL2753" s="79"/>
      <c r="AM2753" s="79"/>
      <c r="AN2753" s="79"/>
      <c r="AO2753" s="79"/>
      <c r="AP2753" s="79"/>
      <c r="AQ2753" s="79"/>
      <c r="AR2753" s="78"/>
      <c r="AS2753" s="78"/>
      <c r="AT2753" s="79"/>
      <c r="AU2753" s="79"/>
      <c r="AV2753" s="79"/>
      <c r="AW2753" s="79"/>
      <c r="AX2753" s="79"/>
      <c r="AZ2753" s="81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</row>
    <row r="2754" spans="35:68" x14ac:dyDescent="0.25">
      <c r="AI2754" s="49"/>
      <c r="AJ2754" s="78"/>
      <c r="AK2754" s="79"/>
      <c r="AL2754" s="79"/>
      <c r="AM2754" s="79"/>
      <c r="AN2754" s="79"/>
      <c r="AO2754" s="79"/>
      <c r="AP2754" s="79"/>
      <c r="AQ2754" s="79"/>
      <c r="AR2754" s="78"/>
      <c r="AS2754" s="78"/>
      <c r="AT2754" s="79"/>
      <c r="AU2754" s="79"/>
      <c r="AV2754" s="79"/>
      <c r="AW2754" s="79"/>
      <c r="AX2754" s="79"/>
      <c r="AZ2754" s="81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</row>
    <row r="2755" spans="35:68" x14ac:dyDescent="0.25">
      <c r="AI2755" s="49"/>
      <c r="AJ2755" s="78"/>
      <c r="AK2755" s="79"/>
      <c r="AL2755" s="79"/>
      <c r="AM2755" s="79"/>
      <c r="AN2755" s="79"/>
      <c r="AO2755" s="79"/>
      <c r="AP2755" s="79"/>
      <c r="AQ2755" s="79"/>
      <c r="AR2755" s="78"/>
      <c r="AS2755" s="78"/>
      <c r="AT2755" s="79"/>
      <c r="AU2755" s="79"/>
      <c r="AV2755" s="79"/>
      <c r="AW2755" s="79"/>
      <c r="AX2755" s="79"/>
      <c r="AZ2755" s="81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</row>
    <row r="2756" spans="35:68" x14ac:dyDescent="0.25">
      <c r="AI2756" s="49"/>
      <c r="AJ2756" s="78"/>
      <c r="AK2756" s="79"/>
      <c r="AL2756" s="79"/>
      <c r="AM2756" s="79"/>
      <c r="AN2756" s="79"/>
      <c r="AO2756" s="79"/>
      <c r="AP2756" s="79"/>
      <c r="AQ2756" s="79"/>
      <c r="AR2756" s="78"/>
      <c r="AS2756" s="78"/>
      <c r="AT2756" s="79"/>
      <c r="AU2756" s="79"/>
      <c r="AV2756" s="79"/>
      <c r="AW2756" s="79"/>
      <c r="AX2756" s="79"/>
      <c r="AZ2756" s="81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</row>
    <row r="2757" spans="35:68" x14ac:dyDescent="0.25">
      <c r="AI2757" s="49"/>
      <c r="AJ2757" s="78"/>
      <c r="AK2757" s="79"/>
      <c r="AL2757" s="79"/>
      <c r="AM2757" s="79"/>
      <c r="AN2757" s="79"/>
      <c r="AO2757" s="79"/>
      <c r="AP2757" s="79"/>
      <c r="AQ2757" s="79"/>
      <c r="AR2757" s="78"/>
      <c r="AS2757" s="78"/>
      <c r="AT2757" s="79"/>
      <c r="AU2757" s="79"/>
      <c r="AV2757" s="79"/>
      <c r="AW2757" s="79"/>
      <c r="AX2757" s="79"/>
      <c r="AZ2757" s="81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5"/>
      <c r="BM2757" s="5"/>
      <c r="BN2757" s="5"/>
      <c r="BO2757" s="5"/>
      <c r="BP2757" s="5"/>
    </row>
    <row r="2758" spans="35:68" x14ac:dyDescent="0.25">
      <c r="AI2758" s="49"/>
      <c r="AJ2758" s="78"/>
      <c r="AK2758" s="79"/>
      <c r="AL2758" s="79"/>
      <c r="AM2758" s="79"/>
      <c r="AN2758" s="79"/>
      <c r="AO2758" s="79"/>
      <c r="AP2758" s="79"/>
      <c r="AQ2758" s="79"/>
      <c r="AR2758" s="78"/>
      <c r="AS2758" s="78"/>
      <c r="AT2758" s="79"/>
      <c r="AU2758" s="79"/>
      <c r="AV2758" s="79"/>
      <c r="AW2758" s="79"/>
      <c r="AX2758" s="79"/>
      <c r="AZ2758" s="81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</row>
    <row r="2759" spans="35:68" x14ac:dyDescent="0.25">
      <c r="AI2759" s="49"/>
      <c r="AJ2759" s="78"/>
      <c r="AK2759" s="79"/>
      <c r="AL2759" s="79"/>
      <c r="AM2759" s="79"/>
      <c r="AN2759" s="79"/>
      <c r="AO2759" s="79"/>
      <c r="AP2759" s="79"/>
      <c r="AQ2759" s="79"/>
      <c r="AR2759" s="78"/>
      <c r="AS2759" s="78"/>
      <c r="AT2759" s="79"/>
      <c r="AU2759" s="79"/>
      <c r="AV2759" s="79"/>
      <c r="AW2759" s="79"/>
      <c r="AX2759" s="79"/>
      <c r="AZ2759" s="81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</row>
    <row r="2760" spans="35:68" x14ac:dyDescent="0.25">
      <c r="AI2760" s="49"/>
      <c r="AJ2760" s="78"/>
      <c r="AK2760" s="79"/>
      <c r="AL2760" s="79"/>
      <c r="AM2760" s="79"/>
      <c r="AN2760" s="79"/>
      <c r="AO2760" s="79"/>
      <c r="AP2760" s="79"/>
      <c r="AQ2760" s="79"/>
      <c r="AR2760" s="78"/>
      <c r="AS2760" s="78"/>
      <c r="AT2760" s="79"/>
      <c r="AU2760" s="79"/>
      <c r="AV2760" s="79"/>
      <c r="AW2760" s="79"/>
      <c r="AX2760" s="79"/>
      <c r="AZ2760" s="81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</row>
    <row r="2761" spans="35:68" x14ac:dyDescent="0.25">
      <c r="AI2761" s="49"/>
      <c r="AJ2761" s="78"/>
      <c r="AK2761" s="79"/>
      <c r="AL2761" s="79"/>
      <c r="AM2761" s="79"/>
      <c r="AN2761" s="79"/>
      <c r="AO2761" s="79"/>
      <c r="AP2761" s="79"/>
      <c r="AQ2761" s="79"/>
      <c r="AR2761" s="78"/>
      <c r="AS2761" s="78"/>
      <c r="AT2761" s="79"/>
      <c r="AU2761" s="79"/>
      <c r="AV2761" s="79"/>
      <c r="AW2761" s="79"/>
      <c r="AX2761" s="79"/>
      <c r="AZ2761" s="81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</row>
    <row r="2762" spans="35:68" x14ac:dyDescent="0.25">
      <c r="AI2762" s="49"/>
      <c r="AJ2762" s="78"/>
      <c r="AK2762" s="79"/>
      <c r="AL2762" s="79"/>
      <c r="AM2762" s="79"/>
      <c r="AN2762" s="79"/>
      <c r="AO2762" s="79"/>
      <c r="AP2762" s="79"/>
      <c r="AQ2762" s="79"/>
      <c r="AR2762" s="78"/>
      <c r="AS2762" s="78"/>
      <c r="AT2762" s="79"/>
      <c r="AU2762" s="79"/>
      <c r="AV2762" s="79"/>
      <c r="AW2762" s="79"/>
      <c r="AX2762" s="79"/>
      <c r="AZ2762" s="81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</row>
    <row r="2763" spans="35:68" x14ac:dyDescent="0.25">
      <c r="AI2763" s="49"/>
      <c r="AJ2763" s="78"/>
      <c r="AK2763" s="79"/>
      <c r="AL2763" s="79"/>
      <c r="AM2763" s="79"/>
      <c r="AN2763" s="79"/>
      <c r="AO2763" s="79"/>
      <c r="AP2763" s="79"/>
      <c r="AQ2763" s="79"/>
      <c r="AR2763" s="78"/>
      <c r="AS2763" s="78"/>
      <c r="AT2763" s="79"/>
      <c r="AU2763" s="79"/>
      <c r="AV2763" s="79"/>
      <c r="AW2763" s="79"/>
      <c r="AX2763" s="79"/>
      <c r="AZ2763" s="81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</row>
    <row r="2764" spans="35:68" x14ac:dyDescent="0.25">
      <c r="AI2764" s="49"/>
      <c r="AJ2764" s="78"/>
      <c r="AK2764" s="79"/>
      <c r="AL2764" s="79"/>
      <c r="AM2764" s="79"/>
      <c r="AN2764" s="79"/>
      <c r="AO2764" s="79"/>
      <c r="AP2764" s="79"/>
      <c r="AQ2764" s="79"/>
      <c r="AR2764" s="78"/>
      <c r="AS2764" s="78"/>
      <c r="AT2764" s="79"/>
      <c r="AU2764" s="79"/>
      <c r="AV2764" s="79"/>
      <c r="AW2764" s="79"/>
      <c r="AX2764" s="79"/>
      <c r="AZ2764" s="81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</row>
    <row r="2765" spans="35:68" x14ac:dyDescent="0.25">
      <c r="AI2765" s="49"/>
      <c r="AJ2765" s="78"/>
      <c r="AK2765" s="79"/>
      <c r="AL2765" s="79"/>
      <c r="AM2765" s="79"/>
      <c r="AN2765" s="79"/>
      <c r="AO2765" s="79"/>
      <c r="AP2765" s="79"/>
      <c r="AQ2765" s="79"/>
      <c r="AR2765" s="78"/>
      <c r="AS2765" s="78"/>
      <c r="AT2765" s="79"/>
      <c r="AU2765" s="79"/>
      <c r="AV2765" s="79"/>
      <c r="AW2765" s="79"/>
      <c r="AX2765" s="79"/>
      <c r="AZ2765" s="81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</row>
    <row r="2766" spans="35:68" x14ac:dyDescent="0.25">
      <c r="AI2766" s="49"/>
      <c r="AJ2766" s="78"/>
      <c r="AK2766" s="79"/>
      <c r="AL2766" s="79"/>
      <c r="AM2766" s="79"/>
      <c r="AN2766" s="79"/>
      <c r="AO2766" s="79"/>
      <c r="AP2766" s="79"/>
      <c r="AQ2766" s="79"/>
      <c r="AR2766" s="78"/>
      <c r="AS2766" s="78"/>
      <c r="AT2766" s="79"/>
      <c r="AU2766" s="79"/>
      <c r="AV2766" s="79"/>
      <c r="AW2766" s="79"/>
      <c r="AX2766" s="79"/>
      <c r="AZ2766" s="81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</row>
    <row r="2767" spans="35:68" x14ac:dyDescent="0.25">
      <c r="AI2767" s="49"/>
      <c r="AJ2767" s="78"/>
      <c r="AK2767" s="79"/>
      <c r="AL2767" s="79"/>
      <c r="AM2767" s="79"/>
      <c r="AN2767" s="79"/>
      <c r="AO2767" s="79"/>
      <c r="AP2767" s="79"/>
      <c r="AQ2767" s="79"/>
      <c r="AR2767" s="78"/>
      <c r="AS2767" s="78"/>
      <c r="AT2767" s="79"/>
      <c r="AU2767" s="79"/>
      <c r="AV2767" s="79"/>
      <c r="AW2767" s="79"/>
      <c r="AX2767" s="79"/>
      <c r="AZ2767" s="81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</row>
    <row r="2768" spans="35:68" x14ac:dyDescent="0.25">
      <c r="AI2768" s="49"/>
      <c r="AJ2768" s="78"/>
      <c r="AK2768" s="79"/>
      <c r="AL2768" s="79"/>
      <c r="AM2768" s="79"/>
      <c r="AN2768" s="79"/>
      <c r="AO2768" s="79"/>
      <c r="AP2768" s="79"/>
      <c r="AQ2768" s="79"/>
      <c r="AR2768" s="78"/>
      <c r="AS2768" s="78"/>
      <c r="AT2768" s="79"/>
      <c r="AU2768" s="79"/>
      <c r="AV2768" s="79"/>
      <c r="AW2768" s="79"/>
      <c r="AX2768" s="79"/>
      <c r="AZ2768" s="81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</row>
    <row r="2769" spans="35:68" x14ac:dyDescent="0.25">
      <c r="AI2769" s="49"/>
      <c r="AJ2769" s="78"/>
      <c r="AK2769" s="79"/>
      <c r="AL2769" s="79"/>
      <c r="AM2769" s="79"/>
      <c r="AN2769" s="79"/>
      <c r="AO2769" s="79"/>
      <c r="AP2769" s="79"/>
      <c r="AQ2769" s="79"/>
      <c r="AR2769" s="78"/>
      <c r="AS2769" s="78"/>
      <c r="AT2769" s="79"/>
      <c r="AU2769" s="79"/>
      <c r="AV2769" s="79"/>
      <c r="AW2769" s="79"/>
      <c r="AX2769" s="79"/>
      <c r="AZ2769" s="81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</row>
    <row r="2770" spans="35:68" x14ac:dyDescent="0.25">
      <c r="AI2770" s="49"/>
      <c r="AJ2770" s="78"/>
      <c r="AK2770" s="79"/>
      <c r="AL2770" s="79"/>
      <c r="AM2770" s="79"/>
      <c r="AN2770" s="79"/>
      <c r="AO2770" s="79"/>
      <c r="AP2770" s="79"/>
      <c r="AQ2770" s="79"/>
      <c r="AR2770" s="78"/>
      <c r="AS2770" s="78"/>
      <c r="AT2770" s="79"/>
      <c r="AU2770" s="79"/>
      <c r="AV2770" s="79"/>
      <c r="AW2770" s="79"/>
      <c r="AX2770" s="79"/>
      <c r="AZ2770" s="81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</row>
    <row r="2771" spans="35:68" x14ac:dyDescent="0.25">
      <c r="AI2771" s="49"/>
      <c r="AJ2771" s="78"/>
      <c r="AK2771" s="79"/>
      <c r="AL2771" s="79"/>
      <c r="AM2771" s="79"/>
      <c r="AN2771" s="79"/>
      <c r="AO2771" s="79"/>
      <c r="AP2771" s="79"/>
      <c r="AQ2771" s="79"/>
      <c r="AR2771" s="78"/>
      <c r="AS2771" s="78"/>
      <c r="AT2771" s="79"/>
      <c r="AU2771" s="79"/>
      <c r="AV2771" s="79"/>
      <c r="AW2771" s="79"/>
      <c r="AX2771" s="79"/>
      <c r="AZ2771" s="81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</row>
    <row r="2772" spans="35:68" x14ac:dyDescent="0.25">
      <c r="AI2772" s="49"/>
      <c r="AJ2772" s="78"/>
      <c r="AK2772" s="79"/>
      <c r="AL2772" s="79"/>
      <c r="AM2772" s="79"/>
      <c r="AN2772" s="79"/>
      <c r="AO2772" s="79"/>
      <c r="AP2772" s="79"/>
      <c r="AQ2772" s="79"/>
      <c r="AR2772" s="78"/>
      <c r="AS2772" s="78"/>
      <c r="AT2772" s="79"/>
      <c r="AU2772" s="79"/>
      <c r="AV2772" s="79"/>
      <c r="AW2772" s="79"/>
      <c r="AX2772" s="79"/>
      <c r="AZ2772" s="81"/>
      <c r="BB2772" s="5"/>
      <c r="BC2772" s="5"/>
      <c r="BD2772" s="5"/>
      <c r="BE2772" s="5"/>
      <c r="BF2772" s="5"/>
      <c r="BG2772" s="5"/>
      <c r="BH2772" s="5"/>
      <c r="BI2772" s="5"/>
      <c r="BJ2772" s="5"/>
      <c r="BK2772" s="5"/>
      <c r="BL2772" s="5"/>
      <c r="BM2772" s="5"/>
      <c r="BN2772" s="5"/>
      <c r="BO2772" s="5"/>
      <c r="BP2772" s="5"/>
    </row>
    <row r="2773" spans="35:68" x14ac:dyDescent="0.25">
      <c r="AI2773" s="49"/>
      <c r="AJ2773" s="78"/>
      <c r="AK2773" s="79"/>
      <c r="AL2773" s="79"/>
      <c r="AM2773" s="79"/>
      <c r="AN2773" s="79"/>
      <c r="AO2773" s="79"/>
      <c r="AP2773" s="79"/>
      <c r="AQ2773" s="79"/>
      <c r="AR2773" s="78"/>
      <c r="AS2773" s="78"/>
      <c r="AT2773" s="79"/>
      <c r="AU2773" s="79"/>
      <c r="AV2773" s="79"/>
      <c r="AW2773" s="79"/>
      <c r="AX2773" s="79"/>
      <c r="AZ2773" s="81"/>
      <c r="BB2773" s="5"/>
      <c r="BC2773" s="5"/>
      <c r="BD2773" s="5"/>
      <c r="BE2773" s="5"/>
      <c r="BF2773" s="5"/>
      <c r="BG2773" s="5"/>
      <c r="BH2773" s="5"/>
      <c r="BI2773" s="5"/>
      <c r="BJ2773" s="5"/>
      <c r="BK2773" s="5"/>
      <c r="BL2773" s="5"/>
      <c r="BM2773" s="5"/>
      <c r="BN2773" s="5"/>
      <c r="BO2773" s="5"/>
      <c r="BP2773" s="5"/>
    </row>
    <row r="2774" spans="35:68" x14ac:dyDescent="0.25">
      <c r="AI2774" s="49"/>
      <c r="AJ2774" s="78"/>
      <c r="AK2774" s="79"/>
      <c r="AL2774" s="79"/>
      <c r="AM2774" s="79"/>
      <c r="AN2774" s="79"/>
      <c r="AO2774" s="79"/>
      <c r="AP2774" s="79"/>
      <c r="AQ2774" s="79"/>
      <c r="AR2774" s="78"/>
      <c r="AS2774" s="78"/>
      <c r="AT2774" s="79"/>
      <c r="AU2774" s="79"/>
      <c r="AV2774" s="79"/>
      <c r="AW2774" s="79"/>
      <c r="AX2774" s="79"/>
      <c r="AZ2774" s="81"/>
      <c r="BB2774" s="5"/>
      <c r="BC2774" s="5"/>
      <c r="BD2774" s="5"/>
      <c r="BE2774" s="5"/>
      <c r="BF2774" s="5"/>
      <c r="BG2774" s="5"/>
      <c r="BH2774" s="5"/>
      <c r="BI2774" s="5"/>
      <c r="BJ2774" s="5"/>
      <c r="BK2774" s="5"/>
      <c r="BL2774" s="5"/>
      <c r="BM2774" s="5"/>
      <c r="BN2774" s="5"/>
      <c r="BO2774" s="5"/>
      <c r="BP2774" s="5"/>
    </row>
    <row r="2775" spans="35:68" x14ac:dyDescent="0.25">
      <c r="AI2775" s="49"/>
      <c r="AJ2775" s="78"/>
      <c r="AK2775" s="79"/>
      <c r="AL2775" s="79"/>
      <c r="AM2775" s="79"/>
      <c r="AN2775" s="79"/>
      <c r="AO2775" s="79"/>
      <c r="AP2775" s="79"/>
      <c r="AQ2775" s="79"/>
      <c r="AR2775" s="78"/>
      <c r="AS2775" s="78"/>
      <c r="AT2775" s="79"/>
      <c r="AU2775" s="79"/>
      <c r="AV2775" s="79"/>
      <c r="AW2775" s="79"/>
      <c r="AX2775" s="79"/>
      <c r="AZ2775" s="81"/>
      <c r="BB2775" s="5"/>
      <c r="BC2775" s="5"/>
      <c r="BD2775" s="5"/>
      <c r="BE2775" s="5"/>
      <c r="BF2775" s="5"/>
      <c r="BG2775" s="5"/>
      <c r="BH2775" s="5"/>
      <c r="BI2775" s="5"/>
      <c r="BJ2775" s="5"/>
      <c r="BK2775" s="5"/>
      <c r="BL2775" s="5"/>
      <c r="BM2775" s="5"/>
      <c r="BN2775" s="5"/>
      <c r="BO2775" s="5"/>
      <c r="BP2775" s="5"/>
    </row>
    <row r="2776" spans="35:68" x14ac:dyDescent="0.25">
      <c r="AI2776" s="49"/>
      <c r="AJ2776" s="78"/>
      <c r="AK2776" s="79"/>
      <c r="AL2776" s="79"/>
      <c r="AM2776" s="79"/>
      <c r="AN2776" s="79"/>
      <c r="AO2776" s="79"/>
      <c r="AP2776" s="79"/>
      <c r="AQ2776" s="79"/>
      <c r="AR2776" s="78"/>
      <c r="AS2776" s="78"/>
      <c r="AT2776" s="79"/>
      <c r="AU2776" s="79"/>
      <c r="AV2776" s="79"/>
      <c r="AW2776" s="79"/>
      <c r="AX2776" s="79"/>
      <c r="AZ2776" s="81"/>
      <c r="BB2776" s="5"/>
      <c r="BC2776" s="5"/>
      <c r="BD2776" s="5"/>
      <c r="BE2776" s="5"/>
      <c r="BF2776" s="5"/>
      <c r="BG2776" s="5"/>
      <c r="BH2776" s="5"/>
      <c r="BI2776" s="5"/>
      <c r="BJ2776" s="5"/>
      <c r="BK2776" s="5"/>
      <c r="BL2776" s="5"/>
      <c r="BM2776" s="5"/>
      <c r="BN2776" s="5"/>
      <c r="BO2776" s="5"/>
      <c r="BP2776" s="5"/>
    </row>
    <row r="2777" spans="35:68" x14ac:dyDescent="0.25">
      <c r="AI2777" s="49"/>
      <c r="AJ2777" s="78"/>
      <c r="AK2777" s="79"/>
      <c r="AL2777" s="79"/>
      <c r="AM2777" s="79"/>
      <c r="AN2777" s="79"/>
      <c r="AO2777" s="79"/>
      <c r="AP2777" s="79"/>
      <c r="AQ2777" s="79"/>
      <c r="AR2777" s="78"/>
      <c r="AS2777" s="78"/>
      <c r="AT2777" s="79"/>
      <c r="AU2777" s="79"/>
      <c r="AV2777" s="79"/>
      <c r="AW2777" s="79"/>
      <c r="AX2777" s="79"/>
      <c r="AZ2777" s="81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</row>
    <row r="2778" spans="35:68" x14ac:dyDescent="0.25">
      <c r="AI2778" s="49"/>
      <c r="AJ2778" s="78"/>
      <c r="AK2778" s="79"/>
      <c r="AL2778" s="79"/>
      <c r="AM2778" s="79"/>
      <c r="AN2778" s="79"/>
      <c r="AO2778" s="79"/>
      <c r="AP2778" s="79"/>
      <c r="AQ2778" s="79"/>
      <c r="AR2778" s="78"/>
      <c r="AS2778" s="78"/>
      <c r="AT2778" s="79"/>
      <c r="AU2778" s="79"/>
      <c r="AV2778" s="79"/>
      <c r="AW2778" s="79"/>
      <c r="AX2778" s="79"/>
      <c r="AZ2778" s="81"/>
      <c r="BB2778" s="5"/>
      <c r="BC2778" s="5"/>
      <c r="BD2778" s="5"/>
      <c r="BE2778" s="5"/>
      <c r="BF2778" s="5"/>
      <c r="BG2778" s="5"/>
      <c r="BH2778" s="5"/>
      <c r="BI2778" s="5"/>
      <c r="BJ2778" s="5"/>
      <c r="BK2778" s="5"/>
      <c r="BL2778" s="5"/>
      <c r="BM2778" s="5"/>
      <c r="BN2778" s="5"/>
      <c r="BO2778" s="5"/>
      <c r="BP2778" s="5"/>
    </row>
    <row r="2779" spans="35:68" x14ac:dyDescent="0.25">
      <c r="AI2779" s="49"/>
      <c r="AJ2779" s="78"/>
      <c r="AK2779" s="79"/>
      <c r="AL2779" s="79"/>
      <c r="AM2779" s="79"/>
      <c r="AN2779" s="79"/>
      <c r="AO2779" s="79"/>
      <c r="AP2779" s="79"/>
      <c r="AQ2779" s="79"/>
      <c r="AR2779" s="78"/>
      <c r="AS2779" s="78"/>
      <c r="AT2779" s="79"/>
      <c r="AU2779" s="79"/>
      <c r="AV2779" s="79"/>
      <c r="AW2779" s="79"/>
      <c r="AX2779" s="79"/>
      <c r="AZ2779" s="81"/>
      <c r="BB2779" s="5"/>
      <c r="BC2779" s="5"/>
      <c r="BD2779" s="5"/>
      <c r="BE2779" s="5"/>
      <c r="BF2779" s="5"/>
      <c r="BG2779" s="5"/>
      <c r="BH2779" s="5"/>
      <c r="BI2779" s="5"/>
      <c r="BJ2779" s="5"/>
      <c r="BK2779" s="5"/>
      <c r="BL2779" s="5"/>
      <c r="BM2779" s="5"/>
      <c r="BN2779" s="5"/>
      <c r="BO2779" s="5"/>
      <c r="BP2779" s="5"/>
    </row>
    <row r="2780" spans="35:68" x14ac:dyDescent="0.25">
      <c r="AI2780" s="49"/>
      <c r="AJ2780" s="78"/>
      <c r="AK2780" s="79"/>
      <c r="AL2780" s="79"/>
      <c r="AM2780" s="79"/>
      <c r="AN2780" s="79"/>
      <c r="AO2780" s="79"/>
      <c r="AP2780" s="79"/>
      <c r="AQ2780" s="79"/>
      <c r="AR2780" s="78"/>
      <c r="AS2780" s="78"/>
      <c r="AT2780" s="79"/>
      <c r="AU2780" s="79"/>
      <c r="AV2780" s="79"/>
      <c r="AW2780" s="79"/>
      <c r="AX2780" s="79"/>
      <c r="AZ2780" s="81"/>
      <c r="BB2780" s="5"/>
      <c r="BC2780" s="5"/>
      <c r="BD2780" s="5"/>
      <c r="BE2780" s="5"/>
      <c r="BF2780" s="5"/>
      <c r="BG2780" s="5"/>
      <c r="BH2780" s="5"/>
      <c r="BI2780" s="5"/>
      <c r="BJ2780" s="5"/>
      <c r="BK2780" s="5"/>
      <c r="BL2780" s="5"/>
      <c r="BM2780" s="5"/>
      <c r="BN2780" s="5"/>
      <c r="BO2780" s="5"/>
      <c r="BP2780" s="5"/>
    </row>
    <row r="2781" spans="35:68" x14ac:dyDescent="0.25">
      <c r="AI2781" s="49"/>
      <c r="AJ2781" s="78"/>
      <c r="AK2781" s="79"/>
      <c r="AL2781" s="79"/>
      <c r="AM2781" s="79"/>
      <c r="AN2781" s="79"/>
      <c r="AO2781" s="79"/>
      <c r="AP2781" s="79"/>
      <c r="AQ2781" s="79"/>
      <c r="AR2781" s="78"/>
      <c r="AS2781" s="78"/>
      <c r="AT2781" s="79"/>
      <c r="AU2781" s="79"/>
      <c r="AV2781" s="79"/>
      <c r="AW2781" s="79"/>
      <c r="AX2781" s="79"/>
      <c r="AZ2781" s="81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</row>
    <row r="2782" spans="35:68" x14ac:dyDescent="0.25">
      <c r="AI2782" s="49"/>
      <c r="AJ2782" s="78"/>
      <c r="AK2782" s="79"/>
      <c r="AL2782" s="79"/>
      <c r="AM2782" s="79"/>
      <c r="AN2782" s="79"/>
      <c r="AO2782" s="79"/>
      <c r="AP2782" s="79"/>
      <c r="AQ2782" s="79"/>
      <c r="AR2782" s="78"/>
      <c r="AS2782" s="78"/>
      <c r="AT2782" s="79"/>
      <c r="AU2782" s="79"/>
      <c r="AV2782" s="79"/>
      <c r="AW2782" s="79"/>
      <c r="AX2782" s="79"/>
      <c r="AZ2782" s="81"/>
      <c r="BB2782" s="5"/>
      <c r="BC2782" s="5"/>
      <c r="BD2782" s="5"/>
      <c r="BE2782" s="5"/>
      <c r="BF2782" s="5"/>
      <c r="BG2782" s="5"/>
      <c r="BH2782" s="5"/>
      <c r="BI2782" s="5"/>
      <c r="BJ2782" s="5"/>
      <c r="BK2782" s="5"/>
      <c r="BL2782" s="5"/>
      <c r="BM2782" s="5"/>
      <c r="BN2782" s="5"/>
      <c r="BO2782" s="5"/>
      <c r="BP2782" s="5"/>
    </row>
    <row r="2783" spans="35:68" x14ac:dyDescent="0.25">
      <c r="AI2783" s="49"/>
      <c r="AJ2783" s="78"/>
      <c r="AK2783" s="79"/>
      <c r="AL2783" s="79"/>
      <c r="AM2783" s="79"/>
      <c r="AN2783" s="79"/>
      <c r="AO2783" s="79"/>
      <c r="AP2783" s="79"/>
      <c r="AQ2783" s="79"/>
      <c r="AR2783" s="78"/>
      <c r="AS2783" s="78"/>
      <c r="AT2783" s="79"/>
      <c r="AU2783" s="79"/>
      <c r="AV2783" s="79"/>
      <c r="AW2783" s="79"/>
      <c r="AX2783" s="79"/>
      <c r="AZ2783" s="81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</row>
    <row r="2784" spans="35:68" x14ac:dyDescent="0.25">
      <c r="AI2784" s="49"/>
      <c r="AJ2784" s="78"/>
      <c r="AK2784" s="79"/>
      <c r="AL2784" s="79"/>
      <c r="AM2784" s="79"/>
      <c r="AN2784" s="79"/>
      <c r="AO2784" s="79"/>
      <c r="AP2784" s="79"/>
      <c r="AQ2784" s="79"/>
      <c r="AR2784" s="78"/>
      <c r="AS2784" s="78"/>
      <c r="AT2784" s="79"/>
      <c r="AU2784" s="79"/>
      <c r="AV2784" s="79"/>
      <c r="AW2784" s="79"/>
      <c r="AX2784" s="79"/>
      <c r="AZ2784" s="81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</row>
    <row r="2785" spans="35:68" x14ac:dyDescent="0.25">
      <c r="AI2785" s="49"/>
      <c r="AJ2785" s="78"/>
      <c r="AK2785" s="79"/>
      <c r="AL2785" s="79"/>
      <c r="AM2785" s="79"/>
      <c r="AN2785" s="79"/>
      <c r="AO2785" s="79"/>
      <c r="AP2785" s="79"/>
      <c r="AQ2785" s="79"/>
      <c r="AR2785" s="78"/>
      <c r="AS2785" s="78"/>
      <c r="AT2785" s="79"/>
      <c r="AU2785" s="79"/>
      <c r="AV2785" s="79"/>
      <c r="AW2785" s="79"/>
      <c r="AX2785" s="79"/>
      <c r="AZ2785" s="81"/>
      <c r="BB2785" s="5"/>
      <c r="BC2785" s="5"/>
      <c r="BD2785" s="5"/>
      <c r="BE2785" s="5"/>
      <c r="BF2785" s="5"/>
      <c r="BG2785" s="5"/>
      <c r="BH2785" s="5"/>
      <c r="BI2785" s="5"/>
      <c r="BJ2785" s="5"/>
      <c r="BK2785" s="5"/>
      <c r="BL2785" s="5"/>
      <c r="BM2785" s="5"/>
      <c r="BN2785" s="5"/>
      <c r="BO2785" s="5"/>
      <c r="BP2785" s="5"/>
    </row>
    <row r="2786" spans="35:68" x14ac:dyDescent="0.25">
      <c r="AI2786" s="49"/>
      <c r="AJ2786" s="78"/>
      <c r="AK2786" s="79"/>
      <c r="AL2786" s="79"/>
      <c r="AM2786" s="79"/>
      <c r="AN2786" s="79"/>
      <c r="AO2786" s="79"/>
      <c r="AP2786" s="79"/>
      <c r="AQ2786" s="79"/>
      <c r="AR2786" s="78"/>
      <c r="AS2786" s="78"/>
      <c r="AT2786" s="79"/>
      <c r="AU2786" s="79"/>
      <c r="AV2786" s="79"/>
      <c r="AW2786" s="79"/>
      <c r="AX2786" s="79"/>
      <c r="AZ2786" s="81"/>
      <c r="BB2786" s="5"/>
      <c r="BC2786" s="5"/>
      <c r="BD2786" s="5"/>
      <c r="BE2786" s="5"/>
      <c r="BF2786" s="5"/>
      <c r="BG2786" s="5"/>
      <c r="BH2786" s="5"/>
      <c r="BI2786" s="5"/>
      <c r="BJ2786" s="5"/>
      <c r="BK2786" s="5"/>
      <c r="BL2786" s="5"/>
      <c r="BM2786" s="5"/>
      <c r="BN2786" s="5"/>
      <c r="BO2786" s="5"/>
      <c r="BP2786" s="5"/>
    </row>
    <row r="2787" spans="35:68" x14ac:dyDescent="0.25">
      <c r="AI2787" s="49"/>
      <c r="AJ2787" s="78"/>
      <c r="AK2787" s="79"/>
      <c r="AL2787" s="79"/>
      <c r="AM2787" s="79"/>
      <c r="AN2787" s="79"/>
      <c r="AO2787" s="79"/>
      <c r="AP2787" s="79"/>
      <c r="AQ2787" s="79"/>
      <c r="AR2787" s="78"/>
      <c r="AS2787" s="78"/>
      <c r="AT2787" s="79"/>
      <c r="AU2787" s="79"/>
      <c r="AV2787" s="79"/>
      <c r="AW2787" s="79"/>
      <c r="AX2787" s="79"/>
      <c r="AZ2787" s="81"/>
      <c r="BB2787" s="5"/>
      <c r="BC2787" s="5"/>
      <c r="BD2787" s="5"/>
      <c r="BE2787" s="5"/>
      <c r="BF2787" s="5"/>
      <c r="BG2787" s="5"/>
      <c r="BH2787" s="5"/>
      <c r="BI2787" s="5"/>
      <c r="BJ2787" s="5"/>
      <c r="BK2787" s="5"/>
      <c r="BL2787" s="5"/>
      <c r="BM2787" s="5"/>
      <c r="BN2787" s="5"/>
      <c r="BO2787" s="5"/>
      <c r="BP2787" s="5"/>
    </row>
    <row r="2788" spans="35:68" x14ac:dyDescent="0.25">
      <c r="AI2788" s="49"/>
      <c r="AJ2788" s="78"/>
      <c r="AK2788" s="79"/>
      <c r="AL2788" s="79"/>
      <c r="AM2788" s="79"/>
      <c r="AN2788" s="79"/>
      <c r="AO2788" s="79"/>
      <c r="AP2788" s="79"/>
      <c r="AQ2788" s="79"/>
      <c r="AR2788" s="78"/>
      <c r="AS2788" s="78"/>
      <c r="AT2788" s="79"/>
      <c r="AU2788" s="79"/>
      <c r="AV2788" s="79"/>
      <c r="AW2788" s="79"/>
      <c r="AX2788" s="79"/>
      <c r="AZ2788" s="81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</row>
    <row r="2789" spans="35:68" x14ac:dyDescent="0.25">
      <c r="AI2789" s="49"/>
      <c r="AJ2789" s="78"/>
      <c r="AK2789" s="79"/>
      <c r="AL2789" s="79"/>
      <c r="AM2789" s="79"/>
      <c r="AN2789" s="79"/>
      <c r="AO2789" s="79"/>
      <c r="AP2789" s="79"/>
      <c r="AQ2789" s="79"/>
      <c r="AR2789" s="78"/>
      <c r="AS2789" s="78"/>
      <c r="AT2789" s="79"/>
      <c r="AU2789" s="79"/>
      <c r="AV2789" s="79"/>
      <c r="AW2789" s="79"/>
      <c r="AX2789" s="79"/>
      <c r="AZ2789" s="81"/>
      <c r="BB2789" s="5"/>
      <c r="BC2789" s="5"/>
      <c r="BD2789" s="5"/>
      <c r="BE2789" s="5"/>
      <c r="BF2789" s="5"/>
      <c r="BG2789" s="5"/>
      <c r="BH2789" s="5"/>
      <c r="BI2789" s="5"/>
      <c r="BJ2789" s="5"/>
      <c r="BK2789" s="5"/>
      <c r="BL2789" s="5"/>
      <c r="BM2789" s="5"/>
      <c r="BN2789" s="5"/>
      <c r="BO2789" s="5"/>
      <c r="BP2789" s="5"/>
    </row>
    <row r="2790" spans="35:68" x14ac:dyDescent="0.25">
      <c r="AI2790" s="49"/>
      <c r="AJ2790" s="78"/>
      <c r="AK2790" s="79"/>
      <c r="AL2790" s="79"/>
      <c r="AM2790" s="79"/>
      <c r="AN2790" s="79"/>
      <c r="AO2790" s="79"/>
      <c r="AP2790" s="79"/>
      <c r="AQ2790" s="79"/>
      <c r="AR2790" s="78"/>
      <c r="AS2790" s="78"/>
      <c r="AT2790" s="79"/>
      <c r="AU2790" s="79"/>
      <c r="AV2790" s="79"/>
      <c r="AW2790" s="79"/>
      <c r="AX2790" s="79"/>
      <c r="AZ2790" s="81"/>
      <c r="BB2790" s="5"/>
      <c r="BC2790" s="5"/>
      <c r="BD2790" s="5"/>
      <c r="BE2790" s="5"/>
      <c r="BF2790" s="5"/>
      <c r="BG2790" s="5"/>
      <c r="BH2790" s="5"/>
      <c r="BI2790" s="5"/>
      <c r="BJ2790" s="5"/>
      <c r="BK2790" s="5"/>
      <c r="BL2790" s="5"/>
      <c r="BM2790" s="5"/>
      <c r="BN2790" s="5"/>
      <c r="BO2790" s="5"/>
      <c r="BP2790" s="5"/>
    </row>
    <row r="2791" spans="35:68" x14ac:dyDescent="0.25">
      <c r="AI2791" s="49"/>
      <c r="AJ2791" s="78"/>
      <c r="AK2791" s="79"/>
      <c r="AL2791" s="79"/>
      <c r="AM2791" s="79"/>
      <c r="AN2791" s="79"/>
      <c r="AO2791" s="79"/>
      <c r="AP2791" s="79"/>
      <c r="AQ2791" s="79"/>
      <c r="AR2791" s="78"/>
      <c r="AS2791" s="78"/>
      <c r="AT2791" s="79"/>
      <c r="AU2791" s="79"/>
      <c r="AV2791" s="79"/>
      <c r="AW2791" s="79"/>
      <c r="AX2791" s="79"/>
      <c r="AZ2791" s="81"/>
      <c r="BB2791" s="5"/>
      <c r="BC2791" s="5"/>
      <c r="BD2791" s="5"/>
      <c r="BE2791" s="5"/>
      <c r="BF2791" s="5"/>
      <c r="BG2791" s="5"/>
      <c r="BH2791" s="5"/>
      <c r="BI2791" s="5"/>
      <c r="BJ2791" s="5"/>
      <c r="BK2791" s="5"/>
      <c r="BL2791" s="5"/>
      <c r="BM2791" s="5"/>
      <c r="BN2791" s="5"/>
      <c r="BO2791" s="5"/>
      <c r="BP2791" s="5"/>
    </row>
    <row r="2792" spans="35:68" x14ac:dyDescent="0.25">
      <c r="AI2792" s="49"/>
      <c r="AJ2792" s="78"/>
      <c r="AK2792" s="79"/>
      <c r="AL2792" s="79"/>
      <c r="AM2792" s="79"/>
      <c r="AN2792" s="79"/>
      <c r="AO2792" s="79"/>
      <c r="AP2792" s="79"/>
      <c r="AQ2792" s="79"/>
      <c r="AR2792" s="78"/>
      <c r="AS2792" s="78"/>
      <c r="AT2792" s="79"/>
      <c r="AU2792" s="79"/>
      <c r="AV2792" s="79"/>
      <c r="AW2792" s="79"/>
      <c r="AX2792" s="79"/>
      <c r="AZ2792" s="81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</row>
    <row r="2793" spans="35:68" x14ac:dyDescent="0.25">
      <c r="AI2793" s="49"/>
      <c r="AJ2793" s="78"/>
      <c r="AK2793" s="79"/>
      <c r="AL2793" s="79"/>
      <c r="AM2793" s="79"/>
      <c r="AN2793" s="79"/>
      <c r="AO2793" s="79"/>
      <c r="AP2793" s="79"/>
      <c r="AQ2793" s="79"/>
      <c r="AR2793" s="78"/>
      <c r="AS2793" s="78"/>
      <c r="AT2793" s="79"/>
      <c r="AU2793" s="79"/>
      <c r="AV2793" s="79"/>
      <c r="AW2793" s="79"/>
      <c r="AX2793" s="79"/>
      <c r="AZ2793" s="81"/>
      <c r="BB2793" s="5"/>
      <c r="BC2793" s="5"/>
      <c r="BD2793" s="5"/>
      <c r="BE2793" s="5"/>
      <c r="BF2793" s="5"/>
      <c r="BG2793" s="5"/>
      <c r="BH2793" s="5"/>
      <c r="BI2793" s="5"/>
      <c r="BJ2793" s="5"/>
      <c r="BK2793" s="5"/>
      <c r="BL2793" s="5"/>
      <c r="BM2793" s="5"/>
      <c r="BN2793" s="5"/>
      <c r="BO2793" s="5"/>
      <c r="BP2793" s="5"/>
    </row>
    <row r="2794" spans="35:68" x14ac:dyDescent="0.25">
      <c r="AI2794" s="49"/>
      <c r="AJ2794" s="78"/>
      <c r="AK2794" s="79"/>
      <c r="AL2794" s="79"/>
      <c r="AM2794" s="79"/>
      <c r="AN2794" s="79"/>
      <c r="AO2794" s="79"/>
      <c r="AP2794" s="79"/>
      <c r="AQ2794" s="79"/>
      <c r="AR2794" s="78"/>
      <c r="AS2794" s="78"/>
      <c r="AT2794" s="79"/>
      <c r="AU2794" s="79"/>
      <c r="AV2794" s="79"/>
      <c r="AW2794" s="79"/>
      <c r="AX2794" s="79"/>
      <c r="AZ2794" s="81"/>
      <c r="BB2794" s="5"/>
      <c r="BC2794" s="5"/>
      <c r="BD2794" s="5"/>
      <c r="BE2794" s="5"/>
      <c r="BF2794" s="5"/>
      <c r="BG2794" s="5"/>
      <c r="BH2794" s="5"/>
      <c r="BI2794" s="5"/>
      <c r="BJ2794" s="5"/>
      <c r="BK2794" s="5"/>
      <c r="BL2794" s="5"/>
      <c r="BM2794" s="5"/>
      <c r="BN2794" s="5"/>
      <c r="BO2794" s="5"/>
      <c r="BP2794" s="5"/>
    </row>
    <row r="2795" spans="35:68" x14ac:dyDescent="0.25">
      <c r="AI2795" s="49"/>
      <c r="AJ2795" s="78"/>
      <c r="AK2795" s="79"/>
      <c r="AL2795" s="79"/>
      <c r="AM2795" s="79"/>
      <c r="AN2795" s="79"/>
      <c r="AO2795" s="79"/>
      <c r="AP2795" s="79"/>
      <c r="AQ2795" s="79"/>
      <c r="AR2795" s="78"/>
      <c r="AS2795" s="78"/>
      <c r="AT2795" s="79"/>
      <c r="AU2795" s="79"/>
      <c r="AV2795" s="79"/>
      <c r="AW2795" s="79"/>
      <c r="AX2795" s="79"/>
      <c r="AZ2795" s="81"/>
      <c r="BB2795" s="5"/>
      <c r="BC2795" s="5"/>
      <c r="BD2795" s="5"/>
      <c r="BE2795" s="5"/>
      <c r="BF2795" s="5"/>
      <c r="BG2795" s="5"/>
      <c r="BH2795" s="5"/>
      <c r="BI2795" s="5"/>
      <c r="BJ2795" s="5"/>
      <c r="BK2795" s="5"/>
      <c r="BL2795" s="5"/>
      <c r="BM2795" s="5"/>
      <c r="BN2795" s="5"/>
      <c r="BO2795" s="5"/>
      <c r="BP2795" s="5"/>
    </row>
    <row r="2796" spans="35:68" x14ac:dyDescent="0.25">
      <c r="AI2796" s="49"/>
      <c r="AJ2796" s="78"/>
      <c r="AK2796" s="79"/>
      <c r="AL2796" s="79"/>
      <c r="AM2796" s="79"/>
      <c r="AN2796" s="79"/>
      <c r="AO2796" s="79"/>
      <c r="AP2796" s="79"/>
      <c r="AQ2796" s="79"/>
      <c r="AR2796" s="78"/>
      <c r="AS2796" s="78"/>
      <c r="AT2796" s="79"/>
      <c r="AU2796" s="79"/>
      <c r="AV2796" s="79"/>
      <c r="AW2796" s="79"/>
      <c r="AX2796" s="79"/>
      <c r="AZ2796" s="81"/>
      <c r="BB2796" s="5"/>
      <c r="BC2796" s="5"/>
      <c r="BD2796" s="5"/>
      <c r="BE2796" s="5"/>
      <c r="BF2796" s="5"/>
      <c r="BG2796" s="5"/>
      <c r="BH2796" s="5"/>
      <c r="BI2796" s="5"/>
      <c r="BJ2796" s="5"/>
      <c r="BK2796" s="5"/>
      <c r="BL2796" s="5"/>
      <c r="BM2796" s="5"/>
      <c r="BN2796" s="5"/>
      <c r="BO2796" s="5"/>
      <c r="BP2796" s="5"/>
    </row>
    <row r="2797" spans="35:68" x14ac:dyDescent="0.25">
      <c r="AI2797" s="49"/>
      <c r="AJ2797" s="78"/>
      <c r="AK2797" s="79"/>
      <c r="AL2797" s="79"/>
      <c r="AM2797" s="79"/>
      <c r="AN2797" s="79"/>
      <c r="AO2797" s="79"/>
      <c r="AP2797" s="79"/>
      <c r="AQ2797" s="79"/>
      <c r="AR2797" s="78"/>
      <c r="AS2797" s="78"/>
      <c r="AT2797" s="79"/>
      <c r="AU2797" s="79"/>
      <c r="AV2797" s="79"/>
      <c r="AW2797" s="79"/>
      <c r="AX2797" s="79"/>
      <c r="AZ2797" s="81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</row>
    <row r="2798" spans="35:68" x14ac:dyDescent="0.25">
      <c r="AI2798" s="49"/>
      <c r="AJ2798" s="78"/>
      <c r="AK2798" s="79"/>
      <c r="AL2798" s="79"/>
      <c r="AM2798" s="79"/>
      <c r="AN2798" s="79"/>
      <c r="AO2798" s="79"/>
      <c r="AP2798" s="79"/>
      <c r="AQ2798" s="79"/>
      <c r="AR2798" s="78"/>
      <c r="AS2798" s="78"/>
      <c r="AT2798" s="79"/>
      <c r="AU2798" s="79"/>
      <c r="AV2798" s="79"/>
      <c r="AW2798" s="79"/>
      <c r="AX2798" s="79"/>
      <c r="AZ2798" s="81"/>
      <c r="BB2798" s="5"/>
      <c r="BC2798" s="5"/>
      <c r="BD2798" s="5"/>
      <c r="BE2798" s="5"/>
      <c r="BF2798" s="5"/>
      <c r="BG2798" s="5"/>
      <c r="BH2798" s="5"/>
      <c r="BI2798" s="5"/>
      <c r="BJ2798" s="5"/>
      <c r="BK2798" s="5"/>
      <c r="BL2798" s="5"/>
      <c r="BM2798" s="5"/>
      <c r="BN2798" s="5"/>
      <c r="BO2798" s="5"/>
      <c r="BP2798" s="5"/>
    </row>
    <row r="2799" spans="35:68" x14ac:dyDescent="0.25">
      <c r="AI2799" s="49"/>
      <c r="AJ2799" s="78"/>
      <c r="AK2799" s="79"/>
      <c r="AL2799" s="79"/>
      <c r="AM2799" s="79"/>
      <c r="AN2799" s="79"/>
      <c r="AO2799" s="79"/>
      <c r="AP2799" s="79"/>
      <c r="AQ2799" s="79"/>
      <c r="AR2799" s="78"/>
      <c r="AS2799" s="78"/>
      <c r="AT2799" s="79"/>
      <c r="AU2799" s="79"/>
      <c r="AV2799" s="79"/>
      <c r="AW2799" s="79"/>
      <c r="AX2799" s="79"/>
      <c r="AZ2799" s="81"/>
      <c r="BB2799" s="5"/>
      <c r="BC2799" s="5"/>
      <c r="BD2799" s="5"/>
      <c r="BE2799" s="5"/>
      <c r="BF2799" s="5"/>
      <c r="BG2799" s="5"/>
      <c r="BH2799" s="5"/>
      <c r="BI2799" s="5"/>
      <c r="BJ2799" s="5"/>
      <c r="BK2799" s="5"/>
      <c r="BL2799" s="5"/>
      <c r="BM2799" s="5"/>
      <c r="BN2799" s="5"/>
      <c r="BO2799" s="5"/>
      <c r="BP2799" s="5"/>
    </row>
    <row r="2800" spans="35:68" x14ac:dyDescent="0.25">
      <c r="AI2800" s="49"/>
      <c r="AJ2800" s="78"/>
      <c r="AK2800" s="79"/>
      <c r="AL2800" s="79"/>
      <c r="AM2800" s="79"/>
      <c r="AN2800" s="79"/>
      <c r="AO2800" s="79"/>
      <c r="AP2800" s="79"/>
      <c r="AQ2800" s="79"/>
      <c r="AR2800" s="78"/>
      <c r="AS2800" s="78"/>
      <c r="AT2800" s="79"/>
      <c r="AU2800" s="79"/>
      <c r="AV2800" s="79"/>
      <c r="AW2800" s="79"/>
      <c r="AX2800" s="79"/>
      <c r="AZ2800" s="81"/>
      <c r="BB2800" s="5"/>
      <c r="BC2800" s="5"/>
      <c r="BD2800" s="5"/>
      <c r="BE2800" s="5"/>
      <c r="BF2800" s="5"/>
      <c r="BG2800" s="5"/>
      <c r="BH2800" s="5"/>
      <c r="BI2800" s="5"/>
      <c r="BJ2800" s="5"/>
      <c r="BK2800" s="5"/>
      <c r="BL2800" s="5"/>
      <c r="BM2800" s="5"/>
      <c r="BN2800" s="5"/>
      <c r="BO2800" s="5"/>
      <c r="BP2800" s="5"/>
    </row>
    <row r="2801" spans="35:68" x14ac:dyDescent="0.25">
      <c r="AI2801" s="49"/>
      <c r="AJ2801" s="78"/>
      <c r="AK2801" s="79"/>
      <c r="AL2801" s="79"/>
      <c r="AM2801" s="79"/>
      <c r="AN2801" s="79"/>
      <c r="AO2801" s="79"/>
      <c r="AP2801" s="79"/>
      <c r="AQ2801" s="79"/>
      <c r="AR2801" s="78"/>
      <c r="AS2801" s="78"/>
      <c r="AT2801" s="79"/>
      <c r="AU2801" s="79"/>
      <c r="AV2801" s="79"/>
      <c r="AW2801" s="79"/>
      <c r="AX2801" s="79"/>
      <c r="AZ2801" s="81"/>
      <c r="BB2801" s="5"/>
      <c r="BC2801" s="5"/>
      <c r="BD2801" s="5"/>
      <c r="BE2801" s="5"/>
      <c r="BF2801" s="5"/>
      <c r="BG2801" s="5"/>
      <c r="BH2801" s="5"/>
      <c r="BI2801" s="5"/>
      <c r="BJ2801" s="5"/>
      <c r="BK2801" s="5"/>
      <c r="BL2801" s="5"/>
      <c r="BM2801" s="5"/>
      <c r="BN2801" s="5"/>
      <c r="BO2801" s="5"/>
      <c r="BP2801" s="5"/>
    </row>
    <row r="2802" spans="35:68" x14ac:dyDescent="0.25">
      <c r="AI2802" s="49"/>
      <c r="AJ2802" s="78"/>
      <c r="AK2802" s="79"/>
      <c r="AL2802" s="79"/>
      <c r="AM2802" s="79"/>
      <c r="AN2802" s="79"/>
      <c r="AO2802" s="79"/>
      <c r="AP2802" s="79"/>
      <c r="AQ2802" s="79"/>
      <c r="AR2802" s="78"/>
      <c r="AS2802" s="78"/>
      <c r="AT2802" s="79"/>
      <c r="AU2802" s="79"/>
      <c r="AV2802" s="79"/>
      <c r="AW2802" s="79"/>
      <c r="AX2802" s="79"/>
      <c r="AZ2802" s="81"/>
      <c r="BB2802" s="5"/>
      <c r="BC2802" s="5"/>
      <c r="BD2802" s="5"/>
      <c r="BE2802" s="5"/>
      <c r="BF2802" s="5"/>
      <c r="BG2802" s="5"/>
      <c r="BH2802" s="5"/>
      <c r="BI2802" s="5"/>
      <c r="BJ2802" s="5"/>
      <c r="BK2802" s="5"/>
      <c r="BL2802" s="5"/>
      <c r="BM2802" s="5"/>
      <c r="BN2802" s="5"/>
      <c r="BO2802" s="5"/>
      <c r="BP2802" s="5"/>
    </row>
    <row r="2803" spans="35:68" x14ac:dyDescent="0.25">
      <c r="AI2803" s="49"/>
      <c r="AJ2803" s="78"/>
      <c r="AK2803" s="79"/>
      <c r="AL2803" s="79"/>
      <c r="AM2803" s="79"/>
      <c r="AN2803" s="79"/>
      <c r="AO2803" s="79"/>
      <c r="AP2803" s="79"/>
      <c r="AQ2803" s="79"/>
      <c r="AR2803" s="78"/>
      <c r="AS2803" s="78"/>
      <c r="AT2803" s="79"/>
      <c r="AU2803" s="79"/>
      <c r="AV2803" s="79"/>
      <c r="AW2803" s="79"/>
      <c r="AX2803" s="79"/>
      <c r="AZ2803" s="81"/>
      <c r="BB2803" s="5"/>
      <c r="BC2803" s="5"/>
      <c r="BD2803" s="5"/>
      <c r="BE2803" s="5"/>
      <c r="BF2803" s="5"/>
      <c r="BG2803" s="5"/>
      <c r="BH2803" s="5"/>
      <c r="BI2803" s="5"/>
      <c r="BJ2803" s="5"/>
      <c r="BK2803" s="5"/>
      <c r="BL2803" s="5"/>
      <c r="BM2803" s="5"/>
      <c r="BN2803" s="5"/>
      <c r="BO2803" s="5"/>
      <c r="BP2803" s="5"/>
    </row>
    <row r="2804" spans="35:68" x14ac:dyDescent="0.25">
      <c r="AI2804" s="49"/>
      <c r="AJ2804" s="78"/>
      <c r="AK2804" s="79"/>
      <c r="AL2804" s="79"/>
      <c r="AM2804" s="79"/>
      <c r="AN2804" s="79"/>
      <c r="AO2804" s="79"/>
      <c r="AP2804" s="79"/>
      <c r="AQ2804" s="79"/>
      <c r="AR2804" s="78"/>
      <c r="AS2804" s="78"/>
      <c r="AT2804" s="79"/>
      <c r="AU2804" s="79"/>
      <c r="AV2804" s="79"/>
      <c r="AW2804" s="79"/>
      <c r="AX2804" s="79"/>
      <c r="AZ2804" s="81"/>
      <c r="BB2804" s="5"/>
      <c r="BC2804" s="5"/>
      <c r="BD2804" s="5"/>
      <c r="BE2804" s="5"/>
      <c r="BF2804" s="5"/>
      <c r="BG2804" s="5"/>
      <c r="BH2804" s="5"/>
      <c r="BI2804" s="5"/>
      <c r="BJ2804" s="5"/>
      <c r="BK2804" s="5"/>
      <c r="BL2804" s="5"/>
      <c r="BM2804" s="5"/>
      <c r="BN2804" s="5"/>
      <c r="BO2804" s="5"/>
      <c r="BP2804" s="5"/>
    </row>
    <row r="2805" spans="35:68" x14ac:dyDescent="0.25">
      <c r="AI2805" s="49"/>
      <c r="AJ2805" s="78"/>
      <c r="AK2805" s="79"/>
      <c r="AL2805" s="79"/>
      <c r="AM2805" s="79"/>
      <c r="AN2805" s="79"/>
      <c r="AO2805" s="79"/>
      <c r="AP2805" s="79"/>
      <c r="AQ2805" s="79"/>
      <c r="AR2805" s="78"/>
      <c r="AS2805" s="78"/>
      <c r="AT2805" s="79"/>
      <c r="AU2805" s="79"/>
      <c r="AV2805" s="79"/>
      <c r="AW2805" s="79"/>
      <c r="AX2805" s="79"/>
      <c r="AZ2805" s="81"/>
      <c r="BB2805" s="5"/>
      <c r="BC2805" s="5"/>
      <c r="BD2805" s="5"/>
      <c r="BE2805" s="5"/>
      <c r="BF2805" s="5"/>
      <c r="BG2805" s="5"/>
      <c r="BH2805" s="5"/>
      <c r="BI2805" s="5"/>
      <c r="BJ2805" s="5"/>
      <c r="BK2805" s="5"/>
      <c r="BL2805" s="5"/>
      <c r="BM2805" s="5"/>
      <c r="BN2805" s="5"/>
      <c r="BO2805" s="5"/>
      <c r="BP2805" s="5"/>
    </row>
    <row r="2806" spans="35:68" x14ac:dyDescent="0.25">
      <c r="AI2806" s="49"/>
      <c r="AJ2806" s="78"/>
      <c r="AK2806" s="79"/>
      <c r="AL2806" s="79"/>
      <c r="AM2806" s="79"/>
      <c r="AN2806" s="79"/>
      <c r="AO2806" s="79"/>
      <c r="AP2806" s="79"/>
      <c r="AQ2806" s="79"/>
      <c r="AR2806" s="78"/>
      <c r="AS2806" s="78"/>
      <c r="AT2806" s="79"/>
      <c r="AU2806" s="79"/>
      <c r="AV2806" s="79"/>
      <c r="AW2806" s="79"/>
      <c r="AX2806" s="79"/>
      <c r="AZ2806" s="81"/>
      <c r="BB2806" s="5"/>
      <c r="BC2806" s="5"/>
      <c r="BD2806" s="5"/>
      <c r="BE2806" s="5"/>
      <c r="BF2806" s="5"/>
      <c r="BG2806" s="5"/>
      <c r="BH2806" s="5"/>
      <c r="BI2806" s="5"/>
      <c r="BJ2806" s="5"/>
      <c r="BK2806" s="5"/>
      <c r="BL2806" s="5"/>
      <c r="BM2806" s="5"/>
      <c r="BN2806" s="5"/>
      <c r="BO2806" s="5"/>
      <c r="BP2806" s="5"/>
    </row>
    <row r="2807" spans="35:68" x14ac:dyDescent="0.25">
      <c r="AI2807" s="49"/>
      <c r="AJ2807" s="78"/>
      <c r="AK2807" s="79"/>
      <c r="AL2807" s="79"/>
      <c r="AM2807" s="79"/>
      <c r="AN2807" s="79"/>
      <c r="AO2807" s="79"/>
      <c r="AP2807" s="79"/>
      <c r="AQ2807" s="79"/>
      <c r="AR2807" s="78"/>
      <c r="AS2807" s="78"/>
      <c r="AT2807" s="79"/>
      <c r="AU2807" s="79"/>
      <c r="AV2807" s="79"/>
      <c r="AW2807" s="79"/>
      <c r="AX2807" s="79"/>
      <c r="AZ2807" s="81"/>
      <c r="BB2807" s="5"/>
      <c r="BC2807" s="5"/>
      <c r="BD2807" s="5"/>
      <c r="BE2807" s="5"/>
      <c r="BF2807" s="5"/>
      <c r="BG2807" s="5"/>
      <c r="BH2807" s="5"/>
      <c r="BI2807" s="5"/>
      <c r="BJ2807" s="5"/>
      <c r="BK2807" s="5"/>
      <c r="BL2807" s="5"/>
      <c r="BM2807" s="5"/>
      <c r="BN2807" s="5"/>
      <c r="BO2807" s="5"/>
      <c r="BP2807" s="5"/>
    </row>
    <row r="2808" spans="35:68" x14ac:dyDescent="0.25">
      <c r="AI2808" s="49"/>
      <c r="AJ2808" s="78"/>
      <c r="AK2808" s="79"/>
      <c r="AL2808" s="79"/>
      <c r="AM2808" s="79"/>
      <c r="AN2808" s="79"/>
      <c r="AO2808" s="79"/>
      <c r="AP2808" s="79"/>
      <c r="AQ2808" s="79"/>
      <c r="AR2808" s="78"/>
      <c r="AS2808" s="78"/>
      <c r="AT2808" s="79"/>
      <c r="AU2808" s="79"/>
      <c r="AV2808" s="79"/>
      <c r="AW2808" s="79"/>
      <c r="AX2808" s="79"/>
      <c r="AZ2808" s="81"/>
      <c r="BB2808" s="5"/>
      <c r="BC2808" s="5"/>
      <c r="BD2808" s="5"/>
      <c r="BE2808" s="5"/>
      <c r="BF2808" s="5"/>
      <c r="BG2808" s="5"/>
      <c r="BH2808" s="5"/>
      <c r="BI2808" s="5"/>
      <c r="BJ2808" s="5"/>
      <c r="BK2808" s="5"/>
      <c r="BL2808" s="5"/>
      <c r="BM2808" s="5"/>
      <c r="BN2808" s="5"/>
      <c r="BO2808" s="5"/>
      <c r="BP2808" s="5"/>
    </row>
    <row r="2809" spans="35:68" x14ac:dyDescent="0.25">
      <c r="AI2809" s="49"/>
      <c r="AJ2809" s="78"/>
      <c r="AK2809" s="79"/>
      <c r="AL2809" s="79"/>
      <c r="AM2809" s="79"/>
      <c r="AN2809" s="79"/>
      <c r="AO2809" s="79"/>
      <c r="AP2809" s="79"/>
      <c r="AQ2809" s="79"/>
      <c r="AR2809" s="78"/>
      <c r="AS2809" s="78"/>
      <c r="AT2809" s="79"/>
      <c r="AU2809" s="79"/>
      <c r="AV2809" s="79"/>
      <c r="AW2809" s="79"/>
      <c r="AX2809" s="79"/>
      <c r="AZ2809" s="81"/>
      <c r="BB2809" s="5"/>
      <c r="BC2809" s="5"/>
      <c r="BD2809" s="5"/>
      <c r="BE2809" s="5"/>
      <c r="BF2809" s="5"/>
      <c r="BG2809" s="5"/>
      <c r="BH2809" s="5"/>
      <c r="BI2809" s="5"/>
      <c r="BJ2809" s="5"/>
      <c r="BK2809" s="5"/>
      <c r="BL2809" s="5"/>
      <c r="BM2809" s="5"/>
      <c r="BN2809" s="5"/>
      <c r="BO2809" s="5"/>
      <c r="BP2809" s="5"/>
    </row>
    <row r="2810" spans="35:68" x14ac:dyDescent="0.25">
      <c r="AI2810" s="49"/>
      <c r="AJ2810" s="78"/>
      <c r="AK2810" s="79"/>
      <c r="AL2810" s="79"/>
      <c r="AM2810" s="79"/>
      <c r="AN2810" s="79"/>
      <c r="AO2810" s="79"/>
      <c r="AP2810" s="79"/>
      <c r="AQ2810" s="79"/>
      <c r="AR2810" s="78"/>
      <c r="AS2810" s="78"/>
      <c r="AT2810" s="79"/>
      <c r="AU2810" s="79"/>
      <c r="AV2810" s="79"/>
      <c r="AW2810" s="79"/>
      <c r="AX2810" s="79"/>
      <c r="AZ2810" s="81"/>
      <c r="BB2810" s="5"/>
      <c r="BC2810" s="5"/>
      <c r="BD2810" s="5"/>
      <c r="BE2810" s="5"/>
      <c r="BF2810" s="5"/>
      <c r="BG2810" s="5"/>
      <c r="BH2810" s="5"/>
      <c r="BI2810" s="5"/>
      <c r="BJ2810" s="5"/>
      <c r="BK2810" s="5"/>
      <c r="BL2810" s="5"/>
      <c r="BM2810" s="5"/>
      <c r="BN2810" s="5"/>
      <c r="BO2810" s="5"/>
      <c r="BP2810" s="5"/>
    </row>
    <row r="2811" spans="35:68" x14ac:dyDescent="0.25">
      <c r="AI2811" s="49"/>
      <c r="AJ2811" s="78"/>
      <c r="AK2811" s="79"/>
      <c r="AL2811" s="79"/>
      <c r="AM2811" s="79"/>
      <c r="AN2811" s="79"/>
      <c r="AO2811" s="79"/>
      <c r="AP2811" s="79"/>
      <c r="AQ2811" s="79"/>
      <c r="AR2811" s="78"/>
      <c r="AS2811" s="78"/>
      <c r="AT2811" s="79"/>
      <c r="AU2811" s="79"/>
      <c r="AV2811" s="79"/>
      <c r="AW2811" s="79"/>
      <c r="AX2811" s="79"/>
      <c r="AZ2811" s="81"/>
      <c r="BB2811" s="5"/>
      <c r="BC2811" s="5"/>
      <c r="BD2811" s="5"/>
      <c r="BE2811" s="5"/>
      <c r="BF2811" s="5"/>
      <c r="BG2811" s="5"/>
      <c r="BH2811" s="5"/>
      <c r="BI2811" s="5"/>
      <c r="BJ2811" s="5"/>
      <c r="BK2811" s="5"/>
      <c r="BL2811" s="5"/>
      <c r="BM2811" s="5"/>
      <c r="BN2811" s="5"/>
      <c r="BO2811" s="5"/>
      <c r="BP2811" s="5"/>
    </row>
    <row r="2812" spans="35:68" x14ac:dyDescent="0.25">
      <c r="AI2812" s="49"/>
      <c r="AJ2812" s="78"/>
      <c r="AK2812" s="79"/>
      <c r="AL2812" s="79"/>
      <c r="AM2812" s="79"/>
      <c r="AN2812" s="79"/>
      <c r="AO2812" s="79"/>
      <c r="AP2812" s="79"/>
      <c r="AQ2812" s="79"/>
      <c r="AR2812" s="78"/>
      <c r="AS2812" s="78"/>
      <c r="AT2812" s="79"/>
      <c r="AU2812" s="79"/>
      <c r="AV2812" s="79"/>
      <c r="AW2812" s="79"/>
      <c r="AX2812" s="79"/>
      <c r="AZ2812" s="81"/>
      <c r="BB2812" s="5"/>
      <c r="BC2812" s="5"/>
      <c r="BD2812" s="5"/>
      <c r="BE2812" s="5"/>
      <c r="BF2812" s="5"/>
      <c r="BG2812" s="5"/>
      <c r="BH2812" s="5"/>
      <c r="BI2812" s="5"/>
      <c r="BJ2812" s="5"/>
      <c r="BK2812" s="5"/>
      <c r="BL2812" s="5"/>
      <c r="BM2812" s="5"/>
      <c r="BN2812" s="5"/>
      <c r="BO2812" s="5"/>
      <c r="BP2812" s="5"/>
    </row>
    <row r="2813" spans="35:68" x14ac:dyDescent="0.25">
      <c r="AI2813" s="49"/>
      <c r="AJ2813" s="78"/>
      <c r="AK2813" s="79"/>
      <c r="AL2813" s="79"/>
      <c r="AM2813" s="79"/>
      <c r="AN2813" s="79"/>
      <c r="AO2813" s="79"/>
      <c r="AP2813" s="79"/>
      <c r="AQ2813" s="79"/>
      <c r="AR2813" s="78"/>
      <c r="AS2813" s="78"/>
      <c r="AT2813" s="79"/>
      <c r="AU2813" s="79"/>
      <c r="AV2813" s="79"/>
      <c r="AW2813" s="79"/>
      <c r="AX2813" s="79"/>
      <c r="AZ2813" s="81"/>
      <c r="BB2813" s="5"/>
      <c r="BC2813" s="5"/>
      <c r="BD2813" s="5"/>
      <c r="BE2813" s="5"/>
      <c r="BF2813" s="5"/>
      <c r="BG2813" s="5"/>
      <c r="BH2813" s="5"/>
      <c r="BI2813" s="5"/>
      <c r="BJ2813" s="5"/>
      <c r="BK2813" s="5"/>
      <c r="BL2813" s="5"/>
      <c r="BM2813" s="5"/>
      <c r="BN2813" s="5"/>
      <c r="BO2813" s="5"/>
      <c r="BP2813" s="5"/>
    </row>
    <row r="2814" spans="35:68" x14ac:dyDescent="0.25">
      <c r="AI2814" s="49"/>
      <c r="AJ2814" s="78"/>
      <c r="AK2814" s="79"/>
      <c r="AL2814" s="79"/>
      <c r="AM2814" s="79"/>
      <c r="AN2814" s="79"/>
      <c r="AO2814" s="79"/>
      <c r="AP2814" s="79"/>
      <c r="AQ2814" s="79"/>
      <c r="AR2814" s="78"/>
      <c r="AS2814" s="78"/>
      <c r="AT2814" s="79"/>
      <c r="AU2814" s="79"/>
      <c r="AV2814" s="79"/>
      <c r="AW2814" s="79"/>
      <c r="AX2814" s="79"/>
      <c r="AZ2814" s="81"/>
      <c r="BB2814" s="5"/>
      <c r="BC2814" s="5"/>
      <c r="BD2814" s="5"/>
      <c r="BE2814" s="5"/>
      <c r="BF2814" s="5"/>
      <c r="BG2814" s="5"/>
      <c r="BH2814" s="5"/>
      <c r="BI2814" s="5"/>
      <c r="BJ2814" s="5"/>
      <c r="BK2814" s="5"/>
      <c r="BL2814" s="5"/>
      <c r="BM2814" s="5"/>
      <c r="BN2814" s="5"/>
      <c r="BO2814" s="5"/>
      <c r="BP2814" s="5"/>
    </row>
    <row r="2815" spans="35:68" x14ac:dyDescent="0.25">
      <c r="AI2815" s="49"/>
      <c r="AJ2815" s="78"/>
      <c r="AK2815" s="79"/>
      <c r="AL2815" s="79"/>
      <c r="AM2815" s="79"/>
      <c r="AN2815" s="79"/>
      <c r="AO2815" s="79"/>
      <c r="AP2815" s="79"/>
      <c r="AQ2815" s="79"/>
      <c r="AR2815" s="78"/>
      <c r="AS2815" s="78"/>
      <c r="AT2815" s="79"/>
      <c r="AU2815" s="79"/>
      <c r="AV2815" s="79"/>
      <c r="AW2815" s="79"/>
      <c r="AX2815" s="79"/>
      <c r="AZ2815" s="81"/>
      <c r="BB2815" s="5"/>
      <c r="BC2815" s="5"/>
      <c r="BD2815" s="5"/>
      <c r="BE2815" s="5"/>
      <c r="BF2815" s="5"/>
      <c r="BG2815" s="5"/>
      <c r="BH2815" s="5"/>
      <c r="BI2815" s="5"/>
      <c r="BJ2815" s="5"/>
      <c r="BK2815" s="5"/>
      <c r="BL2815" s="5"/>
      <c r="BM2815" s="5"/>
      <c r="BN2815" s="5"/>
      <c r="BO2815" s="5"/>
      <c r="BP2815" s="5"/>
    </row>
    <row r="2816" spans="35:68" x14ac:dyDescent="0.25">
      <c r="AI2816" s="49"/>
      <c r="AJ2816" s="78"/>
      <c r="AK2816" s="79"/>
      <c r="AL2816" s="79"/>
      <c r="AM2816" s="79"/>
      <c r="AN2816" s="79"/>
      <c r="AO2816" s="79"/>
      <c r="AP2816" s="79"/>
      <c r="AQ2816" s="79"/>
      <c r="AR2816" s="78"/>
      <c r="AS2816" s="78"/>
      <c r="AT2816" s="79"/>
      <c r="AU2816" s="79"/>
      <c r="AV2816" s="79"/>
      <c r="AW2816" s="79"/>
      <c r="AX2816" s="79"/>
      <c r="AZ2816" s="81"/>
      <c r="BB2816" s="5"/>
      <c r="BC2816" s="5"/>
      <c r="BD2816" s="5"/>
      <c r="BE2816" s="5"/>
      <c r="BF2816" s="5"/>
      <c r="BG2816" s="5"/>
      <c r="BH2816" s="5"/>
      <c r="BI2816" s="5"/>
      <c r="BJ2816" s="5"/>
      <c r="BK2816" s="5"/>
      <c r="BL2816" s="5"/>
      <c r="BM2816" s="5"/>
      <c r="BN2816" s="5"/>
      <c r="BO2816" s="5"/>
      <c r="BP2816" s="5"/>
    </row>
    <row r="2817" spans="35:68" x14ac:dyDescent="0.25">
      <c r="AI2817" s="49"/>
      <c r="AJ2817" s="78"/>
      <c r="AK2817" s="79"/>
      <c r="AL2817" s="79"/>
      <c r="AM2817" s="79"/>
      <c r="AN2817" s="79"/>
      <c r="AO2817" s="79"/>
      <c r="AP2817" s="79"/>
      <c r="AQ2817" s="79"/>
      <c r="AR2817" s="78"/>
      <c r="AS2817" s="78"/>
      <c r="AT2817" s="79"/>
      <c r="AU2817" s="79"/>
      <c r="AV2817" s="79"/>
      <c r="AW2817" s="79"/>
      <c r="AX2817" s="79"/>
      <c r="AZ2817" s="81"/>
      <c r="BB2817" s="5"/>
      <c r="BC2817" s="5"/>
      <c r="BD2817" s="5"/>
      <c r="BE2817" s="5"/>
      <c r="BF2817" s="5"/>
      <c r="BG2817" s="5"/>
      <c r="BH2817" s="5"/>
      <c r="BI2817" s="5"/>
      <c r="BJ2817" s="5"/>
      <c r="BK2817" s="5"/>
      <c r="BL2817" s="5"/>
      <c r="BM2817" s="5"/>
      <c r="BN2817" s="5"/>
      <c r="BO2817" s="5"/>
      <c r="BP2817" s="5"/>
    </row>
    <row r="2818" spans="35:68" x14ac:dyDescent="0.25">
      <c r="AI2818" s="49"/>
      <c r="AJ2818" s="78"/>
      <c r="AK2818" s="79"/>
      <c r="AL2818" s="79"/>
      <c r="AM2818" s="79"/>
      <c r="AN2818" s="79"/>
      <c r="AO2818" s="79"/>
      <c r="AP2818" s="79"/>
      <c r="AQ2818" s="79"/>
      <c r="AR2818" s="78"/>
      <c r="AS2818" s="78"/>
      <c r="AT2818" s="79"/>
      <c r="AU2818" s="79"/>
      <c r="AV2818" s="79"/>
      <c r="AW2818" s="79"/>
      <c r="AX2818" s="79"/>
      <c r="AZ2818" s="81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</row>
    <row r="2819" spans="35:68" x14ac:dyDescent="0.25">
      <c r="AI2819" s="49"/>
      <c r="AJ2819" s="78"/>
      <c r="AK2819" s="79"/>
      <c r="AL2819" s="79"/>
      <c r="AM2819" s="79"/>
      <c r="AN2819" s="79"/>
      <c r="AO2819" s="79"/>
      <c r="AP2819" s="79"/>
      <c r="AQ2819" s="79"/>
      <c r="AR2819" s="78"/>
      <c r="AS2819" s="78"/>
      <c r="AT2819" s="79"/>
      <c r="AU2819" s="79"/>
      <c r="AV2819" s="79"/>
      <c r="AW2819" s="79"/>
      <c r="AX2819" s="79"/>
      <c r="AZ2819" s="81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</row>
    <row r="2820" spans="35:68" x14ac:dyDescent="0.25">
      <c r="AI2820" s="49"/>
      <c r="AJ2820" s="78"/>
      <c r="AK2820" s="79"/>
      <c r="AL2820" s="79"/>
      <c r="AM2820" s="79"/>
      <c r="AN2820" s="79"/>
      <c r="AO2820" s="79"/>
      <c r="AP2820" s="79"/>
      <c r="AQ2820" s="79"/>
      <c r="AR2820" s="78"/>
      <c r="AS2820" s="78"/>
      <c r="AT2820" s="79"/>
      <c r="AU2820" s="79"/>
      <c r="AV2820" s="79"/>
      <c r="AW2820" s="79"/>
      <c r="AX2820" s="79"/>
      <c r="AZ2820" s="81"/>
      <c r="BB2820" s="5"/>
      <c r="BC2820" s="5"/>
      <c r="BD2820" s="5"/>
      <c r="BE2820" s="5"/>
      <c r="BF2820" s="5"/>
      <c r="BG2820" s="5"/>
      <c r="BH2820" s="5"/>
      <c r="BI2820" s="5"/>
      <c r="BJ2820" s="5"/>
      <c r="BK2820" s="5"/>
      <c r="BL2820" s="5"/>
      <c r="BM2820" s="5"/>
      <c r="BN2820" s="5"/>
      <c r="BO2820" s="5"/>
      <c r="BP2820" s="5"/>
    </row>
    <row r="2821" spans="35:68" x14ac:dyDescent="0.25">
      <c r="AI2821" s="49"/>
      <c r="AJ2821" s="78"/>
      <c r="AK2821" s="79"/>
      <c r="AL2821" s="79"/>
      <c r="AM2821" s="79"/>
      <c r="AN2821" s="79"/>
      <c r="AO2821" s="79"/>
      <c r="AP2821" s="79"/>
      <c r="AQ2821" s="79"/>
      <c r="AR2821" s="78"/>
      <c r="AS2821" s="78"/>
      <c r="AT2821" s="79"/>
      <c r="AU2821" s="79"/>
      <c r="AV2821" s="79"/>
      <c r="AW2821" s="79"/>
      <c r="AX2821" s="79"/>
      <c r="AZ2821" s="81"/>
      <c r="BB2821" s="5"/>
      <c r="BC2821" s="5"/>
      <c r="BD2821" s="5"/>
      <c r="BE2821" s="5"/>
      <c r="BF2821" s="5"/>
      <c r="BG2821" s="5"/>
      <c r="BH2821" s="5"/>
      <c r="BI2821" s="5"/>
      <c r="BJ2821" s="5"/>
      <c r="BK2821" s="5"/>
      <c r="BL2821" s="5"/>
      <c r="BM2821" s="5"/>
      <c r="BN2821" s="5"/>
      <c r="BO2821" s="5"/>
      <c r="BP2821" s="5"/>
    </row>
    <row r="2822" spans="35:68" x14ac:dyDescent="0.25">
      <c r="AI2822" s="49"/>
      <c r="AJ2822" s="78"/>
      <c r="AK2822" s="79"/>
      <c r="AL2822" s="79"/>
      <c r="AM2822" s="79"/>
      <c r="AN2822" s="79"/>
      <c r="AO2822" s="79"/>
      <c r="AP2822" s="79"/>
      <c r="AQ2822" s="79"/>
      <c r="AR2822" s="78"/>
      <c r="AS2822" s="78"/>
      <c r="AT2822" s="79"/>
      <c r="AU2822" s="79"/>
      <c r="AV2822" s="79"/>
      <c r="AW2822" s="79"/>
      <c r="AX2822" s="79"/>
      <c r="AZ2822" s="81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</row>
    <row r="2823" spans="35:68" x14ac:dyDescent="0.25">
      <c r="AI2823" s="49"/>
      <c r="AJ2823" s="78"/>
      <c r="AK2823" s="79"/>
      <c r="AL2823" s="79"/>
      <c r="AM2823" s="79"/>
      <c r="AN2823" s="79"/>
      <c r="AO2823" s="79"/>
      <c r="AP2823" s="79"/>
      <c r="AQ2823" s="79"/>
      <c r="AR2823" s="78"/>
      <c r="AS2823" s="78"/>
      <c r="AT2823" s="79"/>
      <c r="AU2823" s="79"/>
      <c r="AV2823" s="79"/>
      <c r="AW2823" s="79"/>
      <c r="AX2823" s="79"/>
      <c r="AZ2823" s="81"/>
      <c r="BB2823" s="5"/>
      <c r="BC2823" s="5"/>
      <c r="BD2823" s="5"/>
      <c r="BE2823" s="5"/>
      <c r="BF2823" s="5"/>
      <c r="BG2823" s="5"/>
      <c r="BH2823" s="5"/>
      <c r="BI2823" s="5"/>
      <c r="BJ2823" s="5"/>
      <c r="BK2823" s="5"/>
      <c r="BL2823" s="5"/>
      <c r="BM2823" s="5"/>
      <c r="BN2823" s="5"/>
      <c r="BO2823" s="5"/>
      <c r="BP2823" s="5"/>
    </row>
    <row r="2824" spans="35:68" x14ac:dyDescent="0.25">
      <c r="AI2824" s="49"/>
      <c r="AJ2824" s="78"/>
      <c r="AK2824" s="79"/>
      <c r="AL2824" s="79"/>
      <c r="AM2824" s="79"/>
      <c r="AN2824" s="79"/>
      <c r="AO2824" s="79"/>
      <c r="AP2824" s="79"/>
      <c r="AQ2824" s="79"/>
      <c r="AR2824" s="78"/>
      <c r="AS2824" s="78"/>
      <c r="AT2824" s="79"/>
      <c r="AU2824" s="79"/>
      <c r="AV2824" s="79"/>
      <c r="AW2824" s="79"/>
      <c r="AX2824" s="79"/>
      <c r="AZ2824" s="81"/>
      <c r="BB2824" s="5"/>
      <c r="BC2824" s="5"/>
      <c r="BD2824" s="5"/>
      <c r="BE2824" s="5"/>
      <c r="BF2824" s="5"/>
      <c r="BG2824" s="5"/>
      <c r="BH2824" s="5"/>
      <c r="BI2824" s="5"/>
      <c r="BJ2824" s="5"/>
      <c r="BK2824" s="5"/>
      <c r="BL2824" s="5"/>
      <c r="BM2824" s="5"/>
      <c r="BN2824" s="5"/>
      <c r="BO2824" s="5"/>
      <c r="BP2824" s="5"/>
    </row>
    <row r="2825" spans="35:68" x14ac:dyDescent="0.25">
      <c r="AI2825" s="49"/>
      <c r="AJ2825" s="78"/>
      <c r="AK2825" s="79"/>
      <c r="AL2825" s="79"/>
      <c r="AM2825" s="79"/>
      <c r="AN2825" s="79"/>
      <c r="AO2825" s="79"/>
      <c r="AP2825" s="79"/>
      <c r="AQ2825" s="79"/>
      <c r="AR2825" s="78"/>
      <c r="AS2825" s="78"/>
      <c r="AT2825" s="79"/>
      <c r="AU2825" s="79"/>
      <c r="AV2825" s="79"/>
      <c r="AW2825" s="79"/>
      <c r="AX2825" s="79"/>
      <c r="AZ2825" s="81"/>
      <c r="BB2825" s="5"/>
      <c r="BC2825" s="5"/>
      <c r="BD2825" s="5"/>
      <c r="BE2825" s="5"/>
      <c r="BF2825" s="5"/>
      <c r="BG2825" s="5"/>
      <c r="BH2825" s="5"/>
      <c r="BI2825" s="5"/>
      <c r="BJ2825" s="5"/>
      <c r="BK2825" s="5"/>
      <c r="BL2825" s="5"/>
      <c r="BM2825" s="5"/>
      <c r="BN2825" s="5"/>
      <c r="BO2825" s="5"/>
      <c r="BP2825" s="5"/>
    </row>
    <row r="2826" spans="35:68" x14ac:dyDescent="0.25">
      <c r="AI2826" s="49"/>
      <c r="AJ2826" s="78"/>
      <c r="AK2826" s="79"/>
      <c r="AL2826" s="79"/>
      <c r="AM2826" s="79"/>
      <c r="AN2826" s="79"/>
      <c r="AO2826" s="79"/>
      <c r="AP2826" s="79"/>
      <c r="AQ2826" s="79"/>
      <c r="AR2826" s="78"/>
      <c r="AS2826" s="78"/>
      <c r="AT2826" s="79"/>
      <c r="AU2826" s="79"/>
      <c r="AV2826" s="79"/>
      <c r="AW2826" s="79"/>
      <c r="AX2826" s="79"/>
      <c r="AZ2826" s="81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</row>
    <row r="2827" spans="35:68" x14ac:dyDescent="0.25">
      <c r="AI2827" s="49"/>
      <c r="AJ2827" s="78"/>
      <c r="AK2827" s="79"/>
      <c r="AL2827" s="79"/>
      <c r="AM2827" s="79"/>
      <c r="AN2827" s="79"/>
      <c r="AO2827" s="79"/>
      <c r="AP2827" s="79"/>
      <c r="AQ2827" s="79"/>
      <c r="AR2827" s="78"/>
      <c r="AS2827" s="78"/>
      <c r="AT2827" s="79"/>
      <c r="AU2827" s="79"/>
      <c r="AV2827" s="79"/>
      <c r="AW2827" s="79"/>
      <c r="AX2827" s="79"/>
      <c r="AZ2827" s="81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</row>
    <row r="2828" spans="35:68" x14ac:dyDescent="0.25">
      <c r="AI2828" s="49"/>
      <c r="AJ2828" s="78"/>
      <c r="AK2828" s="79"/>
      <c r="AL2828" s="79"/>
      <c r="AM2828" s="79"/>
      <c r="AN2828" s="79"/>
      <c r="AO2828" s="79"/>
      <c r="AP2828" s="79"/>
      <c r="AQ2828" s="79"/>
      <c r="AR2828" s="78"/>
      <c r="AS2828" s="78"/>
      <c r="AT2828" s="79"/>
      <c r="AU2828" s="79"/>
      <c r="AV2828" s="79"/>
      <c r="AW2828" s="79"/>
      <c r="AX2828" s="79"/>
      <c r="AZ2828" s="81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</row>
    <row r="2829" spans="35:68" x14ac:dyDescent="0.25">
      <c r="AI2829" s="49"/>
      <c r="AJ2829" s="78"/>
      <c r="AK2829" s="79"/>
      <c r="AL2829" s="79"/>
      <c r="AM2829" s="79"/>
      <c r="AN2829" s="79"/>
      <c r="AO2829" s="79"/>
      <c r="AP2829" s="79"/>
      <c r="AQ2829" s="79"/>
      <c r="AR2829" s="78"/>
      <c r="AS2829" s="78"/>
      <c r="AT2829" s="79"/>
      <c r="AU2829" s="79"/>
      <c r="AV2829" s="79"/>
      <c r="AW2829" s="79"/>
      <c r="AX2829" s="79"/>
      <c r="AZ2829" s="81"/>
      <c r="BB2829" s="5"/>
      <c r="BC2829" s="5"/>
      <c r="BD2829" s="5"/>
      <c r="BE2829" s="5"/>
      <c r="BF2829" s="5"/>
      <c r="BG2829" s="5"/>
      <c r="BH2829" s="5"/>
      <c r="BI2829" s="5"/>
      <c r="BJ2829" s="5"/>
      <c r="BK2829" s="5"/>
      <c r="BL2829" s="5"/>
      <c r="BM2829" s="5"/>
      <c r="BN2829" s="5"/>
      <c r="BO2829" s="5"/>
      <c r="BP2829" s="5"/>
    </row>
    <row r="2830" spans="35:68" x14ac:dyDescent="0.25">
      <c r="AI2830" s="49"/>
      <c r="AJ2830" s="78"/>
      <c r="AK2830" s="79"/>
      <c r="AL2830" s="79"/>
      <c r="AM2830" s="79"/>
      <c r="AN2830" s="79"/>
      <c r="AO2830" s="79"/>
      <c r="AP2830" s="79"/>
      <c r="AQ2830" s="79"/>
      <c r="AR2830" s="78"/>
      <c r="AS2830" s="78"/>
      <c r="AT2830" s="79"/>
      <c r="AU2830" s="79"/>
      <c r="AV2830" s="79"/>
      <c r="AW2830" s="79"/>
      <c r="AX2830" s="79"/>
      <c r="AZ2830" s="81"/>
      <c r="BB2830" s="5"/>
      <c r="BC2830" s="5"/>
      <c r="BD2830" s="5"/>
      <c r="BE2830" s="5"/>
      <c r="BF2830" s="5"/>
      <c r="BG2830" s="5"/>
      <c r="BH2830" s="5"/>
      <c r="BI2830" s="5"/>
      <c r="BJ2830" s="5"/>
      <c r="BK2830" s="5"/>
      <c r="BL2830" s="5"/>
      <c r="BM2830" s="5"/>
      <c r="BN2830" s="5"/>
      <c r="BO2830" s="5"/>
      <c r="BP2830" s="5"/>
    </row>
    <row r="2831" spans="35:68" x14ac:dyDescent="0.25">
      <c r="AI2831" s="49"/>
      <c r="AJ2831" s="78"/>
      <c r="AK2831" s="79"/>
      <c r="AL2831" s="79"/>
      <c r="AM2831" s="79"/>
      <c r="AN2831" s="79"/>
      <c r="AO2831" s="79"/>
      <c r="AP2831" s="79"/>
      <c r="AQ2831" s="79"/>
      <c r="AR2831" s="78"/>
      <c r="AS2831" s="78"/>
      <c r="AT2831" s="79"/>
      <c r="AU2831" s="79"/>
      <c r="AV2831" s="79"/>
      <c r="AW2831" s="79"/>
      <c r="AX2831" s="79"/>
      <c r="AZ2831" s="81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/>
      <c r="BN2831" s="5"/>
      <c r="BO2831" s="5"/>
      <c r="BP2831" s="5"/>
    </row>
    <row r="2832" spans="35:68" x14ac:dyDescent="0.25">
      <c r="AI2832" s="49"/>
      <c r="AJ2832" s="78"/>
      <c r="AK2832" s="79"/>
      <c r="AL2832" s="79"/>
      <c r="AM2832" s="79"/>
      <c r="AN2832" s="79"/>
      <c r="AO2832" s="79"/>
      <c r="AP2832" s="79"/>
      <c r="AQ2832" s="79"/>
      <c r="AR2832" s="78"/>
      <c r="AS2832" s="78"/>
      <c r="AT2832" s="79"/>
      <c r="AU2832" s="79"/>
      <c r="AV2832" s="79"/>
      <c r="AW2832" s="79"/>
      <c r="AX2832" s="79"/>
      <c r="AZ2832" s="81"/>
      <c r="BB2832" s="5"/>
      <c r="BC2832" s="5"/>
      <c r="BD2832" s="5"/>
      <c r="BE2832" s="5"/>
      <c r="BF2832" s="5"/>
      <c r="BG2832" s="5"/>
      <c r="BH2832" s="5"/>
      <c r="BI2832" s="5"/>
      <c r="BJ2832" s="5"/>
      <c r="BK2832" s="5"/>
      <c r="BL2832" s="5"/>
      <c r="BM2832" s="5"/>
      <c r="BN2832" s="5"/>
      <c r="BO2832" s="5"/>
      <c r="BP2832" s="5"/>
    </row>
    <row r="2833" spans="35:68" x14ac:dyDescent="0.25">
      <c r="AI2833" s="49"/>
      <c r="AJ2833" s="78"/>
      <c r="AK2833" s="79"/>
      <c r="AL2833" s="79"/>
      <c r="AM2833" s="79"/>
      <c r="AN2833" s="79"/>
      <c r="AO2833" s="79"/>
      <c r="AP2833" s="79"/>
      <c r="AQ2833" s="79"/>
      <c r="AR2833" s="78"/>
      <c r="AS2833" s="78"/>
      <c r="AT2833" s="79"/>
      <c r="AU2833" s="79"/>
      <c r="AV2833" s="79"/>
      <c r="AW2833" s="79"/>
      <c r="AX2833" s="79"/>
      <c r="AZ2833" s="81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</row>
    <row r="2834" spans="35:68" x14ac:dyDescent="0.25">
      <c r="AI2834" s="49"/>
      <c r="AJ2834" s="78"/>
      <c r="AK2834" s="79"/>
      <c r="AL2834" s="79"/>
      <c r="AM2834" s="79"/>
      <c r="AN2834" s="79"/>
      <c r="AO2834" s="79"/>
      <c r="AP2834" s="79"/>
      <c r="AQ2834" s="79"/>
      <c r="AR2834" s="78"/>
      <c r="AS2834" s="78"/>
      <c r="AT2834" s="79"/>
      <c r="AU2834" s="79"/>
      <c r="AV2834" s="79"/>
      <c r="AW2834" s="79"/>
      <c r="AX2834" s="79"/>
      <c r="AZ2834" s="81"/>
      <c r="BB2834" s="5"/>
      <c r="BC2834" s="5"/>
      <c r="BD2834" s="5"/>
      <c r="BE2834" s="5"/>
      <c r="BF2834" s="5"/>
      <c r="BG2834" s="5"/>
      <c r="BH2834" s="5"/>
      <c r="BI2834" s="5"/>
      <c r="BJ2834" s="5"/>
      <c r="BK2834" s="5"/>
      <c r="BL2834" s="5"/>
      <c r="BM2834" s="5"/>
      <c r="BN2834" s="5"/>
      <c r="BO2834" s="5"/>
      <c r="BP2834" s="5"/>
    </row>
    <row r="2835" spans="35:68" x14ac:dyDescent="0.25">
      <c r="AI2835" s="49"/>
      <c r="AJ2835" s="78"/>
      <c r="AK2835" s="79"/>
      <c r="AL2835" s="79"/>
      <c r="AM2835" s="79"/>
      <c r="AN2835" s="79"/>
      <c r="AO2835" s="79"/>
      <c r="AP2835" s="79"/>
      <c r="AQ2835" s="79"/>
      <c r="AR2835" s="78"/>
      <c r="AS2835" s="78"/>
      <c r="AT2835" s="79"/>
      <c r="AU2835" s="79"/>
      <c r="AV2835" s="79"/>
      <c r="AW2835" s="79"/>
      <c r="AX2835" s="79"/>
      <c r="AZ2835" s="81"/>
      <c r="BB2835" s="5"/>
      <c r="BC2835" s="5"/>
      <c r="BD2835" s="5"/>
      <c r="BE2835" s="5"/>
      <c r="BF2835" s="5"/>
      <c r="BG2835" s="5"/>
      <c r="BH2835" s="5"/>
      <c r="BI2835" s="5"/>
      <c r="BJ2835" s="5"/>
      <c r="BK2835" s="5"/>
      <c r="BL2835" s="5"/>
      <c r="BM2835" s="5"/>
      <c r="BN2835" s="5"/>
      <c r="BO2835" s="5"/>
      <c r="BP2835" s="5"/>
    </row>
    <row r="2836" spans="35:68" x14ac:dyDescent="0.25">
      <c r="AI2836" s="49"/>
      <c r="AJ2836" s="78"/>
      <c r="AK2836" s="79"/>
      <c r="AL2836" s="79"/>
      <c r="AM2836" s="79"/>
      <c r="AN2836" s="79"/>
      <c r="AO2836" s="79"/>
      <c r="AP2836" s="79"/>
      <c r="AQ2836" s="79"/>
      <c r="AR2836" s="78"/>
      <c r="AS2836" s="78"/>
      <c r="AT2836" s="79"/>
      <c r="AU2836" s="79"/>
      <c r="AV2836" s="79"/>
      <c r="AW2836" s="79"/>
      <c r="AX2836" s="79"/>
      <c r="AZ2836" s="81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</row>
    <row r="2837" spans="35:68" x14ac:dyDescent="0.25">
      <c r="AI2837" s="49"/>
      <c r="AJ2837" s="78"/>
      <c r="AK2837" s="79"/>
      <c r="AL2837" s="79"/>
      <c r="AM2837" s="79"/>
      <c r="AN2837" s="79"/>
      <c r="AO2837" s="79"/>
      <c r="AP2837" s="79"/>
      <c r="AQ2837" s="79"/>
      <c r="AR2837" s="78"/>
      <c r="AS2837" s="78"/>
      <c r="AT2837" s="79"/>
      <c r="AU2837" s="79"/>
      <c r="AV2837" s="79"/>
      <c r="AW2837" s="79"/>
      <c r="AX2837" s="79"/>
      <c r="AZ2837" s="81"/>
      <c r="BB2837" s="5"/>
      <c r="BC2837" s="5"/>
      <c r="BD2837" s="5"/>
      <c r="BE2837" s="5"/>
      <c r="BF2837" s="5"/>
      <c r="BG2837" s="5"/>
      <c r="BH2837" s="5"/>
      <c r="BI2837" s="5"/>
      <c r="BJ2837" s="5"/>
      <c r="BK2837" s="5"/>
      <c r="BL2837" s="5"/>
      <c r="BM2837" s="5"/>
      <c r="BN2837" s="5"/>
      <c r="BO2837" s="5"/>
      <c r="BP2837" s="5"/>
    </row>
    <row r="2838" spans="35:68" x14ac:dyDescent="0.25">
      <c r="AI2838" s="49"/>
      <c r="AJ2838" s="78"/>
      <c r="AK2838" s="79"/>
      <c r="AL2838" s="79"/>
      <c r="AM2838" s="79"/>
      <c r="AN2838" s="79"/>
      <c r="AO2838" s="79"/>
      <c r="AP2838" s="79"/>
      <c r="AQ2838" s="79"/>
      <c r="AR2838" s="78"/>
      <c r="AS2838" s="78"/>
      <c r="AT2838" s="79"/>
      <c r="AU2838" s="79"/>
      <c r="AV2838" s="79"/>
      <c r="AW2838" s="79"/>
      <c r="AX2838" s="79"/>
      <c r="AZ2838" s="81"/>
      <c r="BB2838" s="5"/>
      <c r="BC2838" s="5"/>
      <c r="BD2838" s="5"/>
      <c r="BE2838" s="5"/>
      <c r="BF2838" s="5"/>
      <c r="BG2838" s="5"/>
      <c r="BH2838" s="5"/>
      <c r="BI2838" s="5"/>
      <c r="BJ2838" s="5"/>
      <c r="BK2838" s="5"/>
      <c r="BL2838" s="5"/>
      <c r="BM2838" s="5"/>
      <c r="BN2838" s="5"/>
      <c r="BO2838" s="5"/>
      <c r="BP2838" s="5"/>
    </row>
    <row r="2839" spans="35:68" x14ac:dyDescent="0.25">
      <c r="AI2839" s="49"/>
      <c r="AJ2839" s="78"/>
      <c r="AK2839" s="79"/>
      <c r="AL2839" s="79"/>
      <c r="AM2839" s="79"/>
      <c r="AN2839" s="79"/>
      <c r="AO2839" s="79"/>
      <c r="AP2839" s="79"/>
      <c r="AQ2839" s="79"/>
      <c r="AR2839" s="78"/>
      <c r="AS2839" s="78"/>
      <c r="AT2839" s="79"/>
      <c r="AU2839" s="79"/>
      <c r="AV2839" s="79"/>
      <c r="AW2839" s="79"/>
      <c r="AX2839" s="79"/>
      <c r="AZ2839" s="81"/>
      <c r="BB2839" s="5"/>
      <c r="BC2839" s="5"/>
      <c r="BD2839" s="5"/>
      <c r="BE2839" s="5"/>
      <c r="BF2839" s="5"/>
      <c r="BG2839" s="5"/>
      <c r="BH2839" s="5"/>
      <c r="BI2839" s="5"/>
      <c r="BJ2839" s="5"/>
      <c r="BK2839" s="5"/>
      <c r="BL2839" s="5"/>
      <c r="BM2839" s="5"/>
      <c r="BN2839" s="5"/>
      <c r="BO2839" s="5"/>
      <c r="BP2839" s="5"/>
    </row>
    <row r="2840" spans="35:68" x14ac:dyDescent="0.25">
      <c r="AI2840" s="49"/>
      <c r="AJ2840" s="78"/>
      <c r="AK2840" s="79"/>
      <c r="AL2840" s="79"/>
      <c r="AM2840" s="79"/>
      <c r="AN2840" s="79"/>
      <c r="AO2840" s="79"/>
      <c r="AP2840" s="79"/>
      <c r="AQ2840" s="79"/>
      <c r="AR2840" s="78"/>
      <c r="AS2840" s="78"/>
      <c r="AT2840" s="79"/>
      <c r="AU2840" s="79"/>
      <c r="AV2840" s="79"/>
      <c r="AW2840" s="79"/>
      <c r="AX2840" s="79"/>
      <c r="AZ2840" s="81"/>
      <c r="BB2840" s="5"/>
      <c r="BC2840" s="5"/>
      <c r="BD2840" s="5"/>
      <c r="BE2840" s="5"/>
      <c r="BF2840" s="5"/>
      <c r="BG2840" s="5"/>
      <c r="BH2840" s="5"/>
      <c r="BI2840" s="5"/>
      <c r="BJ2840" s="5"/>
      <c r="BK2840" s="5"/>
      <c r="BL2840" s="5"/>
      <c r="BM2840" s="5"/>
      <c r="BN2840" s="5"/>
      <c r="BO2840" s="5"/>
      <c r="BP2840" s="5"/>
    </row>
    <row r="2841" spans="35:68" x14ac:dyDescent="0.25">
      <c r="AI2841" s="49"/>
      <c r="AJ2841" s="78"/>
      <c r="AK2841" s="79"/>
      <c r="AL2841" s="79"/>
      <c r="AM2841" s="79"/>
      <c r="AN2841" s="79"/>
      <c r="AO2841" s="79"/>
      <c r="AP2841" s="79"/>
      <c r="AQ2841" s="79"/>
      <c r="AR2841" s="78"/>
      <c r="AS2841" s="78"/>
      <c r="AT2841" s="79"/>
      <c r="AU2841" s="79"/>
      <c r="AV2841" s="79"/>
      <c r="AW2841" s="79"/>
      <c r="AX2841" s="79"/>
      <c r="AZ2841" s="81"/>
      <c r="BB2841" s="5"/>
      <c r="BC2841" s="5"/>
      <c r="BD2841" s="5"/>
      <c r="BE2841" s="5"/>
      <c r="BF2841" s="5"/>
      <c r="BG2841" s="5"/>
      <c r="BH2841" s="5"/>
      <c r="BI2841" s="5"/>
      <c r="BJ2841" s="5"/>
      <c r="BK2841" s="5"/>
      <c r="BL2841" s="5"/>
      <c r="BM2841" s="5"/>
      <c r="BN2841" s="5"/>
      <c r="BO2841" s="5"/>
      <c r="BP2841" s="5"/>
    </row>
    <row r="2842" spans="35:68" x14ac:dyDescent="0.25">
      <c r="AI2842" s="49"/>
      <c r="AJ2842" s="78"/>
      <c r="AK2842" s="79"/>
      <c r="AL2842" s="79"/>
      <c r="AM2842" s="79"/>
      <c r="AN2842" s="79"/>
      <c r="AO2842" s="79"/>
      <c r="AP2842" s="79"/>
      <c r="AQ2842" s="79"/>
      <c r="AR2842" s="78"/>
      <c r="AS2842" s="78"/>
      <c r="AT2842" s="79"/>
      <c r="AU2842" s="79"/>
      <c r="AV2842" s="79"/>
      <c r="AW2842" s="79"/>
      <c r="AX2842" s="79"/>
      <c r="AZ2842" s="81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</row>
    <row r="2843" spans="35:68" x14ac:dyDescent="0.25">
      <c r="AI2843" s="49"/>
      <c r="AJ2843" s="78"/>
      <c r="AK2843" s="79"/>
      <c r="AL2843" s="79"/>
      <c r="AM2843" s="79"/>
      <c r="AN2843" s="79"/>
      <c r="AO2843" s="79"/>
      <c r="AP2843" s="79"/>
      <c r="AQ2843" s="79"/>
      <c r="AR2843" s="78"/>
      <c r="AS2843" s="78"/>
      <c r="AT2843" s="79"/>
      <c r="AU2843" s="79"/>
      <c r="AV2843" s="79"/>
      <c r="AW2843" s="79"/>
      <c r="AX2843" s="79"/>
      <c r="AZ2843" s="81"/>
      <c r="BB2843" s="5"/>
      <c r="BC2843" s="5"/>
      <c r="BD2843" s="5"/>
      <c r="BE2843" s="5"/>
      <c r="BF2843" s="5"/>
      <c r="BG2843" s="5"/>
      <c r="BH2843" s="5"/>
      <c r="BI2843" s="5"/>
      <c r="BJ2843" s="5"/>
      <c r="BK2843" s="5"/>
      <c r="BL2843" s="5"/>
      <c r="BM2843" s="5"/>
      <c r="BN2843" s="5"/>
      <c r="BO2843" s="5"/>
      <c r="BP2843" s="5"/>
    </row>
    <row r="2844" spans="35:68" x14ac:dyDescent="0.25">
      <c r="AI2844" s="49"/>
      <c r="AJ2844" s="78"/>
      <c r="AK2844" s="79"/>
      <c r="AL2844" s="79"/>
      <c r="AM2844" s="79"/>
      <c r="AN2844" s="79"/>
      <c r="AO2844" s="79"/>
      <c r="AP2844" s="79"/>
      <c r="AQ2844" s="79"/>
      <c r="AR2844" s="78"/>
      <c r="AS2844" s="78"/>
      <c r="AT2844" s="79"/>
      <c r="AU2844" s="79"/>
      <c r="AV2844" s="79"/>
      <c r="AW2844" s="79"/>
      <c r="AX2844" s="79"/>
      <c r="AZ2844" s="81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</row>
    <row r="2845" spans="35:68" x14ac:dyDescent="0.25">
      <c r="AI2845" s="49"/>
      <c r="AJ2845" s="78"/>
      <c r="AK2845" s="79"/>
      <c r="AL2845" s="79"/>
      <c r="AM2845" s="79"/>
      <c r="AN2845" s="79"/>
      <c r="AO2845" s="79"/>
      <c r="AP2845" s="79"/>
      <c r="AQ2845" s="79"/>
      <c r="AR2845" s="78"/>
      <c r="AS2845" s="78"/>
      <c r="AT2845" s="79"/>
      <c r="AU2845" s="79"/>
      <c r="AV2845" s="79"/>
      <c r="AW2845" s="79"/>
      <c r="AX2845" s="79"/>
      <c r="AZ2845" s="81"/>
      <c r="BB2845" s="5"/>
      <c r="BC2845" s="5"/>
      <c r="BD2845" s="5"/>
      <c r="BE2845" s="5"/>
      <c r="BF2845" s="5"/>
      <c r="BG2845" s="5"/>
      <c r="BH2845" s="5"/>
      <c r="BI2845" s="5"/>
      <c r="BJ2845" s="5"/>
      <c r="BK2845" s="5"/>
      <c r="BL2845" s="5"/>
      <c r="BM2845" s="5"/>
      <c r="BN2845" s="5"/>
      <c r="BO2845" s="5"/>
      <c r="BP2845" s="5"/>
    </row>
    <row r="2846" spans="35:68" x14ac:dyDescent="0.25">
      <c r="AI2846" s="49"/>
      <c r="AJ2846" s="78"/>
      <c r="AK2846" s="79"/>
      <c r="AL2846" s="79"/>
      <c r="AM2846" s="79"/>
      <c r="AN2846" s="79"/>
      <c r="AO2846" s="79"/>
      <c r="AP2846" s="79"/>
      <c r="AQ2846" s="79"/>
      <c r="AR2846" s="78"/>
      <c r="AS2846" s="78"/>
      <c r="AT2846" s="79"/>
      <c r="AU2846" s="79"/>
      <c r="AV2846" s="79"/>
      <c r="AW2846" s="79"/>
      <c r="AX2846" s="79"/>
      <c r="AZ2846" s="81"/>
      <c r="BB2846" s="5"/>
      <c r="BC2846" s="5"/>
      <c r="BD2846" s="5"/>
      <c r="BE2846" s="5"/>
      <c r="BF2846" s="5"/>
      <c r="BG2846" s="5"/>
      <c r="BH2846" s="5"/>
      <c r="BI2846" s="5"/>
      <c r="BJ2846" s="5"/>
      <c r="BK2846" s="5"/>
      <c r="BL2846" s="5"/>
      <c r="BM2846" s="5"/>
      <c r="BN2846" s="5"/>
      <c r="BO2846" s="5"/>
      <c r="BP2846" s="5"/>
    </row>
    <row r="2847" spans="35:68" x14ac:dyDescent="0.25">
      <c r="AI2847" s="49"/>
      <c r="AJ2847" s="78"/>
      <c r="AK2847" s="79"/>
      <c r="AL2847" s="79"/>
      <c r="AM2847" s="79"/>
      <c r="AN2847" s="79"/>
      <c r="AO2847" s="79"/>
      <c r="AP2847" s="79"/>
      <c r="AQ2847" s="79"/>
      <c r="AR2847" s="78"/>
      <c r="AS2847" s="78"/>
      <c r="AT2847" s="79"/>
      <c r="AU2847" s="79"/>
      <c r="AV2847" s="79"/>
      <c r="AW2847" s="79"/>
      <c r="AX2847" s="79"/>
      <c r="AZ2847" s="81"/>
      <c r="BB2847" s="5"/>
      <c r="BC2847" s="5"/>
      <c r="BD2847" s="5"/>
      <c r="BE2847" s="5"/>
      <c r="BF2847" s="5"/>
      <c r="BG2847" s="5"/>
      <c r="BH2847" s="5"/>
      <c r="BI2847" s="5"/>
      <c r="BJ2847" s="5"/>
      <c r="BK2847" s="5"/>
      <c r="BL2847" s="5"/>
      <c r="BM2847" s="5"/>
      <c r="BN2847" s="5"/>
      <c r="BO2847" s="5"/>
      <c r="BP2847" s="5"/>
    </row>
    <row r="2848" spans="35:68" x14ac:dyDescent="0.25">
      <c r="AI2848" s="49"/>
      <c r="AJ2848" s="78"/>
      <c r="AK2848" s="79"/>
      <c r="AL2848" s="79"/>
      <c r="AM2848" s="79"/>
      <c r="AN2848" s="79"/>
      <c r="AO2848" s="79"/>
      <c r="AP2848" s="79"/>
      <c r="AQ2848" s="79"/>
      <c r="AR2848" s="78"/>
      <c r="AS2848" s="78"/>
      <c r="AT2848" s="79"/>
      <c r="AU2848" s="79"/>
      <c r="AV2848" s="79"/>
      <c r="AW2848" s="79"/>
      <c r="AX2848" s="79"/>
      <c r="AZ2848" s="81"/>
      <c r="BB2848" s="5"/>
      <c r="BC2848" s="5"/>
      <c r="BD2848" s="5"/>
      <c r="BE2848" s="5"/>
      <c r="BF2848" s="5"/>
      <c r="BG2848" s="5"/>
      <c r="BH2848" s="5"/>
      <c r="BI2848" s="5"/>
      <c r="BJ2848" s="5"/>
      <c r="BK2848" s="5"/>
      <c r="BL2848" s="5"/>
      <c r="BM2848" s="5"/>
      <c r="BN2848" s="5"/>
      <c r="BO2848" s="5"/>
      <c r="BP2848" s="5"/>
    </row>
    <row r="2849" spans="35:68" x14ac:dyDescent="0.25">
      <c r="AI2849" s="49"/>
      <c r="AJ2849" s="78"/>
      <c r="AK2849" s="79"/>
      <c r="AL2849" s="79"/>
      <c r="AM2849" s="79"/>
      <c r="AN2849" s="79"/>
      <c r="AO2849" s="79"/>
      <c r="AP2849" s="79"/>
      <c r="AQ2849" s="79"/>
      <c r="AR2849" s="78"/>
      <c r="AS2849" s="78"/>
      <c r="AT2849" s="79"/>
      <c r="AU2849" s="79"/>
      <c r="AV2849" s="79"/>
      <c r="AW2849" s="79"/>
      <c r="AX2849" s="79"/>
      <c r="AZ2849" s="81"/>
      <c r="BB2849" s="5"/>
      <c r="BC2849" s="5"/>
      <c r="BD2849" s="5"/>
      <c r="BE2849" s="5"/>
      <c r="BF2849" s="5"/>
      <c r="BG2849" s="5"/>
      <c r="BH2849" s="5"/>
      <c r="BI2849" s="5"/>
      <c r="BJ2849" s="5"/>
      <c r="BK2849" s="5"/>
      <c r="BL2849" s="5"/>
      <c r="BM2849" s="5"/>
      <c r="BN2849" s="5"/>
      <c r="BO2849" s="5"/>
      <c r="BP2849" s="5"/>
    </row>
    <row r="2850" spans="35:68" x14ac:dyDescent="0.25">
      <c r="AI2850" s="49"/>
      <c r="AJ2850" s="78"/>
      <c r="AK2850" s="79"/>
      <c r="AL2850" s="79"/>
      <c r="AM2850" s="79"/>
      <c r="AN2850" s="79"/>
      <c r="AO2850" s="79"/>
      <c r="AP2850" s="79"/>
      <c r="AQ2850" s="79"/>
      <c r="AR2850" s="78"/>
      <c r="AS2850" s="78"/>
      <c r="AT2850" s="79"/>
      <c r="AU2850" s="79"/>
      <c r="AV2850" s="79"/>
      <c r="AW2850" s="79"/>
      <c r="AX2850" s="79"/>
      <c r="AZ2850" s="81"/>
      <c r="BB2850" s="5"/>
      <c r="BC2850" s="5"/>
      <c r="BD2850" s="5"/>
      <c r="BE2850" s="5"/>
      <c r="BF2850" s="5"/>
      <c r="BG2850" s="5"/>
      <c r="BH2850" s="5"/>
      <c r="BI2850" s="5"/>
      <c r="BJ2850" s="5"/>
      <c r="BK2850" s="5"/>
      <c r="BL2850" s="5"/>
      <c r="BM2850" s="5"/>
      <c r="BN2850" s="5"/>
      <c r="BO2850" s="5"/>
      <c r="BP2850" s="5"/>
    </row>
    <row r="2851" spans="35:68" x14ac:dyDescent="0.25">
      <c r="AI2851" s="49"/>
      <c r="AJ2851" s="78"/>
      <c r="AK2851" s="79"/>
      <c r="AL2851" s="79"/>
      <c r="AM2851" s="79"/>
      <c r="AN2851" s="79"/>
      <c r="AO2851" s="79"/>
      <c r="AP2851" s="79"/>
      <c r="AQ2851" s="79"/>
      <c r="AR2851" s="78"/>
      <c r="AS2851" s="78"/>
      <c r="AT2851" s="79"/>
      <c r="AU2851" s="79"/>
      <c r="AV2851" s="79"/>
      <c r="AW2851" s="79"/>
      <c r="AX2851" s="79"/>
      <c r="AZ2851" s="81"/>
      <c r="BB2851" s="5"/>
      <c r="BC2851" s="5"/>
      <c r="BD2851" s="5"/>
      <c r="BE2851" s="5"/>
      <c r="BF2851" s="5"/>
      <c r="BG2851" s="5"/>
      <c r="BH2851" s="5"/>
      <c r="BI2851" s="5"/>
      <c r="BJ2851" s="5"/>
      <c r="BK2851" s="5"/>
      <c r="BL2851" s="5"/>
      <c r="BM2851" s="5"/>
      <c r="BN2851" s="5"/>
      <c r="BO2851" s="5"/>
      <c r="BP2851" s="5"/>
    </row>
    <row r="2852" spans="35:68" x14ac:dyDescent="0.25">
      <c r="AI2852" s="49"/>
      <c r="AJ2852" s="78"/>
      <c r="AK2852" s="79"/>
      <c r="AL2852" s="79"/>
      <c r="AM2852" s="79"/>
      <c r="AN2852" s="79"/>
      <c r="AO2852" s="79"/>
      <c r="AP2852" s="79"/>
      <c r="AQ2852" s="79"/>
      <c r="AR2852" s="78"/>
      <c r="AS2852" s="78"/>
      <c r="AT2852" s="79"/>
      <c r="AU2852" s="79"/>
      <c r="AV2852" s="79"/>
      <c r="AW2852" s="79"/>
      <c r="AX2852" s="79"/>
      <c r="AZ2852" s="81"/>
      <c r="BB2852" s="5"/>
      <c r="BC2852" s="5"/>
      <c r="BD2852" s="5"/>
      <c r="BE2852" s="5"/>
      <c r="BF2852" s="5"/>
      <c r="BG2852" s="5"/>
      <c r="BH2852" s="5"/>
      <c r="BI2852" s="5"/>
      <c r="BJ2852" s="5"/>
      <c r="BK2852" s="5"/>
      <c r="BL2852" s="5"/>
      <c r="BM2852" s="5"/>
      <c r="BN2852" s="5"/>
      <c r="BO2852" s="5"/>
      <c r="BP2852" s="5"/>
    </row>
    <row r="2853" spans="35:68" x14ac:dyDescent="0.25">
      <c r="AI2853" s="49"/>
      <c r="AJ2853" s="78"/>
      <c r="AK2853" s="79"/>
      <c r="AL2853" s="79"/>
      <c r="AM2853" s="79"/>
      <c r="AN2853" s="79"/>
      <c r="AO2853" s="79"/>
      <c r="AP2853" s="79"/>
      <c r="AQ2853" s="79"/>
      <c r="AR2853" s="78"/>
      <c r="AS2853" s="78"/>
      <c r="AT2853" s="79"/>
      <c r="AU2853" s="79"/>
      <c r="AV2853" s="79"/>
      <c r="AW2853" s="79"/>
      <c r="AX2853" s="79"/>
      <c r="AZ2853" s="81"/>
      <c r="BB2853" s="5"/>
      <c r="BC2853" s="5"/>
      <c r="BD2853" s="5"/>
      <c r="BE2853" s="5"/>
      <c r="BF2853" s="5"/>
      <c r="BG2853" s="5"/>
      <c r="BH2853" s="5"/>
      <c r="BI2853" s="5"/>
      <c r="BJ2853" s="5"/>
      <c r="BK2853" s="5"/>
      <c r="BL2853" s="5"/>
      <c r="BM2853" s="5"/>
      <c r="BN2853" s="5"/>
      <c r="BO2853" s="5"/>
      <c r="BP2853" s="5"/>
    </row>
    <row r="2854" spans="35:68" x14ac:dyDescent="0.25">
      <c r="AI2854" s="49"/>
      <c r="AJ2854" s="78"/>
      <c r="AK2854" s="79"/>
      <c r="AL2854" s="79"/>
      <c r="AM2854" s="79"/>
      <c r="AN2854" s="79"/>
      <c r="AO2854" s="79"/>
      <c r="AP2854" s="79"/>
      <c r="AQ2854" s="79"/>
      <c r="AR2854" s="78"/>
      <c r="AS2854" s="78"/>
      <c r="AT2854" s="79"/>
      <c r="AU2854" s="79"/>
      <c r="AV2854" s="79"/>
      <c r="AW2854" s="79"/>
      <c r="AX2854" s="79"/>
      <c r="AZ2854" s="81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</row>
    <row r="2855" spans="35:68" x14ac:dyDescent="0.25">
      <c r="AI2855" s="49"/>
      <c r="AJ2855" s="78"/>
      <c r="AK2855" s="79"/>
      <c r="AL2855" s="79"/>
      <c r="AM2855" s="79"/>
      <c r="AN2855" s="79"/>
      <c r="AO2855" s="79"/>
      <c r="AP2855" s="79"/>
      <c r="AQ2855" s="79"/>
      <c r="AR2855" s="78"/>
      <c r="AS2855" s="78"/>
      <c r="AT2855" s="79"/>
      <c r="AU2855" s="79"/>
      <c r="AV2855" s="79"/>
      <c r="AW2855" s="79"/>
      <c r="AX2855" s="79"/>
      <c r="AZ2855" s="81"/>
      <c r="BB2855" s="5"/>
      <c r="BC2855" s="5"/>
      <c r="BD2855" s="5"/>
      <c r="BE2855" s="5"/>
      <c r="BF2855" s="5"/>
      <c r="BG2855" s="5"/>
      <c r="BH2855" s="5"/>
      <c r="BI2855" s="5"/>
      <c r="BJ2855" s="5"/>
      <c r="BK2855" s="5"/>
      <c r="BL2855" s="5"/>
      <c r="BM2855" s="5"/>
      <c r="BN2855" s="5"/>
      <c r="BO2855" s="5"/>
      <c r="BP2855" s="5"/>
    </row>
    <row r="2856" spans="35:68" x14ac:dyDescent="0.25">
      <c r="AI2856" s="49"/>
      <c r="AJ2856" s="78"/>
      <c r="AK2856" s="79"/>
      <c r="AL2856" s="79"/>
      <c r="AM2856" s="79"/>
      <c r="AN2856" s="79"/>
      <c r="AO2856" s="79"/>
      <c r="AP2856" s="79"/>
      <c r="AQ2856" s="79"/>
      <c r="AR2856" s="78"/>
      <c r="AS2856" s="78"/>
      <c r="AT2856" s="79"/>
      <c r="AU2856" s="79"/>
      <c r="AV2856" s="79"/>
      <c r="AW2856" s="79"/>
      <c r="AX2856" s="79"/>
      <c r="AZ2856" s="81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</row>
    <row r="2857" spans="35:68" x14ac:dyDescent="0.25">
      <c r="AI2857" s="49"/>
      <c r="AJ2857" s="78"/>
      <c r="AK2857" s="79"/>
      <c r="AL2857" s="79"/>
      <c r="AM2857" s="79"/>
      <c r="AN2857" s="79"/>
      <c r="AO2857" s="79"/>
      <c r="AP2857" s="79"/>
      <c r="AQ2857" s="79"/>
      <c r="AR2857" s="78"/>
      <c r="AS2857" s="78"/>
      <c r="AT2857" s="79"/>
      <c r="AU2857" s="79"/>
      <c r="AV2857" s="79"/>
      <c r="AW2857" s="79"/>
      <c r="AX2857" s="79"/>
      <c r="AZ2857" s="81"/>
      <c r="BB2857" s="5"/>
      <c r="BC2857" s="5"/>
      <c r="BD2857" s="5"/>
      <c r="BE2857" s="5"/>
      <c r="BF2857" s="5"/>
      <c r="BG2857" s="5"/>
      <c r="BH2857" s="5"/>
      <c r="BI2857" s="5"/>
      <c r="BJ2857" s="5"/>
      <c r="BK2857" s="5"/>
      <c r="BL2857" s="5"/>
      <c r="BM2857" s="5"/>
      <c r="BN2857" s="5"/>
      <c r="BO2857" s="5"/>
      <c r="BP2857" s="5"/>
    </row>
    <row r="2858" spans="35:68" x14ac:dyDescent="0.25">
      <c r="AI2858" s="49"/>
      <c r="AJ2858" s="78"/>
      <c r="AK2858" s="79"/>
      <c r="AL2858" s="79"/>
      <c r="AM2858" s="79"/>
      <c r="AN2858" s="79"/>
      <c r="AO2858" s="79"/>
      <c r="AP2858" s="79"/>
      <c r="AQ2858" s="79"/>
      <c r="AR2858" s="78"/>
      <c r="AS2858" s="78"/>
      <c r="AT2858" s="79"/>
      <c r="AU2858" s="79"/>
      <c r="AV2858" s="79"/>
      <c r="AW2858" s="79"/>
      <c r="AX2858" s="79"/>
      <c r="AZ2858" s="81"/>
      <c r="BB2858" s="5"/>
      <c r="BC2858" s="5"/>
      <c r="BD2858" s="5"/>
      <c r="BE2858" s="5"/>
      <c r="BF2858" s="5"/>
      <c r="BG2858" s="5"/>
      <c r="BH2858" s="5"/>
      <c r="BI2858" s="5"/>
      <c r="BJ2858" s="5"/>
      <c r="BK2858" s="5"/>
      <c r="BL2858" s="5"/>
      <c r="BM2858" s="5"/>
      <c r="BN2858" s="5"/>
      <c r="BO2858" s="5"/>
      <c r="BP2858" s="5"/>
    </row>
    <row r="2859" spans="35:68" x14ac:dyDescent="0.25">
      <c r="AI2859" s="49"/>
      <c r="AJ2859" s="78"/>
      <c r="AK2859" s="79"/>
      <c r="AL2859" s="79"/>
      <c r="AM2859" s="79"/>
      <c r="AN2859" s="79"/>
      <c r="AO2859" s="79"/>
      <c r="AP2859" s="79"/>
      <c r="AQ2859" s="79"/>
      <c r="AR2859" s="78"/>
      <c r="AS2859" s="78"/>
      <c r="AT2859" s="79"/>
      <c r="AU2859" s="79"/>
      <c r="AV2859" s="79"/>
      <c r="AW2859" s="79"/>
      <c r="AX2859" s="79"/>
      <c r="AZ2859" s="81"/>
      <c r="BB2859" s="5"/>
      <c r="BC2859" s="5"/>
      <c r="BD2859" s="5"/>
      <c r="BE2859" s="5"/>
      <c r="BF2859" s="5"/>
      <c r="BG2859" s="5"/>
      <c r="BH2859" s="5"/>
      <c r="BI2859" s="5"/>
      <c r="BJ2859" s="5"/>
      <c r="BK2859" s="5"/>
      <c r="BL2859" s="5"/>
      <c r="BM2859" s="5"/>
      <c r="BN2859" s="5"/>
      <c r="BO2859" s="5"/>
      <c r="BP2859" s="5"/>
    </row>
    <row r="2860" spans="35:68" x14ac:dyDescent="0.25">
      <c r="AI2860" s="49"/>
      <c r="AJ2860" s="78"/>
      <c r="AK2860" s="79"/>
      <c r="AL2860" s="79"/>
      <c r="AM2860" s="79"/>
      <c r="AN2860" s="79"/>
      <c r="AO2860" s="79"/>
      <c r="AP2860" s="79"/>
      <c r="AQ2860" s="79"/>
      <c r="AR2860" s="78"/>
      <c r="AS2860" s="78"/>
      <c r="AT2860" s="79"/>
      <c r="AU2860" s="79"/>
      <c r="AV2860" s="79"/>
      <c r="AW2860" s="79"/>
      <c r="AX2860" s="79"/>
      <c r="AZ2860" s="81"/>
      <c r="BB2860" s="5"/>
      <c r="BC2860" s="5"/>
      <c r="BD2860" s="5"/>
      <c r="BE2860" s="5"/>
      <c r="BF2860" s="5"/>
      <c r="BG2860" s="5"/>
      <c r="BH2860" s="5"/>
      <c r="BI2860" s="5"/>
      <c r="BJ2860" s="5"/>
      <c r="BK2860" s="5"/>
      <c r="BL2860" s="5"/>
      <c r="BM2860" s="5"/>
      <c r="BN2860" s="5"/>
      <c r="BO2860" s="5"/>
      <c r="BP2860" s="5"/>
    </row>
    <row r="2861" spans="35:68" x14ac:dyDescent="0.25">
      <c r="AI2861" s="49"/>
      <c r="AJ2861" s="78"/>
      <c r="AK2861" s="79"/>
      <c r="AL2861" s="79"/>
      <c r="AM2861" s="79"/>
      <c r="AN2861" s="79"/>
      <c r="AO2861" s="79"/>
      <c r="AP2861" s="79"/>
      <c r="AQ2861" s="79"/>
      <c r="AR2861" s="78"/>
      <c r="AS2861" s="78"/>
      <c r="AT2861" s="79"/>
      <c r="AU2861" s="79"/>
      <c r="AV2861" s="79"/>
      <c r="AW2861" s="79"/>
      <c r="AX2861" s="79"/>
      <c r="AZ2861" s="81"/>
      <c r="BB2861" s="5"/>
      <c r="BC2861" s="5"/>
      <c r="BD2861" s="5"/>
      <c r="BE2861" s="5"/>
      <c r="BF2861" s="5"/>
      <c r="BG2861" s="5"/>
      <c r="BH2861" s="5"/>
      <c r="BI2861" s="5"/>
      <c r="BJ2861" s="5"/>
      <c r="BK2861" s="5"/>
      <c r="BL2861" s="5"/>
      <c r="BM2861" s="5"/>
      <c r="BN2861" s="5"/>
      <c r="BO2861" s="5"/>
      <c r="BP2861" s="5"/>
    </row>
    <row r="2862" spans="35:68" x14ac:dyDescent="0.25">
      <c r="AI2862" s="49"/>
      <c r="AJ2862" s="78"/>
      <c r="AK2862" s="79"/>
      <c r="AL2862" s="79"/>
      <c r="AM2862" s="79"/>
      <c r="AN2862" s="79"/>
      <c r="AO2862" s="79"/>
      <c r="AP2862" s="79"/>
      <c r="AQ2862" s="79"/>
      <c r="AR2862" s="78"/>
      <c r="AS2862" s="78"/>
      <c r="AT2862" s="79"/>
      <c r="AU2862" s="79"/>
      <c r="AV2862" s="79"/>
      <c r="AW2862" s="79"/>
      <c r="AX2862" s="79"/>
      <c r="AZ2862" s="81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</row>
    <row r="2863" spans="35:68" x14ac:dyDescent="0.25">
      <c r="AI2863" s="49"/>
      <c r="AJ2863" s="78"/>
      <c r="AK2863" s="79"/>
      <c r="AL2863" s="79"/>
      <c r="AM2863" s="79"/>
      <c r="AN2863" s="79"/>
      <c r="AO2863" s="79"/>
      <c r="AP2863" s="79"/>
      <c r="AQ2863" s="79"/>
      <c r="AR2863" s="78"/>
      <c r="AS2863" s="78"/>
      <c r="AT2863" s="79"/>
      <c r="AU2863" s="79"/>
      <c r="AV2863" s="79"/>
      <c r="AW2863" s="79"/>
      <c r="AX2863" s="79"/>
      <c r="AZ2863" s="81"/>
      <c r="BB2863" s="5"/>
      <c r="BC2863" s="5"/>
      <c r="BD2863" s="5"/>
      <c r="BE2863" s="5"/>
      <c r="BF2863" s="5"/>
      <c r="BG2863" s="5"/>
      <c r="BH2863" s="5"/>
      <c r="BI2863" s="5"/>
      <c r="BJ2863" s="5"/>
      <c r="BK2863" s="5"/>
      <c r="BL2863" s="5"/>
      <c r="BM2863" s="5"/>
      <c r="BN2863" s="5"/>
      <c r="BO2863" s="5"/>
      <c r="BP2863" s="5"/>
    </row>
    <row r="2864" spans="35:68" x14ac:dyDescent="0.25">
      <c r="AI2864" s="49"/>
      <c r="AJ2864" s="78"/>
      <c r="AK2864" s="79"/>
      <c r="AL2864" s="79"/>
      <c r="AM2864" s="79"/>
      <c r="AN2864" s="79"/>
      <c r="AO2864" s="79"/>
      <c r="AP2864" s="79"/>
      <c r="AQ2864" s="79"/>
      <c r="AR2864" s="78"/>
      <c r="AS2864" s="78"/>
      <c r="AT2864" s="79"/>
      <c r="AU2864" s="79"/>
      <c r="AV2864" s="79"/>
      <c r="AW2864" s="79"/>
      <c r="AX2864" s="79"/>
      <c r="AZ2864" s="81"/>
      <c r="BB2864" s="5"/>
      <c r="BC2864" s="5"/>
      <c r="BD2864" s="5"/>
      <c r="BE2864" s="5"/>
      <c r="BF2864" s="5"/>
      <c r="BG2864" s="5"/>
      <c r="BH2864" s="5"/>
      <c r="BI2864" s="5"/>
      <c r="BJ2864" s="5"/>
      <c r="BK2864" s="5"/>
      <c r="BL2864" s="5"/>
      <c r="BM2864" s="5"/>
      <c r="BN2864" s="5"/>
      <c r="BO2864" s="5"/>
      <c r="BP2864" s="5"/>
    </row>
    <row r="2865" spans="35:68" x14ac:dyDescent="0.25">
      <c r="AI2865" s="49"/>
      <c r="AJ2865" s="78"/>
      <c r="AK2865" s="79"/>
      <c r="AL2865" s="79"/>
      <c r="AM2865" s="79"/>
      <c r="AN2865" s="79"/>
      <c r="AO2865" s="79"/>
      <c r="AP2865" s="79"/>
      <c r="AQ2865" s="79"/>
      <c r="AR2865" s="78"/>
      <c r="AS2865" s="78"/>
      <c r="AT2865" s="79"/>
      <c r="AU2865" s="79"/>
      <c r="AV2865" s="79"/>
      <c r="AW2865" s="79"/>
      <c r="AX2865" s="79"/>
      <c r="AZ2865" s="81"/>
      <c r="BB2865" s="5"/>
      <c r="BC2865" s="5"/>
      <c r="BD2865" s="5"/>
      <c r="BE2865" s="5"/>
      <c r="BF2865" s="5"/>
      <c r="BG2865" s="5"/>
      <c r="BH2865" s="5"/>
      <c r="BI2865" s="5"/>
      <c r="BJ2865" s="5"/>
      <c r="BK2865" s="5"/>
      <c r="BL2865" s="5"/>
      <c r="BM2865" s="5"/>
      <c r="BN2865" s="5"/>
      <c r="BO2865" s="5"/>
      <c r="BP2865" s="5"/>
    </row>
    <row r="2866" spans="35:68" x14ac:dyDescent="0.25">
      <c r="AI2866" s="49"/>
      <c r="AJ2866" s="78"/>
      <c r="AK2866" s="79"/>
      <c r="AL2866" s="79"/>
      <c r="AM2866" s="79"/>
      <c r="AN2866" s="79"/>
      <c r="AO2866" s="79"/>
      <c r="AP2866" s="79"/>
      <c r="AQ2866" s="79"/>
      <c r="AR2866" s="78"/>
      <c r="AS2866" s="78"/>
      <c r="AT2866" s="79"/>
      <c r="AU2866" s="79"/>
      <c r="AV2866" s="79"/>
      <c r="AW2866" s="79"/>
      <c r="AX2866" s="79"/>
      <c r="AZ2866" s="81"/>
      <c r="BB2866" s="5"/>
      <c r="BC2866" s="5"/>
      <c r="BD2866" s="5"/>
      <c r="BE2866" s="5"/>
      <c r="BF2866" s="5"/>
      <c r="BG2866" s="5"/>
      <c r="BH2866" s="5"/>
      <c r="BI2866" s="5"/>
      <c r="BJ2866" s="5"/>
      <c r="BK2866" s="5"/>
      <c r="BL2866" s="5"/>
      <c r="BM2866" s="5"/>
      <c r="BN2866" s="5"/>
      <c r="BO2866" s="5"/>
      <c r="BP2866" s="5"/>
    </row>
    <row r="2867" spans="35:68" x14ac:dyDescent="0.25">
      <c r="AI2867" s="49"/>
      <c r="AJ2867" s="78"/>
      <c r="AK2867" s="79"/>
      <c r="AL2867" s="79"/>
      <c r="AM2867" s="79"/>
      <c r="AN2867" s="79"/>
      <c r="AO2867" s="79"/>
      <c r="AP2867" s="79"/>
      <c r="AQ2867" s="79"/>
      <c r="AR2867" s="78"/>
      <c r="AS2867" s="78"/>
      <c r="AT2867" s="79"/>
      <c r="AU2867" s="79"/>
      <c r="AV2867" s="79"/>
      <c r="AW2867" s="79"/>
      <c r="AX2867" s="79"/>
      <c r="AZ2867" s="81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</row>
    <row r="2868" spans="35:68" x14ac:dyDescent="0.25">
      <c r="AI2868" s="49"/>
      <c r="AJ2868" s="78"/>
      <c r="AK2868" s="79"/>
      <c r="AL2868" s="79"/>
      <c r="AM2868" s="79"/>
      <c r="AN2868" s="79"/>
      <c r="AO2868" s="79"/>
      <c r="AP2868" s="79"/>
      <c r="AQ2868" s="79"/>
      <c r="AR2868" s="78"/>
      <c r="AS2868" s="78"/>
      <c r="AT2868" s="79"/>
      <c r="AU2868" s="79"/>
      <c r="AV2868" s="79"/>
      <c r="AW2868" s="79"/>
      <c r="AX2868" s="79"/>
      <c r="AZ2868" s="81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</row>
    <row r="2869" spans="35:68" x14ac:dyDescent="0.25">
      <c r="AI2869" s="49"/>
      <c r="AJ2869" s="78"/>
      <c r="AK2869" s="79"/>
      <c r="AL2869" s="79"/>
      <c r="AM2869" s="79"/>
      <c r="AN2869" s="79"/>
      <c r="AO2869" s="79"/>
      <c r="AP2869" s="79"/>
      <c r="AQ2869" s="79"/>
      <c r="AR2869" s="78"/>
      <c r="AS2869" s="78"/>
      <c r="AT2869" s="79"/>
      <c r="AU2869" s="79"/>
      <c r="AV2869" s="79"/>
      <c r="AW2869" s="79"/>
      <c r="AX2869" s="79"/>
      <c r="AZ2869" s="81"/>
      <c r="BB2869" s="5"/>
      <c r="BC2869" s="5"/>
      <c r="BD2869" s="5"/>
      <c r="BE2869" s="5"/>
      <c r="BF2869" s="5"/>
      <c r="BG2869" s="5"/>
      <c r="BH2869" s="5"/>
      <c r="BI2869" s="5"/>
      <c r="BJ2869" s="5"/>
      <c r="BK2869" s="5"/>
      <c r="BL2869" s="5"/>
      <c r="BM2869" s="5"/>
      <c r="BN2869" s="5"/>
      <c r="BO2869" s="5"/>
      <c r="BP2869" s="5"/>
    </row>
    <row r="2870" spans="35:68" x14ac:dyDescent="0.25">
      <c r="AI2870" s="49"/>
      <c r="AJ2870" s="78"/>
      <c r="AK2870" s="79"/>
      <c r="AL2870" s="79"/>
      <c r="AM2870" s="79"/>
      <c r="AN2870" s="79"/>
      <c r="AO2870" s="79"/>
      <c r="AP2870" s="79"/>
      <c r="AQ2870" s="79"/>
      <c r="AR2870" s="78"/>
      <c r="AS2870" s="78"/>
      <c r="AT2870" s="79"/>
      <c r="AU2870" s="79"/>
      <c r="AV2870" s="79"/>
      <c r="AW2870" s="79"/>
      <c r="AX2870" s="79"/>
      <c r="AZ2870" s="81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/>
    </row>
    <row r="2871" spans="35:68" x14ac:dyDescent="0.25">
      <c r="AI2871" s="49"/>
      <c r="AJ2871" s="78"/>
      <c r="AK2871" s="79"/>
      <c r="AL2871" s="79"/>
      <c r="AM2871" s="79"/>
      <c r="AN2871" s="79"/>
      <c r="AO2871" s="79"/>
      <c r="AP2871" s="79"/>
      <c r="AQ2871" s="79"/>
      <c r="AR2871" s="78"/>
      <c r="AS2871" s="78"/>
      <c r="AT2871" s="79"/>
      <c r="AU2871" s="79"/>
      <c r="AV2871" s="79"/>
      <c r="AW2871" s="79"/>
      <c r="AX2871" s="79"/>
      <c r="AZ2871" s="81"/>
      <c r="BB2871" s="5"/>
      <c r="BC2871" s="5"/>
      <c r="BD2871" s="5"/>
      <c r="BE2871" s="5"/>
      <c r="BF2871" s="5"/>
      <c r="BG2871" s="5"/>
      <c r="BH2871" s="5"/>
      <c r="BI2871" s="5"/>
      <c r="BJ2871" s="5"/>
      <c r="BK2871" s="5"/>
      <c r="BL2871" s="5"/>
      <c r="BM2871" s="5"/>
      <c r="BN2871" s="5"/>
      <c r="BO2871" s="5"/>
      <c r="BP2871" s="5"/>
    </row>
    <row r="2872" spans="35:68" x14ac:dyDescent="0.25">
      <c r="AI2872" s="49"/>
      <c r="AJ2872" s="78"/>
      <c r="AK2872" s="79"/>
      <c r="AL2872" s="79"/>
      <c r="AM2872" s="79"/>
      <c r="AN2872" s="79"/>
      <c r="AO2872" s="79"/>
      <c r="AP2872" s="79"/>
      <c r="AQ2872" s="79"/>
      <c r="AR2872" s="78"/>
      <c r="AS2872" s="78"/>
      <c r="AT2872" s="79"/>
      <c r="AU2872" s="79"/>
      <c r="AV2872" s="79"/>
      <c r="AW2872" s="79"/>
      <c r="AX2872" s="79"/>
      <c r="AZ2872" s="81"/>
      <c r="BB2872" s="5"/>
      <c r="BC2872" s="5"/>
      <c r="BD2872" s="5"/>
      <c r="BE2872" s="5"/>
      <c r="BF2872" s="5"/>
      <c r="BG2872" s="5"/>
      <c r="BH2872" s="5"/>
      <c r="BI2872" s="5"/>
      <c r="BJ2872" s="5"/>
      <c r="BK2872" s="5"/>
      <c r="BL2872" s="5"/>
      <c r="BM2872" s="5"/>
      <c r="BN2872" s="5"/>
      <c r="BO2872" s="5"/>
      <c r="BP2872" s="5"/>
    </row>
    <row r="2873" spans="35:68" x14ac:dyDescent="0.25">
      <c r="AI2873" s="49"/>
      <c r="AJ2873" s="78"/>
      <c r="AK2873" s="79"/>
      <c r="AL2873" s="79"/>
      <c r="AM2873" s="79"/>
      <c r="AN2873" s="79"/>
      <c r="AO2873" s="79"/>
      <c r="AP2873" s="79"/>
      <c r="AQ2873" s="79"/>
      <c r="AR2873" s="78"/>
      <c r="AS2873" s="78"/>
      <c r="AT2873" s="79"/>
      <c r="AU2873" s="79"/>
      <c r="AV2873" s="79"/>
      <c r="AW2873" s="79"/>
      <c r="AX2873" s="79"/>
      <c r="AZ2873" s="81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</row>
    <row r="2874" spans="35:68" x14ac:dyDescent="0.25">
      <c r="AI2874" s="49"/>
      <c r="AJ2874" s="78"/>
      <c r="AK2874" s="79"/>
      <c r="AL2874" s="79"/>
      <c r="AM2874" s="79"/>
      <c r="AN2874" s="79"/>
      <c r="AO2874" s="79"/>
      <c r="AP2874" s="79"/>
      <c r="AQ2874" s="79"/>
      <c r="AR2874" s="78"/>
      <c r="AS2874" s="78"/>
      <c r="AT2874" s="79"/>
      <c r="AU2874" s="79"/>
      <c r="AV2874" s="79"/>
      <c r="AW2874" s="79"/>
      <c r="AX2874" s="79"/>
      <c r="AZ2874" s="81"/>
      <c r="BB2874" s="5"/>
      <c r="BC2874" s="5"/>
      <c r="BD2874" s="5"/>
      <c r="BE2874" s="5"/>
      <c r="BF2874" s="5"/>
      <c r="BG2874" s="5"/>
      <c r="BH2874" s="5"/>
      <c r="BI2874" s="5"/>
      <c r="BJ2874" s="5"/>
      <c r="BK2874" s="5"/>
      <c r="BL2874" s="5"/>
      <c r="BM2874" s="5"/>
      <c r="BN2874" s="5"/>
      <c r="BO2874" s="5"/>
      <c r="BP2874" s="5"/>
    </row>
    <row r="2875" spans="35:68" x14ac:dyDescent="0.25">
      <c r="AI2875" s="49"/>
      <c r="AJ2875" s="78"/>
      <c r="AK2875" s="79"/>
      <c r="AL2875" s="79"/>
      <c r="AM2875" s="79"/>
      <c r="AN2875" s="79"/>
      <c r="AO2875" s="79"/>
      <c r="AP2875" s="79"/>
      <c r="AQ2875" s="79"/>
      <c r="AR2875" s="78"/>
      <c r="AS2875" s="78"/>
      <c r="AT2875" s="79"/>
      <c r="AU2875" s="79"/>
      <c r="AV2875" s="79"/>
      <c r="AW2875" s="79"/>
      <c r="AX2875" s="79"/>
      <c r="AZ2875" s="81"/>
      <c r="BB2875" s="5"/>
      <c r="BC2875" s="5"/>
      <c r="BD2875" s="5"/>
      <c r="BE2875" s="5"/>
      <c r="BF2875" s="5"/>
      <c r="BG2875" s="5"/>
      <c r="BH2875" s="5"/>
      <c r="BI2875" s="5"/>
      <c r="BJ2875" s="5"/>
      <c r="BK2875" s="5"/>
      <c r="BL2875" s="5"/>
      <c r="BM2875" s="5"/>
      <c r="BN2875" s="5"/>
      <c r="BO2875" s="5"/>
      <c r="BP2875" s="5"/>
    </row>
    <row r="2876" spans="35:68" x14ac:dyDescent="0.25">
      <c r="AI2876" s="49"/>
      <c r="AJ2876" s="78"/>
      <c r="AK2876" s="79"/>
      <c r="AL2876" s="79"/>
      <c r="AM2876" s="79"/>
      <c r="AN2876" s="79"/>
      <c r="AO2876" s="79"/>
      <c r="AP2876" s="79"/>
      <c r="AQ2876" s="79"/>
      <c r="AR2876" s="78"/>
      <c r="AS2876" s="78"/>
      <c r="AT2876" s="79"/>
      <c r="AU2876" s="79"/>
      <c r="AV2876" s="79"/>
      <c r="AW2876" s="79"/>
      <c r="AX2876" s="79"/>
      <c r="AZ2876" s="81"/>
      <c r="BB2876" s="5"/>
      <c r="BC2876" s="5"/>
      <c r="BD2876" s="5"/>
      <c r="BE2876" s="5"/>
      <c r="BF2876" s="5"/>
      <c r="BG2876" s="5"/>
      <c r="BH2876" s="5"/>
      <c r="BI2876" s="5"/>
      <c r="BJ2876" s="5"/>
      <c r="BK2876" s="5"/>
      <c r="BL2876" s="5"/>
      <c r="BM2876" s="5"/>
      <c r="BN2876" s="5"/>
      <c r="BO2876" s="5"/>
      <c r="BP2876" s="5"/>
    </row>
    <row r="2877" spans="35:68" x14ac:dyDescent="0.25">
      <c r="AI2877" s="49"/>
      <c r="AJ2877" s="78"/>
      <c r="AK2877" s="79"/>
      <c r="AL2877" s="79"/>
      <c r="AM2877" s="79"/>
      <c r="AN2877" s="79"/>
      <c r="AO2877" s="79"/>
      <c r="AP2877" s="79"/>
      <c r="AQ2877" s="79"/>
      <c r="AR2877" s="78"/>
      <c r="AS2877" s="78"/>
      <c r="AT2877" s="79"/>
      <c r="AU2877" s="79"/>
      <c r="AV2877" s="79"/>
      <c r="AW2877" s="79"/>
      <c r="AX2877" s="79"/>
      <c r="AZ2877" s="81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</row>
    <row r="2878" spans="35:68" x14ac:dyDescent="0.25">
      <c r="AI2878" s="49"/>
      <c r="AJ2878" s="78"/>
      <c r="AK2878" s="79"/>
      <c r="AL2878" s="79"/>
      <c r="AM2878" s="79"/>
      <c r="AN2878" s="79"/>
      <c r="AO2878" s="79"/>
      <c r="AP2878" s="79"/>
      <c r="AQ2878" s="79"/>
      <c r="AR2878" s="78"/>
      <c r="AS2878" s="78"/>
      <c r="AT2878" s="79"/>
      <c r="AU2878" s="79"/>
      <c r="AV2878" s="79"/>
      <c r="AW2878" s="79"/>
      <c r="AX2878" s="79"/>
      <c r="AZ2878" s="81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</row>
    <row r="2879" spans="35:68" x14ac:dyDescent="0.25">
      <c r="AI2879" s="49"/>
      <c r="AJ2879" s="78"/>
      <c r="AK2879" s="79"/>
      <c r="AL2879" s="79"/>
      <c r="AM2879" s="79"/>
      <c r="AN2879" s="79"/>
      <c r="AO2879" s="79"/>
      <c r="AP2879" s="79"/>
      <c r="AQ2879" s="79"/>
      <c r="AR2879" s="78"/>
      <c r="AS2879" s="78"/>
      <c r="AT2879" s="79"/>
      <c r="AU2879" s="79"/>
      <c r="AV2879" s="79"/>
      <c r="AW2879" s="79"/>
      <c r="AX2879" s="79"/>
      <c r="AZ2879" s="81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/>
      <c r="BP2879" s="5"/>
    </row>
    <row r="2880" spans="35:68" x14ac:dyDescent="0.25">
      <c r="AI2880" s="49"/>
      <c r="AJ2880" s="78"/>
      <c r="AK2880" s="79"/>
      <c r="AL2880" s="79"/>
      <c r="AM2880" s="79"/>
      <c r="AN2880" s="79"/>
      <c r="AO2880" s="79"/>
      <c r="AP2880" s="79"/>
      <c r="AQ2880" s="79"/>
      <c r="AR2880" s="78"/>
      <c r="AS2880" s="78"/>
      <c r="AT2880" s="79"/>
      <c r="AU2880" s="79"/>
      <c r="AV2880" s="79"/>
      <c r="AW2880" s="79"/>
      <c r="AX2880" s="79"/>
      <c r="AZ2880" s="81"/>
      <c r="BB2880" s="5"/>
      <c r="BC2880" s="5"/>
      <c r="BD2880" s="5"/>
      <c r="BE2880" s="5"/>
      <c r="BF2880" s="5"/>
      <c r="BG2880" s="5"/>
      <c r="BH2880" s="5"/>
      <c r="BI2880" s="5"/>
      <c r="BJ2880" s="5"/>
      <c r="BK2880" s="5"/>
      <c r="BL2880" s="5"/>
      <c r="BM2880" s="5"/>
      <c r="BN2880" s="5"/>
      <c r="BO2880" s="5"/>
      <c r="BP2880" s="5"/>
    </row>
    <row r="2881" spans="35:68" x14ac:dyDescent="0.25">
      <c r="AI2881" s="49"/>
      <c r="AJ2881" s="78"/>
      <c r="AK2881" s="79"/>
      <c r="AL2881" s="79"/>
      <c r="AM2881" s="79"/>
      <c r="AN2881" s="79"/>
      <c r="AO2881" s="79"/>
      <c r="AP2881" s="79"/>
      <c r="AQ2881" s="79"/>
      <c r="AR2881" s="78"/>
      <c r="AS2881" s="78"/>
      <c r="AT2881" s="79"/>
      <c r="AU2881" s="79"/>
      <c r="AV2881" s="79"/>
      <c r="AW2881" s="79"/>
      <c r="AX2881" s="79"/>
      <c r="AZ2881" s="81"/>
      <c r="BB2881" s="5"/>
      <c r="BC2881" s="5"/>
      <c r="BD2881" s="5"/>
      <c r="BE2881" s="5"/>
      <c r="BF2881" s="5"/>
      <c r="BG2881" s="5"/>
      <c r="BH2881" s="5"/>
      <c r="BI2881" s="5"/>
      <c r="BJ2881" s="5"/>
      <c r="BK2881" s="5"/>
      <c r="BL2881" s="5"/>
      <c r="BM2881" s="5"/>
      <c r="BN2881" s="5"/>
      <c r="BO2881" s="5"/>
      <c r="BP2881" s="5"/>
    </row>
    <row r="2882" spans="35:68" x14ac:dyDescent="0.25">
      <c r="AI2882" s="49"/>
      <c r="AJ2882" s="78"/>
      <c r="AK2882" s="79"/>
      <c r="AL2882" s="79"/>
      <c r="AM2882" s="79"/>
      <c r="AN2882" s="79"/>
      <c r="AO2882" s="79"/>
      <c r="AP2882" s="79"/>
      <c r="AQ2882" s="79"/>
      <c r="AR2882" s="78"/>
      <c r="AS2882" s="78"/>
      <c r="AT2882" s="79"/>
      <c r="AU2882" s="79"/>
      <c r="AV2882" s="79"/>
      <c r="AW2882" s="79"/>
      <c r="AX2882" s="79"/>
      <c r="AZ2882" s="81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/>
      <c r="BP2882" s="5"/>
    </row>
    <row r="2883" spans="35:68" x14ac:dyDescent="0.25">
      <c r="AI2883" s="49"/>
      <c r="AJ2883" s="78"/>
      <c r="AK2883" s="79"/>
      <c r="AL2883" s="79"/>
      <c r="AM2883" s="79"/>
      <c r="AN2883" s="79"/>
      <c r="AO2883" s="79"/>
      <c r="AP2883" s="79"/>
      <c r="AQ2883" s="79"/>
      <c r="AR2883" s="78"/>
      <c r="AS2883" s="78"/>
      <c r="AT2883" s="79"/>
      <c r="AU2883" s="79"/>
      <c r="AV2883" s="79"/>
      <c r="AW2883" s="79"/>
      <c r="AX2883" s="79"/>
      <c r="AZ2883" s="81"/>
      <c r="BB2883" s="5"/>
      <c r="BC2883" s="5"/>
      <c r="BD2883" s="5"/>
      <c r="BE2883" s="5"/>
      <c r="BF2883" s="5"/>
      <c r="BG2883" s="5"/>
      <c r="BH2883" s="5"/>
      <c r="BI2883" s="5"/>
      <c r="BJ2883" s="5"/>
      <c r="BK2883" s="5"/>
      <c r="BL2883" s="5"/>
      <c r="BM2883" s="5"/>
      <c r="BN2883" s="5"/>
      <c r="BO2883" s="5"/>
      <c r="BP2883" s="5"/>
    </row>
    <row r="2884" spans="35:68" x14ac:dyDescent="0.25">
      <c r="AI2884" s="49"/>
      <c r="AJ2884" s="78"/>
      <c r="AK2884" s="79"/>
      <c r="AL2884" s="79"/>
      <c r="AM2884" s="79"/>
      <c r="AN2884" s="79"/>
      <c r="AO2884" s="79"/>
      <c r="AP2884" s="79"/>
      <c r="AQ2884" s="79"/>
      <c r="AR2884" s="78"/>
      <c r="AS2884" s="78"/>
      <c r="AT2884" s="79"/>
      <c r="AU2884" s="79"/>
      <c r="AV2884" s="79"/>
      <c r="AW2884" s="79"/>
      <c r="AX2884" s="79"/>
      <c r="AZ2884" s="81"/>
      <c r="BB2884" s="5"/>
      <c r="BC2884" s="5"/>
      <c r="BD2884" s="5"/>
      <c r="BE2884" s="5"/>
      <c r="BF2884" s="5"/>
      <c r="BG2884" s="5"/>
      <c r="BH2884" s="5"/>
      <c r="BI2884" s="5"/>
      <c r="BJ2884" s="5"/>
      <c r="BK2884" s="5"/>
      <c r="BL2884" s="5"/>
      <c r="BM2884" s="5"/>
      <c r="BN2884" s="5"/>
      <c r="BO2884" s="5"/>
      <c r="BP2884" s="5"/>
    </row>
    <row r="2885" spans="35:68" x14ac:dyDescent="0.25">
      <c r="AI2885" s="49"/>
      <c r="AJ2885" s="78"/>
      <c r="AK2885" s="79"/>
      <c r="AL2885" s="79"/>
      <c r="AM2885" s="79"/>
      <c r="AN2885" s="79"/>
      <c r="AO2885" s="79"/>
      <c r="AP2885" s="79"/>
      <c r="AQ2885" s="79"/>
      <c r="AR2885" s="78"/>
      <c r="AS2885" s="78"/>
      <c r="AT2885" s="79"/>
      <c r="AU2885" s="79"/>
      <c r="AV2885" s="79"/>
      <c r="AW2885" s="79"/>
      <c r="AX2885" s="79"/>
      <c r="AZ2885" s="81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/>
      <c r="BO2885" s="5"/>
      <c r="BP2885" s="5"/>
    </row>
    <row r="2886" spans="35:68" x14ac:dyDescent="0.25">
      <c r="AI2886" s="49"/>
      <c r="AJ2886" s="78"/>
      <c r="AK2886" s="79"/>
      <c r="AL2886" s="79"/>
      <c r="AM2886" s="79"/>
      <c r="AN2886" s="79"/>
      <c r="AO2886" s="79"/>
      <c r="AP2886" s="79"/>
      <c r="AQ2886" s="79"/>
      <c r="AR2886" s="78"/>
      <c r="AS2886" s="78"/>
      <c r="AT2886" s="79"/>
      <c r="AU2886" s="79"/>
      <c r="AV2886" s="79"/>
      <c r="AW2886" s="79"/>
      <c r="AX2886" s="79"/>
      <c r="AZ2886" s="81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</row>
    <row r="2887" spans="35:68" x14ac:dyDescent="0.25">
      <c r="AI2887" s="49"/>
      <c r="AJ2887" s="78"/>
      <c r="AK2887" s="79"/>
      <c r="AL2887" s="79"/>
      <c r="AM2887" s="79"/>
      <c r="AN2887" s="79"/>
      <c r="AO2887" s="79"/>
      <c r="AP2887" s="79"/>
      <c r="AQ2887" s="79"/>
      <c r="AR2887" s="78"/>
      <c r="AS2887" s="78"/>
      <c r="AT2887" s="79"/>
      <c r="AU2887" s="79"/>
      <c r="AV2887" s="79"/>
      <c r="AW2887" s="79"/>
      <c r="AX2887" s="79"/>
      <c r="AZ2887" s="81"/>
      <c r="BB2887" s="5"/>
      <c r="BC2887" s="5"/>
      <c r="BD2887" s="5"/>
      <c r="BE2887" s="5"/>
      <c r="BF2887" s="5"/>
      <c r="BG2887" s="5"/>
      <c r="BH2887" s="5"/>
      <c r="BI2887" s="5"/>
      <c r="BJ2887" s="5"/>
      <c r="BK2887" s="5"/>
      <c r="BL2887" s="5"/>
      <c r="BM2887" s="5"/>
      <c r="BN2887" s="5"/>
      <c r="BO2887" s="5"/>
      <c r="BP2887" s="5"/>
    </row>
    <row r="2888" spans="35:68" x14ac:dyDescent="0.25">
      <c r="AI2888" s="49"/>
      <c r="AJ2888" s="78"/>
      <c r="AK2888" s="79"/>
      <c r="AL2888" s="79"/>
      <c r="AM2888" s="79"/>
      <c r="AN2888" s="79"/>
      <c r="AO2888" s="79"/>
      <c r="AP2888" s="79"/>
      <c r="AQ2888" s="79"/>
      <c r="AR2888" s="78"/>
      <c r="AS2888" s="78"/>
      <c r="AT2888" s="79"/>
      <c r="AU2888" s="79"/>
      <c r="AV2888" s="79"/>
      <c r="AW2888" s="79"/>
      <c r="AX2888" s="79"/>
      <c r="AZ2888" s="81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/>
      <c r="BP2888" s="5"/>
    </row>
    <row r="2889" spans="35:68" x14ac:dyDescent="0.25">
      <c r="AI2889" s="49"/>
      <c r="AJ2889" s="78"/>
      <c r="AK2889" s="79"/>
      <c r="AL2889" s="79"/>
      <c r="AM2889" s="79"/>
      <c r="AN2889" s="79"/>
      <c r="AO2889" s="79"/>
      <c r="AP2889" s="79"/>
      <c r="AQ2889" s="79"/>
      <c r="AR2889" s="78"/>
      <c r="AS2889" s="78"/>
      <c r="AT2889" s="79"/>
      <c r="AU2889" s="79"/>
      <c r="AV2889" s="79"/>
      <c r="AW2889" s="79"/>
      <c r="AX2889" s="79"/>
      <c r="AZ2889" s="81"/>
      <c r="BB2889" s="5"/>
      <c r="BC2889" s="5"/>
      <c r="BD2889" s="5"/>
      <c r="BE2889" s="5"/>
      <c r="BF2889" s="5"/>
      <c r="BG2889" s="5"/>
      <c r="BH2889" s="5"/>
      <c r="BI2889" s="5"/>
      <c r="BJ2889" s="5"/>
      <c r="BK2889" s="5"/>
      <c r="BL2889" s="5"/>
      <c r="BM2889" s="5"/>
      <c r="BN2889" s="5"/>
      <c r="BO2889" s="5"/>
      <c r="BP2889" s="5"/>
    </row>
    <row r="2890" spans="35:68" x14ac:dyDescent="0.25">
      <c r="AI2890" s="49"/>
      <c r="AJ2890" s="78"/>
      <c r="AK2890" s="79"/>
      <c r="AL2890" s="79"/>
      <c r="AM2890" s="79"/>
      <c r="AN2890" s="79"/>
      <c r="AO2890" s="79"/>
      <c r="AP2890" s="79"/>
      <c r="AQ2890" s="79"/>
      <c r="AR2890" s="78"/>
      <c r="AS2890" s="78"/>
      <c r="AT2890" s="79"/>
      <c r="AU2890" s="79"/>
      <c r="AV2890" s="79"/>
      <c r="AW2890" s="79"/>
      <c r="AX2890" s="79"/>
      <c r="AZ2890" s="81"/>
      <c r="BB2890" s="5"/>
      <c r="BC2890" s="5"/>
      <c r="BD2890" s="5"/>
      <c r="BE2890" s="5"/>
      <c r="BF2890" s="5"/>
      <c r="BG2890" s="5"/>
      <c r="BH2890" s="5"/>
      <c r="BI2890" s="5"/>
      <c r="BJ2890" s="5"/>
      <c r="BK2890" s="5"/>
      <c r="BL2890" s="5"/>
      <c r="BM2890" s="5"/>
      <c r="BN2890" s="5"/>
      <c r="BO2890" s="5"/>
      <c r="BP2890" s="5"/>
    </row>
    <row r="2891" spans="35:68" x14ac:dyDescent="0.25">
      <c r="AI2891" s="49"/>
      <c r="AJ2891" s="78"/>
      <c r="AK2891" s="79"/>
      <c r="AL2891" s="79"/>
      <c r="AM2891" s="79"/>
      <c r="AN2891" s="79"/>
      <c r="AO2891" s="79"/>
      <c r="AP2891" s="79"/>
      <c r="AQ2891" s="79"/>
      <c r="AR2891" s="78"/>
      <c r="AS2891" s="78"/>
      <c r="AT2891" s="79"/>
      <c r="AU2891" s="79"/>
      <c r="AV2891" s="79"/>
      <c r="AW2891" s="79"/>
      <c r="AX2891" s="79"/>
      <c r="AZ2891" s="81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</row>
    <row r="2892" spans="35:68" x14ac:dyDescent="0.25">
      <c r="AI2892" s="49"/>
      <c r="AJ2892" s="78"/>
      <c r="AK2892" s="79"/>
      <c r="AL2892" s="79"/>
      <c r="AM2892" s="79"/>
      <c r="AN2892" s="79"/>
      <c r="AO2892" s="79"/>
      <c r="AP2892" s="79"/>
      <c r="AQ2892" s="79"/>
      <c r="AR2892" s="78"/>
      <c r="AS2892" s="78"/>
      <c r="AT2892" s="79"/>
      <c r="AU2892" s="79"/>
      <c r="AV2892" s="79"/>
      <c r="AW2892" s="79"/>
      <c r="AX2892" s="79"/>
      <c r="AZ2892" s="81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</row>
    <row r="2893" spans="35:68" x14ac:dyDescent="0.25">
      <c r="AI2893" s="49"/>
      <c r="AJ2893" s="78"/>
      <c r="AK2893" s="79"/>
      <c r="AL2893" s="79"/>
      <c r="AM2893" s="79"/>
      <c r="AN2893" s="79"/>
      <c r="AO2893" s="79"/>
      <c r="AP2893" s="79"/>
      <c r="AQ2893" s="79"/>
      <c r="AR2893" s="78"/>
      <c r="AS2893" s="78"/>
      <c r="AT2893" s="79"/>
      <c r="AU2893" s="79"/>
      <c r="AV2893" s="79"/>
      <c r="AW2893" s="79"/>
      <c r="AX2893" s="79"/>
      <c r="AZ2893" s="81"/>
      <c r="BB2893" s="5"/>
      <c r="BC2893" s="5"/>
      <c r="BD2893" s="5"/>
      <c r="BE2893" s="5"/>
      <c r="BF2893" s="5"/>
      <c r="BG2893" s="5"/>
      <c r="BH2893" s="5"/>
      <c r="BI2893" s="5"/>
      <c r="BJ2893" s="5"/>
      <c r="BK2893" s="5"/>
      <c r="BL2893" s="5"/>
      <c r="BM2893" s="5"/>
      <c r="BN2893" s="5"/>
      <c r="BO2893" s="5"/>
      <c r="BP2893" s="5"/>
    </row>
    <row r="2894" spans="35:68" x14ac:dyDescent="0.25">
      <c r="AI2894" s="49"/>
      <c r="AJ2894" s="78"/>
      <c r="AK2894" s="79"/>
      <c r="AL2894" s="79"/>
      <c r="AM2894" s="79"/>
      <c r="AN2894" s="79"/>
      <c r="AO2894" s="79"/>
      <c r="AP2894" s="79"/>
      <c r="AQ2894" s="79"/>
      <c r="AR2894" s="78"/>
      <c r="AS2894" s="78"/>
      <c r="AT2894" s="79"/>
      <c r="AU2894" s="79"/>
      <c r="AV2894" s="79"/>
      <c r="AW2894" s="79"/>
      <c r="AX2894" s="79"/>
      <c r="AZ2894" s="81"/>
      <c r="BB2894" s="5"/>
      <c r="BC2894" s="5"/>
      <c r="BD2894" s="5"/>
      <c r="BE2894" s="5"/>
      <c r="BF2894" s="5"/>
      <c r="BG2894" s="5"/>
      <c r="BH2894" s="5"/>
      <c r="BI2894" s="5"/>
      <c r="BJ2894" s="5"/>
      <c r="BK2894" s="5"/>
      <c r="BL2894" s="5"/>
      <c r="BM2894" s="5"/>
      <c r="BN2894" s="5"/>
      <c r="BO2894" s="5"/>
      <c r="BP2894" s="5"/>
    </row>
    <row r="2895" spans="35:68" x14ac:dyDescent="0.25">
      <c r="AI2895" s="49"/>
      <c r="AJ2895" s="78"/>
      <c r="AK2895" s="79"/>
      <c r="AL2895" s="79"/>
      <c r="AM2895" s="79"/>
      <c r="AN2895" s="79"/>
      <c r="AO2895" s="79"/>
      <c r="AP2895" s="79"/>
      <c r="AQ2895" s="79"/>
      <c r="AR2895" s="78"/>
      <c r="AS2895" s="78"/>
      <c r="AT2895" s="79"/>
      <c r="AU2895" s="79"/>
      <c r="AV2895" s="79"/>
      <c r="AW2895" s="79"/>
      <c r="AX2895" s="79"/>
      <c r="AZ2895" s="81"/>
      <c r="BB2895" s="5"/>
      <c r="BC2895" s="5"/>
      <c r="BD2895" s="5"/>
      <c r="BE2895" s="5"/>
      <c r="BF2895" s="5"/>
      <c r="BG2895" s="5"/>
      <c r="BH2895" s="5"/>
      <c r="BI2895" s="5"/>
      <c r="BJ2895" s="5"/>
      <c r="BK2895" s="5"/>
      <c r="BL2895" s="5"/>
      <c r="BM2895" s="5"/>
      <c r="BN2895" s="5"/>
      <c r="BO2895" s="5"/>
      <c r="BP2895" s="5"/>
    </row>
    <row r="2896" spans="35:68" x14ac:dyDescent="0.25">
      <c r="AI2896" s="49"/>
      <c r="AJ2896" s="78"/>
      <c r="AK2896" s="79"/>
      <c r="AL2896" s="79"/>
      <c r="AM2896" s="79"/>
      <c r="AN2896" s="79"/>
      <c r="AO2896" s="79"/>
      <c r="AP2896" s="79"/>
      <c r="AQ2896" s="79"/>
      <c r="AR2896" s="78"/>
      <c r="AS2896" s="78"/>
      <c r="AT2896" s="79"/>
      <c r="AU2896" s="79"/>
      <c r="AV2896" s="79"/>
      <c r="AW2896" s="79"/>
      <c r="AX2896" s="79"/>
      <c r="AZ2896" s="81"/>
      <c r="BB2896" s="5"/>
      <c r="BC2896" s="5"/>
      <c r="BD2896" s="5"/>
      <c r="BE2896" s="5"/>
      <c r="BF2896" s="5"/>
      <c r="BG2896" s="5"/>
      <c r="BH2896" s="5"/>
      <c r="BI2896" s="5"/>
      <c r="BJ2896" s="5"/>
      <c r="BK2896" s="5"/>
      <c r="BL2896" s="5"/>
      <c r="BM2896" s="5"/>
      <c r="BN2896" s="5"/>
      <c r="BO2896" s="5"/>
      <c r="BP2896" s="5"/>
    </row>
    <row r="2897" spans="35:68" x14ac:dyDescent="0.25">
      <c r="AI2897" s="49"/>
      <c r="AJ2897" s="78"/>
      <c r="AK2897" s="79"/>
      <c r="AL2897" s="79"/>
      <c r="AM2897" s="79"/>
      <c r="AN2897" s="79"/>
      <c r="AO2897" s="79"/>
      <c r="AP2897" s="79"/>
      <c r="AQ2897" s="79"/>
      <c r="AR2897" s="78"/>
      <c r="AS2897" s="78"/>
      <c r="AT2897" s="79"/>
      <c r="AU2897" s="79"/>
      <c r="AV2897" s="79"/>
      <c r="AW2897" s="79"/>
      <c r="AX2897" s="79"/>
      <c r="AZ2897" s="81"/>
      <c r="BB2897" s="5"/>
      <c r="BC2897" s="5"/>
      <c r="BD2897" s="5"/>
      <c r="BE2897" s="5"/>
      <c r="BF2897" s="5"/>
      <c r="BG2897" s="5"/>
      <c r="BH2897" s="5"/>
      <c r="BI2897" s="5"/>
      <c r="BJ2897" s="5"/>
      <c r="BK2897" s="5"/>
      <c r="BL2897" s="5"/>
      <c r="BM2897" s="5"/>
      <c r="BN2897" s="5"/>
      <c r="BO2897" s="5"/>
      <c r="BP2897" s="5"/>
    </row>
    <row r="2898" spans="35:68" x14ac:dyDescent="0.25">
      <c r="AI2898" s="49"/>
      <c r="AJ2898" s="78"/>
      <c r="AK2898" s="79"/>
      <c r="AL2898" s="79"/>
      <c r="AM2898" s="79"/>
      <c r="AN2898" s="79"/>
      <c r="AO2898" s="79"/>
      <c r="AP2898" s="79"/>
      <c r="AQ2898" s="79"/>
      <c r="AR2898" s="78"/>
      <c r="AS2898" s="78"/>
      <c r="AT2898" s="79"/>
      <c r="AU2898" s="79"/>
      <c r="AV2898" s="79"/>
      <c r="AW2898" s="79"/>
      <c r="AX2898" s="79"/>
      <c r="AZ2898" s="81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</row>
    <row r="2899" spans="35:68" x14ac:dyDescent="0.25">
      <c r="AI2899" s="49"/>
      <c r="AJ2899" s="78"/>
      <c r="AK2899" s="79"/>
      <c r="AL2899" s="79"/>
      <c r="AM2899" s="79"/>
      <c r="AN2899" s="79"/>
      <c r="AO2899" s="79"/>
      <c r="AP2899" s="79"/>
      <c r="AQ2899" s="79"/>
      <c r="AR2899" s="78"/>
      <c r="AS2899" s="78"/>
      <c r="AT2899" s="79"/>
      <c r="AU2899" s="79"/>
      <c r="AV2899" s="79"/>
      <c r="AW2899" s="79"/>
      <c r="AX2899" s="79"/>
      <c r="AZ2899" s="81"/>
      <c r="BB2899" s="5"/>
      <c r="BC2899" s="5"/>
      <c r="BD2899" s="5"/>
      <c r="BE2899" s="5"/>
      <c r="BF2899" s="5"/>
      <c r="BG2899" s="5"/>
      <c r="BH2899" s="5"/>
      <c r="BI2899" s="5"/>
      <c r="BJ2899" s="5"/>
      <c r="BK2899" s="5"/>
      <c r="BL2899" s="5"/>
      <c r="BM2899" s="5"/>
      <c r="BN2899" s="5"/>
      <c r="BO2899" s="5"/>
      <c r="BP2899" s="5"/>
    </row>
    <row r="2900" spans="35:68" x14ac:dyDescent="0.25">
      <c r="AI2900" s="49"/>
      <c r="AJ2900" s="78"/>
      <c r="AK2900" s="79"/>
      <c r="AL2900" s="79"/>
      <c r="AM2900" s="79"/>
      <c r="AN2900" s="79"/>
      <c r="AO2900" s="79"/>
      <c r="AP2900" s="79"/>
      <c r="AQ2900" s="79"/>
      <c r="AR2900" s="78"/>
      <c r="AS2900" s="78"/>
      <c r="AT2900" s="79"/>
      <c r="AU2900" s="79"/>
      <c r="AV2900" s="79"/>
      <c r="AW2900" s="79"/>
      <c r="AX2900" s="79"/>
      <c r="AZ2900" s="81"/>
      <c r="BB2900" s="5"/>
      <c r="BC2900" s="5"/>
      <c r="BD2900" s="5"/>
      <c r="BE2900" s="5"/>
      <c r="BF2900" s="5"/>
      <c r="BG2900" s="5"/>
      <c r="BH2900" s="5"/>
      <c r="BI2900" s="5"/>
      <c r="BJ2900" s="5"/>
      <c r="BK2900" s="5"/>
      <c r="BL2900" s="5"/>
      <c r="BM2900" s="5"/>
      <c r="BN2900" s="5"/>
      <c r="BO2900" s="5"/>
      <c r="BP2900" s="5"/>
    </row>
    <row r="2901" spans="35:68" x14ac:dyDescent="0.25">
      <c r="AI2901" s="49"/>
      <c r="AJ2901" s="78"/>
      <c r="AK2901" s="79"/>
      <c r="AL2901" s="79"/>
      <c r="AM2901" s="79"/>
      <c r="AN2901" s="79"/>
      <c r="AO2901" s="79"/>
      <c r="AP2901" s="79"/>
      <c r="AQ2901" s="79"/>
      <c r="AR2901" s="78"/>
      <c r="AS2901" s="78"/>
      <c r="AT2901" s="79"/>
      <c r="AU2901" s="79"/>
      <c r="AV2901" s="79"/>
      <c r="AW2901" s="79"/>
      <c r="AX2901" s="79"/>
      <c r="AZ2901" s="81"/>
      <c r="BB2901" s="5"/>
      <c r="BC2901" s="5"/>
      <c r="BD2901" s="5"/>
      <c r="BE2901" s="5"/>
      <c r="BF2901" s="5"/>
      <c r="BG2901" s="5"/>
      <c r="BH2901" s="5"/>
      <c r="BI2901" s="5"/>
      <c r="BJ2901" s="5"/>
      <c r="BK2901" s="5"/>
      <c r="BL2901" s="5"/>
      <c r="BM2901" s="5"/>
      <c r="BN2901" s="5"/>
      <c r="BO2901" s="5"/>
      <c r="BP2901" s="5"/>
    </row>
    <row r="2902" spans="35:68" x14ac:dyDescent="0.25">
      <c r="AI2902" s="49"/>
      <c r="AJ2902" s="78"/>
      <c r="AK2902" s="79"/>
      <c r="AL2902" s="79"/>
      <c r="AM2902" s="79"/>
      <c r="AN2902" s="79"/>
      <c r="AO2902" s="79"/>
      <c r="AP2902" s="79"/>
      <c r="AQ2902" s="79"/>
      <c r="AR2902" s="78"/>
      <c r="AS2902" s="78"/>
      <c r="AT2902" s="79"/>
      <c r="AU2902" s="79"/>
      <c r="AV2902" s="79"/>
      <c r="AW2902" s="79"/>
      <c r="AX2902" s="79"/>
      <c r="AZ2902" s="81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</row>
    <row r="2903" spans="35:68" x14ac:dyDescent="0.25">
      <c r="AI2903" s="49"/>
      <c r="AJ2903" s="78"/>
      <c r="AK2903" s="79"/>
      <c r="AL2903" s="79"/>
      <c r="AM2903" s="79"/>
      <c r="AN2903" s="79"/>
      <c r="AO2903" s="79"/>
      <c r="AP2903" s="79"/>
      <c r="AQ2903" s="79"/>
      <c r="AR2903" s="78"/>
      <c r="AS2903" s="78"/>
      <c r="AT2903" s="79"/>
      <c r="AU2903" s="79"/>
      <c r="AV2903" s="79"/>
      <c r="AW2903" s="79"/>
      <c r="AX2903" s="79"/>
      <c r="AZ2903" s="81"/>
      <c r="BB2903" s="5"/>
      <c r="BC2903" s="5"/>
      <c r="BD2903" s="5"/>
      <c r="BE2903" s="5"/>
      <c r="BF2903" s="5"/>
      <c r="BG2903" s="5"/>
      <c r="BH2903" s="5"/>
      <c r="BI2903" s="5"/>
      <c r="BJ2903" s="5"/>
      <c r="BK2903" s="5"/>
      <c r="BL2903" s="5"/>
      <c r="BM2903" s="5"/>
      <c r="BN2903" s="5"/>
      <c r="BO2903" s="5"/>
      <c r="BP2903" s="5"/>
    </row>
    <row r="2904" spans="35:68" x14ac:dyDescent="0.25">
      <c r="AI2904" s="49"/>
      <c r="AJ2904" s="78"/>
      <c r="AK2904" s="79"/>
      <c r="AL2904" s="79"/>
      <c r="AM2904" s="79"/>
      <c r="AN2904" s="79"/>
      <c r="AO2904" s="79"/>
      <c r="AP2904" s="79"/>
      <c r="AQ2904" s="79"/>
      <c r="AR2904" s="78"/>
      <c r="AS2904" s="78"/>
      <c r="AT2904" s="79"/>
      <c r="AU2904" s="79"/>
      <c r="AV2904" s="79"/>
      <c r="AW2904" s="79"/>
      <c r="AX2904" s="79"/>
      <c r="AZ2904" s="81"/>
      <c r="BB2904" s="5"/>
      <c r="BC2904" s="5"/>
      <c r="BD2904" s="5"/>
      <c r="BE2904" s="5"/>
      <c r="BF2904" s="5"/>
      <c r="BG2904" s="5"/>
      <c r="BH2904" s="5"/>
      <c r="BI2904" s="5"/>
      <c r="BJ2904" s="5"/>
      <c r="BK2904" s="5"/>
      <c r="BL2904" s="5"/>
      <c r="BM2904" s="5"/>
      <c r="BN2904" s="5"/>
      <c r="BO2904" s="5"/>
      <c r="BP2904" s="5"/>
    </row>
    <row r="2905" spans="35:68" x14ac:dyDescent="0.25">
      <c r="AI2905" s="49"/>
      <c r="AJ2905" s="78"/>
      <c r="AK2905" s="79"/>
      <c r="AL2905" s="79"/>
      <c r="AM2905" s="79"/>
      <c r="AN2905" s="79"/>
      <c r="AO2905" s="79"/>
      <c r="AP2905" s="79"/>
      <c r="AQ2905" s="79"/>
      <c r="AR2905" s="78"/>
      <c r="AS2905" s="78"/>
      <c r="AT2905" s="79"/>
      <c r="AU2905" s="79"/>
      <c r="AV2905" s="79"/>
      <c r="AW2905" s="79"/>
      <c r="AX2905" s="79"/>
      <c r="AZ2905" s="81"/>
      <c r="BB2905" s="5"/>
      <c r="BC2905" s="5"/>
      <c r="BD2905" s="5"/>
      <c r="BE2905" s="5"/>
      <c r="BF2905" s="5"/>
      <c r="BG2905" s="5"/>
      <c r="BH2905" s="5"/>
      <c r="BI2905" s="5"/>
      <c r="BJ2905" s="5"/>
      <c r="BK2905" s="5"/>
      <c r="BL2905" s="5"/>
      <c r="BM2905" s="5"/>
      <c r="BN2905" s="5"/>
      <c r="BO2905" s="5"/>
      <c r="BP2905" s="5"/>
    </row>
    <row r="2906" spans="35:68" x14ac:dyDescent="0.25">
      <c r="AI2906" s="49"/>
      <c r="AJ2906" s="78"/>
      <c r="AK2906" s="79"/>
      <c r="AL2906" s="79"/>
      <c r="AM2906" s="79"/>
      <c r="AN2906" s="79"/>
      <c r="AO2906" s="79"/>
      <c r="AP2906" s="79"/>
      <c r="AQ2906" s="79"/>
      <c r="AR2906" s="78"/>
      <c r="AS2906" s="78"/>
      <c r="AT2906" s="79"/>
      <c r="AU2906" s="79"/>
      <c r="AV2906" s="79"/>
      <c r="AW2906" s="79"/>
      <c r="AX2906" s="79"/>
      <c r="AZ2906" s="81"/>
      <c r="BB2906" s="5"/>
      <c r="BC2906" s="5"/>
      <c r="BD2906" s="5"/>
      <c r="BE2906" s="5"/>
      <c r="BF2906" s="5"/>
      <c r="BG2906" s="5"/>
      <c r="BH2906" s="5"/>
      <c r="BI2906" s="5"/>
      <c r="BJ2906" s="5"/>
      <c r="BK2906" s="5"/>
      <c r="BL2906" s="5"/>
      <c r="BM2906" s="5"/>
      <c r="BN2906" s="5"/>
      <c r="BO2906" s="5"/>
      <c r="BP2906" s="5"/>
    </row>
    <row r="2907" spans="35:68" x14ac:dyDescent="0.25">
      <c r="AI2907" s="49"/>
      <c r="AJ2907" s="78"/>
      <c r="AK2907" s="79"/>
      <c r="AL2907" s="79"/>
      <c r="AM2907" s="79"/>
      <c r="AN2907" s="79"/>
      <c r="AO2907" s="79"/>
      <c r="AP2907" s="79"/>
      <c r="AQ2907" s="79"/>
      <c r="AR2907" s="78"/>
      <c r="AS2907" s="78"/>
      <c r="AT2907" s="79"/>
      <c r="AU2907" s="79"/>
      <c r="AV2907" s="79"/>
      <c r="AW2907" s="79"/>
      <c r="AX2907" s="79"/>
      <c r="AZ2907" s="81"/>
      <c r="BB2907" s="5"/>
      <c r="BC2907" s="5"/>
      <c r="BD2907" s="5"/>
      <c r="BE2907" s="5"/>
      <c r="BF2907" s="5"/>
      <c r="BG2907" s="5"/>
      <c r="BH2907" s="5"/>
      <c r="BI2907" s="5"/>
      <c r="BJ2907" s="5"/>
      <c r="BK2907" s="5"/>
      <c r="BL2907" s="5"/>
      <c r="BM2907" s="5"/>
      <c r="BN2907" s="5"/>
      <c r="BO2907" s="5"/>
      <c r="BP2907" s="5"/>
    </row>
    <row r="2908" spans="35:68" x14ac:dyDescent="0.25">
      <c r="AI2908" s="49"/>
      <c r="AJ2908" s="78"/>
      <c r="AK2908" s="79"/>
      <c r="AL2908" s="79"/>
      <c r="AM2908" s="79"/>
      <c r="AN2908" s="79"/>
      <c r="AO2908" s="79"/>
      <c r="AP2908" s="79"/>
      <c r="AQ2908" s="79"/>
      <c r="AR2908" s="78"/>
      <c r="AS2908" s="78"/>
      <c r="AT2908" s="79"/>
      <c r="AU2908" s="79"/>
      <c r="AV2908" s="79"/>
      <c r="AW2908" s="79"/>
      <c r="AX2908" s="79"/>
      <c r="AZ2908" s="81"/>
      <c r="BB2908" s="5"/>
      <c r="BC2908" s="5"/>
      <c r="BD2908" s="5"/>
      <c r="BE2908" s="5"/>
      <c r="BF2908" s="5"/>
      <c r="BG2908" s="5"/>
      <c r="BH2908" s="5"/>
      <c r="BI2908" s="5"/>
      <c r="BJ2908" s="5"/>
      <c r="BK2908" s="5"/>
      <c r="BL2908" s="5"/>
      <c r="BM2908" s="5"/>
      <c r="BN2908" s="5"/>
      <c r="BO2908" s="5"/>
      <c r="BP2908" s="5"/>
    </row>
    <row r="2909" spans="35:68" x14ac:dyDescent="0.25">
      <c r="AI2909" s="49"/>
      <c r="AJ2909" s="78"/>
      <c r="AK2909" s="79"/>
      <c r="AL2909" s="79"/>
      <c r="AM2909" s="79"/>
      <c r="AN2909" s="79"/>
      <c r="AO2909" s="79"/>
      <c r="AP2909" s="79"/>
      <c r="AQ2909" s="79"/>
      <c r="AR2909" s="78"/>
      <c r="AS2909" s="78"/>
      <c r="AT2909" s="79"/>
      <c r="AU2909" s="79"/>
      <c r="AV2909" s="79"/>
      <c r="AW2909" s="79"/>
      <c r="AX2909" s="79"/>
      <c r="AZ2909" s="81"/>
      <c r="BB2909" s="5"/>
      <c r="BC2909" s="5"/>
      <c r="BD2909" s="5"/>
      <c r="BE2909" s="5"/>
      <c r="BF2909" s="5"/>
      <c r="BG2909" s="5"/>
      <c r="BH2909" s="5"/>
      <c r="BI2909" s="5"/>
      <c r="BJ2909" s="5"/>
      <c r="BK2909" s="5"/>
      <c r="BL2909" s="5"/>
      <c r="BM2909" s="5"/>
      <c r="BN2909" s="5"/>
      <c r="BO2909" s="5"/>
      <c r="BP2909" s="5"/>
    </row>
    <row r="2910" spans="35:68" x14ac:dyDescent="0.25">
      <c r="AI2910" s="49"/>
      <c r="AJ2910" s="78"/>
      <c r="AK2910" s="79"/>
      <c r="AL2910" s="79"/>
      <c r="AM2910" s="79"/>
      <c r="AN2910" s="79"/>
      <c r="AO2910" s="79"/>
      <c r="AP2910" s="79"/>
      <c r="AQ2910" s="79"/>
      <c r="AR2910" s="78"/>
      <c r="AS2910" s="78"/>
      <c r="AT2910" s="79"/>
      <c r="AU2910" s="79"/>
      <c r="AV2910" s="79"/>
      <c r="AW2910" s="79"/>
      <c r="AX2910" s="79"/>
      <c r="AZ2910" s="81"/>
      <c r="BB2910" s="5"/>
      <c r="BC2910" s="5"/>
      <c r="BD2910" s="5"/>
      <c r="BE2910" s="5"/>
      <c r="BF2910" s="5"/>
      <c r="BG2910" s="5"/>
      <c r="BH2910" s="5"/>
      <c r="BI2910" s="5"/>
      <c r="BJ2910" s="5"/>
      <c r="BK2910" s="5"/>
      <c r="BL2910" s="5"/>
      <c r="BM2910" s="5"/>
      <c r="BN2910" s="5"/>
      <c r="BO2910" s="5"/>
      <c r="BP2910" s="5"/>
    </row>
    <row r="2911" spans="35:68" x14ac:dyDescent="0.25">
      <c r="AI2911" s="49"/>
      <c r="AJ2911" s="78"/>
      <c r="AK2911" s="79"/>
      <c r="AL2911" s="79"/>
      <c r="AM2911" s="79"/>
      <c r="AN2911" s="79"/>
      <c r="AO2911" s="79"/>
      <c r="AP2911" s="79"/>
      <c r="AQ2911" s="79"/>
      <c r="AR2911" s="78"/>
      <c r="AS2911" s="78"/>
      <c r="AT2911" s="79"/>
      <c r="AU2911" s="79"/>
      <c r="AV2911" s="79"/>
      <c r="AW2911" s="79"/>
      <c r="AX2911" s="79"/>
      <c r="AZ2911" s="81"/>
      <c r="BB2911" s="5"/>
      <c r="BC2911" s="5"/>
      <c r="BD2911" s="5"/>
      <c r="BE2911" s="5"/>
      <c r="BF2911" s="5"/>
      <c r="BG2911" s="5"/>
      <c r="BH2911" s="5"/>
      <c r="BI2911" s="5"/>
      <c r="BJ2911" s="5"/>
      <c r="BK2911" s="5"/>
      <c r="BL2911" s="5"/>
      <c r="BM2911" s="5"/>
      <c r="BN2911" s="5"/>
      <c r="BO2911" s="5"/>
      <c r="BP2911" s="5"/>
    </row>
    <row r="2912" spans="35:68" x14ac:dyDescent="0.25">
      <c r="AI2912" s="49"/>
      <c r="AJ2912" s="78"/>
      <c r="AK2912" s="79"/>
      <c r="AL2912" s="79"/>
      <c r="AM2912" s="79"/>
      <c r="AN2912" s="79"/>
      <c r="AO2912" s="79"/>
      <c r="AP2912" s="79"/>
      <c r="AQ2912" s="79"/>
      <c r="AR2912" s="78"/>
      <c r="AS2912" s="78"/>
      <c r="AT2912" s="79"/>
      <c r="AU2912" s="79"/>
      <c r="AV2912" s="79"/>
      <c r="AW2912" s="79"/>
      <c r="AX2912" s="79"/>
      <c r="AZ2912" s="81"/>
      <c r="BB2912" s="5"/>
      <c r="BC2912" s="5"/>
      <c r="BD2912" s="5"/>
      <c r="BE2912" s="5"/>
      <c r="BF2912" s="5"/>
      <c r="BG2912" s="5"/>
      <c r="BH2912" s="5"/>
      <c r="BI2912" s="5"/>
      <c r="BJ2912" s="5"/>
      <c r="BK2912" s="5"/>
      <c r="BL2912" s="5"/>
      <c r="BM2912" s="5"/>
      <c r="BN2912" s="5"/>
      <c r="BO2912" s="5"/>
      <c r="BP2912" s="5"/>
    </row>
    <row r="2913" spans="35:68" x14ac:dyDescent="0.25">
      <c r="AI2913" s="49"/>
      <c r="AJ2913" s="78"/>
      <c r="AK2913" s="79"/>
      <c r="AL2913" s="79"/>
      <c r="AM2913" s="79"/>
      <c r="AN2913" s="79"/>
      <c r="AO2913" s="79"/>
      <c r="AP2913" s="79"/>
      <c r="AQ2913" s="79"/>
      <c r="AR2913" s="78"/>
      <c r="AS2913" s="78"/>
      <c r="AT2913" s="79"/>
      <c r="AU2913" s="79"/>
      <c r="AV2913" s="79"/>
      <c r="AW2913" s="79"/>
      <c r="AX2913" s="79"/>
      <c r="AZ2913" s="81"/>
      <c r="BB2913" s="5"/>
      <c r="BC2913" s="5"/>
      <c r="BD2913" s="5"/>
      <c r="BE2913" s="5"/>
      <c r="BF2913" s="5"/>
      <c r="BG2913" s="5"/>
      <c r="BH2913" s="5"/>
      <c r="BI2913" s="5"/>
      <c r="BJ2913" s="5"/>
      <c r="BK2913" s="5"/>
      <c r="BL2913" s="5"/>
      <c r="BM2913" s="5"/>
      <c r="BN2913" s="5"/>
      <c r="BO2913" s="5"/>
      <c r="BP2913" s="5"/>
    </row>
    <row r="2914" spans="35:68" x14ac:dyDescent="0.25">
      <c r="AI2914" s="49"/>
      <c r="AJ2914" s="78"/>
      <c r="AK2914" s="79"/>
      <c r="AL2914" s="79"/>
      <c r="AM2914" s="79"/>
      <c r="AN2914" s="79"/>
      <c r="AO2914" s="79"/>
      <c r="AP2914" s="79"/>
      <c r="AQ2914" s="79"/>
      <c r="AR2914" s="78"/>
      <c r="AS2914" s="78"/>
      <c r="AT2914" s="79"/>
      <c r="AU2914" s="79"/>
      <c r="AV2914" s="79"/>
      <c r="AW2914" s="79"/>
      <c r="AX2914" s="79"/>
      <c r="AZ2914" s="81"/>
      <c r="BB2914" s="5"/>
      <c r="BC2914" s="5"/>
      <c r="BD2914" s="5"/>
      <c r="BE2914" s="5"/>
      <c r="BF2914" s="5"/>
      <c r="BG2914" s="5"/>
      <c r="BH2914" s="5"/>
      <c r="BI2914" s="5"/>
      <c r="BJ2914" s="5"/>
      <c r="BK2914" s="5"/>
      <c r="BL2914" s="5"/>
      <c r="BM2914" s="5"/>
      <c r="BN2914" s="5"/>
      <c r="BO2914" s="5"/>
      <c r="BP2914" s="5"/>
    </row>
    <row r="2915" spans="35:68" x14ac:dyDescent="0.25">
      <c r="AI2915" s="49"/>
      <c r="AJ2915" s="78"/>
      <c r="AK2915" s="79"/>
      <c r="AL2915" s="79"/>
      <c r="AM2915" s="79"/>
      <c r="AN2915" s="79"/>
      <c r="AO2915" s="79"/>
      <c r="AP2915" s="79"/>
      <c r="AQ2915" s="79"/>
      <c r="AR2915" s="78"/>
      <c r="AS2915" s="78"/>
      <c r="AT2915" s="79"/>
      <c r="AU2915" s="79"/>
      <c r="AV2915" s="79"/>
      <c r="AW2915" s="79"/>
      <c r="AX2915" s="79"/>
      <c r="AZ2915" s="81"/>
      <c r="BB2915" s="5"/>
      <c r="BC2915" s="5"/>
      <c r="BD2915" s="5"/>
      <c r="BE2915" s="5"/>
      <c r="BF2915" s="5"/>
      <c r="BG2915" s="5"/>
      <c r="BH2915" s="5"/>
      <c r="BI2915" s="5"/>
      <c r="BJ2915" s="5"/>
      <c r="BK2915" s="5"/>
      <c r="BL2915" s="5"/>
      <c r="BM2915" s="5"/>
      <c r="BN2915" s="5"/>
      <c r="BO2915" s="5"/>
      <c r="BP2915" s="5"/>
    </row>
    <row r="2916" spans="35:68" x14ac:dyDescent="0.25">
      <c r="AI2916" s="49"/>
      <c r="AJ2916" s="78"/>
      <c r="AK2916" s="79"/>
      <c r="AL2916" s="79"/>
      <c r="AM2916" s="79"/>
      <c r="AN2916" s="79"/>
      <c r="AO2916" s="79"/>
      <c r="AP2916" s="79"/>
      <c r="AQ2916" s="79"/>
      <c r="AR2916" s="78"/>
      <c r="AS2916" s="78"/>
      <c r="AT2916" s="79"/>
      <c r="AU2916" s="79"/>
      <c r="AV2916" s="79"/>
      <c r="AW2916" s="79"/>
      <c r="AX2916" s="79"/>
      <c r="AZ2916" s="81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</row>
    <row r="2917" spans="35:68" x14ac:dyDescent="0.25">
      <c r="AI2917" s="49"/>
      <c r="AJ2917" s="78"/>
      <c r="AK2917" s="79"/>
      <c r="AL2917" s="79"/>
      <c r="AM2917" s="79"/>
      <c r="AN2917" s="79"/>
      <c r="AO2917" s="79"/>
      <c r="AP2917" s="79"/>
      <c r="AQ2917" s="79"/>
      <c r="AR2917" s="78"/>
      <c r="AS2917" s="78"/>
      <c r="AT2917" s="79"/>
      <c r="AU2917" s="79"/>
      <c r="AV2917" s="79"/>
      <c r="AW2917" s="79"/>
      <c r="AX2917" s="79"/>
      <c r="AZ2917" s="81"/>
      <c r="BB2917" s="5"/>
      <c r="BC2917" s="5"/>
      <c r="BD2917" s="5"/>
      <c r="BE2917" s="5"/>
      <c r="BF2917" s="5"/>
      <c r="BG2917" s="5"/>
      <c r="BH2917" s="5"/>
      <c r="BI2917" s="5"/>
      <c r="BJ2917" s="5"/>
      <c r="BK2917" s="5"/>
      <c r="BL2917" s="5"/>
      <c r="BM2917" s="5"/>
      <c r="BN2917" s="5"/>
      <c r="BO2917" s="5"/>
      <c r="BP2917" s="5"/>
    </row>
    <row r="2918" spans="35:68" x14ac:dyDescent="0.25">
      <c r="AI2918" s="49"/>
      <c r="AJ2918" s="78"/>
      <c r="AK2918" s="79"/>
      <c r="AL2918" s="79"/>
      <c r="AM2918" s="79"/>
      <c r="AN2918" s="79"/>
      <c r="AO2918" s="79"/>
      <c r="AP2918" s="79"/>
      <c r="AQ2918" s="79"/>
      <c r="AR2918" s="78"/>
      <c r="AS2918" s="78"/>
      <c r="AT2918" s="79"/>
      <c r="AU2918" s="79"/>
      <c r="AV2918" s="79"/>
      <c r="AW2918" s="79"/>
      <c r="AX2918" s="79"/>
      <c r="AZ2918" s="81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</row>
    <row r="2919" spans="35:68" x14ac:dyDescent="0.25">
      <c r="AI2919" s="49"/>
      <c r="AJ2919" s="78"/>
      <c r="AK2919" s="79"/>
      <c r="AL2919" s="79"/>
      <c r="AM2919" s="79"/>
      <c r="AN2919" s="79"/>
      <c r="AO2919" s="79"/>
      <c r="AP2919" s="79"/>
      <c r="AQ2919" s="79"/>
      <c r="AR2919" s="78"/>
      <c r="AS2919" s="78"/>
      <c r="AT2919" s="79"/>
      <c r="AU2919" s="79"/>
      <c r="AV2919" s="79"/>
      <c r="AW2919" s="79"/>
      <c r="AX2919" s="79"/>
      <c r="AZ2919" s="81"/>
      <c r="BB2919" s="5"/>
      <c r="BC2919" s="5"/>
      <c r="BD2919" s="5"/>
      <c r="BE2919" s="5"/>
      <c r="BF2919" s="5"/>
      <c r="BG2919" s="5"/>
      <c r="BH2919" s="5"/>
      <c r="BI2919" s="5"/>
      <c r="BJ2919" s="5"/>
      <c r="BK2919" s="5"/>
      <c r="BL2919" s="5"/>
      <c r="BM2919" s="5"/>
      <c r="BN2919" s="5"/>
      <c r="BO2919" s="5"/>
      <c r="BP2919" s="5"/>
    </row>
    <row r="2920" spans="35:68" x14ac:dyDescent="0.25">
      <c r="AI2920" s="49"/>
      <c r="AJ2920" s="78"/>
      <c r="AK2920" s="79"/>
      <c r="AL2920" s="79"/>
      <c r="AM2920" s="79"/>
      <c r="AN2920" s="79"/>
      <c r="AO2920" s="79"/>
      <c r="AP2920" s="79"/>
      <c r="AQ2920" s="79"/>
      <c r="AR2920" s="78"/>
      <c r="AS2920" s="78"/>
      <c r="AT2920" s="79"/>
      <c r="AU2920" s="79"/>
      <c r="AV2920" s="79"/>
      <c r="AW2920" s="79"/>
      <c r="AX2920" s="79"/>
      <c r="AZ2920" s="81"/>
      <c r="BB2920" s="5"/>
      <c r="BC2920" s="5"/>
      <c r="BD2920" s="5"/>
      <c r="BE2920" s="5"/>
      <c r="BF2920" s="5"/>
      <c r="BG2920" s="5"/>
      <c r="BH2920" s="5"/>
      <c r="BI2920" s="5"/>
      <c r="BJ2920" s="5"/>
      <c r="BK2920" s="5"/>
      <c r="BL2920" s="5"/>
      <c r="BM2920" s="5"/>
      <c r="BN2920" s="5"/>
      <c r="BO2920" s="5"/>
      <c r="BP2920" s="5"/>
    </row>
    <row r="2921" spans="35:68" x14ac:dyDescent="0.25">
      <c r="AI2921" s="49"/>
      <c r="AJ2921" s="78"/>
      <c r="AK2921" s="79"/>
      <c r="AL2921" s="79"/>
      <c r="AM2921" s="79"/>
      <c r="AN2921" s="79"/>
      <c r="AO2921" s="79"/>
      <c r="AP2921" s="79"/>
      <c r="AQ2921" s="79"/>
      <c r="AR2921" s="78"/>
      <c r="AS2921" s="78"/>
      <c r="AT2921" s="79"/>
      <c r="AU2921" s="79"/>
      <c r="AV2921" s="79"/>
      <c r="AW2921" s="79"/>
      <c r="AX2921" s="79"/>
      <c r="AZ2921" s="81"/>
      <c r="BB2921" s="5"/>
      <c r="BC2921" s="5"/>
      <c r="BD2921" s="5"/>
      <c r="BE2921" s="5"/>
      <c r="BF2921" s="5"/>
      <c r="BG2921" s="5"/>
      <c r="BH2921" s="5"/>
      <c r="BI2921" s="5"/>
      <c r="BJ2921" s="5"/>
      <c r="BK2921" s="5"/>
      <c r="BL2921" s="5"/>
      <c r="BM2921" s="5"/>
      <c r="BN2921" s="5"/>
      <c r="BO2921" s="5"/>
      <c r="BP2921" s="5"/>
    </row>
    <row r="2922" spans="35:68" x14ac:dyDescent="0.25">
      <c r="AI2922" s="49"/>
      <c r="AJ2922" s="78"/>
      <c r="AK2922" s="79"/>
      <c r="AL2922" s="79"/>
      <c r="AM2922" s="79"/>
      <c r="AN2922" s="79"/>
      <c r="AO2922" s="79"/>
      <c r="AP2922" s="79"/>
      <c r="AQ2922" s="79"/>
      <c r="AR2922" s="78"/>
      <c r="AS2922" s="78"/>
      <c r="AT2922" s="79"/>
      <c r="AU2922" s="79"/>
      <c r="AV2922" s="79"/>
      <c r="AW2922" s="79"/>
      <c r="AX2922" s="79"/>
      <c r="AZ2922" s="81"/>
      <c r="BB2922" s="5"/>
      <c r="BC2922" s="5"/>
      <c r="BD2922" s="5"/>
      <c r="BE2922" s="5"/>
      <c r="BF2922" s="5"/>
      <c r="BG2922" s="5"/>
      <c r="BH2922" s="5"/>
      <c r="BI2922" s="5"/>
      <c r="BJ2922" s="5"/>
      <c r="BK2922" s="5"/>
      <c r="BL2922" s="5"/>
      <c r="BM2922" s="5"/>
      <c r="BN2922" s="5"/>
      <c r="BO2922" s="5"/>
      <c r="BP2922" s="5"/>
    </row>
    <row r="2923" spans="35:68" x14ac:dyDescent="0.25">
      <c r="AI2923" s="49"/>
      <c r="AJ2923" s="78"/>
      <c r="AK2923" s="79"/>
      <c r="AL2923" s="79"/>
      <c r="AM2923" s="79"/>
      <c r="AN2923" s="79"/>
      <c r="AO2923" s="79"/>
      <c r="AP2923" s="79"/>
      <c r="AQ2923" s="79"/>
      <c r="AR2923" s="78"/>
      <c r="AS2923" s="78"/>
      <c r="AT2923" s="79"/>
      <c r="AU2923" s="79"/>
      <c r="AV2923" s="79"/>
      <c r="AW2923" s="79"/>
      <c r="AX2923" s="79"/>
      <c r="AZ2923" s="81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</row>
    <row r="2924" spans="35:68" x14ac:dyDescent="0.25">
      <c r="AI2924" s="49"/>
      <c r="AJ2924" s="78"/>
      <c r="AK2924" s="79"/>
      <c r="AL2924" s="79"/>
      <c r="AM2924" s="79"/>
      <c r="AN2924" s="79"/>
      <c r="AO2924" s="79"/>
      <c r="AP2924" s="79"/>
      <c r="AQ2924" s="79"/>
      <c r="AR2924" s="78"/>
      <c r="AS2924" s="78"/>
      <c r="AT2924" s="79"/>
      <c r="AU2924" s="79"/>
      <c r="AV2924" s="79"/>
      <c r="AW2924" s="79"/>
      <c r="AX2924" s="79"/>
      <c r="AZ2924" s="81"/>
      <c r="BB2924" s="5"/>
      <c r="BC2924" s="5"/>
      <c r="BD2924" s="5"/>
      <c r="BE2924" s="5"/>
      <c r="BF2924" s="5"/>
      <c r="BG2924" s="5"/>
      <c r="BH2924" s="5"/>
      <c r="BI2924" s="5"/>
      <c r="BJ2924" s="5"/>
      <c r="BK2924" s="5"/>
      <c r="BL2924" s="5"/>
      <c r="BM2924" s="5"/>
      <c r="BN2924" s="5"/>
      <c r="BO2924" s="5"/>
      <c r="BP2924" s="5"/>
    </row>
    <row r="2925" spans="35:68" x14ac:dyDescent="0.25">
      <c r="AI2925" s="49"/>
      <c r="AJ2925" s="78"/>
      <c r="AK2925" s="79"/>
      <c r="AL2925" s="79"/>
      <c r="AM2925" s="79"/>
      <c r="AN2925" s="79"/>
      <c r="AO2925" s="79"/>
      <c r="AP2925" s="79"/>
      <c r="AQ2925" s="79"/>
      <c r="AR2925" s="78"/>
      <c r="AS2925" s="78"/>
      <c r="AT2925" s="79"/>
      <c r="AU2925" s="79"/>
      <c r="AV2925" s="79"/>
      <c r="AW2925" s="79"/>
      <c r="AX2925" s="79"/>
      <c r="AZ2925" s="81"/>
      <c r="BB2925" s="5"/>
      <c r="BC2925" s="5"/>
      <c r="BD2925" s="5"/>
      <c r="BE2925" s="5"/>
      <c r="BF2925" s="5"/>
      <c r="BG2925" s="5"/>
      <c r="BH2925" s="5"/>
      <c r="BI2925" s="5"/>
      <c r="BJ2925" s="5"/>
      <c r="BK2925" s="5"/>
      <c r="BL2925" s="5"/>
      <c r="BM2925" s="5"/>
      <c r="BN2925" s="5"/>
      <c r="BO2925" s="5"/>
      <c r="BP2925" s="5"/>
    </row>
    <row r="2926" spans="35:68" x14ac:dyDescent="0.25">
      <c r="AI2926" s="49"/>
      <c r="AJ2926" s="78"/>
      <c r="AK2926" s="79"/>
      <c r="AL2926" s="79"/>
      <c r="AM2926" s="79"/>
      <c r="AN2926" s="79"/>
      <c r="AO2926" s="79"/>
      <c r="AP2926" s="79"/>
      <c r="AQ2926" s="79"/>
      <c r="AR2926" s="78"/>
      <c r="AS2926" s="78"/>
      <c r="AT2926" s="79"/>
      <c r="AU2926" s="79"/>
      <c r="AV2926" s="79"/>
      <c r="AW2926" s="79"/>
      <c r="AX2926" s="79"/>
      <c r="AZ2926" s="81"/>
      <c r="BB2926" s="5"/>
      <c r="BC2926" s="5"/>
      <c r="BD2926" s="5"/>
      <c r="BE2926" s="5"/>
      <c r="BF2926" s="5"/>
      <c r="BG2926" s="5"/>
      <c r="BH2926" s="5"/>
      <c r="BI2926" s="5"/>
      <c r="BJ2926" s="5"/>
      <c r="BK2926" s="5"/>
      <c r="BL2926" s="5"/>
      <c r="BM2926" s="5"/>
      <c r="BN2926" s="5"/>
      <c r="BO2926" s="5"/>
      <c r="BP2926" s="5"/>
    </row>
    <row r="2927" spans="35:68" x14ac:dyDescent="0.25">
      <c r="AI2927" s="49"/>
      <c r="AJ2927" s="78"/>
      <c r="AK2927" s="79"/>
      <c r="AL2927" s="79"/>
      <c r="AM2927" s="79"/>
      <c r="AN2927" s="79"/>
      <c r="AO2927" s="79"/>
      <c r="AP2927" s="79"/>
      <c r="AQ2927" s="79"/>
      <c r="AR2927" s="78"/>
      <c r="AS2927" s="78"/>
      <c r="AT2927" s="79"/>
      <c r="AU2927" s="79"/>
      <c r="AV2927" s="79"/>
      <c r="AW2927" s="79"/>
      <c r="AX2927" s="79"/>
      <c r="AZ2927" s="81"/>
      <c r="BB2927" s="5"/>
      <c r="BC2927" s="5"/>
      <c r="BD2927" s="5"/>
      <c r="BE2927" s="5"/>
      <c r="BF2927" s="5"/>
      <c r="BG2927" s="5"/>
      <c r="BH2927" s="5"/>
      <c r="BI2927" s="5"/>
      <c r="BJ2927" s="5"/>
      <c r="BK2927" s="5"/>
      <c r="BL2927" s="5"/>
      <c r="BM2927" s="5"/>
      <c r="BN2927" s="5"/>
      <c r="BO2927" s="5"/>
      <c r="BP2927" s="5"/>
    </row>
    <row r="2928" spans="35:68" x14ac:dyDescent="0.25">
      <c r="AI2928" s="49"/>
      <c r="AJ2928" s="78"/>
      <c r="AK2928" s="79"/>
      <c r="AL2928" s="79"/>
      <c r="AM2928" s="79"/>
      <c r="AN2928" s="79"/>
      <c r="AO2928" s="79"/>
      <c r="AP2928" s="79"/>
      <c r="AQ2928" s="79"/>
      <c r="AR2928" s="78"/>
      <c r="AS2928" s="78"/>
      <c r="AT2928" s="79"/>
      <c r="AU2928" s="79"/>
      <c r="AV2928" s="79"/>
      <c r="AW2928" s="79"/>
      <c r="AX2928" s="79"/>
      <c r="AZ2928" s="81"/>
      <c r="BB2928" s="5"/>
      <c r="BC2928" s="5"/>
      <c r="BD2928" s="5"/>
      <c r="BE2928" s="5"/>
      <c r="BF2928" s="5"/>
      <c r="BG2928" s="5"/>
      <c r="BH2928" s="5"/>
      <c r="BI2928" s="5"/>
      <c r="BJ2928" s="5"/>
      <c r="BK2928" s="5"/>
      <c r="BL2928" s="5"/>
      <c r="BM2928" s="5"/>
      <c r="BN2928" s="5"/>
      <c r="BO2928" s="5"/>
      <c r="BP2928" s="5"/>
    </row>
    <row r="2929" spans="35:68" x14ac:dyDescent="0.25">
      <c r="AI2929" s="49"/>
      <c r="AJ2929" s="78"/>
      <c r="AK2929" s="79"/>
      <c r="AL2929" s="79"/>
      <c r="AM2929" s="79"/>
      <c r="AN2929" s="79"/>
      <c r="AO2929" s="79"/>
      <c r="AP2929" s="79"/>
      <c r="AQ2929" s="79"/>
      <c r="AR2929" s="78"/>
      <c r="AS2929" s="78"/>
      <c r="AT2929" s="79"/>
      <c r="AU2929" s="79"/>
      <c r="AV2929" s="79"/>
      <c r="AW2929" s="79"/>
      <c r="AX2929" s="79"/>
      <c r="AZ2929" s="81"/>
      <c r="BB2929" s="5"/>
      <c r="BC2929" s="5"/>
      <c r="BD2929" s="5"/>
      <c r="BE2929" s="5"/>
      <c r="BF2929" s="5"/>
      <c r="BG2929" s="5"/>
      <c r="BH2929" s="5"/>
      <c r="BI2929" s="5"/>
      <c r="BJ2929" s="5"/>
      <c r="BK2929" s="5"/>
      <c r="BL2929" s="5"/>
      <c r="BM2929" s="5"/>
      <c r="BN2929" s="5"/>
      <c r="BO2929" s="5"/>
      <c r="BP2929" s="5"/>
    </row>
    <row r="2930" spans="35:68" x14ac:dyDescent="0.25">
      <c r="AI2930" s="49"/>
      <c r="AJ2930" s="78"/>
      <c r="AK2930" s="79"/>
      <c r="AL2930" s="79"/>
      <c r="AM2930" s="79"/>
      <c r="AN2930" s="79"/>
      <c r="AO2930" s="79"/>
      <c r="AP2930" s="79"/>
      <c r="AQ2930" s="79"/>
      <c r="AR2930" s="78"/>
      <c r="AS2930" s="78"/>
      <c r="AT2930" s="79"/>
      <c r="AU2930" s="79"/>
      <c r="AV2930" s="79"/>
      <c r="AW2930" s="79"/>
      <c r="AX2930" s="79"/>
      <c r="AZ2930" s="81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</row>
    <row r="2931" spans="35:68" x14ac:dyDescent="0.25">
      <c r="AI2931" s="49"/>
      <c r="AJ2931" s="78"/>
      <c r="AK2931" s="79"/>
      <c r="AL2931" s="79"/>
      <c r="AM2931" s="79"/>
      <c r="AN2931" s="79"/>
      <c r="AO2931" s="79"/>
      <c r="AP2931" s="79"/>
      <c r="AQ2931" s="79"/>
      <c r="AR2931" s="78"/>
      <c r="AS2931" s="78"/>
      <c r="AT2931" s="79"/>
      <c r="AU2931" s="79"/>
      <c r="AV2931" s="79"/>
      <c r="AW2931" s="79"/>
      <c r="AX2931" s="79"/>
      <c r="AZ2931" s="81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/>
      <c r="BN2931" s="5"/>
      <c r="BO2931" s="5"/>
      <c r="BP2931" s="5"/>
    </row>
    <row r="2932" spans="35:68" x14ac:dyDescent="0.25">
      <c r="AI2932" s="49"/>
      <c r="AJ2932" s="78"/>
      <c r="AK2932" s="79"/>
      <c r="AL2932" s="79"/>
      <c r="AM2932" s="79"/>
      <c r="AN2932" s="79"/>
      <c r="AO2932" s="79"/>
      <c r="AP2932" s="79"/>
      <c r="AQ2932" s="79"/>
      <c r="AR2932" s="78"/>
      <c r="AS2932" s="78"/>
      <c r="AT2932" s="79"/>
      <c r="AU2932" s="79"/>
      <c r="AV2932" s="79"/>
      <c r="AW2932" s="79"/>
      <c r="AX2932" s="79"/>
      <c r="AZ2932" s="81"/>
      <c r="BB2932" s="5"/>
      <c r="BC2932" s="5"/>
      <c r="BD2932" s="5"/>
      <c r="BE2932" s="5"/>
      <c r="BF2932" s="5"/>
      <c r="BG2932" s="5"/>
      <c r="BH2932" s="5"/>
      <c r="BI2932" s="5"/>
      <c r="BJ2932" s="5"/>
      <c r="BK2932" s="5"/>
      <c r="BL2932" s="5"/>
      <c r="BM2932" s="5"/>
      <c r="BN2932" s="5"/>
      <c r="BO2932" s="5"/>
      <c r="BP2932" s="5"/>
    </row>
    <row r="2933" spans="35:68" x14ac:dyDescent="0.25">
      <c r="AI2933" s="49"/>
      <c r="AJ2933" s="78"/>
      <c r="AK2933" s="79"/>
      <c r="AL2933" s="79"/>
      <c r="AM2933" s="79"/>
      <c r="AN2933" s="79"/>
      <c r="AO2933" s="79"/>
      <c r="AP2933" s="79"/>
      <c r="AQ2933" s="79"/>
      <c r="AR2933" s="78"/>
      <c r="AS2933" s="78"/>
      <c r="AT2933" s="79"/>
      <c r="AU2933" s="79"/>
      <c r="AV2933" s="79"/>
      <c r="AW2933" s="79"/>
      <c r="AX2933" s="79"/>
      <c r="AZ2933" s="81"/>
      <c r="BB2933" s="5"/>
      <c r="BC2933" s="5"/>
      <c r="BD2933" s="5"/>
      <c r="BE2933" s="5"/>
      <c r="BF2933" s="5"/>
      <c r="BG2933" s="5"/>
      <c r="BH2933" s="5"/>
      <c r="BI2933" s="5"/>
      <c r="BJ2933" s="5"/>
      <c r="BK2933" s="5"/>
      <c r="BL2933" s="5"/>
      <c r="BM2933" s="5"/>
      <c r="BN2933" s="5"/>
      <c r="BO2933" s="5"/>
      <c r="BP2933" s="5"/>
    </row>
    <row r="2934" spans="35:68" x14ac:dyDescent="0.25">
      <c r="AI2934" s="49"/>
      <c r="AJ2934" s="78"/>
      <c r="AK2934" s="79"/>
      <c r="AL2934" s="79"/>
      <c r="AM2934" s="79"/>
      <c r="AN2934" s="79"/>
      <c r="AO2934" s="79"/>
      <c r="AP2934" s="79"/>
      <c r="AQ2934" s="79"/>
      <c r="AR2934" s="78"/>
      <c r="AS2934" s="78"/>
      <c r="AT2934" s="79"/>
      <c r="AU2934" s="79"/>
      <c r="AV2934" s="79"/>
      <c r="AW2934" s="79"/>
      <c r="AX2934" s="79"/>
      <c r="AZ2934" s="81"/>
      <c r="BB2934" s="5"/>
      <c r="BC2934" s="5"/>
      <c r="BD2934" s="5"/>
      <c r="BE2934" s="5"/>
      <c r="BF2934" s="5"/>
      <c r="BG2934" s="5"/>
      <c r="BH2934" s="5"/>
      <c r="BI2934" s="5"/>
      <c r="BJ2934" s="5"/>
      <c r="BK2934" s="5"/>
      <c r="BL2934" s="5"/>
      <c r="BM2934" s="5"/>
      <c r="BN2934" s="5"/>
      <c r="BO2934" s="5"/>
      <c r="BP2934" s="5"/>
    </row>
    <row r="2935" spans="35:68" x14ac:dyDescent="0.25">
      <c r="AI2935" s="49"/>
      <c r="AJ2935" s="78"/>
      <c r="AK2935" s="79"/>
      <c r="AL2935" s="79"/>
      <c r="AM2935" s="79"/>
      <c r="AN2935" s="79"/>
      <c r="AO2935" s="79"/>
      <c r="AP2935" s="79"/>
      <c r="AQ2935" s="79"/>
      <c r="AR2935" s="78"/>
      <c r="AS2935" s="78"/>
      <c r="AT2935" s="79"/>
      <c r="AU2935" s="79"/>
      <c r="AV2935" s="79"/>
      <c r="AW2935" s="79"/>
      <c r="AX2935" s="79"/>
      <c r="AZ2935" s="81"/>
      <c r="BB2935" s="5"/>
      <c r="BC2935" s="5"/>
      <c r="BD2935" s="5"/>
      <c r="BE2935" s="5"/>
      <c r="BF2935" s="5"/>
      <c r="BG2935" s="5"/>
      <c r="BH2935" s="5"/>
      <c r="BI2935" s="5"/>
      <c r="BJ2935" s="5"/>
      <c r="BK2935" s="5"/>
      <c r="BL2935" s="5"/>
      <c r="BM2935" s="5"/>
      <c r="BN2935" s="5"/>
      <c r="BO2935" s="5"/>
      <c r="BP2935" s="5"/>
    </row>
    <row r="2936" spans="35:68" x14ac:dyDescent="0.25">
      <c r="AI2936" s="49"/>
      <c r="AJ2936" s="78"/>
      <c r="AK2936" s="79"/>
      <c r="AL2936" s="79"/>
      <c r="AM2936" s="79"/>
      <c r="AN2936" s="79"/>
      <c r="AO2936" s="79"/>
      <c r="AP2936" s="79"/>
      <c r="AQ2936" s="79"/>
      <c r="AR2936" s="78"/>
      <c r="AS2936" s="78"/>
      <c r="AT2936" s="79"/>
      <c r="AU2936" s="79"/>
      <c r="AV2936" s="79"/>
      <c r="AW2936" s="79"/>
      <c r="AX2936" s="79"/>
      <c r="AZ2936" s="81"/>
      <c r="BB2936" s="5"/>
      <c r="BC2936" s="5"/>
      <c r="BD2936" s="5"/>
      <c r="BE2936" s="5"/>
      <c r="BF2936" s="5"/>
      <c r="BG2936" s="5"/>
      <c r="BH2936" s="5"/>
      <c r="BI2936" s="5"/>
      <c r="BJ2936" s="5"/>
      <c r="BK2936" s="5"/>
      <c r="BL2936" s="5"/>
      <c r="BM2936" s="5"/>
      <c r="BN2936" s="5"/>
      <c r="BO2936" s="5"/>
      <c r="BP2936" s="5"/>
    </row>
    <row r="2937" spans="35:68" x14ac:dyDescent="0.25">
      <c r="AI2937" s="49"/>
      <c r="AJ2937" s="78"/>
      <c r="AK2937" s="79"/>
      <c r="AL2937" s="79"/>
      <c r="AM2937" s="79"/>
      <c r="AN2937" s="79"/>
      <c r="AO2937" s="79"/>
      <c r="AP2937" s="79"/>
      <c r="AQ2937" s="79"/>
      <c r="AR2937" s="78"/>
      <c r="AS2937" s="78"/>
      <c r="AT2937" s="79"/>
      <c r="AU2937" s="79"/>
      <c r="AV2937" s="79"/>
      <c r="AW2937" s="79"/>
      <c r="AX2937" s="79"/>
      <c r="AZ2937" s="81"/>
      <c r="BB2937" s="5"/>
      <c r="BC2937" s="5"/>
      <c r="BD2937" s="5"/>
      <c r="BE2937" s="5"/>
      <c r="BF2937" s="5"/>
      <c r="BG2937" s="5"/>
      <c r="BH2937" s="5"/>
      <c r="BI2937" s="5"/>
      <c r="BJ2937" s="5"/>
      <c r="BK2937" s="5"/>
      <c r="BL2937" s="5"/>
      <c r="BM2937" s="5"/>
      <c r="BN2937" s="5"/>
      <c r="BO2937" s="5"/>
      <c r="BP2937" s="5"/>
    </row>
    <row r="2938" spans="35:68" x14ac:dyDescent="0.25">
      <c r="AI2938" s="49"/>
      <c r="AJ2938" s="78"/>
      <c r="AK2938" s="79"/>
      <c r="AL2938" s="79"/>
      <c r="AM2938" s="79"/>
      <c r="AN2938" s="79"/>
      <c r="AO2938" s="79"/>
      <c r="AP2938" s="79"/>
      <c r="AQ2938" s="79"/>
      <c r="AR2938" s="78"/>
      <c r="AS2938" s="78"/>
      <c r="AT2938" s="79"/>
      <c r="AU2938" s="79"/>
      <c r="AV2938" s="79"/>
      <c r="AW2938" s="79"/>
      <c r="AX2938" s="79"/>
      <c r="AZ2938" s="81"/>
      <c r="BB2938" s="5"/>
      <c r="BC2938" s="5"/>
      <c r="BD2938" s="5"/>
      <c r="BE2938" s="5"/>
      <c r="BF2938" s="5"/>
      <c r="BG2938" s="5"/>
      <c r="BH2938" s="5"/>
      <c r="BI2938" s="5"/>
      <c r="BJ2938" s="5"/>
      <c r="BK2938" s="5"/>
      <c r="BL2938" s="5"/>
      <c r="BM2938" s="5"/>
      <c r="BN2938" s="5"/>
      <c r="BO2938" s="5"/>
      <c r="BP2938" s="5"/>
    </row>
    <row r="2939" spans="35:68" x14ac:dyDescent="0.25">
      <c r="AI2939" s="49"/>
      <c r="AJ2939" s="78"/>
      <c r="AK2939" s="79"/>
      <c r="AL2939" s="79"/>
      <c r="AM2939" s="79"/>
      <c r="AN2939" s="79"/>
      <c r="AO2939" s="79"/>
      <c r="AP2939" s="79"/>
      <c r="AQ2939" s="79"/>
      <c r="AR2939" s="78"/>
      <c r="AS2939" s="78"/>
      <c r="AT2939" s="79"/>
      <c r="AU2939" s="79"/>
      <c r="AV2939" s="79"/>
      <c r="AW2939" s="79"/>
      <c r="AX2939" s="79"/>
      <c r="AZ2939" s="81"/>
      <c r="BB2939" s="5"/>
      <c r="BC2939" s="5"/>
      <c r="BD2939" s="5"/>
      <c r="BE2939" s="5"/>
      <c r="BF2939" s="5"/>
      <c r="BG2939" s="5"/>
      <c r="BH2939" s="5"/>
      <c r="BI2939" s="5"/>
      <c r="BJ2939" s="5"/>
      <c r="BK2939" s="5"/>
      <c r="BL2939" s="5"/>
      <c r="BM2939" s="5"/>
      <c r="BN2939" s="5"/>
      <c r="BO2939" s="5"/>
      <c r="BP2939" s="5"/>
    </row>
    <row r="2940" spans="35:68" x14ac:dyDescent="0.25">
      <c r="AI2940" s="49"/>
      <c r="AJ2940" s="78"/>
      <c r="AK2940" s="79"/>
      <c r="AL2940" s="79"/>
      <c r="AM2940" s="79"/>
      <c r="AN2940" s="79"/>
      <c r="AO2940" s="79"/>
      <c r="AP2940" s="79"/>
      <c r="AQ2940" s="79"/>
      <c r="AR2940" s="78"/>
      <c r="AS2940" s="78"/>
      <c r="AT2940" s="79"/>
      <c r="AU2940" s="79"/>
      <c r="AV2940" s="79"/>
      <c r="AW2940" s="79"/>
      <c r="AX2940" s="79"/>
      <c r="AZ2940" s="81"/>
      <c r="BB2940" s="5"/>
      <c r="BC2940" s="5"/>
      <c r="BD2940" s="5"/>
      <c r="BE2940" s="5"/>
      <c r="BF2940" s="5"/>
      <c r="BG2940" s="5"/>
      <c r="BH2940" s="5"/>
      <c r="BI2940" s="5"/>
      <c r="BJ2940" s="5"/>
      <c r="BK2940" s="5"/>
      <c r="BL2940" s="5"/>
      <c r="BM2940" s="5"/>
      <c r="BN2940" s="5"/>
      <c r="BO2940" s="5"/>
      <c r="BP2940" s="5"/>
    </row>
    <row r="2941" spans="35:68" x14ac:dyDescent="0.25">
      <c r="AI2941" s="49"/>
      <c r="AJ2941" s="78"/>
      <c r="AK2941" s="79"/>
      <c r="AL2941" s="79"/>
      <c r="AM2941" s="79"/>
      <c r="AN2941" s="79"/>
      <c r="AO2941" s="79"/>
      <c r="AP2941" s="79"/>
      <c r="AQ2941" s="79"/>
      <c r="AR2941" s="78"/>
      <c r="AS2941" s="78"/>
      <c r="AT2941" s="79"/>
      <c r="AU2941" s="79"/>
      <c r="AV2941" s="79"/>
      <c r="AW2941" s="79"/>
      <c r="AX2941" s="79"/>
      <c r="AZ2941" s="81"/>
      <c r="BB2941" s="5"/>
      <c r="BC2941" s="5"/>
      <c r="BD2941" s="5"/>
      <c r="BE2941" s="5"/>
      <c r="BF2941" s="5"/>
      <c r="BG2941" s="5"/>
      <c r="BH2941" s="5"/>
      <c r="BI2941" s="5"/>
      <c r="BJ2941" s="5"/>
      <c r="BK2941" s="5"/>
      <c r="BL2941" s="5"/>
      <c r="BM2941" s="5"/>
      <c r="BN2941" s="5"/>
      <c r="BO2941" s="5"/>
      <c r="BP2941" s="5"/>
    </row>
    <row r="2942" spans="35:68" x14ac:dyDescent="0.25">
      <c r="AI2942" s="49"/>
      <c r="AJ2942" s="78"/>
      <c r="AK2942" s="79"/>
      <c r="AL2942" s="79"/>
      <c r="AM2942" s="79"/>
      <c r="AN2942" s="79"/>
      <c r="AO2942" s="79"/>
      <c r="AP2942" s="79"/>
      <c r="AQ2942" s="79"/>
      <c r="AR2942" s="78"/>
      <c r="AS2942" s="78"/>
      <c r="AT2942" s="79"/>
      <c r="AU2942" s="79"/>
      <c r="AV2942" s="79"/>
      <c r="AW2942" s="79"/>
      <c r="AX2942" s="79"/>
      <c r="AZ2942" s="81"/>
      <c r="BB2942" s="5"/>
      <c r="BC2942" s="5"/>
      <c r="BD2942" s="5"/>
      <c r="BE2942" s="5"/>
      <c r="BF2942" s="5"/>
      <c r="BG2942" s="5"/>
      <c r="BH2942" s="5"/>
      <c r="BI2942" s="5"/>
      <c r="BJ2942" s="5"/>
      <c r="BK2942" s="5"/>
      <c r="BL2942" s="5"/>
      <c r="BM2942" s="5"/>
      <c r="BN2942" s="5"/>
      <c r="BO2942" s="5"/>
      <c r="BP2942" s="5"/>
    </row>
    <row r="2943" spans="35:68" x14ac:dyDescent="0.25">
      <c r="AI2943" s="49"/>
      <c r="AJ2943" s="78"/>
      <c r="AK2943" s="79"/>
      <c r="AL2943" s="79"/>
      <c r="AM2943" s="79"/>
      <c r="AN2943" s="79"/>
      <c r="AO2943" s="79"/>
      <c r="AP2943" s="79"/>
      <c r="AQ2943" s="79"/>
      <c r="AR2943" s="78"/>
      <c r="AS2943" s="78"/>
      <c r="AT2943" s="79"/>
      <c r="AU2943" s="79"/>
      <c r="AV2943" s="79"/>
      <c r="AW2943" s="79"/>
      <c r="AX2943" s="79"/>
      <c r="AZ2943" s="81"/>
      <c r="BB2943" s="5"/>
      <c r="BC2943" s="5"/>
      <c r="BD2943" s="5"/>
      <c r="BE2943" s="5"/>
      <c r="BF2943" s="5"/>
      <c r="BG2943" s="5"/>
      <c r="BH2943" s="5"/>
      <c r="BI2943" s="5"/>
      <c r="BJ2943" s="5"/>
      <c r="BK2943" s="5"/>
      <c r="BL2943" s="5"/>
      <c r="BM2943" s="5"/>
      <c r="BN2943" s="5"/>
      <c r="BO2943" s="5"/>
      <c r="BP2943" s="5"/>
    </row>
    <row r="2944" spans="35:68" x14ac:dyDescent="0.25">
      <c r="AI2944" s="49"/>
      <c r="AJ2944" s="78"/>
      <c r="AK2944" s="79"/>
      <c r="AL2944" s="79"/>
      <c r="AM2944" s="79"/>
      <c r="AN2944" s="79"/>
      <c r="AO2944" s="79"/>
      <c r="AP2944" s="79"/>
      <c r="AQ2944" s="79"/>
      <c r="AR2944" s="78"/>
      <c r="AS2944" s="78"/>
      <c r="AT2944" s="79"/>
      <c r="AU2944" s="79"/>
      <c r="AV2944" s="79"/>
      <c r="AW2944" s="79"/>
      <c r="AX2944" s="79"/>
      <c r="AZ2944" s="81"/>
      <c r="BB2944" s="5"/>
      <c r="BC2944" s="5"/>
      <c r="BD2944" s="5"/>
      <c r="BE2944" s="5"/>
      <c r="BF2944" s="5"/>
      <c r="BG2944" s="5"/>
      <c r="BH2944" s="5"/>
      <c r="BI2944" s="5"/>
      <c r="BJ2944" s="5"/>
      <c r="BK2944" s="5"/>
      <c r="BL2944" s="5"/>
      <c r="BM2944" s="5"/>
      <c r="BN2944" s="5"/>
      <c r="BO2944" s="5"/>
      <c r="BP2944" s="5"/>
    </row>
    <row r="2945" spans="35:68" x14ac:dyDescent="0.25">
      <c r="AI2945" s="49"/>
      <c r="AJ2945" s="78"/>
      <c r="AK2945" s="79"/>
      <c r="AL2945" s="79"/>
      <c r="AM2945" s="79"/>
      <c r="AN2945" s="79"/>
      <c r="AO2945" s="79"/>
      <c r="AP2945" s="79"/>
      <c r="AQ2945" s="79"/>
      <c r="AR2945" s="78"/>
      <c r="AS2945" s="78"/>
      <c r="AT2945" s="79"/>
      <c r="AU2945" s="79"/>
      <c r="AV2945" s="79"/>
      <c r="AW2945" s="79"/>
      <c r="AX2945" s="79"/>
      <c r="AZ2945" s="81"/>
      <c r="BB2945" s="5"/>
      <c r="BC2945" s="5"/>
      <c r="BD2945" s="5"/>
      <c r="BE2945" s="5"/>
      <c r="BF2945" s="5"/>
      <c r="BG2945" s="5"/>
      <c r="BH2945" s="5"/>
      <c r="BI2945" s="5"/>
      <c r="BJ2945" s="5"/>
      <c r="BK2945" s="5"/>
      <c r="BL2945" s="5"/>
      <c r="BM2945" s="5"/>
      <c r="BN2945" s="5"/>
      <c r="BO2945" s="5"/>
      <c r="BP2945" s="5"/>
    </row>
    <row r="2946" spans="35:68" x14ac:dyDescent="0.25">
      <c r="AI2946" s="49"/>
      <c r="AJ2946" s="78"/>
      <c r="AK2946" s="79"/>
      <c r="AL2946" s="79"/>
      <c r="AM2946" s="79"/>
      <c r="AN2946" s="79"/>
      <c r="AO2946" s="79"/>
      <c r="AP2946" s="79"/>
      <c r="AQ2946" s="79"/>
      <c r="AR2946" s="78"/>
      <c r="AS2946" s="78"/>
      <c r="AT2946" s="79"/>
      <c r="AU2946" s="79"/>
      <c r="AV2946" s="79"/>
      <c r="AW2946" s="79"/>
      <c r="AX2946" s="79"/>
      <c r="AZ2946" s="81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</row>
    <row r="2947" spans="35:68" x14ac:dyDescent="0.25">
      <c r="AI2947" s="49"/>
      <c r="AJ2947" s="78"/>
      <c r="AK2947" s="79"/>
      <c r="AL2947" s="79"/>
      <c r="AM2947" s="79"/>
      <c r="AN2947" s="79"/>
      <c r="AO2947" s="79"/>
      <c r="AP2947" s="79"/>
      <c r="AQ2947" s="79"/>
      <c r="AR2947" s="78"/>
      <c r="AS2947" s="78"/>
      <c r="AT2947" s="79"/>
      <c r="AU2947" s="79"/>
      <c r="AV2947" s="79"/>
      <c r="AW2947" s="79"/>
      <c r="AX2947" s="79"/>
      <c r="AZ2947" s="81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</row>
    <row r="2948" spans="35:68" x14ac:dyDescent="0.25">
      <c r="AI2948" s="49"/>
      <c r="AJ2948" s="78"/>
      <c r="AK2948" s="79"/>
      <c r="AL2948" s="79"/>
      <c r="AM2948" s="79"/>
      <c r="AN2948" s="79"/>
      <c r="AO2948" s="79"/>
      <c r="AP2948" s="79"/>
      <c r="AQ2948" s="79"/>
      <c r="AR2948" s="78"/>
      <c r="AS2948" s="78"/>
      <c r="AT2948" s="79"/>
      <c r="AU2948" s="79"/>
      <c r="AV2948" s="79"/>
      <c r="AW2948" s="79"/>
      <c r="AX2948" s="79"/>
      <c r="AZ2948" s="81"/>
      <c r="BB2948" s="5"/>
      <c r="BC2948" s="5"/>
      <c r="BD2948" s="5"/>
      <c r="BE2948" s="5"/>
      <c r="BF2948" s="5"/>
      <c r="BG2948" s="5"/>
      <c r="BH2948" s="5"/>
      <c r="BI2948" s="5"/>
      <c r="BJ2948" s="5"/>
      <c r="BK2948" s="5"/>
      <c r="BL2948" s="5"/>
      <c r="BM2948" s="5"/>
      <c r="BN2948" s="5"/>
      <c r="BO2948" s="5"/>
      <c r="BP2948" s="5"/>
    </row>
    <row r="2949" spans="35:68" x14ac:dyDescent="0.25">
      <c r="AI2949" s="49"/>
      <c r="AJ2949" s="78"/>
      <c r="AK2949" s="79"/>
      <c r="AL2949" s="79"/>
      <c r="AM2949" s="79"/>
      <c r="AN2949" s="79"/>
      <c r="AO2949" s="79"/>
      <c r="AP2949" s="79"/>
      <c r="AQ2949" s="79"/>
      <c r="AR2949" s="78"/>
      <c r="AS2949" s="78"/>
      <c r="AT2949" s="79"/>
      <c r="AU2949" s="79"/>
      <c r="AV2949" s="79"/>
      <c r="AW2949" s="79"/>
      <c r="AX2949" s="79"/>
      <c r="AZ2949" s="81"/>
      <c r="BB2949" s="5"/>
      <c r="BC2949" s="5"/>
      <c r="BD2949" s="5"/>
      <c r="BE2949" s="5"/>
      <c r="BF2949" s="5"/>
      <c r="BG2949" s="5"/>
      <c r="BH2949" s="5"/>
      <c r="BI2949" s="5"/>
      <c r="BJ2949" s="5"/>
      <c r="BK2949" s="5"/>
      <c r="BL2949" s="5"/>
      <c r="BM2949" s="5"/>
      <c r="BN2949" s="5"/>
      <c r="BO2949" s="5"/>
      <c r="BP2949" s="5"/>
    </row>
    <row r="2950" spans="35:68" x14ac:dyDescent="0.25">
      <c r="AI2950" s="49"/>
      <c r="AJ2950" s="78"/>
      <c r="AK2950" s="79"/>
      <c r="AL2950" s="79"/>
      <c r="AM2950" s="79"/>
      <c r="AN2950" s="79"/>
      <c r="AO2950" s="79"/>
      <c r="AP2950" s="79"/>
      <c r="AQ2950" s="79"/>
      <c r="AR2950" s="78"/>
      <c r="AS2950" s="78"/>
      <c r="AT2950" s="79"/>
      <c r="AU2950" s="79"/>
      <c r="AV2950" s="79"/>
      <c r="AW2950" s="79"/>
      <c r="AX2950" s="79"/>
      <c r="AZ2950" s="81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5"/>
      <c r="BM2950" s="5"/>
      <c r="BN2950" s="5"/>
      <c r="BO2950" s="5"/>
      <c r="BP2950" s="5"/>
    </row>
    <row r="2951" spans="35:68" x14ac:dyDescent="0.25">
      <c r="AI2951" s="49"/>
      <c r="AJ2951" s="78"/>
      <c r="AK2951" s="79"/>
      <c r="AL2951" s="79"/>
      <c r="AM2951" s="79"/>
      <c r="AN2951" s="79"/>
      <c r="AO2951" s="79"/>
      <c r="AP2951" s="79"/>
      <c r="AQ2951" s="79"/>
      <c r="AR2951" s="78"/>
      <c r="AS2951" s="78"/>
      <c r="AT2951" s="79"/>
      <c r="AU2951" s="79"/>
      <c r="AV2951" s="79"/>
      <c r="AW2951" s="79"/>
      <c r="AX2951" s="79"/>
      <c r="AZ2951" s="81"/>
      <c r="BB2951" s="5"/>
      <c r="BC2951" s="5"/>
      <c r="BD2951" s="5"/>
      <c r="BE2951" s="5"/>
      <c r="BF2951" s="5"/>
      <c r="BG2951" s="5"/>
      <c r="BH2951" s="5"/>
      <c r="BI2951" s="5"/>
      <c r="BJ2951" s="5"/>
      <c r="BK2951" s="5"/>
      <c r="BL2951" s="5"/>
      <c r="BM2951" s="5"/>
      <c r="BN2951" s="5"/>
      <c r="BO2951" s="5"/>
      <c r="BP2951" s="5"/>
    </row>
    <row r="2952" spans="35:68" x14ac:dyDescent="0.25">
      <c r="AI2952" s="49"/>
      <c r="AJ2952" s="78"/>
      <c r="AK2952" s="79"/>
      <c r="AL2952" s="79"/>
      <c r="AM2952" s="79"/>
      <c r="AN2952" s="79"/>
      <c r="AO2952" s="79"/>
      <c r="AP2952" s="79"/>
      <c r="AQ2952" s="79"/>
      <c r="AR2952" s="78"/>
      <c r="AS2952" s="78"/>
      <c r="AT2952" s="79"/>
      <c r="AU2952" s="79"/>
      <c r="AV2952" s="79"/>
      <c r="AW2952" s="79"/>
      <c r="AX2952" s="79"/>
      <c r="AZ2952" s="81"/>
      <c r="BB2952" s="5"/>
      <c r="BC2952" s="5"/>
      <c r="BD2952" s="5"/>
      <c r="BE2952" s="5"/>
      <c r="BF2952" s="5"/>
      <c r="BG2952" s="5"/>
      <c r="BH2952" s="5"/>
      <c r="BI2952" s="5"/>
      <c r="BJ2952" s="5"/>
      <c r="BK2952" s="5"/>
      <c r="BL2952" s="5"/>
      <c r="BM2952" s="5"/>
      <c r="BN2952" s="5"/>
      <c r="BO2952" s="5"/>
      <c r="BP2952" s="5"/>
    </row>
    <row r="2953" spans="35:68" x14ac:dyDescent="0.25">
      <c r="AI2953" s="49"/>
      <c r="AJ2953" s="78"/>
      <c r="AK2953" s="79"/>
      <c r="AL2953" s="79"/>
      <c r="AM2953" s="79"/>
      <c r="AN2953" s="79"/>
      <c r="AO2953" s="79"/>
      <c r="AP2953" s="79"/>
      <c r="AQ2953" s="79"/>
      <c r="AR2953" s="78"/>
      <c r="AS2953" s="78"/>
      <c r="AT2953" s="79"/>
      <c r="AU2953" s="79"/>
      <c r="AV2953" s="79"/>
      <c r="AW2953" s="79"/>
      <c r="AX2953" s="79"/>
      <c r="AZ2953" s="81"/>
      <c r="BB2953" s="5"/>
      <c r="BC2953" s="5"/>
      <c r="BD2953" s="5"/>
      <c r="BE2953" s="5"/>
      <c r="BF2953" s="5"/>
      <c r="BG2953" s="5"/>
      <c r="BH2953" s="5"/>
      <c r="BI2953" s="5"/>
      <c r="BJ2953" s="5"/>
      <c r="BK2953" s="5"/>
      <c r="BL2953" s="5"/>
      <c r="BM2953" s="5"/>
      <c r="BN2953" s="5"/>
      <c r="BO2953" s="5"/>
      <c r="BP2953" s="5"/>
    </row>
    <row r="2954" spans="35:68" x14ac:dyDescent="0.25">
      <c r="AI2954" s="49"/>
      <c r="AJ2954" s="78"/>
      <c r="AK2954" s="79"/>
      <c r="AL2954" s="79"/>
      <c r="AM2954" s="79"/>
      <c r="AN2954" s="79"/>
      <c r="AO2954" s="79"/>
      <c r="AP2954" s="79"/>
      <c r="AQ2954" s="79"/>
      <c r="AR2954" s="78"/>
      <c r="AS2954" s="78"/>
      <c r="AT2954" s="79"/>
      <c r="AU2954" s="79"/>
      <c r="AV2954" s="79"/>
      <c r="AW2954" s="79"/>
      <c r="AX2954" s="79"/>
      <c r="AZ2954" s="81"/>
      <c r="BB2954" s="5"/>
      <c r="BC2954" s="5"/>
      <c r="BD2954" s="5"/>
      <c r="BE2954" s="5"/>
      <c r="BF2954" s="5"/>
      <c r="BG2954" s="5"/>
      <c r="BH2954" s="5"/>
      <c r="BI2954" s="5"/>
      <c r="BJ2954" s="5"/>
      <c r="BK2954" s="5"/>
      <c r="BL2954" s="5"/>
      <c r="BM2954" s="5"/>
      <c r="BN2954" s="5"/>
      <c r="BO2954" s="5"/>
      <c r="BP2954" s="5"/>
    </row>
    <row r="2955" spans="35:68" x14ac:dyDescent="0.25">
      <c r="AI2955" s="49"/>
      <c r="AJ2955" s="78"/>
      <c r="AK2955" s="79"/>
      <c r="AL2955" s="79"/>
      <c r="AM2955" s="79"/>
      <c r="AN2955" s="79"/>
      <c r="AO2955" s="79"/>
      <c r="AP2955" s="79"/>
      <c r="AQ2955" s="79"/>
      <c r="AR2955" s="78"/>
      <c r="AS2955" s="78"/>
      <c r="AT2955" s="79"/>
      <c r="AU2955" s="79"/>
      <c r="AV2955" s="79"/>
      <c r="AW2955" s="79"/>
      <c r="AX2955" s="79"/>
      <c r="AZ2955" s="81"/>
      <c r="BB2955" s="5"/>
      <c r="BC2955" s="5"/>
      <c r="BD2955" s="5"/>
      <c r="BE2955" s="5"/>
      <c r="BF2955" s="5"/>
      <c r="BG2955" s="5"/>
      <c r="BH2955" s="5"/>
      <c r="BI2955" s="5"/>
      <c r="BJ2955" s="5"/>
      <c r="BK2955" s="5"/>
      <c r="BL2955" s="5"/>
      <c r="BM2955" s="5"/>
      <c r="BN2955" s="5"/>
      <c r="BO2955" s="5"/>
      <c r="BP2955" s="5"/>
    </row>
    <row r="2956" spans="35:68" x14ac:dyDescent="0.25">
      <c r="AI2956" s="49"/>
      <c r="AJ2956" s="78"/>
      <c r="AK2956" s="79"/>
      <c r="AL2956" s="79"/>
      <c r="AM2956" s="79"/>
      <c r="AN2956" s="79"/>
      <c r="AO2956" s="79"/>
      <c r="AP2956" s="79"/>
      <c r="AQ2956" s="79"/>
      <c r="AR2956" s="78"/>
      <c r="AS2956" s="78"/>
      <c r="AT2956" s="79"/>
      <c r="AU2956" s="79"/>
      <c r="AV2956" s="79"/>
      <c r="AW2956" s="79"/>
      <c r="AX2956" s="79"/>
      <c r="AZ2956" s="81"/>
      <c r="BB2956" s="5"/>
      <c r="BC2956" s="5"/>
      <c r="BD2956" s="5"/>
      <c r="BE2956" s="5"/>
      <c r="BF2956" s="5"/>
      <c r="BG2956" s="5"/>
      <c r="BH2956" s="5"/>
      <c r="BI2956" s="5"/>
      <c r="BJ2956" s="5"/>
      <c r="BK2956" s="5"/>
      <c r="BL2956" s="5"/>
      <c r="BM2956" s="5"/>
      <c r="BN2956" s="5"/>
      <c r="BO2956" s="5"/>
      <c r="BP2956" s="5"/>
    </row>
    <row r="2957" spans="35:68" x14ac:dyDescent="0.25">
      <c r="AI2957" s="49"/>
      <c r="AJ2957" s="78"/>
      <c r="AK2957" s="79"/>
      <c r="AL2957" s="79"/>
      <c r="AM2957" s="79"/>
      <c r="AN2957" s="79"/>
      <c r="AO2957" s="79"/>
      <c r="AP2957" s="79"/>
      <c r="AQ2957" s="79"/>
      <c r="AR2957" s="78"/>
      <c r="AS2957" s="78"/>
      <c r="AT2957" s="79"/>
      <c r="AU2957" s="79"/>
      <c r="AV2957" s="79"/>
      <c r="AW2957" s="79"/>
      <c r="AX2957" s="79"/>
      <c r="AZ2957" s="81"/>
      <c r="BB2957" s="5"/>
      <c r="BC2957" s="5"/>
      <c r="BD2957" s="5"/>
      <c r="BE2957" s="5"/>
      <c r="BF2957" s="5"/>
      <c r="BG2957" s="5"/>
      <c r="BH2957" s="5"/>
      <c r="BI2957" s="5"/>
      <c r="BJ2957" s="5"/>
      <c r="BK2957" s="5"/>
      <c r="BL2957" s="5"/>
      <c r="BM2957" s="5"/>
      <c r="BN2957" s="5"/>
      <c r="BO2957" s="5"/>
      <c r="BP2957" s="5"/>
    </row>
    <row r="2958" spans="35:68" x14ac:dyDescent="0.25">
      <c r="AI2958" s="49"/>
      <c r="AJ2958" s="78"/>
      <c r="AK2958" s="79"/>
      <c r="AL2958" s="79"/>
      <c r="AM2958" s="79"/>
      <c r="AN2958" s="79"/>
      <c r="AO2958" s="79"/>
      <c r="AP2958" s="79"/>
      <c r="AQ2958" s="79"/>
      <c r="AR2958" s="78"/>
      <c r="AS2958" s="78"/>
      <c r="AT2958" s="79"/>
      <c r="AU2958" s="79"/>
      <c r="AV2958" s="79"/>
      <c r="AW2958" s="79"/>
      <c r="AX2958" s="79"/>
      <c r="AZ2958" s="81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</row>
    <row r="2959" spans="35:68" x14ac:dyDescent="0.25">
      <c r="AI2959" s="49"/>
      <c r="AJ2959" s="78"/>
      <c r="AK2959" s="79"/>
      <c r="AL2959" s="79"/>
      <c r="AM2959" s="79"/>
      <c r="AN2959" s="79"/>
      <c r="AO2959" s="79"/>
      <c r="AP2959" s="79"/>
      <c r="AQ2959" s="79"/>
      <c r="AR2959" s="78"/>
      <c r="AS2959" s="78"/>
      <c r="AT2959" s="79"/>
      <c r="AU2959" s="79"/>
      <c r="AV2959" s="79"/>
      <c r="AW2959" s="79"/>
      <c r="AX2959" s="79"/>
      <c r="AZ2959" s="81"/>
      <c r="BB2959" s="5"/>
      <c r="BC2959" s="5"/>
      <c r="BD2959" s="5"/>
      <c r="BE2959" s="5"/>
      <c r="BF2959" s="5"/>
      <c r="BG2959" s="5"/>
      <c r="BH2959" s="5"/>
      <c r="BI2959" s="5"/>
      <c r="BJ2959" s="5"/>
      <c r="BK2959" s="5"/>
      <c r="BL2959" s="5"/>
      <c r="BM2959" s="5"/>
      <c r="BN2959" s="5"/>
      <c r="BO2959" s="5"/>
      <c r="BP2959" s="5"/>
    </row>
    <row r="2960" spans="35:68" x14ac:dyDescent="0.25">
      <c r="AI2960" s="49"/>
      <c r="AJ2960" s="78"/>
      <c r="AK2960" s="79"/>
      <c r="AL2960" s="79"/>
      <c r="AM2960" s="79"/>
      <c r="AN2960" s="79"/>
      <c r="AO2960" s="79"/>
      <c r="AP2960" s="79"/>
      <c r="AQ2960" s="79"/>
      <c r="AR2960" s="78"/>
      <c r="AS2960" s="78"/>
      <c r="AT2960" s="79"/>
      <c r="AU2960" s="79"/>
      <c r="AV2960" s="79"/>
      <c r="AW2960" s="79"/>
      <c r="AX2960" s="79"/>
      <c r="AZ2960" s="81"/>
      <c r="BB2960" s="5"/>
      <c r="BC2960" s="5"/>
      <c r="BD2960" s="5"/>
      <c r="BE2960" s="5"/>
      <c r="BF2960" s="5"/>
      <c r="BG2960" s="5"/>
      <c r="BH2960" s="5"/>
      <c r="BI2960" s="5"/>
      <c r="BJ2960" s="5"/>
      <c r="BK2960" s="5"/>
      <c r="BL2960" s="5"/>
      <c r="BM2960" s="5"/>
      <c r="BN2960" s="5"/>
      <c r="BO2960" s="5"/>
      <c r="BP2960" s="5"/>
    </row>
    <row r="2961" spans="35:68" x14ac:dyDescent="0.25">
      <c r="AI2961" s="49"/>
      <c r="AJ2961" s="78"/>
      <c r="AK2961" s="79"/>
      <c r="AL2961" s="79"/>
      <c r="AM2961" s="79"/>
      <c r="AN2961" s="79"/>
      <c r="AO2961" s="79"/>
      <c r="AP2961" s="79"/>
      <c r="AQ2961" s="79"/>
      <c r="AR2961" s="78"/>
      <c r="AS2961" s="78"/>
      <c r="AT2961" s="79"/>
      <c r="AU2961" s="79"/>
      <c r="AV2961" s="79"/>
      <c r="AW2961" s="79"/>
      <c r="AX2961" s="79"/>
      <c r="AZ2961" s="81"/>
      <c r="BB2961" s="5"/>
      <c r="BC2961" s="5"/>
      <c r="BD2961" s="5"/>
      <c r="BE2961" s="5"/>
      <c r="BF2961" s="5"/>
      <c r="BG2961" s="5"/>
      <c r="BH2961" s="5"/>
      <c r="BI2961" s="5"/>
      <c r="BJ2961" s="5"/>
      <c r="BK2961" s="5"/>
      <c r="BL2961" s="5"/>
      <c r="BM2961" s="5"/>
      <c r="BN2961" s="5"/>
      <c r="BO2961" s="5"/>
      <c r="BP2961" s="5"/>
    </row>
    <row r="2962" spans="35:68" x14ac:dyDescent="0.25">
      <c r="AI2962" s="49"/>
      <c r="AJ2962" s="78"/>
      <c r="AK2962" s="79"/>
      <c r="AL2962" s="79"/>
      <c r="AM2962" s="79"/>
      <c r="AN2962" s="79"/>
      <c r="AO2962" s="79"/>
      <c r="AP2962" s="79"/>
      <c r="AQ2962" s="79"/>
      <c r="AR2962" s="78"/>
      <c r="AS2962" s="78"/>
      <c r="AT2962" s="79"/>
      <c r="AU2962" s="79"/>
      <c r="AV2962" s="79"/>
      <c r="AW2962" s="79"/>
      <c r="AX2962" s="79"/>
      <c r="AZ2962" s="81"/>
      <c r="BB2962" s="5"/>
      <c r="BC2962" s="5"/>
      <c r="BD2962" s="5"/>
      <c r="BE2962" s="5"/>
      <c r="BF2962" s="5"/>
      <c r="BG2962" s="5"/>
      <c r="BH2962" s="5"/>
      <c r="BI2962" s="5"/>
      <c r="BJ2962" s="5"/>
      <c r="BK2962" s="5"/>
      <c r="BL2962" s="5"/>
      <c r="BM2962" s="5"/>
      <c r="BN2962" s="5"/>
      <c r="BO2962" s="5"/>
      <c r="BP2962" s="5"/>
    </row>
    <row r="2963" spans="35:68" x14ac:dyDescent="0.25">
      <c r="AI2963" s="49"/>
      <c r="AJ2963" s="78"/>
      <c r="AK2963" s="79"/>
      <c r="AL2963" s="79"/>
      <c r="AM2963" s="79"/>
      <c r="AN2963" s="79"/>
      <c r="AO2963" s="79"/>
      <c r="AP2963" s="79"/>
      <c r="AQ2963" s="79"/>
      <c r="AR2963" s="78"/>
      <c r="AS2963" s="78"/>
      <c r="AT2963" s="79"/>
      <c r="AU2963" s="79"/>
      <c r="AV2963" s="79"/>
      <c r="AW2963" s="79"/>
      <c r="AX2963" s="79"/>
      <c r="AZ2963" s="81"/>
      <c r="BB2963" s="5"/>
      <c r="BC2963" s="5"/>
      <c r="BD2963" s="5"/>
      <c r="BE2963" s="5"/>
      <c r="BF2963" s="5"/>
      <c r="BG2963" s="5"/>
      <c r="BH2963" s="5"/>
      <c r="BI2963" s="5"/>
      <c r="BJ2963" s="5"/>
      <c r="BK2963" s="5"/>
      <c r="BL2963" s="5"/>
      <c r="BM2963" s="5"/>
      <c r="BN2963" s="5"/>
      <c r="BO2963" s="5"/>
      <c r="BP2963" s="5"/>
    </row>
    <row r="2964" spans="35:68" x14ac:dyDescent="0.25">
      <c r="AI2964" s="49"/>
      <c r="AJ2964" s="78"/>
      <c r="AK2964" s="79"/>
      <c r="AL2964" s="79"/>
      <c r="AM2964" s="79"/>
      <c r="AN2964" s="79"/>
      <c r="AO2964" s="79"/>
      <c r="AP2964" s="79"/>
      <c r="AQ2964" s="79"/>
      <c r="AR2964" s="78"/>
      <c r="AS2964" s="78"/>
      <c r="AT2964" s="79"/>
      <c r="AU2964" s="79"/>
      <c r="AV2964" s="79"/>
      <c r="AW2964" s="79"/>
      <c r="AX2964" s="79"/>
      <c r="AZ2964" s="81"/>
      <c r="BB2964" s="5"/>
      <c r="BC2964" s="5"/>
      <c r="BD2964" s="5"/>
      <c r="BE2964" s="5"/>
      <c r="BF2964" s="5"/>
      <c r="BG2964" s="5"/>
      <c r="BH2964" s="5"/>
      <c r="BI2964" s="5"/>
      <c r="BJ2964" s="5"/>
      <c r="BK2964" s="5"/>
      <c r="BL2964" s="5"/>
      <c r="BM2964" s="5"/>
      <c r="BN2964" s="5"/>
      <c r="BO2964" s="5"/>
      <c r="BP2964" s="5"/>
    </row>
    <row r="2965" spans="35:68" x14ac:dyDescent="0.25">
      <c r="AI2965" s="49"/>
      <c r="AJ2965" s="78"/>
      <c r="AK2965" s="79"/>
      <c r="AL2965" s="79"/>
      <c r="AM2965" s="79"/>
      <c r="AN2965" s="79"/>
      <c r="AO2965" s="79"/>
      <c r="AP2965" s="79"/>
      <c r="AQ2965" s="79"/>
      <c r="AR2965" s="78"/>
      <c r="AS2965" s="78"/>
      <c r="AT2965" s="79"/>
      <c r="AU2965" s="79"/>
      <c r="AV2965" s="79"/>
      <c r="AW2965" s="79"/>
      <c r="AX2965" s="79"/>
      <c r="AZ2965" s="81"/>
      <c r="BB2965" s="5"/>
      <c r="BC2965" s="5"/>
      <c r="BD2965" s="5"/>
      <c r="BE2965" s="5"/>
      <c r="BF2965" s="5"/>
      <c r="BG2965" s="5"/>
      <c r="BH2965" s="5"/>
      <c r="BI2965" s="5"/>
      <c r="BJ2965" s="5"/>
      <c r="BK2965" s="5"/>
      <c r="BL2965" s="5"/>
      <c r="BM2965" s="5"/>
      <c r="BN2965" s="5"/>
      <c r="BO2965" s="5"/>
      <c r="BP2965" s="5"/>
    </row>
    <row r="2966" spans="35:68" x14ac:dyDescent="0.25">
      <c r="AI2966" s="49"/>
      <c r="AJ2966" s="78"/>
      <c r="AK2966" s="79"/>
      <c r="AL2966" s="79"/>
      <c r="AM2966" s="79"/>
      <c r="AN2966" s="79"/>
      <c r="AO2966" s="79"/>
      <c r="AP2966" s="79"/>
      <c r="AQ2966" s="79"/>
      <c r="AR2966" s="78"/>
      <c r="AS2966" s="78"/>
      <c r="AT2966" s="79"/>
      <c r="AU2966" s="79"/>
      <c r="AV2966" s="79"/>
      <c r="AW2966" s="79"/>
      <c r="AX2966" s="79"/>
      <c r="AZ2966" s="81"/>
      <c r="BB2966" s="5"/>
      <c r="BC2966" s="5"/>
      <c r="BD2966" s="5"/>
      <c r="BE2966" s="5"/>
      <c r="BF2966" s="5"/>
      <c r="BG2966" s="5"/>
      <c r="BH2966" s="5"/>
      <c r="BI2966" s="5"/>
      <c r="BJ2966" s="5"/>
      <c r="BK2966" s="5"/>
      <c r="BL2966" s="5"/>
      <c r="BM2966" s="5"/>
      <c r="BN2966" s="5"/>
      <c r="BO2966" s="5"/>
      <c r="BP2966" s="5"/>
    </row>
    <row r="2967" spans="35:68" x14ac:dyDescent="0.25">
      <c r="AI2967" s="49"/>
      <c r="AJ2967" s="78"/>
      <c r="AK2967" s="79"/>
      <c r="AL2967" s="79"/>
      <c r="AM2967" s="79"/>
      <c r="AN2967" s="79"/>
      <c r="AO2967" s="79"/>
      <c r="AP2967" s="79"/>
      <c r="AQ2967" s="79"/>
      <c r="AR2967" s="78"/>
      <c r="AS2967" s="78"/>
      <c r="AT2967" s="79"/>
      <c r="AU2967" s="79"/>
      <c r="AV2967" s="79"/>
      <c r="AW2967" s="79"/>
      <c r="AX2967" s="79"/>
      <c r="AZ2967" s="81"/>
      <c r="BB2967" s="5"/>
      <c r="BC2967" s="5"/>
      <c r="BD2967" s="5"/>
      <c r="BE2967" s="5"/>
      <c r="BF2967" s="5"/>
      <c r="BG2967" s="5"/>
      <c r="BH2967" s="5"/>
      <c r="BI2967" s="5"/>
      <c r="BJ2967" s="5"/>
      <c r="BK2967" s="5"/>
      <c r="BL2967" s="5"/>
      <c r="BM2967" s="5"/>
      <c r="BN2967" s="5"/>
      <c r="BO2967" s="5"/>
      <c r="BP2967" s="5"/>
    </row>
    <row r="2968" spans="35:68" x14ac:dyDescent="0.25">
      <c r="AI2968" s="49"/>
      <c r="AJ2968" s="78"/>
      <c r="AK2968" s="79"/>
      <c r="AL2968" s="79"/>
      <c r="AM2968" s="79"/>
      <c r="AN2968" s="79"/>
      <c r="AO2968" s="79"/>
      <c r="AP2968" s="79"/>
      <c r="AQ2968" s="79"/>
      <c r="AR2968" s="78"/>
      <c r="AS2968" s="78"/>
      <c r="AT2968" s="79"/>
      <c r="AU2968" s="79"/>
      <c r="AV2968" s="79"/>
      <c r="AW2968" s="79"/>
      <c r="AX2968" s="79"/>
      <c r="AZ2968" s="81"/>
      <c r="BB2968" s="5"/>
      <c r="BC2968" s="5"/>
      <c r="BD2968" s="5"/>
      <c r="BE2968" s="5"/>
      <c r="BF2968" s="5"/>
      <c r="BG2968" s="5"/>
      <c r="BH2968" s="5"/>
      <c r="BI2968" s="5"/>
      <c r="BJ2968" s="5"/>
      <c r="BK2968" s="5"/>
      <c r="BL2968" s="5"/>
      <c r="BM2968" s="5"/>
      <c r="BN2968" s="5"/>
      <c r="BO2968" s="5"/>
      <c r="BP2968" s="5"/>
    </row>
    <row r="2969" spans="35:68" x14ac:dyDescent="0.25">
      <c r="AI2969" s="49"/>
      <c r="AJ2969" s="78"/>
      <c r="AK2969" s="79"/>
      <c r="AL2969" s="79"/>
      <c r="AM2969" s="79"/>
      <c r="AN2969" s="79"/>
      <c r="AO2969" s="79"/>
      <c r="AP2969" s="79"/>
      <c r="AQ2969" s="79"/>
      <c r="AR2969" s="78"/>
      <c r="AS2969" s="78"/>
      <c r="AT2969" s="79"/>
      <c r="AU2969" s="79"/>
      <c r="AV2969" s="79"/>
      <c r="AW2969" s="79"/>
      <c r="AX2969" s="79"/>
      <c r="AZ2969" s="81"/>
      <c r="BB2969" s="5"/>
      <c r="BC2969" s="5"/>
      <c r="BD2969" s="5"/>
      <c r="BE2969" s="5"/>
      <c r="BF2969" s="5"/>
      <c r="BG2969" s="5"/>
      <c r="BH2969" s="5"/>
      <c r="BI2969" s="5"/>
      <c r="BJ2969" s="5"/>
      <c r="BK2969" s="5"/>
      <c r="BL2969" s="5"/>
      <c r="BM2969" s="5"/>
      <c r="BN2969" s="5"/>
      <c r="BO2969" s="5"/>
      <c r="BP2969" s="5"/>
    </row>
    <row r="2970" spans="35:68" x14ac:dyDescent="0.25">
      <c r="AI2970" s="49"/>
      <c r="AJ2970" s="78"/>
      <c r="AK2970" s="79"/>
      <c r="AL2970" s="79"/>
      <c r="AM2970" s="79"/>
      <c r="AN2970" s="79"/>
      <c r="AO2970" s="79"/>
      <c r="AP2970" s="79"/>
      <c r="AQ2970" s="79"/>
      <c r="AR2970" s="78"/>
      <c r="AS2970" s="78"/>
      <c r="AT2970" s="79"/>
      <c r="AU2970" s="79"/>
      <c r="AV2970" s="79"/>
      <c r="AW2970" s="79"/>
      <c r="AX2970" s="79"/>
      <c r="AZ2970" s="81"/>
      <c r="BB2970" s="5"/>
      <c r="BC2970" s="5"/>
      <c r="BD2970" s="5"/>
      <c r="BE2970" s="5"/>
      <c r="BF2970" s="5"/>
      <c r="BG2970" s="5"/>
      <c r="BH2970" s="5"/>
      <c r="BI2970" s="5"/>
      <c r="BJ2970" s="5"/>
      <c r="BK2970" s="5"/>
      <c r="BL2970" s="5"/>
      <c r="BM2970" s="5"/>
      <c r="BN2970" s="5"/>
      <c r="BO2970" s="5"/>
      <c r="BP2970" s="5"/>
    </row>
    <row r="2971" spans="35:68" x14ac:dyDescent="0.25">
      <c r="AI2971" s="49"/>
      <c r="AJ2971" s="78"/>
      <c r="AK2971" s="79"/>
      <c r="AL2971" s="79"/>
      <c r="AM2971" s="79"/>
      <c r="AN2971" s="79"/>
      <c r="AO2971" s="79"/>
      <c r="AP2971" s="79"/>
      <c r="AQ2971" s="79"/>
      <c r="AR2971" s="78"/>
      <c r="AS2971" s="78"/>
      <c r="AT2971" s="79"/>
      <c r="AU2971" s="79"/>
      <c r="AV2971" s="79"/>
      <c r="AW2971" s="79"/>
      <c r="AX2971" s="79"/>
      <c r="AZ2971" s="81"/>
      <c r="BB2971" s="5"/>
      <c r="BC2971" s="5"/>
      <c r="BD2971" s="5"/>
      <c r="BE2971" s="5"/>
      <c r="BF2971" s="5"/>
      <c r="BG2971" s="5"/>
      <c r="BH2971" s="5"/>
      <c r="BI2971" s="5"/>
      <c r="BJ2971" s="5"/>
      <c r="BK2971" s="5"/>
      <c r="BL2971" s="5"/>
      <c r="BM2971" s="5"/>
      <c r="BN2971" s="5"/>
      <c r="BO2971" s="5"/>
      <c r="BP2971" s="5"/>
    </row>
    <row r="2972" spans="35:68" x14ac:dyDescent="0.25">
      <c r="AI2972" s="49"/>
      <c r="AJ2972" s="78"/>
      <c r="AK2972" s="79"/>
      <c r="AL2972" s="79"/>
      <c r="AM2972" s="79"/>
      <c r="AN2972" s="79"/>
      <c r="AO2972" s="79"/>
      <c r="AP2972" s="79"/>
      <c r="AQ2972" s="79"/>
      <c r="AR2972" s="78"/>
      <c r="AS2972" s="78"/>
      <c r="AT2972" s="79"/>
      <c r="AU2972" s="79"/>
      <c r="AV2972" s="79"/>
      <c r="AW2972" s="79"/>
      <c r="AX2972" s="79"/>
      <c r="AZ2972" s="81"/>
      <c r="BB2972" s="5"/>
      <c r="BC2972" s="5"/>
      <c r="BD2972" s="5"/>
      <c r="BE2972" s="5"/>
      <c r="BF2972" s="5"/>
      <c r="BG2972" s="5"/>
      <c r="BH2972" s="5"/>
      <c r="BI2972" s="5"/>
      <c r="BJ2972" s="5"/>
      <c r="BK2972" s="5"/>
      <c r="BL2972" s="5"/>
      <c r="BM2972" s="5"/>
      <c r="BN2972" s="5"/>
      <c r="BO2972" s="5"/>
      <c r="BP2972" s="5"/>
    </row>
    <row r="2973" spans="35:68" x14ac:dyDescent="0.25">
      <c r="AI2973" s="49"/>
      <c r="AJ2973" s="78"/>
      <c r="AK2973" s="79"/>
      <c r="AL2973" s="79"/>
      <c r="AM2973" s="79"/>
      <c r="AN2973" s="79"/>
      <c r="AO2973" s="79"/>
      <c r="AP2973" s="79"/>
      <c r="AQ2973" s="79"/>
      <c r="AR2973" s="78"/>
      <c r="AS2973" s="78"/>
      <c r="AT2973" s="79"/>
      <c r="AU2973" s="79"/>
      <c r="AV2973" s="79"/>
      <c r="AW2973" s="79"/>
      <c r="AX2973" s="79"/>
      <c r="AZ2973" s="81"/>
      <c r="BB2973" s="5"/>
      <c r="BC2973" s="5"/>
      <c r="BD2973" s="5"/>
      <c r="BE2973" s="5"/>
      <c r="BF2973" s="5"/>
      <c r="BG2973" s="5"/>
      <c r="BH2973" s="5"/>
      <c r="BI2973" s="5"/>
      <c r="BJ2973" s="5"/>
      <c r="BK2973" s="5"/>
      <c r="BL2973" s="5"/>
      <c r="BM2973" s="5"/>
      <c r="BN2973" s="5"/>
      <c r="BO2973" s="5"/>
      <c r="BP2973" s="5"/>
    </row>
    <row r="2974" spans="35:68" x14ac:dyDescent="0.25">
      <c r="AI2974" s="49"/>
      <c r="AJ2974" s="78"/>
      <c r="AK2974" s="79"/>
      <c r="AL2974" s="79"/>
      <c r="AM2974" s="79"/>
      <c r="AN2974" s="79"/>
      <c r="AO2974" s="79"/>
      <c r="AP2974" s="79"/>
      <c r="AQ2974" s="79"/>
      <c r="AR2974" s="78"/>
      <c r="AS2974" s="78"/>
      <c r="AT2974" s="79"/>
      <c r="AU2974" s="79"/>
      <c r="AV2974" s="79"/>
      <c r="AW2974" s="79"/>
      <c r="AX2974" s="79"/>
      <c r="AZ2974" s="81"/>
      <c r="BB2974" s="5"/>
      <c r="BC2974" s="5"/>
      <c r="BD2974" s="5"/>
      <c r="BE2974" s="5"/>
      <c r="BF2974" s="5"/>
      <c r="BG2974" s="5"/>
      <c r="BH2974" s="5"/>
      <c r="BI2974" s="5"/>
      <c r="BJ2974" s="5"/>
      <c r="BK2974" s="5"/>
      <c r="BL2974" s="5"/>
      <c r="BM2974" s="5"/>
      <c r="BN2974" s="5"/>
      <c r="BO2974" s="5"/>
      <c r="BP2974" s="5"/>
    </row>
    <row r="2975" spans="35:68" x14ac:dyDescent="0.25">
      <c r="AI2975" s="49"/>
      <c r="AJ2975" s="78"/>
      <c r="AK2975" s="79"/>
      <c r="AL2975" s="79"/>
      <c r="AM2975" s="79"/>
      <c r="AN2975" s="79"/>
      <c r="AO2975" s="79"/>
      <c r="AP2975" s="79"/>
      <c r="AQ2975" s="79"/>
      <c r="AR2975" s="78"/>
      <c r="AS2975" s="78"/>
      <c r="AT2975" s="79"/>
      <c r="AU2975" s="79"/>
      <c r="AV2975" s="79"/>
      <c r="AW2975" s="79"/>
      <c r="AX2975" s="79"/>
      <c r="AZ2975" s="81"/>
      <c r="BB2975" s="5"/>
      <c r="BC2975" s="5"/>
      <c r="BD2975" s="5"/>
      <c r="BE2975" s="5"/>
      <c r="BF2975" s="5"/>
      <c r="BG2975" s="5"/>
      <c r="BH2975" s="5"/>
      <c r="BI2975" s="5"/>
      <c r="BJ2975" s="5"/>
      <c r="BK2975" s="5"/>
      <c r="BL2975" s="5"/>
      <c r="BM2975" s="5"/>
      <c r="BN2975" s="5"/>
      <c r="BO2975" s="5"/>
      <c r="BP2975" s="5"/>
    </row>
    <row r="2976" spans="35:68" x14ac:dyDescent="0.25">
      <c r="AI2976" s="49"/>
      <c r="AJ2976" s="78"/>
      <c r="AK2976" s="79"/>
      <c r="AL2976" s="79"/>
      <c r="AM2976" s="79"/>
      <c r="AN2976" s="79"/>
      <c r="AO2976" s="79"/>
      <c r="AP2976" s="79"/>
      <c r="AQ2976" s="79"/>
      <c r="AR2976" s="78"/>
      <c r="AS2976" s="78"/>
      <c r="AT2976" s="79"/>
      <c r="AU2976" s="79"/>
      <c r="AV2976" s="79"/>
      <c r="AW2976" s="79"/>
      <c r="AX2976" s="79"/>
      <c r="AZ2976" s="81"/>
      <c r="BB2976" s="5"/>
      <c r="BC2976" s="5"/>
      <c r="BD2976" s="5"/>
      <c r="BE2976" s="5"/>
      <c r="BF2976" s="5"/>
      <c r="BG2976" s="5"/>
      <c r="BH2976" s="5"/>
      <c r="BI2976" s="5"/>
      <c r="BJ2976" s="5"/>
      <c r="BK2976" s="5"/>
      <c r="BL2976" s="5"/>
      <c r="BM2976" s="5"/>
      <c r="BN2976" s="5"/>
      <c r="BO2976" s="5"/>
      <c r="BP2976" s="5"/>
    </row>
    <row r="2977" spans="35:68" x14ac:dyDescent="0.25">
      <c r="AI2977" s="49"/>
      <c r="AJ2977" s="78"/>
      <c r="AK2977" s="79"/>
      <c r="AL2977" s="79"/>
      <c r="AM2977" s="79"/>
      <c r="AN2977" s="79"/>
      <c r="AO2977" s="79"/>
      <c r="AP2977" s="79"/>
      <c r="AQ2977" s="79"/>
      <c r="AR2977" s="78"/>
      <c r="AS2977" s="78"/>
      <c r="AT2977" s="79"/>
      <c r="AU2977" s="79"/>
      <c r="AV2977" s="79"/>
      <c r="AW2977" s="79"/>
      <c r="AX2977" s="79"/>
      <c r="AZ2977" s="81"/>
      <c r="BB2977" s="5"/>
      <c r="BC2977" s="5"/>
      <c r="BD2977" s="5"/>
      <c r="BE2977" s="5"/>
      <c r="BF2977" s="5"/>
      <c r="BG2977" s="5"/>
      <c r="BH2977" s="5"/>
      <c r="BI2977" s="5"/>
      <c r="BJ2977" s="5"/>
      <c r="BK2977" s="5"/>
      <c r="BL2977" s="5"/>
      <c r="BM2977" s="5"/>
      <c r="BN2977" s="5"/>
      <c r="BO2977" s="5"/>
      <c r="BP2977" s="5"/>
    </row>
    <row r="2978" spans="35:68" x14ac:dyDescent="0.25">
      <c r="AI2978" s="49"/>
      <c r="AJ2978" s="78"/>
      <c r="AK2978" s="79"/>
      <c r="AL2978" s="79"/>
      <c r="AM2978" s="79"/>
      <c r="AN2978" s="79"/>
      <c r="AO2978" s="79"/>
      <c r="AP2978" s="79"/>
      <c r="AQ2978" s="79"/>
      <c r="AR2978" s="78"/>
      <c r="AS2978" s="78"/>
      <c r="AT2978" s="79"/>
      <c r="AU2978" s="79"/>
      <c r="AV2978" s="79"/>
      <c r="AW2978" s="79"/>
      <c r="AX2978" s="79"/>
      <c r="AZ2978" s="81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</row>
    <row r="2979" spans="35:68" x14ac:dyDescent="0.25">
      <c r="AI2979" s="49"/>
      <c r="AJ2979" s="78"/>
      <c r="AK2979" s="79"/>
      <c r="AL2979" s="79"/>
      <c r="AM2979" s="79"/>
      <c r="AN2979" s="79"/>
      <c r="AO2979" s="79"/>
      <c r="AP2979" s="79"/>
      <c r="AQ2979" s="79"/>
      <c r="AR2979" s="78"/>
      <c r="AS2979" s="78"/>
      <c r="AT2979" s="79"/>
      <c r="AU2979" s="79"/>
      <c r="AV2979" s="79"/>
      <c r="AW2979" s="79"/>
      <c r="AX2979" s="79"/>
      <c r="AZ2979" s="81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</row>
    <row r="2980" spans="35:68" x14ac:dyDescent="0.25">
      <c r="AI2980" s="49"/>
      <c r="AJ2980" s="78"/>
      <c r="AK2980" s="79"/>
      <c r="AL2980" s="79"/>
      <c r="AM2980" s="79"/>
      <c r="AN2980" s="79"/>
      <c r="AO2980" s="79"/>
      <c r="AP2980" s="79"/>
      <c r="AQ2980" s="79"/>
      <c r="AR2980" s="78"/>
      <c r="AS2980" s="78"/>
      <c r="AT2980" s="79"/>
      <c r="AU2980" s="79"/>
      <c r="AV2980" s="79"/>
      <c r="AW2980" s="79"/>
      <c r="AX2980" s="79"/>
      <c r="AZ2980" s="81"/>
      <c r="BB2980" s="5"/>
      <c r="BC2980" s="5"/>
      <c r="BD2980" s="5"/>
      <c r="BE2980" s="5"/>
      <c r="BF2980" s="5"/>
      <c r="BG2980" s="5"/>
      <c r="BH2980" s="5"/>
      <c r="BI2980" s="5"/>
      <c r="BJ2980" s="5"/>
      <c r="BK2980" s="5"/>
      <c r="BL2980" s="5"/>
      <c r="BM2980" s="5"/>
      <c r="BN2980" s="5"/>
      <c r="BO2980" s="5"/>
      <c r="BP2980" s="5"/>
    </row>
    <row r="2981" spans="35:68" x14ac:dyDescent="0.25">
      <c r="AI2981" s="49"/>
      <c r="AJ2981" s="78"/>
      <c r="AK2981" s="79"/>
      <c r="AL2981" s="79"/>
      <c r="AM2981" s="79"/>
      <c r="AN2981" s="79"/>
      <c r="AO2981" s="79"/>
      <c r="AP2981" s="79"/>
      <c r="AQ2981" s="79"/>
      <c r="AR2981" s="78"/>
      <c r="AS2981" s="78"/>
      <c r="AT2981" s="79"/>
      <c r="AU2981" s="79"/>
      <c r="AV2981" s="79"/>
      <c r="AW2981" s="79"/>
      <c r="AX2981" s="79"/>
      <c r="AZ2981" s="81"/>
      <c r="BB2981" s="5"/>
      <c r="BC2981" s="5"/>
      <c r="BD2981" s="5"/>
      <c r="BE2981" s="5"/>
      <c r="BF2981" s="5"/>
      <c r="BG2981" s="5"/>
      <c r="BH2981" s="5"/>
      <c r="BI2981" s="5"/>
      <c r="BJ2981" s="5"/>
      <c r="BK2981" s="5"/>
      <c r="BL2981" s="5"/>
      <c r="BM2981" s="5"/>
      <c r="BN2981" s="5"/>
      <c r="BO2981" s="5"/>
      <c r="BP2981" s="5"/>
    </row>
    <row r="2982" spans="35:68" x14ac:dyDescent="0.25">
      <c r="AI2982" s="49"/>
      <c r="AJ2982" s="78"/>
      <c r="AK2982" s="79"/>
      <c r="AL2982" s="79"/>
      <c r="AM2982" s="79"/>
      <c r="AN2982" s="79"/>
      <c r="AO2982" s="79"/>
      <c r="AP2982" s="79"/>
      <c r="AQ2982" s="79"/>
      <c r="AR2982" s="78"/>
      <c r="AS2982" s="78"/>
      <c r="AT2982" s="79"/>
      <c r="AU2982" s="79"/>
      <c r="AV2982" s="79"/>
      <c r="AW2982" s="79"/>
      <c r="AX2982" s="79"/>
      <c r="AZ2982" s="81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</row>
    <row r="2983" spans="35:68" x14ac:dyDescent="0.25">
      <c r="AI2983" s="49"/>
      <c r="AJ2983" s="78"/>
      <c r="AK2983" s="79"/>
      <c r="AL2983" s="79"/>
      <c r="AM2983" s="79"/>
      <c r="AN2983" s="79"/>
      <c r="AO2983" s="79"/>
      <c r="AP2983" s="79"/>
      <c r="AQ2983" s="79"/>
      <c r="AR2983" s="78"/>
      <c r="AS2983" s="78"/>
      <c r="AT2983" s="79"/>
      <c r="AU2983" s="79"/>
      <c r="AV2983" s="79"/>
      <c r="AW2983" s="79"/>
      <c r="AX2983" s="79"/>
      <c r="AZ2983" s="81"/>
      <c r="BB2983" s="5"/>
      <c r="BC2983" s="5"/>
      <c r="BD2983" s="5"/>
      <c r="BE2983" s="5"/>
      <c r="BF2983" s="5"/>
      <c r="BG2983" s="5"/>
      <c r="BH2983" s="5"/>
      <c r="BI2983" s="5"/>
      <c r="BJ2983" s="5"/>
      <c r="BK2983" s="5"/>
      <c r="BL2983" s="5"/>
      <c r="BM2983" s="5"/>
      <c r="BN2983" s="5"/>
      <c r="BO2983" s="5"/>
      <c r="BP2983" s="5"/>
    </row>
    <row r="2984" spans="35:68" x14ac:dyDescent="0.25">
      <c r="AI2984" s="49"/>
      <c r="AJ2984" s="78"/>
      <c r="AK2984" s="79"/>
      <c r="AL2984" s="79"/>
      <c r="AM2984" s="79"/>
      <c r="AN2984" s="79"/>
      <c r="AO2984" s="79"/>
      <c r="AP2984" s="79"/>
      <c r="AQ2984" s="79"/>
      <c r="AR2984" s="78"/>
      <c r="AS2984" s="78"/>
      <c r="AT2984" s="79"/>
      <c r="AU2984" s="79"/>
      <c r="AV2984" s="79"/>
      <c r="AW2984" s="79"/>
      <c r="AX2984" s="79"/>
      <c r="AZ2984" s="81"/>
      <c r="BB2984" s="5"/>
      <c r="BC2984" s="5"/>
      <c r="BD2984" s="5"/>
      <c r="BE2984" s="5"/>
      <c r="BF2984" s="5"/>
      <c r="BG2984" s="5"/>
      <c r="BH2984" s="5"/>
      <c r="BI2984" s="5"/>
      <c r="BJ2984" s="5"/>
      <c r="BK2984" s="5"/>
      <c r="BL2984" s="5"/>
      <c r="BM2984" s="5"/>
      <c r="BN2984" s="5"/>
      <c r="BO2984" s="5"/>
      <c r="BP2984" s="5"/>
    </row>
    <row r="2985" spans="35:68" x14ac:dyDescent="0.25">
      <c r="AI2985" s="49"/>
      <c r="AJ2985" s="78"/>
      <c r="AK2985" s="79"/>
      <c r="AL2985" s="79"/>
      <c r="AM2985" s="79"/>
      <c r="AN2985" s="79"/>
      <c r="AO2985" s="79"/>
      <c r="AP2985" s="79"/>
      <c r="AQ2985" s="79"/>
      <c r="AR2985" s="78"/>
      <c r="AS2985" s="78"/>
      <c r="AT2985" s="79"/>
      <c r="AU2985" s="79"/>
      <c r="AV2985" s="79"/>
      <c r="AW2985" s="79"/>
      <c r="AX2985" s="79"/>
      <c r="AZ2985" s="81"/>
      <c r="BB2985" s="5"/>
      <c r="BC2985" s="5"/>
      <c r="BD2985" s="5"/>
      <c r="BE2985" s="5"/>
      <c r="BF2985" s="5"/>
      <c r="BG2985" s="5"/>
      <c r="BH2985" s="5"/>
      <c r="BI2985" s="5"/>
      <c r="BJ2985" s="5"/>
      <c r="BK2985" s="5"/>
      <c r="BL2985" s="5"/>
      <c r="BM2985" s="5"/>
      <c r="BN2985" s="5"/>
      <c r="BO2985" s="5"/>
      <c r="BP2985" s="5"/>
    </row>
    <row r="2986" spans="35:68" x14ac:dyDescent="0.25">
      <c r="AI2986" s="49"/>
      <c r="AJ2986" s="78"/>
      <c r="AK2986" s="79"/>
      <c r="AL2986" s="79"/>
      <c r="AM2986" s="79"/>
      <c r="AN2986" s="79"/>
      <c r="AO2986" s="79"/>
      <c r="AP2986" s="79"/>
      <c r="AQ2986" s="79"/>
      <c r="AR2986" s="78"/>
      <c r="AS2986" s="78"/>
      <c r="AT2986" s="79"/>
      <c r="AU2986" s="79"/>
      <c r="AV2986" s="79"/>
      <c r="AW2986" s="79"/>
      <c r="AX2986" s="79"/>
      <c r="AZ2986" s="81"/>
      <c r="BB2986" s="5"/>
      <c r="BC2986" s="5"/>
      <c r="BD2986" s="5"/>
      <c r="BE2986" s="5"/>
      <c r="BF2986" s="5"/>
      <c r="BG2986" s="5"/>
      <c r="BH2986" s="5"/>
      <c r="BI2986" s="5"/>
      <c r="BJ2986" s="5"/>
      <c r="BK2986" s="5"/>
      <c r="BL2986" s="5"/>
      <c r="BM2986" s="5"/>
      <c r="BN2986" s="5"/>
      <c r="BO2986" s="5"/>
      <c r="BP2986" s="5"/>
    </row>
    <row r="2987" spans="35:68" x14ac:dyDescent="0.25">
      <c r="AI2987" s="49"/>
      <c r="AJ2987" s="78"/>
      <c r="AK2987" s="79"/>
      <c r="AL2987" s="79"/>
      <c r="AM2987" s="79"/>
      <c r="AN2987" s="79"/>
      <c r="AO2987" s="79"/>
      <c r="AP2987" s="79"/>
      <c r="AQ2987" s="79"/>
      <c r="AR2987" s="78"/>
      <c r="AS2987" s="78"/>
      <c r="AT2987" s="79"/>
      <c r="AU2987" s="79"/>
      <c r="AV2987" s="79"/>
      <c r="AW2987" s="79"/>
      <c r="AX2987" s="79"/>
      <c r="AZ2987" s="81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/>
      <c r="BL2987" s="5"/>
      <c r="BM2987" s="5"/>
      <c r="BN2987" s="5"/>
      <c r="BO2987" s="5"/>
      <c r="BP2987" s="5"/>
    </row>
    <row r="2988" spans="35:68" x14ac:dyDescent="0.25">
      <c r="AI2988" s="49"/>
      <c r="AJ2988" s="78"/>
      <c r="AK2988" s="79"/>
      <c r="AL2988" s="79"/>
      <c r="AM2988" s="79"/>
      <c r="AN2988" s="79"/>
      <c r="AO2988" s="79"/>
      <c r="AP2988" s="79"/>
      <c r="AQ2988" s="79"/>
      <c r="AR2988" s="78"/>
      <c r="AS2988" s="78"/>
      <c r="AT2988" s="79"/>
      <c r="AU2988" s="79"/>
      <c r="AV2988" s="79"/>
      <c r="AW2988" s="79"/>
      <c r="AX2988" s="79"/>
      <c r="AZ2988" s="81"/>
      <c r="BB2988" s="5"/>
      <c r="BC2988" s="5"/>
      <c r="BD2988" s="5"/>
      <c r="BE2988" s="5"/>
      <c r="BF2988" s="5"/>
      <c r="BG2988" s="5"/>
      <c r="BH2988" s="5"/>
      <c r="BI2988" s="5"/>
      <c r="BJ2988" s="5"/>
      <c r="BK2988" s="5"/>
      <c r="BL2988" s="5"/>
      <c r="BM2988" s="5"/>
      <c r="BN2988" s="5"/>
      <c r="BO2988" s="5"/>
      <c r="BP2988" s="5"/>
    </row>
    <row r="2989" spans="35:68" x14ac:dyDescent="0.25">
      <c r="AI2989" s="49"/>
      <c r="AJ2989" s="78"/>
      <c r="AK2989" s="79"/>
      <c r="AL2989" s="79"/>
      <c r="AM2989" s="79"/>
      <c r="AN2989" s="79"/>
      <c r="AO2989" s="79"/>
      <c r="AP2989" s="79"/>
      <c r="AQ2989" s="79"/>
      <c r="AR2989" s="78"/>
      <c r="AS2989" s="78"/>
      <c r="AT2989" s="79"/>
      <c r="AU2989" s="79"/>
      <c r="AV2989" s="79"/>
      <c r="AW2989" s="79"/>
      <c r="AX2989" s="79"/>
      <c r="AZ2989" s="81"/>
      <c r="BB2989" s="5"/>
      <c r="BC2989" s="5"/>
      <c r="BD2989" s="5"/>
      <c r="BE2989" s="5"/>
      <c r="BF2989" s="5"/>
      <c r="BG2989" s="5"/>
      <c r="BH2989" s="5"/>
      <c r="BI2989" s="5"/>
      <c r="BJ2989" s="5"/>
      <c r="BK2989" s="5"/>
      <c r="BL2989" s="5"/>
      <c r="BM2989" s="5"/>
      <c r="BN2989" s="5"/>
      <c r="BO2989" s="5"/>
      <c r="BP2989" s="5"/>
    </row>
    <row r="2990" spans="35:68" x14ac:dyDescent="0.25">
      <c r="AI2990" s="49"/>
      <c r="AJ2990" s="78"/>
      <c r="AK2990" s="79"/>
      <c r="AL2990" s="79"/>
      <c r="AM2990" s="79"/>
      <c r="AN2990" s="79"/>
      <c r="AO2990" s="79"/>
      <c r="AP2990" s="79"/>
      <c r="AQ2990" s="79"/>
      <c r="AR2990" s="78"/>
      <c r="AS2990" s="78"/>
      <c r="AT2990" s="79"/>
      <c r="AU2990" s="79"/>
      <c r="AV2990" s="79"/>
      <c r="AW2990" s="79"/>
      <c r="AX2990" s="79"/>
      <c r="AZ2990" s="81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</row>
    <row r="2991" spans="35:68" x14ac:dyDescent="0.25">
      <c r="AI2991" s="49"/>
      <c r="AJ2991" s="78"/>
      <c r="AK2991" s="79"/>
      <c r="AL2991" s="79"/>
      <c r="AM2991" s="79"/>
      <c r="AN2991" s="79"/>
      <c r="AO2991" s="79"/>
      <c r="AP2991" s="79"/>
      <c r="AQ2991" s="79"/>
      <c r="AR2991" s="78"/>
      <c r="AS2991" s="78"/>
      <c r="AT2991" s="79"/>
      <c r="AU2991" s="79"/>
      <c r="AV2991" s="79"/>
      <c r="AW2991" s="79"/>
      <c r="AX2991" s="79"/>
      <c r="AZ2991" s="81"/>
      <c r="BB2991" s="5"/>
      <c r="BC2991" s="5"/>
      <c r="BD2991" s="5"/>
      <c r="BE2991" s="5"/>
      <c r="BF2991" s="5"/>
      <c r="BG2991" s="5"/>
      <c r="BH2991" s="5"/>
      <c r="BI2991" s="5"/>
      <c r="BJ2991" s="5"/>
      <c r="BK2991" s="5"/>
      <c r="BL2991" s="5"/>
      <c r="BM2991" s="5"/>
      <c r="BN2991" s="5"/>
      <c r="BO2991" s="5"/>
      <c r="BP2991" s="5"/>
    </row>
    <row r="2992" spans="35:68" x14ac:dyDescent="0.25">
      <c r="AI2992" s="49"/>
      <c r="AJ2992" s="78"/>
      <c r="AK2992" s="79"/>
      <c r="AL2992" s="79"/>
      <c r="AM2992" s="79"/>
      <c r="AN2992" s="79"/>
      <c r="AO2992" s="79"/>
      <c r="AP2992" s="79"/>
      <c r="AQ2992" s="79"/>
      <c r="AR2992" s="78"/>
      <c r="AS2992" s="78"/>
      <c r="AT2992" s="79"/>
      <c r="AU2992" s="79"/>
      <c r="AV2992" s="79"/>
      <c r="AW2992" s="79"/>
      <c r="AX2992" s="79"/>
      <c r="AZ2992" s="81"/>
      <c r="BB2992" s="5"/>
      <c r="BC2992" s="5"/>
      <c r="BD2992" s="5"/>
      <c r="BE2992" s="5"/>
      <c r="BF2992" s="5"/>
      <c r="BG2992" s="5"/>
      <c r="BH2992" s="5"/>
      <c r="BI2992" s="5"/>
      <c r="BJ2992" s="5"/>
      <c r="BK2992" s="5"/>
      <c r="BL2992" s="5"/>
      <c r="BM2992" s="5"/>
      <c r="BN2992" s="5"/>
      <c r="BO2992" s="5"/>
      <c r="BP2992" s="5"/>
    </row>
    <row r="2993" spans="35:68" x14ac:dyDescent="0.25">
      <c r="AI2993" s="49"/>
      <c r="AJ2993" s="78"/>
      <c r="AK2993" s="79"/>
      <c r="AL2993" s="79"/>
      <c r="AM2993" s="79"/>
      <c r="AN2993" s="79"/>
      <c r="AO2993" s="79"/>
      <c r="AP2993" s="79"/>
      <c r="AQ2993" s="79"/>
      <c r="AR2993" s="78"/>
      <c r="AS2993" s="78"/>
      <c r="AT2993" s="79"/>
      <c r="AU2993" s="79"/>
      <c r="AV2993" s="79"/>
      <c r="AW2993" s="79"/>
      <c r="AX2993" s="79"/>
      <c r="AZ2993" s="81"/>
      <c r="BB2993" s="5"/>
      <c r="BC2993" s="5"/>
      <c r="BD2993" s="5"/>
      <c r="BE2993" s="5"/>
      <c r="BF2993" s="5"/>
      <c r="BG2993" s="5"/>
      <c r="BH2993" s="5"/>
      <c r="BI2993" s="5"/>
      <c r="BJ2993" s="5"/>
      <c r="BK2993" s="5"/>
      <c r="BL2993" s="5"/>
      <c r="BM2993" s="5"/>
      <c r="BN2993" s="5"/>
      <c r="BO2993" s="5"/>
      <c r="BP2993" s="5"/>
    </row>
    <row r="2994" spans="35:68" x14ac:dyDescent="0.25">
      <c r="AI2994" s="49"/>
      <c r="AJ2994" s="78"/>
      <c r="AK2994" s="79"/>
      <c r="AL2994" s="79"/>
      <c r="AM2994" s="79"/>
      <c r="AN2994" s="79"/>
      <c r="AO2994" s="79"/>
      <c r="AP2994" s="79"/>
      <c r="AQ2994" s="79"/>
      <c r="AR2994" s="78"/>
      <c r="AS2994" s="78"/>
      <c r="AT2994" s="79"/>
      <c r="AU2994" s="79"/>
      <c r="AV2994" s="79"/>
      <c r="AW2994" s="79"/>
      <c r="AX2994" s="79"/>
      <c r="AZ2994" s="81"/>
      <c r="BB2994" s="5"/>
      <c r="BC2994" s="5"/>
      <c r="BD2994" s="5"/>
      <c r="BE2994" s="5"/>
      <c r="BF2994" s="5"/>
      <c r="BG2994" s="5"/>
      <c r="BH2994" s="5"/>
      <c r="BI2994" s="5"/>
      <c r="BJ2994" s="5"/>
      <c r="BK2994" s="5"/>
      <c r="BL2994" s="5"/>
      <c r="BM2994" s="5"/>
      <c r="BN2994" s="5"/>
      <c r="BO2994" s="5"/>
      <c r="BP2994" s="5"/>
    </row>
    <row r="2995" spans="35:68" x14ac:dyDescent="0.25">
      <c r="AI2995" s="49"/>
      <c r="AJ2995" s="78"/>
      <c r="AK2995" s="79"/>
      <c r="AL2995" s="79"/>
      <c r="AM2995" s="79"/>
      <c r="AN2995" s="79"/>
      <c r="AO2995" s="79"/>
      <c r="AP2995" s="79"/>
      <c r="AQ2995" s="79"/>
      <c r="AR2995" s="78"/>
      <c r="AS2995" s="78"/>
      <c r="AT2995" s="79"/>
      <c r="AU2995" s="79"/>
      <c r="AV2995" s="79"/>
      <c r="AW2995" s="79"/>
      <c r="AX2995" s="79"/>
      <c r="AZ2995" s="81"/>
      <c r="BB2995" s="5"/>
      <c r="BC2995" s="5"/>
      <c r="BD2995" s="5"/>
      <c r="BE2995" s="5"/>
      <c r="BF2995" s="5"/>
      <c r="BG2995" s="5"/>
      <c r="BH2995" s="5"/>
      <c r="BI2995" s="5"/>
      <c r="BJ2995" s="5"/>
      <c r="BK2995" s="5"/>
      <c r="BL2995" s="5"/>
      <c r="BM2995" s="5"/>
      <c r="BN2995" s="5"/>
      <c r="BO2995" s="5"/>
      <c r="BP2995" s="5"/>
    </row>
    <row r="2996" spans="35:68" x14ac:dyDescent="0.25">
      <c r="AI2996" s="49"/>
      <c r="AJ2996" s="78"/>
      <c r="AK2996" s="79"/>
      <c r="AL2996" s="79"/>
      <c r="AM2996" s="79"/>
      <c r="AN2996" s="79"/>
      <c r="AO2996" s="79"/>
      <c r="AP2996" s="79"/>
      <c r="AQ2996" s="79"/>
      <c r="AR2996" s="78"/>
      <c r="AS2996" s="78"/>
      <c r="AT2996" s="79"/>
      <c r="AU2996" s="79"/>
      <c r="AV2996" s="79"/>
      <c r="AW2996" s="79"/>
      <c r="AX2996" s="79"/>
      <c r="AZ2996" s="81"/>
      <c r="BB2996" s="5"/>
      <c r="BC2996" s="5"/>
      <c r="BD2996" s="5"/>
      <c r="BE2996" s="5"/>
      <c r="BF2996" s="5"/>
      <c r="BG2996" s="5"/>
      <c r="BH2996" s="5"/>
      <c r="BI2996" s="5"/>
      <c r="BJ2996" s="5"/>
      <c r="BK2996" s="5"/>
      <c r="BL2996" s="5"/>
      <c r="BM2996" s="5"/>
      <c r="BN2996" s="5"/>
      <c r="BO2996" s="5"/>
      <c r="BP2996" s="5"/>
    </row>
    <row r="2997" spans="35:68" x14ac:dyDescent="0.25">
      <c r="AI2997" s="49"/>
      <c r="AJ2997" s="78"/>
      <c r="AK2997" s="79"/>
      <c r="AL2997" s="79"/>
      <c r="AM2997" s="79"/>
      <c r="AN2997" s="79"/>
      <c r="AO2997" s="79"/>
      <c r="AP2997" s="79"/>
      <c r="AQ2997" s="79"/>
      <c r="AR2997" s="78"/>
      <c r="AS2997" s="78"/>
      <c r="AT2997" s="79"/>
      <c r="AU2997" s="79"/>
      <c r="AV2997" s="79"/>
      <c r="AW2997" s="79"/>
      <c r="AX2997" s="79"/>
      <c r="AZ2997" s="81"/>
      <c r="BB2997" s="5"/>
      <c r="BC2997" s="5"/>
      <c r="BD2997" s="5"/>
      <c r="BE2997" s="5"/>
      <c r="BF2997" s="5"/>
      <c r="BG2997" s="5"/>
      <c r="BH2997" s="5"/>
      <c r="BI2997" s="5"/>
      <c r="BJ2997" s="5"/>
      <c r="BK2997" s="5"/>
      <c r="BL2997" s="5"/>
      <c r="BM2997" s="5"/>
      <c r="BN2997" s="5"/>
      <c r="BO2997" s="5"/>
      <c r="BP2997" s="5"/>
    </row>
    <row r="2998" spans="35:68" x14ac:dyDescent="0.25">
      <c r="AI2998" s="49"/>
      <c r="AJ2998" s="78"/>
      <c r="AK2998" s="79"/>
      <c r="AL2998" s="79"/>
      <c r="AM2998" s="79"/>
      <c r="AN2998" s="79"/>
      <c r="AO2998" s="79"/>
      <c r="AP2998" s="79"/>
      <c r="AQ2998" s="79"/>
      <c r="AR2998" s="78"/>
      <c r="AS2998" s="78"/>
      <c r="AT2998" s="79"/>
      <c r="AU2998" s="79"/>
      <c r="AV2998" s="79"/>
      <c r="AW2998" s="79"/>
      <c r="AX2998" s="79"/>
      <c r="AZ2998" s="81"/>
      <c r="BB2998" s="5"/>
      <c r="BC2998" s="5"/>
      <c r="BD2998" s="5"/>
      <c r="BE2998" s="5"/>
      <c r="BF2998" s="5"/>
      <c r="BG2998" s="5"/>
      <c r="BH2998" s="5"/>
      <c r="BI2998" s="5"/>
      <c r="BJ2998" s="5"/>
      <c r="BK2998" s="5"/>
      <c r="BL2998" s="5"/>
      <c r="BM2998" s="5"/>
      <c r="BN2998" s="5"/>
      <c r="BO2998" s="5"/>
      <c r="BP2998" s="5"/>
    </row>
    <row r="2999" spans="35:68" x14ac:dyDescent="0.25">
      <c r="AI2999" s="49"/>
      <c r="AJ2999" s="78"/>
      <c r="AK2999" s="79"/>
      <c r="AL2999" s="79"/>
      <c r="AM2999" s="79"/>
      <c r="AN2999" s="79"/>
      <c r="AO2999" s="79"/>
      <c r="AP2999" s="79"/>
      <c r="AQ2999" s="79"/>
      <c r="AR2999" s="78"/>
      <c r="AS2999" s="78"/>
      <c r="AT2999" s="79"/>
      <c r="AU2999" s="79"/>
      <c r="AV2999" s="79"/>
      <c r="AW2999" s="79"/>
      <c r="AX2999" s="79"/>
      <c r="AZ2999" s="81"/>
      <c r="BB2999" s="5"/>
      <c r="BC2999" s="5"/>
      <c r="BD2999" s="5"/>
      <c r="BE2999" s="5"/>
      <c r="BF2999" s="5"/>
      <c r="BG2999" s="5"/>
      <c r="BH2999" s="5"/>
      <c r="BI2999" s="5"/>
      <c r="BJ2999" s="5"/>
      <c r="BK2999" s="5"/>
      <c r="BL2999" s="5"/>
      <c r="BM2999" s="5"/>
      <c r="BN2999" s="5"/>
      <c r="BO2999" s="5"/>
      <c r="BP2999" s="5"/>
    </row>
    <row r="3000" spans="35:68" x14ac:dyDescent="0.25">
      <c r="AI3000" s="49"/>
      <c r="AJ3000" s="78"/>
      <c r="AK3000" s="79"/>
      <c r="AL3000" s="79"/>
      <c r="AM3000" s="79"/>
      <c r="AN3000" s="79"/>
      <c r="AO3000" s="79"/>
      <c r="AP3000" s="79"/>
      <c r="AQ3000" s="79"/>
      <c r="AR3000" s="78"/>
      <c r="AS3000" s="78"/>
      <c r="AT3000" s="79"/>
      <c r="AU3000" s="79"/>
      <c r="AV3000" s="79"/>
      <c r="AW3000" s="79"/>
      <c r="AX3000" s="79"/>
      <c r="AZ3000" s="81"/>
      <c r="BB3000" s="5"/>
      <c r="BC3000" s="5"/>
      <c r="BD3000" s="5"/>
      <c r="BE3000" s="5"/>
      <c r="BF3000" s="5"/>
      <c r="BG3000" s="5"/>
      <c r="BH3000" s="5"/>
      <c r="BI3000" s="5"/>
      <c r="BJ3000" s="5"/>
      <c r="BK3000" s="5"/>
      <c r="BL3000" s="5"/>
      <c r="BM3000" s="5"/>
      <c r="BN3000" s="5"/>
      <c r="BO3000" s="5"/>
      <c r="BP3000" s="5"/>
    </row>
    <row r="3001" spans="35:68" x14ac:dyDescent="0.25">
      <c r="AI3001" s="49"/>
      <c r="AJ3001" s="78"/>
      <c r="AK3001" s="79"/>
      <c r="AL3001" s="79"/>
      <c r="AM3001" s="79"/>
      <c r="AN3001" s="79"/>
      <c r="AO3001" s="79"/>
      <c r="AP3001" s="79"/>
      <c r="AQ3001" s="79"/>
      <c r="AR3001" s="78"/>
      <c r="AS3001" s="78"/>
      <c r="AT3001" s="79"/>
      <c r="AU3001" s="79"/>
      <c r="AV3001" s="79"/>
      <c r="AW3001" s="79"/>
      <c r="AX3001" s="79"/>
      <c r="AZ3001" s="81"/>
      <c r="BB3001" s="5"/>
      <c r="BC3001" s="5"/>
      <c r="BD3001" s="5"/>
      <c r="BE3001" s="5"/>
      <c r="BF3001" s="5"/>
      <c r="BG3001" s="5"/>
      <c r="BH3001" s="5"/>
      <c r="BI3001" s="5"/>
      <c r="BJ3001" s="5"/>
      <c r="BK3001" s="5"/>
      <c r="BL3001" s="5"/>
      <c r="BM3001" s="5"/>
      <c r="BN3001" s="5"/>
      <c r="BO3001" s="5"/>
      <c r="BP3001" s="5"/>
    </row>
    <row r="3002" spans="35:68" x14ac:dyDescent="0.25">
      <c r="AI3002" s="49"/>
      <c r="AJ3002" s="78"/>
      <c r="AK3002" s="79"/>
      <c r="AL3002" s="79"/>
      <c r="AM3002" s="79"/>
      <c r="AN3002" s="79"/>
      <c r="AO3002" s="79"/>
      <c r="AP3002" s="79"/>
      <c r="AQ3002" s="79"/>
      <c r="AR3002" s="78"/>
      <c r="AS3002" s="78"/>
      <c r="AT3002" s="79"/>
      <c r="AU3002" s="79"/>
      <c r="AV3002" s="79"/>
      <c r="AW3002" s="79"/>
      <c r="AX3002" s="79"/>
      <c r="AZ3002" s="81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</row>
    <row r="3003" spans="35:68" x14ac:dyDescent="0.25">
      <c r="AI3003" s="49"/>
      <c r="AJ3003" s="78"/>
      <c r="AK3003" s="79"/>
      <c r="AL3003" s="79"/>
      <c r="AM3003" s="79"/>
      <c r="AN3003" s="79"/>
      <c r="AO3003" s="79"/>
      <c r="AP3003" s="79"/>
      <c r="AQ3003" s="79"/>
      <c r="AR3003" s="78"/>
      <c r="AS3003" s="78"/>
      <c r="AT3003" s="79"/>
      <c r="AU3003" s="79"/>
      <c r="AV3003" s="79"/>
      <c r="AW3003" s="79"/>
      <c r="AX3003" s="79"/>
      <c r="AZ3003" s="81"/>
      <c r="BB3003" s="5"/>
      <c r="BC3003" s="5"/>
      <c r="BD3003" s="5"/>
      <c r="BE3003" s="5"/>
      <c r="BF3003" s="5"/>
      <c r="BG3003" s="5"/>
      <c r="BH3003" s="5"/>
      <c r="BI3003" s="5"/>
      <c r="BJ3003" s="5"/>
      <c r="BK3003" s="5"/>
      <c r="BL3003" s="5"/>
      <c r="BM3003" s="5"/>
      <c r="BN3003" s="5"/>
      <c r="BO3003" s="5"/>
      <c r="BP3003" s="5"/>
    </row>
    <row r="3004" spans="35:68" x14ac:dyDescent="0.25">
      <c r="AI3004" s="49"/>
      <c r="AJ3004" s="78"/>
      <c r="AK3004" s="79"/>
      <c r="AL3004" s="79"/>
      <c r="AM3004" s="79"/>
      <c r="AN3004" s="79"/>
      <c r="AO3004" s="79"/>
      <c r="AP3004" s="79"/>
      <c r="AQ3004" s="79"/>
      <c r="AR3004" s="78"/>
      <c r="AS3004" s="78"/>
      <c r="AT3004" s="79"/>
      <c r="AU3004" s="79"/>
      <c r="AV3004" s="79"/>
      <c r="AW3004" s="79"/>
      <c r="AX3004" s="79"/>
      <c r="AZ3004" s="81"/>
      <c r="BB3004" s="5"/>
      <c r="BC3004" s="5"/>
      <c r="BD3004" s="5"/>
      <c r="BE3004" s="5"/>
      <c r="BF3004" s="5"/>
      <c r="BG3004" s="5"/>
      <c r="BH3004" s="5"/>
      <c r="BI3004" s="5"/>
      <c r="BJ3004" s="5"/>
      <c r="BK3004" s="5"/>
      <c r="BL3004" s="5"/>
      <c r="BM3004" s="5"/>
      <c r="BN3004" s="5"/>
      <c r="BO3004" s="5"/>
      <c r="BP3004" s="5"/>
    </row>
    <row r="3005" spans="35:68" x14ac:dyDescent="0.25">
      <c r="AI3005" s="49"/>
      <c r="AJ3005" s="78"/>
      <c r="AK3005" s="79"/>
      <c r="AL3005" s="79"/>
      <c r="AM3005" s="79"/>
      <c r="AN3005" s="79"/>
      <c r="AO3005" s="79"/>
      <c r="AP3005" s="79"/>
      <c r="AQ3005" s="79"/>
      <c r="AR3005" s="78"/>
      <c r="AS3005" s="78"/>
      <c r="AT3005" s="79"/>
      <c r="AU3005" s="79"/>
      <c r="AV3005" s="79"/>
      <c r="AW3005" s="79"/>
      <c r="AX3005" s="79"/>
      <c r="AZ3005" s="81"/>
      <c r="BB3005" s="5"/>
      <c r="BC3005" s="5"/>
      <c r="BD3005" s="5"/>
      <c r="BE3005" s="5"/>
      <c r="BF3005" s="5"/>
      <c r="BG3005" s="5"/>
      <c r="BH3005" s="5"/>
      <c r="BI3005" s="5"/>
      <c r="BJ3005" s="5"/>
      <c r="BK3005" s="5"/>
      <c r="BL3005" s="5"/>
      <c r="BM3005" s="5"/>
      <c r="BN3005" s="5"/>
      <c r="BO3005" s="5"/>
      <c r="BP3005" s="5"/>
    </row>
    <row r="3006" spans="35:68" x14ac:dyDescent="0.25">
      <c r="AI3006" s="49"/>
      <c r="AJ3006" s="78"/>
      <c r="AK3006" s="79"/>
      <c r="AL3006" s="79"/>
      <c r="AM3006" s="79"/>
      <c r="AN3006" s="79"/>
      <c r="AO3006" s="79"/>
      <c r="AP3006" s="79"/>
      <c r="AQ3006" s="79"/>
      <c r="AR3006" s="78"/>
      <c r="AS3006" s="78"/>
      <c r="AT3006" s="79"/>
      <c r="AU3006" s="79"/>
      <c r="AV3006" s="79"/>
      <c r="AW3006" s="79"/>
      <c r="AX3006" s="79"/>
      <c r="AZ3006" s="81"/>
      <c r="BB3006" s="5"/>
      <c r="BC3006" s="5"/>
      <c r="BD3006" s="5"/>
      <c r="BE3006" s="5"/>
      <c r="BF3006" s="5"/>
      <c r="BG3006" s="5"/>
      <c r="BH3006" s="5"/>
      <c r="BI3006" s="5"/>
      <c r="BJ3006" s="5"/>
      <c r="BK3006" s="5"/>
      <c r="BL3006" s="5"/>
      <c r="BM3006" s="5"/>
      <c r="BN3006" s="5"/>
      <c r="BO3006" s="5"/>
      <c r="BP3006" s="5"/>
    </row>
    <row r="3007" spans="35:68" x14ac:dyDescent="0.25">
      <c r="AI3007" s="49"/>
      <c r="AJ3007" s="78"/>
      <c r="AK3007" s="79"/>
      <c r="AL3007" s="79"/>
      <c r="AM3007" s="79"/>
      <c r="AN3007" s="79"/>
      <c r="AO3007" s="79"/>
      <c r="AP3007" s="79"/>
      <c r="AQ3007" s="79"/>
      <c r="AR3007" s="78"/>
      <c r="AS3007" s="78"/>
      <c r="AT3007" s="79"/>
      <c r="AU3007" s="79"/>
      <c r="AV3007" s="79"/>
      <c r="AW3007" s="79"/>
      <c r="AX3007" s="79"/>
      <c r="AZ3007" s="81"/>
      <c r="BB3007" s="5"/>
      <c r="BC3007" s="5"/>
      <c r="BD3007" s="5"/>
      <c r="BE3007" s="5"/>
      <c r="BF3007" s="5"/>
      <c r="BG3007" s="5"/>
      <c r="BH3007" s="5"/>
      <c r="BI3007" s="5"/>
      <c r="BJ3007" s="5"/>
      <c r="BK3007" s="5"/>
      <c r="BL3007" s="5"/>
      <c r="BM3007" s="5"/>
      <c r="BN3007" s="5"/>
      <c r="BO3007" s="5"/>
      <c r="BP3007" s="5"/>
    </row>
    <row r="3008" spans="35:68" x14ac:dyDescent="0.25">
      <c r="AI3008" s="49"/>
      <c r="AJ3008" s="78"/>
      <c r="AK3008" s="79"/>
      <c r="AL3008" s="79"/>
      <c r="AM3008" s="79"/>
      <c r="AN3008" s="79"/>
      <c r="AO3008" s="79"/>
      <c r="AP3008" s="79"/>
      <c r="AQ3008" s="79"/>
      <c r="AR3008" s="78"/>
      <c r="AS3008" s="78"/>
      <c r="AT3008" s="79"/>
      <c r="AU3008" s="79"/>
      <c r="AV3008" s="79"/>
      <c r="AW3008" s="79"/>
      <c r="AX3008" s="79"/>
      <c r="AZ3008" s="81"/>
      <c r="BB3008" s="5"/>
      <c r="BC3008" s="5"/>
      <c r="BD3008" s="5"/>
      <c r="BE3008" s="5"/>
      <c r="BF3008" s="5"/>
      <c r="BG3008" s="5"/>
      <c r="BH3008" s="5"/>
      <c r="BI3008" s="5"/>
      <c r="BJ3008" s="5"/>
      <c r="BK3008" s="5"/>
      <c r="BL3008" s="5"/>
      <c r="BM3008" s="5"/>
      <c r="BN3008" s="5"/>
      <c r="BO3008" s="5"/>
      <c r="BP3008" s="5"/>
    </row>
    <row r="3009" spans="35:68" x14ac:dyDescent="0.25">
      <c r="AI3009" s="49"/>
      <c r="AJ3009" s="78"/>
      <c r="AK3009" s="79"/>
      <c r="AL3009" s="79"/>
      <c r="AM3009" s="79"/>
      <c r="AN3009" s="79"/>
      <c r="AO3009" s="79"/>
      <c r="AP3009" s="79"/>
      <c r="AQ3009" s="79"/>
      <c r="AR3009" s="78"/>
      <c r="AS3009" s="78"/>
      <c r="AT3009" s="79"/>
      <c r="AU3009" s="79"/>
      <c r="AV3009" s="79"/>
      <c r="AW3009" s="79"/>
      <c r="AX3009" s="79"/>
      <c r="AZ3009" s="81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5"/>
      <c r="BM3009" s="5"/>
      <c r="BN3009" s="5"/>
      <c r="BO3009" s="5"/>
      <c r="BP3009" s="5"/>
    </row>
    <row r="3010" spans="35:68" x14ac:dyDescent="0.25">
      <c r="AI3010" s="49"/>
      <c r="AJ3010" s="78"/>
      <c r="AK3010" s="79"/>
      <c r="AL3010" s="79"/>
      <c r="AM3010" s="79"/>
      <c r="AN3010" s="79"/>
      <c r="AO3010" s="79"/>
      <c r="AP3010" s="79"/>
      <c r="AQ3010" s="79"/>
      <c r="AR3010" s="78"/>
      <c r="AS3010" s="78"/>
      <c r="AT3010" s="79"/>
      <c r="AU3010" s="79"/>
      <c r="AV3010" s="79"/>
      <c r="AW3010" s="79"/>
      <c r="AX3010" s="79"/>
      <c r="AZ3010" s="81"/>
      <c r="BB3010" s="5"/>
      <c r="BC3010" s="5"/>
      <c r="BD3010" s="5"/>
      <c r="BE3010" s="5"/>
      <c r="BF3010" s="5"/>
      <c r="BG3010" s="5"/>
      <c r="BH3010" s="5"/>
      <c r="BI3010" s="5"/>
      <c r="BJ3010" s="5"/>
      <c r="BK3010" s="5"/>
      <c r="BL3010" s="5"/>
      <c r="BM3010" s="5"/>
      <c r="BN3010" s="5"/>
      <c r="BO3010" s="5"/>
      <c r="BP3010" s="5"/>
    </row>
    <row r="3011" spans="35:68" x14ac:dyDescent="0.25">
      <c r="AI3011" s="49"/>
      <c r="AJ3011" s="78"/>
      <c r="AK3011" s="79"/>
      <c r="AL3011" s="79"/>
      <c r="AM3011" s="79"/>
      <c r="AN3011" s="79"/>
      <c r="AO3011" s="79"/>
      <c r="AP3011" s="79"/>
      <c r="AQ3011" s="79"/>
      <c r="AR3011" s="78"/>
      <c r="AS3011" s="78"/>
      <c r="AT3011" s="79"/>
      <c r="AU3011" s="79"/>
      <c r="AV3011" s="79"/>
      <c r="AW3011" s="79"/>
      <c r="AX3011" s="79"/>
      <c r="AZ3011" s="81"/>
      <c r="BB3011" s="5"/>
      <c r="BC3011" s="5"/>
      <c r="BD3011" s="5"/>
      <c r="BE3011" s="5"/>
      <c r="BF3011" s="5"/>
      <c r="BG3011" s="5"/>
      <c r="BH3011" s="5"/>
      <c r="BI3011" s="5"/>
      <c r="BJ3011" s="5"/>
      <c r="BK3011" s="5"/>
      <c r="BL3011" s="5"/>
      <c r="BM3011" s="5"/>
      <c r="BN3011" s="5"/>
      <c r="BO3011" s="5"/>
      <c r="BP3011" s="5"/>
    </row>
    <row r="3012" spans="35:68" x14ac:dyDescent="0.25">
      <c r="AI3012" s="49"/>
      <c r="AJ3012" s="78"/>
      <c r="AK3012" s="79"/>
      <c r="AL3012" s="79"/>
      <c r="AM3012" s="79"/>
      <c r="AN3012" s="79"/>
      <c r="AO3012" s="79"/>
      <c r="AP3012" s="79"/>
      <c r="AQ3012" s="79"/>
      <c r="AR3012" s="78"/>
      <c r="AS3012" s="78"/>
      <c r="AT3012" s="79"/>
      <c r="AU3012" s="79"/>
      <c r="AV3012" s="79"/>
      <c r="AW3012" s="79"/>
      <c r="AX3012" s="79"/>
      <c r="AZ3012" s="81"/>
      <c r="BB3012" s="5"/>
      <c r="BC3012" s="5"/>
      <c r="BD3012" s="5"/>
      <c r="BE3012" s="5"/>
      <c r="BF3012" s="5"/>
      <c r="BG3012" s="5"/>
      <c r="BH3012" s="5"/>
      <c r="BI3012" s="5"/>
      <c r="BJ3012" s="5"/>
      <c r="BK3012" s="5"/>
      <c r="BL3012" s="5"/>
      <c r="BM3012" s="5"/>
      <c r="BN3012" s="5"/>
      <c r="BO3012" s="5"/>
      <c r="BP3012" s="5"/>
    </row>
    <row r="3013" spans="35:68" x14ac:dyDescent="0.25">
      <c r="AI3013" s="49"/>
      <c r="AJ3013" s="78"/>
      <c r="AK3013" s="79"/>
      <c r="AL3013" s="79"/>
      <c r="AM3013" s="79"/>
      <c r="AN3013" s="79"/>
      <c r="AO3013" s="79"/>
      <c r="AP3013" s="79"/>
      <c r="AQ3013" s="79"/>
      <c r="AR3013" s="78"/>
      <c r="AS3013" s="78"/>
      <c r="AT3013" s="79"/>
      <c r="AU3013" s="79"/>
      <c r="AV3013" s="79"/>
      <c r="AW3013" s="79"/>
      <c r="AX3013" s="79"/>
      <c r="AZ3013" s="81"/>
      <c r="BB3013" s="5"/>
      <c r="BC3013" s="5"/>
      <c r="BD3013" s="5"/>
      <c r="BE3013" s="5"/>
      <c r="BF3013" s="5"/>
      <c r="BG3013" s="5"/>
      <c r="BH3013" s="5"/>
      <c r="BI3013" s="5"/>
      <c r="BJ3013" s="5"/>
      <c r="BK3013" s="5"/>
      <c r="BL3013" s="5"/>
      <c r="BM3013" s="5"/>
      <c r="BN3013" s="5"/>
      <c r="BO3013" s="5"/>
      <c r="BP3013" s="5"/>
    </row>
    <row r="3014" spans="35:68" x14ac:dyDescent="0.25">
      <c r="AI3014" s="49"/>
      <c r="AJ3014" s="78"/>
      <c r="AK3014" s="79"/>
      <c r="AL3014" s="79"/>
      <c r="AM3014" s="79"/>
      <c r="AN3014" s="79"/>
      <c r="AO3014" s="79"/>
      <c r="AP3014" s="79"/>
      <c r="AQ3014" s="79"/>
      <c r="AR3014" s="78"/>
      <c r="AS3014" s="78"/>
      <c r="AT3014" s="79"/>
      <c r="AU3014" s="79"/>
      <c r="AV3014" s="79"/>
      <c r="AW3014" s="79"/>
      <c r="AX3014" s="79"/>
      <c r="AZ3014" s="81"/>
      <c r="BB3014" s="5"/>
      <c r="BC3014" s="5"/>
      <c r="BD3014" s="5"/>
      <c r="BE3014" s="5"/>
      <c r="BF3014" s="5"/>
      <c r="BG3014" s="5"/>
      <c r="BH3014" s="5"/>
      <c r="BI3014" s="5"/>
      <c r="BJ3014" s="5"/>
      <c r="BK3014" s="5"/>
      <c r="BL3014" s="5"/>
      <c r="BM3014" s="5"/>
      <c r="BN3014" s="5"/>
      <c r="BO3014" s="5"/>
      <c r="BP3014" s="5"/>
    </row>
    <row r="3015" spans="35:68" x14ac:dyDescent="0.25">
      <c r="AI3015" s="49"/>
      <c r="AJ3015" s="78"/>
      <c r="AK3015" s="79"/>
      <c r="AL3015" s="79"/>
      <c r="AM3015" s="79"/>
      <c r="AN3015" s="79"/>
      <c r="AO3015" s="79"/>
      <c r="AP3015" s="79"/>
      <c r="AQ3015" s="79"/>
      <c r="AR3015" s="78"/>
      <c r="AS3015" s="78"/>
      <c r="AT3015" s="79"/>
      <c r="AU3015" s="79"/>
      <c r="AV3015" s="79"/>
      <c r="AW3015" s="79"/>
      <c r="AX3015" s="79"/>
      <c r="AZ3015" s="81"/>
      <c r="BB3015" s="5"/>
      <c r="BC3015" s="5"/>
      <c r="BD3015" s="5"/>
      <c r="BE3015" s="5"/>
      <c r="BF3015" s="5"/>
      <c r="BG3015" s="5"/>
      <c r="BH3015" s="5"/>
      <c r="BI3015" s="5"/>
      <c r="BJ3015" s="5"/>
      <c r="BK3015" s="5"/>
      <c r="BL3015" s="5"/>
      <c r="BM3015" s="5"/>
      <c r="BN3015" s="5"/>
      <c r="BO3015" s="5"/>
      <c r="BP3015" s="5"/>
    </row>
    <row r="3016" spans="35:68" x14ac:dyDescent="0.25">
      <c r="AI3016" s="49"/>
      <c r="AJ3016" s="78"/>
      <c r="AK3016" s="79"/>
      <c r="AL3016" s="79"/>
      <c r="AM3016" s="79"/>
      <c r="AN3016" s="79"/>
      <c r="AO3016" s="79"/>
      <c r="AP3016" s="79"/>
      <c r="AQ3016" s="79"/>
      <c r="AR3016" s="78"/>
      <c r="AS3016" s="78"/>
      <c r="AT3016" s="79"/>
      <c r="AU3016" s="79"/>
      <c r="AV3016" s="79"/>
      <c r="AW3016" s="79"/>
      <c r="AX3016" s="79"/>
      <c r="AZ3016" s="81"/>
      <c r="BB3016" s="5"/>
      <c r="BC3016" s="5"/>
      <c r="BD3016" s="5"/>
      <c r="BE3016" s="5"/>
      <c r="BF3016" s="5"/>
      <c r="BG3016" s="5"/>
      <c r="BH3016" s="5"/>
      <c r="BI3016" s="5"/>
      <c r="BJ3016" s="5"/>
      <c r="BK3016" s="5"/>
      <c r="BL3016" s="5"/>
      <c r="BM3016" s="5"/>
      <c r="BN3016" s="5"/>
      <c r="BO3016" s="5"/>
      <c r="BP3016" s="5"/>
    </row>
    <row r="3017" spans="35:68" x14ac:dyDescent="0.25">
      <c r="AI3017" s="49"/>
      <c r="AJ3017" s="78"/>
      <c r="AK3017" s="79"/>
      <c r="AL3017" s="79"/>
      <c r="AM3017" s="79"/>
      <c r="AN3017" s="79"/>
      <c r="AO3017" s="79"/>
      <c r="AP3017" s="79"/>
      <c r="AQ3017" s="79"/>
      <c r="AR3017" s="78"/>
      <c r="AS3017" s="78"/>
      <c r="AT3017" s="79"/>
      <c r="AU3017" s="79"/>
      <c r="AV3017" s="79"/>
      <c r="AW3017" s="79"/>
      <c r="AX3017" s="79"/>
      <c r="AZ3017" s="81"/>
      <c r="BB3017" s="5"/>
      <c r="BC3017" s="5"/>
      <c r="BD3017" s="5"/>
      <c r="BE3017" s="5"/>
      <c r="BF3017" s="5"/>
      <c r="BG3017" s="5"/>
      <c r="BH3017" s="5"/>
      <c r="BI3017" s="5"/>
      <c r="BJ3017" s="5"/>
      <c r="BK3017" s="5"/>
      <c r="BL3017" s="5"/>
      <c r="BM3017" s="5"/>
      <c r="BN3017" s="5"/>
      <c r="BO3017" s="5"/>
      <c r="BP3017" s="5"/>
    </row>
    <row r="3018" spans="35:68" x14ac:dyDescent="0.25">
      <c r="AI3018" s="49"/>
      <c r="AJ3018" s="78"/>
      <c r="AK3018" s="79"/>
      <c r="AL3018" s="79"/>
      <c r="AM3018" s="79"/>
      <c r="AN3018" s="79"/>
      <c r="AO3018" s="79"/>
      <c r="AP3018" s="79"/>
      <c r="AQ3018" s="79"/>
      <c r="AR3018" s="78"/>
      <c r="AS3018" s="78"/>
      <c r="AT3018" s="79"/>
      <c r="AU3018" s="79"/>
      <c r="AV3018" s="79"/>
      <c r="AW3018" s="79"/>
      <c r="AX3018" s="79"/>
      <c r="AZ3018" s="81"/>
      <c r="BB3018" s="5"/>
      <c r="BC3018" s="5"/>
      <c r="BD3018" s="5"/>
      <c r="BE3018" s="5"/>
      <c r="BF3018" s="5"/>
      <c r="BG3018" s="5"/>
      <c r="BH3018" s="5"/>
      <c r="BI3018" s="5"/>
      <c r="BJ3018" s="5"/>
      <c r="BK3018" s="5"/>
      <c r="BL3018" s="5"/>
      <c r="BM3018" s="5"/>
      <c r="BN3018" s="5"/>
      <c r="BO3018" s="5"/>
      <c r="BP3018" s="5"/>
    </row>
    <row r="3019" spans="35:68" x14ac:dyDescent="0.25">
      <c r="AI3019" s="49"/>
      <c r="AJ3019" s="78"/>
      <c r="AK3019" s="79"/>
      <c r="AL3019" s="79"/>
      <c r="AM3019" s="79"/>
      <c r="AN3019" s="79"/>
      <c r="AO3019" s="79"/>
      <c r="AP3019" s="79"/>
      <c r="AQ3019" s="79"/>
      <c r="AR3019" s="78"/>
      <c r="AS3019" s="78"/>
      <c r="AT3019" s="79"/>
      <c r="AU3019" s="79"/>
      <c r="AV3019" s="79"/>
      <c r="AW3019" s="79"/>
      <c r="AX3019" s="79"/>
      <c r="AZ3019" s="81"/>
      <c r="BB3019" s="5"/>
      <c r="BC3019" s="5"/>
      <c r="BD3019" s="5"/>
      <c r="BE3019" s="5"/>
      <c r="BF3019" s="5"/>
      <c r="BG3019" s="5"/>
      <c r="BH3019" s="5"/>
      <c r="BI3019" s="5"/>
      <c r="BJ3019" s="5"/>
      <c r="BK3019" s="5"/>
      <c r="BL3019" s="5"/>
      <c r="BM3019" s="5"/>
      <c r="BN3019" s="5"/>
      <c r="BO3019" s="5"/>
      <c r="BP3019" s="5"/>
    </row>
    <row r="3020" spans="35:68" x14ac:dyDescent="0.25">
      <c r="AI3020" s="49"/>
      <c r="AJ3020" s="78"/>
      <c r="AK3020" s="79"/>
      <c r="AL3020" s="79"/>
      <c r="AM3020" s="79"/>
      <c r="AN3020" s="79"/>
      <c r="AO3020" s="79"/>
      <c r="AP3020" s="79"/>
      <c r="AQ3020" s="79"/>
      <c r="AR3020" s="78"/>
      <c r="AS3020" s="78"/>
      <c r="AT3020" s="79"/>
      <c r="AU3020" s="79"/>
      <c r="AV3020" s="79"/>
      <c r="AW3020" s="79"/>
      <c r="AX3020" s="79"/>
      <c r="AZ3020" s="81"/>
      <c r="BB3020" s="5"/>
      <c r="BC3020" s="5"/>
      <c r="BD3020" s="5"/>
      <c r="BE3020" s="5"/>
      <c r="BF3020" s="5"/>
      <c r="BG3020" s="5"/>
      <c r="BH3020" s="5"/>
      <c r="BI3020" s="5"/>
      <c r="BJ3020" s="5"/>
      <c r="BK3020" s="5"/>
      <c r="BL3020" s="5"/>
      <c r="BM3020" s="5"/>
      <c r="BN3020" s="5"/>
      <c r="BO3020" s="5"/>
      <c r="BP3020" s="5"/>
    </row>
    <row r="3021" spans="35:68" x14ac:dyDescent="0.25">
      <c r="AI3021" s="49"/>
      <c r="AJ3021" s="78"/>
      <c r="AK3021" s="79"/>
      <c r="AL3021" s="79"/>
      <c r="AM3021" s="79"/>
      <c r="AN3021" s="79"/>
      <c r="AO3021" s="79"/>
      <c r="AP3021" s="79"/>
      <c r="AQ3021" s="79"/>
      <c r="AR3021" s="78"/>
      <c r="AS3021" s="78"/>
      <c r="AT3021" s="79"/>
      <c r="AU3021" s="79"/>
      <c r="AV3021" s="79"/>
      <c r="AW3021" s="79"/>
      <c r="AX3021" s="79"/>
      <c r="AZ3021" s="81"/>
      <c r="BB3021" s="5"/>
      <c r="BC3021" s="5"/>
      <c r="BD3021" s="5"/>
      <c r="BE3021" s="5"/>
      <c r="BF3021" s="5"/>
      <c r="BG3021" s="5"/>
      <c r="BH3021" s="5"/>
      <c r="BI3021" s="5"/>
      <c r="BJ3021" s="5"/>
      <c r="BK3021" s="5"/>
      <c r="BL3021" s="5"/>
      <c r="BM3021" s="5"/>
      <c r="BN3021" s="5"/>
      <c r="BO3021" s="5"/>
      <c r="BP3021" s="5"/>
    </row>
    <row r="3022" spans="35:68" x14ac:dyDescent="0.25">
      <c r="AI3022" s="49"/>
      <c r="AJ3022" s="78"/>
      <c r="AK3022" s="79"/>
      <c r="AL3022" s="79"/>
      <c r="AM3022" s="79"/>
      <c r="AN3022" s="79"/>
      <c r="AO3022" s="79"/>
      <c r="AP3022" s="79"/>
      <c r="AQ3022" s="79"/>
      <c r="AR3022" s="78"/>
      <c r="AS3022" s="78"/>
      <c r="AT3022" s="79"/>
      <c r="AU3022" s="79"/>
      <c r="AV3022" s="79"/>
      <c r="AW3022" s="79"/>
      <c r="AX3022" s="79"/>
      <c r="AZ3022" s="81"/>
      <c r="BB3022" s="5"/>
      <c r="BC3022" s="5"/>
      <c r="BD3022" s="5"/>
      <c r="BE3022" s="5"/>
      <c r="BF3022" s="5"/>
      <c r="BG3022" s="5"/>
      <c r="BH3022" s="5"/>
      <c r="BI3022" s="5"/>
      <c r="BJ3022" s="5"/>
      <c r="BK3022" s="5"/>
      <c r="BL3022" s="5"/>
      <c r="BM3022" s="5"/>
      <c r="BN3022" s="5"/>
      <c r="BO3022" s="5"/>
      <c r="BP3022" s="5"/>
    </row>
    <row r="3023" spans="35:68" x14ac:dyDescent="0.25">
      <c r="AI3023" s="49"/>
      <c r="AJ3023" s="78"/>
      <c r="AK3023" s="79"/>
      <c r="AL3023" s="79"/>
      <c r="AM3023" s="79"/>
      <c r="AN3023" s="79"/>
      <c r="AO3023" s="79"/>
      <c r="AP3023" s="79"/>
      <c r="AQ3023" s="79"/>
      <c r="AR3023" s="78"/>
      <c r="AS3023" s="78"/>
      <c r="AT3023" s="79"/>
      <c r="AU3023" s="79"/>
      <c r="AV3023" s="79"/>
      <c r="AW3023" s="79"/>
      <c r="AX3023" s="79"/>
      <c r="AZ3023" s="81"/>
      <c r="BB3023" s="5"/>
      <c r="BC3023" s="5"/>
      <c r="BD3023" s="5"/>
      <c r="BE3023" s="5"/>
      <c r="BF3023" s="5"/>
      <c r="BG3023" s="5"/>
      <c r="BH3023" s="5"/>
      <c r="BI3023" s="5"/>
      <c r="BJ3023" s="5"/>
      <c r="BK3023" s="5"/>
      <c r="BL3023" s="5"/>
      <c r="BM3023" s="5"/>
      <c r="BN3023" s="5"/>
      <c r="BO3023" s="5"/>
      <c r="BP3023" s="5"/>
    </row>
    <row r="3024" spans="35:68" x14ac:dyDescent="0.25">
      <c r="AI3024" s="49"/>
      <c r="AJ3024" s="78"/>
      <c r="AK3024" s="79"/>
      <c r="AL3024" s="79"/>
      <c r="AM3024" s="79"/>
      <c r="AN3024" s="79"/>
      <c r="AO3024" s="79"/>
      <c r="AP3024" s="79"/>
      <c r="AQ3024" s="79"/>
      <c r="AR3024" s="78"/>
      <c r="AS3024" s="78"/>
      <c r="AT3024" s="79"/>
      <c r="AU3024" s="79"/>
      <c r="AV3024" s="79"/>
      <c r="AW3024" s="79"/>
      <c r="AX3024" s="79"/>
      <c r="AZ3024" s="81"/>
      <c r="BB3024" s="5"/>
      <c r="BC3024" s="5"/>
      <c r="BD3024" s="5"/>
      <c r="BE3024" s="5"/>
      <c r="BF3024" s="5"/>
      <c r="BG3024" s="5"/>
      <c r="BH3024" s="5"/>
      <c r="BI3024" s="5"/>
      <c r="BJ3024" s="5"/>
      <c r="BK3024" s="5"/>
      <c r="BL3024" s="5"/>
      <c r="BM3024" s="5"/>
      <c r="BN3024" s="5"/>
      <c r="BO3024" s="5"/>
      <c r="BP3024" s="5"/>
    </row>
    <row r="3025" spans="35:68" x14ac:dyDescent="0.25">
      <c r="AI3025" s="49"/>
      <c r="AJ3025" s="78"/>
      <c r="AK3025" s="79"/>
      <c r="AL3025" s="79"/>
      <c r="AM3025" s="79"/>
      <c r="AN3025" s="79"/>
      <c r="AO3025" s="79"/>
      <c r="AP3025" s="79"/>
      <c r="AQ3025" s="79"/>
      <c r="AR3025" s="78"/>
      <c r="AS3025" s="78"/>
      <c r="AT3025" s="79"/>
      <c r="AU3025" s="79"/>
      <c r="AV3025" s="79"/>
      <c r="AW3025" s="79"/>
      <c r="AX3025" s="79"/>
      <c r="AZ3025" s="81"/>
      <c r="BB3025" s="5"/>
      <c r="BC3025" s="5"/>
      <c r="BD3025" s="5"/>
      <c r="BE3025" s="5"/>
      <c r="BF3025" s="5"/>
      <c r="BG3025" s="5"/>
      <c r="BH3025" s="5"/>
      <c r="BI3025" s="5"/>
      <c r="BJ3025" s="5"/>
      <c r="BK3025" s="5"/>
      <c r="BL3025" s="5"/>
      <c r="BM3025" s="5"/>
      <c r="BN3025" s="5"/>
      <c r="BO3025" s="5"/>
      <c r="BP3025" s="5"/>
    </row>
    <row r="3026" spans="35:68" x14ac:dyDescent="0.25">
      <c r="AI3026" s="49"/>
      <c r="AJ3026" s="78"/>
      <c r="AK3026" s="79"/>
      <c r="AL3026" s="79"/>
      <c r="AM3026" s="79"/>
      <c r="AN3026" s="79"/>
      <c r="AO3026" s="79"/>
      <c r="AP3026" s="79"/>
      <c r="AQ3026" s="79"/>
      <c r="AR3026" s="78"/>
      <c r="AS3026" s="78"/>
      <c r="AT3026" s="79"/>
      <c r="AU3026" s="79"/>
      <c r="AV3026" s="79"/>
      <c r="AW3026" s="79"/>
      <c r="AX3026" s="79"/>
      <c r="AZ3026" s="81"/>
      <c r="BB3026" s="5"/>
      <c r="BC3026" s="5"/>
      <c r="BD3026" s="5"/>
      <c r="BE3026" s="5"/>
      <c r="BF3026" s="5"/>
      <c r="BG3026" s="5"/>
      <c r="BH3026" s="5"/>
      <c r="BI3026" s="5"/>
      <c r="BJ3026" s="5"/>
      <c r="BK3026" s="5"/>
      <c r="BL3026" s="5"/>
      <c r="BM3026" s="5"/>
      <c r="BN3026" s="5"/>
      <c r="BO3026" s="5"/>
      <c r="BP3026" s="5"/>
    </row>
    <row r="3027" spans="35:68" x14ac:dyDescent="0.25">
      <c r="AI3027" s="49"/>
      <c r="AJ3027" s="78"/>
      <c r="AK3027" s="79"/>
      <c r="AL3027" s="79"/>
      <c r="AM3027" s="79"/>
      <c r="AN3027" s="79"/>
      <c r="AO3027" s="79"/>
      <c r="AP3027" s="79"/>
      <c r="AQ3027" s="79"/>
      <c r="AR3027" s="78"/>
      <c r="AS3027" s="78"/>
      <c r="AT3027" s="79"/>
      <c r="AU3027" s="79"/>
      <c r="AV3027" s="79"/>
      <c r="AW3027" s="79"/>
      <c r="AX3027" s="79"/>
      <c r="AZ3027" s="81"/>
      <c r="BB3027" s="5"/>
      <c r="BC3027" s="5"/>
      <c r="BD3027" s="5"/>
      <c r="BE3027" s="5"/>
      <c r="BF3027" s="5"/>
      <c r="BG3027" s="5"/>
      <c r="BH3027" s="5"/>
      <c r="BI3027" s="5"/>
      <c r="BJ3027" s="5"/>
      <c r="BK3027" s="5"/>
      <c r="BL3027" s="5"/>
      <c r="BM3027" s="5"/>
      <c r="BN3027" s="5"/>
      <c r="BO3027" s="5"/>
      <c r="BP3027" s="5"/>
    </row>
    <row r="3028" spans="35:68" x14ac:dyDescent="0.25">
      <c r="AI3028" s="49"/>
      <c r="AJ3028" s="78"/>
      <c r="AK3028" s="79"/>
      <c r="AL3028" s="79"/>
      <c r="AM3028" s="79"/>
      <c r="AN3028" s="79"/>
      <c r="AO3028" s="79"/>
      <c r="AP3028" s="79"/>
      <c r="AQ3028" s="79"/>
      <c r="AR3028" s="78"/>
      <c r="AS3028" s="78"/>
      <c r="AT3028" s="79"/>
      <c r="AU3028" s="79"/>
      <c r="AV3028" s="79"/>
      <c r="AW3028" s="79"/>
      <c r="AX3028" s="79"/>
      <c r="AZ3028" s="81"/>
      <c r="BB3028" s="5"/>
      <c r="BC3028" s="5"/>
      <c r="BD3028" s="5"/>
      <c r="BE3028" s="5"/>
      <c r="BF3028" s="5"/>
      <c r="BG3028" s="5"/>
      <c r="BH3028" s="5"/>
      <c r="BI3028" s="5"/>
      <c r="BJ3028" s="5"/>
      <c r="BK3028" s="5"/>
      <c r="BL3028" s="5"/>
      <c r="BM3028" s="5"/>
      <c r="BN3028" s="5"/>
      <c r="BO3028" s="5"/>
      <c r="BP3028" s="5"/>
    </row>
    <row r="3029" spans="35:68" x14ac:dyDescent="0.25">
      <c r="AI3029" s="49"/>
      <c r="AJ3029" s="78"/>
      <c r="AK3029" s="79"/>
      <c r="AL3029" s="79"/>
      <c r="AM3029" s="79"/>
      <c r="AN3029" s="79"/>
      <c r="AO3029" s="79"/>
      <c r="AP3029" s="79"/>
      <c r="AQ3029" s="79"/>
      <c r="AR3029" s="78"/>
      <c r="AS3029" s="78"/>
      <c r="AT3029" s="79"/>
      <c r="AU3029" s="79"/>
      <c r="AV3029" s="79"/>
      <c r="AW3029" s="79"/>
      <c r="AX3029" s="79"/>
      <c r="AZ3029" s="81"/>
      <c r="BB3029" s="5"/>
      <c r="BC3029" s="5"/>
      <c r="BD3029" s="5"/>
      <c r="BE3029" s="5"/>
      <c r="BF3029" s="5"/>
      <c r="BG3029" s="5"/>
      <c r="BH3029" s="5"/>
      <c r="BI3029" s="5"/>
      <c r="BJ3029" s="5"/>
      <c r="BK3029" s="5"/>
      <c r="BL3029" s="5"/>
      <c r="BM3029" s="5"/>
      <c r="BN3029" s="5"/>
      <c r="BO3029" s="5"/>
      <c r="BP3029" s="5"/>
    </row>
    <row r="3030" spans="35:68" x14ac:dyDescent="0.25">
      <c r="AI3030" s="49"/>
      <c r="AJ3030" s="78"/>
      <c r="AK3030" s="79"/>
      <c r="AL3030" s="79"/>
      <c r="AM3030" s="79"/>
      <c r="AN3030" s="79"/>
      <c r="AO3030" s="79"/>
      <c r="AP3030" s="79"/>
      <c r="AQ3030" s="79"/>
      <c r="AR3030" s="78"/>
      <c r="AS3030" s="78"/>
      <c r="AT3030" s="79"/>
      <c r="AU3030" s="79"/>
      <c r="AV3030" s="79"/>
      <c r="AW3030" s="79"/>
      <c r="AX3030" s="79"/>
      <c r="AZ3030" s="81"/>
      <c r="BB3030" s="5"/>
      <c r="BC3030" s="5"/>
      <c r="BD3030" s="5"/>
      <c r="BE3030" s="5"/>
      <c r="BF3030" s="5"/>
      <c r="BG3030" s="5"/>
      <c r="BH3030" s="5"/>
      <c r="BI3030" s="5"/>
      <c r="BJ3030" s="5"/>
      <c r="BK3030" s="5"/>
      <c r="BL3030" s="5"/>
      <c r="BM3030" s="5"/>
      <c r="BN3030" s="5"/>
      <c r="BO3030" s="5"/>
      <c r="BP3030" s="5"/>
    </row>
    <row r="3031" spans="35:68" x14ac:dyDescent="0.25">
      <c r="AI3031" s="49"/>
      <c r="AJ3031" s="78"/>
      <c r="AK3031" s="79"/>
      <c r="AL3031" s="79"/>
      <c r="AM3031" s="79"/>
      <c r="AN3031" s="79"/>
      <c r="AO3031" s="79"/>
      <c r="AP3031" s="79"/>
      <c r="AQ3031" s="79"/>
      <c r="AR3031" s="78"/>
      <c r="AS3031" s="78"/>
      <c r="AT3031" s="79"/>
      <c r="AU3031" s="79"/>
      <c r="AV3031" s="79"/>
      <c r="AW3031" s="79"/>
      <c r="AX3031" s="79"/>
      <c r="AZ3031" s="81"/>
      <c r="BB3031" s="5"/>
      <c r="BC3031" s="5"/>
      <c r="BD3031" s="5"/>
      <c r="BE3031" s="5"/>
      <c r="BF3031" s="5"/>
      <c r="BG3031" s="5"/>
      <c r="BH3031" s="5"/>
      <c r="BI3031" s="5"/>
      <c r="BJ3031" s="5"/>
      <c r="BK3031" s="5"/>
      <c r="BL3031" s="5"/>
      <c r="BM3031" s="5"/>
      <c r="BN3031" s="5"/>
      <c r="BO3031" s="5"/>
      <c r="BP3031" s="5"/>
    </row>
    <row r="3032" spans="35:68" x14ac:dyDescent="0.25">
      <c r="AI3032" s="49"/>
      <c r="AJ3032" s="78"/>
      <c r="AK3032" s="79"/>
      <c r="AL3032" s="79"/>
      <c r="AM3032" s="79"/>
      <c r="AN3032" s="79"/>
      <c r="AO3032" s="79"/>
      <c r="AP3032" s="79"/>
      <c r="AQ3032" s="79"/>
      <c r="AR3032" s="78"/>
      <c r="AS3032" s="78"/>
      <c r="AT3032" s="79"/>
      <c r="AU3032" s="79"/>
      <c r="AV3032" s="79"/>
      <c r="AW3032" s="79"/>
      <c r="AX3032" s="79"/>
      <c r="AZ3032" s="81"/>
      <c r="BB3032" s="5"/>
      <c r="BC3032" s="5"/>
      <c r="BD3032" s="5"/>
      <c r="BE3032" s="5"/>
      <c r="BF3032" s="5"/>
      <c r="BG3032" s="5"/>
      <c r="BH3032" s="5"/>
      <c r="BI3032" s="5"/>
      <c r="BJ3032" s="5"/>
      <c r="BK3032" s="5"/>
      <c r="BL3032" s="5"/>
      <c r="BM3032" s="5"/>
      <c r="BN3032" s="5"/>
      <c r="BO3032" s="5"/>
      <c r="BP3032" s="5"/>
    </row>
    <row r="3033" spans="35:68" x14ac:dyDescent="0.25">
      <c r="AI3033" s="49"/>
      <c r="AJ3033" s="78"/>
      <c r="AK3033" s="79"/>
      <c r="AL3033" s="79"/>
      <c r="AM3033" s="79"/>
      <c r="AN3033" s="79"/>
      <c r="AO3033" s="79"/>
      <c r="AP3033" s="79"/>
      <c r="AQ3033" s="79"/>
      <c r="AR3033" s="78"/>
      <c r="AS3033" s="78"/>
      <c r="AT3033" s="79"/>
      <c r="AU3033" s="79"/>
      <c r="AV3033" s="79"/>
      <c r="AW3033" s="79"/>
      <c r="AX3033" s="79"/>
      <c r="AZ3033" s="81"/>
      <c r="BB3033" s="5"/>
      <c r="BC3033" s="5"/>
      <c r="BD3033" s="5"/>
      <c r="BE3033" s="5"/>
      <c r="BF3033" s="5"/>
      <c r="BG3033" s="5"/>
      <c r="BH3033" s="5"/>
      <c r="BI3033" s="5"/>
      <c r="BJ3033" s="5"/>
      <c r="BK3033" s="5"/>
      <c r="BL3033" s="5"/>
      <c r="BM3033" s="5"/>
      <c r="BN3033" s="5"/>
      <c r="BO3033" s="5"/>
      <c r="BP3033" s="5"/>
    </row>
    <row r="3034" spans="35:68" x14ac:dyDescent="0.25">
      <c r="AI3034" s="49"/>
      <c r="AJ3034" s="78"/>
      <c r="AK3034" s="79"/>
      <c r="AL3034" s="79"/>
      <c r="AM3034" s="79"/>
      <c r="AN3034" s="79"/>
      <c r="AO3034" s="79"/>
      <c r="AP3034" s="79"/>
      <c r="AQ3034" s="79"/>
      <c r="AR3034" s="78"/>
      <c r="AS3034" s="78"/>
      <c r="AT3034" s="79"/>
      <c r="AU3034" s="79"/>
      <c r="AV3034" s="79"/>
      <c r="AW3034" s="79"/>
      <c r="AX3034" s="79"/>
      <c r="AZ3034" s="81"/>
      <c r="BB3034" s="5"/>
      <c r="BC3034" s="5"/>
      <c r="BD3034" s="5"/>
      <c r="BE3034" s="5"/>
      <c r="BF3034" s="5"/>
      <c r="BG3034" s="5"/>
      <c r="BH3034" s="5"/>
      <c r="BI3034" s="5"/>
      <c r="BJ3034" s="5"/>
      <c r="BK3034" s="5"/>
      <c r="BL3034" s="5"/>
      <c r="BM3034" s="5"/>
      <c r="BN3034" s="5"/>
      <c r="BO3034" s="5"/>
      <c r="BP3034" s="5"/>
    </row>
    <row r="3035" spans="35:68" x14ac:dyDescent="0.25">
      <c r="AI3035" s="49"/>
      <c r="AJ3035" s="78"/>
      <c r="AK3035" s="79"/>
      <c r="AL3035" s="79"/>
      <c r="AM3035" s="79"/>
      <c r="AN3035" s="79"/>
      <c r="AO3035" s="79"/>
      <c r="AP3035" s="79"/>
      <c r="AQ3035" s="79"/>
      <c r="AR3035" s="78"/>
      <c r="AS3035" s="78"/>
      <c r="AT3035" s="79"/>
      <c r="AU3035" s="79"/>
      <c r="AV3035" s="79"/>
      <c r="AW3035" s="79"/>
      <c r="AX3035" s="79"/>
      <c r="AZ3035" s="81"/>
      <c r="BB3035" s="5"/>
      <c r="BC3035" s="5"/>
      <c r="BD3035" s="5"/>
      <c r="BE3035" s="5"/>
      <c r="BF3035" s="5"/>
      <c r="BG3035" s="5"/>
      <c r="BH3035" s="5"/>
      <c r="BI3035" s="5"/>
      <c r="BJ3035" s="5"/>
      <c r="BK3035" s="5"/>
      <c r="BL3035" s="5"/>
      <c r="BM3035" s="5"/>
      <c r="BN3035" s="5"/>
      <c r="BO3035" s="5"/>
      <c r="BP3035" s="5"/>
    </row>
    <row r="3036" spans="35:68" x14ac:dyDescent="0.25">
      <c r="AI3036" s="49"/>
      <c r="AJ3036" s="78"/>
      <c r="AK3036" s="79"/>
      <c r="AL3036" s="79"/>
      <c r="AM3036" s="79"/>
      <c r="AN3036" s="79"/>
      <c r="AO3036" s="79"/>
      <c r="AP3036" s="79"/>
      <c r="AQ3036" s="79"/>
      <c r="AR3036" s="78"/>
      <c r="AS3036" s="78"/>
      <c r="AT3036" s="79"/>
      <c r="AU3036" s="79"/>
      <c r="AV3036" s="79"/>
      <c r="AW3036" s="79"/>
      <c r="AX3036" s="79"/>
      <c r="AZ3036" s="81"/>
      <c r="BB3036" s="5"/>
      <c r="BC3036" s="5"/>
      <c r="BD3036" s="5"/>
      <c r="BE3036" s="5"/>
      <c r="BF3036" s="5"/>
      <c r="BG3036" s="5"/>
      <c r="BH3036" s="5"/>
      <c r="BI3036" s="5"/>
      <c r="BJ3036" s="5"/>
      <c r="BK3036" s="5"/>
      <c r="BL3036" s="5"/>
      <c r="BM3036" s="5"/>
      <c r="BN3036" s="5"/>
      <c r="BO3036" s="5"/>
      <c r="BP3036" s="5"/>
    </row>
    <row r="3037" spans="35:68" x14ac:dyDescent="0.25">
      <c r="AI3037" s="49"/>
      <c r="AJ3037" s="78"/>
      <c r="AK3037" s="79"/>
      <c r="AL3037" s="79"/>
      <c r="AM3037" s="79"/>
      <c r="AN3037" s="79"/>
      <c r="AO3037" s="79"/>
      <c r="AP3037" s="79"/>
      <c r="AQ3037" s="79"/>
      <c r="AR3037" s="78"/>
      <c r="AS3037" s="78"/>
      <c r="AT3037" s="79"/>
      <c r="AU3037" s="79"/>
      <c r="AV3037" s="79"/>
      <c r="AW3037" s="79"/>
      <c r="AX3037" s="79"/>
      <c r="AZ3037" s="81"/>
      <c r="BB3037" s="5"/>
      <c r="BC3037" s="5"/>
      <c r="BD3037" s="5"/>
      <c r="BE3037" s="5"/>
      <c r="BF3037" s="5"/>
      <c r="BG3037" s="5"/>
      <c r="BH3037" s="5"/>
      <c r="BI3037" s="5"/>
      <c r="BJ3037" s="5"/>
      <c r="BK3037" s="5"/>
      <c r="BL3037" s="5"/>
      <c r="BM3037" s="5"/>
      <c r="BN3037" s="5"/>
      <c r="BO3037" s="5"/>
      <c r="BP3037" s="5"/>
    </row>
    <row r="3038" spans="35:68" x14ac:dyDescent="0.25">
      <c r="AI3038" s="49"/>
      <c r="AJ3038" s="78"/>
      <c r="AK3038" s="79"/>
      <c r="AL3038" s="79"/>
      <c r="AM3038" s="79"/>
      <c r="AN3038" s="79"/>
      <c r="AO3038" s="79"/>
      <c r="AP3038" s="79"/>
      <c r="AQ3038" s="79"/>
      <c r="AR3038" s="78"/>
      <c r="AS3038" s="78"/>
      <c r="AT3038" s="79"/>
      <c r="AU3038" s="79"/>
      <c r="AV3038" s="79"/>
      <c r="AW3038" s="79"/>
      <c r="AX3038" s="79"/>
      <c r="AZ3038" s="81"/>
      <c r="BB3038" s="5"/>
      <c r="BC3038" s="5"/>
      <c r="BD3038" s="5"/>
      <c r="BE3038" s="5"/>
      <c r="BF3038" s="5"/>
      <c r="BG3038" s="5"/>
      <c r="BH3038" s="5"/>
      <c r="BI3038" s="5"/>
      <c r="BJ3038" s="5"/>
      <c r="BK3038" s="5"/>
      <c r="BL3038" s="5"/>
      <c r="BM3038" s="5"/>
      <c r="BN3038" s="5"/>
      <c r="BO3038" s="5"/>
      <c r="BP3038" s="5"/>
    </row>
    <row r="3039" spans="35:68" x14ac:dyDescent="0.25">
      <c r="AI3039" s="49"/>
      <c r="AJ3039" s="78"/>
      <c r="AK3039" s="79"/>
      <c r="AL3039" s="79"/>
      <c r="AM3039" s="79"/>
      <c r="AN3039" s="79"/>
      <c r="AO3039" s="79"/>
      <c r="AP3039" s="79"/>
      <c r="AQ3039" s="79"/>
      <c r="AR3039" s="78"/>
      <c r="AS3039" s="78"/>
      <c r="AT3039" s="79"/>
      <c r="AU3039" s="79"/>
      <c r="AV3039" s="79"/>
      <c r="AW3039" s="79"/>
      <c r="AX3039" s="79"/>
      <c r="AZ3039" s="81"/>
      <c r="BB3039" s="5"/>
      <c r="BC3039" s="5"/>
      <c r="BD3039" s="5"/>
      <c r="BE3039" s="5"/>
      <c r="BF3039" s="5"/>
      <c r="BG3039" s="5"/>
      <c r="BH3039" s="5"/>
      <c r="BI3039" s="5"/>
      <c r="BJ3039" s="5"/>
      <c r="BK3039" s="5"/>
      <c r="BL3039" s="5"/>
      <c r="BM3039" s="5"/>
      <c r="BN3039" s="5"/>
      <c r="BO3039" s="5"/>
      <c r="BP3039" s="5"/>
    </row>
    <row r="3040" spans="35:68" x14ac:dyDescent="0.25">
      <c r="AI3040" s="49"/>
      <c r="AJ3040" s="78"/>
      <c r="AK3040" s="79"/>
      <c r="AL3040" s="79"/>
      <c r="AM3040" s="79"/>
      <c r="AN3040" s="79"/>
      <c r="AO3040" s="79"/>
      <c r="AP3040" s="79"/>
      <c r="AQ3040" s="79"/>
      <c r="AR3040" s="78"/>
      <c r="AS3040" s="78"/>
      <c r="AT3040" s="79"/>
      <c r="AU3040" s="79"/>
      <c r="AV3040" s="79"/>
      <c r="AW3040" s="79"/>
      <c r="AX3040" s="79"/>
      <c r="AZ3040" s="81"/>
      <c r="BB3040" s="5"/>
      <c r="BC3040" s="5"/>
      <c r="BD3040" s="5"/>
      <c r="BE3040" s="5"/>
      <c r="BF3040" s="5"/>
      <c r="BG3040" s="5"/>
      <c r="BH3040" s="5"/>
      <c r="BI3040" s="5"/>
      <c r="BJ3040" s="5"/>
      <c r="BK3040" s="5"/>
      <c r="BL3040" s="5"/>
      <c r="BM3040" s="5"/>
      <c r="BN3040" s="5"/>
      <c r="BO3040" s="5"/>
      <c r="BP3040" s="5"/>
    </row>
    <row r="3041" spans="35:68" x14ac:dyDescent="0.25">
      <c r="AI3041" s="49"/>
      <c r="AJ3041" s="78"/>
      <c r="AK3041" s="79"/>
      <c r="AL3041" s="79"/>
      <c r="AM3041" s="79"/>
      <c r="AN3041" s="79"/>
      <c r="AO3041" s="79"/>
      <c r="AP3041" s="79"/>
      <c r="AQ3041" s="79"/>
      <c r="AR3041" s="78"/>
      <c r="AS3041" s="78"/>
      <c r="AT3041" s="79"/>
      <c r="AU3041" s="79"/>
      <c r="AV3041" s="79"/>
      <c r="AW3041" s="79"/>
      <c r="AX3041" s="79"/>
      <c r="AZ3041" s="81"/>
      <c r="BB3041" s="5"/>
      <c r="BC3041" s="5"/>
      <c r="BD3041" s="5"/>
      <c r="BE3041" s="5"/>
      <c r="BF3041" s="5"/>
      <c r="BG3041" s="5"/>
      <c r="BH3041" s="5"/>
      <c r="BI3041" s="5"/>
      <c r="BJ3041" s="5"/>
      <c r="BK3041" s="5"/>
      <c r="BL3041" s="5"/>
      <c r="BM3041" s="5"/>
      <c r="BN3041" s="5"/>
      <c r="BO3041" s="5"/>
      <c r="BP3041" s="5"/>
    </row>
    <row r="3042" spans="35:68" x14ac:dyDescent="0.25">
      <c r="AI3042" s="49"/>
      <c r="AJ3042" s="78"/>
      <c r="AK3042" s="79"/>
      <c r="AL3042" s="79"/>
      <c r="AM3042" s="79"/>
      <c r="AN3042" s="79"/>
      <c r="AO3042" s="79"/>
      <c r="AP3042" s="79"/>
      <c r="AQ3042" s="79"/>
      <c r="AR3042" s="78"/>
      <c r="AS3042" s="78"/>
      <c r="AT3042" s="79"/>
      <c r="AU3042" s="79"/>
      <c r="AV3042" s="79"/>
      <c r="AW3042" s="79"/>
      <c r="AX3042" s="79"/>
      <c r="AZ3042" s="81"/>
      <c r="BB3042" s="5"/>
      <c r="BC3042" s="5"/>
      <c r="BD3042" s="5"/>
      <c r="BE3042" s="5"/>
      <c r="BF3042" s="5"/>
      <c r="BG3042" s="5"/>
      <c r="BH3042" s="5"/>
      <c r="BI3042" s="5"/>
      <c r="BJ3042" s="5"/>
      <c r="BK3042" s="5"/>
      <c r="BL3042" s="5"/>
      <c r="BM3042" s="5"/>
      <c r="BN3042" s="5"/>
      <c r="BO3042" s="5"/>
      <c r="BP3042" s="5"/>
    </row>
    <row r="3043" spans="35:68" x14ac:dyDescent="0.25">
      <c r="AI3043" s="49"/>
      <c r="AJ3043" s="78"/>
      <c r="AK3043" s="79"/>
      <c r="AL3043" s="79"/>
      <c r="AM3043" s="79"/>
      <c r="AN3043" s="79"/>
      <c r="AO3043" s="79"/>
      <c r="AP3043" s="79"/>
      <c r="AQ3043" s="79"/>
      <c r="AR3043" s="78"/>
      <c r="AS3043" s="78"/>
      <c r="AT3043" s="79"/>
      <c r="AU3043" s="79"/>
      <c r="AV3043" s="79"/>
      <c r="AW3043" s="79"/>
      <c r="AX3043" s="79"/>
      <c r="AZ3043" s="81"/>
      <c r="BB3043" s="5"/>
      <c r="BC3043" s="5"/>
      <c r="BD3043" s="5"/>
      <c r="BE3043" s="5"/>
      <c r="BF3043" s="5"/>
      <c r="BG3043" s="5"/>
      <c r="BH3043" s="5"/>
      <c r="BI3043" s="5"/>
      <c r="BJ3043" s="5"/>
      <c r="BK3043" s="5"/>
      <c r="BL3043" s="5"/>
      <c r="BM3043" s="5"/>
      <c r="BN3043" s="5"/>
      <c r="BO3043" s="5"/>
      <c r="BP3043" s="5"/>
    </row>
    <row r="3044" spans="35:68" x14ac:dyDescent="0.25">
      <c r="AI3044" s="49"/>
      <c r="AJ3044" s="78"/>
      <c r="AK3044" s="79"/>
      <c r="AL3044" s="79"/>
      <c r="AM3044" s="79"/>
      <c r="AN3044" s="79"/>
      <c r="AO3044" s="79"/>
      <c r="AP3044" s="79"/>
      <c r="AQ3044" s="79"/>
      <c r="AR3044" s="78"/>
      <c r="AS3044" s="78"/>
      <c r="AT3044" s="79"/>
      <c r="AU3044" s="79"/>
      <c r="AV3044" s="79"/>
      <c r="AW3044" s="79"/>
      <c r="AX3044" s="79"/>
      <c r="AZ3044" s="81"/>
      <c r="BB3044" s="5"/>
      <c r="BC3044" s="5"/>
      <c r="BD3044" s="5"/>
      <c r="BE3044" s="5"/>
      <c r="BF3044" s="5"/>
      <c r="BG3044" s="5"/>
      <c r="BH3044" s="5"/>
      <c r="BI3044" s="5"/>
      <c r="BJ3044" s="5"/>
      <c r="BK3044" s="5"/>
      <c r="BL3044" s="5"/>
      <c r="BM3044" s="5"/>
      <c r="BN3044" s="5"/>
      <c r="BO3044" s="5"/>
      <c r="BP3044" s="5"/>
    </row>
    <row r="3045" spans="35:68" x14ac:dyDescent="0.25">
      <c r="AI3045" s="49"/>
      <c r="AJ3045" s="78"/>
      <c r="AK3045" s="79"/>
      <c r="AL3045" s="79"/>
      <c r="AM3045" s="79"/>
      <c r="AN3045" s="79"/>
      <c r="AO3045" s="79"/>
      <c r="AP3045" s="79"/>
      <c r="AQ3045" s="79"/>
      <c r="AR3045" s="78"/>
      <c r="AS3045" s="78"/>
      <c r="AT3045" s="79"/>
      <c r="AU3045" s="79"/>
      <c r="AV3045" s="79"/>
      <c r="AW3045" s="79"/>
      <c r="AX3045" s="79"/>
      <c r="AZ3045" s="81"/>
      <c r="BB3045" s="5"/>
      <c r="BC3045" s="5"/>
      <c r="BD3045" s="5"/>
      <c r="BE3045" s="5"/>
      <c r="BF3045" s="5"/>
      <c r="BG3045" s="5"/>
      <c r="BH3045" s="5"/>
      <c r="BI3045" s="5"/>
      <c r="BJ3045" s="5"/>
      <c r="BK3045" s="5"/>
      <c r="BL3045" s="5"/>
      <c r="BM3045" s="5"/>
      <c r="BN3045" s="5"/>
      <c r="BO3045" s="5"/>
      <c r="BP3045" s="5"/>
    </row>
    <row r="3046" spans="35:68" x14ac:dyDescent="0.25">
      <c r="AI3046" s="49"/>
      <c r="AJ3046" s="78"/>
      <c r="AK3046" s="79"/>
      <c r="AL3046" s="79"/>
      <c r="AM3046" s="79"/>
      <c r="AN3046" s="79"/>
      <c r="AO3046" s="79"/>
      <c r="AP3046" s="79"/>
      <c r="AQ3046" s="79"/>
      <c r="AR3046" s="78"/>
      <c r="AS3046" s="78"/>
      <c r="AT3046" s="79"/>
      <c r="AU3046" s="79"/>
      <c r="AV3046" s="79"/>
      <c r="AW3046" s="79"/>
      <c r="AX3046" s="79"/>
      <c r="AZ3046" s="81"/>
      <c r="BB3046" s="5"/>
      <c r="BC3046" s="5"/>
      <c r="BD3046" s="5"/>
      <c r="BE3046" s="5"/>
      <c r="BF3046" s="5"/>
      <c r="BG3046" s="5"/>
      <c r="BH3046" s="5"/>
      <c r="BI3046" s="5"/>
      <c r="BJ3046" s="5"/>
      <c r="BK3046" s="5"/>
      <c r="BL3046" s="5"/>
      <c r="BM3046" s="5"/>
      <c r="BN3046" s="5"/>
      <c r="BO3046" s="5"/>
      <c r="BP3046" s="5"/>
    </row>
    <row r="3047" spans="35:68" x14ac:dyDescent="0.25">
      <c r="AI3047" s="49"/>
      <c r="AJ3047" s="78"/>
      <c r="AK3047" s="79"/>
      <c r="AL3047" s="79"/>
      <c r="AM3047" s="79"/>
      <c r="AN3047" s="79"/>
      <c r="AO3047" s="79"/>
      <c r="AP3047" s="79"/>
      <c r="AQ3047" s="79"/>
      <c r="AR3047" s="78"/>
      <c r="AS3047" s="78"/>
      <c r="AT3047" s="79"/>
      <c r="AU3047" s="79"/>
      <c r="AV3047" s="79"/>
      <c r="AW3047" s="79"/>
      <c r="AX3047" s="79"/>
      <c r="AZ3047" s="81"/>
      <c r="BB3047" s="5"/>
      <c r="BC3047" s="5"/>
      <c r="BD3047" s="5"/>
      <c r="BE3047" s="5"/>
      <c r="BF3047" s="5"/>
      <c r="BG3047" s="5"/>
      <c r="BH3047" s="5"/>
      <c r="BI3047" s="5"/>
      <c r="BJ3047" s="5"/>
      <c r="BK3047" s="5"/>
      <c r="BL3047" s="5"/>
      <c r="BM3047" s="5"/>
      <c r="BN3047" s="5"/>
      <c r="BO3047" s="5"/>
      <c r="BP3047" s="5"/>
    </row>
    <row r="3048" spans="35:68" x14ac:dyDescent="0.25">
      <c r="AI3048" s="49"/>
      <c r="AJ3048" s="78"/>
      <c r="AK3048" s="79"/>
      <c r="AL3048" s="79"/>
      <c r="AM3048" s="79"/>
      <c r="AN3048" s="79"/>
      <c r="AO3048" s="79"/>
      <c r="AP3048" s="79"/>
      <c r="AQ3048" s="79"/>
      <c r="AR3048" s="78"/>
      <c r="AS3048" s="78"/>
      <c r="AT3048" s="79"/>
      <c r="AU3048" s="79"/>
      <c r="AV3048" s="79"/>
      <c r="AW3048" s="79"/>
      <c r="AX3048" s="79"/>
      <c r="AZ3048" s="81"/>
      <c r="BB3048" s="5"/>
      <c r="BC3048" s="5"/>
      <c r="BD3048" s="5"/>
      <c r="BE3048" s="5"/>
      <c r="BF3048" s="5"/>
      <c r="BG3048" s="5"/>
      <c r="BH3048" s="5"/>
      <c r="BI3048" s="5"/>
      <c r="BJ3048" s="5"/>
      <c r="BK3048" s="5"/>
      <c r="BL3048" s="5"/>
      <c r="BM3048" s="5"/>
      <c r="BN3048" s="5"/>
      <c r="BO3048" s="5"/>
      <c r="BP3048" s="5"/>
    </row>
    <row r="3049" spans="35:68" x14ac:dyDescent="0.25">
      <c r="AI3049" s="49"/>
      <c r="AJ3049" s="78"/>
      <c r="AK3049" s="79"/>
      <c r="AL3049" s="79"/>
      <c r="AM3049" s="79"/>
      <c r="AN3049" s="79"/>
      <c r="AO3049" s="79"/>
      <c r="AP3049" s="79"/>
      <c r="AQ3049" s="79"/>
      <c r="AR3049" s="78"/>
      <c r="AS3049" s="78"/>
      <c r="AT3049" s="79"/>
      <c r="AU3049" s="79"/>
      <c r="AV3049" s="79"/>
      <c r="AW3049" s="79"/>
      <c r="AX3049" s="79"/>
      <c r="AZ3049" s="81"/>
      <c r="BB3049" s="5"/>
      <c r="BC3049" s="5"/>
      <c r="BD3049" s="5"/>
      <c r="BE3049" s="5"/>
      <c r="BF3049" s="5"/>
      <c r="BG3049" s="5"/>
      <c r="BH3049" s="5"/>
      <c r="BI3049" s="5"/>
      <c r="BJ3049" s="5"/>
      <c r="BK3049" s="5"/>
      <c r="BL3049" s="5"/>
      <c r="BM3049" s="5"/>
      <c r="BN3049" s="5"/>
      <c r="BO3049" s="5"/>
      <c r="BP3049" s="5"/>
    </row>
    <row r="3050" spans="35:68" x14ac:dyDescent="0.25">
      <c r="AI3050" s="49"/>
      <c r="AJ3050" s="78"/>
      <c r="AK3050" s="79"/>
      <c r="AL3050" s="79"/>
      <c r="AM3050" s="79"/>
      <c r="AN3050" s="79"/>
      <c r="AO3050" s="79"/>
      <c r="AP3050" s="79"/>
      <c r="AQ3050" s="79"/>
      <c r="AR3050" s="78"/>
      <c r="AS3050" s="78"/>
      <c r="AT3050" s="79"/>
      <c r="AU3050" s="79"/>
      <c r="AV3050" s="79"/>
      <c r="AW3050" s="79"/>
      <c r="AX3050" s="79"/>
      <c r="AZ3050" s="81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</row>
    <row r="3051" spans="35:68" x14ac:dyDescent="0.25">
      <c r="AI3051" s="49"/>
      <c r="AJ3051" s="78"/>
      <c r="AK3051" s="79"/>
      <c r="AL3051" s="79"/>
      <c r="AM3051" s="79"/>
      <c r="AN3051" s="79"/>
      <c r="AO3051" s="79"/>
      <c r="AP3051" s="79"/>
      <c r="AQ3051" s="79"/>
      <c r="AR3051" s="78"/>
      <c r="AS3051" s="78"/>
      <c r="AT3051" s="79"/>
      <c r="AU3051" s="79"/>
      <c r="AV3051" s="79"/>
      <c r="AW3051" s="79"/>
      <c r="AX3051" s="79"/>
      <c r="AZ3051" s="81"/>
      <c r="BB3051" s="5"/>
      <c r="BC3051" s="5"/>
      <c r="BD3051" s="5"/>
      <c r="BE3051" s="5"/>
      <c r="BF3051" s="5"/>
      <c r="BG3051" s="5"/>
      <c r="BH3051" s="5"/>
      <c r="BI3051" s="5"/>
      <c r="BJ3051" s="5"/>
      <c r="BK3051" s="5"/>
      <c r="BL3051" s="5"/>
      <c r="BM3051" s="5"/>
      <c r="BN3051" s="5"/>
      <c r="BO3051" s="5"/>
      <c r="BP3051" s="5"/>
    </row>
    <row r="3052" spans="35:68" x14ac:dyDescent="0.25">
      <c r="AI3052" s="49"/>
      <c r="AJ3052" s="78"/>
      <c r="AK3052" s="79"/>
      <c r="AL3052" s="79"/>
      <c r="AM3052" s="79"/>
      <c r="AN3052" s="79"/>
      <c r="AO3052" s="79"/>
      <c r="AP3052" s="79"/>
      <c r="AQ3052" s="79"/>
      <c r="AR3052" s="78"/>
      <c r="AS3052" s="78"/>
      <c r="AT3052" s="79"/>
      <c r="AU3052" s="79"/>
      <c r="AV3052" s="79"/>
      <c r="AW3052" s="79"/>
      <c r="AX3052" s="79"/>
      <c r="AZ3052" s="81"/>
      <c r="BB3052" s="5"/>
      <c r="BC3052" s="5"/>
      <c r="BD3052" s="5"/>
      <c r="BE3052" s="5"/>
      <c r="BF3052" s="5"/>
      <c r="BG3052" s="5"/>
      <c r="BH3052" s="5"/>
      <c r="BI3052" s="5"/>
      <c r="BJ3052" s="5"/>
      <c r="BK3052" s="5"/>
      <c r="BL3052" s="5"/>
      <c r="BM3052" s="5"/>
      <c r="BN3052" s="5"/>
      <c r="BO3052" s="5"/>
      <c r="BP3052" s="5"/>
    </row>
    <row r="3053" spans="35:68" x14ac:dyDescent="0.25">
      <c r="AI3053" s="49"/>
      <c r="AJ3053" s="78"/>
      <c r="AK3053" s="79"/>
      <c r="AL3053" s="79"/>
      <c r="AM3053" s="79"/>
      <c r="AN3053" s="79"/>
      <c r="AO3053" s="79"/>
      <c r="AP3053" s="79"/>
      <c r="AQ3053" s="79"/>
      <c r="AR3053" s="78"/>
      <c r="AS3053" s="78"/>
      <c r="AT3053" s="79"/>
      <c r="AU3053" s="79"/>
      <c r="AV3053" s="79"/>
      <c r="AW3053" s="79"/>
      <c r="AX3053" s="79"/>
      <c r="AZ3053" s="81"/>
      <c r="BB3053" s="5"/>
      <c r="BC3053" s="5"/>
      <c r="BD3053" s="5"/>
      <c r="BE3053" s="5"/>
      <c r="BF3053" s="5"/>
      <c r="BG3053" s="5"/>
      <c r="BH3053" s="5"/>
      <c r="BI3053" s="5"/>
      <c r="BJ3053" s="5"/>
      <c r="BK3053" s="5"/>
      <c r="BL3053" s="5"/>
      <c r="BM3053" s="5"/>
      <c r="BN3053" s="5"/>
      <c r="BO3053" s="5"/>
      <c r="BP3053" s="5"/>
    </row>
    <row r="3054" spans="35:68" x14ac:dyDescent="0.25">
      <c r="AI3054" s="49"/>
      <c r="AJ3054" s="78"/>
      <c r="AK3054" s="79"/>
      <c r="AL3054" s="79"/>
      <c r="AM3054" s="79"/>
      <c r="AN3054" s="79"/>
      <c r="AO3054" s="79"/>
      <c r="AP3054" s="79"/>
      <c r="AQ3054" s="79"/>
      <c r="AR3054" s="78"/>
      <c r="AS3054" s="78"/>
      <c r="AT3054" s="79"/>
      <c r="AU3054" s="79"/>
      <c r="AV3054" s="79"/>
      <c r="AW3054" s="79"/>
      <c r="AX3054" s="79"/>
      <c r="AZ3054" s="81"/>
      <c r="BB3054" s="5"/>
      <c r="BC3054" s="5"/>
      <c r="BD3054" s="5"/>
      <c r="BE3054" s="5"/>
      <c r="BF3054" s="5"/>
      <c r="BG3054" s="5"/>
      <c r="BH3054" s="5"/>
      <c r="BI3054" s="5"/>
      <c r="BJ3054" s="5"/>
      <c r="BK3054" s="5"/>
      <c r="BL3054" s="5"/>
      <c r="BM3054" s="5"/>
      <c r="BN3054" s="5"/>
      <c r="BO3054" s="5"/>
      <c r="BP3054" s="5"/>
    </row>
    <row r="3055" spans="35:68" x14ac:dyDescent="0.25">
      <c r="AI3055" s="49"/>
      <c r="AJ3055" s="78"/>
      <c r="AK3055" s="79"/>
      <c r="AL3055" s="79"/>
      <c r="AM3055" s="79"/>
      <c r="AN3055" s="79"/>
      <c r="AO3055" s="79"/>
      <c r="AP3055" s="79"/>
      <c r="AQ3055" s="79"/>
      <c r="AR3055" s="78"/>
      <c r="AS3055" s="78"/>
      <c r="AT3055" s="79"/>
      <c r="AU3055" s="79"/>
      <c r="AV3055" s="79"/>
      <c r="AW3055" s="79"/>
      <c r="AX3055" s="79"/>
      <c r="AZ3055" s="81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</row>
    <row r="3056" spans="35:68" x14ac:dyDescent="0.25">
      <c r="AI3056" s="49"/>
      <c r="AJ3056" s="78"/>
      <c r="AK3056" s="79"/>
      <c r="AL3056" s="79"/>
      <c r="AM3056" s="79"/>
      <c r="AN3056" s="79"/>
      <c r="AO3056" s="79"/>
      <c r="AP3056" s="79"/>
      <c r="AQ3056" s="79"/>
      <c r="AR3056" s="78"/>
      <c r="AS3056" s="78"/>
      <c r="AT3056" s="79"/>
      <c r="AU3056" s="79"/>
      <c r="AV3056" s="79"/>
      <c r="AW3056" s="79"/>
      <c r="AX3056" s="79"/>
      <c r="AZ3056" s="81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/>
      <c r="BO3056" s="5"/>
      <c r="BP3056" s="5"/>
    </row>
    <row r="3057" spans="35:68" x14ac:dyDescent="0.25">
      <c r="AI3057" s="49"/>
      <c r="AJ3057" s="78"/>
      <c r="AK3057" s="79"/>
      <c r="AL3057" s="79"/>
      <c r="AM3057" s="79"/>
      <c r="AN3057" s="79"/>
      <c r="AO3057" s="79"/>
      <c r="AP3057" s="79"/>
      <c r="AQ3057" s="79"/>
      <c r="AR3057" s="78"/>
      <c r="AS3057" s="78"/>
      <c r="AT3057" s="79"/>
      <c r="AU3057" s="79"/>
      <c r="AV3057" s="79"/>
      <c r="AW3057" s="79"/>
      <c r="AX3057" s="79"/>
      <c r="AZ3057" s="81"/>
      <c r="BB3057" s="5"/>
      <c r="BC3057" s="5"/>
      <c r="BD3057" s="5"/>
      <c r="BE3057" s="5"/>
      <c r="BF3057" s="5"/>
      <c r="BG3057" s="5"/>
      <c r="BH3057" s="5"/>
      <c r="BI3057" s="5"/>
      <c r="BJ3057" s="5"/>
      <c r="BK3057" s="5"/>
      <c r="BL3057" s="5"/>
      <c r="BM3057" s="5"/>
      <c r="BN3057" s="5"/>
      <c r="BO3057" s="5"/>
      <c r="BP3057" s="5"/>
    </row>
    <row r="3058" spans="35:68" x14ac:dyDescent="0.25">
      <c r="AI3058" s="49"/>
      <c r="AJ3058" s="78"/>
      <c r="AK3058" s="79"/>
      <c r="AL3058" s="79"/>
      <c r="AM3058" s="79"/>
      <c r="AN3058" s="79"/>
      <c r="AO3058" s="79"/>
      <c r="AP3058" s="79"/>
      <c r="AQ3058" s="79"/>
      <c r="AR3058" s="78"/>
      <c r="AS3058" s="78"/>
      <c r="AT3058" s="79"/>
      <c r="AU3058" s="79"/>
      <c r="AV3058" s="79"/>
      <c r="AW3058" s="79"/>
      <c r="AX3058" s="79"/>
      <c r="AZ3058" s="81"/>
      <c r="BB3058" s="5"/>
      <c r="BC3058" s="5"/>
      <c r="BD3058" s="5"/>
      <c r="BE3058" s="5"/>
      <c r="BF3058" s="5"/>
      <c r="BG3058" s="5"/>
      <c r="BH3058" s="5"/>
      <c r="BI3058" s="5"/>
      <c r="BJ3058" s="5"/>
      <c r="BK3058" s="5"/>
      <c r="BL3058" s="5"/>
      <c r="BM3058" s="5"/>
      <c r="BN3058" s="5"/>
      <c r="BO3058" s="5"/>
      <c r="BP3058" s="5"/>
    </row>
    <row r="3059" spans="35:68" x14ac:dyDescent="0.25">
      <c r="AI3059" s="49"/>
      <c r="AJ3059" s="78"/>
      <c r="AK3059" s="79"/>
      <c r="AL3059" s="79"/>
      <c r="AM3059" s="79"/>
      <c r="AN3059" s="79"/>
      <c r="AO3059" s="79"/>
      <c r="AP3059" s="79"/>
      <c r="AQ3059" s="79"/>
      <c r="AR3059" s="78"/>
      <c r="AS3059" s="78"/>
      <c r="AT3059" s="79"/>
      <c r="AU3059" s="79"/>
      <c r="AV3059" s="79"/>
      <c r="AW3059" s="79"/>
      <c r="AX3059" s="79"/>
      <c r="AZ3059" s="81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/>
      <c r="BO3059" s="5"/>
      <c r="BP3059" s="5"/>
    </row>
    <row r="3060" spans="35:68" x14ac:dyDescent="0.25">
      <c r="AI3060" s="49"/>
      <c r="AJ3060" s="78"/>
      <c r="AK3060" s="79"/>
      <c r="AL3060" s="79"/>
      <c r="AM3060" s="79"/>
      <c r="AN3060" s="79"/>
      <c r="AO3060" s="79"/>
      <c r="AP3060" s="79"/>
      <c r="AQ3060" s="79"/>
      <c r="AR3060" s="78"/>
      <c r="AS3060" s="78"/>
      <c r="AT3060" s="79"/>
      <c r="AU3060" s="79"/>
      <c r="AV3060" s="79"/>
      <c r="AW3060" s="79"/>
      <c r="AX3060" s="79"/>
      <c r="AZ3060" s="81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</row>
    <row r="3061" spans="35:68" x14ac:dyDescent="0.25">
      <c r="AI3061" s="49"/>
      <c r="AJ3061" s="78"/>
      <c r="AK3061" s="79"/>
      <c r="AL3061" s="79"/>
      <c r="AM3061" s="79"/>
      <c r="AN3061" s="79"/>
      <c r="AO3061" s="79"/>
      <c r="AP3061" s="79"/>
      <c r="AQ3061" s="79"/>
      <c r="AR3061" s="78"/>
      <c r="AS3061" s="78"/>
      <c r="AT3061" s="79"/>
      <c r="AU3061" s="79"/>
      <c r="AV3061" s="79"/>
      <c r="AW3061" s="79"/>
      <c r="AX3061" s="79"/>
      <c r="AZ3061" s="81"/>
      <c r="BB3061" s="5"/>
      <c r="BC3061" s="5"/>
      <c r="BD3061" s="5"/>
      <c r="BE3061" s="5"/>
      <c r="BF3061" s="5"/>
      <c r="BG3061" s="5"/>
      <c r="BH3061" s="5"/>
      <c r="BI3061" s="5"/>
      <c r="BJ3061" s="5"/>
      <c r="BK3061" s="5"/>
      <c r="BL3061" s="5"/>
      <c r="BM3061" s="5"/>
      <c r="BN3061" s="5"/>
      <c r="BO3061" s="5"/>
      <c r="BP3061" s="5"/>
    </row>
    <row r="3062" spans="35:68" x14ac:dyDescent="0.25">
      <c r="AI3062" s="49"/>
      <c r="AJ3062" s="78"/>
      <c r="AK3062" s="79"/>
      <c r="AL3062" s="79"/>
      <c r="AM3062" s="79"/>
      <c r="AN3062" s="79"/>
      <c r="AO3062" s="79"/>
      <c r="AP3062" s="79"/>
      <c r="AQ3062" s="79"/>
      <c r="AR3062" s="78"/>
      <c r="AS3062" s="78"/>
      <c r="AT3062" s="79"/>
      <c r="AU3062" s="79"/>
      <c r="AV3062" s="79"/>
      <c r="AW3062" s="79"/>
      <c r="AX3062" s="79"/>
      <c r="AZ3062" s="81"/>
      <c r="BB3062" s="5"/>
      <c r="BC3062" s="5"/>
      <c r="BD3062" s="5"/>
      <c r="BE3062" s="5"/>
      <c r="BF3062" s="5"/>
      <c r="BG3062" s="5"/>
      <c r="BH3062" s="5"/>
      <c r="BI3062" s="5"/>
      <c r="BJ3062" s="5"/>
      <c r="BK3062" s="5"/>
      <c r="BL3062" s="5"/>
      <c r="BM3062" s="5"/>
      <c r="BN3062" s="5"/>
      <c r="BO3062" s="5"/>
      <c r="BP3062" s="5"/>
    </row>
    <row r="3063" spans="35:68" x14ac:dyDescent="0.25">
      <c r="AI3063" s="49"/>
      <c r="AJ3063" s="78"/>
      <c r="AK3063" s="79"/>
      <c r="AL3063" s="79"/>
      <c r="AM3063" s="79"/>
      <c r="AN3063" s="79"/>
      <c r="AO3063" s="79"/>
      <c r="AP3063" s="79"/>
      <c r="AQ3063" s="79"/>
      <c r="AR3063" s="78"/>
      <c r="AS3063" s="78"/>
      <c r="AT3063" s="79"/>
      <c r="AU3063" s="79"/>
      <c r="AV3063" s="79"/>
      <c r="AW3063" s="79"/>
      <c r="AX3063" s="79"/>
      <c r="AZ3063" s="81"/>
      <c r="BB3063" s="5"/>
      <c r="BC3063" s="5"/>
      <c r="BD3063" s="5"/>
      <c r="BE3063" s="5"/>
      <c r="BF3063" s="5"/>
      <c r="BG3063" s="5"/>
      <c r="BH3063" s="5"/>
      <c r="BI3063" s="5"/>
      <c r="BJ3063" s="5"/>
      <c r="BK3063" s="5"/>
      <c r="BL3063" s="5"/>
      <c r="BM3063" s="5"/>
      <c r="BN3063" s="5"/>
      <c r="BO3063" s="5"/>
      <c r="BP3063" s="5"/>
    </row>
    <row r="3064" spans="35:68" x14ac:dyDescent="0.25">
      <c r="AI3064" s="49"/>
      <c r="AJ3064" s="78"/>
      <c r="AK3064" s="79"/>
      <c r="AL3064" s="79"/>
      <c r="AM3064" s="79"/>
      <c r="AN3064" s="79"/>
      <c r="AO3064" s="79"/>
      <c r="AP3064" s="79"/>
      <c r="AQ3064" s="79"/>
      <c r="AR3064" s="78"/>
      <c r="AS3064" s="78"/>
      <c r="AT3064" s="79"/>
      <c r="AU3064" s="79"/>
      <c r="AV3064" s="79"/>
      <c r="AW3064" s="79"/>
      <c r="AX3064" s="79"/>
      <c r="AZ3064" s="81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</row>
    <row r="3065" spans="35:68" x14ac:dyDescent="0.25">
      <c r="AI3065" s="49"/>
      <c r="AJ3065" s="78"/>
      <c r="AK3065" s="79"/>
      <c r="AL3065" s="79"/>
      <c r="AM3065" s="79"/>
      <c r="AN3065" s="79"/>
      <c r="AO3065" s="79"/>
      <c r="AP3065" s="79"/>
      <c r="AQ3065" s="79"/>
      <c r="AR3065" s="78"/>
      <c r="AS3065" s="78"/>
      <c r="AT3065" s="79"/>
      <c r="AU3065" s="79"/>
      <c r="AV3065" s="79"/>
      <c r="AW3065" s="79"/>
      <c r="AX3065" s="79"/>
      <c r="AZ3065" s="81"/>
      <c r="BB3065" s="5"/>
      <c r="BC3065" s="5"/>
      <c r="BD3065" s="5"/>
      <c r="BE3065" s="5"/>
      <c r="BF3065" s="5"/>
      <c r="BG3065" s="5"/>
      <c r="BH3065" s="5"/>
      <c r="BI3065" s="5"/>
      <c r="BJ3065" s="5"/>
      <c r="BK3065" s="5"/>
      <c r="BL3065" s="5"/>
      <c r="BM3065" s="5"/>
      <c r="BN3065" s="5"/>
      <c r="BO3065" s="5"/>
      <c r="BP3065" s="5"/>
    </row>
    <row r="3066" spans="35:68" x14ac:dyDescent="0.25">
      <c r="AI3066" s="49"/>
      <c r="AJ3066" s="78"/>
      <c r="AK3066" s="79"/>
      <c r="AL3066" s="79"/>
      <c r="AM3066" s="79"/>
      <c r="AN3066" s="79"/>
      <c r="AO3066" s="79"/>
      <c r="AP3066" s="79"/>
      <c r="AQ3066" s="79"/>
      <c r="AR3066" s="78"/>
      <c r="AS3066" s="78"/>
      <c r="AT3066" s="79"/>
      <c r="AU3066" s="79"/>
      <c r="AV3066" s="79"/>
      <c r="AW3066" s="79"/>
      <c r="AX3066" s="79"/>
      <c r="AZ3066" s="81"/>
      <c r="BB3066" s="5"/>
      <c r="BC3066" s="5"/>
      <c r="BD3066" s="5"/>
      <c r="BE3066" s="5"/>
      <c r="BF3066" s="5"/>
      <c r="BG3066" s="5"/>
      <c r="BH3066" s="5"/>
      <c r="BI3066" s="5"/>
      <c r="BJ3066" s="5"/>
      <c r="BK3066" s="5"/>
      <c r="BL3066" s="5"/>
      <c r="BM3066" s="5"/>
      <c r="BN3066" s="5"/>
      <c r="BO3066" s="5"/>
      <c r="BP3066" s="5"/>
    </row>
    <row r="3067" spans="35:68" x14ac:dyDescent="0.25">
      <c r="AI3067" s="49"/>
      <c r="AJ3067" s="78"/>
      <c r="AK3067" s="79"/>
      <c r="AL3067" s="79"/>
      <c r="AM3067" s="79"/>
      <c r="AN3067" s="79"/>
      <c r="AO3067" s="79"/>
      <c r="AP3067" s="79"/>
      <c r="AQ3067" s="79"/>
      <c r="AR3067" s="78"/>
      <c r="AS3067" s="78"/>
      <c r="AT3067" s="79"/>
      <c r="AU3067" s="79"/>
      <c r="AV3067" s="79"/>
      <c r="AW3067" s="79"/>
      <c r="AX3067" s="79"/>
      <c r="AZ3067" s="81"/>
      <c r="BB3067" s="5"/>
      <c r="BC3067" s="5"/>
      <c r="BD3067" s="5"/>
      <c r="BE3067" s="5"/>
      <c r="BF3067" s="5"/>
      <c r="BG3067" s="5"/>
      <c r="BH3067" s="5"/>
      <c r="BI3067" s="5"/>
      <c r="BJ3067" s="5"/>
      <c r="BK3067" s="5"/>
      <c r="BL3067" s="5"/>
      <c r="BM3067" s="5"/>
      <c r="BN3067" s="5"/>
      <c r="BO3067" s="5"/>
      <c r="BP3067" s="5"/>
    </row>
    <row r="3068" spans="35:68" x14ac:dyDescent="0.25">
      <c r="AI3068" s="49"/>
      <c r="AJ3068" s="78"/>
      <c r="AK3068" s="79"/>
      <c r="AL3068" s="79"/>
      <c r="AM3068" s="79"/>
      <c r="AN3068" s="79"/>
      <c r="AO3068" s="79"/>
      <c r="AP3068" s="79"/>
      <c r="AQ3068" s="79"/>
      <c r="AR3068" s="78"/>
      <c r="AS3068" s="78"/>
      <c r="AT3068" s="79"/>
      <c r="AU3068" s="79"/>
      <c r="AV3068" s="79"/>
      <c r="AW3068" s="79"/>
      <c r="AX3068" s="79"/>
      <c r="AZ3068" s="81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</row>
    <row r="3069" spans="35:68" x14ac:dyDescent="0.25">
      <c r="AI3069" s="49"/>
      <c r="AJ3069" s="78"/>
      <c r="AK3069" s="79"/>
      <c r="AL3069" s="79"/>
      <c r="AM3069" s="79"/>
      <c r="AN3069" s="79"/>
      <c r="AO3069" s="79"/>
      <c r="AP3069" s="79"/>
      <c r="AQ3069" s="79"/>
      <c r="AR3069" s="78"/>
      <c r="AS3069" s="78"/>
      <c r="AT3069" s="79"/>
      <c r="AU3069" s="79"/>
      <c r="AV3069" s="79"/>
      <c r="AW3069" s="79"/>
      <c r="AX3069" s="79"/>
      <c r="AZ3069" s="81"/>
      <c r="BB3069" s="5"/>
      <c r="BC3069" s="5"/>
      <c r="BD3069" s="5"/>
      <c r="BE3069" s="5"/>
      <c r="BF3069" s="5"/>
      <c r="BG3069" s="5"/>
      <c r="BH3069" s="5"/>
      <c r="BI3069" s="5"/>
      <c r="BJ3069" s="5"/>
      <c r="BK3069" s="5"/>
      <c r="BL3069" s="5"/>
      <c r="BM3069" s="5"/>
      <c r="BN3069" s="5"/>
      <c r="BO3069" s="5"/>
      <c r="BP3069" s="5"/>
    </row>
    <row r="3070" spans="35:68" x14ac:dyDescent="0.25">
      <c r="AI3070" s="49"/>
      <c r="AJ3070" s="78"/>
      <c r="AK3070" s="79"/>
      <c r="AL3070" s="79"/>
      <c r="AM3070" s="79"/>
      <c r="AN3070" s="79"/>
      <c r="AO3070" s="79"/>
      <c r="AP3070" s="79"/>
      <c r="AQ3070" s="79"/>
      <c r="AR3070" s="78"/>
      <c r="AS3070" s="78"/>
      <c r="AT3070" s="79"/>
      <c r="AU3070" s="79"/>
      <c r="AV3070" s="79"/>
      <c r="AW3070" s="79"/>
      <c r="AX3070" s="79"/>
      <c r="AZ3070" s="81"/>
      <c r="BB3070" s="5"/>
      <c r="BC3070" s="5"/>
      <c r="BD3070" s="5"/>
      <c r="BE3070" s="5"/>
      <c r="BF3070" s="5"/>
      <c r="BG3070" s="5"/>
      <c r="BH3070" s="5"/>
      <c r="BI3070" s="5"/>
      <c r="BJ3070" s="5"/>
      <c r="BK3070" s="5"/>
      <c r="BL3070" s="5"/>
      <c r="BM3070" s="5"/>
      <c r="BN3070" s="5"/>
      <c r="BO3070" s="5"/>
      <c r="BP3070" s="5"/>
    </row>
    <row r="3071" spans="35:68" x14ac:dyDescent="0.25">
      <c r="AI3071" s="49"/>
      <c r="AJ3071" s="78"/>
      <c r="AK3071" s="79"/>
      <c r="AL3071" s="79"/>
      <c r="AM3071" s="79"/>
      <c r="AN3071" s="79"/>
      <c r="AO3071" s="79"/>
      <c r="AP3071" s="79"/>
      <c r="AQ3071" s="79"/>
      <c r="AR3071" s="78"/>
      <c r="AS3071" s="78"/>
      <c r="AT3071" s="79"/>
      <c r="AU3071" s="79"/>
      <c r="AV3071" s="79"/>
      <c r="AW3071" s="79"/>
      <c r="AX3071" s="79"/>
      <c r="AZ3071" s="81"/>
      <c r="BB3071" s="5"/>
      <c r="BC3071" s="5"/>
      <c r="BD3071" s="5"/>
      <c r="BE3071" s="5"/>
      <c r="BF3071" s="5"/>
      <c r="BG3071" s="5"/>
      <c r="BH3071" s="5"/>
      <c r="BI3071" s="5"/>
      <c r="BJ3071" s="5"/>
      <c r="BK3071" s="5"/>
      <c r="BL3071" s="5"/>
      <c r="BM3071" s="5"/>
      <c r="BN3071" s="5"/>
      <c r="BO3071" s="5"/>
      <c r="BP3071" s="5"/>
    </row>
    <row r="3072" spans="35:68" x14ac:dyDescent="0.25">
      <c r="AI3072" s="49"/>
      <c r="AJ3072" s="78"/>
      <c r="AK3072" s="79"/>
      <c r="AL3072" s="79"/>
      <c r="AM3072" s="79"/>
      <c r="AN3072" s="79"/>
      <c r="AO3072" s="79"/>
      <c r="AP3072" s="79"/>
      <c r="AQ3072" s="79"/>
      <c r="AR3072" s="78"/>
      <c r="AS3072" s="78"/>
      <c r="AT3072" s="79"/>
      <c r="AU3072" s="79"/>
      <c r="AV3072" s="79"/>
      <c r="AW3072" s="79"/>
      <c r="AX3072" s="79"/>
      <c r="AZ3072" s="81"/>
      <c r="BB3072" s="5"/>
      <c r="BC3072" s="5"/>
      <c r="BD3072" s="5"/>
      <c r="BE3072" s="5"/>
      <c r="BF3072" s="5"/>
      <c r="BG3072" s="5"/>
      <c r="BH3072" s="5"/>
      <c r="BI3072" s="5"/>
      <c r="BJ3072" s="5"/>
      <c r="BK3072" s="5"/>
      <c r="BL3072" s="5"/>
      <c r="BM3072" s="5"/>
      <c r="BN3072" s="5"/>
      <c r="BO3072" s="5"/>
      <c r="BP3072" s="5"/>
    </row>
    <row r="3073" spans="35:68" x14ac:dyDescent="0.25">
      <c r="AI3073" s="49"/>
      <c r="AJ3073" s="78"/>
      <c r="AK3073" s="79"/>
      <c r="AL3073" s="79"/>
      <c r="AM3073" s="79"/>
      <c r="AN3073" s="79"/>
      <c r="AO3073" s="79"/>
      <c r="AP3073" s="79"/>
      <c r="AQ3073" s="79"/>
      <c r="AR3073" s="78"/>
      <c r="AS3073" s="78"/>
      <c r="AT3073" s="79"/>
      <c r="AU3073" s="79"/>
      <c r="AV3073" s="79"/>
      <c r="AW3073" s="79"/>
      <c r="AX3073" s="79"/>
      <c r="AZ3073" s="81"/>
      <c r="BB3073" s="5"/>
      <c r="BC3073" s="5"/>
      <c r="BD3073" s="5"/>
      <c r="BE3073" s="5"/>
      <c r="BF3073" s="5"/>
      <c r="BG3073" s="5"/>
      <c r="BH3073" s="5"/>
      <c r="BI3073" s="5"/>
      <c r="BJ3073" s="5"/>
      <c r="BK3073" s="5"/>
      <c r="BL3073" s="5"/>
      <c r="BM3073" s="5"/>
      <c r="BN3073" s="5"/>
      <c r="BO3073" s="5"/>
      <c r="BP3073" s="5"/>
    </row>
    <row r="3074" spans="35:68" x14ac:dyDescent="0.25">
      <c r="AI3074" s="49"/>
      <c r="AJ3074" s="78"/>
      <c r="AK3074" s="79"/>
      <c r="AL3074" s="79"/>
      <c r="AM3074" s="79"/>
      <c r="AN3074" s="79"/>
      <c r="AO3074" s="79"/>
      <c r="AP3074" s="79"/>
      <c r="AQ3074" s="79"/>
      <c r="AR3074" s="78"/>
      <c r="AS3074" s="78"/>
      <c r="AT3074" s="79"/>
      <c r="AU3074" s="79"/>
      <c r="AV3074" s="79"/>
      <c r="AW3074" s="79"/>
      <c r="AX3074" s="79"/>
      <c r="AZ3074" s="81"/>
      <c r="BB3074" s="5"/>
      <c r="BC3074" s="5"/>
      <c r="BD3074" s="5"/>
      <c r="BE3074" s="5"/>
      <c r="BF3074" s="5"/>
      <c r="BG3074" s="5"/>
      <c r="BH3074" s="5"/>
      <c r="BI3074" s="5"/>
      <c r="BJ3074" s="5"/>
      <c r="BK3074" s="5"/>
      <c r="BL3074" s="5"/>
      <c r="BM3074" s="5"/>
      <c r="BN3074" s="5"/>
      <c r="BO3074" s="5"/>
      <c r="BP3074" s="5"/>
    </row>
    <row r="3075" spans="35:68" x14ac:dyDescent="0.25">
      <c r="AI3075" s="49"/>
      <c r="AJ3075" s="78"/>
      <c r="AK3075" s="79"/>
      <c r="AL3075" s="79"/>
      <c r="AM3075" s="79"/>
      <c r="AN3075" s="79"/>
      <c r="AO3075" s="79"/>
      <c r="AP3075" s="79"/>
      <c r="AQ3075" s="79"/>
      <c r="AR3075" s="78"/>
      <c r="AS3075" s="78"/>
      <c r="AT3075" s="79"/>
      <c r="AU3075" s="79"/>
      <c r="AV3075" s="79"/>
      <c r="AW3075" s="79"/>
      <c r="AX3075" s="79"/>
      <c r="AZ3075" s="81"/>
      <c r="BB3075" s="5"/>
      <c r="BC3075" s="5"/>
      <c r="BD3075" s="5"/>
      <c r="BE3075" s="5"/>
      <c r="BF3075" s="5"/>
      <c r="BG3075" s="5"/>
      <c r="BH3075" s="5"/>
      <c r="BI3075" s="5"/>
      <c r="BJ3075" s="5"/>
      <c r="BK3075" s="5"/>
      <c r="BL3075" s="5"/>
      <c r="BM3075" s="5"/>
      <c r="BN3075" s="5"/>
      <c r="BO3075" s="5"/>
      <c r="BP3075" s="5"/>
    </row>
    <row r="3076" spans="35:68" x14ac:dyDescent="0.25">
      <c r="AI3076" s="49"/>
      <c r="AJ3076" s="78"/>
      <c r="AK3076" s="79"/>
      <c r="AL3076" s="79"/>
      <c r="AM3076" s="79"/>
      <c r="AN3076" s="79"/>
      <c r="AO3076" s="79"/>
      <c r="AP3076" s="79"/>
      <c r="AQ3076" s="79"/>
      <c r="AR3076" s="78"/>
      <c r="AS3076" s="78"/>
      <c r="AT3076" s="79"/>
      <c r="AU3076" s="79"/>
      <c r="AV3076" s="79"/>
      <c r="AW3076" s="79"/>
      <c r="AX3076" s="79"/>
      <c r="AZ3076" s="81"/>
      <c r="BB3076" s="5"/>
      <c r="BC3076" s="5"/>
      <c r="BD3076" s="5"/>
      <c r="BE3076" s="5"/>
      <c r="BF3076" s="5"/>
      <c r="BG3076" s="5"/>
      <c r="BH3076" s="5"/>
      <c r="BI3076" s="5"/>
      <c r="BJ3076" s="5"/>
      <c r="BK3076" s="5"/>
      <c r="BL3076" s="5"/>
      <c r="BM3076" s="5"/>
      <c r="BN3076" s="5"/>
      <c r="BO3076" s="5"/>
      <c r="BP3076" s="5"/>
    </row>
    <row r="3077" spans="35:68" x14ac:dyDescent="0.25">
      <c r="AI3077" s="49"/>
      <c r="AJ3077" s="78"/>
      <c r="AK3077" s="79"/>
      <c r="AL3077" s="79"/>
      <c r="AM3077" s="79"/>
      <c r="AN3077" s="79"/>
      <c r="AO3077" s="79"/>
      <c r="AP3077" s="79"/>
      <c r="AQ3077" s="79"/>
      <c r="AR3077" s="78"/>
      <c r="AS3077" s="78"/>
      <c r="AT3077" s="79"/>
      <c r="AU3077" s="79"/>
      <c r="AV3077" s="79"/>
      <c r="AW3077" s="79"/>
      <c r="AX3077" s="79"/>
      <c r="AZ3077" s="81"/>
      <c r="BB3077" s="5"/>
      <c r="BC3077" s="5"/>
      <c r="BD3077" s="5"/>
      <c r="BE3077" s="5"/>
      <c r="BF3077" s="5"/>
      <c r="BG3077" s="5"/>
      <c r="BH3077" s="5"/>
      <c r="BI3077" s="5"/>
      <c r="BJ3077" s="5"/>
      <c r="BK3077" s="5"/>
      <c r="BL3077" s="5"/>
      <c r="BM3077" s="5"/>
      <c r="BN3077" s="5"/>
      <c r="BO3077" s="5"/>
      <c r="BP3077" s="5"/>
    </row>
    <row r="3078" spans="35:68" x14ac:dyDescent="0.25">
      <c r="AI3078" s="49"/>
      <c r="AJ3078" s="78"/>
      <c r="AK3078" s="79"/>
      <c r="AL3078" s="79"/>
      <c r="AM3078" s="79"/>
      <c r="AN3078" s="79"/>
      <c r="AO3078" s="79"/>
      <c r="AP3078" s="79"/>
      <c r="AQ3078" s="79"/>
      <c r="AR3078" s="78"/>
      <c r="AS3078" s="78"/>
      <c r="AT3078" s="79"/>
      <c r="AU3078" s="79"/>
      <c r="AV3078" s="79"/>
      <c r="AW3078" s="79"/>
      <c r="AX3078" s="79"/>
      <c r="AZ3078" s="81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5"/>
      <c r="BP3078" s="5"/>
    </row>
    <row r="3079" spans="35:68" x14ac:dyDescent="0.25">
      <c r="AI3079" s="49"/>
      <c r="AJ3079" s="78"/>
      <c r="AK3079" s="79"/>
      <c r="AL3079" s="79"/>
      <c r="AM3079" s="79"/>
      <c r="AN3079" s="79"/>
      <c r="AO3079" s="79"/>
      <c r="AP3079" s="79"/>
      <c r="AQ3079" s="79"/>
      <c r="AR3079" s="78"/>
      <c r="AS3079" s="78"/>
      <c r="AT3079" s="79"/>
      <c r="AU3079" s="79"/>
      <c r="AV3079" s="79"/>
      <c r="AW3079" s="79"/>
      <c r="AX3079" s="79"/>
      <c r="AZ3079" s="81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</row>
    <row r="3080" spans="35:68" x14ac:dyDescent="0.25">
      <c r="AI3080" s="49"/>
      <c r="AJ3080" s="78"/>
      <c r="AK3080" s="79"/>
      <c r="AL3080" s="79"/>
      <c r="AM3080" s="79"/>
      <c r="AN3080" s="79"/>
      <c r="AO3080" s="79"/>
      <c r="AP3080" s="79"/>
      <c r="AQ3080" s="79"/>
      <c r="AR3080" s="78"/>
      <c r="AS3080" s="78"/>
      <c r="AT3080" s="79"/>
      <c r="AU3080" s="79"/>
      <c r="AV3080" s="79"/>
      <c r="AW3080" s="79"/>
      <c r="AX3080" s="79"/>
      <c r="AZ3080" s="81"/>
      <c r="BB3080" s="5"/>
      <c r="BC3080" s="5"/>
      <c r="BD3080" s="5"/>
      <c r="BE3080" s="5"/>
      <c r="BF3080" s="5"/>
      <c r="BG3080" s="5"/>
      <c r="BH3080" s="5"/>
      <c r="BI3080" s="5"/>
      <c r="BJ3080" s="5"/>
      <c r="BK3080" s="5"/>
      <c r="BL3080" s="5"/>
      <c r="BM3080" s="5"/>
      <c r="BN3080" s="5"/>
      <c r="BO3080" s="5"/>
      <c r="BP3080" s="5"/>
    </row>
    <row r="3081" spans="35:68" x14ac:dyDescent="0.25">
      <c r="AI3081" s="49"/>
      <c r="AJ3081" s="78"/>
      <c r="AK3081" s="79"/>
      <c r="AL3081" s="79"/>
      <c r="AM3081" s="79"/>
      <c r="AN3081" s="79"/>
      <c r="AO3081" s="79"/>
      <c r="AP3081" s="79"/>
      <c r="AQ3081" s="79"/>
      <c r="AR3081" s="78"/>
      <c r="AS3081" s="78"/>
      <c r="AT3081" s="79"/>
      <c r="AU3081" s="79"/>
      <c r="AV3081" s="79"/>
      <c r="AW3081" s="79"/>
      <c r="AX3081" s="79"/>
      <c r="AZ3081" s="81"/>
      <c r="BB3081" s="5"/>
      <c r="BC3081" s="5"/>
      <c r="BD3081" s="5"/>
      <c r="BE3081" s="5"/>
      <c r="BF3081" s="5"/>
      <c r="BG3081" s="5"/>
      <c r="BH3081" s="5"/>
      <c r="BI3081" s="5"/>
      <c r="BJ3081" s="5"/>
      <c r="BK3081" s="5"/>
      <c r="BL3081" s="5"/>
      <c r="BM3081" s="5"/>
      <c r="BN3081" s="5"/>
      <c r="BO3081" s="5"/>
      <c r="BP3081" s="5"/>
    </row>
    <row r="3082" spans="35:68" x14ac:dyDescent="0.25">
      <c r="AI3082" s="49"/>
      <c r="AJ3082" s="78"/>
      <c r="AK3082" s="79"/>
      <c r="AL3082" s="79"/>
      <c r="AM3082" s="79"/>
      <c r="AN3082" s="79"/>
      <c r="AO3082" s="79"/>
      <c r="AP3082" s="79"/>
      <c r="AQ3082" s="79"/>
      <c r="AR3082" s="78"/>
      <c r="AS3082" s="78"/>
      <c r="AT3082" s="79"/>
      <c r="AU3082" s="79"/>
      <c r="AV3082" s="79"/>
      <c r="AW3082" s="79"/>
      <c r="AX3082" s="79"/>
      <c r="AZ3082" s="81"/>
      <c r="BB3082" s="5"/>
      <c r="BC3082" s="5"/>
      <c r="BD3082" s="5"/>
      <c r="BE3082" s="5"/>
      <c r="BF3082" s="5"/>
      <c r="BG3082" s="5"/>
      <c r="BH3082" s="5"/>
      <c r="BI3082" s="5"/>
      <c r="BJ3082" s="5"/>
      <c r="BK3082" s="5"/>
      <c r="BL3082" s="5"/>
      <c r="BM3082" s="5"/>
      <c r="BN3082" s="5"/>
      <c r="BO3082" s="5"/>
      <c r="BP3082" s="5"/>
    </row>
    <row r="3083" spans="35:68" x14ac:dyDescent="0.25">
      <c r="AI3083" s="49"/>
      <c r="AJ3083" s="78"/>
      <c r="AK3083" s="79"/>
      <c r="AL3083" s="79"/>
      <c r="AM3083" s="79"/>
      <c r="AN3083" s="79"/>
      <c r="AO3083" s="79"/>
      <c r="AP3083" s="79"/>
      <c r="AQ3083" s="79"/>
      <c r="AR3083" s="78"/>
      <c r="AS3083" s="78"/>
      <c r="AT3083" s="79"/>
      <c r="AU3083" s="79"/>
      <c r="AV3083" s="79"/>
      <c r="AW3083" s="79"/>
      <c r="AX3083" s="79"/>
      <c r="AZ3083" s="81"/>
      <c r="BB3083" s="5"/>
      <c r="BC3083" s="5"/>
      <c r="BD3083" s="5"/>
      <c r="BE3083" s="5"/>
      <c r="BF3083" s="5"/>
      <c r="BG3083" s="5"/>
      <c r="BH3083" s="5"/>
      <c r="BI3083" s="5"/>
      <c r="BJ3083" s="5"/>
      <c r="BK3083" s="5"/>
      <c r="BL3083" s="5"/>
      <c r="BM3083" s="5"/>
      <c r="BN3083" s="5"/>
      <c r="BO3083" s="5"/>
      <c r="BP3083" s="5"/>
    </row>
    <row r="3084" spans="35:68" x14ac:dyDescent="0.25">
      <c r="AI3084" s="49"/>
      <c r="AJ3084" s="78"/>
      <c r="AK3084" s="79"/>
      <c r="AL3084" s="79"/>
      <c r="AM3084" s="79"/>
      <c r="AN3084" s="79"/>
      <c r="AO3084" s="79"/>
      <c r="AP3084" s="79"/>
      <c r="AQ3084" s="79"/>
      <c r="AR3084" s="78"/>
      <c r="AS3084" s="78"/>
      <c r="AT3084" s="79"/>
      <c r="AU3084" s="79"/>
      <c r="AV3084" s="79"/>
      <c r="AW3084" s="79"/>
      <c r="AX3084" s="79"/>
      <c r="AZ3084" s="81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</row>
    <row r="3085" spans="35:68" x14ac:dyDescent="0.25">
      <c r="AI3085" s="49"/>
      <c r="AJ3085" s="78"/>
      <c r="AK3085" s="79"/>
      <c r="AL3085" s="79"/>
      <c r="AM3085" s="79"/>
      <c r="AN3085" s="79"/>
      <c r="AO3085" s="79"/>
      <c r="AP3085" s="79"/>
      <c r="AQ3085" s="79"/>
      <c r="AR3085" s="78"/>
      <c r="AS3085" s="78"/>
      <c r="AT3085" s="79"/>
      <c r="AU3085" s="79"/>
      <c r="AV3085" s="79"/>
      <c r="AW3085" s="79"/>
      <c r="AX3085" s="79"/>
      <c r="AZ3085" s="81"/>
      <c r="BB3085" s="5"/>
      <c r="BC3085" s="5"/>
      <c r="BD3085" s="5"/>
      <c r="BE3085" s="5"/>
      <c r="BF3085" s="5"/>
      <c r="BG3085" s="5"/>
      <c r="BH3085" s="5"/>
      <c r="BI3085" s="5"/>
      <c r="BJ3085" s="5"/>
      <c r="BK3085" s="5"/>
      <c r="BL3085" s="5"/>
      <c r="BM3085" s="5"/>
      <c r="BN3085" s="5"/>
      <c r="BO3085" s="5"/>
      <c r="BP3085" s="5"/>
    </row>
    <row r="3086" spans="35:68" x14ac:dyDescent="0.25">
      <c r="AI3086" s="49"/>
      <c r="AJ3086" s="78"/>
      <c r="AK3086" s="79"/>
      <c r="AL3086" s="79"/>
      <c r="AM3086" s="79"/>
      <c r="AN3086" s="79"/>
      <c r="AO3086" s="79"/>
      <c r="AP3086" s="79"/>
      <c r="AQ3086" s="79"/>
      <c r="AR3086" s="78"/>
      <c r="AS3086" s="78"/>
      <c r="AT3086" s="79"/>
      <c r="AU3086" s="79"/>
      <c r="AV3086" s="79"/>
      <c r="AW3086" s="79"/>
      <c r="AX3086" s="79"/>
      <c r="AZ3086" s="81"/>
      <c r="BB3086" s="5"/>
      <c r="BC3086" s="5"/>
      <c r="BD3086" s="5"/>
      <c r="BE3086" s="5"/>
      <c r="BF3086" s="5"/>
      <c r="BG3086" s="5"/>
      <c r="BH3086" s="5"/>
      <c r="BI3086" s="5"/>
      <c r="BJ3086" s="5"/>
      <c r="BK3086" s="5"/>
      <c r="BL3086" s="5"/>
      <c r="BM3086" s="5"/>
      <c r="BN3086" s="5"/>
      <c r="BO3086" s="5"/>
      <c r="BP3086" s="5"/>
    </row>
    <row r="3087" spans="35:68" x14ac:dyDescent="0.25">
      <c r="AI3087" s="49"/>
      <c r="AJ3087" s="78"/>
      <c r="AK3087" s="79"/>
      <c r="AL3087" s="79"/>
      <c r="AM3087" s="79"/>
      <c r="AN3087" s="79"/>
      <c r="AO3087" s="79"/>
      <c r="AP3087" s="79"/>
      <c r="AQ3087" s="79"/>
      <c r="AR3087" s="78"/>
      <c r="AS3087" s="78"/>
      <c r="AT3087" s="79"/>
      <c r="AU3087" s="79"/>
      <c r="AV3087" s="79"/>
      <c r="AW3087" s="79"/>
      <c r="AX3087" s="79"/>
      <c r="AZ3087" s="81"/>
      <c r="BB3087" s="5"/>
      <c r="BC3087" s="5"/>
      <c r="BD3087" s="5"/>
      <c r="BE3087" s="5"/>
      <c r="BF3087" s="5"/>
      <c r="BG3087" s="5"/>
      <c r="BH3087" s="5"/>
      <c r="BI3087" s="5"/>
      <c r="BJ3087" s="5"/>
      <c r="BK3087" s="5"/>
      <c r="BL3087" s="5"/>
      <c r="BM3087" s="5"/>
      <c r="BN3087" s="5"/>
      <c r="BO3087" s="5"/>
      <c r="BP3087" s="5"/>
    </row>
    <row r="3088" spans="35:68" x14ac:dyDescent="0.25">
      <c r="AI3088" s="49"/>
      <c r="AJ3088" s="78"/>
      <c r="AK3088" s="79"/>
      <c r="AL3088" s="79"/>
      <c r="AM3088" s="79"/>
      <c r="AN3088" s="79"/>
      <c r="AO3088" s="79"/>
      <c r="AP3088" s="79"/>
      <c r="AQ3088" s="79"/>
      <c r="AR3088" s="78"/>
      <c r="AS3088" s="78"/>
      <c r="AT3088" s="79"/>
      <c r="AU3088" s="79"/>
      <c r="AV3088" s="79"/>
      <c r="AW3088" s="79"/>
      <c r="AX3088" s="79"/>
      <c r="AZ3088" s="81"/>
      <c r="BB3088" s="5"/>
      <c r="BC3088" s="5"/>
      <c r="BD3088" s="5"/>
      <c r="BE3088" s="5"/>
      <c r="BF3088" s="5"/>
      <c r="BG3088" s="5"/>
      <c r="BH3088" s="5"/>
      <c r="BI3088" s="5"/>
      <c r="BJ3088" s="5"/>
      <c r="BK3088" s="5"/>
      <c r="BL3088" s="5"/>
      <c r="BM3088" s="5"/>
      <c r="BN3088" s="5"/>
      <c r="BO3088" s="5"/>
      <c r="BP3088" s="5"/>
    </row>
    <row r="3089" spans="35:68" x14ac:dyDescent="0.25">
      <c r="AI3089" s="49"/>
      <c r="AJ3089" s="78"/>
      <c r="AK3089" s="79"/>
      <c r="AL3089" s="79"/>
      <c r="AM3089" s="79"/>
      <c r="AN3089" s="79"/>
      <c r="AO3089" s="79"/>
      <c r="AP3089" s="79"/>
      <c r="AQ3089" s="79"/>
      <c r="AR3089" s="78"/>
      <c r="AS3089" s="78"/>
      <c r="AT3089" s="79"/>
      <c r="AU3089" s="79"/>
      <c r="AV3089" s="79"/>
      <c r="AW3089" s="79"/>
      <c r="AX3089" s="79"/>
      <c r="AZ3089" s="81"/>
      <c r="BB3089" s="5"/>
      <c r="BC3089" s="5"/>
      <c r="BD3089" s="5"/>
      <c r="BE3089" s="5"/>
      <c r="BF3089" s="5"/>
      <c r="BG3089" s="5"/>
      <c r="BH3089" s="5"/>
      <c r="BI3089" s="5"/>
      <c r="BJ3089" s="5"/>
      <c r="BK3089" s="5"/>
      <c r="BL3089" s="5"/>
      <c r="BM3089" s="5"/>
      <c r="BN3089" s="5"/>
      <c r="BO3089" s="5"/>
      <c r="BP3089" s="5"/>
    </row>
    <row r="3090" spans="35:68" x14ac:dyDescent="0.25">
      <c r="AI3090" s="49"/>
      <c r="AJ3090" s="78"/>
      <c r="AK3090" s="79"/>
      <c r="AL3090" s="79"/>
      <c r="AM3090" s="79"/>
      <c r="AN3090" s="79"/>
      <c r="AO3090" s="79"/>
      <c r="AP3090" s="79"/>
      <c r="AQ3090" s="79"/>
      <c r="AR3090" s="78"/>
      <c r="AS3090" s="78"/>
      <c r="AT3090" s="79"/>
      <c r="AU3090" s="79"/>
      <c r="AV3090" s="79"/>
      <c r="AW3090" s="79"/>
      <c r="AX3090" s="79"/>
      <c r="AZ3090" s="81"/>
      <c r="BB3090" s="5"/>
      <c r="BC3090" s="5"/>
      <c r="BD3090" s="5"/>
      <c r="BE3090" s="5"/>
      <c r="BF3090" s="5"/>
      <c r="BG3090" s="5"/>
      <c r="BH3090" s="5"/>
      <c r="BI3090" s="5"/>
      <c r="BJ3090" s="5"/>
      <c r="BK3090" s="5"/>
      <c r="BL3090" s="5"/>
      <c r="BM3090" s="5"/>
      <c r="BN3090" s="5"/>
      <c r="BO3090" s="5"/>
      <c r="BP3090" s="5"/>
    </row>
    <row r="3091" spans="35:68" x14ac:dyDescent="0.25">
      <c r="AI3091" s="49"/>
      <c r="AJ3091" s="78"/>
      <c r="AK3091" s="79"/>
      <c r="AL3091" s="79"/>
      <c r="AM3091" s="79"/>
      <c r="AN3091" s="79"/>
      <c r="AO3091" s="79"/>
      <c r="AP3091" s="79"/>
      <c r="AQ3091" s="79"/>
      <c r="AR3091" s="78"/>
      <c r="AS3091" s="78"/>
      <c r="AT3091" s="79"/>
      <c r="AU3091" s="79"/>
      <c r="AV3091" s="79"/>
      <c r="AW3091" s="79"/>
      <c r="AX3091" s="79"/>
      <c r="AZ3091" s="81"/>
      <c r="BB3091" s="5"/>
      <c r="BC3091" s="5"/>
      <c r="BD3091" s="5"/>
      <c r="BE3091" s="5"/>
      <c r="BF3091" s="5"/>
      <c r="BG3091" s="5"/>
      <c r="BH3091" s="5"/>
      <c r="BI3091" s="5"/>
      <c r="BJ3091" s="5"/>
      <c r="BK3091" s="5"/>
      <c r="BL3091" s="5"/>
      <c r="BM3091" s="5"/>
      <c r="BN3091" s="5"/>
      <c r="BO3091" s="5"/>
      <c r="BP3091" s="5"/>
    </row>
    <row r="3092" spans="35:68" x14ac:dyDescent="0.25">
      <c r="AI3092" s="49"/>
      <c r="AJ3092" s="78"/>
      <c r="AK3092" s="79"/>
      <c r="AL3092" s="79"/>
      <c r="AM3092" s="79"/>
      <c r="AN3092" s="79"/>
      <c r="AO3092" s="79"/>
      <c r="AP3092" s="79"/>
      <c r="AQ3092" s="79"/>
      <c r="AR3092" s="78"/>
      <c r="AS3092" s="78"/>
      <c r="AT3092" s="79"/>
      <c r="AU3092" s="79"/>
      <c r="AV3092" s="79"/>
      <c r="AW3092" s="79"/>
      <c r="AX3092" s="79"/>
      <c r="AZ3092" s="81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/>
      <c r="BO3092" s="5"/>
      <c r="BP3092" s="5"/>
    </row>
    <row r="3093" spans="35:68" x14ac:dyDescent="0.25">
      <c r="AI3093" s="49"/>
      <c r="AJ3093" s="78"/>
      <c r="AK3093" s="79"/>
      <c r="AL3093" s="79"/>
      <c r="AM3093" s="79"/>
      <c r="AN3093" s="79"/>
      <c r="AO3093" s="79"/>
      <c r="AP3093" s="79"/>
      <c r="AQ3093" s="79"/>
      <c r="AR3093" s="78"/>
      <c r="AS3093" s="78"/>
      <c r="AT3093" s="79"/>
      <c r="AU3093" s="79"/>
      <c r="AV3093" s="79"/>
      <c r="AW3093" s="79"/>
      <c r="AX3093" s="79"/>
      <c r="AZ3093" s="81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</row>
    <row r="3094" spans="35:68" x14ac:dyDescent="0.25">
      <c r="AI3094" s="49"/>
      <c r="AJ3094" s="78"/>
      <c r="AK3094" s="79"/>
      <c r="AL3094" s="79"/>
      <c r="AM3094" s="79"/>
      <c r="AN3094" s="79"/>
      <c r="AO3094" s="79"/>
      <c r="AP3094" s="79"/>
      <c r="AQ3094" s="79"/>
      <c r="AR3094" s="78"/>
      <c r="AS3094" s="78"/>
      <c r="AT3094" s="79"/>
      <c r="AU3094" s="79"/>
      <c r="AV3094" s="79"/>
      <c r="AW3094" s="79"/>
      <c r="AX3094" s="79"/>
      <c r="AZ3094" s="81"/>
      <c r="BB3094" s="5"/>
      <c r="BC3094" s="5"/>
      <c r="BD3094" s="5"/>
      <c r="BE3094" s="5"/>
      <c r="BF3094" s="5"/>
      <c r="BG3094" s="5"/>
      <c r="BH3094" s="5"/>
      <c r="BI3094" s="5"/>
      <c r="BJ3094" s="5"/>
      <c r="BK3094" s="5"/>
      <c r="BL3094" s="5"/>
      <c r="BM3094" s="5"/>
      <c r="BN3094" s="5"/>
      <c r="BO3094" s="5"/>
      <c r="BP3094" s="5"/>
    </row>
    <row r="3095" spans="35:68" x14ac:dyDescent="0.25">
      <c r="AI3095" s="49"/>
      <c r="AJ3095" s="78"/>
      <c r="AK3095" s="79"/>
      <c r="AL3095" s="79"/>
      <c r="AM3095" s="79"/>
      <c r="AN3095" s="79"/>
      <c r="AO3095" s="79"/>
      <c r="AP3095" s="79"/>
      <c r="AQ3095" s="79"/>
      <c r="AR3095" s="78"/>
      <c r="AS3095" s="78"/>
      <c r="AT3095" s="79"/>
      <c r="AU3095" s="79"/>
      <c r="AV3095" s="79"/>
      <c r="AW3095" s="79"/>
      <c r="AX3095" s="79"/>
      <c r="AZ3095" s="81"/>
      <c r="BB3095" s="5"/>
      <c r="BC3095" s="5"/>
      <c r="BD3095" s="5"/>
      <c r="BE3095" s="5"/>
      <c r="BF3095" s="5"/>
      <c r="BG3095" s="5"/>
      <c r="BH3095" s="5"/>
      <c r="BI3095" s="5"/>
      <c r="BJ3095" s="5"/>
      <c r="BK3095" s="5"/>
      <c r="BL3095" s="5"/>
      <c r="BM3095" s="5"/>
      <c r="BN3095" s="5"/>
      <c r="BO3095" s="5"/>
      <c r="BP3095" s="5"/>
    </row>
    <row r="3096" spans="35:68" x14ac:dyDescent="0.25">
      <c r="AI3096" s="49"/>
      <c r="AJ3096" s="78"/>
      <c r="AK3096" s="79"/>
      <c r="AL3096" s="79"/>
      <c r="AM3096" s="79"/>
      <c r="AN3096" s="79"/>
      <c r="AO3096" s="79"/>
      <c r="AP3096" s="79"/>
      <c r="AQ3096" s="79"/>
      <c r="AR3096" s="78"/>
      <c r="AS3096" s="78"/>
      <c r="AT3096" s="79"/>
      <c r="AU3096" s="79"/>
      <c r="AV3096" s="79"/>
      <c r="AW3096" s="79"/>
      <c r="AX3096" s="79"/>
      <c r="AZ3096" s="81"/>
      <c r="BB3096" s="5"/>
      <c r="BC3096" s="5"/>
      <c r="BD3096" s="5"/>
      <c r="BE3096" s="5"/>
      <c r="BF3096" s="5"/>
      <c r="BG3096" s="5"/>
      <c r="BH3096" s="5"/>
      <c r="BI3096" s="5"/>
      <c r="BJ3096" s="5"/>
      <c r="BK3096" s="5"/>
      <c r="BL3096" s="5"/>
      <c r="BM3096" s="5"/>
      <c r="BN3096" s="5"/>
      <c r="BO3096" s="5"/>
      <c r="BP3096" s="5"/>
    </row>
    <row r="3097" spans="35:68" x14ac:dyDescent="0.25">
      <c r="AI3097" s="49"/>
      <c r="AJ3097" s="78"/>
      <c r="AK3097" s="79"/>
      <c r="AL3097" s="79"/>
      <c r="AM3097" s="79"/>
      <c r="AN3097" s="79"/>
      <c r="AO3097" s="79"/>
      <c r="AP3097" s="79"/>
      <c r="AQ3097" s="79"/>
      <c r="AR3097" s="78"/>
      <c r="AS3097" s="78"/>
      <c r="AT3097" s="79"/>
      <c r="AU3097" s="79"/>
      <c r="AV3097" s="79"/>
      <c r="AW3097" s="79"/>
      <c r="AX3097" s="79"/>
      <c r="AZ3097" s="81"/>
      <c r="BB3097" s="5"/>
      <c r="BC3097" s="5"/>
      <c r="BD3097" s="5"/>
      <c r="BE3097" s="5"/>
      <c r="BF3097" s="5"/>
      <c r="BG3097" s="5"/>
      <c r="BH3097" s="5"/>
      <c r="BI3097" s="5"/>
      <c r="BJ3097" s="5"/>
      <c r="BK3097" s="5"/>
      <c r="BL3097" s="5"/>
      <c r="BM3097" s="5"/>
      <c r="BN3097" s="5"/>
      <c r="BO3097" s="5"/>
      <c r="BP3097" s="5"/>
    </row>
    <row r="3098" spans="35:68" x14ac:dyDescent="0.25">
      <c r="AI3098" s="49"/>
      <c r="AJ3098" s="78"/>
      <c r="AK3098" s="79"/>
      <c r="AL3098" s="79"/>
      <c r="AM3098" s="79"/>
      <c r="AN3098" s="79"/>
      <c r="AO3098" s="79"/>
      <c r="AP3098" s="79"/>
      <c r="AQ3098" s="79"/>
      <c r="AR3098" s="78"/>
      <c r="AS3098" s="78"/>
      <c r="AT3098" s="79"/>
      <c r="AU3098" s="79"/>
      <c r="AV3098" s="79"/>
      <c r="AW3098" s="79"/>
      <c r="AX3098" s="79"/>
      <c r="AZ3098" s="81"/>
      <c r="BB3098" s="5"/>
      <c r="BC3098" s="5"/>
      <c r="BD3098" s="5"/>
      <c r="BE3098" s="5"/>
      <c r="BF3098" s="5"/>
      <c r="BG3098" s="5"/>
      <c r="BH3098" s="5"/>
      <c r="BI3098" s="5"/>
      <c r="BJ3098" s="5"/>
      <c r="BK3098" s="5"/>
      <c r="BL3098" s="5"/>
      <c r="BM3098" s="5"/>
      <c r="BN3098" s="5"/>
      <c r="BO3098" s="5"/>
      <c r="BP3098" s="5"/>
    </row>
    <row r="3099" spans="35:68" x14ac:dyDescent="0.25">
      <c r="AI3099" s="49"/>
      <c r="AJ3099" s="78"/>
      <c r="AK3099" s="79"/>
      <c r="AL3099" s="79"/>
      <c r="AM3099" s="79"/>
      <c r="AN3099" s="79"/>
      <c r="AO3099" s="79"/>
      <c r="AP3099" s="79"/>
      <c r="AQ3099" s="79"/>
      <c r="AR3099" s="78"/>
      <c r="AS3099" s="78"/>
      <c r="AT3099" s="79"/>
      <c r="AU3099" s="79"/>
      <c r="AV3099" s="79"/>
      <c r="AW3099" s="79"/>
      <c r="AX3099" s="79"/>
      <c r="AZ3099" s="81"/>
      <c r="BB3099" s="5"/>
      <c r="BC3099" s="5"/>
      <c r="BD3099" s="5"/>
      <c r="BE3099" s="5"/>
      <c r="BF3099" s="5"/>
      <c r="BG3099" s="5"/>
      <c r="BH3099" s="5"/>
      <c r="BI3099" s="5"/>
      <c r="BJ3099" s="5"/>
      <c r="BK3099" s="5"/>
      <c r="BL3099" s="5"/>
      <c r="BM3099" s="5"/>
      <c r="BN3099" s="5"/>
      <c r="BO3099" s="5"/>
      <c r="BP3099" s="5"/>
    </row>
    <row r="3100" spans="35:68" x14ac:dyDescent="0.25">
      <c r="AI3100" s="49"/>
      <c r="AJ3100" s="78"/>
      <c r="AK3100" s="79"/>
      <c r="AL3100" s="79"/>
      <c r="AM3100" s="79"/>
      <c r="AN3100" s="79"/>
      <c r="AO3100" s="79"/>
      <c r="AP3100" s="79"/>
      <c r="AQ3100" s="79"/>
      <c r="AR3100" s="78"/>
      <c r="AS3100" s="78"/>
      <c r="AT3100" s="79"/>
      <c r="AU3100" s="79"/>
      <c r="AV3100" s="79"/>
      <c r="AW3100" s="79"/>
      <c r="AX3100" s="79"/>
      <c r="AZ3100" s="81"/>
      <c r="BB3100" s="5"/>
      <c r="BC3100" s="5"/>
      <c r="BD3100" s="5"/>
      <c r="BE3100" s="5"/>
      <c r="BF3100" s="5"/>
      <c r="BG3100" s="5"/>
      <c r="BH3100" s="5"/>
      <c r="BI3100" s="5"/>
      <c r="BJ3100" s="5"/>
      <c r="BK3100" s="5"/>
      <c r="BL3100" s="5"/>
      <c r="BM3100" s="5"/>
      <c r="BN3100" s="5"/>
      <c r="BO3100" s="5"/>
      <c r="BP3100" s="5"/>
    </row>
    <row r="3101" spans="35:68" x14ac:dyDescent="0.25">
      <c r="AI3101" s="49"/>
      <c r="AJ3101" s="78"/>
      <c r="AK3101" s="79"/>
      <c r="AL3101" s="79"/>
      <c r="AM3101" s="79"/>
      <c r="AN3101" s="79"/>
      <c r="AO3101" s="79"/>
      <c r="AP3101" s="79"/>
      <c r="AQ3101" s="79"/>
      <c r="AR3101" s="78"/>
      <c r="AS3101" s="78"/>
      <c r="AT3101" s="79"/>
      <c r="AU3101" s="79"/>
      <c r="AV3101" s="79"/>
      <c r="AW3101" s="79"/>
      <c r="AX3101" s="79"/>
      <c r="AZ3101" s="81"/>
      <c r="BB3101" s="5"/>
      <c r="BC3101" s="5"/>
      <c r="BD3101" s="5"/>
      <c r="BE3101" s="5"/>
      <c r="BF3101" s="5"/>
      <c r="BG3101" s="5"/>
      <c r="BH3101" s="5"/>
      <c r="BI3101" s="5"/>
      <c r="BJ3101" s="5"/>
      <c r="BK3101" s="5"/>
      <c r="BL3101" s="5"/>
      <c r="BM3101" s="5"/>
      <c r="BN3101" s="5"/>
      <c r="BO3101" s="5"/>
      <c r="BP3101" s="5"/>
    </row>
    <row r="3102" spans="35:68" x14ac:dyDescent="0.25">
      <c r="AI3102" s="49"/>
      <c r="AJ3102" s="78"/>
      <c r="AK3102" s="79"/>
      <c r="AL3102" s="79"/>
      <c r="AM3102" s="79"/>
      <c r="AN3102" s="79"/>
      <c r="AO3102" s="79"/>
      <c r="AP3102" s="79"/>
      <c r="AQ3102" s="79"/>
      <c r="AR3102" s="78"/>
      <c r="AS3102" s="78"/>
      <c r="AT3102" s="79"/>
      <c r="AU3102" s="79"/>
      <c r="AV3102" s="79"/>
      <c r="AW3102" s="79"/>
      <c r="AX3102" s="79"/>
      <c r="AZ3102" s="81"/>
      <c r="BB3102" s="5"/>
      <c r="BC3102" s="5"/>
      <c r="BD3102" s="5"/>
      <c r="BE3102" s="5"/>
      <c r="BF3102" s="5"/>
      <c r="BG3102" s="5"/>
      <c r="BH3102" s="5"/>
      <c r="BI3102" s="5"/>
      <c r="BJ3102" s="5"/>
      <c r="BK3102" s="5"/>
      <c r="BL3102" s="5"/>
      <c r="BM3102" s="5"/>
      <c r="BN3102" s="5"/>
      <c r="BO3102" s="5"/>
      <c r="BP3102" s="5"/>
    </row>
    <row r="3103" spans="35:68" x14ac:dyDescent="0.25">
      <c r="AI3103" s="49"/>
      <c r="AJ3103" s="78"/>
      <c r="AK3103" s="79"/>
      <c r="AL3103" s="79"/>
      <c r="AM3103" s="79"/>
      <c r="AN3103" s="79"/>
      <c r="AO3103" s="79"/>
      <c r="AP3103" s="79"/>
      <c r="AQ3103" s="79"/>
      <c r="AR3103" s="78"/>
      <c r="AS3103" s="78"/>
      <c r="AT3103" s="79"/>
      <c r="AU3103" s="79"/>
      <c r="AV3103" s="79"/>
      <c r="AW3103" s="79"/>
      <c r="AX3103" s="79"/>
      <c r="AZ3103" s="81"/>
      <c r="BB3103" s="5"/>
      <c r="BC3103" s="5"/>
      <c r="BD3103" s="5"/>
      <c r="BE3103" s="5"/>
      <c r="BF3103" s="5"/>
      <c r="BG3103" s="5"/>
      <c r="BH3103" s="5"/>
      <c r="BI3103" s="5"/>
      <c r="BJ3103" s="5"/>
      <c r="BK3103" s="5"/>
      <c r="BL3103" s="5"/>
      <c r="BM3103" s="5"/>
      <c r="BN3103" s="5"/>
      <c r="BO3103" s="5"/>
      <c r="BP3103" s="5"/>
    </row>
    <row r="3104" spans="35:68" x14ac:dyDescent="0.25">
      <c r="AI3104" s="49"/>
      <c r="AJ3104" s="78"/>
      <c r="AK3104" s="79"/>
      <c r="AL3104" s="79"/>
      <c r="AM3104" s="79"/>
      <c r="AN3104" s="79"/>
      <c r="AO3104" s="79"/>
      <c r="AP3104" s="79"/>
      <c r="AQ3104" s="79"/>
      <c r="AR3104" s="78"/>
      <c r="AS3104" s="78"/>
      <c r="AT3104" s="79"/>
      <c r="AU3104" s="79"/>
      <c r="AV3104" s="79"/>
      <c r="AW3104" s="79"/>
      <c r="AX3104" s="79"/>
      <c r="AZ3104" s="81"/>
      <c r="BB3104" s="5"/>
      <c r="BC3104" s="5"/>
      <c r="BD3104" s="5"/>
      <c r="BE3104" s="5"/>
      <c r="BF3104" s="5"/>
      <c r="BG3104" s="5"/>
      <c r="BH3104" s="5"/>
      <c r="BI3104" s="5"/>
      <c r="BJ3104" s="5"/>
      <c r="BK3104" s="5"/>
      <c r="BL3104" s="5"/>
      <c r="BM3104" s="5"/>
      <c r="BN3104" s="5"/>
      <c r="BO3104" s="5"/>
      <c r="BP3104" s="5"/>
    </row>
    <row r="3105" spans="35:68" x14ac:dyDescent="0.25">
      <c r="AI3105" s="49"/>
      <c r="AJ3105" s="78"/>
      <c r="AK3105" s="79"/>
      <c r="AL3105" s="79"/>
      <c r="AM3105" s="79"/>
      <c r="AN3105" s="79"/>
      <c r="AO3105" s="79"/>
      <c r="AP3105" s="79"/>
      <c r="AQ3105" s="79"/>
      <c r="AR3105" s="78"/>
      <c r="AS3105" s="78"/>
      <c r="AT3105" s="79"/>
      <c r="AU3105" s="79"/>
      <c r="AV3105" s="79"/>
      <c r="AW3105" s="79"/>
      <c r="AX3105" s="79"/>
      <c r="AZ3105" s="81"/>
      <c r="BB3105" s="5"/>
      <c r="BC3105" s="5"/>
      <c r="BD3105" s="5"/>
      <c r="BE3105" s="5"/>
      <c r="BF3105" s="5"/>
      <c r="BG3105" s="5"/>
      <c r="BH3105" s="5"/>
      <c r="BI3105" s="5"/>
      <c r="BJ3105" s="5"/>
      <c r="BK3105" s="5"/>
      <c r="BL3105" s="5"/>
      <c r="BM3105" s="5"/>
      <c r="BN3105" s="5"/>
      <c r="BO3105" s="5"/>
      <c r="BP3105" s="5"/>
    </row>
    <row r="3106" spans="35:68" x14ac:dyDescent="0.25">
      <c r="AI3106" s="49"/>
      <c r="AJ3106" s="78"/>
      <c r="AK3106" s="79"/>
      <c r="AL3106" s="79"/>
      <c r="AM3106" s="79"/>
      <c r="AN3106" s="79"/>
      <c r="AO3106" s="79"/>
      <c r="AP3106" s="79"/>
      <c r="AQ3106" s="79"/>
      <c r="AR3106" s="78"/>
      <c r="AS3106" s="78"/>
      <c r="AT3106" s="79"/>
      <c r="AU3106" s="79"/>
      <c r="AV3106" s="79"/>
      <c r="AW3106" s="79"/>
      <c r="AX3106" s="79"/>
      <c r="AZ3106" s="81"/>
      <c r="BB3106" s="5"/>
      <c r="BC3106" s="5"/>
      <c r="BD3106" s="5"/>
      <c r="BE3106" s="5"/>
      <c r="BF3106" s="5"/>
      <c r="BG3106" s="5"/>
      <c r="BH3106" s="5"/>
      <c r="BI3106" s="5"/>
      <c r="BJ3106" s="5"/>
      <c r="BK3106" s="5"/>
      <c r="BL3106" s="5"/>
      <c r="BM3106" s="5"/>
      <c r="BN3106" s="5"/>
      <c r="BO3106" s="5"/>
      <c r="BP3106" s="5"/>
    </row>
    <row r="3107" spans="35:68" x14ac:dyDescent="0.25">
      <c r="AI3107" s="49"/>
      <c r="AJ3107" s="78"/>
      <c r="AK3107" s="79"/>
      <c r="AL3107" s="79"/>
      <c r="AM3107" s="79"/>
      <c r="AN3107" s="79"/>
      <c r="AO3107" s="79"/>
      <c r="AP3107" s="79"/>
      <c r="AQ3107" s="79"/>
      <c r="AR3107" s="78"/>
      <c r="AS3107" s="78"/>
      <c r="AT3107" s="79"/>
      <c r="AU3107" s="79"/>
      <c r="AV3107" s="79"/>
      <c r="AW3107" s="79"/>
      <c r="AX3107" s="79"/>
      <c r="AZ3107" s="81"/>
      <c r="BB3107" s="5"/>
      <c r="BC3107" s="5"/>
      <c r="BD3107" s="5"/>
      <c r="BE3107" s="5"/>
      <c r="BF3107" s="5"/>
      <c r="BG3107" s="5"/>
      <c r="BH3107" s="5"/>
      <c r="BI3107" s="5"/>
      <c r="BJ3107" s="5"/>
      <c r="BK3107" s="5"/>
      <c r="BL3107" s="5"/>
      <c r="BM3107" s="5"/>
      <c r="BN3107" s="5"/>
      <c r="BO3107" s="5"/>
      <c r="BP3107" s="5"/>
    </row>
    <row r="3108" spans="35:68" x14ac:dyDescent="0.25">
      <c r="AI3108" s="49"/>
      <c r="AJ3108" s="78"/>
      <c r="AK3108" s="79"/>
      <c r="AL3108" s="79"/>
      <c r="AM3108" s="79"/>
      <c r="AN3108" s="79"/>
      <c r="AO3108" s="79"/>
      <c r="AP3108" s="79"/>
      <c r="AQ3108" s="79"/>
      <c r="AR3108" s="78"/>
      <c r="AS3108" s="78"/>
      <c r="AT3108" s="79"/>
      <c r="AU3108" s="79"/>
      <c r="AV3108" s="79"/>
      <c r="AW3108" s="79"/>
      <c r="AX3108" s="79"/>
      <c r="AZ3108" s="81"/>
      <c r="BB3108" s="5"/>
      <c r="BC3108" s="5"/>
      <c r="BD3108" s="5"/>
      <c r="BE3108" s="5"/>
      <c r="BF3108" s="5"/>
      <c r="BG3108" s="5"/>
      <c r="BH3108" s="5"/>
      <c r="BI3108" s="5"/>
      <c r="BJ3108" s="5"/>
      <c r="BK3108" s="5"/>
      <c r="BL3108" s="5"/>
      <c r="BM3108" s="5"/>
      <c r="BN3108" s="5"/>
      <c r="BO3108" s="5"/>
      <c r="BP3108" s="5"/>
    </row>
    <row r="3109" spans="35:68" x14ac:dyDescent="0.25">
      <c r="AI3109" s="49"/>
      <c r="AJ3109" s="78"/>
      <c r="AK3109" s="79"/>
      <c r="AL3109" s="79"/>
      <c r="AM3109" s="79"/>
      <c r="AN3109" s="79"/>
      <c r="AO3109" s="79"/>
      <c r="AP3109" s="79"/>
      <c r="AQ3109" s="79"/>
      <c r="AR3109" s="78"/>
      <c r="AS3109" s="78"/>
      <c r="AT3109" s="79"/>
      <c r="AU3109" s="79"/>
      <c r="AV3109" s="79"/>
      <c r="AW3109" s="79"/>
      <c r="AX3109" s="79"/>
      <c r="AZ3109" s="81"/>
      <c r="BB3109" s="5"/>
      <c r="BC3109" s="5"/>
      <c r="BD3109" s="5"/>
      <c r="BE3109" s="5"/>
      <c r="BF3109" s="5"/>
      <c r="BG3109" s="5"/>
      <c r="BH3109" s="5"/>
      <c r="BI3109" s="5"/>
      <c r="BJ3109" s="5"/>
      <c r="BK3109" s="5"/>
      <c r="BL3109" s="5"/>
      <c r="BM3109" s="5"/>
      <c r="BN3109" s="5"/>
      <c r="BO3109" s="5"/>
      <c r="BP3109" s="5"/>
    </row>
    <row r="3110" spans="35:68" x14ac:dyDescent="0.25">
      <c r="AI3110" s="49"/>
      <c r="AJ3110" s="78"/>
      <c r="AK3110" s="79"/>
      <c r="AL3110" s="79"/>
      <c r="AM3110" s="79"/>
      <c r="AN3110" s="79"/>
      <c r="AO3110" s="79"/>
      <c r="AP3110" s="79"/>
      <c r="AQ3110" s="79"/>
      <c r="AR3110" s="78"/>
      <c r="AS3110" s="78"/>
      <c r="AT3110" s="79"/>
      <c r="AU3110" s="79"/>
      <c r="AV3110" s="79"/>
      <c r="AW3110" s="79"/>
      <c r="AX3110" s="79"/>
      <c r="AZ3110" s="81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</row>
    <row r="3111" spans="35:68" x14ac:dyDescent="0.25">
      <c r="AI3111" s="49"/>
      <c r="AJ3111" s="78"/>
      <c r="AK3111" s="79"/>
      <c r="AL3111" s="79"/>
      <c r="AM3111" s="79"/>
      <c r="AN3111" s="79"/>
      <c r="AO3111" s="79"/>
      <c r="AP3111" s="79"/>
      <c r="AQ3111" s="79"/>
      <c r="AR3111" s="78"/>
      <c r="AS3111" s="78"/>
      <c r="AT3111" s="79"/>
      <c r="AU3111" s="79"/>
      <c r="AV3111" s="79"/>
      <c r="AW3111" s="79"/>
      <c r="AX3111" s="79"/>
      <c r="AZ3111" s="81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</row>
    <row r="3112" spans="35:68" x14ac:dyDescent="0.25">
      <c r="AI3112" s="49"/>
      <c r="AJ3112" s="78"/>
      <c r="AK3112" s="79"/>
      <c r="AL3112" s="79"/>
      <c r="AM3112" s="79"/>
      <c r="AN3112" s="79"/>
      <c r="AO3112" s="79"/>
      <c r="AP3112" s="79"/>
      <c r="AQ3112" s="79"/>
      <c r="AR3112" s="78"/>
      <c r="AS3112" s="78"/>
      <c r="AT3112" s="79"/>
      <c r="AU3112" s="79"/>
      <c r="AV3112" s="79"/>
      <c r="AW3112" s="79"/>
      <c r="AX3112" s="79"/>
      <c r="AZ3112" s="81"/>
      <c r="BB3112" s="5"/>
      <c r="BC3112" s="5"/>
      <c r="BD3112" s="5"/>
      <c r="BE3112" s="5"/>
      <c r="BF3112" s="5"/>
      <c r="BG3112" s="5"/>
      <c r="BH3112" s="5"/>
      <c r="BI3112" s="5"/>
      <c r="BJ3112" s="5"/>
      <c r="BK3112" s="5"/>
      <c r="BL3112" s="5"/>
      <c r="BM3112" s="5"/>
      <c r="BN3112" s="5"/>
      <c r="BO3112" s="5"/>
      <c r="BP3112" s="5"/>
    </row>
    <row r="3113" spans="35:68" x14ac:dyDescent="0.25">
      <c r="AI3113" s="49"/>
      <c r="AJ3113" s="78"/>
      <c r="AK3113" s="79"/>
      <c r="AL3113" s="79"/>
      <c r="AM3113" s="79"/>
      <c r="AN3113" s="79"/>
      <c r="AO3113" s="79"/>
      <c r="AP3113" s="79"/>
      <c r="AQ3113" s="79"/>
      <c r="AR3113" s="78"/>
      <c r="AS3113" s="78"/>
      <c r="AT3113" s="79"/>
      <c r="AU3113" s="79"/>
      <c r="AV3113" s="79"/>
      <c r="AW3113" s="79"/>
      <c r="AX3113" s="79"/>
      <c r="AZ3113" s="81"/>
      <c r="BB3113" s="5"/>
      <c r="BC3113" s="5"/>
      <c r="BD3113" s="5"/>
      <c r="BE3113" s="5"/>
      <c r="BF3113" s="5"/>
      <c r="BG3113" s="5"/>
      <c r="BH3113" s="5"/>
      <c r="BI3113" s="5"/>
      <c r="BJ3113" s="5"/>
      <c r="BK3113" s="5"/>
      <c r="BL3113" s="5"/>
      <c r="BM3113" s="5"/>
      <c r="BN3113" s="5"/>
      <c r="BO3113" s="5"/>
      <c r="BP3113" s="5"/>
    </row>
    <row r="3114" spans="35:68" x14ac:dyDescent="0.25">
      <c r="AI3114" s="49"/>
      <c r="AJ3114" s="78"/>
      <c r="AK3114" s="79"/>
      <c r="AL3114" s="79"/>
      <c r="AM3114" s="79"/>
      <c r="AN3114" s="79"/>
      <c r="AO3114" s="79"/>
      <c r="AP3114" s="79"/>
      <c r="AQ3114" s="79"/>
      <c r="AR3114" s="78"/>
      <c r="AS3114" s="78"/>
      <c r="AT3114" s="79"/>
      <c r="AU3114" s="79"/>
      <c r="AV3114" s="79"/>
      <c r="AW3114" s="79"/>
      <c r="AX3114" s="79"/>
      <c r="AZ3114" s="81"/>
      <c r="BB3114" s="5"/>
      <c r="BC3114" s="5"/>
      <c r="BD3114" s="5"/>
      <c r="BE3114" s="5"/>
      <c r="BF3114" s="5"/>
      <c r="BG3114" s="5"/>
      <c r="BH3114" s="5"/>
      <c r="BI3114" s="5"/>
      <c r="BJ3114" s="5"/>
      <c r="BK3114" s="5"/>
      <c r="BL3114" s="5"/>
      <c r="BM3114" s="5"/>
      <c r="BN3114" s="5"/>
      <c r="BO3114" s="5"/>
      <c r="BP3114" s="5"/>
    </row>
    <row r="3115" spans="35:68" x14ac:dyDescent="0.25">
      <c r="AI3115" s="49"/>
      <c r="AJ3115" s="78"/>
      <c r="AK3115" s="79"/>
      <c r="AL3115" s="79"/>
      <c r="AM3115" s="79"/>
      <c r="AN3115" s="79"/>
      <c r="AO3115" s="79"/>
      <c r="AP3115" s="79"/>
      <c r="AQ3115" s="79"/>
      <c r="AR3115" s="78"/>
      <c r="AS3115" s="78"/>
      <c r="AT3115" s="79"/>
      <c r="AU3115" s="79"/>
      <c r="AV3115" s="79"/>
      <c r="AW3115" s="79"/>
      <c r="AX3115" s="79"/>
      <c r="AZ3115" s="81"/>
      <c r="BB3115" s="5"/>
      <c r="BC3115" s="5"/>
      <c r="BD3115" s="5"/>
      <c r="BE3115" s="5"/>
      <c r="BF3115" s="5"/>
      <c r="BG3115" s="5"/>
      <c r="BH3115" s="5"/>
      <c r="BI3115" s="5"/>
      <c r="BJ3115" s="5"/>
      <c r="BK3115" s="5"/>
      <c r="BL3115" s="5"/>
      <c r="BM3115" s="5"/>
      <c r="BN3115" s="5"/>
      <c r="BO3115" s="5"/>
      <c r="BP3115" s="5"/>
    </row>
    <row r="3116" spans="35:68" x14ac:dyDescent="0.25">
      <c r="AI3116" s="49"/>
      <c r="AJ3116" s="78"/>
      <c r="AK3116" s="79"/>
      <c r="AL3116" s="79"/>
      <c r="AM3116" s="79"/>
      <c r="AN3116" s="79"/>
      <c r="AO3116" s="79"/>
      <c r="AP3116" s="79"/>
      <c r="AQ3116" s="79"/>
      <c r="AR3116" s="78"/>
      <c r="AS3116" s="78"/>
      <c r="AT3116" s="79"/>
      <c r="AU3116" s="79"/>
      <c r="AV3116" s="79"/>
      <c r="AW3116" s="79"/>
      <c r="AX3116" s="79"/>
      <c r="AZ3116" s="81"/>
      <c r="BB3116" s="5"/>
      <c r="BC3116" s="5"/>
      <c r="BD3116" s="5"/>
      <c r="BE3116" s="5"/>
      <c r="BF3116" s="5"/>
      <c r="BG3116" s="5"/>
      <c r="BH3116" s="5"/>
      <c r="BI3116" s="5"/>
      <c r="BJ3116" s="5"/>
      <c r="BK3116" s="5"/>
      <c r="BL3116" s="5"/>
      <c r="BM3116" s="5"/>
      <c r="BN3116" s="5"/>
      <c r="BO3116" s="5"/>
      <c r="BP3116" s="5"/>
    </row>
    <row r="3117" spans="35:68" x14ac:dyDescent="0.25">
      <c r="AI3117" s="49"/>
      <c r="AJ3117" s="78"/>
      <c r="AK3117" s="79"/>
      <c r="AL3117" s="79"/>
      <c r="AM3117" s="79"/>
      <c r="AN3117" s="79"/>
      <c r="AO3117" s="79"/>
      <c r="AP3117" s="79"/>
      <c r="AQ3117" s="79"/>
      <c r="AR3117" s="78"/>
      <c r="AS3117" s="78"/>
      <c r="AT3117" s="79"/>
      <c r="AU3117" s="79"/>
      <c r="AV3117" s="79"/>
      <c r="AW3117" s="79"/>
      <c r="AX3117" s="79"/>
      <c r="AZ3117" s="81"/>
      <c r="BB3117" s="5"/>
      <c r="BC3117" s="5"/>
      <c r="BD3117" s="5"/>
      <c r="BE3117" s="5"/>
      <c r="BF3117" s="5"/>
      <c r="BG3117" s="5"/>
      <c r="BH3117" s="5"/>
      <c r="BI3117" s="5"/>
      <c r="BJ3117" s="5"/>
      <c r="BK3117" s="5"/>
      <c r="BL3117" s="5"/>
      <c r="BM3117" s="5"/>
      <c r="BN3117" s="5"/>
      <c r="BO3117" s="5"/>
      <c r="BP3117" s="5"/>
    </row>
    <row r="3118" spans="35:68" x14ac:dyDescent="0.25">
      <c r="AI3118" s="49"/>
      <c r="AJ3118" s="78"/>
      <c r="AK3118" s="79"/>
      <c r="AL3118" s="79"/>
      <c r="AM3118" s="79"/>
      <c r="AN3118" s="79"/>
      <c r="AO3118" s="79"/>
      <c r="AP3118" s="79"/>
      <c r="AQ3118" s="79"/>
      <c r="AR3118" s="78"/>
      <c r="AS3118" s="78"/>
      <c r="AT3118" s="79"/>
      <c r="AU3118" s="79"/>
      <c r="AV3118" s="79"/>
      <c r="AW3118" s="79"/>
      <c r="AX3118" s="79"/>
      <c r="AZ3118" s="81"/>
      <c r="BB3118" s="5"/>
      <c r="BC3118" s="5"/>
      <c r="BD3118" s="5"/>
      <c r="BE3118" s="5"/>
      <c r="BF3118" s="5"/>
      <c r="BG3118" s="5"/>
      <c r="BH3118" s="5"/>
      <c r="BI3118" s="5"/>
      <c r="BJ3118" s="5"/>
      <c r="BK3118" s="5"/>
      <c r="BL3118" s="5"/>
      <c r="BM3118" s="5"/>
      <c r="BN3118" s="5"/>
      <c r="BO3118" s="5"/>
      <c r="BP3118" s="5"/>
    </row>
    <row r="3119" spans="35:68" x14ac:dyDescent="0.25">
      <c r="AI3119" s="49"/>
      <c r="AJ3119" s="78"/>
      <c r="AK3119" s="79"/>
      <c r="AL3119" s="79"/>
      <c r="AM3119" s="79"/>
      <c r="AN3119" s="79"/>
      <c r="AO3119" s="79"/>
      <c r="AP3119" s="79"/>
      <c r="AQ3119" s="79"/>
      <c r="AR3119" s="78"/>
      <c r="AS3119" s="78"/>
      <c r="AT3119" s="79"/>
      <c r="AU3119" s="79"/>
      <c r="AV3119" s="79"/>
      <c r="AW3119" s="79"/>
      <c r="AX3119" s="79"/>
      <c r="AZ3119" s="81"/>
      <c r="BB3119" s="5"/>
      <c r="BC3119" s="5"/>
      <c r="BD3119" s="5"/>
      <c r="BE3119" s="5"/>
      <c r="BF3119" s="5"/>
      <c r="BG3119" s="5"/>
      <c r="BH3119" s="5"/>
      <c r="BI3119" s="5"/>
      <c r="BJ3119" s="5"/>
      <c r="BK3119" s="5"/>
      <c r="BL3119" s="5"/>
      <c r="BM3119" s="5"/>
      <c r="BN3119" s="5"/>
      <c r="BO3119" s="5"/>
      <c r="BP3119" s="5"/>
    </row>
    <row r="3120" spans="35:68" x14ac:dyDescent="0.25">
      <c r="AI3120" s="49"/>
      <c r="AJ3120" s="78"/>
      <c r="AK3120" s="79"/>
      <c r="AL3120" s="79"/>
      <c r="AM3120" s="79"/>
      <c r="AN3120" s="79"/>
      <c r="AO3120" s="79"/>
      <c r="AP3120" s="79"/>
      <c r="AQ3120" s="79"/>
      <c r="AR3120" s="78"/>
      <c r="AS3120" s="78"/>
      <c r="AT3120" s="79"/>
      <c r="AU3120" s="79"/>
      <c r="AV3120" s="79"/>
      <c r="AW3120" s="79"/>
      <c r="AX3120" s="79"/>
      <c r="AZ3120" s="81"/>
      <c r="BB3120" s="5"/>
      <c r="BC3120" s="5"/>
      <c r="BD3120" s="5"/>
      <c r="BE3120" s="5"/>
      <c r="BF3120" s="5"/>
      <c r="BG3120" s="5"/>
      <c r="BH3120" s="5"/>
      <c r="BI3120" s="5"/>
      <c r="BJ3120" s="5"/>
      <c r="BK3120" s="5"/>
      <c r="BL3120" s="5"/>
      <c r="BM3120" s="5"/>
      <c r="BN3120" s="5"/>
      <c r="BO3120" s="5"/>
      <c r="BP3120" s="5"/>
    </row>
    <row r="3121" spans="35:68" x14ac:dyDescent="0.25">
      <c r="AI3121" s="49"/>
      <c r="AJ3121" s="78"/>
      <c r="AK3121" s="79"/>
      <c r="AL3121" s="79"/>
      <c r="AM3121" s="79"/>
      <c r="AN3121" s="79"/>
      <c r="AO3121" s="79"/>
      <c r="AP3121" s="79"/>
      <c r="AQ3121" s="79"/>
      <c r="AR3121" s="78"/>
      <c r="AS3121" s="78"/>
      <c r="AT3121" s="79"/>
      <c r="AU3121" s="79"/>
      <c r="AV3121" s="79"/>
      <c r="AW3121" s="79"/>
      <c r="AX3121" s="79"/>
      <c r="AZ3121" s="81"/>
      <c r="BB3121" s="5"/>
      <c r="BC3121" s="5"/>
      <c r="BD3121" s="5"/>
      <c r="BE3121" s="5"/>
      <c r="BF3121" s="5"/>
      <c r="BG3121" s="5"/>
      <c r="BH3121" s="5"/>
      <c r="BI3121" s="5"/>
      <c r="BJ3121" s="5"/>
      <c r="BK3121" s="5"/>
      <c r="BL3121" s="5"/>
      <c r="BM3121" s="5"/>
      <c r="BN3121" s="5"/>
      <c r="BO3121" s="5"/>
      <c r="BP3121" s="5"/>
    </row>
    <row r="3122" spans="35:68" x14ac:dyDescent="0.25">
      <c r="AI3122" s="49"/>
      <c r="AJ3122" s="78"/>
      <c r="AK3122" s="79"/>
      <c r="AL3122" s="79"/>
      <c r="AM3122" s="79"/>
      <c r="AN3122" s="79"/>
      <c r="AO3122" s="79"/>
      <c r="AP3122" s="79"/>
      <c r="AQ3122" s="79"/>
      <c r="AR3122" s="78"/>
      <c r="AS3122" s="78"/>
      <c r="AT3122" s="79"/>
      <c r="AU3122" s="79"/>
      <c r="AV3122" s="79"/>
      <c r="AW3122" s="79"/>
      <c r="AX3122" s="79"/>
      <c r="AZ3122" s="81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</row>
    <row r="3123" spans="35:68" x14ac:dyDescent="0.25">
      <c r="AI3123" s="49"/>
      <c r="AJ3123" s="78"/>
      <c r="AK3123" s="79"/>
      <c r="AL3123" s="79"/>
      <c r="AM3123" s="79"/>
      <c r="AN3123" s="79"/>
      <c r="AO3123" s="79"/>
      <c r="AP3123" s="79"/>
      <c r="AQ3123" s="79"/>
      <c r="AR3123" s="78"/>
      <c r="AS3123" s="78"/>
      <c r="AT3123" s="79"/>
      <c r="AU3123" s="79"/>
      <c r="AV3123" s="79"/>
      <c r="AW3123" s="79"/>
      <c r="AX3123" s="79"/>
      <c r="AZ3123" s="81"/>
      <c r="BB3123" s="5"/>
      <c r="BC3123" s="5"/>
      <c r="BD3123" s="5"/>
      <c r="BE3123" s="5"/>
      <c r="BF3123" s="5"/>
      <c r="BG3123" s="5"/>
      <c r="BH3123" s="5"/>
      <c r="BI3123" s="5"/>
      <c r="BJ3123" s="5"/>
      <c r="BK3123" s="5"/>
      <c r="BL3123" s="5"/>
      <c r="BM3123" s="5"/>
      <c r="BN3123" s="5"/>
      <c r="BO3123" s="5"/>
      <c r="BP3123" s="5"/>
    </row>
    <row r="3124" spans="35:68" x14ac:dyDescent="0.25">
      <c r="AI3124" s="49"/>
      <c r="AJ3124" s="78"/>
      <c r="AK3124" s="79"/>
      <c r="AL3124" s="79"/>
      <c r="AM3124" s="79"/>
      <c r="AN3124" s="79"/>
      <c r="AO3124" s="79"/>
      <c r="AP3124" s="79"/>
      <c r="AQ3124" s="79"/>
      <c r="AR3124" s="78"/>
      <c r="AS3124" s="78"/>
      <c r="AT3124" s="79"/>
      <c r="AU3124" s="79"/>
      <c r="AV3124" s="79"/>
      <c r="AW3124" s="79"/>
      <c r="AX3124" s="79"/>
      <c r="AZ3124" s="81"/>
      <c r="BB3124" s="5"/>
      <c r="BC3124" s="5"/>
      <c r="BD3124" s="5"/>
      <c r="BE3124" s="5"/>
      <c r="BF3124" s="5"/>
      <c r="BG3124" s="5"/>
      <c r="BH3124" s="5"/>
      <c r="BI3124" s="5"/>
      <c r="BJ3124" s="5"/>
      <c r="BK3124" s="5"/>
      <c r="BL3124" s="5"/>
      <c r="BM3124" s="5"/>
      <c r="BN3124" s="5"/>
      <c r="BO3124" s="5"/>
      <c r="BP3124" s="5"/>
    </row>
    <row r="3125" spans="35:68" x14ac:dyDescent="0.25">
      <c r="AI3125" s="49"/>
      <c r="AJ3125" s="78"/>
      <c r="AK3125" s="79"/>
      <c r="AL3125" s="79"/>
      <c r="AM3125" s="79"/>
      <c r="AN3125" s="79"/>
      <c r="AO3125" s="79"/>
      <c r="AP3125" s="79"/>
      <c r="AQ3125" s="79"/>
      <c r="AR3125" s="78"/>
      <c r="AS3125" s="78"/>
      <c r="AT3125" s="79"/>
      <c r="AU3125" s="79"/>
      <c r="AV3125" s="79"/>
      <c r="AW3125" s="79"/>
      <c r="AX3125" s="79"/>
      <c r="AZ3125" s="81"/>
      <c r="BB3125" s="5"/>
      <c r="BC3125" s="5"/>
      <c r="BD3125" s="5"/>
      <c r="BE3125" s="5"/>
      <c r="BF3125" s="5"/>
      <c r="BG3125" s="5"/>
      <c r="BH3125" s="5"/>
      <c r="BI3125" s="5"/>
      <c r="BJ3125" s="5"/>
      <c r="BK3125" s="5"/>
      <c r="BL3125" s="5"/>
      <c r="BM3125" s="5"/>
      <c r="BN3125" s="5"/>
      <c r="BO3125" s="5"/>
      <c r="BP3125" s="5"/>
    </row>
    <row r="3126" spans="35:68" x14ac:dyDescent="0.25">
      <c r="AI3126" s="49"/>
      <c r="AJ3126" s="78"/>
      <c r="AK3126" s="79"/>
      <c r="AL3126" s="79"/>
      <c r="AM3126" s="79"/>
      <c r="AN3126" s="79"/>
      <c r="AO3126" s="79"/>
      <c r="AP3126" s="79"/>
      <c r="AQ3126" s="79"/>
      <c r="AR3126" s="78"/>
      <c r="AS3126" s="78"/>
      <c r="AT3126" s="79"/>
      <c r="AU3126" s="79"/>
      <c r="AV3126" s="79"/>
      <c r="AW3126" s="79"/>
      <c r="AX3126" s="79"/>
      <c r="AZ3126" s="81"/>
      <c r="BB3126" s="5"/>
      <c r="BC3126" s="5"/>
      <c r="BD3126" s="5"/>
      <c r="BE3126" s="5"/>
      <c r="BF3126" s="5"/>
      <c r="BG3126" s="5"/>
      <c r="BH3126" s="5"/>
      <c r="BI3126" s="5"/>
      <c r="BJ3126" s="5"/>
      <c r="BK3126" s="5"/>
      <c r="BL3126" s="5"/>
      <c r="BM3126" s="5"/>
      <c r="BN3126" s="5"/>
      <c r="BO3126" s="5"/>
      <c r="BP3126" s="5"/>
    </row>
    <row r="3127" spans="35:68" x14ac:dyDescent="0.25">
      <c r="AI3127" s="49"/>
      <c r="AJ3127" s="78"/>
      <c r="AK3127" s="79"/>
      <c r="AL3127" s="79"/>
      <c r="AM3127" s="79"/>
      <c r="AN3127" s="79"/>
      <c r="AO3127" s="79"/>
      <c r="AP3127" s="79"/>
      <c r="AQ3127" s="79"/>
      <c r="AR3127" s="78"/>
      <c r="AS3127" s="78"/>
      <c r="AT3127" s="79"/>
      <c r="AU3127" s="79"/>
      <c r="AV3127" s="79"/>
      <c r="AW3127" s="79"/>
      <c r="AX3127" s="79"/>
      <c r="AZ3127" s="81"/>
      <c r="BB3127" s="5"/>
      <c r="BC3127" s="5"/>
      <c r="BD3127" s="5"/>
      <c r="BE3127" s="5"/>
      <c r="BF3127" s="5"/>
      <c r="BG3127" s="5"/>
      <c r="BH3127" s="5"/>
      <c r="BI3127" s="5"/>
      <c r="BJ3127" s="5"/>
      <c r="BK3127" s="5"/>
      <c r="BL3127" s="5"/>
      <c r="BM3127" s="5"/>
      <c r="BN3127" s="5"/>
      <c r="BO3127" s="5"/>
      <c r="BP3127" s="5"/>
    </row>
    <row r="3128" spans="35:68" x14ac:dyDescent="0.25">
      <c r="AI3128" s="49"/>
      <c r="AJ3128" s="78"/>
      <c r="AK3128" s="79"/>
      <c r="AL3128" s="79"/>
      <c r="AM3128" s="79"/>
      <c r="AN3128" s="79"/>
      <c r="AO3128" s="79"/>
      <c r="AP3128" s="79"/>
      <c r="AQ3128" s="79"/>
      <c r="AR3128" s="78"/>
      <c r="AS3128" s="78"/>
      <c r="AT3128" s="79"/>
      <c r="AU3128" s="79"/>
      <c r="AV3128" s="79"/>
      <c r="AW3128" s="79"/>
      <c r="AX3128" s="79"/>
      <c r="AZ3128" s="81"/>
      <c r="BB3128" s="5"/>
      <c r="BC3128" s="5"/>
      <c r="BD3128" s="5"/>
      <c r="BE3128" s="5"/>
      <c r="BF3128" s="5"/>
      <c r="BG3128" s="5"/>
      <c r="BH3128" s="5"/>
      <c r="BI3128" s="5"/>
      <c r="BJ3128" s="5"/>
      <c r="BK3128" s="5"/>
      <c r="BL3128" s="5"/>
      <c r="BM3128" s="5"/>
      <c r="BN3128" s="5"/>
      <c r="BO3128" s="5"/>
      <c r="BP3128" s="5"/>
    </row>
    <row r="3129" spans="35:68" x14ac:dyDescent="0.25">
      <c r="AI3129" s="49"/>
      <c r="AJ3129" s="78"/>
      <c r="AK3129" s="79"/>
      <c r="AL3129" s="79"/>
      <c r="AM3129" s="79"/>
      <c r="AN3129" s="79"/>
      <c r="AO3129" s="79"/>
      <c r="AP3129" s="79"/>
      <c r="AQ3129" s="79"/>
      <c r="AR3129" s="78"/>
      <c r="AS3129" s="78"/>
      <c r="AT3129" s="79"/>
      <c r="AU3129" s="79"/>
      <c r="AV3129" s="79"/>
      <c r="AW3129" s="79"/>
      <c r="AX3129" s="79"/>
      <c r="AZ3129" s="81"/>
      <c r="BB3129" s="5"/>
      <c r="BC3129" s="5"/>
      <c r="BD3129" s="5"/>
      <c r="BE3129" s="5"/>
      <c r="BF3129" s="5"/>
      <c r="BG3129" s="5"/>
      <c r="BH3129" s="5"/>
      <c r="BI3129" s="5"/>
      <c r="BJ3129" s="5"/>
      <c r="BK3129" s="5"/>
      <c r="BL3129" s="5"/>
      <c r="BM3129" s="5"/>
      <c r="BN3129" s="5"/>
      <c r="BO3129" s="5"/>
      <c r="BP3129" s="5"/>
    </row>
    <row r="3130" spans="35:68" x14ac:dyDescent="0.25">
      <c r="AI3130" s="49"/>
      <c r="AJ3130" s="78"/>
      <c r="AK3130" s="79"/>
      <c r="AL3130" s="79"/>
      <c r="AM3130" s="79"/>
      <c r="AN3130" s="79"/>
      <c r="AO3130" s="79"/>
      <c r="AP3130" s="79"/>
      <c r="AQ3130" s="79"/>
      <c r="AR3130" s="78"/>
      <c r="AS3130" s="78"/>
      <c r="AT3130" s="79"/>
      <c r="AU3130" s="79"/>
      <c r="AV3130" s="79"/>
      <c r="AW3130" s="79"/>
      <c r="AX3130" s="79"/>
      <c r="AZ3130" s="81"/>
      <c r="BB3130" s="5"/>
      <c r="BC3130" s="5"/>
      <c r="BD3130" s="5"/>
      <c r="BE3130" s="5"/>
      <c r="BF3130" s="5"/>
      <c r="BG3130" s="5"/>
      <c r="BH3130" s="5"/>
      <c r="BI3130" s="5"/>
      <c r="BJ3130" s="5"/>
      <c r="BK3130" s="5"/>
      <c r="BL3130" s="5"/>
      <c r="BM3130" s="5"/>
      <c r="BN3130" s="5"/>
      <c r="BO3130" s="5"/>
      <c r="BP3130" s="5"/>
    </row>
    <row r="3131" spans="35:68" x14ac:dyDescent="0.25">
      <c r="AI3131" s="49"/>
      <c r="AJ3131" s="78"/>
      <c r="AK3131" s="79"/>
      <c r="AL3131" s="79"/>
      <c r="AM3131" s="79"/>
      <c r="AN3131" s="79"/>
      <c r="AO3131" s="79"/>
      <c r="AP3131" s="79"/>
      <c r="AQ3131" s="79"/>
      <c r="AR3131" s="78"/>
      <c r="AS3131" s="78"/>
      <c r="AT3131" s="79"/>
      <c r="AU3131" s="79"/>
      <c r="AV3131" s="79"/>
      <c r="AW3131" s="79"/>
      <c r="AX3131" s="79"/>
      <c r="AZ3131" s="81"/>
      <c r="BB3131" s="5"/>
      <c r="BC3131" s="5"/>
      <c r="BD3131" s="5"/>
      <c r="BE3131" s="5"/>
      <c r="BF3131" s="5"/>
      <c r="BG3131" s="5"/>
      <c r="BH3131" s="5"/>
      <c r="BI3131" s="5"/>
      <c r="BJ3131" s="5"/>
      <c r="BK3131" s="5"/>
      <c r="BL3131" s="5"/>
      <c r="BM3131" s="5"/>
      <c r="BN3131" s="5"/>
      <c r="BO3131" s="5"/>
      <c r="BP3131" s="5"/>
    </row>
    <row r="3132" spans="35:68" x14ac:dyDescent="0.25">
      <c r="AI3132" s="49"/>
      <c r="AJ3132" s="78"/>
      <c r="AK3132" s="79"/>
      <c r="AL3132" s="79"/>
      <c r="AM3132" s="79"/>
      <c r="AN3132" s="79"/>
      <c r="AO3132" s="79"/>
      <c r="AP3132" s="79"/>
      <c r="AQ3132" s="79"/>
      <c r="AR3132" s="78"/>
      <c r="AS3132" s="78"/>
      <c r="AT3132" s="79"/>
      <c r="AU3132" s="79"/>
      <c r="AV3132" s="79"/>
      <c r="AW3132" s="79"/>
      <c r="AX3132" s="79"/>
      <c r="AZ3132" s="81"/>
      <c r="BB3132" s="5"/>
      <c r="BC3132" s="5"/>
      <c r="BD3132" s="5"/>
      <c r="BE3132" s="5"/>
      <c r="BF3132" s="5"/>
      <c r="BG3132" s="5"/>
      <c r="BH3132" s="5"/>
      <c r="BI3132" s="5"/>
      <c r="BJ3132" s="5"/>
      <c r="BK3132" s="5"/>
      <c r="BL3132" s="5"/>
      <c r="BM3132" s="5"/>
      <c r="BN3132" s="5"/>
      <c r="BO3132" s="5"/>
      <c r="BP3132" s="5"/>
    </row>
    <row r="3133" spans="35:68" x14ac:dyDescent="0.25">
      <c r="AI3133" s="49"/>
      <c r="AJ3133" s="78"/>
      <c r="AK3133" s="79"/>
      <c r="AL3133" s="79"/>
      <c r="AM3133" s="79"/>
      <c r="AN3133" s="79"/>
      <c r="AO3133" s="79"/>
      <c r="AP3133" s="79"/>
      <c r="AQ3133" s="79"/>
      <c r="AR3133" s="78"/>
      <c r="AS3133" s="78"/>
      <c r="AT3133" s="79"/>
      <c r="AU3133" s="79"/>
      <c r="AV3133" s="79"/>
      <c r="AW3133" s="79"/>
      <c r="AX3133" s="79"/>
      <c r="AZ3133" s="81"/>
      <c r="BB3133" s="5"/>
      <c r="BC3133" s="5"/>
      <c r="BD3133" s="5"/>
      <c r="BE3133" s="5"/>
      <c r="BF3133" s="5"/>
      <c r="BG3133" s="5"/>
      <c r="BH3133" s="5"/>
      <c r="BI3133" s="5"/>
      <c r="BJ3133" s="5"/>
      <c r="BK3133" s="5"/>
      <c r="BL3133" s="5"/>
      <c r="BM3133" s="5"/>
      <c r="BN3133" s="5"/>
      <c r="BO3133" s="5"/>
      <c r="BP3133" s="5"/>
    </row>
    <row r="3134" spans="35:68" x14ac:dyDescent="0.25">
      <c r="AI3134" s="49"/>
      <c r="AJ3134" s="78"/>
      <c r="AK3134" s="79"/>
      <c r="AL3134" s="79"/>
      <c r="AM3134" s="79"/>
      <c r="AN3134" s="79"/>
      <c r="AO3134" s="79"/>
      <c r="AP3134" s="79"/>
      <c r="AQ3134" s="79"/>
      <c r="AR3134" s="78"/>
      <c r="AS3134" s="78"/>
      <c r="AT3134" s="79"/>
      <c r="AU3134" s="79"/>
      <c r="AV3134" s="79"/>
      <c r="AW3134" s="79"/>
      <c r="AX3134" s="79"/>
      <c r="AZ3134" s="81"/>
      <c r="BB3134" s="5"/>
      <c r="BC3134" s="5"/>
      <c r="BD3134" s="5"/>
      <c r="BE3134" s="5"/>
      <c r="BF3134" s="5"/>
      <c r="BG3134" s="5"/>
      <c r="BH3134" s="5"/>
      <c r="BI3134" s="5"/>
      <c r="BJ3134" s="5"/>
      <c r="BK3134" s="5"/>
      <c r="BL3134" s="5"/>
      <c r="BM3134" s="5"/>
      <c r="BN3134" s="5"/>
      <c r="BO3134" s="5"/>
      <c r="BP3134" s="5"/>
    </row>
    <row r="3135" spans="35:68" x14ac:dyDescent="0.25">
      <c r="AI3135" s="49"/>
      <c r="AJ3135" s="78"/>
      <c r="AK3135" s="79"/>
      <c r="AL3135" s="79"/>
      <c r="AM3135" s="79"/>
      <c r="AN3135" s="79"/>
      <c r="AO3135" s="79"/>
      <c r="AP3135" s="79"/>
      <c r="AQ3135" s="79"/>
      <c r="AR3135" s="78"/>
      <c r="AS3135" s="78"/>
      <c r="AT3135" s="79"/>
      <c r="AU3135" s="79"/>
      <c r="AV3135" s="79"/>
      <c r="AW3135" s="79"/>
      <c r="AX3135" s="79"/>
      <c r="AZ3135" s="81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/>
      <c r="BP3135" s="5"/>
    </row>
    <row r="3136" spans="35:68" x14ac:dyDescent="0.25">
      <c r="AI3136" s="49"/>
      <c r="AJ3136" s="78"/>
      <c r="AK3136" s="79"/>
      <c r="AL3136" s="79"/>
      <c r="AM3136" s="79"/>
      <c r="AN3136" s="79"/>
      <c r="AO3136" s="79"/>
      <c r="AP3136" s="79"/>
      <c r="AQ3136" s="79"/>
      <c r="AR3136" s="78"/>
      <c r="AS3136" s="78"/>
      <c r="AT3136" s="79"/>
      <c r="AU3136" s="79"/>
      <c r="AV3136" s="79"/>
      <c r="AW3136" s="79"/>
      <c r="AX3136" s="79"/>
      <c r="AZ3136" s="81"/>
      <c r="BB3136" s="5"/>
      <c r="BC3136" s="5"/>
      <c r="BD3136" s="5"/>
      <c r="BE3136" s="5"/>
      <c r="BF3136" s="5"/>
      <c r="BG3136" s="5"/>
      <c r="BH3136" s="5"/>
      <c r="BI3136" s="5"/>
      <c r="BJ3136" s="5"/>
      <c r="BK3136" s="5"/>
      <c r="BL3136" s="5"/>
      <c r="BM3136" s="5"/>
      <c r="BN3136" s="5"/>
      <c r="BO3136" s="5"/>
      <c r="BP3136" s="5"/>
    </row>
    <row r="3137" spans="35:68" x14ac:dyDescent="0.25">
      <c r="AI3137" s="49"/>
      <c r="AJ3137" s="78"/>
      <c r="AK3137" s="79"/>
      <c r="AL3137" s="79"/>
      <c r="AM3137" s="79"/>
      <c r="AN3137" s="79"/>
      <c r="AO3137" s="79"/>
      <c r="AP3137" s="79"/>
      <c r="AQ3137" s="79"/>
      <c r="AR3137" s="78"/>
      <c r="AS3137" s="78"/>
      <c r="AT3137" s="79"/>
      <c r="AU3137" s="79"/>
      <c r="AV3137" s="79"/>
      <c r="AW3137" s="79"/>
      <c r="AX3137" s="79"/>
      <c r="AZ3137" s="81"/>
      <c r="BB3137" s="5"/>
      <c r="BC3137" s="5"/>
      <c r="BD3137" s="5"/>
      <c r="BE3137" s="5"/>
      <c r="BF3137" s="5"/>
      <c r="BG3137" s="5"/>
      <c r="BH3137" s="5"/>
      <c r="BI3137" s="5"/>
      <c r="BJ3137" s="5"/>
      <c r="BK3137" s="5"/>
      <c r="BL3137" s="5"/>
      <c r="BM3137" s="5"/>
      <c r="BN3137" s="5"/>
      <c r="BO3137" s="5"/>
      <c r="BP3137" s="5"/>
    </row>
    <row r="3138" spans="35:68" x14ac:dyDescent="0.25">
      <c r="AI3138" s="49"/>
      <c r="AJ3138" s="78"/>
      <c r="AK3138" s="79"/>
      <c r="AL3138" s="79"/>
      <c r="AM3138" s="79"/>
      <c r="AN3138" s="79"/>
      <c r="AO3138" s="79"/>
      <c r="AP3138" s="79"/>
      <c r="AQ3138" s="79"/>
      <c r="AR3138" s="78"/>
      <c r="AS3138" s="78"/>
      <c r="AT3138" s="79"/>
      <c r="AU3138" s="79"/>
      <c r="AV3138" s="79"/>
      <c r="AW3138" s="79"/>
      <c r="AX3138" s="79"/>
      <c r="AZ3138" s="81"/>
      <c r="BB3138" s="5"/>
      <c r="BC3138" s="5"/>
      <c r="BD3138" s="5"/>
      <c r="BE3138" s="5"/>
      <c r="BF3138" s="5"/>
      <c r="BG3138" s="5"/>
      <c r="BH3138" s="5"/>
      <c r="BI3138" s="5"/>
      <c r="BJ3138" s="5"/>
      <c r="BK3138" s="5"/>
      <c r="BL3138" s="5"/>
      <c r="BM3138" s="5"/>
      <c r="BN3138" s="5"/>
      <c r="BO3138" s="5"/>
      <c r="BP3138" s="5"/>
    </row>
    <row r="3139" spans="35:68" x14ac:dyDescent="0.25">
      <c r="AI3139" s="49"/>
      <c r="AJ3139" s="78"/>
      <c r="AK3139" s="79"/>
      <c r="AL3139" s="79"/>
      <c r="AM3139" s="79"/>
      <c r="AN3139" s="79"/>
      <c r="AO3139" s="79"/>
      <c r="AP3139" s="79"/>
      <c r="AQ3139" s="79"/>
      <c r="AR3139" s="78"/>
      <c r="AS3139" s="78"/>
      <c r="AT3139" s="79"/>
      <c r="AU3139" s="79"/>
      <c r="AV3139" s="79"/>
      <c r="AW3139" s="79"/>
      <c r="AX3139" s="79"/>
      <c r="AZ3139" s="81"/>
      <c r="BB3139" s="5"/>
      <c r="BC3139" s="5"/>
      <c r="BD3139" s="5"/>
      <c r="BE3139" s="5"/>
      <c r="BF3139" s="5"/>
      <c r="BG3139" s="5"/>
      <c r="BH3139" s="5"/>
      <c r="BI3139" s="5"/>
      <c r="BJ3139" s="5"/>
      <c r="BK3139" s="5"/>
      <c r="BL3139" s="5"/>
      <c r="BM3139" s="5"/>
      <c r="BN3139" s="5"/>
      <c r="BO3139" s="5"/>
      <c r="BP3139" s="5"/>
    </row>
    <row r="3140" spans="35:68" x14ac:dyDescent="0.25">
      <c r="AI3140" s="49"/>
      <c r="AJ3140" s="78"/>
      <c r="AK3140" s="79"/>
      <c r="AL3140" s="79"/>
      <c r="AM3140" s="79"/>
      <c r="AN3140" s="79"/>
      <c r="AO3140" s="79"/>
      <c r="AP3140" s="79"/>
      <c r="AQ3140" s="79"/>
      <c r="AR3140" s="78"/>
      <c r="AS3140" s="78"/>
      <c r="AT3140" s="79"/>
      <c r="AU3140" s="79"/>
      <c r="AV3140" s="79"/>
      <c r="AW3140" s="79"/>
      <c r="AX3140" s="79"/>
      <c r="AZ3140" s="81"/>
      <c r="BB3140" s="5"/>
      <c r="BC3140" s="5"/>
      <c r="BD3140" s="5"/>
      <c r="BE3140" s="5"/>
      <c r="BF3140" s="5"/>
      <c r="BG3140" s="5"/>
      <c r="BH3140" s="5"/>
      <c r="BI3140" s="5"/>
      <c r="BJ3140" s="5"/>
      <c r="BK3140" s="5"/>
      <c r="BL3140" s="5"/>
      <c r="BM3140" s="5"/>
      <c r="BN3140" s="5"/>
      <c r="BO3140" s="5"/>
      <c r="BP3140" s="5"/>
    </row>
    <row r="3141" spans="35:68" x14ac:dyDescent="0.25">
      <c r="AI3141" s="49"/>
      <c r="AJ3141" s="78"/>
      <c r="AK3141" s="79"/>
      <c r="AL3141" s="79"/>
      <c r="AM3141" s="79"/>
      <c r="AN3141" s="79"/>
      <c r="AO3141" s="79"/>
      <c r="AP3141" s="79"/>
      <c r="AQ3141" s="79"/>
      <c r="AR3141" s="78"/>
      <c r="AS3141" s="78"/>
      <c r="AT3141" s="79"/>
      <c r="AU3141" s="79"/>
      <c r="AV3141" s="79"/>
      <c r="AW3141" s="79"/>
      <c r="AX3141" s="79"/>
      <c r="AZ3141" s="81"/>
      <c r="BB3141" s="5"/>
      <c r="BC3141" s="5"/>
      <c r="BD3141" s="5"/>
      <c r="BE3141" s="5"/>
      <c r="BF3141" s="5"/>
      <c r="BG3141" s="5"/>
      <c r="BH3141" s="5"/>
      <c r="BI3141" s="5"/>
      <c r="BJ3141" s="5"/>
      <c r="BK3141" s="5"/>
      <c r="BL3141" s="5"/>
      <c r="BM3141" s="5"/>
      <c r="BN3141" s="5"/>
      <c r="BO3141" s="5"/>
      <c r="BP3141" s="5"/>
    </row>
    <row r="3142" spans="35:68" x14ac:dyDescent="0.25">
      <c r="AI3142" s="49"/>
      <c r="AJ3142" s="78"/>
      <c r="AK3142" s="79"/>
      <c r="AL3142" s="79"/>
      <c r="AM3142" s="79"/>
      <c r="AN3142" s="79"/>
      <c r="AO3142" s="79"/>
      <c r="AP3142" s="79"/>
      <c r="AQ3142" s="79"/>
      <c r="AR3142" s="78"/>
      <c r="AS3142" s="78"/>
      <c r="AT3142" s="79"/>
      <c r="AU3142" s="79"/>
      <c r="AV3142" s="79"/>
      <c r="AW3142" s="79"/>
      <c r="AX3142" s="79"/>
      <c r="AZ3142" s="81"/>
      <c r="BB3142" s="5"/>
      <c r="BC3142" s="5"/>
      <c r="BD3142" s="5"/>
      <c r="BE3142" s="5"/>
      <c r="BF3142" s="5"/>
      <c r="BG3142" s="5"/>
      <c r="BH3142" s="5"/>
      <c r="BI3142" s="5"/>
      <c r="BJ3142" s="5"/>
      <c r="BK3142" s="5"/>
      <c r="BL3142" s="5"/>
      <c r="BM3142" s="5"/>
      <c r="BN3142" s="5"/>
      <c r="BO3142" s="5"/>
      <c r="BP3142" s="5"/>
    </row>
    <row r="3143" spans="35:68" x14ac:dyDescent="0.25">
      <c r="AI3143" s="49"/>
      <c r="AJ3143" s="78"/>
      <c r="AK3143" s="79"/>
      <c r="AL3143" s="79"/>
      <c r="AM3143" s="79"/>
      <c r="AN3143" s="79"/>
      <c r="AO3143" s="79"/>
      <c r="AP3143" s="79"/>
      <c r="AQ3143" s="79"/>
      <c r="AR3143" s="78"/>
      <c r="AS3143" s="78"/>
      <c r="AT3143" s="79"/>
      <c r="AU3143" s="79"/>
      <c r="AV3143" s="79"/>
      <c r="AW3143" s="79"/>
      <c r="AX3143" s="79"/>
      <c r="AZ3143" s="81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</row>
    <row r="3144" spans="35:68" x14ac:dyDescent="0.25">
      <c r="AI3144" s="49"/>
      <c r="AJ3144" s="78"/>
      <c r="AK3144" s="79"/>
      <c r="AL3144" s="79"/>
      <c r="AM3144" s="79"/>
      <c r="AN3144" s="79"/>
      <c r="AO3144" s="79"/>
      <c r="AP3144" s="79"/>
      <c r="AQ3144" s="79"/>
      <c r="AR3144" s="78"/>
      <c r="AS3144" s="78"/>
      <c r="AT3144" s="79"/>
      <c r="AU3144" s="79"/>
      <c r="AV3144" s="79"/>
      <c r="AW3144" s="79"/>
      <c r="AX3144" s="79"/>
      <c r="AZ3144" s="81"/>
      <c r="BB3144" s="5"/>
      <c r="BC3144" s="5"/>
      <c r="BD3144" s="5"/>
      <c r="BE3144" s="5"/>
      <c r="BF3144" s="5"/>
      <c r="BG3144" s="5"/>
      <c r="BH3144" s="5"/>
      <c r="BI3144" s="5"/>
      <c r="BJ3144" s="5"/>
      <c r="BK3144" s="5"/>
      <c r="BL3144" s="5"/>
      <c r="BM3144" s="5"/>
      <c r="BN3144" s="5"/>
      <c r="BO3144" s="5"/>
      <c r="BP3144" s="5"/>
    </row>
    <row r="3145" spans="35:68" x14ac:dyDescent="0.25">
      <c r="AI3145" s="49"/>
      <c r="AJ3145" s="78"/>
      <c r="AK3145" s="79"/>
      <c r="AL3145" s="79"/>
      <c r="AM3145" s="79"/>
      <c r="AN3145" s="79"/>
      <c r="AO3145" s="79"/>
      <c r="AP3145" s="79"/>
      <c r="AQ3145" s="79"/>
      <c r="AR3145" s="78"/>
      <c r="AS3145" s="78"/>
      <c r="AT3145" s="79"/>
      <c r="AU3145" s="79"/>
      <c r="AV3145" s="79"/>
      <c r="AW3145" s="79"/>
      <c r="AX3145" s="79"/>
      <c r="AZ3145" s="81"/>
      <c r="BB3145" s="5"/>
      <c r="BC3145" s="5"/>
      <c r="BD3145" s="5"/>
      <c r="BE3145" s="5"/>
      <c r="BF3145" s="5"/>
      <c r="BG3145" s="5"/>
      <c r="BH3145" s="5"/>
      <c r="BI3145" s="5"/>
      <c r="BJ3145" s="5"/>
      <c r="BK3145" s="5"/>
      <c r="BL3145" s="5"/>
      <c r="BM3145" s="5"/>
      <c r="BN3145" s="5"/>
      <c r="BO3145" s="5"/>
      <c r="BP3145" s="5"/>
    </row>
    <row r="3146" spans="35:68" x14ac:dyDescent="0.25">
      <c r="AI3146" s="49"/>
      <c r="AJ3146" s="78"/>
      <c r="AK3146" s="79"/>
      <c r="AL3146" s="79"/>
      <c r="AM3146" s="79"/>
      <c r="AN3146" s="79"/>
      <c r="AO3146" s="79"/>
      <c r="AP3146" s="79"/>
      <c r="AQ3146" s="79"/>
      <c r="AR3146" s="78"/>
      <c r="AS3146" s="78"/>
      <c r="AT3146" s="79"/>
      <c r="AU3146" s="79"/>
      <c r="AV3146" s="79"/>
      <c r="AW3146" s="79"/>
      <c r="AX3146" s="79"/>
      <c r="AZ3146" s="81"/>
      <c r="BB3146" s="5"/>
      <c r="BC3146" s="5"/>
      <c r="BD3146" s="5"/>
      <c r="BE3146" s="5"/>
      <c r="BF3146" s="5"/>
      <c r="BG3146" s="5"/>
      <c r="BH3146" s="5"/>
      <c r="BI3146" s="5"/>
      <c r="BJ3146" s="5"/>
      <c r="BK3146" s="5"/>
      <c r="BL3146" s="5"/>
      <c r="BM3146" s="5"/>
      <c r="BN3146" s="5"/>
      <c r="BO3146" s="5"/>
      <c r="BP3146" s="5"/>
    </row>
    <row r="3147" spans="35:68" x14ac:dyDescent="0.25">
      <c r="AI3147" s="49"/>
      <c r="AJ3147" s="78"/>
      <c r="AK3147" s="79"/>
      <c r="AL3147" s="79"/>
      <c r="AM3147" s="79"/>
      <c r="AN3147" s="79"/>
      <c r="AO3147" s="79"/>
      <c r="AP3147" s="79"/>
      <c r="AQ3147" s="79"/>
      <c r="AR3147" s="78"/>
      <c r="AS3147" s="78"/>
      <c r="AT3147" s="79"/>
      <c r="AU3147" s="79"/>
      <c r="AV3147" s="79"/>
      <c r="AW3147" s="79"/>
      <c r="AX3147" s="79"/>
      <c r="AZ3147" s="81"/>
      <c r="BB3147" s="5"/>
      <c r="BC3147" s="5"/>
      <c r="BD3147" s="5"/>
      <c r="BE3147" s="5"/>
      <c r="BF3147" s="5"/>
      <c r="BG3147" s="5"/>
      <c r="BH3147" s="5"/>
      <c r="BI3147" s="5"/>
      <c r="BJ3147" s="5"/>
      <c r="BK3147" s="5"/>
      <c r="BL3147" s="5"/>
      <c r="BM3147" s="5"/>
      <c r="BN3147" s="5"/>
      <c r="BO3147" s="5"/>
      <c r="BP3147" s="5"/>
    </row>
    <row r="3148" spans="35:68" x14ac:dyDescent="0.25">
      <c r="AI3148" s="49"/>
      <c r="AJ3148" s="78"/>
      <c r="AK3148" s="79"/>
      <c r="AL3148" s="79"/>
      <c r="AM3148" s="79"/>
      <c r="AN3148" s="79"/>
      <c r="AO3148" s="79"/>
      <c r="AP3148" s="79"/>
      <c r="AQ3148" s="79"/>
      <c r="AR3148" s="78"/>
      <c r="AS3148" s="78"/>
      <c r="AT3148" s="79"/>
      <c r="AU3148" s="79"/>
      <c r="AV3148" s="79"/>
      <c r="AW3148" s="79"/>
      <c r="AX3148" s="79"/>
      <c r="AZ3148" s="81"/>
      <c r="BB3148" s="5"/>
      <c r="BC3148" s="5"/>
      <c r="BD3148" s="5"/>
      <c r="BE3148" s="5"/>
      <c r="BF3148" s="5"/>
      <c r="BG3148" s="5"/>
      <c r="BH3148" s="5"/>
      <c r="BI3148" s="5"/>
      <c r="BJ3148" s="5"/>
      <c r="BK3148" s="5"/>
      <c r="BL3148" s="5"/>
      <c r="BM3148" s="5"/>
      <c r="BN3148" s="5"/>
      <c r="BO3148" s="5"/>
      <c r="BP3148" s="5"/>
    </row>
    <row r="3149" spans="35:68" x14ac:dyDescent="0.25">
      <c r="AI3149" s="49"/>
      <c r="AJ3149" s="78"/>
      <c r="AK3149" s="79"/>
      <c r="AL3149" s="79"/>
      <c r="AM3149" s="79"/>
      <c r="AN3149" s="79"/>
      <c r="AO3149" s="79"/>
      <c r="AP3149" s="79"/>
      <c r="AQ3149" s="79"/>
      <c r="AR3149" s="78"/>
      <c r="AS3149" s="78"/>
      <c r="AT3149" s="79"/>
      <c r="AU3149" s="79"/>
      <c r="AV3149" s="79"/>
      <c r="AW3149" s="79"/>
      <c r="AX3149" s="79"/>
      <c r="AZ3149" s="81"/>
      <c r="BB3149" s="5"/>
      <c r="BC3149" s="5"/>
      <c r="BD3149" s="5"/>
      <c r="BE3149" s="5"/>
      <c r="BF3149" s="5"/>
      <c r="BG3149" s="5"/>
      <c r="BH3149" s="5"/>
      <c r="BI3149" s="5"/>
      <c r="BJ3149" s="5"/>
      <c r="BK3149" s="5"/>
      <c r="BL3149" s="5"/>
      <c r="BM3149" s="5"/>
      <c r="BN3149" s="5"/>
      <c r="BO3149" s="5"/>
      <c r="BP3149" s="5"/>
    </row>
    <row r="3150" spans="35:68" x14ac:dyDescent="0.25">
      <c r="AI3150" s="49"/>
      <c r="AJ3150" s="78"/>
      <c r="AK3150" s="79"/>
      <c r="AL3150" s="79"/>
      <c r="AM3150" s="79"/>
      <c r="AN3150" s="79"/>
      <c r="AO3150" s="79"/>
      <c r="AP3150" s="79"/>
      <c r="AQ3150" s="79"/>
      <c r="AR3150" s="78"/>
      <c r="AS3150" s="78"/>
      <c r="AT3150" s="79"/>
      <c r="AU3150" s="79"/>
      <c r="AV3150" s="79"/>
      <c r="AW3150" s="79"/>
      <c r="AX3150" s="79"/>
      <c r="AZ3150" s="81"/>
      <c r="BB3150" s="5"/>
      <c r="BC3150" s="5"/>
      <c r="BD3150" s="5"/>
      <c r="BE3150" s="5"/>
      <c r="BF3150" s="5"/>
      <c r="BG3150" s="5"/>
      <c r="BH3150" s="5"/>
      <c r="BI3150" s="5"/>
      <c r="BJ3150" s="5"/>
      <c r="BK3150" s="5"/>
      <c r="BL3150" s="5"/>
      <c r="BM3150" s="5"/>
      <c r="BN3150" s="5"/>
      <c r="BO3150" s="5"/>
      <c r="BP3150" s="5"/>
    </row>
    <row r="3151" spans="35:68" x14ac:dyDescent="0.25">
      <c r="AI3151" s="49"/>
      <c r="AJ3151" s="78"/>
      <c r="AK3151" s="79"/>
      <c r="AL3151" s="79"/>
      <c r="AM3151" s="79"/>
      <c r="AN3151" s="79"/>
      <c r="AO3151" s="79"/>
      <c r="AP3151" s="79"/>
      <c r="AQ3151" s="79"/>
      <c r="AR3151" s="78"/>
      <c r="AS3151" s="78"/>
      <c r="AT3151" s="79"/>
      <c r="AU3151" s="79"/>
      <c r="AV3151" s="79"/>
      <c r="AW3151" s="79"/>
      <c r="AX3151" s="79"/>
      <c r="AZ3151" s="81"/>
      <c r="BB3151" s="5"/>
      <c r="BC3151" s="5"/>
      <c r="BD3151" s="5"/>
      <c r="BE3151" s="5"/>
      <c r="BF3151" s="5"/>
      <c r="BG3151" s="5"/>
      <c r="BH3151" s="5"/>
      <c r="BI3151" s="5"/>
      <c r="BJ3151" s="5"/>
      <c r="BK3151" s="5"/>
      <c r="BL3151" s="5"/>
      <c r="BM3151" s="5"/>
      <c r="BN3151" s="5"/>
      <c r="BO3151" s="5"/>
      <c r="BP3151" s="5"/>
    </row>
    <row r="3152" spans="35:68" x14ac:dyDescent="0.25">
      <c r="AI3152" s="49"/>
      <c r="AJ3152" s="78"/>
      <c r="AK3152" s="79"/>
      <c r="AL3152" s="79"/>
      <c r="AM3152" s="79"/>
      <c r="AN3152" s="79"/>
      <c r="AO3152" s="79"/>
      <c r="AP3152" s="79"/>
      <c r="AQ3152" s="79"/>
      <c r="AR3152" s="78"/>
      <c r="AS3152" s="78"/>
      <c r="AT3152" s="79"/>
      <c r="AU3152" s="79"/>
      <c r="AV3152" s="79"/>
      <c r="AW3152" s="79"/>
      <c r="AX3152" s="79"/>
      <c r="AZ3152" s="81"/>
      <c r="BB3152" s="5"/>
      <c r="BC3152" s="5"/>
      <c r="BD3152" s="5"/>
      <c r="BE3152" s="5"/>
      <c r="BF3152" s="5"/>
      <c r="BG3152" s="5"/>
      <c r="BH3152" s="5"/>
      <c r="BI3152" s="5"/>
      <c r="BJ3152" s="5"/>
      <c r="BK3152" s="5"/>
      <c r="BL3152" s="5"/>
      <c r="BM3152" s="5"/>
      <c r="BN3152" s="5"/>
      <c r="BO3152" s="5"/>
      <c r="BP3152" s="5"/>
    </row>
    <row r="3153" spans="35:68" x14ac:dyDescent="0.25">
      <c r="AI3153" s="49"/>
      <c r="AJ3153" s="78"/>
      <c r="AK3153" s="79"/>
      <c r="AL3153" s="79"/>
      <c r="AM3153" s="79"/>
      <c r="AN3153" s="79"/>
      <c r="AO3153" s="79"/>
      <c r="AP3153" s="79"/>
      <c r="AQ3153" s="79"/>
      <c r="AR3153" s="78"/>
      <c r="AS3153" s="78"/>
      <c r="AT3153" s="79"/>
      <c r="AU3153" s="79"/>
      <c r="AV3153" s="79"/>
      <c r="AW3153" s="79"/>
      <c r="AX3153" s="79"/>
      <c r="AZ3153" s="81"/>
      <c r="BB3153" s="5"/>
      <c r="BC3153" s="5"/>
      <c r="BD3153" s="5"/>
      <c r="BE3153" s="5"/>
      <c r="BF3153" s="5"/>
      <c r="BG3153" s="5"/>
      <c r="BH3153" s="5"/>
      <c r="BI3153" s="5"/>
      <c r="BJ3153" s="5"/>
      <c r="BK3153" s="5"/>
      <c r="BL3153" s="5"/>
      <c r="BM3153" s="5"/>
      <c r="BN3153" s="5"/>
      <c r="BO3153" s="5"/>
      <c r="BP3153" s="5"/>
    </row>
    <row r="3154" spans="35:68" x14ac:dyDescent="0.25">
      <c r="AI3154" s="49"/>
      <c r="AJ3154" s="78"/>
      <c r="AK3154" s="79"/>
      <c r="AL3154" s="79"/>
      <c r="AM3154" s="79"/>
      <c r="AN3154" s="79"/>
      <c r="AO3154" s="79"/>
      <c r="AP3154" s="79"/>
      <c r="AQ3154" s="79"/>
      <c r="AR3154" s="78"/>
      <c r="AS3154" s="78"/>
      <c r="AT3154" s="79"/>
      <c r="AU3154" s="79"/>
      <c r="AV3154" s="79"/>
      <c r="AW3154" s="79"/>
      <c r="AX3154" s="79"/>
      <c r="AZ3154" s="81"/>
      <c r="BB3154" s="5"/>
      <c r="BC3154" s="5"/>
      <c r="BD3154" s="5"/>
      <c r="BE3154" s="5"/>
      <c r="BF3154" s="5"/>
      <c r="BG3154" s="5"/>
      <c r="BH3154" s="5"/>
      <c r="BI3154" s="5"/>
      <c r="BJ3154" s="5"/>
      <c r="BK3154" s="5"/>
      <c r="BL3154" s="5"/>
      <c r="BM3154" s="5"/>
      <c r="BN3154" s="5"/>
      <c r="BO3154" s="5"/>
      <c r="BP3154" s="5"/>
    </row>
    <row r="3155" spans="35:68" x14ac:dyDescent="0.25">
      <c r="AI3155" s="49"/>
      <c r="AJ3155" s="78"/>
      <c r="AK3155" s="79"/>
      <c r="AL3155" s="79"/>
      <c r="AM3155" s="79"/>
      <c r="AN3155" s="79"/>
      <c r="AO3155" s="79"/>
      <c r="AP3155" s="79"/>
      <c r="AQ3155" s="79"/>
      <c r="AR3155" s="78"/>
      <c r="AS3155" s="78"/>
      <c r="AT3155" s="79"/>
      <c r="AU3155" s="79"/>
      <c r="AV3155" s="79"/>
      <c r="AW3155" s="79"/>
      <c r="AX3155" s="79"/>
      <c r="AZ3155" s="81"/>
      <c r="BB3155" s="5"/>
      <c r="BC3155" s="5"/>
      <c r="BD3155" s="5"/>
      <c r="BE3155" s="5"/>
      <c r="BF3155" s="5"/>
      <c r="BG3155" s="5"/>
      <c r="BH3155" s="5"/>
      <c r="BI3155" s="5"/>
      <c r="BJ3155" s="5"/>
      <c r="BK3155" s="5"/>
      <c r="BL3155" s="5"/>
      <c r="BM3155" s="5"/>
      <c r="BN3155" s="5"/>
      <c r="BO3155" s="5"/>
      <c r="BP3155" s="5"/>
    </row>
    <row r="3156" spans="35:68" x14ac:dyDescent="0.25">
      <c r="AI3156" s="49"/>
      <c r="AJ3156" s="78"/>
      <c r="AK3156" s="79"/>
      <c r="AL3156" s="79"/>
      <c r="AM3156" s="79"/>
      <c r="AN3156" s="79"/>
      <c r="AO3156" s="79"/>
      <c r="AP3156" s="79"/>
      <c r="AQ3156" s="79"/>
      <c r="AR3156" s="78"/>
      <c r="AS3156" s="78"/>
      <c r="AT3156" s="79"/>
      <c r="AU3156" s="79"/>
      <c r="AV3156" s="79"/>
      <c r="AW3156" s="79"/>
      <c r="AX3156" s="79"/>
      <c r="AZ3156" s="81"/>
      <c r="BB3156" s="5"/>
      <c r="BC3156" s="5"/>
      <c r="BD3156" s="5"/>
      <c r="BE3156" s="5"/>
      <c r="BF3156" s="5"/>
      <c r="BG3156" s="5"/>
      <c r="BH3156" s="5"/>
      <c r="BI3156" s="5"/>
      <c r="BJ3156" s="5"/>
      <c r="BK3156" s="5"/>
      <c r="BL3156" s="5"/>
      <c r="BM3156" s="5"/>
      <c r="BN3156" s="5"/>
      <c r="BO3156" s="5"/>
      <c r="BP3156" s="5"/>
    </row>
    <row r="3157" spans="35:68" x14ac:dyDescent="0.25">
      <c r="AI3157" s="49"/>
      <c r="AJ3157" s="78"/>
      <c r="AK3157" s="79"/>
      <c r="AL3157" s="79"/>
      <c r="AM3157" s="79"/>
      <c r="AN3157" s="79"/>
      <c r="AO3157" s="79"/>
      <c r="AP3157" s="79"/>
      <c r="AQ3157" s="79"/>
      <c r="AR3157" s="78"/>
      <c r="AS3157" s="78"/>
      <c r="AT3157" s="79"/>
      <c r="AU3157" s="79"/>
      <c r="AV3157" s="79"/>
      <c r="AW3157" s="79"/>
      <c r="AX3157" s="79"/>
      <c r="AZ3157" s="81"/>
      <c r="BB3157" s="5"/>
      <c r="BC3157" s="5"/>
      <c r="BD3157" s="5"/>
      <c r="BE3157" s="5"/>
      <c r="BF3157" s="5"/>
      <c r="BG3157" s="5"/>
      <c r="BH3157" s="5"/>
      <c r="BI3157" s="5"/>
      <c r="BJ3157" s="5"/>
      <c r="BK3157" s="5"/>
      <c r="BL3157" s="5"/>
      <c r="BM3157" s="5"/>
      <c r="BN3157" s="5"/>
      <c r="BO3157" s="5"/>
      <c r="BP3157" s="5"/>
    </row>
    <row r="3158" spans="35:68" x14ac:dyDescent="0.25">
      <c r="AI3158" s="49"/>
      <c r="AJ3158" s="78"/>
      <c r="AK3158" s="79"/>
      <c r="AL3158" s="79"/>
      <c r="AM3158" s="79"/>
      <c r="AN3158" s="79"/>
      <c r="AO3158" s="79"/>
      <c r="AP3158" s="79"/>
      <c r="AQ3158" s="79"/>
      <c r="AR3158" s="78"/>
      <c r="AS3158" s="78"/>
      <c r="AT3158" s="79"/>
      <c r="AU3158" s="79"/>
      <c r="AV3158" s="79"/>
      <c r="AW3158" s="79"/>
      <c r="AX3158" s="79"/>
      <c r="AZ3158" s="81"/>
      <c r="BB3158" s="5"/>
      <c r="BC3158" s="5"/>
      <c r="BD3158" s="5"/>
      <c r="BE3158" s="5"/>
      <c r="BF3158" s="5"/>
      <c r="BG3158" s="5"/>
      <c r="BH3158" s="5"/>
      <c r="BI3158" s="5"/>
      <c r="BJ3158" s="5"/>
      <c r="BK3158" s="5"/>
      <c r="BL3158" s="5"/>
      <c r="BM3158" s="5"/>
      <c r="BN3158" s="5"/>
      <c r="BO3158" s="5"/>
      <c r="BP3158" s="5"/>
    </row>
    <row r="3159" spans="35:68" x14ac:dyDescent="0.25">
      <c r="AI3159" s="49"/>
      <c r="AJ3159" s="78"/>
      <c r="AK3159" s="79"/>
      <c r="AL3159" s="79"/>
      <c r="AM3159" s="79"/>
      <c r="AN3159" s="79"/>
      <c r="AO3159" s="79"/>
      <c r="AP3159" s="79"/>
      <c r="AQ3159" s="79"/>
      <c r="AR3159" s="78"/>
      <c r="AS3159" s="78"/>
      <c r="AT3159" s="79"/>
      <c r="AU3159" s="79"/>
      <c r="AV3159" s="79"/>
      <c r="AW3159" s="79"/>
      <c r="AX3159" s="79"/>
      <c r="AZ3159" s="81"/>
      <c r="BB3159" s="5"/>
      <c r="BC3159" s="5"/>
      <c r="BD3159" s="5"/>
      <c r="BE3159" s="5"/>
      <c r="BF3159" s="5"/>
      <c r="BG3159" s="5"/>
      <c r="BH3159" s="5"/>
      <c r="BI3159" s="5"/>
      <c r="BJ3159" s="5"/>
      <c r="BK3159" s="5"/>
      <c r="BL3159" s="5"/>
      <c r="BM3159" s="5"/>
      <c r="BN3159" s="5"/>
      <c r="BO3159" s="5"/>
      <c r="BP3159" s="5"/>
    </row>
    <row r="3160" spans="35:68" x14ac:dyDescent="0.25">
      <c r="AI3160" s="49"/>
      <c r="AJ3160" s="78"/>
      <c r="AK3160" s="79"/>
      <c r="AL3160" s="79"/>
      <c r="AM3160" s="79"/>
      <c r="AN3160" s="79"/>
      <c r="AO3160" s="79"/>
      <c r="AP3160" s="79"/>
      <c r="AQ3160" s="79"/>
      <c r="AR3160" s="78"/>
      <c r="AS3160" s="78"/>
      <c r="AT3160" s="79"/>
      <c r="AU3160" s="79"/>
      <c r="AV3160" s="79"/>
      <c r="AW3160" s="79"/>
      <c r="AX3160" s="79"/>
      <c r="AZ3160" s="81"/>
      <c r="BB3160" s="5"/>
      <c r="BC3160" s="5"/>
      <c r="BD3160" s="5"/>
      <c r="BE3160" s="5"/>
      <c r="BF3160" s="5"/>
      <c r="BG3160" s="5"/>
      <c r="BH3160" s="5"/>
      <c r="BI3160" s="5"/>
      <c r="BJ3160" s="5"/>
      <c r="BK3160" s="5"/>
      <c r="BL3160" s="5"/>
      <c r="BM3160" s="5"/>
      <c r="BN3160" s="5"/>
      <c r="BO3160" s="5"/>
      <c r="BP3160" s="5"/>
    </row>
    <row r="3161" spans="35:68" x14ac:dyDescent="0.25">
      <c r="AI3161" s="49"/>
      <c r="AJ3161" s="78"/>
      <c r="AK3161" s="79"/>
      <c r="AL3161" s="79"/>
      <c r="AM3161" s="79"/>
      <c r="AN3161" s="79"/>
      <c r="AO3161" s="79"/>
      <c r="AP3161" s="79"/>
      <c r="AQ3161" s="79"/>
      <c r="AR3161" s="78"/>
      <c r="AS3161" s="78"/>
      <c r="AT3161" s="79"/>
      <c r="AU3161" s="79"/>
      <c r="AV3161" s="79"/>
      <c r="AW3161" s="79"/>
      <c r="AX3161" s="79"/>
      <c r="AZ3161" s="81"/>
      <c r="BB3161" s="5"/>
      <c r="BC3161" s="5"/>
      <c r="BD3161" s="5"/>
      <c r="BE3161" s="5"/>
      <c r="BF3161" s="5"/>
      <c r="BG3161" s="5"/>
      <c r="BH3161" s="5"/>
      <c r="BI3161" s="5"/>
      <c r="BJ3161" s="5"/>
      <c r="BK3161" s="5"/>
      <c r="BL3161" s="5"/>
      <c r="BM3161" s="5"/>
      <c r="BN3161" s="5"/>
      <c r="BO3161" s="5"/>
      <c r="BP3161" s="5"/>
    </row>
    <row r="3162" spans="35:68" x14ac:dyDescent="0.25">
      <c r="AI3162" s="49"/>
      <c r="AJ3162" s="78"/>
      <c r="AK3162" s="79"/>
      <c r="AL3162" s="79"/>
      <c r="AM3162" s="79"/>
      <c r="AN3162" s="79"/>
      <c r="AO3162" s="79"/>
      <c r="AP3162" s="79"/>
      <c r="AQ3162" s="79"/>
      <c r="AR3162" s="78"/>
      <c r="AS3162" s="78"/>
      <c r="AT3162" s="79"/>
      <c r="AU3162" s="79"/>
      <c r="AV3162" s="79"/>
      <c r="AW3162" s="79"/>
      <c r="AX3162" s="79"/>
      <c r="AZ3162" s="81"/>
      <c r="BB3162" s="5"/>
      <c r="BC3162" s="5"/>
      <c r="BD3162" s="5"/>
      <c r="BE3162" s="5"/>
      <c r="BF3162" s="5"/>
      <c r="BG3162" s="5"/>
      <c r="BH3162" s="5"/>
      <c r="BI3162" s="5"/>
      <c r="BJ3162" s="5"/>
      <c r="BK3162" s="5"/>
      <c r="BL3162" s="5"/>
      <c r="BM3162" s="5"/>
      <c r="BN3162" s="5"/>
      <c r="BO3162" s="5"/>
      <c r="BP3162" s="5"/>
    </row>
    <row r="3163" spans="35:68" x14ac:dyDescent="0.25">
      <c r="AI3163" s="49"/>
      <c r="AJ3163" s="78"/>
      <c r="AK3163" s="79"/>
      <c r="AL3163" s="79"/>
      <c r="AM3163" s="79"/>
      <c r="AN3163" s="79"/>
      <c r="AO3163" s="79"/>
      <c r="AP3163" s="79"/>
      <c r="AQ3163" s="79"/>
      <c r="AR3163" s="78"/>
      <c r="AS3163" s="78"/>
      <c r="AT3163" s="79"/>
      <c r="AU3163" s="79"/>
      <c r="AV3163" s="79"/>
      <c r="AW3163" s="79"/>
      <c r="AX3163" s="79"/>
      <c r="AZ3163" s="81"/>
      <c r="BB3163" s="5"/>
      <c r="BC3163" s="5"/>
      <c r="BD3163" s="5"/>
      <c r="BE3163" s="5"/>
      <c r="BF3163" s="5"/>
      <c r="BG3163" s="5"/>
      <c r="BH3163" s="5"/>
      <c r="BI3163" s="5"/>
      <c r="BJ3163" s="5"/>
      <c r="BK3163" s="5"/>
      <c r="BL3163" s="5"/>
      <c r="BM3163" s="5"/>
      <c r="BN3163" s="5"/>
      <c r="BO3163" s="5"/>
      <c r="BP3163" s="5"/>
    </row>
    <row r="3164" spans="35:68" x14ac:dyDescent="0.25">
      <c r="AI3164" s="49"/>
      <c r="AJ3164" s="78"/>
      <c r="AK3164" s="79"/>
      <c r="AL3164" s="79"/>
      <c r="AM3164" s="79"/>
      <c r="AN3164" s="79"/>
      <c r="AO3164" s="79"/>
      <c r="AP3164" s="79"/>
      <c r="AQ3164" s="79"/>
      <c r="AR3164" s="78"/>
      <c r="AS3164" s="78"/>
      <c r="AT3164" s="79"/>
      <c r="AU3164" s="79"/>
      <c r="AV3164" s="79"/>
      <c r="AW3164" s="79"/>
      <c r="AX3164" s="79"/>
      <c r="AZ3164" s="81"/>
      <c r="BB3164" s="5"/>
      <c r="BC3164" s="5"/>
      <c r="BD3164" s="5"/>
      <c r="BE3164" s="5"/>
      <c r="BF3164" s="5"/>
      <c r="BG3164" s="5"/>
      <c r="BH3164" s="5"/>
      <c r="BI3164" s="5"/>
      <c r="BJ3164" s="5"/>
      <c r="BK3164" s="5"/>
      <c r="BL3164" s="5"/>
      <c r="BM3164" s="5"/>
      <c r="BN3164" s="5"/>
      <c r="BO3164" s="5"/>
      <c r="BP3164" s="5"/>
    </row>
    <row r="3165" spans="35:68" x14ac:dyDescent="0.25">
      <c r="AI3165" s="49"/>
      <c r="AJ3165" s="78"/>
      <c r="AK3165" s="79"/>
      <c r="AL3165" s="79"/>
      <c r="AM3165" s="79"/>
      <c r="AN3165" s="79"/>
      <c r="AO3165" s="79"/>
      <c r="AP3165" s="79"/>
      <c r="AQ3165" s="79"/>
      <c r="AR3165" s="78"/>
      <c r="AS3165" s="78"/>
      <c r="AT3165" s="79"/>
      <c r="AU3165" s="79"/>
      <c r="AV3165" s="79"/>
      <c r="AW3165" s="79"/>
      <c r="AX3165" s="79"/>
      <c r="AZ3165" s="81"/>
      <c r="BB3165" s="5"/>
      <c r="BC3165" s="5"/>
      <c r="BD3165" s="5"/>
      <c r="BE3165" s="5"/>
      <c r="BF3165" s="5"/>
      <c r="BG3165" s="5"/>
      <c r="BH3165" s="5"/>
      <c r="BI3165" s="5"/>
      <c r="BJ3165" s="5"/>
      <c r="BK3165" s="5"/>
      <c r="BL3165" s="5"/>
      <c r="BM3165" s="5"/>
      <c r="BN3165" s="5"/>
      <c r="BO3165" s="5"/>
      <c r="BP3165" s="5"/>
    </row>
    <row r="3166" spans="35:68" x14ac:dyDescent="0.25">
      <c r="AI3166" s="49"/>
      <c r="AJ3166" s="78"/>
      <c r="AK3166" s="79"/>
      <c r="AL3166" s="79"/>
      <c r="AM3166" s="79"/>
      <c r="AN3166" s="79"/>
      <c r="AO3166" s="79"/>
      <c r="AP3166" s="79"/>
      <c r="AQ3166" s="79"/>
      <c r="AR3166" s="78"/>
      <c r="AS3166" s="78"/>
      <c r="AT3166" s="79"/>
      <c r="AU3166" s="79"/>
      <c r="AV3166" s="79"/>
      <c r="AW3166" s="79"/>
      <c r="AX3166" s="79"/>
      <c r="AZ3166" s="81"/>
      <c r="BB3166" s="5"/>
      <c r="BC3166" s="5"/>
      <c r="BD3166" s="5"/>
      <c r="BE3166" s="5"/>
      <c r="BF3166" s="5"/>
      <c r="BG3166" s="5"/>
      <c r="BH3166" s="5"/>
      <c r="BI3166" s="5"/>
      <c r="BJ3166" s="5"/>
      <c r="BK3166" s="5"/>
      <c r="BL3166" s="5"/>
      <c r="BM3166" s="5"/>
      <c r="BN3166" s="5"/>
      <c r="BO3166" s="5"/>
      <c r="BP3166" s="5"/>
    </row>
    <row r="3167" spans="35:68" x14ac:dyDescent="0.25">
      <c r="AI3167" s="49"/>
      <c r="AJ3167" s="78"/>
      <c r="AK3167" s="79"/>
      <c r="AL3167" s="79"/>
      <c r="AM3167" s="79"/>
      <c r="AN3167" s="79"/>
      <c r="AO3167" s="79"/>
      <c r="AP3167" s="79"/>
      <c r="AQ3167" s="79"/>
      <c r="AR3167" s="78"/>
      <c r="AS3167" s="78"/>
      <c r="AT3167" s="79"/>
      <c r="AU3167" s="79"/>
      <c r="AV3167" s="79"/>
      <c r="AW3167" s="79"/>
      <c r="AX3167" s="79"/>
      <c r="AZ3167" s="81"/>
      <c r="BB3167" s="5"/>
      <c r="BC3167" s="5"/>
      <c r="BD3167" s="5"/>
      <c r="BE3167" s="5"/>
      <c r="BF3167" s="5"/>
      <c r="BG3167" s="5"/>
      <c r="BH3167" s="5"/>
      <c r="BI3167" s="5"/>
      <c r="BJ3167" s="5"/>
      <c r="BK3167" s="5"/>
      <c r="BL3167" s="5"/>
      <c r="BM3167" s="5"/>
      <c r="BN3167" s="5"/>
      <c r="BO3167" s="5"/>
      <c r="BP3167" s="5"/>
    </row>
    <row r="3168" spans="35:68" x14ac:dyDescent="0.25">
      <c r="AI3168" s="49"/>
      <c r="AJ3168" s="78"/>
      <c r="AK3168" s="79"/>
      <c r="AL3168" s="79"/>
      <c r="AM3168" s="79"/>
      <c r="AN3168" s="79"/>
      <c r="AO3168" s="79"/>
      <c r="AP3168" s="79"/>
      <c r="AQ3168" s="79"/>
      <c r="AR3168" s="78"/>
      <c r="AS3168" s="78"/>
      <c r="AT3168" s="79"/>
      <c r="AU3168" s="79"/>
      <c r="AV3168" s="79"/>
      <c r="AW3168" s="79"/>
      <c r="AX3168" s="79"/>
      <c r="AZ3168" s="81"/>
      <c r="BB3168" s="5"/>
      <c r="BC3168" s="5"/>
      <c r="BD3168" s="5"/>
      <c r="BE3168" s="5"/>
      <c r="BF3168" s="5"/>
      <c r="BG3168" s="5"/>
      <c r="BH3168" s="5"/>
      <c r="BI3168" s="5"/>
      <c r="BJ3168" s="5"/>
      <c r="BK3168" s="5"/>
      <c r="BL3168" s="5"/>
      <c r="BM3168" s="5"/>
      <c r="BN3168" s="5"/>
      <c r="BO3168" s="5"/>
      <c r="BP3168" s="5"/>
    </row>
    <row r="3169" spans="35:68" x14ac:dyDescent="0.25">
      <c r="AI3169" s="49"/>
      <c r="AJ3169" s="78"/>
      <c r="AK3169" s="79"/>
      <c r="AL3169" s="79"/>
      <c r="AM3169" s="79"/>
      <c r="AN3169" s="79"/>
      <c r="AO3169" s="79"/>
      <c r="AP3169" s="79"/>
      <c r="AQ3169" s="79"/>
      <c r="AR3169" s="78"/>
      <c r="AS3169" s="78"/>
      <c r="AT3169" s="79"/>
      <c r="AU3169" s="79"/>
      <c r="AV3169" s="79"/>
      <c r="AW3169" s="79"/>
      <c r="AX3169" s="79"/>
      <c r="AZ3169" s="81"/>
      <c r="BB3169" s="5"/>
      <c r="BC3169" s="5"/>
      <c r="BD3169" s="5"/>
      <c r="BE3169" s="5"/>
      <c r="BF3169" s="5"/>
      <c r="BG3169" s="5"/>
      <c r="BH3169" s="5"/>
      <c r="BI3169" s="5"/>
      <c r="BJ3169" s="5"/>
      <c r="BK3169" s="5"/>
      <c r="BL3169" s="5"/>
      <c r="BM3169" s="5"/>
      <c r="BN3169" s="5"/>
      <c r="BO3169" s="5"/>
      <c r="BP3169" s="5"/>
    </row>
    <row r="3170" spans="35:68" x14ac:dyDescent="0.25">
      <c r="AI3170" s="49"/>
      <c r="AJ3170" s="78"/>
      <c r="AK3170" s="79"/>
      <c r="AL3170" s="79"/>
      <c r="AM3170" s="79"/>
      <c r="AN3170" s="79"/>
      <c r="AO3170" s="79"/>
      <c r="AP3170" s="79"/>
      <c r="AQ3170" s="79"/>
      <c r="AR3170" s="78"/>
      <c r="AS3170" s="78"/>
      <c r="AT3170" s="79"/>
      <c r="AU3170" s="79"/>
      <c r="AV3170" s="79"/>
      <c r="AW3170" s="79"/>
      <c r="AX3170" s="79"/>
      <c r="AZ3170" s="81"/>
      <c r="BB3170" s="5"/>
      <c r="BC3170" s="5"/>
      <c r="BD3170" s="5"/>
      <c r="BE3170" s="5"/>
      <c r="BF3170" s="5"/>
      <c r="BG3170" s="5"/>
      <c r="BH3170" s="5"/>
      <c r="BI3170" s="5"/>
      <c r="BJ3170" s="5"/>
      <c r="BK3170" s="5"/>
      <c r="BL3170" s="5"/>
      <c r="BM3170" s="5"/>
      <c r="BN3170" s="5"/>
      <c r="BO3170" s="5"/>
      <c r="BP3170" s="5"/>
    </row>
    <row r="3171" spans="35:68" x14ac:dyDescent="0.25">
      <c r="AI3171" s="49"/>
      <c r="AJ3171" s="78"/>
      <c r="AK3171" s="79"/>
      <c r="AL3171" s="79"/>
      <c r="AM3171" s="79"/>
      <c r="AN3171" s="79"/>
      <c r="AO3171" s="79"/>
      <c r="AP3171" s="79"/>
      <c r="AQ3171" s="79"/>
      <c r="AR3171" s="78"/>
      <c r="AS3171" s="78"/>
      <c r="AT3171" s="79"/>
      <c r="AU3171" s="79"/>
      <c r="AV3171" s="79"/>
      <c r="AW3171" s="79"/>
      <c r="AX3171" s="79"/>
      <c r="AZ3171" s="81"/>
      <c r="BB3171" s="5"/>
      <c r="BC3171" s="5"/>
      <c r="BD3171" s="5"/>
      <c r="BE3171" s="5"/>
      <c r="BF3171" s="5"/>
      <c r="BG3171" s="5"/>
      <c r="BH3171" s="5"/>
      <c r="BI3171" s="5"/>
      <c r="BJ3171" s="5"/>
      <c r="BK3171" s="5"/>
      <c r="BL3171" s="5"/>
      <c r="BM3171" s="5"/>
      <c r="BN3171" s="5"/>
      <c r="BO3171" s="5"/>
      <c r="BP3171" s="5"/>
    </row>
    <row r="3172" spans="35:68" x14ac:dyDescent="0.25">
      <c r="AI3172" s="49"/>
      <c r="AJ3172" s="78"/>
      <c r="AK3172" s="79"/>
      <c r="AL3172" s="79"/>
      <c r="AM3172" s="79"/>
      <c r="AN3172" s="79"/>
      <c r="AO3172" s="79"/>
      <c r="AP3172" s="79"/>
      <c r="AQ3172" s="79"/>
      <c r="AR3172" s="78"/>
      <c r="AS3172" s="78"/>
      <c r="AT3172" s="79"/>
      <c r="AU3172" s="79"/>
      <c r="AV3172" s="79"/>
      <c r="AW3172" s="79"/>
      <c r="AX3172" s="79"/>
      <c r="AZ3172" s="81"/>
      <c r="BB3172" s="5"/>
      <c r="BC3172" s="5"/>
      <c r="BD3172" s="5"/>
      <c r="BE3172" s="5"/>
      <c r="BF3172" s="5"/>
      <c r="BG3172" s="5"/>
      <c r="BH3172" s="5"/>
      <c r="BI3172" s="5"/>
      <c r="BJ3172" s="5"/>
      <c r="BK3172" s="5"/>
      <c r="BL3172" s="5"/>
      <c r="BM3172" s="5"/>
      <c r="BN3172" s="5"/>
      <c r="BO3172" s="5"/>
      <c r="BP3172" s="5"/>
    </row>
    <row r="3173" spans="35:68" x14ac:dyDescent="0.25">
      <c r="AI3173" s="49"/>
      <c r="AJ3173" s="78"/>
      <c r="AK3173" s="79"/>
      <c r="AL3173" s="79"/>
      <c r="AM3173" s="79"/>
      <c r="AN3173" s="79"/>
      <c r="AO3173" s="79"/>
      <c r="AP3173" s="79"/>
      <c r="AQ3173" s="79"/>
      <c r="AR3173" s="78"/>
      <c r="AS3173" s="78"/>
      <c r="AT3173" s="79"/>
      <c r="AU3173" s="79"/>
      <c r="AV3173" s="79"/>
      <c r="AW3173" s="79"/>
      <c r="AX3173" s="79"/>
      <c r="AZ3173" s="81"/>
      <c r="BB3173" s="5"/>
      <c r="BC3173" s="5"/>
      <c r="BD3173" s="5"/>
      <c r="BE3173" s="5"/>
      <c r="BF3173" s="5"/>
      <c r="BG3173" s="5"/>
      <c r="BH3173" s="5"/>
      <c r="BI3173" s="5"/>
      <c r="BJ3173" s="5"/>
      <c r="BK3173" s="5"/>
      <c r="BL3173" s="5"/>
      <c r="BM3173" s="5"/>
      <c r="BN3173" s="5"/>
      <c r="BO3173" s="5"/>
      <c r="BP3173" s="5"/>
    </row>
    <row r="3174" spans="35:68" x14ac:dyDescent="0.25">
      <c r="AI3174" s="49"/>
      <c r="AJ3174" s="78"/>
      <c r="AK3174" s="79"/>
      <c r="AL3174" s="79"/>
      <c r="AM3174" s="79"/>
      <c r="AN3174" s="79"/>
      <c r="AO3174" s="79"/>
      <c r="AP3174" s="79"/>
      <c r="AQ3174" s="79"/>
      <c r="AR3174" s="78"/>
      <c r="AS3174" s="78"/>
      <c r="AT3174" s="79"/>
      <c r="AU3174" s="79"/>
      <c r="AV3174" s="79"/>
      <c r="AW3174" s="79"/>
      <c r="AX3174" s="79"/>
      <c r="AZ3174" s="81"/>
      <c r="BB3174" s="5"/>
      <c r="BC3174" s="5"/>
      <c r="BD3174" s="5"/>
      <c r="BE3174" s="5"/>
      <c r="BF3174" s="5"/>
      <c r="BG3174" s="5"/>
      <c r="BH3174" s="5"/>
      <c r="BI3174" s="5"/>
      <c r="BJ3174" s="5"/>
      <c r="BK3174" s="5"/>
      <c r="BL3174" s="5"/>
      <c r="BM3174" s="5"/>
      <c r="BN3174" s="5"/>
      <c r="BO3174" s="5"/>
      <c r="BP3174" s="5"/>
    </row>
    <row r="3175" spans="35:68" x14ac:dyDescent="0.25">
      <c r="AI3175" s="49"/>
      <c r="AJ3175" s="78"/>
      <c r="AK3175" s="79"/>
      <c r="AL3175" s="79"/>
      <c r="AM3175" s="79"/>
      <c r="AN3175" s="79"/>
      <c r="AO3175" s="79"/>
      <c r="AP3175" s="79"/>
      <c r="AQ3175" s="79"/>
      <c r="AR3175" s="78"/>
      <c r="AS3175" s="78"/>
      <c r="AT3175" s="79"/>
      <c r="AU3175" s="79"/>
      <c r="AV3175" s="79"/>
      <c r="AW3175" s="79"/>
      <c r="AX3175" s="79"/>
      <c r="AZ3175" s="81"/>
      <c r="BB3175" s="5"/>
      <c r="BC3175" s="5"/>
      <c r="BD3175" s="5"/>
      <c r="BE3175" s="5"/>
      <c r="BF3175" s="5"/>
      <c r="BG3175" s="5"/>
      <c r="BH3175" s="5"/>
      <c r="BI3175" s="5"/>
      <c r="BJ3175" s="5"/>
      <c r="BK3175" s="5"/>
      <c r="BL3175" s="5"/>
      <c r="BM3175" s="5"/>
      <c r="BN3175" s="5"/>
      <c r="BO3175" s="5"/>
      <c r="BP3175" s="5"/>
    </row>
    <row r="3176" spans="35:68" x14ac:dyDescent="0.25">
      <c r="AI3176" s="49"/>
      <c r="AJ3176" s="78"/>
      <c r="AK3176" s="79"/>
      <c r="AL3176" s="79"/>
      <c r="AM3176" s="79"/>
      <c r="AN3176" s="79"/>
      <c r="AO3176" s="79"/>
      <c r="AP3176" s="79"/>
      <c r="AQ3176" s="79"/>
      <c r="AR3176" s="78"/>
      <c r="AS3176" s="78"/>
      <c r="AT3176" s="79"/>
      <c r="AU3176" s="79"/>
      <c r="AV3176" s="79"/>
      <c r="AW3176" s="79"/>
      <c r="AX3176" s="79"/>
      <c r="AZ3176" s="81"/>
      <c r="BB3176" s="5"/>
      <c r="BC3176" s="5"/>
      <c r="BD3176" s="5"/>
      <c r="BE3176" s="5"/>
      <c r="BF3176" s="5"/>
      <c r="BG3176" s="5"/>
      <c r="BH3176" s="5"/>
      <c r="BI3176" s="5"/>
      <c r="BJ3176" s="5"/>
      <c r="BK3176" s="5"/>
      <c r="BL3176" s="5"/>
      <c r="BM3176" s="5"/>
      <c r="BN3176" s="5"/>
      <c r="BO3176" s="5"/>
      <c r="BP3176" s="5"/>
    </row>
    <row r="3177" spans="35:68" x14ac:dyDescent="0.25">
      <c r="AI3177" s="49"/>
      <c r="AJ3177" s="78"/>
      <c r="AK3177" s="79"/>
      <c r="AL3177" s="79"/>
      <c r="AM3177" s="79"/>
      <c r="AN3177" s="79"/>
      <c r="AO3177" s="79"/>
      <c r="AP3177" s="79"/>
      <c r="AQ3177" s="79"/>
      <c r="AR3177" s="78"/>
      <c r="AS3177" s="78"/>
      <c r="AT3177" s="79"/>
      <c r="AU3177" s="79"/>
      <c r="AV3177" s="79"/>
      <c r="AW3177" s="79"/>
      <c r="AX3177" s="79"/>
      <c r="AZ3177" s="81"/>
      <c r="BB3177" s="5"/>
      <c r="BC3177" s="5"/>
      <c r="BD3177" s="5"/>
      <c r="BE3177" s="5"/>
      <c r="BF3177" s="5"/>
      <c r="BG3177" s="5"/>
      <c r="BH3177" s="5"/>
      <c r="BI3177" s="5"/>
      <c r="BJ3177" s="5"/>
      <c r="BK3177" s="5"/>
      <c r="BL3177" s="5"/>
      <c r="BM3177" s="5"/>
      <c r="BN3177" s="5"/>
      <c r="BO3177" s="5"/>
      <c r="BP3177" s="5"/>
    </row>
    <row r="3178" spans="35:68" x14ac:dyDescent="0.25">
      <c r="AI3178" s="49"/>
      <c r="AJ3178" s="78"/>
      <c r="AK3178" s="79"/>
      <c r="AL3178" s="79"/>
      <c r="AM3178" s="79"/>
      <c r="AN3178" s="79"/>
      <c r="AO3178" s="79"/>
      <c r="AP3178" s="79"/>
      <c r="AQ3178" s="79"/>
      <c r="AR3178" s="78"/>
      <c r="AS3178" s="78"/>
      <c r="AT3178" s="79"/>
      <c r="AU3178" s="79"/>
      <c r="AV3178" s="79"/>
      <c r="AW3178" s="79"/>
      <c r="AX3178" s="79"/>
      <c r="AZ3178" s="81"/>
      <c r="BB3178" s="5"/>
      <c r="BC3178" s="5"/>
      <c r="BD3178" s="5"/>
      <c r="BE3178" s="5"/>
      <c r="BF3178" s="5"/>
      <c r="BG3178" s="5"/>
      <c r="BH3178" s="5"/>
      <c r="BI3178" s="5"/>
      <c r="BJ3178" s="5"/>
      <c r="BK3178" s="5"/>
      <c r="BL3178" s="5"/>
      <c r="BM3178" s="5"/>
      <c r="BN3178" s="5"/>
      <c r="BO3178" s="5"/>
      <c r="BP3178" s="5"/>
    </row>
    <row r="3179" spans="35:68" x14ac:dyDescent="0.25">
      <c r="AI3179" s="49"/>
      <c r="AJ3179" s="78"/>
      <c r="AK3179" s="79"/>
      <c r="AL3179" s="79"/>
      <c r="AM3179" s="79"/>
      <c r="AN3179" s="79"/>
      <c r="AO3179" s="79"/>
      <c r="AP3179" s="79"/>
      <c r="AQ3179" s="79"/>
      <c r="AR3179" s="78"/>
      <c r="AS3179" s="78"/>
      <c r="AT3179" s="79"/>
      <c r="AU3179" s="79"/>
      <c r="AV3179" s="79"/>
      <c r="AW3179" s="79"/>
      <c r="AX3179" s="79"/>
      <c r="AZ3179" s="81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</row>
    <row r="3180" spans="35:68" x14ac:dyDescent="0.25">
      <c r="AI3180" s="49"/>
      <c r="AJ3180" s="78"/>
      <c r="AK3180" s="79"/>
      <c r="AL3180" s="79"/>
      <c r="AM3180" s="79"/>
      <c r="AN3180" s="79"/>
      <c r="AO3180" s="79"/>
      <c r="AP3180" s="79"/>
      <c r="AQ3180" s="79"/>
      <c r="AR3180" s="78"/>
      <c r="AS3180" s="78"/>
      <c r="AT3180" s="79"/>
      <c r="AU3180" s="79"/>
      <c r="AV3180" s="79"/>
      <c r="AW3180" s="79"/>
      <c r="AX3180" s="79"/>
      <c r="AZ3180" s="81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/>
      <c r="BP3180" s="5"/>
    </row>
    <row r="3181" spans="35:68" x14ac:dyDescent="0.25">
      <c r="AI3181" s="49"/>
      <c r="AJ3181" s="78"/>
      <c r="AK3181" s="79"/>
      <c r="AL3181" s="79"/>
      <c r="AM3181" s="79"/>
      <c r="AN3181" s="79"/>
      <c r="AO3181" s="79"/>
      <c r="AP3181" s="79"/>
      <c r="AQ3181" s="79"/>
      <c r="AR3181" s="78"/>
      <c r="AS3181" s="78"/>
      <c r="AT3181" s="79"/>
      <c r="AU3181" s="79"/>
      <c r="AV3181" s="79"/>
      <c r="AW3181" s="79"/>
      <c r="AX3181" s="79"/>
      <c r="AZ3181" s="81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</row>
    <row r="3182" spans="35:68" x14ac:dyDescent="0.25">
      <c r="AI3182" s="49"/>
      <c r="AJ3182" s="78"/>
      <c r="AK3182" s="79"/>
      <c r="AL3182" s="79"/>
      <c r="AM3182" s="79"/>
      <c r="AN3182" s="79"/>
      <c r="AO3182" s="79"/>
      <c r="AP3182" s="79"/>
      <c r="AQ3182" s="79"/>
      <c r="AR3182" s="78"/>
      <c r="AS3182" s="78"/>
      <c r="AT3182" s="79"/>
      <c r="AU3182" s="79"/>
      <c r="AV3182" s="79"/>
      <c r="AW3182" s="79"/>
      <c r="AX3182" s="79"/>
      <c r="AZ3182" s="81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5"/>
      <c r="BP3182" s="5"/>
    </row>
    <row r="3183" spans="35:68" x14ac:dyDescent="0.25">
      <c r="AI3183" s="49"/>
      <c r="AJ3183" s="78"/>
      <c r="AK3183" s="79"/>
      <c r="AL3183" s="79"/>
      <c r="AM3183" s="79"/>
      <c r="AN3183" s="79"/>
      <c r="AO3183" s="79"/>
      <c r="AP3183" s="79"/>
      <c r="AQ3183" s="79"/>
      <c r="AR3183" s="78"/>
      <c r="AS3183" s="78"/>
      <c r="AT3183" s="79"/>
      <c r="AU3183" s="79"/>
      <c r="AV3183" s="79"/>
      <c r="AW3183" s="79"/>
      <c r="AX3183" s="79"/>
      <c r="AZ3183" s="81"/>
      <c r="BB3183" s="5"/>
      <c r="BC3183" s="5"/>
      <c r="BD3183" s="5"/>
      <c r="BE3183" s="5"/>
      <c r="BF3183" s="5"/>
      <c r="BG3183" s="5"/>
      <c r="BH3183" s="5"/>
      <c r="BI3183" s="5"/>
      <c r="BJ3183" s="5"/>
      <c r="BK3183" s="5"/>
      <c r="BL3183" s="5"/>
      <c r="BM3183" s="5"/>
      <c r="BN3183" s="5"/>
      <c r="BO3183" s="5"/>
      <c r="BP3183" s="5"/>
    </row>
    <row r="3184" spans="35:68" x14ac:dyDescent="0.25">
      <c r="AI3184" s="49"/>
      <c r="AJ3184" s="78"/>
      <c r="AK3184" s="79"/>
      <c r="AL3184" s="79"/>
      <c r="AM3184" s="79"/>
      <c r="AN3184" s="79"/>
      <c r="AO3184" s="79"/>
      <c r="AP3184" s="79"/>
      <c r="AQ3184" s="79"/>
      <c r="AR3184" s="78"/>
      <c r="AS3184" s="78"/>
      <c r="AT3184" s="79"/>
      <c r="AU3184" s="79"/>
      <c r="AV3184" s="79"/>
      <c r="AW3184" s="79"/>
      <c r="AX3184" s="79"/>
      <c r="AZ3184" s="81"/>
      <c r="BB3184" s="5"/>
      <c r="BC3184" s="5"/>
      <c r="BD3184" s="5"/>
      <c r="BE3184" s="5"/>
      <c r="BF3184" s="5"/>
      <c r="BG3184" s="5"/>
      <c r="BH3184" s="5"/>
      <c r="BI3184" s="5"/>
      <c r="BJ3184" s="5"/>
      <c r="BK3184" s="5"/>
      <c r="BL3184" s="5"/>
      <c r="BM3184" s="5"/>
      <c r="BN3184" s="5"/>
      <c r="BO3184" s="5"/>
      <c r="BP3184" s="5"/>
    </row>
    <row r="3185" spans="35:68" x14ac:dyDescent="0.25">
      <c r="AI3185" s="49"/>
      <c r="AJ3185" s="78"/>
      <c r="AK3185" s="79"/>
      <c r="AL3185" s="79"/>
      <c r="AM3185" s="79"/>
      <c r="AN3185" s="79"/>
      <c r="AO3185" s="79"/>
      <c r="AP3185" s="79"/>
      <c r="AQ3185" s="79"/>
      <c r="AR3185" s="78"/>
      <c r="AS3185" s="78"/>
      <c r="AT3185" s="79"/>
      <c r="AU3185" s="79"/>
      <c r="AV3185" s="79"/>
      <c r="AW3185" s="79"/>
      <c r="AX3185" s="79"/>
      <c r="AZ3185" s="81"/>
      <c r="BB3185" s="5"/>
      <c r="BC3185" s="5"/>
      <c r="BD3185" s="5"/>
      <c r="BE3185" s="5"/>
      <c r="BF3185" s="5"/>
      <c r="BG3185" s="5"/>
      <c r="BH3185" s="5"/>
      <c r="BI3185" s="5"/>
      <c r="BJ3185" s="5"/>
      <c r="BK3185" s="5"/>
      <c r="BL3185" s="5"/>
      <c r="BM3185" s="5"/>
      <c r="BN3185" s="5"/>
      <c r="BO3185" s="5"/>
      <c r="BP3185" s="5"/>
    </row>
    <row r="3186" spans="35:68" x14ac:dyDescent="0.25">
      <c r="AI3186" s="49"/>
      <c r="AJ3186" s="78"/>
      <c r="AK3186" s="79"/>
      <c r="AL3186" s="79"/>
      <c r="AM3186" s="79"/>
      <c r="AN3186" s="79"/>
      <c r="AO3186" s="79"/>
      <c r="AP3186" s="79"/>
      <c r="AQ3186" s="79"/>
      <c r="AR3186" s="78"/>
      <c r="AS3186" s="78"/>
      <c r="AT3186" s="79"/>
      <c r="AU3186" s="79"/>
      <c r="AV3186" s="79"/>
      <c r="AW3186" s="79"/>
      <c r="AX3186" s="79"/>
      <c r="AZ3186" s="81"/>
      <c r="BB3186" s="5"/>
      <c r="BC3186" s="5"/>
      <c r="BD3186" s="5"/>
      <c r="BE3186" s="5"/>
      <c r="BF3186" s="5"/>
      <c r="BG3186" s="5"/>
      <c r="BH3186" s="5"/>
      <c r="BI3186" s="5"/>
      <c r="BJ3186" s="5"/>
      <c r="BK3186" s="5"/>
      <c r="BL3186" s="5"/>
      <c r="BM3186" s="5"/>
      <c r="BN3186" s="5"/>
      <c r="BO3186" s="5"/>
      <c r="BP3186" s="5"/>
    </row>
    <row r="3187" spans="35:68" x14ac:dyDescent="0.25">
      <c r="AI3187" s="49"/>
      <c r="AJ3187" s="78"/>
      <c r="AK3187" s="79"/>
      <c r="AL3187" s="79"/>
      <c r="AM3187" s="79"/>
      <c r="AN3187" s="79"/>
      <c r="AO3187" s="79"/>
      <c r="AP3187" s="79"/>
      <c r="AQ3187" s="79"/>
      <c r="AR3187" s="78"/>
      <c r="AS3187" s="78"/>
      <c r="AT3187" s="79"/>
      <c r="AU3187" s="79"/>
      <c r="AV3187" s="79"/>
      <c r="AW3187" s="79"/>
      <c r="AX3187" s="79"/>
      <c r="AZ3187" s="81"/>
      <c r="BB3187" s="5"/>
      <c r="BC3187" s="5"/>
      <c r="BD3187" s="5"/>
      <c r="BE3187" s="5"/>
      <c r="BF3187" s="5"/>
      <c r="BG3187" s="5"/>
      <c r="BH3187" s="5"/>
      <c r="BI3187" s="5"/>
      <c r="BJ3187" s="5"/>
      <c r="BK3187" s="5"/>
      <c r="BL3187" s="5"/>
      <c r="BM3187" s="5"/>
      <c r="BN3187" s="5"/>
      <c r="BO3187" s="5"/>
      <c r="BP3187" s="5"/>
    </row>
    <row r="3188" spans="35:68" x14ac:dyDescent="0.25">
      <c r="AI3188" s="49"/>
      <c r="AJ3188" s="78"/>
      <c r="AK3188" s="79"/>
      <c r="AL3188" s="79"/>
      <c r="AM3188" s="79"/>
      <c r="AN3188" s="79"/>
      <c r="AO3188" s="79"/>
      <c r="AP3188" s="79"/>
      <c r="AQ3188" s="79"/>
      <c r="AR3188" s="78"/>
      <c r="AS3188" s="78"/>
      <c r="AT3188" s="79"/>
      <c r="AU3188" s="79"/>
      <c r="AV3188" s="79"/>
      <c r="AW3188" s="79"/>
      <c r="AX3188" s="79"/>
      <c r="AZ3188" s="81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/>
      <c r="BP3188" s="5"/>
    </row>
    <row r="3189" spans="35:68" x14ac:dyDescent="0.25">
      <c r="AI3189" s="49"/>
      <c r="AJ3189" s="78"/>
      <c r="AK3189" s="79"/>
      <c r="AL3189" s="79"/>
      <c r="AM3189" s="79"/>
      <c r="AN3189" s="79"/>
      <c r="AO3189" s="79"/>
      <c r="AP3189" s="79"/>
      <c r="AQ3189" s="79"/>
      <c r="AR3189" s="78"/>
      <c r="AS3189" s="78"/>
      <c r="AT3189" s="79"/>
      <c r="AU3189" s="79"/>
      <c r="AV3189" s="79"/>
      <c r="AW3189" s="79"/>
      <c r="AX3189" s="79"/>
      <c r="AZ3189" s="81"/>
      <c r="BB3189" s="5"/>
      <c r="BC3189" s="5"/>
      <c r="BD3189" s="5"/>
      <c r="BE3189" s="5"/>
      <c r="BF3189" s="5"/>
      <c r="BG3189" s="5"/>
      <c r="BH3189" s="5"/>
      <c r="BI3189" s="5"/>
      <c r="BJ3189" s="5"/>
      <c r="BK3189" s="5"/>
      <c r="BL3189" s="5"/>
      <c r="BM3189" s="5"/>
      <c r="BN3189" s="5"/>
      <c r="BO3189" s="5"/>
      <c r="BP3189" s="5"/>
    </row>
    <row r="3190" spans="35:68" x14ac:dyDescent="0.25">
      <c r="AI3190" s="49"/>
      <c r="AJ3190" s="78"/>
      <c r="AK3190" s="79"/>
      <c r="AL3190" s="79"/>
      <c r="AM3190" s="79"/>
      <c r="AN3190" s="79"/>
      <c r="AO3190" s="79"/>
      <c r="AP3190" s="79"/>
      <c r="AQ3190" s="79"/>
      <c r="AR3190" s="78"/>
      <c r="AS3190" s="78"/>
      <c r="AT3190" s="79"/>
      <c r="AU3190" s="79"/>
      <c r="AV3190" s="79"/>
      <c r="AW3190" s="79"/>
      <c r="AX3190" s="79"/>
      <c r="AZ3190" s="81"/>
      <c r="BB3190" s="5"/>
      <c r="BC3190" s="5"/>
      <c r="BD3190" s="5"/>
      <c r="BE3190" s="5"/>
      <c r="BF3190" s="5"/>
      <c r="BG3190" s="5"/>
      <c r="BH3190" s="5"/>
      <c r="BI3190" s="5"/>
      <c r="BJ3190" s="5"/>
      <c r="BK3190" s="5"/>
      <c r="BL3190" s="5"/>
      <c r="BM3190" s="5"/>
      <c r="BN3190" s="5"/>
      <c r="BO3190" s="5"/>
      <c r="BP3190" s="5"/>
    </row>
    <row r="3191" spans="35:68" x14ac:dyDescent="0.25">
      <c r="AI3191" s="49"/>
      <c r="AJ3191" s="78"/>
      <c r="AK3191" s="79"/>
      <c r="AL3191" s="79"/>
      <c r="AM3191" s="79"/>
      <c r="AN3191" s="79"/>
      <c r="AO3191" s="79"/>
      <c r="AP3191" s="79"/>
      <c r="AQ3191" s="79"/>
      <c r="AR3191" s="78"/>
      <c r="AS3191" s="78"/>
      <c r="AT3191" s="79"/>
      <c r="AU3191" s="79"/>
      <c r="AV3191" s="79"/>
      <c r="AW3191" s="79"/>
      <c r="AX3191" s="79"/>
      <c r="AZ3191" s="81"/>
      <c r="BB3191" s="5"/>
      <c r="BC3191" s="5"/>
      <c r="BD3191" s="5"/>
      <c r="BE3191" s="5"/>
      <c r="BF3191" s="5"/>
      <c r="BG3191" s="5"/>
      <c r="BH3191" s="5"/>
      <c r="BI3191" s="5"/>
      <c r="BJ3191" s="5"/>
      <c r="BK3191" s="5"/>
      <c r="BL3191" s="5"/>
      <c r="BM3191" s="5"/>
      <c r="BN3191" s="5"/>
      <c r="BO3191" s="5"/>
      <c r="BP3191" s="5"/>
    </row>
    <row r="3192" spans="35:68" x14ac:dyDescent="0.25">
      <c r="AI3192" s="49"/>
      <c r="AJ3192" s="78"/>
      <c r="AK3192" s="79"/>
      <c r="AL3192" s="79"/>
      <c r="AM3192" s="79"/>
      <c r="AN3192" s="79"/>
      <c r="AO3192" s="79"/>
      <c r="AP3192" s="79"/>
      <c r="AQ3192" s="79"/>
      <c r="AR3192" s="78"/>
      <c r="AS3192" s="78"/>
      <c r="AT3192" s="79"/>
      <c r="AU3192" s="79"/>
      <c r="AV3192" s="79"/>
      <c r="AW3192" s="79"/>
      <c r="AX3192" s="79"/>
      <c r="AZ3192" s="81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5"/>
      <c r="BP3192" s="5"/>
    </row>
    <row r="3193" spans="35:68" x14ac:dyDescent="0.25">
      <c r="AI3193" s="49"/>
      <c r="AJ3193" s="78"/>
      <c r="AK3193" s="79"/>
      <c r="AL3193" s="79"/>
      <c r="AM3193" s="79"/>
      <c r="AN3193" s="79"/>
      <c r="AO3193" s="79"/>
      <c r="AP3193" s="79"/>
      <c r="AQ3193" s="79"/>
      <c r="AR3193" s="78"/>
      <c r="AS3193" s="78"/>
      <c r="AT3193" s="79"/>
      <c r="AU3193" s="79"/>
      <c r="AV3193" s="79"/>
      <c r="AW3193" s="79"/>
      <c r="AX3193" s="79"/>
      <c r="AZ3193" s="81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5"/>
      <c r="BM3193" s="5"/>
      <c r="BN3193" s="5"/>
      <c r="BO3193" s="5"/>
      <c r="BP3193" s="5"/>
    </row>
    <row r="3194" spans="35:68" x14ac:dyDescent="0.25">
      <c r="AI3194" s="49"/>
      <c r="AJ3194" s="78"/>
      <c r="AK3194" s="79"/>
      <c r="AL3194" s="79"/>
      <c r="AM3194" s="79"/>
      <c r="AN3194" s="79"/>
      <c r="AO3194" s="79"/>
      <c r="AP3194" s="79"/>
      <c r="AQ3194" s="79"/>
      <c r="AR3194" s="78"/>
      <c r="AS3194" s="78"/>
      <c r="AT3194" s="79"/>
      <c r="AU3194" s="79"/>
      <c r="AV3194" s="79"/>
      <c r="AW3194" s="79"/>
      <c r="AX3194" s="79"/>
      <c r="AZ3194" s="81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5"/>
      <c r="BP3194" s="5"/>
    </row>
    <row r="3195" spans="35:68" x14ac:dyDescent="0.25">
      <c r="AI3195" s="49"/>
      <c r="AJ3195" s="78"/>
      <c r="AK3195" s="79"/>
      <c r="AL3195" s="79"/>
      <c r="AM3195" s="79"/>
      <c r="AN3195" s="79"/>
      <c r="AO3195" s="79"/>
      <c r="AP3195" s="79"/>
      <c r="AQ3195" s="79"/>
      <c r="AR3195" s="78"/>
      <c r="AS3195" s="78"/>
      <c r="AT3195" s="79"/>
      <c r="AU3195" s="79"/>
      <c r="AV3195" s="79"/>
      <c r="AW3195" s="79"/>
      <c r="AX3195" s="79"/>
      <c r="AZ3195" s="81"/>
      <c r="BB3195" s="5"/>
      <c r="BC3195" s="5"/>
      <c r="BD3195" s="5"/>
      <c r="BE3195" s="5"/>
      <c r="BF3195" s="5"/>
      <c r="BG3195" s="5"/>
      <c r="BH3195" s="5"/>
      <c r="BI3195" s="5"/>
      <c r="BJ3195" s="5"/>
      <c r="BK3195" s="5"/>
      <c r="BL3195" s="5"/>
      <c r="BM3195" s="5"/>
      <c r="BN3195" s="5"/>
      <c r="BO3195" s="5"/>
      <c r="BP3195" s="5"/>
    </row>
    <row r="3196" spans="35:68" x14ac:dyDescent="0.25">
      <c r="AI3196" s="49"/>
      <c r="AJ3196" s="78"/>
      <c r="AK3196" s="79"/>
      <c r="AL3196" s="79"/>
      <c r="AM3196" s="79"/>
      <c r="AN3196" s="79"/>
      <c r="AO3196" s="79"/>
      <c r="AP3196" s="79"/>
      <c r="AQ3196" s="79"/>
      <c r="AR3196" s="78"/>
      <c r="AS3196" s="78"/>
      <c r="AT3196" s="79"/>
      <c r="AU3196" s="79"/>
      <c r="AV3196" s="79"/>
      <c r="AW3196" s="79"/>
      <c r="AX3196" s="79"/>
      <c r="AZ3196" s="81"/>
      <c r="BB3196" s="5"/>
      <c r="BC3196" s="5"/>
      <c r="BD3196" s="5"/>
      <c r="BE3196" s="5"/>
      <c r="BF3196" s="5"/>
      <c r="BG3196" s="5"/>
      <c r="BH3196" s="5"/>
      <c r="BI3196" s="5"/>
      <c r="BJ3196" s="5"/>
      <c r="BK3196" s="5"/>
      <c r="BL3196" s="5"/>
      <c r="BM3196" s="5"/>
      <c r="BN3196" s="5"/>
      <c r="BO3196" s="5"/>
      <c r="BP3196" s="5"/>
    </row>
    <row r="3197" spans="35:68" x14ac:dyDescent="0.25">
      <c r="AI3197" s="49"/>
      <c r="AJ3197" s="78"/>
      <c r="AK3197" s="79"/>
      <c r="AL3197" s="79"/>
      <c r="AM3197" s="79"/>
      <c r="AN3197" s="79"/>
      <c r="AO3197" s="79"/>
      <c r="AP3197" s="79"/>
      <c r="AQ3197" s="79"/>
      <c r="AR3197" s="78"/>
      <c r="AS3197" s="78"/>
      <c r="AT3197" s="79"/>
      <c r="AU3197" s="79"/>
      <c r="AV3197" s="79"/>
      <c r="AW3197" s="79"/>
      <c r="AX3197" s="79"/>
      <c r="AZ3197" s="81"/>
      <c r="BB3197" s="5"/>
      <c r="BC3197" s="5"/>
      <c r="BD3197" s="5"/>
      <c r="BE3197" s="5"/>
      <c r="BF3197" s="5"/>
      <c r="BG3197" s="5"/>
      <c r="BH3197" s="5"/>
      <c r="BI3197" s="5"/>
      <c r="BJ3197" s="5"/>
      <c r="BK3197" s="5"/>
      <c r="BL3197" s="5"/>
      <c r="BM3197" s="5"/>
      <c r="BN3197" s="5"/>
      <c r="BO3197" s="5"/>
      <c r="BP3197" s="5"/>
    </row>
    <row r="3198" spans="35:68" x14ac:dyDescent="0.25">
      <c r="AI3198" s="49"/>
      <c r="AJ3198" s="78"/>
      <c r="AK3198" s="79"/>
      <c r="AL3198" s="79"/>
      <c r="AM3198" s="79"/>
      <c r="AN3198" s="79"/>
      <c r="AO3198" s="79"/>
      <c r="AP3198" s="79"/>
      <c r="AQ3198" s="79"/>
      <c r="AR3198" s="78"/>
      <c r="AS3198" s="78"/>
      <c r="AT3198" s="79"/>
      <c r="AU3198" s="79"/>
      <c r="AV3198" s="79"/>
      <c r="AW3198" s="79"/>
      <c r="AX3198" s="79"/>
      <c r="AZ3198" s="81"/>
      <c r="BB3198" s="5"/>
      <c r="BC3198" s="5"/>
      <c r="BD3198" s="5"/>
      <c r="BE3198" s="5"/>
      <c r="BF3198" s="5"/>
      <c r="BG3198" s="5"/>
      <c r="BH3198" s="5"/>
      <c r="BI3198" s="5"/>
      <c r="BJ3198" s="5"/>
      <c r="BK3198" s="5"/>
      <c r="BL3198" s="5"/>
      <c r="BM3198" s="5"/>
      <c r="BN3198" s="5"/>
      <c r="BO3198" s="5"/>
      <c r="BP3198" s="5"/>
    </row>
    <row r="3199" spans="35:68" x14ac:dyDescent="0.25">
      <c r="AI3199" s="49"/>
      <c r="AJ3199" s="78"/>
      <c r="AK3199" s="79"/>
      <c r="AL3199" s="79"/>
      <c r="AM3199" s="79"/>
      <c r="AN3199" s="79"/>
      <c r="AO3199" s="79"/>
      <c r="AP3199" s="79"/>
      <c r="AQ3199" s="79"/>
      <c r="AR3199" s="78"/>
      <c r="AS3199" s="78"/>
      <c r="AT3199" s="79"/>
      <c r="AU3199" s="79"/>
      <c r="AV3199" s="79"/>
      <c r="AW3199" s="79"/>
      <c r="AX3199" s="79"/>
      <c r="AZ3199" s="81"/>
      <c r="BB3199" s="5"/>
      <c r="BC3199" s="5"/>
      <c r="BD3199" s="5"/>
      <c r="BE3199" s="5"/>
      <c r="BF3199" s="5"/>
      <c r="BG3199" s="5"/>
      <c r="BH3199" s="5"/>
      <c r="BI3199" s="5"/>
      <c r="BJ3199" s="5"/>
      <c r="BK3199" s="5"/>
      <c r="BL3199" s="5"/>
      <c r="BM3199" s="5"/>
      <c r="BN3199" s="5"/>
      <c r="BO3199" s="5"/>
      <c r="BP3199" s="5"/>
    </row>
    <row r="3200" spans="35:68" x14ac:dyDescent="0.25">
      <c r="AI3200" s="49"/>
      <c r="AJ3200" s="78"/>
      <c r="AK3200" s="79"/>
      <c r="AL3200" s="79"/>
      <c r="AM3200" s="79"/>
      <c r="AN3200" s="79"/>
      <c r="AO3200" s="79"/>
      <c r="AP3200" s="79"/>
      <c r="AQ3200" s="79"/>
      <c r="AR3200" s="78"/>
      <c r="AS3200" s="78"/>
      <c r="AT3200" s="79"/>
      <c r="AU3200" s="79"/>
      <c r="AV3200" s="79"/>
      <c r="AW3200" s="79"/>
      <c r="AX3200" s="79"/>
      <c r="AZ3200" s="81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</row>
    <row r="3201" spans="35:68" x14ac:dyDescent="0.25">
      <c r="AI3201" s="49"/>
      <c r="AJ3201" s="78"/>
      <c r="AK3201" s="79"/>
      <c r="AL3201" s="79"/>
      <c r="AM3201" s="79"/>
      <c r="AN3201" s="79"/>
      <c r="AO3201" s="79"/>
      <c r="AP3201" s="79"/>
      <c r="AQ3201" s="79"/>
      <c r="AR3201" s="78"/>
      <c r="AS3201" s="78"/>
      <c r="AT3201" s="79"/>
      <c r="AU3201" s="79"/>
      <c r="AV3201" s="79"/>
      <c r="AW3201" s="79"/>
      <c r="AX3201" s="79"/>
      <c r="AZ3201" s="81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</row>
    <row r="3202" spans="35:68" x14ac:dyDescent="0.25">
      <c r="AI3202" s="49"/>
      <c r="AJ3202" s="78"/>
      <c r="AK3202" s="79"/>
      <c r="AL3202" s="79"/>
      <c r="AM3202" s="79"/>
      <c r="AN3202" s="79"/>
      <c r="AO3202" s="79"/>
      <c r="AP3202" s="79"/>
      <c r="AQ3202" s="79"/>
      <c r="AR3202" s="78"/>
      <c r="AS3202" s="78"/>
      <c r="AT3202" s="79"/>
      <c r="AU3202" s="79"/>
      <c r="AV3202" s="79"/>
      <c r="AW3202" s="79"/>
      <c r="AX3202" s="79"/>
      <c r="AZ3202" s="81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</row>
    <row r="3203" spans="35:68" x14ac:dyDescent="0.25">
      <c r="AI3203" s="49"/>
      <c r="AJ3203" s="78"/>
      <c r="AK3203" s="79"/>
      <c r="AL3203" s="79"/>
      <c r="AM3203" s="79"/>
      <c r="AN3203" s="79"/>
      <c r="AO3203" s="79"/>
      <c r="AP3203" s="79"/>
      <c r="AQ3203" s="79"/>
      <c r="AR3203" s="78"/>
      <c r="AS3203" s="78"/>
      <c r="AT3203" s="79"/>
      <c r="AU3203" s="79"/>
      <c r="AV3203" s="79"/>
      <c r="AW3203" s="79"/>
      <c r="AX3203" s="79"/>
      <c r="AZ3203" s="81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/>
      <c r="BO3203" s="5"/>
      <c r="BP3203" s="5"/>
    </row>
    <row r="3204" spans="35:68" x14ac:dyDescent="0.25">
      <c r="AI3204" s="49"/>
      <c r="AJ3204" s="78"/>
      <c r="AK3204" s="79"/>
      <c r="AL3204" s="79"/>
      <c r="AM3204" s="79"/>
      <c r="AN3204" s="79"/>
      <c r="AO3204" s="79"/>
      <c r="AP3204" s="79"/>
      <c r="AQ3204" s="79"/>
      <c r="AR3204" s="78"/>
      <c r="AS3204" s="78"/>
      <c r="AT3204" s="79"/>
      <c r="AU3204" s="79"/>
      <c r="AV3204" s="79"/>
      <c r="AW3204" s="79"/>
      <c r="AX3204" s="79"/>
      <c r="AZ3204" s="81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</row>
    <row r="3205" spans="35:68" x14ac:dyDescent="0.25">
      <c r="AI3205" s="49"/>
      <c r="AJ3205" s="78"/>
      <c r="AK3205" s="79"/>
      <c r="AL3205" s="79"/>
      <c r="AM3205" s="79"/>
      <c r="AN3205" s="79"/>
      <c r="AO3205" s="79"/>
      <c r="AP3205" s="79"/>
      <c r="AQ3205" s="79"/>
      <c r="AR3205" s="78"/>
      <c r="AS3205" s="78"/>
      <c r="AT3205" s="79"/>
      <c r="AU3205" s="79"/>
      <c r="AV3205" s="79"/>
      <c r="AW3205" s="79"/>
      <c r="AX3205" s="79"/>
      <c r="AZ3205" s="81"/>
      <c r="BB3205" s="5"/>
      <c r="BC3205" s="5"/>
      <c r="BD3205" s="5"/>
      <c r="BE3205" s="5"/>
      <c r="BF3205" s="5"/>
      <c r="BG3205" s="5"/>
      <c r="BH3205" s="5"/>
      <c r="BI3205" s="5"/>
      <c r="BJ3205" s="5"/>
      <c r="BK3205" s="5"/>
      <c r="BL3205" s="5"/>
      <c r="BM3205" s="5"/>
      <c r="BN3205" s="5"/>
      <c r="BO3205" s="5"/>
      <c r="BP3205" s="5"/>
    </row>
    <row r="3206" spans="35:68" x14ac:dyDescent="0.25">
      <c r="AI3206" s="49"/>
      <c r="AJ3206" s="78"/>
      <c r="AK3206" s="79"/>
      <c r="AL3206" s="79"/>
      <c r="AM3206" s="79"/>
      <c r="AN3206" s="79"/>
      <c r="AO3206" s="79"/>
      <c r="AP3206" s="79"/>
      <c r="AQ3206" s="79"/>
      <c r="AR3206" s="78"/>
      <c r="AS3206" s="78"/>
      <c r="AT3206" s="79"/>
      <c r="AU3206" s="79"/>
      <c r="AV3206" s="79"/>
      <c r="AW3206" s="79"/>
      <c r="AX3206" s="79"/>
      <c r="AZ3206" s="81"/>
      <c r="BB3206" s="5"/>
      <c r="BC3206" s="5"/>
      <c r="BD3206" s="5"/>
      <c r="BE3206" s="5"/>
      <c r="BF3206" s="5"/>
      <c r="BG3206" s="5"/>
      <c r="BH3206" s="5"/>
      <c r="BI3206" s="5"/>
      <c r="BJ3206" s="5"/>
      <c r="BK3206" s="5"/>
      <c r="BL3206" s="5"/>
      <c r="BM3206" s="5"/>
      <c r="BN3206" s="5"/>
      <c r="BO3206" s="5"/>
      <c r="BP3206" s="5"/>
    </row>
    <row r="3207" spans="35:68" x14ac:dyDescent="0.25">
      <c r="AI3207" s="49"/>
      <c r="AJ3207" s="78"/>
      <c r="AK3207" s="79"/>
      <c r="AL3207" s="79"/>
      <c r="AM3207" s="79"/>
      <c r="AN3207" s="79"/>
      <c r="AO3207" s="79"/>
      <c r="AP3207" s="79"/>
      <c r="AQ3207" s="79"/>
      <c r="AR3207" s="78"/>
      <c r="AS3207" s="78"/>
      <c r="AT3207" s="79"/>
      <c r="AU3207" s="79"/>
      <c r="AV3207" s="79"/>
      <c r="AW3207" s="79"/>
      <c r="AX3207" s="79"/>
      <c r="AZ3207" s="81"/>
      <c r="BB3207" s="5"/>
      <c r="BC3207" s="5"/>
      <c r="BD3207" s="5"/>
      <c r="BE3207" s="5"/>
      <c r="BF3207" s="5"/>
      <c r="BG3207" s="5"/>
      <c r="BH3207" s="5"/>
      <c r="BI3207" s="5"/>
      <c r="BJ3207" s="5"/>
      <c r="BK3207" s="5"/>
      <c r="BL3207" s="5"/>
      <c r="BM3207" s="5"/>
      <c r="BN3207" s="5"/>
      <c r="BO3207" s="5"/>
      <c r="BP3207" s="5"/>
    </row>
    <row r="3208" spans="35:68" x14ac:dyDescent="0.25">
      <c r="AI3208" s="49"/>
      <c r="AJ3208" s="78"/>
      <c r="AK3208" s="79"/>
      <c r="AL3208" s="79"/>
      <c r="AM3208" s="79"/>
      <c r="AN3208" s="79"/>
      <c r="AO3208" s="79"/>
      <c r="AP3208" s="79"/>
      <c r="AQ3208" s="79"/>
      <c r="AR3208" s="78"/>
      <c r="AS3208" s="78"/>
      <c r="AT3208" s="79"/>
      <c r="AU3208" s="79"/>
      <c r="AV3208" s="79"/>
      <c r="AW3208" s="79"/>
      <c r="AX3208" s="79"/>
      <c r="AZ3208" s="81"/>
      <c r="BB3208" s="5"/>
      <c r="BC3208" s="5"/>
      <c r="BD3208" s="5"/>
      <c r="BE3208" s="5"/>
      <c r="BF3208" s="5"/>
      <c r="BG3208" s="5"/>
      <c r="BH3208" s="5"/>
      <c r="BI3208" s="5"/>
      <c r="BJ3208" s="5"/>
      <c r="BK3208" s="5"/>
      <c r="BL3208" s="5"/>
      <c r="BM3208" s="5"/>
      <c r="BN3208" s="5"/>
      <c r="BO3208" s="5"/>
      <c r="BP3208" s="5"/>
    </row>
    <row r="3209" spans="35:68" x14ac:dyDescent="0.25">
      <c r="AI3209" s="49"/>
      <c r="AJ3209" s="78"/>
      <c r="AK3209" s="79"/>
      <c r="AL3209" s="79"/>
      <c r="AM3209" s="79"/>
      <c r="AN3209" s="79"/>
      <c r="AO3209" s="79"/>
      <c r="AP3209" s="79"/>
      <c r="AQ3209" s="79"/>
      <c r="AR3209" s="78"/>
      <c r="AS3209" s="78"/>
      <c r="AT3209" s="79"/>
      <c r="AU3209" s="79"/>
      <c r="AV3209" s="79"/>
      <c r="AW3209" s="79"/>
      <c r="AX3209" s="79"/>
      <c r="AZ3209" s="81"/>
      <c r="BB3209" s="5"/>
      <c r="BC3209" s="5"/>
      <c r="BD3209" s="5"/>
      <c r="BE3209" s="5"/>
      <c r="BF3209" s="5"/>
      <c r="BG3209" s="5"/>
      <c r="BH3209" s="5"/>
      <c r="BI3209" s="5"/>
      <c r="BJ3209" s="5"/>
      <c r="BK3209" s="5"/>
      <c r="BL3209" s="5"/>
      <c r="BM3209" s="5"/>
      <c r="BN3209" s="5"/>
      <c r="BO3209" s="5"/>
      <c r="BP3209" s="5"/>
    </row>
    <row r="3210" spans="35:68" x14ac:dyDescent="0.25">
      <c r="AI3210" s="49"/>
      <c r="AJ3210" s="78"/>
      <c r="AK3210" s="79"/>
      <c r="AL3210" s="79"/>
      <c r="AM3210" s="79"/>
      <c r="AN3210" s="79"/>
      <c r="AO3210" s="79"/>
      <c r="AP3210" s="79"/>
      <c r="AQ3210" s="79"/>
      <c r="AR3210" s="78"/>
      <c r="AS3210" s="78"/>
      <c r="AT3210" s="79"/>
      <c r="AU3210" s="79"/>
      <c r="AV3210" s="79"/>
      <c r="AW3210" s="79"/>
      <c r="AX3210" s="79"/>
      <c r="AZ3210" s="81"/>
      <c r="BB3210" s="5"/>
      <c r="BC3210" s="5"/>
      <c r="BD3210" s="5"/>
      <c r="BE3210" s="5"/>
      <c r="BF3210" s="5"/>
      <c r="BG3210" s="5"/>
      <c r="BH3210" s="5"/>
      <c r="BI3210" s="5"/>
      <c r="BJ3210" s="5"/>
      <c r="BK3210" s="5"/>
      <c r="BL3210" s="5"/>
      <c r="BM3210" s="5"/>
      <c r="BN3210" s="5"/>
      <c r="BO3210" s="5"/>
      <c r="BP3210" s="5"/>
    </row>
    <row r="3211" spans="35:68" x14ac:dyDescent="0.25">
      <c r="AI3211" s="49"/>
      <c r="AJ3211" s="78"/>
      <c r="AK3211" s="79"/>
      <c r="AL3211" s="79"/>
      <c r="AM3211" s="79"/>
      <c r="AN3211" s="79"/>
      <c r="AO3211" s="79"/>
      <c r="AP3211" s="79"/>
      <c r="AQ3211" s="79"/>
      <c r="AR3211" s="78"/>
      <c r="AS3211" s="78"/>
      <c r="AT3211" s="79"/>
      <c r="AU3211" s="79"/>
      <c r="AV3211" s="79"/>
      <c r="AW3211" s="79"/>
      <c r="AX3211" s="79"/>
      <c r="AZ3211" s="81"/>
      <c r="BB3211" s="5"/>
      <c r="BC3211" s="5"/>
      <c r="BD3211" s="5"/>
      <c r="BE3211" s="5"/>
      <c r="BF3211" s="5"/>
      <c r="BG3211" s="5"/>
      <c r="BH3211" s="5"/>
      <c r="BI3211" s="5"/>
      <c r="BJ3211" s="5"/>
      <c r="BK3211" s="5"/>
      <c r="BL3211" s="5"/>
      <c r="BM3211" s="5"/>
      <c r="BN3211" s="5"/>
      <c r="BO3211" s="5"/>
      <c r="BP3211" s="5"/>
    </row>
    <row r="3212" spans="35:68" x14ac:dyDescent="0.25">
      <c r="AI3212" s="49"/>
      <c r="AJ3212" s="78"/>
      <c r="AK3212" s="79"/>
      <c r="AL3212" s="79"/>
      <c r="AM3212" s="79"/>
      <c r="AN3212" s="79"/>
      <c r="AO3212" s="79"/>
      <c r="AP3212" s="79"/>
      <c r="AQ3212" s="79"/>
      <c r="AR3212" s="78"/>
      <c r="AS3212" s="78"/>
      <c r="AT3212" s="79"/>
      <c r="AU3212" s="79"/>
      <c r="AV3212" s="79"/>
      <c r="AW3212" s="79"/>
      <c r="AX3212" s="79"/>
      <c r="AZ3212" s="81"/>
      <c r="BB3212" s="5"/>
      <c r="BC3212" s="5"/>
      <c r="BD3212" s="5"/>
      <c r="BE3212" s="5"/>
      <c r="BF3212" s="5"/>
      <c r="BG3212" s="5"/>
      <c r="BH3212" s="5"/>
      <c r="BI3212" s="5"/>
      <c r="BJ3212" s="5"/>
      <c r="BK3212" s="5"/>
      <c r="BL3212" s="5"/>
      <c r="BM3212" s="5"/>
      <c r="BN3212" s="5"/>
      <c r="BO3212" s="5"/>
      <c r="BP3212" s="5"/>
    </row>
    <row r="3213" spans="35:68" x14ac:dyDescent="0.25">
      <c r="AI3213" s="49"/>
      <c r="AJ3213" s="78"/>
      <c r="AK3213" s="79"/>
      <c r="AL3213" s="79"/>
      <c r="AM3213" s="79"/>
      <c r="AN3213" s="79"/>
      <c r="AO3213" s="79"/>
      <c r="AP3213" s="79"/>
      <c r="AQ3213" s="79"/>
      <c r="AR3213" s="78"/>
      <c r="AS3213" s="78"/>
      <c r="AT3213" s="79"/>
      <c r="AU3213" s="79"/>
      <c r="AV3213" s="79"/>
      <c r="AW3213" s="79"/>
      <c r="AX3213" s="79"/>
      <c r="AZ3213" s="81"/>
      <c r="BB3213" s="5"/>
      <c r="BC3213" s="5"/>
      <c r="BD3213" s="5"/>
      <c r="BE3213" s="5"/>
      <c r="BF3213" s="5"/>
      <c r="BG3213" s="5"/>
      <c r="BH3213" s="5"/>
      <c r="BI3213" s="5"/>
      <c r="BJ3213" s="5"/>
      <c r="BK3213" s="5"/>
      <c r="BL3213" s="5"/>
      <c r="BM3213" s="5"/>
      <c r="BN3213" s="5"/>
      <c r="BO3213" s="5"/>
      <c r="BP3213" s="5"/>
    </row>
    <row r="3214" spans="35:68" x14ac:dyDescent="0.25">
      <c r="AI3214" s="49"/>
      <c r="AJ3214" s="78"/>
      <c r="AK3214" s="79"/>
      <c r="AL3214" s="79"/>
      <c r="AM3214" s="79"/>
      <c r="AN3214" s="79"/>
      <c r="AO3214" s="79"/>
      <c r="AP3214" s="79"/>
      <c r="AQ3214" s="79"/>
      <c r="AR3214" s="78"/>
      <c r="AS3214" s="78"/>
      <c r="AT3214" s="79"/>
      <c r="AU3214" s="79"/>
      <c r="AV3214" s="79"/>
      <c r="AW3214" s="79"/>
      <c r="AX3214" s="79"/>
      <c r="AZ3214" s="81"/>
      <c r="BB3214" s="5"/>
      <c r="BC3214" s="5"/>
      <c r="BD3214" s="5"/>
      <c r="BE3214" s="5"/>
      <c r="BF3214" s="5"/>
      <c r="BG3214" s="5"/>
      <c r="BH3214" s="5"/>
      <c r="BI3214" s="5"/>
      <c r="BJ3214" s="5"/>
      <c r="BK3214" s="5"/>
      <c r="BL3214" s="5"/>
      <c r="BM3214" s="5"/>
      <c r="BN3214" s="5"/>
      <c r="BO3214" s="5"/>
      <c r="BP3214" s="5"/>
    </row>
    <row r="3215" spans="35:68" x14ac:dyDescent="0.25">
      <c r="AI3215" s="49"/>
      <c r="AJ3215" s="78"/>
      <c r="AK3215" s="79"/>
      <c r="AL3215" s="79"/>
      <c r="AM3215" s="79"/>
      <c r="AN3215" s="79"/>
      <c r="AO3215" s="79"/>
      <c r="AP3215" s="79"/>
      <c r="AQ3215" s="79"/>
      <c r="AR3215" s="78"/>
      <c r="AS3215" s="78"/>
      <c r="AT3215" s="79"/>
      <c r="AU3215" s="79"/>
      <c r="AV3215" s="79"/>
      <c r="AW3215" s="79"/>
      <c r="AX3215" s="79"/>
      <c r="AZ3215" s="81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</row>
    <row r="3216" spans="35:68" x14ac:dyDescent="0.25">
      <c r="AI3216" s="49"/>
      <c r="AJ3216" s="78"/>
      <c r="AK3216" s="79"/>
      <c r="AL3216" s="79"/>
      <c r="AM3216" s="79"/>
      <c r="AN3216" s="79"/>
      <c r="AO3216" s="79"/>
      <c r="AP3216" s="79"/>
      <c r="AQ3216" s="79"/>
      <c r="AR3216" s="78"/>
      <c r="AS3216" s="78"/>
      <c r="AT3216" s="79"/>
      <c r="AU3216" s="79"/>
      <c r="AV3216" s="79"/>
      <c r="AW3216" s="79"/>
      <c r="AX3216" s="79"/>
      <c r="AZ3216" s="81"/>
      <c r="BB3216" s="5"/>
      <c r="BC3216" s="5"/>
      <c r="BD3216" s="5"/>
      <c r="BE3216" s="5"/>
      <c r="BF3216" s="5"/>
      <c r="BG3216" s="5"/>
      <c r="BH3216" s="5"/>
      <c r="BI3216" s="5"/>
      <c r="BJ3216" s="5"/>
      <c r="BK3216" s="5"/>
      <c r="BL3216" s="5"/>
      <c r="BM3216" s="5"/>
      <c r="BN3216" s="5"/>
      <c r="BO3216" s="5"/>
      <c r="BP3216" s="5"/>
    </row>
    <row r="3217" spans="35:68" x14ac:dyDescent="0.25">
      <c r="AI3217" s="49"/>
      <c r="AJ3217" s="78"/>
      <c r="AK3217" s="79"/>
      <c r="AL3217" s="79"/>
      <c r="AM3217" s="79"/>
      <c r="AN3217" s="79"/>
      <c r="AO3217" s="79"/>
      <c r="AP3217" s="79"/>
      <c r="AQ3217" s="79"/>
      <c r="AR3217" s="78"/>
      <c r="AS3217" s="78"/>
      <c r="AT3217" s="79"/>
      <c r="AU3217" s="79"/>
      <c r="AV3217" s="79"/>
      <c r="AW3217" s="79"/>
      <c r="AX3217" s="79"/>
      <c r="AZ3217" s="81"/>
      <c r="BB3217" s="5"/>
      <c r="BC3217" s="5"/>
      <c r="BD3217" s="5"/>
      <c r="BE3217" s="5"/>
      <c r="BF3217" s="5"/>
      <c r="BG3217" s="5"/>
      <c r="BH3217" s="5"/>
      <c r="BI3217" s="5"/>
      <c r="BJ3217" s="5"/>
      <c r="BK3217" s="5"/>
      <c r="BL3217" s="5"/>
      <c r="BM3217" s="5"/>
      <c r="BN3217" s="5"/>
      <c r="BO3217" s="5"/>
      <c r="BP3217" s="5"/>
    </row>
    <row r="3218" spans="35:68" x14ac:dyDescent="0.25">
      <c r="AI3218" s="49"/>
      <c r="AJ3218" s="78"/>
      <c r="AK3218" s="79"/>
      <c r="AL3218" s="79"/>
      <c r="AM3218" s="79"/>
      <c r="AN3218" s="79"/>
      <c r="AO3218" s="79"/>
      <c r="AP3218" s="79"/>
      <c r="AQ3218" s="79"/>
      <c r="AR3218" s="78"/>
      <c r="AS3218" s="78"/>
      <c r="AT3218" s="79"/>
      <c r="AU3218" s="79"/>
      <c r="AV3218" s="79"/>
      <c r="AW3218" s="79"/>
      <c r="AX3218" s="79"/>
      <c r="AZ3218" s="81"/>
      <c r="BB3218" s="5"/>
      <c r="BC3218" s="5"/>
      <c r="BD3218" s="5"/>
      <c r="BE3218" s="5"/>
      <c r="BF3218" s="5"/>
      <c r="BG3218" s="5"/>
      <c r="BH3218" s="5"/>
      <c r="BI3218" s="5"/>
      <c r="BJ3218" s="5"/>
      <c r="BK3218" s="5"/>
      <c r="BL3218" s="5"/>
      <c r="BM3218" s="5"/>
      <c r="BN3218" s="5"/>
      <c r="BO3218" s="5"/>
      <c r="BP3218" s="5"/>
    </row>
    <row r="3219" spans="35:68" x14ac:dyDescent="0.25">
      <c r="AI3219" s="49"/>
      <c r="AJ3219" s="78"/>
      <c r="AK3219" s="79"/>
      <c r="AL3219" s="79"/>
      <c r="AM3219" s="79"/>
      <c r="AN3219" s="79"/>
      <c r="AO3219" s="79"/>
      <c r="AP3219" s="79"/>
      <c r="AQ3219" s="79"/>
      <c r="AR3219" s="78"/>
      <c r="AS3219" s="78"/>
      <c r="AT3219" s="79"/>
      <c r="AU3219" s="79"/>
      <c r="AV3219" s="79"/>
      <c r="AW3219" s="79"/>
      <c r="AX3219" s="79"/>
      <c r="AZ3219" s="81"/>
      <c r="BB3219" s="5"/>
      <c r="BC3219" s="5"/>
      <c r="BD3219" s="5"/>
      <c r="BE3219" s="5"/>
      <c r="BF3219" s="5"/>
      <c r="BG3219" s="5"/>
      <c r="BH3219" s="5"/>
      <c r="BI3219" s="5"/>
      <c r="BJ3219" s="5"/>
      <c r="BK3219" s="5"/>
      <c r="BL3219" s="5"/>
      <c r="BM3219" s="5"/>
      <c r="BN3219" s="5"/>
      <c r="BO3219" s="5"/>
      <c r="BP3219" s="5"/>
    </row>
    <row r="3220" spans="35:68" x14ac:dyDescent="0.25">
      <c r="AI3220" s="49"/>
      <c r="AJ3220" s="78"/>
      <c r="AK3220" s="79"/>
      <c r="AL3220" s="79"/>
      <c r="AM3220" s="79"/>
      <c r="AN3220" s="79"/>
      <c r="AO3220" s="79"/>
      <c r="AP3220" s="79"/>
      <c r="AQ3220" s="79"/>
      <c r="AR3220" s="78"/>
      <c r="AS3220" s="78"/>
      <c r="AT3220" s="79"/>
      <c r="AU3220" s="79"/>
      <c r="AV3220" s="79"/>
      <c r="AW3220" s="79"/>
      <c r="AX3220" s="79"/>
      <c r="AZ3220" s="81"/>
      <c r="BB3220" s="5"/>
      <c r="BC3220" s="5"/>
      <c r="BD3220" s="5"/>
      <c r="BE3220" s="5"/>
      <c r="BF3220" s="5"/>
      <c r="BG3220" s="5"/>
      <c r="BH3220" s="5"/>
      <c r="BI3220" s="5"/>
      <c r="BJ3220" s="5"/>
      <c r="BK3220" s="5"/>
      <c r="BL3220" s="5"/>
      <c r="BM3220" s="5"/>
      <c r="BN3220" s="5"/>
      <c r="BO3220" s="5"/>
      <c r="BP3220" s="5"/>
    </row>
    <row r="3221" spans="35:68" x14ac:dyDescent="0.25">
      <c r="AI3221" s="49"/>
      <c r="AJ3221" s="78"/>
      <c r="AK3221" s="79"/>
      <c r="AL3221" s="79"/>
      <c r="AM3221" s="79"/>
      <c r="AN3221" s="79"/>
      <c r="AO3221" s="79"/>
      <c r="AP3221" s="79"/>
      <c r="AQ3221" s="79"/>
      <c r="AR3221" s="78"/>
      <c r="AS3221" s="78"/>
      <c r="AT3221" s="79"/>
      <c r="AU3221" s="79"/>
      <c r="AV3221" s="79"/>
      <c r="AW3221" s="79"/>
      <c r="AX3221" s="79"/>
      <c r="AZ3221" s="81"/>
      <c r="BB3221" s="5"/>
      <c r="BC3221" s="5"/>
      <c r="BD3221" s="5"/>
      <c r="BE3221" s="5"/>
      <c r="BF3221" s="5"/>
      <c r="BG3221" s="5"/>
      <c r="BH3221" s="5"/>
      <c r="BI3221" s="5"/>
      <c r="BJ3221" s="5"/>
      <c r="BK3221" s="5"/>
      <c r="BL3221" s="5"/>
      <c r="BM3221" s="5"/>
      <c r="BN3221" s="5"/>
      <c r="BO3221" s="5"/>
      <c r="BP3221" s="5"/>
    </row>
    <row r="3222" spans="35:68" x14ac:dyDescent="0.25">
      <c r="AI3222" s="49"/>
      <c r="AJ3222" s="78"/>
      <c r="AK3222" s="79"/>
      <c r="AL3222" s="79"/>
      <c r="AM3222" s="79"/>
      <c r="AN3222" s="79"/>
      <c r="AO3222" s="79"/>
      <c r="AP3222" s="79"/>
      <c r="AQ3222" s="79"/>
      <c r="AR3222" s="78"/>
      <c r="AS3222" s="78"/>
      <c r="AT3222" s="79"/>
      <c r="AU3222" s="79"/>
      <c r="AV3222" s="79"/>
      <c r="AW3222" s="79"/>
      <c r="AX3222" s="79"/>
      <c r="AZ3222" s="81"/>
      <c r="BB3222" s="5"/>
      <c r="BC3222" s="5"/>
      <c r="BD3222" s="5"/>
      <c r="BE3222" s="5"/>
      <c r="BF3222" s="5"/>
      <c r="BG3222" s="5"/>
      <c r="BH3222" s="5"/>
      <c r="BI3222" s="5"/>
      <c r="BJ3222" s="5"/>
      <c r="BK3222" s="5"/>
      <c r="BL3222" s="5"/>
      <c r="BM3222" s="5"/>
      <c r="BN3222" s="5"/>
      <c r="BO3222" s="5"/>
      <c r="BP3222" s="5"/>
    </row>
    <row r="3223" spans="35:68" x14ac:dyDescent="0.25">
      <c r="AI3223" s="49"/>
      <c r="AJ3223" s="78"/>
      <c r="AK3223" s="79"/>
      <c r="AL3223" s="79"/>
      <c r="AM3223" s="79"/>
      <c r="AN3223" s="79"/>
      <c r="AO3223" s="79"/>
      <c r="AP3223" s="79"/>
      <c r="AQ3223" s="79"/>
      <c r="AR3223" s="78"/>
      <c r="AS3223" s="78"/>
      <c r="AT3223" s="79"/>
      <c r="AU3223" s="79"/>
      <c r="AV3223" s="79"/>
      <c r="AW3223" s="79"/>
      <c r="AX3223" s="79"/>
      <c r="AZ3223" s="81"/>
      <c r="BB3223" s="5"/>
      <c r="BC3223" s="5"/>
      <c r="BD3223" s="5"/>
      <c r="BE3223" s="5"/>
      <c r="BF3223" s="5"/>
      <c r="BG3223" s="5"/>
      <c r="BH3223" s="5"/>
      <c r="BI3223" s="5"/>
      <c r="BJ3223" s="5"/>
      <c r="BK3223" s="5"/>
      <c r="BL3223" s="5"/>
      <c r="BM3223" s="5"/>
      <c r="BN3223" s="5"/>
      <c r="BO3223" s="5"/>
      <c r="BP3223" s="5"/>
    </row>
    <row r="3224" spans="35:68" x14ac:dyDescent="0.25">
      <c r="AI3224" s="49"/>
      <c r="AJ3224" s="78"/>
      <c r="AK3224" s="79"/>
      <c r="AL3224" s="79"/>
      <c r="AM3224" s="79"/>
      <c r="AN3224" s="79"/>
      <c r="AO3224" s="79"/>
      <c r="AP3224" s="79"/>
      <c r="AQ3224" s="79"/>
      <c r="AR3224" s="78"/>
      <c r="AS3224" s="78"/>
      <c r="AT3224" s="79"/>
      <c r="AU3224" s="79"/>
      <c r="AV3224" s="79"/>
      <c r="AW3224" s="79"/>
      <c r="AX3224" s="79"/>
      <c r="AZ3224" s="81"/>
      <c r="BB3224" s="5"/>
      <c r="BC3224" s="5"/>
      <c r="BD3224" s="5"/>
      <c r="BE3224" s="5"/>
      <c r="BF3224" s="5"/>
      <c r="BG3224" s="5"/>
      <c r="BH3224" s="5"/>
      <c r="BI3224" s="5"/>
      <c r="BJ3224" s="5"/>
      <c r="BK3224" s="5"/>
      <c r="BL3224" s="5"/>
      <c r="BM3224" s="5"/>
      <c r="BN3224" s="5"/>
      <c r="BO3224" s="5"/>
      <c r="BP3224" s="5"/>
    </row>
    <row r="3225" spans="35:68" x14ac:dyDescent="0.25">
      <c r="AI3225" s="49"/>
      <c r="AJ3225" s="78"/>
      <c r="AK3225" s="79"/>
      <c r="AL3225" s="79"/>
      <c r="AM3225" s="79"/>
      <c r="AN3225" s="79"/>
      <c r="AO3225" s="79"/>
      <c r="AP3225" s="79"/>
      <c r="AQ3225" s="79"/>
      <c r="AR3225" s="78"/>
      <c r="AS3225" s="78"/>
      <c r="AT3225" s="79"/>
      <c r="AU3225" s="79"/>
      <c r="AV3225" s="79"/>
      <c r="AW3225" s="79"/>
      <c r="AX3225" s="79"/>
      <c r="AZ3225" s="81"/>
      <c r="BB3225" s="5"/>
      <c r="BC3225" s="5"/>
      <c r="BD3225" s="5"/>
      <c r="BE3225" s="5"/>
      <c r="BF3225" s="5"/>
      <c r="BG3225" s="5"/>
      <c r="BH3225" s="5"/>
      <c r="BI3225" s="5"/>
      <c r="BJ3225" s="5"/>
      <c r="BK3225" s="5"/>
      <c r="BL3225" s="5"/>
      <c r="BM3225" s="5"/>
      <c r="BN3225" s="5"/>
      <c r="BO3225" s="5"/>
      <c r="BP3225" s="5"/>
    </row>
    <row r="3226" spans="35:68" x14ac:dyDescent="0.25">
      <c r="AI3226" s="49"/>
      <c r="AJ3226" s="78"/>
      <c r="AK3226" s="79"/>
      <c r="AL3226" s="79"/>
      <c r="AM3226" s="79"/>
      <c r="AN3226" s="79"/>
      <c r="AO3226" s="79"/>
      <c r="AP3226" s="79"/>
      <c r="AQ3226" s="79"/>
      <c r="AR3226" s="78"/>
      <c r="AS3226" s="78"/>
      <c r="AT3226" s="79"/>
      <c r="AU3226" s="79"/>
      <c r="AV3226" s="79"/>
      <c r="AW3226" s="79"/>
      <c r="AX3226" s="79"/>
      <c r="AZ3226" s="81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</row>
    <row r="3227" spans="35:68" x14ac:dyDescent="0.25">
      <c r="AI3227" s="49"/>
      <c r="AJ3227" s="78"/>
      <c r="AK3227" s="79"/>
      <c r="AL3227" s="79"/>
      <c r="AM3227" s="79"/>
      <c r="AN3227" s="79"/>
      <c r="AO3227" s="79"/>
      <c r="AP3227" s="79"/>
      <c r="AQ3227" s="79"/>
      <c r="AR3227" s="78"/>
      <c r="AS3227" s="78"/>
      <c r="AT3227" s="79"/>
      <c r="AU3227" s="79"/>
      <c r="AV3227" s="79"/>
      <c r="AW3227" s="79"/>
      <c r="AX3227" s="79"/>
      <c r="AZ3227" s="81"/>
      <c r="BB3227" s="5"/>
      <c r="BC3227" s="5"/>
      <c r="BD3227" s="5"/>
      <c r="BE3227" s="5"/>
      <c r="BF3227" s="5"/>
      <c r="BG3227" s="5"/>
      <c r="BH3227" s="5"/>
      <c r="BI3227" s="5"/>
      <c r="BJ3227" s="5"/>
      <c r="BK3227" s="5"/>
      <c r="BL3227" s="5"/>
      <c r="BM3227" s="5"/>
      <c r="BN3227" s="5"/>
      <c r="BO3227" s="5"/>
      <c r="BP3227" s="5"/>
    </row>
    <row r="3228" spans="35:68" x14ac:dyDescent="0.25">
      <c r="AI3228" s="49"/>
      <c r="AJ3228" s="78"/>
      <c r="AK3228" s="79"/>
      <c r="AL3228" s="79"/>
      <c r="AM3228" s="79"/>
      <c r="AN3228" s="79"/>
      <c r="AO3228" s="79"/>
      <c r="AP3228" s="79"/>
      <c r="AQ3228" s="79"/>
      <c r="AR3228" s="78"/>
      <c r="AS3228" s="78"/>
      <c r="AT3228" s="79"/>
      <c r="AU3228" s="79"/>
      <c r="AV3228" s="79"/>
      <c r="AW3228" s="79"/>
      <c r="AX3228" s="79"/>
      <c r="AZ3228" s="81"/>
      <c r="BB3228" s="5"/>
      <c r="BC3228" s="5"/>
      <c r="BD3228" s="5"/>
      <c r="BE3228" s="5"/>
      <c r="BF3228" s="5"/>
      <c r="BG3228" s="5"/>
      <c r="BH3228" s="5"/>
      <c r="BI3228" s="5"/>
      <c r="BJ3228" s="5"/>
      <c r="BK3228" s="5"/>
      <c r="BL3228" s="5"/>
      <c r="BM3228" s="5"/>
      <c r="BN3228" s="5"/>
      <c r="BO3228" s="5"/>
      <c r="BP3228" s="5"/>
    </row>
    <row r="3229" spans="35:68" x14ac:dyDescent="0.25">
      <c r="AI3229" s="49"/>
      <c r="AJ3229" s="78"/>
      <c r="AK3229" s="79"/>
      <c r="AL3229" s="79"/>
      <c r="AM3229" s="79"/>
      <c r="AN3229" s="79"/>
      <c r="AO3229" s="79"/>
      <c r="AP3229" s="79"/>
      <c r="AQ3229" s="79"/>
      <c r="AR3229" s="78"/>
      <c r="AS3229" s="78"/>
      <c r="AT3229" s="79"/>
      <c r="AU3229" s="79"/>
      <c r="AV3229" s="79"/>
      <c r="AW3229" s="79"/>
      <c r="AX3229" s="79"/>
      <c r="AZ3229" s="81"/>
      <c r="BB3229" s="5"/>
      <c r="BC3229" s="5"/>
      <c r="BD3229" s="5"/>
      <c r="BE3229" s="5"/>
      <c r="BF3229" s="5"/>
      <c r="BG3229" s="5"/>
      <c r="BH3229" s="5"/>
      <c r="BI3229" s="5"/>
      <c r="BJ3229" s="5"/>
      <c r="BK3229" s="5"/>
      <c r="BL3229" s="5"/>
      <c r="BM3229" s="5"/>
      <c r="BN3229" s="5"/>
      <c r="BO3229" s="5"/>
      <c r="BP3229" s="5"/>
    </row>
    <row r="3230" spans="35:68" x14ac:dyDescent="0.25">
      <c r="AI3230" s="49"/>
      <c r="AJ3230" s="78"/>
      <c r="AK3230" s="79"/>
      <c r="AL3230" s="79"/>
      <c r="AM3230" s="79"/>
      <c r="AN3230" s="79"/>
      <c r="AO3230" s="79"/>
      <c r="AP3230" s="79"/>
      <c r="AQ3230" s="79"/>
      <c r="AR3230" s="78"/>
      <c r="AS3230" s="78"/>
      <c r="AT3230" s="79"/>
      <c r="AU3230" s="79"/>
      <c r="AV3230" s="79"/>
      <c r="AW3230" s="79"/>
      <c r="AX3230" s="79"/>
      <c r="AZ3230" s="81"/>
      <c r="BB3230" s="5"/>
      <c r="BC3230" s="5"/>
      <c r="BD3230" s="5"/>
      <c r="BE3230" s="5"/>
      <c r="BF3230" s="5"/>
      <c r="BG3230" s="5"/>
      <c r="BH3230" s="5"/>
      <c r="BI3230" s="5"/>
      <c r="BJ3230" s="5"/>
      <c r="BK3230" s="5"/>
      <c r="BL3230" s="5"/>
      <c r="BM3230" s="5"/>
      <c r="BN3230" s="5"/>
      <c r="BO3230" s="5"/>
      <c r="BP3230" s="5"/>
    </row>
    <row r="3231" spans="35:68" x14ac:dyDescent="0.25">
      <c r="AI3231" s="49"/>
      <c r="AJ3231" s="78"/>
      <c r="AK3231" s="79"/>
      <c r="AL3231" s="79"/>
      <c r="AM3231" s="79"/>
      <c r="AN3231" s="79"/>
      <c r="AO3231" s="79"/>
      <c r="AP3231" s="79"/>
      <c r="AQ3231" s="79"/>
      <c r="AR3231" s="78"/>
      <c r="AS3231" s="78"/>
      <c r="AT3231" s="79"/>
      <c r="AU3231" s="79"/>
      <c r="AV3231" s="79"/>
      <c r="AW3231" s="79"/>
      <c r="AX3231" s="79"/>
      <c r="AZ3231" s="81"/>
      <c r="BB3231" s="5"/>
      <c r="BC3231" s="5"/>
      <c r="BD3231" s="5"/>
      <c r="BE3231" s="5"/>
      <c r="BF3231" s="5"/>
      <c r="BG3231" s="5"/>
      <c r="BH3231" s="5"/>
      <c r="BI3231" s="5"/>
      <c r="BJ3231" s="5"/>
      <c r="BK3231" s="5"/>
      <c r="BL3231" s="5"/>
      <c r="BM3231" s="5"/>
      <c r="BN3231" s="5"/>
      <c r="BO3231" s="5"/>
      <c r="BP3231" s="5"/>
    </row>
    <row r="3232" spans="35:68" x14ac:dyDescent="0.25">
      <c r="AI3232" s="49"/>
      <c r="AJ3232" s="78"/>
      <c r="AK3232" s="79"/>
      <c r="AL3232" s="79"/>
      <c r="AM3232" s="79"/>
      <c r="AN3232" s="79"/>
      <c r="AO3232" s="79"/>
      <c r="AP3232" s="79"/>
      <c r="AQ3232" s="79"/>
      <c r="AR3232" s="78"/>
      <c r="AS3232" s="78"/>
      <c r="AT3232" s="79"/>
      <c r="AU3232" s="79"/>
      <c r="AV3232" s="79"/>
      <c r="AW3232" s="79"/>
      <c r="AX3232" s="79"/>
      <c r="AZ3232" s="81"/>
      <c r="BB3232" s="5"/>
      <c r="BC3232" s="5"/>
      <c r="BD3232" s="5"/>
      <c r="BE3232" s="5"/>
      <c r="BF3232" s="5"/>
      <c r="BG3232" s="5"/>
      <c r="BH3232" s="5"/>
      <c r="BI3232" s="5"/>
      <c r="BJ3232" s="5"/>
      <c r="BK3232" s="5"/>
      <c r="BL3232" s="5"/>
      <c r="BM3232" s="5"/>
      <c r="BN3232" s="5"/>
      <c r="BO3232" s="5"/>
      <c r="BP3232" s="5"/>
    </row>
    <row r="3233" spans="35:68" x14ac:dyDescent="0.25">
      <c r="AI3233" s="49"/>
      <c r="AJ3233" s="78"/>
      <c r="AK3233" s="79"/>
      <c r="AL3233" s="79"/>
      <c r="AM3233" s="79"/>
      <c r="AN3233" s="79"/>
      <c r="AO3233" s="79"/>
      <c r="AP3233" s="79"/>
      <c r="AQ3233" s="79"/>
      <c r="AR3233" s="78"/>
      <c r="AS3233" s="78"/>
      <c r="AT3233" s="79"/>
      <c r="AU3233" s="79"/>
      <c r="AV3233" s="79"/>
      <c r="AW3233" s="79"/>
      <c r="AX3233" s="79"/>
      <c r="AZ3233" s="81"/>
      <c r="BB3233" s="5"/>
      <c r="BC3233" s="5"/>
      <c r="BD3233" s="5"/>
      <c r="BE3233" s="5"/>
      <c r="BF3233" s="5"/>
      <c r="BG3233" s="5"/>
      <c r="BH3233" s="5"/>
      <c r="BI3233" s="5"/>
      <c r="BJ3233" s="5"/>
      <c r="BK3233" s="5"/>
      <c r="BL3233" s="5"/>
      <c r="BM3233" s="5"/>
      <c r="BN3233" s="5"/>
      <c r="BO3233" s="5"/>
      <c r="BP3233" s="5"/>
    </row>
    <row r="3234" spans="35:68" x14ac:dyDescent="0.25">
      <c r="AI3234" s="49"/>
      <c r="AJ3234" s="78"/>
      <c r="AK3234" s="79"/>
      <c r="AL3234" s="79"/>
      <c r="AM3234" s="79"/>
      <c r="AN3234" s="79"/>
      <c r="AO3234" s="79"/>
      <c r="AP3234" s="79"/>
      <c r="AQ3234" s="79"/>
      <c r="AR3234" s="78"/>
      <c r="AS3234" s="78"/>
      <c r="AT3234" s="79"/>
      <c r="AU3234" s="79"/>
      <c r="AV3234" s="79"/>
      <c r="AW3234" s="79"/>
      <c r="AX3234" s="79"/>
      <c r="AZ3234" s="81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</row>
    <row r="3235" spans="35:68" x14ac:dyDescent="0.25">
      <c r="AI3235" s="49"/>
      <c r="AJ3235" s="78"/>
      <c r="AK3235" s="79"/>
      <c r="AL3235" s="79"/>
      <c r="AM3235" s="79"/>
      <c r="AN3235" s="79"/>
      <c r="AO3235" s="79"/>
      <c r="AP3235" s="79"/>
      <c r="AQ3235" s="79"/>
      <c r="AR3235" s="78"/>
      <c r="AS3235" s="78"/>
      <c r="AT3235" s="79"/>
      <c r="AU3235" s="79"/>
      <c r="AV3235" s="79"/>
      <c r="AW3235" s="79"/>
      <c r="AX3235" s="79"/>
      <c r="AZ3235" s="81"/>
      <c r="BB3235" s="5"/>
      <c r="BC3235" s="5"/>
      <c r="BD3235" s="5"/>
      <c r="BE3235" s="5"/>
      <c r="BF3235" s="5"/>
      <c r="BG3235" s="5"/>
      <c r="BH3235" s="5"/>
      <c r="BI3235" s="5"/>
      <c r="BJ3235" s="5"/>
      <c r="BK3235" s="5"/>
      <c r="BL3235" s="5"/>
      <c r="BM3235" s="5"/>
      <c r="BN3235" s="5"/>
      <c r="BO3235" s="5"/>
      <c r="BP3235" s="5"/>
    </row>
    <row r="3236" spans="35:68" x14ac:dyDescent="0.25">
      <c r="AI3236" s="49"/>
      <c r="AJ3236" s="78"/>
      <c r="AK3236" s="79"/>
      <c r="AL3236" s="79"/>
      <c r="AM3236" s="79"/>
      <c r="AN3236" s="79"/>
      <c r="AO3236" s="79"/>
      <c r="AP3236" s="79"/>
      <c r="AQ3236" s="79"/>
      <c r="AR3236" s="78"/>
      <c r="AS3236" s="78"/>
      <c r="AT3236" s="79"/>
      <c r="AU3236" s="79"/>
      <c r="AV3236" s="79"/>
      <c r="AW3236" s="79"/>
      <c r="AX3236" s="79"/>
      <c r="AZ3236" s="81"/>
      <c r="BB3236" s="5"/>
      <c r="BC3236" s="5"/>
      <c r="BD3236" s="5"/>
      <c r="BE3236" s="5"/>
      <c r="BF3236" s="5"/>
      <c r="BG3236" s="5"/>
      <c r="BH3236" s="5"/>
      <c r="BI3236" s="5"/>
      <c r="BJ3236" s="5"/>
      <c r="BK3236" s="5"/>
      <c r="BL3236" s="5"/>
      <c r="BM3236" s="5"/>
      <c r="BN3236" s="5"/>
      <c r="BO3236" s="5"/>
      <c r="BP3236" s="5"/>
    </row>
    <row r="3237" spans="35:68" x14ac:dyDescent="0.25">
      <c r="AI3237" s="49"/>
      <c r="AJ3237" s="78"/>
      <c r="AK3237" s="79"/>
      <c r="AL3237" s="79"/>
      <c r="AM3237" s="79"/>
      <c r="AN3237" s="79"/>
      <c r="AO3237" s="79"/>
      <c r="AP3237" s="79"/>
      <c r="AQ3237" s="79"/>
      <c r="AR3237" s="78"/>
      <c r="AS3237" s="78"/>
      <c r="AT3237" s="79"/>
      <c r="AU3237" s="79"/>
      <c r="AV3237" s="79"/>
      <c r="AW3237" s="79"/>
      <c r="AX3237" s="79"/>
      <c r="AZ3237" s="81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</row>
    <row r="3238" spans="35:68" x14ac:dyDescent="0.25">
      <c r="AI3238" s="49"/>
      <c r="AJ3238" s="78"/>
      <c r="AK3238" s="79"/>
      <c r="AL3238" s="79"/>
      <c r="AM3238" s="79"/>
      <c r="AN3238" s="79"/>
      <c r="AO3238" s="79"/>
      <c r="AP3238" s="79"/>
      <c r="AQ3238" s="79"/>
      <c r="AR3238" s="78"/>
      <c r="AS3238" s="78"/>
      <c r="AT3238" s="79"/>
      <c r="AU3238" s="79"/>
      <c r="AV3238" s="79"/>
      <c r="AW3238" s="79"/>
      <c r="AX3238" s="79"/>
      <c r="AZ3238" s="81"/>
      <c r="BB3238" s="5"/>
      <c r="BC3238" s="5"/>
      <c r="BD3238" s="5"/>
      <c r="BE3238" s="5"/>
      <c r="BF3238" s="5"/>
      <c r="BG3238" s="5"/>
      <c r="BH3238" s="5"/>
      <c r="BI3238" s="5"/>
      <c r="BJ3238" s="5"/>
      <c r="BK3238" s="5"/>
      <c r="BL3238" s="5"/>
      <c r="BM3238" s="5"/>
      <c r="BN3238" s="5"/>
      <c r="BO3238" s="5"/>
      <c r="BP3238" s="5"/>
    </row>
    <row r="3239" spans="35:68" x14ac:dyDescent="0.25">
      <c r="AI3239" s="49"/>
      <c r="AJ3239" s="78"/>
      <c r="AK3239" s="79"/>
      <c r="AL3239" s="79"/>
      <c r="AM3239" s="79"/>
      <c r="AN3239" s="79"/>
      <c r="AO3239" s="79"/>
      <c r="AP3239" s="79"/>
      <c r="AQ3239" s="79"/>
      <c r="AR3239" s="78"/>
      <c r="AS3239" s="78"/>
      <c r="AT3239" s="79"/>
      <c r="AU3239" s="79"/>
      <c r="AV3239" s="79"/>
      <c r="AW3239" s="79"/>
      <c r="AX3239" s="79"/>
      <c r="AZ3239" s="81"/>
      <c r="BB3239" s="5"/>
      <c r="BC3239" s="5"/>
      <c r="BD3239" s="5"/>
      <c r="BE3239" s="5"/>
      <c r="BF3239" s="5"/>
      <c r="BG3239" s="5"/>
      <c r="BH3239" s="5"/>
      <c r="BI3239" s="5"/>
      <c r="BJ3239" s="5"/>
      <c r="BK3239" s="5"/>
      <c r="BL3239" s="5"/>
      <c r="BM3239" s="5"/>
      <c r="BN3239" s="5"/>
      <c r="BO3239" s="5"/>
      <c r="BP3239" s="5"/>
    </row>
    <row r="3240" spans="35:68" x14ac:dyDescent="0.25">
      <c r="AI3240" s="49"/>
      <c r="AJ3240" s="78"/>
      <c r="AK3240" s="79"/>
      <c r="AL3240" s="79"/>
      <c r="AM3240" s="79"/>
      <c r="AN3240" s="79"/>
      <c r="AO3240" s="79"/>
      <c r="AP3240" s="79"/>
      <c r="AQ3240" s="79"/>
      <c r="AR3240" s="78"/>
      <c r="AS3240" s="78"/>
      <c r="AT3240" s="79"/>
      <c r="AU3240" s="79"/>
      <c r="AV3240" s="79"/>
      <c r="AW3240" s="79"/>
      <c r="AX3240" s="79"/>
      <c r="AZ3240" s="81"/>
      <c r="BB3240" s="5"/>
      <c r="BC3240" s="5"/>
      <c r="BD3240" s="5"/>
      <c r="BE3240" s="5"/>
      <c r="BF3240" s="5"/>
      <c r="BG3240" s="5"/>
      <c r="BH3240" s="5"/>
      <c r="BI3240" s="5"/>
      <c r="BJ3240" s="5"/>
      <c r="BK3240" s="5"/>
      <c r="BL3240" s="5"/>
      <c r="BM3240" s="5"/>
      <c r="BN3240" s="5"/>
      <c r="BO3240" s="5"/>
      <c r="BP3240" s="5"/>
    </row>
    <row r="3241" spans="35:68" x14ac:dyDescent="0.25">
      <c r="AI3241" s="49"/>
      <c r="AJ3241" s="78"/>
      <c r="AK3241" s="79"/>
      <c r="AL3241" s="79"/>
      <c r="AM3241" s="79"/>
      <c r="AN3241" s="79"/>
      <c r="AO3241" s="79"/>
      <c r="AP3241" s="79"/>
      <c r="AQ3241" s="79"/>
      <c r="AR3241" s="78"/>
      <c r="AS3241" s="78"/>
      <c r="AT3241" s="79"/>
      <c r="AU3241" s="79"/>
      <c r="AV3241" s="79"/>
      <c r="AW3241" s="79"/>
      <c r="AX3241" s="79"/>
      <c r="AZ3241" s="81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</row>
    <row r="3242" spans="35:68" x14ac:dyDescent="0.25">
      <c r="AI3242" s="49"/>
      <c r="AJ3242" s="78"/>
      <c r="AK3242" s="79"/>
      <c r="AL3242" s="79"/>
      <c r="AM3242" s="79"/>
      <c r="AN3242" s="79"/>
      <c r="AO3242" s="79"/>
      <c r="AP3242" s="79"/>
      <c r="AQ3242" s="79"/>
      <c r="AR3242" s="78"/>
      <c r="AS3242" s="78"/>
      <c r="AT3242" s="79"/>
      <c r="AU3242" s="79"/>
      <c r="AV3242" s="79"/>
      <c r="AW3242" s="79"/>
      <c r="AX3242" s="79"/>
      <c r="AZ3242" s="81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</row>
    <row r="3243" spans="35:68" x14ac:dyDescent="0.25">
      <c r="AI3243" s="49"/>
      <c r="AJ3243" s="78"/>
      <c r="AK3243" s="79"/>
      <c r="AL3243" s="79"/>
      <c r="AM3243" s="79"/>
      <c r="AN3243" s="79"/>
      <c r="AO3243" s="79"/>
      <c r="AP3243" s="79"/>
      <c r="AQ3243" s="79"/>
      <c r="AR3243" s="78"/>
      <c r="AS3243" s="78"/>
      <c r="AT3243" s="79"/>
      <c r="AU3243" s="79"/>
      <c r="AV3243" s="79"/>
      <c r="AW3243" s="79"/>
      <c r="AX3243" s="79"/>
      <c r="AZ3243" s="81"/>
      <c r="BB3243" s="5"/>
      <c r="BC3243" s="5"/>
      <c r="BD3243" s="5"/>
      <c r="BE3243" s="5"/>
      <c r="BF3243" s="5"/>
      <c r="BG3243" s="5"/>
      <c r="BH3243" s="5"/>
      <c r="BI3243" s="5"/>
      <c r="BJ3243" s="5"/>
      <c r="BK3243" s="5"/>
      <c r="BL3243" s="5"/>
      <c r="BM3243" s="5"/>
      <c r="BN3243" s="5"/>
      <c r="BO3243" s="5"/>
      <c r="BP3243" s="5"/>
    </row>
    <row r="3244" spans="35:68" x14ac:dyDescent="0.25">
      <c r="AI3244" s="49"/>
      <c r="AJ3244" s="78"/>
      <c r="AK3244" s="79"/>
      <c r="AL3244" s="79"/>
      <c r="AM3244" s="79"/>
      <c r="AN3244" s="79"/>
      <c r="AO3244" s="79"/>
      <c r="AP3244" s="79"/>
      <c r="AQ3244" s="79"/>
      <c r="AR3244" s="78"/>
      <c r="AS3244" s="78"/>
      <c r="AT3244" s="79"/>
      <c r="AU3244" s="79"/>
      <c r="AV3244" s="79"/>
      <c r="AW3244" s="79"/>
      <c r="AX3244" s="79"/>
      <c r="AZ3244" s="81"/>
      <c r="BB3244" s="5"/>
      <c r="BC3244" s="5"/>
      <c r="BD3244" s="5"/>
      <c r="BE3244" s="5"/>
      <c r="BF3244" s="5"/>
      <c r="BG3244" s="5"/>
      <c r="BH3244" s="5"/>
      <c r="BI3244" s="5"/>
      <c r="BJ3244" s="5"/>
      <c r="BK3244" s="5"/>
      <c r="BL3244" s="5"/>
      <c r="BM3244" s="5"/>
      <c r="BN3244" s="5"/>
      <c r="BO3244" s="5"/>
      <c r="BP3244" s="5"/>
    </row>
    <row r="3245" spans="35:68" x14ac:dyDescent="0.25">
      <c r="AI3245" s="49"/>
      <c r="AJ3245" s="78"/>
      <c r="AK3245" s="79"/>
      <c r="AL3245" s="79"/>
      <c r="AM3245" s="79"/>
      <c r="AN3245" s="79"/>
      <c r="AO3245" s="79"/>
      <c r="AP3245" s="79"/>
      <c r="AQ3245" s="79"/>
      <c r="AR3245" s="78"/>
      <c r="AS3245" s="78"/>
      <c r="AT3245" s="79"/>
      <c r="AU3245" s="79"/>
      <c r="AV3245" s="79"/>
      <c r="AW3245" s="79"/>
      <c r="AX3245" s="79"/>
      <c r="AZ3245" s="81"/>
      <c r="BB3245" s="5"/>
      <c r="BC3245" s="5"/>
      <c r="BD3245" s="5"/>
      <c r="BE3245" s="5"/>
      <c r="BF3245" s="5"/>
      <c r="BG3245" s="5"/>
      <c r="BH3245" s="5"/>
      <c r="BI3245" s="5"/>
      <c r="BJ3245" s="5"/>
      <c r="BK3245" s="5"/>
      <c r="BL3245" s="5"/>
      <c r="BM3245" s="5"/>
      <c r="BN3245" s="5"/>
      <c r="BO3245" s="5"/>
      <c r="BP3245" s="5"/>
    </row>
    <row r="3246" spans="35:68" x14ac:dyDescent="0.25">
      <c r="AI3246" s="49"/>
      <c r="AJ3246" s="78"/>
      <c r="AK3246" s="79"/>
      <c r="AL3246" s="79"/>
      <c r="AM3246" s="79"/>
      <c r="AN3246" s="79"/>
      <c r="AO3246" s="79"/>
      <c r="AP3246" s="79"/>
      <c r="AQ3246" s="79"/>
      <c r="AR3246" s="78"/>
      <c r="AS3246" s="78"/>
      <c r="AT3246" s="79"/>
      <c r="AU3246" s="79"/>
      <c r="AV3246" s="79"/>
      <c r="AW3246" s="79"/>
      <c r="AX3246" s="79"/>
      <c r="AZ3246" s="81"/>
      <c r="BB3246" s="5"/>
      <c r="BC3246" s="5"/>
      <c r="BD3246" s="5"/>
      <c r="BE3246" s="5"/>
      <c r="BF3246" s="5"/>
      <c r="BG3246" s="5"/>
      <c r="BH3246" s="5"/>
      <c r="BI3246" s="5"/>
      <c r="BJ3246" s="5"/>
      <c r="BK3246" s="5"/>
      <c r="BL3246" s="5"/>
      <c r="BM3246" s="5"/>
      <c r="BN3246" s="5"/>
      <c r="BO3246" s="5"/>
      <c r="BP3246" s="5"/>
    </row>
    <row r="3247" spans="35:68" x14ac:dyDescent="0.25">
      <c r="AI3247" s="49"/>
      <c r="AJ3247" s="78"/>
      <c r="AK3247" s="79"/>
      <c r="AL3247" s="79"/>
      <c r="AM3247" s="79"/>
      <c r="AN3247" s="79"/>
      <c r="AO3247" s="79"/>
      <c r="AP3247" s="79"/>
      <c r="AQ3247" s="79"/>
      <c r="AR3247" s="78"/>
      <c r="AS3247" s="78"/>
      <c r="AT3247" s="79"/>
      <c r="AU3247" s="79"/>
      <c r="AV3247" s="79"/>
      <c r="AW3247" s="79"/>
      <c r="AX3247" s="79"/>
      <c r="AZ3247" s="81"/>
      <c r="BB3247" s="5"/>
      <c r="BC3247" s="5"/>
      <c r="BD3247" s="5"/>
      <c r="BE3247" s="5"/>
      <c r="BF3247" s="5"/>
      <c r="BG3247" s="5"/>
      <c r="BH3247" s="5"/>
      <c r="BI3247" s="5"/>
      <c r="BJ3247" s="5"/>
      <c r="BK3247" s="5"/>
      <c r="BL3247" s="5"/>
      <c r="BM3247" s="5"/>
      <c r="BN3247" s="5"/>
      <c r="BO3247" s="5"/>
      <c r="BP3247" s="5"/>
    </row>
    <row r="3248" spans="35:68" x14ac:dyDescent="0.25">
      <c r="AI3248" s="49"/>
      <c r="AJ3248" s="78"/>
      <c r="AK3248" s="79"/>
      <c r="AL3248" s="79"/>
      <c r="AM3248" s="79"/>
      <c r="AN3248" s="79"/>
      <c r="AO3248" s="79"/>
      <c r="AP3248" s="79"/>
      <c r="AQ3248" s="79"/>
      <c r="AR3248" s="78"/>
      <c r="AS3248" s="78"/>
      <c r="AT3248" s="79"/>
      <c r="AU3248" s="79"/>
      <c r="AV3248" s="79"/>
      <c r="AW3248" s="79"/>
      <c r="AX3248" s="79"/>
      <c r="AZ3248" s="81"/>
      <c r="BB3248" s="5"/>
      <c r="BC3248" s="5"/>
      <c r="BD3248" s="5"/>
      <c r="BE3248" s="5"/>
      <c r="BF3248" s="5"/>
      <c r="BG3248" s="5"/>
      <c r="BH3248" s="5"/>
      <c r="BI3248" s="5"/>
      <c r="BJ3248" s="5"/>
      <c r="BK3248" s="5"/>
      <c r="BL3248" s="5"/>
      <c r="BM3248" s="5"/>
      <c r="BN3248" s="5"/>
      <c r="BO3248" s="5"/>
      <c r="BP3248" s="5"/>
    </row>
    <row r="3249" spans="35:68" x14ac:dyDescent="0.25">
      <c r="AI3249" s="49"/>
      <c r="AJ3249" s="78"/>
      <c r="AK3249" s="79"/>
      <c r="AL3249" s="79"/>
      <c r="AM3249" s="79"/>
      <c r="AN3249" s="79"/>
      <c r="AO3249" s="79"/>
      <c r="AP3249" s="79"/>
      <c r="AQ3249" s="79"/>
      <c r="AR3249" s="78"/>
      <c r="AS3249" s="78"/>
      <c r="AT3249" s="79"/>
      <c r="AU3249" s="79"/>
      <c r="AV3249" s="79"/>
      <c r="AW3249" s="79"/>
      <c r="AX3249" s="79"/>
      <c r="AZ3249" s="81"/>
      <c r="BB3249" s="5"/>
      <c r="BC3249" s="5"/>
      <c r="BD3249" s="5"/>
      <c r="BE3249" s="5"/>
      <c r="BF3249" s="5"/>
      <c r="BG3249" s="5"/>
      <c r="BH3249" s="5"/>
      <c r="BI3249" s="5"/>
      <c r="BJ3249" s="5"/>
      <c r="BK3249" s="5"/>
      <c r="BL3249" s="5"/>
      <c r="BM3249" s="5"/>
      <c r="BN3249" s="5"/>
      <c r="BO3249" s="5"/>
      <c r="BP3249" s="5"/>
    </row>
    <row r="3250" spans="35:68" x14ac:dyDescent="0.25">
      <c r="AI3250" s="49"/>
      <c r="AJ3250" s="78"/>
      <c r="AK3250" s="79"/>
      <c r="AL3250" s="79"/>
      <c r="AM3250" s="79"/>
      <c r="AN3250" s="79"/>
      <c r="AO3250" s="79"/>
      <c r="AP3250" s="79"/>
      <c r="AQ3250" s="79"/>
      <c r="AR3250" s="78"/>
      <c r="AS3250" s="78"/>
      <c r="AT3250" s="79"/>
      <c r="AU3250" s="79"/>
      <c r="AV3250" s="79"/>
      <c r="AW3250" s="79"/>
      <c r="AX3250" s="79"/>
      <c r="AZ3250" s="81"/>
      <c r="BB3250" s="5"/>
      <c r="BC3250" s="5"/>
      <c r="BD3250" s="5"/>
      <c r="BE3250" s="5"/>
      <c r="BF3250" s="5"/>
      <c r="BG3250" s="5"/>
      <c r="BH3250" s="5"/>
      <c r="BI3250" s="5"/>
      <c r="BJ3250" s="5"/>
      <c r="BK3250" s="5"/>
      <c r="BL3250" s="5"/>
      <c r="BM3250" s="5"/>
      <c r="BN3250" s="5"/>
      <c r="BO3250" s="5"/>
      <c r="BP3250" s="5"/>
    </row>
    <row r="3251" spans="35:68" x14ac:dyDescent="0.25">
      <c r="AI3251" s="49"/>
      <c r="AJ3251" s="78"/>
      <c r="AK3251" s="79"/>
      <c r="AL3251" s="79"/>
      <c r="AM3251" s="79"/>
      <c r="AN3251" s="79"/>
      <c r="AO3251" s="79"/>
      <c r="AP3251" s="79"/>
      <c r="AQ3251" s="79"/>
      <c r="AR3251" s="78"/>
      <c r="AS3251" s="78"/>
      <c r="AT3251" s="79"/>
      <c r="AU3251" s="79"/>
      <c r="AV3251" s="79"/>
      <c r="AW3251" s="79"/>
      <c r="AX3251" s="79"/>
      <c r="AZ3251" s="81"/>
      <c r="BB3251" s="5"/>
      <c r="BC3251" s="5"/>
      <c r="BD3251" s="5"/>
      <c r="BE3251" s="5"/>
      <c r="BF3251" s="5"/>
      <c r="BG3251" s="5"/>
      <c r="BH3251" s="5"/>
      <c r="BI3251" s="5"/>
      <c r="BJ3251" s="5"/>
      <c r="BK3251" s="5"/>
      <c r="BL3251" s="5"/>
      <c r="BM3251" s="5"/>
      <c r="BN3251" s="5"/>
      <c r="BO3251" s="5"/>
      <c r="BP3251" s="5"/>
    </row>
    <row r="3252" spans="35:68" x14ac:dyDescent="0.25">
      <c r="AI3252" s="49"/>
      <c r="AJ3252" s="78"/>
      <c r="AK3252" s="79"/>
      <c r="AL3252" s="79"/>
      <c r="AM3252" s="79"/>
      <c r="AN3252" s="79"/>
      <c r="AO3252" s="79"/>
      <c r="AP3252" s="79"/>
      <c r="AQ3252" s="79"/>
      <c r="AR3252" s="78"/>
      <c r="AS3252" s="78"/>
      <c r="AT3252" s="79"/>
      <c r="AU3252" s="79"/>
      <c r="AV3252" s="79"/>
      <c r="AW3252" s="79"/>
      <c r="AX3252" s="79"/>
      <c r="AZ3252" s="81"/>
      <c r="BB3252" s="5"/>
      <c r="BC3252" s="5"/>
      <c r="BD3252" s="5"/>
      <c r="BE3252" s="5"/>
      <c r="BF3252" s="5"/>
      <c r="BG3252" s="5"/>
      <c r="BH3252" s="5"/>
      <c r="BI3252" s="5"/>
      <c r="BJ3252" s="5"/>
      <c r="BK3252" s="5"/>
      <c r="BL3252" s="5"/>
      <c r="BM3252" s="5"/>
      <c r="BN3252" s="5"/>
      <c r="BO3252" s="5"/>
      <c r="BP3252" s="5"/>
    </row>
    <row r="3253" spans="35:68" x14ac:dyDescent="0.25">
      <c r="AI3253" s="49"/>
      <c r="AJ3253" s="78"/>
      <c r="AK3253" s="79"/>
      <c r="AL3253" s="79"/>
      <c r="AM3253" s="79"/>
      <c r="AN3253" s="79"/>
      <c r="AO3253" s="79"/>
      <c r="AP3253" s="79"/>
      <c r="AQ3253" s="79"/>
      <c r="AR3253" s="78"/>
      <c r="AS3253" s="78"/>
      <c r="AT3253" s="79"/>
      <c r="AU3253" s="79"/>
      <c r="AV3253" s="79"/>
      <c r="AW3253" s="79"/>
      <c r="AX3253" s="79"/>
      <c r="AZ3253" s="81"/>
      <c r="BB3253" s="5"/>
      <c r="BC3253" s="5"/>
      <c r="BD3253" s="5"/>
      <c r="BE3253" s="5"/>
      <c r="BF3253" s="5"/>
      <c r="BG3253" s="5"/>
      <c r="BH3253" s="5"/>
      <c r="BI3253" s="5"/>
      <c r="BJ3253" s="5"/>
      <c r="BK3253" s="5"/>
      <c r="BL3253" s="5"/>
      <c r="BM3253" s="5"/>
      <c r="BN3253" s="5"/>
      <c r="BO3253" s="5"/>
      <c r="BP3253" s="5"/>
    </row>
    <row r="3254" spans="35:68" x14ac:dyDescent="0.25">
      <c r="AI3254" s="49"/>
      <c r="AJ3254" s="78"/>
      <c r="AK3254" s="79"/>
      <c r="AL3254" s="79"/>
      <c r="AM3254" s="79"/>
      <c r="AN3254" s="79"/>
      <c r="AO3254" s="79"/>
      <c r="AP3254" s="79"/>
      <c r="AQ3254" s="79"/>
      <c r="AR3254" s="78"/>
      <c r="AS3254" s="78"/>
      <c r="AT3254" s="79"/>
      <c r="AU3254" s="79"/>
      <c r="AV3254" s="79"/>
      <c r="AW3254" s="79"/>
      <c r="AX3254" s="79"/>
      <c r="AZ3254" s="81"/>
      <c r="BB3254" s="5"/>
      <c r="BC3254" s="5"/>
      <c r="BD3254" s="5"/>
      <c r="BE3254" s="5"/>
      <c r="BF3254" s="5"/>
      <c r="BG3254" s="5"/>
      <c r="BH3254" s="5"/>
      <c r="BI3254" s="5"/>
      <c r="BJ3254" s="5"/>
      <c r="BK3254" s="5"/>
      <c r="BL3254" s="5"/>
      <c r="BM3254" s="5"/>
      <c r="BN3254" s="5"/>
      <c r="BO3254" s="5"/>
      <c r="BP3254" s="5"/>
    </row>
    <row r="3255" spans="35:68" x14ac:dyDescent="0.25">
      <c r="AI3255" s="49"/>
      <c r="AJ3255" s="78"/>
      <c r="AK3255" s="79"/>
      <c r="AL3255" s="79"/>
      <c r="AM3255" s="79"/>
      <c r="AN3255" s="79"/>
      <c r="AO3255" s="79"/>
      <c r="AP3255" s="79"/>
      <c r="AQ3255" s="79"/>
      <c r="AR3255" s="78"/>
      <c r="AS3255" s="78"/>
      <c r="AT3255" s="79"/>
      <c r="AU3255" s="79"/>
      <c r="AV3255" s="79"/>
      <c r="AW3255" s="79"/>
      <c r="AX3255" s="79"/>
      <c r="AZ3255" s="81"/>
      <c r="BB3255" s="5"/>
      <c r="BC3255" s="5"/>
      <c r="BD3255" s="5"/>
      <c r="BE3255" s="5"/>
      <c r="BF3255" s="5"/>
      <c r="BG3255" s="5"/>
      <c r="BH3255" s="5"/>
      <c r="BI3255" s="5"/>
      <c r="BJ3255" s="5"/>
      <c r="BK3255" s="5"/>
      <c r="BL3255" s="5"/>
      <c r="BM3255" s="5"/>
      <c r="BN3255" s="5"/>
      <c r="BO3255" s="5"/>
      <c r="BP3255" s="5"/>
    </row>
    <row r="3256" spans="35:68" x14ac:dyDescent="0.25">
      <c r="AI3256" s="49"/>
      <c r="AJ3256" s="78"/>
      <c r="AK3256" s="79"/>
      <c r="AL3256" s="79"/>
      <c r="AM3256" s="79"/>
      <c r="AN3256" s="79"/>
      <c r="AO3256" s="79"/>
      <c r="AP3256" s="79"/>
      <c r="AQ3256" s="79"/>
      <c r="AR3256" s="78"/>
      <c r="AS3256" s="78"/>
      <c r="AT3256" s="79"/>
      <c r="AU3256" s="79"/>
      <c r="AV3256" s="79"/>
      <c r="AW3256" s="79"/>
      <c r="AX3256" s="79"/>
      <c r="AZ3256" s="81"/>
      <c r="BB3256" s="5"/>
      <c r="BC3256" s="5"/>
      <c r="BD3256" s="5"/>
      <c r="BE3256" s="5"/>
      <c r="BF3256" s="5"/>
      <c r="BG3256" s="5"/>
      <c r="BH3256" s="5"/>
      <c r="BI3256" s="5"/>
      <c r="BJ3256" s="5"/>
      <c r="BK3256" s="5"/>
      <c r="BL3256" s="5"/>
      <c r="BM3256" s="5"/>
      <c r="BN3256" s="5"/>
      <c r="BO3256" s="5"/>
      <c r="BP3256" s="5"/>
    </row>
    <row r="3257" spans="35:68" x14ac:dyDescent="0.25">
      <c r="AI3257" s="49"/>
      <c r="AJ3257" s="78"/>
      <c r="AK3257" s="79"/>
      <c r="AL3257" s="79"/>
      <c r="AM3257" s="79"/>
      <c r="AN3257" s="79"/>
      <c r="AO3257" s="79"/>
      <c r="AP3257" s="79"/>
      <c r="AQ3257" s="79"/>
      <c r="AR3257" s="78"/>
      <c r="AS3257" s="78"/>
      <c r="AT3257" s="79"/>
      <c r="AU3257" s="79"/>
      <c r="AV3257" s="79"/>
      <c r="AW3257" s="79"/>
      <c r="AX3257" s="79"/>
      <c r="AZ3257" s="81"/>
      <c r="BB3257" s="5"/>
      <c r="BC3257" s="5"/>
      <c r="BD3257" s="5"/>
      <c r="BE3257" s="5"/>
      <c r="BF3257" s="5"/>
      <c r="BG3257" s="5"/>
      <c r="BH3257" s="5"/>
      <c r="BI3257" s="5"/>
      <c r="BJ3257" s="5"/>
      <c r="BK3257" s="5"/>
      <c r="BL3257" s="5"/>
      <c r="BM3257" s="5"/>
      <c r="BN3257" s="5"/>
      <c r="BO3257" s="5"/>
      <c r="BP3257" s="5"/>
    </row>
    <row r="3258" spans="35:68" x14ac:dyDescent="0.25">
      <c r="AI3258" s="49"/>
      <c r="AJ3258" s="78"/>
      <c r="AK3258" s="79"/>
      <c r="AL3258" s="79"/>
      <c r="AM3258" s="79"/>
      <c r="AN3258" s="79"/>
      <c r="AO3258" s="79"/>
      <c r="AP3258" s="79"/>
      <c r="AQ3258" s="79"/>
      <c r="AR3258" s="78"/>
      <c r="AS3258" s="78"/>
      <c r="AT3258" s="79"/>
      <c r="AU3258" s="79"/>
      <c r="AV3258" s="79"/>
      <c r="AW3258" s="79"/>
      <c r="AX3258" s="79"/>
      <c r="AZ3258" s="81"/>
      <c r="BB3258" s="5"/>
      <c r="BC3258" s="5"/>
      <c r="BD3258" s="5"/>
      <c r="BE3258" s="5"/>
      <c r="BF3258" s="5"/>
      <c r="BG3258" s="5"/>
      <c r="BH3258" s="5"/>
      <c r="BI3258" s="5"/>
      <c r="BJ3258" s="5"/>
      <c r="BK3258" s="5"/>
      <c r="BL3258" s="5"/>
      <c r="BM3258" s="5"/>
      <c r="BN3258" s="5"/>
      <c r="BO3258" s="5"/>
      <c r="BP3258" s="5"/>
    </row>
    <row r="3259" spans="35:68" x14ac:dyDescent="0.25">
      <c r="AI3259" s="49"/>
      <c r="AJ3259" s="78"/>
      <c r="AK3259" s="79"/>
      <c r="AL3259" s="79"/>
      <c r="AM3259" s="79"/>
      <c r="AN3259" s="79"/>
      <c r="AO3259" s="79"/>
      <c r="AP3259" s="79"/>
      <c r="AQ3259" s="79"/>
      <c r="AR3259" s="78"/>
      <c r="AS3259" s="78"/>
      <c r="AT3259" s="79"/>
      <c r="AU3259" s="79"/>
      <c r="AV3259" s="79"/>
      <c r="AW3259" s="79"/>
      <c r="AX3259" s="79"/>
      <c r="AZ3259" s="81"/>
      <c r="BB3259" s="5"/>
      <c r="BC3259" s="5"/>
      <c r="BD3259" s="5"/>
      <c r="BE3259" s="5"/>
      <c r="BF3259" s="5"/>
      <c r="BG3259" s="5"/>
      <c r="BH3259" s="5"/>
      <c r="BI3259" s="5"/>
      <c r="BJ3259" s="5"/>
      <c r="BK3259" s="5"/>
      <c r="BL3259" s="5"/>
      <c r="BM3259" s="5"/>
      <c r="BN3259" s="5"/>
      <c r="BO3259" s="5"/>
      <c r="BP3259" s="5"/>
    </row>
    <row r="3260" spans="35:68" x14ac:dyDescent="0.25">
      <c r="AI3260" s="49"/>
      <c r="AJ3260" s="78"/>
      <c r="AK3260" s="79"/>
      <c r="AL3260" s="79"/>
      <c r="AM3260" s="79"/>
      <c r="AN3260" s="79"/>
      <c r="AO3260" s="79"/>
      <c r="AP3260" s="79"/>
      <c r="AQ3260" s="79"/>
      <c r="AR3260" s="78"/>
      <c r="AS3260" s="78"/>
      <c r="AT3260" s="79"/>
      <c r="AU3260" s="79"/>
      <c r="AV3260" s="79"/>
      <c r="AW3260" s="79"/>
      <c r="AX3260" s="79"/>
      <c r="AZ3260" s="81"/>
      <c r="BB3260" s="5"/>
      <c r="BC3260" s="5"/>
      <c r="BD3260" s="5"/>
      <c r="BE3260" s="5"/>
      <c r="BF3260" s="5"/>
      <c r="BG3260" s="5"/>
      <c r="BH3260" s="5"/>
      <c r="BI3260" s="5"/>
      <c r="BJ3260" s="5"/>
      <c r="BK3260" s="5"/>
      <c r="BL3260" s="5"/>
      <c r="BM3260" s="5"/>
      <c r="BN3260" s="5"/>
      <c r="BO3260" s="5"/>
      <c r="BP3260" s="5"/>
    </row>
    <row r="3261" spans="35:68" x14ac:dyDescent="0.25">
      <c r="AI3261" s="49"/>
      <c r="AJ3261" s="78"/>
      <c r="AK3261" s="79"/>
      <c r="AL3261" s="79"/>
      <c r="AM3261" s="79"/>
      <c r="AN3261" s="79"/>
      <c r="AO3261" s="79"/>
      <c r="AP3261" s="79"/>
      <c r="AQ3261" s="79"/>
      <c r="AR3261" s="78"/>
      <c r="AS3261" s="78"/>
      <c r="AT3261" s="79"/>
      <c r="AU3261" s="79"/>
      <c r="AV3261" s="79"/>
      <c r="AW3261" s="79"/>
      <c r="AX3261" s="79"/>
      <c r="AZ3261" s="81"/>
      <c r="BB3261" s="5"/>
      <c r="BC3261" s="5"/>
      <c r="BD3261" s="5"/>
      <c r="BE3261" s="5"/>
      <c r="BF3261" s="5"/>
      <c r="BG3261" s="5"/>
      <c r="BH3261" s="5"/>
      <c r="BI3261" s="5"/>
      <c r="BJ3261" s="5"/>
      <c r="BK3261" s="5"/>
      <c r="BL3261" s="5"/>
      <c r="BM3261" s="5"/>
      <c r="BN3261" s="5"/>
      <c r="BO3261" s="5"/>
      <c r="BP3261" s="5"/>
    </row>
    <row r="3262" spans="35:68" x14ac:dyDescent="0.25">
      <c r="AI3262" s="49"/>
      <c r="AJ3262" s="78"/>
      <c r="AK3262" s="79"/>
      <c r="AL3262" s="79"/>
      <c r="AM3262" s="79"/>
      <c r="AN3262" s="79"/>
      <c r="AO3262" s="79"/>
      <c r="AP3262" s="79"/>
      <c r="AQ3262" s="79"/>
      <c r="AR3262" s="78"/>
      <c r="AS3262" s="78"/>
      <c r="AT3262" s="79"/>
      <c r="AU3262" s="79"/>
      <c r="AV3262" s="79"/>
      <c r="AW3262" s="79"/>
      <c r="AX3262" s="79"/>
      <c r="AZ3262" s="81"/>
      <c r="BB3262" s="5"/>
      <c r="BC3262" s="5"/>
      <c r="BD3262" s="5"/>
      <c r="BE3262" s="5"/>
      <c r="BF3262" s="5"/>
      <c r="BG3262" s="5"/>
      <c r="BH3262" s="5"/>
      <c r="BI3262" s="5"/>
      <c r="BJ3262" s="5"/>
      <c r="BK3262" s="5"/>
      <c r="BL3262" s="5"/>
      <c r="BM3262" s="5"/>
      <c r="BN3262" s="5"/>
      <c r="BO3262" s="5"/>
      <c r="BP3262" s="5"/>
    </row>
    <row r="3263" spans="35:68" x14ac:dyDescent="0.25">
      <c r="AI3263" s="49"/>
      <c r="AJ3263" s="78"/>
      <c r="AK3263" s="79"/>
      <c r="AL3263" s="79"/>
      <c r="AM3263" s="79"/>
      <c r="AN3263" s="79"/>
      <c r="AO3263" s="79"/>
      <c r="AP3263" s="79"/>
      <c r="AQ3263" s="79"/>
      <c r="AR3263" s="78"/>
      <c r="AS3263" s="78"/>
      <c r="AT3263" s="79"/>
      <c r="AU3263" s="79"/>
      <c r="AV3263" s="79"/>
      <c r="AW3263" s="79"/>
      <c r="AX3263" s="79"/>
      <c r="AZ3263" s="81"/>
      <c r="BB3263" s="5"/>
      <c r="BC3263" s="5"/>
      <c r="BD3263" s="5"/>
      <c r="BE3263" s="5"/>
      <c r="BF3263" s="5"/>
      <c r="BG3263" s="5"/>
      <c r="BH3263" s="5"/>
      <c r="BI3263" s="5"/>
      <c r="BJ3263" s="5"/>
      <c r="BK3263" s="5"/>
      <c r="BL3263" s="5"/>
      <c r="BM3263" s="5"/>
      <c r="BN3263" s="5"/>
      <c r="BO3263" s="5"/>
      <c r="BP3263" s="5"/>
    </row>
    <row r="3264" spans="35:68" x14ac:dyDescent="0.25">
      <c r="AI3264" s="49"/>
      <c r="AJ3264" s="78"/>
      <c r="AK3264" s="79"/>
      <c r="AL3264" s="79"/>
      <c r="AM3264" s="79"/>
      <c r="AN3264" s="79"/>
      <c r="AO3264" s="79"/>
      <c r="AP3264" s="79"/>
      <c r="AQ3264" s="79"/>
      <c r="AR3264" s="78"/>
      <c r="AS3264" s="78"/>
      <c r="AT3264" s="79"/>
      <c r="AU3264" s="79"/>
      <c r="AV3264" s="79"/>
      <c r="AW3264" s="79"/>
      <c r="AX3264" s="79"/>
      <c r="AZ3264" s="81"/>
      <c r="BB3264" s="5"/>
      <c r="BC3264" s="5"/>
      <c r="BD3264" s="5"/>
      <c r="BE3264" s="5"/>
      <c r="BF3264" s="5"/>
      <c r="BG3264" s="5"/>
      <c r="BH3264" s="5"/>
      <c r="BI3264" s="5"/>
      <c r="BJ3264" s="5"/>
      <c r="BK3264" s="5"/>
      <c r="BL3264" s="5"/>
      <c r="BM3264" s="5"/>
      <c r="BN3264" s="5"/>
      <c r="BO3264" s="5"/>
      <c r="BP3264" s="5"/>
    </row>
    <row r="3265" spans="35:68" x14ac:dyDescent="0.25">
      <c r="AI3265" s="49"/>
      <c r="AJ3265" s="78"/>
      <c r="AK3265" s="79"/>
      <c r="AL3265" s="79"/>
      <c r="AM3265" s="79"/>
      <c r="AN3265" s="79"/>
      <c r="AO3265" s="79"/>
      <c r="AP3265" s="79"/>
      <c r="AQ3265" s="79"/>
      <c r="AR3265" s="78"/>
      <c r="AS3265" s="78"/>
      <c r="AT3265" s="79"/>
      <c r="AU3265" s="79"/>
      <c r="AV3265" s="79"/>
      <c r="AW3265" s="79"/>
      <c r="AX3265" s="79"/>
      <c r="AZ3265" s="81"/>
      <c r="BB3265" s="5"/>
      <c r="BC3265" s="5"/>
      <c r="BD3265" s="5"/>
      <c r="BE3265" s="5"/>
      <c r="BF3265" s="5"/>
      <c r="BG3265" s="5"/>
      <c r="BH3265" s="5"/>
      <c r="BI3265" s="5"/>
      <c r="BJ3265" s="5"/>
      <c r="BK3265" s="5"/>
      <c r="BL3265" s="5"/>
      <c r="BM3265" s="5"/>
      <c r="BN3265" s="5"/>
      <c r="BO3265" s="5"/>
      <c r="BP3265" s="5"/>
    </row>
    <row r="3266" spans="35:68" x14ac:dyDescent="0.25">
      <c r="AI3266" s="49"/>
      <c r="AJ3266" s="78"/>
      <c r="AK3266" s="79"/>
      <c r="AL3266" s="79"/>
      <c r="AM3266" s="79"/>
      <c r="AN3266" s="79"/>
      <c r="AO3266" s="79"/>
      <c r="AP3266" s="79"/>
      <c r="AQ3266" s="79"/>
      <c r="AR3266" s="78"/>
      <c r="AS3266" s="78"/>
      <c r="AT3266" s="79"/>
      <c r="AU3266" s="79"/>
      <c r="AV3266" s="79"/>
      <c r="AW3266" s="79"/>
      <c r="AX3266" s="79"/>
      <c r="AZ3266" s="81"/>
      <c r="BB3266" s="5"/>
      <c r="BC3266" s="5"/>
      <c r="BD3266" s="5"/>
      <c r="BE3266" s="5"/>
      <c r="BF3266" s="5"/>
      <c r="BG3266" s="5"/>
      <c r="BH3266" s="5"/>
      <c r="BI3266" s="5"/>
      <c r="BJ3266" s="5"/>
      <c r="BK3266" s="5"/>
      <c r="BL3266" s="5"/>
      <c r="BM3266" s="5"/>
      <c r="BN3266" s="5"/>
      <c r="BO3266" s="5"/>
      <c r="BP3266" s="5"/>
    </row>
    <row r="3267" spans="35:68" x14ac:dyDescent="0.25">
      <c r="AI3267" s="49"/>
      <c r="AJ3267" s="78"/>
      <c r="AK3267" s="79"/>
      <c r="AL3267" s="79"/>
      <c r="AM3267" s="79"/>
      <c r="AN3267" s="79"/>
      <c r="AO3267" s="79"/>
      <c r="AP3267" s="79"/>
      <c r="AQ3267" s="79"/>
      <c r="AR3267" s="78"/>
      <c r="AS3267" s="78"/>
      <c r="AT3267" s="79"/>
      <c r="AU3267" s="79"/>
      <c r="AV3267" s="79"/>
      <c r="AW3267" s="79"/>
      <c r="AX3267" s="79"/>
      <c r="AZ3267" s="81"/>
      <c r="BB3267" s="5"/>
      <c r="BC3267" s="5"/>
      <c r="BD3267" s="5"/>
      <c r="BE3267" s="5"/>
      <c r="BF3267" s="5"/>
      <c r="BG3267" s="5"/>
      <c r="BH3267" s="5"/>
      <c r="BI3267" s="5"/>
      <c r="BJ3267" s="5"/>
      <c r="BK3267" s="5"/>
      <c r="BL3267" s="5"/>
      <c r="BM3267" s="5"/>
      <c r="BN3267" s="5"/>
      <c r="BO3267" s="5"/>
      <c r="BP3267" s="5"/>
    </row>
    <row r="3268" spans="35:68" x14ac:dyDescent="0.25">
      <c r="AI3268" s="49"/>
      <c r="AJ3268" s="78"/>
      <c r="AK3268" s="79"/>
      <c r="AL3268" s="79"/>
      <c r="AM3268" s="79"/>
      <c r="AN3268" s="79"/>
      <c r="AO3268" s="79"/>
      <c r="AP3268" s="79"/>
      <c r="AQ3268" s="79"/>
      <c r="AR3268" s="78"/>
      <c r="AS3268" s="78"/>
      <c r="AT3268" s="79"/>
      <c r="AU3268" s="79"/>
      <c r="AV3268" s="79"/>
      <c r="AW3268" s="79"/>
      <c r="AX3268" s="79"/>
      <c r="AZ3268" s="81"/>
      <c r="BB3268" s="5"/>
      <c r="BC3268" s="5"/>
      <c r="BD3268" s="5"/>
      <c r="BE3268" s="5"/>
      <c r="BF3268" s="5"/>
      <c r="BG3268" s="5"/>
      <c r="BH3268" s="5"/>
      <c r="BI3268" s="5"/>
      <c r="BJ3268" s="5"/>
      <c r="BK3268" s="5"/>
      <c r="BL3268" s="5"/>
      <c r="BM3268" s="5"/>
      <c r="BN3268" s="5"/>
      <c r="BO3268" s="5"/>
      <c r="BP3268" s="5"/>
    </row>
    <row r="3269" spans="35:68" x14ac:dyDescent="0.25">
      <c r="AI3269" s="49"/>
      <c r="AJ3269" s="78"/>
      <c r="AK3269" s="79"/>
      <c r="AL3269" s="79"/>
      <c r="AM3269" s="79"/>
      <c r="AN3269" s="79"/>
      <c r="AO3269" s="79"/>
      <c r="AP3269" s="79"/>
      <c r="AQ3269" s="79"/>
      <c r="AR3269" s="78"/>
      <c r="AS3269" s="78"/>
      <c r="AT3269" s="79"/>
      <c r="AU3269" s="79"/>
      <c r="AV3269" s="79"/>
      <c r="AW3269" s="79"/>
      <c r="AX3269" s="79"/>
      <c r="AZ3269" s="81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5"/>
      <c r="BM3269" s="5"/>
      <c r="BN3269" s="5"/>
      <c r="BO3269" s="5"/>
      <c r="BP3269" s="5"/>
    </row>
    <row r="3270" spans="35:68" x14ac:dyDescent="0.25">
      <c r="AI3270" s="49"/>
      <c r="AJ3270" s="78"/>
      <c r="AK3270" s="79"/>
      <c r="AL3270" s="79"/>
      <c r="AM3270" s="79"/>
      <c r="AN3270" s="79"/>
      <c r="AO3270" s="79"/>
      <c r="AP3270" s="79"/>
      <c r="AQ3270" s="79"/>
      <c r="AR3270" s="78"/>
      <c r="AS3270" s="78"/>
      <c r="AT3270" s="79"/>
      <c r="AU3270" s="79"/>
      <c r="AV3270" s="79"/>
      <c r="AW3270" s="79"/>
      <c r="AX3270" s="79"/>
      <c r="AZ3270" s="81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</row>
    <row r="3271" spans="35:68" x14ac:dyDescent="0.25">
      <c r="AI3271" s="49"/>
      <c r="AJ3271" s="78"/>
      <c r="AK3271" s="79"/>
      <c r="AL3271" s="79"/>
      <c r="AM3271" s="79"/>
      <c r="AN3271" s="79"/>
      <c r="AO3271" s="79"/>
      <c r="AP3271" s="79"/>
      <c r="AQ3271" s="79"/>
      <c r="AR3271" s="78"/>
      <c r="AS3271" s="78"/>
      <c r="AT3271" s="79"/>
      <c r="AU3271" s="79"/>
      <c r="AV3271" s="79"/>
      <c r="AW3271" s="79"/>
      <c r="AX3271" s="79"/>
      <c r="AZ3271" s="81"/>
      <c r="BB3271" s="5"/>
      <c r="BC3271" s="5"/>
      <c r="BD3271" s="5"/>
      <c r="BE3271" s="5"/>
      <c r="BF3271" s="5"/>
      <c r="BG3271" s="5"/>
      <c r="BH3271" s="5"/>
      <c r="BI3271" s="5"/>
      <c r="BJ3271" s="5"/>
      <c r="BK3271" s="5"/>
      <c r="BL3271" s="5"/>
      <c r="BM3271" s="5"/>
      <c r="BN3271" s="5"/>
      <c r="BO3271" s="5"/>
      <c r="BP3271" s="5"/>
    </row>
    <row r="3272" spans="35:68" x14ac:dyDescent="0.25">
      <c r="AI3272" s="49"/>
      <c r="AJ3272" s="78"/>
      <c r="AK3272" s="79"/>
      <c r="AL3272" s="79"/>
      <c r="AM3272" s="79"/>
      <c r="AN3272" s="79"/>
      <c r="AO3272" s="79"/>
      <c r="AP3272" s="79"/>
      <c r="AQ3272" s="79"/>
      <c r="AR3272" s="78"/>
      <c r="AS3272" s="78"/>
      <c r="AT3272" s="79"/>
      <c r="AU3272" s="79"/>
      <c r="AV3272" s="79"/>
      <c r="AW3272" s="79"/>
      <c r="AX3272" s="79"/>
      <c r="AZ3272" s="81"/>
      <c r="BB3272" s="5"/>
      <c r="BC3272" s="5"/>
      <c r="BD3272" s="5"/>
      <c r="BE3272" s="5"/>
      <c r="BF3272" s="5"/>
      <c r="BG3272" s="5"/>
      <c r="BH3272" s="5"/>
      <c r="BI3272" s="5"/>
      <c r="BJ3272" s="5"/>
      <c r="BK3272" s="5"/>
      <c r="BL3272" s="5"/>
      <c r="BM3272" s="5"/>
      <c r="BN3272" s="5"/>
      <c r="BO3272" s="5"/>
      <c r="BP3272" s="5"/>
    </row>
    <row r="3273" spans="35:68" x14ac:dyDescent="0.25">
      <c r="AI3273" s="49"/>
      <c r="AJ3273" s="78"/>
      <c r="AK3273" s="79"/>
      <c r="AL3273" s="79"/>
      <c r="AM3273" s="79"/>
      <c r="AN3273" s="79"/>
      <c r="AO3273" s="79"/>
      <c r="AP3273" s="79"/>
      <c r="AQ3273" s="79"/>
      <c r="AR3273" s="78"/>
      <c r="AS3273" s="78"/>
      <c r="AT3273" s="79"/>
      <c r="AU3273" s="79"/>
      <c r="AV3273" s="79"/>
      <c r="AW3273" s="79"/>
      <c r="AX3273" s="79"/>
      <c r="AZ3273" s="81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</row>
    <row r="3274" spans="35:68" x14ac:dyDescent="0.25">
      <c r="AI3274" s="49"/>
      <c r="AJ3274" s="78"/>
      <c r="AK3274" s="79"/>
      <c r="AL3274" s="79"/>
      <c r="AM3274" s="79"/>
      <c r="AN3274" s="79"/>
      <c r="AO3274" s="79"/>
      <c r="AP3274" s="79"/>
      <c r="AQ3274" s="79"/>
      <c r="AR3274" s="78"/>
      <c r="AS3274" s="78"/>
      <c r="AT3274" s="79"/>
      <c r="AU3274" s="79"/>
      <c r="AV3274" s="79"/>
      <c r="AW3274" s="79"/>
      <c r="AX3274" s="79"/>
      <c r="AZ3274" s="81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</row>
    <row r="3275" spans="35:68" x14ac:dyDescent="0.25">
      <c r="AI3275" s="49"/>
      <c r="AJ3275" s="78"/>
      <c r="AK3275" s="79"/>
      <c r="AL3275" s="79"/>
      <c r="AM3275" s="79"/>
      <c r="AN3275" s="79"/>
      <c r="AO3275" s="79"/>
      <c r="AP3275" s="79"/>
      <c r="AQ3275" s="79"/>
      <c r="AR3275" s="78"/>
      <c r="AS3275" s="78"/>
      <c r="AT3275" s="79"/>
      <c r="AU3275" s="79"/>
      <c r="AV3275" s="79"/>
      <c r="AW3275" s="79"/>
      <c r="AX3275" s="79"/>
      <c r="AZ3275" s="81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</row>
    <row r="3276" spans="35:68" x14ac:dyDescent="0.25">
      <c r="AI3276" s="49"/>
      <c r="AJ3276" s="78"/>
      <c r="AK3276" s="79"/>
      <c r="AL3276" s="79"/>
      <c r="AM3276" s="79"/>
      <c r="AN3276" s="79"/>
      <c r="AO3276" s="79"/>
      <c r="AP3276" s="79"/>
      <c r="AQ3276" s="79"/>
      <c r="AR3276" s="78"/>
      <c r="AS3276" s="78"/>
      <c r="AT3276" s="79"/>
      <c r="AU3276" s="79"/>
      <c r="AV3276" s="79"/>
      <c r="AW3276" s="79"/>
      <c r="AX3276" s="79"/>
      <c r="AZ3276" s="81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5"/>
      <c r="BP3276" s="5"/>
    </row>
    <row r="3277" spans="35:68" x14ac:dyDescent="0.25">
      <c r="AI3277" s="49"/>
      <c r="AJ3277" s="78"/>
      <c r="AK3277" s="79"/>
      <c r="AL3277" s="79"/>
      <c r="AM3277" s="79"/>
      <c r="AN3277" s="79"/>
      <c r="AO3277" s="79"/>
      <c r="AP3277" s="79"/>
      <c r="AQ3277" s="79"/>
      <c r="AR3277" s="78"/>
      <c r="AS3277" s="78"/>
      <c r="AT3277" s="79"/>
      <c r="AU3277" s="79"/>
      <c r="AV3277" s="79"/>
      <c r="AW3277" s="79"/>
      <c r="AX3277" s="79"/>
      <c r="AZ3277" s="81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</row>
    <row r="3278" spans="35:68" x14ac:dyDescent="0.25">
      <c r="AI3278" s="49"/>
      <c r="AJ3278" s="78"/>
      <c r="AK3278" s="79"/>
      <c r="AL3278" s="79"/>
      <c r="AM3278" s="79"/>
      <c r="AN3278" s="79"/>
      <c r="AO3278" s="79"/>
      <c r="AP3278" s="79"/>
      <c r="AQ3278" s="79"/>
      <c r="AR3278" s="78"/>
      <c r="AS3278" s="78"/>
      <c r="AT3278" s="79"/>
      <c r="AU3278" s="79"/>
      <c r="AV3278" s="79"/>
      <c r="AW3278" s="79"/>
      <c r="AX3278" s="79"/>
      <c r="AZ3278" s="81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</row>
    <row r="3279" spans="35:68" x14ac:dyDescent="0.25">
      <c r="AI3279" s="49"/>
      <c r="AJ3279" s="78"/>
      <c r="AK3279" s="79"/>
      <c r="AL3279" s="79"/>
      <c r="AM3279" s="79"/>
      <c r="AN3279" s="79"/>
      <c r="AO3279" s="79"/>
      <c r="AP3279" s="79"/>
      <c r="AQ3279" s="79"/>
      <c r="AR3279" s="78"/>
      <c r="AS3279" s="78"/>
      <c r="AT3279" s="79"/>
      <c r="AU3279" s="79"/>
      <c r="AV3279" s="79"/>
      <c r="AW3279" s="79"/>
      <c r="AX3279" s="79"/>
      <c r="AZ3279" s="81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/>
      <c r="BO3279" s="5"/>
      <c r="BP3279" s="5"/>
    </row>
    <row r="3280" spans="35:68" x14ac:dyDescent="0.25">
      <c r="AI3280" s="49"/>
      <c r="AJ3280" s="78"/>
      <c r="AK3280" s="79"/>
      <c r="AL3280" s="79"/>
      <c r="AM3280" s="79"/>
      <c r="AN3280" s="79"/>
      <c r="AO3280" s="79"/>
      <c r="AP3280" s="79"/>
      <c r="AQ3280" s="79"/>
      <c r="AR3280" s="78"/>
      <c r="AS3280" s="78"/>
      <c r="AT3280" s="79"/>
      <c r="AU3280" s="79"/>
      <c r="AV3280" s="79"/>
      <c r="AW3280" s="79"/>
      <c r="AX3280" s="79"/>
      <c r="AZ3280" s="81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5"/>
      <c r="BP3280" s="5"/>
    </row>
    <row r="3281" spans="35:68" x14ac:dyDescent="0.25">
      <c r="AI3281" s="49"/>
      <c r="AJ3281" s="78"/>
      <c r="AK3281" s="79"/>
      <c r="AL3281" s="79"/>
      <c r="AM3281" s="79"/>
      <c r="AN3281" s="79"/>
      <c r="AO3281" s="79"/>
      <c r="AP3281" s="79"/>
      <c r="AQ3281" s="79"/>
      <c r="AR3281" s="78"/>
      <c r="AS3281" s="78"/>
      <c r="AT3281" s="79"/>
      <c r="AU3281" s="79"/>
      <c r="AV3281" s="79"/>
      <c r="AW3281" s="79"/>
      <c r="AX3281" s="79"/>
      <c r="AZ3281" s="81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</row>
    <row r="3282" spans="35:68" x14ac:dyDescent="0.25">
      <c r="AI3282" s="49"/>
      <c r="AJ3282" s="78"/>
      <c r="AK3282" s="79"/>
      <c r="AL3282" s="79"/>
      <c r="AM3282" s="79"/>
      <c r="AN3282" s="79"/>
      <c r="AO3282" s="79"/>
      <c r="AP3282" s="79"/>
      <c r="AQ3282" s="79"/>
      <c r="AR3282" s="78"/>
      <c r="AS3282" s="78"/>
      <c r="AT3282" s="79"/>
      <c r="AU3282" s="79"/>
      <c r="AV3282" s="79"/>
      <c r="AW3282" s="79"/>
      <c r="AX3282" s="79"/>
      <c r="AZ3282" s="81"/>
      <c r="BB3282" s="5"/>
      <c r="BC3282" s="5"/>
      <c r="BD3282" s="5"/>
      <c r="BE3282" s="5"/>
      <c r="BF3282" s="5"/>
      <c r="BG3282" s="5"/>
      <c r="BH3282" s="5"/>
      <c r="BI3282" s="5"/>
      <c r="BJ3282" s="5"/>
      <c r="BK3282" s="5"/>
      <c r="BL3282" s="5"/>
      <c r="BM3282" s="5"/>
      <c r="BN3282" s="5"/>
      <c r="BO3282" s="5"/>
      <c r="BP3282" s="5"/>
    </row>
    <row r="3283" spans="35:68" x14ac:dyDescent="0.25">
      <c r="AI3283" s="49"/>
      <c r="AJ3283" s="78"/>
      <c r="AK3283" s="79"/>
      <c r="AL3283" s="79"/>
      <c r="AM3283" s="79"/>
      <c r="AN3283" s="79"/>
      <c r="AO3283" s="79"/>
      <c r="AP3283" s="79"/>
      <c r="AQ3283" s="79"/>
      <c r="AR3283" s="78"/>
      <c r="AS3283" s="78"/>
      <c r="AT3283" s="79"/>
      <c r="AU3283" s="79"/>
      <c r="AV3283" s="79"/>
      <c r="AW3283" s="79"/>
      <c r="AX3283" s="79"/>
      <c r="AZ3283" s="81"/>
      <c r="BB3283" s="5"/>
      <c r="BC3283" s="5"/>
      <c r="BD3283" s="5"/>
      <c r="BE3283" s="5"/>
      <c r="BF3283" s="5"/>
      <c r="BG3283" s="5"/>
      <c r="BH3283" s="5"/>
      <c r="BI3283" s="5"/>
      <c r="BJ3283" s="5"/>
      <c r="BK3283" s="5"/>
      <c r="BL3283" s="5"/>
      <c r="BM3283" s="5"/>
      <c r="BN3283" s="5"/>
      <c r="BO3283" s="5"/>
      <c r="BP3283" s="5"/>
    </row>
    <row r="3284" spans="35:68" x14ac:dyDescent="0.25">
      <c r="AI3284" s="49"/>
      <c r="AJ3284" s="78"/>
      <c r="AK3284" s="79"/>
      <c r="AL3284" s="79"/>
      <c r="AM3284" s="79"/>
      <c r="AN3284" s="79"/>
      <c r="AO3284" s="79"/>
      <c r="AP3284" s="79"/>
      <c r="AQ3284" s="79"/>
      <c r="AR3284" s="78"/>
      <c r="AS3284" s="78"/>
      <c r="AT3284" s="79"/>
      <c r="AU3284" s="79"/>
      <c r="AV3284" s="79"/>
      <c r="AW3284" s="79"/>
      <c r="AX3284" s="79"/>
      <c r="AZ3284" s="81"/>
      <c r="BB3284" s="5"/>
      <c r="BC3284" s="5"/>
      <c r="BD3284" s="5"/>
      <c r="BE3284" s="5"/>
      <c r="BF3284" s="5"/>
      <c r="BG3284" s="5"/>
      <c r="BH3284" s="5"/>
      <c r="BI3284" s="5"/>
      <c r="BJ3284" s="5"/>
      <c r="BK3284" s="5"/>
      <c r="BL3284" s="5"/>
      <c r="BM3284" s="5"/>
      <c r="BN3284" s="5"/>
      <c r="BO3284" s="5"/>
      <c r="BP3284" s="5"/>
    </row>
    <row r="3285" spans="35:68" x14ac:dyDescent="0.25">
      <c r="AI3285" s="49"/>
      <c r="AJ3285" s="78"/>
      <c r="AK3285" s="79"/>
      <c r="AL3285" s="79"/>
      <c r="AM3285" s="79"/>
      <c r="AN3285" s="79"/>
      <c r="AO3285" s="79"/>
      <c r="AP3285" s="79"/>
      <c r="AQ3285" s="79"/>
      <c r="AR3285" s="78"/>
      <c r="AS3285" s="78"/>
      <c r="AT3285" s="79"/>
      <c r="AU3285" s="79"/>
      <c r="AV3285" s="79"/>
      <c r="AW3285" s="79"/>
      <c r="AX3285" s="79"/>
      <c r="AZ3285" s="81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</row>
    <row r="3286" spans="35:68" x14ac:dyDescent="0.25">
      <c r="AI3286" s="49"/>
      <c r="AJ3286" s="78"/>
      <c r="AK3286" s="79"/>
      <c r="AL3286" s="79"/>
      <c r="AM3286" s="79"/>
      <c r="AN3286" s="79"/>
      <c r="AO3286" s="79"/>
      <c r="AP3286" s="79"/>
      <c r="AQ3286" s="79"/>
      <c r="AR3286" s="78"/>
      <c r="AS3286" s="78"/>
      <c r="AT3286" s="79"/>
      <c r="AU3286" s="79"/>
      <c r="AV3286" s="79"/>
      <c r="AW3286" s="79"/>
      <c r="AX3286" s="79"/>
      <c r="AZ3286" s="81"/>
      <c r="BB3286" s="5"/>
      <c r="BC3286" s="5"/>
      <c r="BD3286" s="5"/>
      <c r="BE3286" s="5"/>
      <c r="BF3286" s="5"/>
      <c r="BG3286" s="5"/>
      <c r="BH3286" s="5"/>
      <c r="BI3286" s="5"/>
      <c r="BJ3286" s="5"/>
      <c r="BK3286" s="5"/>
      <c r="BL3286" s="5"/>
      <c r="BM3286" s="5"/>
      <c r="BN3286" s="5"/>
      <c r="BO3286" s="5"/>
      <c r="BP3286" s="5"/>
    </row>
    <row r="3287" spans="35:68" x14ac:dyDescent="0.25">
      <c r="AI3287" s="49"/>
      <c r="AJ3287" s="78"/>
      <c r="AK3287" s="79"/>
      <c r="AL3287" s="79"/>
      <c r="AM3287" s="79"/>
      <c r="AN3287" s="79"/>
      <c r="AO3287" s="79"/>
      <c r="AP3287" s="79"/>
      <c r="AQ3287" s="79"/>
      <c r="AR3287" s="78"/>
      <c r="AS3287" s="78"/>
      <c r="AT3287" s="79"/>
      <c r="AU3287" s="79"/>
      <c r="AV3287" s="79"/>
      <c r="AW3287" s="79"/>
      <c r="AX3287" s="79"/>
      <c r="AZ3287" s="81"/>
      <c r="BB3287" s="5"/>
      <c r="BC3287" s="5"/>
      <c r="BD3287" s="5"/>
      <c r="BE3287" s="5"/>
      <c r="BF3287" s="5"/>
      <c r="BG3287" s="5"/>
      <c r="BH3287" s="5"/>
      <c r="BI3287" s="5"/>
      <c r="BJ3287" s="5"/>
      <c r="BK3287" s="5"/>
      <c r="BL3287" s="5"/>
      <c r="BM3287" s="5"/>
      <c r="BN3287" s="5"/>
      <c r="BO3287" s="5"/>
      <c r="BP3287" s="5"/>
    </row>
    <row r="3288" spans="35:68" x14ac:dyDescent="0.25">
      <c r="AI3288" s="49"/>
      <c r="AJ3288" s="78"/>
      <c r="AK3288" s="79"/>
      <c r="AL3288" s="79"/>
      <c r="AM3288" s="79"/>
      <c r="AN3288" s="79"/>
      <c r="AO3288" s="79"/>
      <c r="AP3288" s="79"/>
      <c r="AQ3288" s="79"/>
      <c r="AR3288" s="78"/>
      <c r="AS3288" s="78"/>
      <c r="AT3288" s="79"/>
      <c r="AU3288" s="79"/>
      <c r="AV3288" s="79"/>
      <c r="AW3288" s="79"/>
      <c r="AX3288" s="79"/>
      <c r="AZ3288" s="81"/>
      <c r="BB3288" s="5"/>
      <c r="BC3288" s="5"/>
      <c r="BD3288" s="5"/>
      <c r="BE3288" s="5"/>
      <c r="BF3288" s="5"/>
      <c r="BG3288" s="5"/>
      <c r="BH3288" s="5"/>
      <c r="BI3288" s="5"/>
      <c r="BJ3288" s="5"/>
      <c r="BK3288" s="5"/>
      <c r="BL3288" s="5"/>
      <c r="BM3288" s="5"/>
      <c r="BN3288" s="5"/>
      <c r="BO3288" s="5"/>
      <c r="BP3288" s="5"/>
    </row>
    <row r="3289" spans="35:68" x14ac:dyDescent="0.25">
      <c r="AI3289" s="49"/>
      <c r="AJ3289" s="78"/>
      <c r="AK3289" s="79"/>
      <c r="AL3289" s="79"/>
      <c r="AM3289" s="79"/>
      <c r="AN3289" s="79"/>
      <c r="AO3289" s="79"/>
      <c r="AP3289" s="79"/>
      <c r="AQ3289" s="79"/>
      <c r="AR3289" s="78"/>
      <c r="AS3289" s="78"/>
      <c r="AT3289" s="79"/>
      <c r="AU3289" s="79"/>
      <c r="AV3289" s="79"/>
      <c r="AW3289" s="79"/>
      <c r="AX3289" s="79"/>
      <c r="AZ3289" s="81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5"/>
      <c r="BM3289" s="5"/>
      <c r="BN3289" s="5"/>
      <c r="BO3289" s="5"/>
      <c r="BP3289" s="5"/>
    </row>
    <row r="3290" spans="35:68" x14ac:dyDescent="0.25">
      <c r="AI3290" s="49"/>
      <c r="AJ3290" s="78"/>
      <c r="AK3290" s="79"/>
      <c r="AL3290" s="79"/>
      <c r="AM3290" s="79"/>
      <c r="AN3290" s="79"/>
      <c r="AO3290" s="79"/>
      <c r="AP3290" s="79"/>
      <c r="AQ3290" s="79"/>
      <c r="AR3290" s="78"/>
      <c r="AS3290" s="78"/>
      <c r="AT3290" s="79"/>
      <c r="AU3290" s="79"/>
      <c r="AV3290" s="79"/>
      <c r="AW3290" s="79"/>
      <c r="AX3290" s="79"/>
      <c r="AZ3290" s="81"/>
      <c r="BB3290" s="5"/>
      <c r="BC3290" s="5"/>
      <c r="BD3290" s="5"/>
      <c r="BE3290" s="5"/>
      <c r="BF3290" s="5"/>
      <c r="BG3290" s="5"/>
      <c r="BH3290" s="5"/>
      <c r="BI3290" s="5"/>
      <c r="BJ3290" s="5"/>
      <c r="BK3290" s="5"/>
      <c r="BL3290" s="5"/>
      <c r="BM3290" s="5"/>
      <c r="BN3290" s="5"/>
      <c r="BO3290" s="5"/>
      <c r="BP3290" s="5"/>
    </row>
    <row r="3291" spans="35:68" x14ac:dyDescent="0.25">
      <c r="AI3291" s="49"/>
      <c r="AJ3291" s="78"/>
      <c r="AK3291" s="79"/>
      <c r="AL3291" s="79"/>
      <c r="AM3291" s="79"/>
      <c r="AN3291" s="79"/>
      <c r="AO3291" s="79"/>
      <c r="AP3291" s="79"/>
      <c r="AQ3291" s="79"/>
      <c r="AR3291" s="78"/>
      <c r="AS3291" s="78"/>
      <c r="AT3291" s="79"/>
      <c r="AU3291" s="79"/>
      <c r="AV3291" s="79"/>
      <c r="AW3291" s="79"/>
      <c r="AX3291" s="79"/>
      <c r="AZ3291" s="81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</row>
    <row r="3292" spans="35:68" x14ac:dyDescent="0.25">
      <c r="AI3292" s="49"/>
      <c r="AJ3292" s="78"/>
      <c r="AK3292" s="79"/>
      <c r="AL3292" s="79"/>
      <c r="AM3292" s="79"/>
      <c r="AN3292" s="79"/>
      <c r="AO3292" s="79"/>
      <c r="AP3292" s="79"/>
      <c r="AQ3292" s="79"/>
      <c r="AR3292" s="78"/>
      <c r="AS3292" s="78"/>
      <c r="AT3292" s="79"/>
      <c r="AU3292" s="79"/>
      <c r="AV3292" s="79"/>
      <c r="AW3292" s="79"/>
      <c r="AX3292" s="79"/>
      <c r="AZ3292" s="81"/>
      <c r="BB3292" s="5"/>
      <c r="BC3292" s="5"/>
      <c r="BD3292" s="5"/>
      <c r="BE3292" s="5"/>
      <c r="BF3292" s="5"/>
      <c r="BG3292" s="5"/>
      <c r="BH3292" s="5"/>
      <c r="BI3292" s="5"/>
      <c r="BJ3292" s="5"/>
      <c r="BK3292" s="5"/>
      <c r="BL3292" s="5"/>
      <c r="BM3292" s="5"/>
      <c r="BN3292" s="5"/>
      <c r="BO3292" s="5"/>
      <c r="BP3292" s="5"/>
    </row>
    <row r="3293" spans="35:68" x14ac:dyDescent="0.25">
      <c r="AI3293" s="49"/>
      <c r="AJ3293" s="78"/>
      <c r="AK3293" s="79"/>
      <c r="AL3293" s="79"/>
      <c r="AM3293" s="79"/>
      <c r="AN3293" s="79"/>
      <c r="AO3293" s="79"/>
      <c r="AP3293" s="79"/>
      <c r="AQ3293" s="79"/>
      <c r="AR3293" s="78"/>
      <c r="AS3293" s="78"/>
      <c r="AT3293" s="79"/>
      <c r="AU3293" s="79"/>
      <c r="AV3293" s="79"/>
      <c r="AW3293" s="79"/>
      <c r="AX3293" s="79"/>
      <c r="AZ3293" s="81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5"/>
      <c r="BM3293" s="5"/>
      <c r="BN3293" s="5"/>
      <c r="BO3293" s="5"/>
      <c r="BP3293" s="5"/>
    </row>
    <row r="3294" spans="35:68" x14ac:dyDescent="0.25">
      <c r="AI3294" s="49"/>
      <c r="AJ3294" s="78"/>
      <c r="AK3294" s="79"/>
      <c r="AL3294" s="79"/>
      <c r="AM3294" s="79"/>
      <c r="AN3294" s="79"/>
      <c r="AO3294" s="79"/>
      <c r="AP3294" s="79"/>
      <c r="AQ3294" s="79"/>
      <c r="AR3294" s="78"/>
      <c r="AS3294" s="78"/>
      <c r="AT3294" s="79"/>
      <c r="AU3294" s="79"/>
      <c r="AV3294" s="79"/>
      <c r="AW3294" s="79"/>
      <c r="AX3294" s="79"/>
      <c r="AZ3294" s="81"/>
      <c r="BB3294" s="5"/>
      <c r="BC3294" s="5"/>
      <c r="BD3294" s="5"/>
      <c r="BE3294" s="5"/>
      <c r="BF3294" s="5"/>
      <c r="BG3294" s="5"/>
      <c r="BH3294" s="5"/>
      <c r="BI3294" s="5"/>
      <c r="BJ3294" s="5"/>
      <c r="BK3294" s="5"/>
      <c r="BL3294" s="5"/>
      <c r="BM3294" s="5"/>
      <c r="BN3294" s="5"/>
      <c r="BO3294" s="5"/>
      <c r="BP3294" s="5"/>
    </row>
    <row r="3295" spans="35:68" x14ac:dyDescent="0.25">
      <c r="AI3295" s="49"/>
      <c r="AJ3295" s="78"/>
      <c r="AK3295" s="79"/>
      <c r="AL3295" s="79"/>
      <c r="AM3295" s="79"/>
      <c r="AN3295" s="79"/>
      <c r="AO3295" s="79"/>
      <c r="AP3295" s="79"/>
      <c r="AQ3295" s="79"/>
      <c r="AR3295" s="78"/>
      <c r="AS3295" s="78"/>
      <c r="AT3295" s="79"/>
      <c r="AU3295" s="79"/>
      <c r="AV3295" s="79"/>
      <c r="AW3295" s="79"/>
      <c r="AX3295" s="79"/>
      <c r="AZ3295" s="81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5"/>
      <c r="BM3295" s="5"/>
      <c r="BN3295" s="5"/>
      <c r="BO3295" s="5"/>
      <c r="BP3295" s="5"/>
    </row>
    <row r="3296" spans="35:68" x14ac:dyDescent="0.25">
      <c r="AI3296" s="49"/>
      <c r="AJ3296" s="78"/>
      <c r="AK3296" s="79"/>
      <c r="AL3296" s="79"/>
      <c r="AM3296" s="79"/>
      <c r="AN3296" s="79"/>
      <c r="AO3296" s="79"/>
      <c r="AP3296" s="79"/>
      <c r="AQ3296" s="79"/>
      <c r="AR3296" s="78"/>
      <c r="AS3296" s="78"/>
      <c r="AT3296" s="79"/>
      <c r="AU3296" s="79"/>
      <c r="AV3296" s="79"/>
      <c r="AW3296" s="79"/>
      <c r="AX3296" s="79"/>
      <c r="AZ3296" s="81"/>
      <c r="BB3296" s="5"/>
      <c r="BC3296" s="5"/>
      <c r="BD3296" s="5"/>
      <c r="BE3296" s="5"/>
      <c r="BF3296" s="5"/>
      <c r="BG3296" s="5"/>
      <c r="BH3296" s="5"/>
      <c r="BI3296" s="5"/>
      <c r="BJ3296" s="5"/>
      <c r="BK3296" s="5"/>
      <c r="BL3296" s="5"/>
      <c r="BM3296" s="5"/>
      <c r="BN3296" s="5"/>
      <c r="BO3296" s="5"/>
      <c r="BP3296" s="5"/>
    </row>
    <row r="3297" spans="35:68" x14ac:dyDescent="0.25">
      <c r="AI3297" s="49"/>
      <c r="AJ3297" s="78"/>
      <c r="AK3297" s="79"/>
      <c r="AL3297" s="79"/>
      <c r="AM3297" s="79"/>
      <c r="AN3297" s="79"/>
      <c r="AO3297" s="79"/>
      <c r="AP3297" s="79"/>
      <c r="AQ3297" s="79"/>
      <c r="AR3297" s="78"/>
      <c r="AS3297" s="78"/>
      <c r="AT3297" s="79"/>
      <c r="AU3297" s="79"/>
      <c r="AV3297" s="79"/>
      <c r="AW3297" s="79"/>
      <c r="AX3297" s="79"/>
      <c r="AZ3297" s="81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</row>
    <row r="3298" spans="35:68" x14ac:dyDescent="0.25">
      <c r="AI3298" s="49"/>
      <c r="AJ3298" s="78"/>
      <c r="AK3298" s="79"/>
      <c r="AL3298" s="79"/>
      <c r="AM3298" s="79"/>
      <c r="AN3298" s="79"/>
      <c r="AO3298" s="79"/>
      <c r="AP3298" s="79"/>
      <c r="AQ3298" s="79"/>
      <c r="AR3298" s="78"/>
      <c r="AS3298" s="78"/>
      <c r="AT3298" s="79"/>
      <c r="AU3298" s="79"/>
      <c r="AV3298" s="79"/>
      <c r="AW3298" s="79"/>
      <c r="AX3298" s="79"/>
      <c r="AZ3298" s="81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5"/>
      <c r="BP3298" s="5"/>
    </row>
    <row r="3299" spans="35:68" x14ac:dyDescent="0.25">
      <c r="AI3299" s="49"/>
      <c r="AJ3299" s="78"/>
      <c r="AK3299" s="79"/>
      <c r="AL3299" s="79"/>
      <c r="AM3299" s="79"/>
      <c r="AN3299" s="79"/>
      <c r="AO3299" s="79"/>
      <c r="AP3299" s="79"/>
      <c r="AQ3299" s="79"/>
      <c r="AR3299" s="78"/>
      <c r="AS3299" s="78"/>
      <c r="AT3299" s="79"/>
      <c r="AU3299" s="79"/>
      <c r="AV3299" s="79"/>
      <c r="AW3299" s="79"/>
      <c r="AX3299" s="79"/>
      <c r="AZ3299" s="81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/>
      <c r="BO3299" s="5"/>
      <c r="BP3299" s="5"/>
    </row>
    <row r="3300" spans="35:68" x14ac:dyDescent="0.25">
      <c r="AI3300" s="49"/>
      <c r="AJ3300" s="78"/>
      <c r="AK3300" s="79"/>
      <c r="AL3300" s="79"/>
      <c r="AM3300" s="79"/>
      <c r="AN3300" s="79"/>
      <c r="AO3300" s="79"/>
      <c r="AP3300" s="79"/>
      <c r="AQ3300" s="79"/>
      <c r="AR3300" s="78"/>
      <c r="AS3300" s="78"/>
      <c r="AT3300" s="79"/>
      <c r="AU3300" s="79"/>
      <c r="AV3300" s="79"/>
      <c r="AW3300" s="79"/>
      <c r="AX3300" s="79"/>
      <c r="AZ3300" s="81"/>
      <c r="BB3300" s="5"/>
      <c r="BC3300" s="5"/>
      <c r="BD3300" s="5"/>
      <c r="BE3300" s="5"/>
      <c r="BF3300" s="5"/>
      <c r="BG3300" s="5"/>
      <c r="BH3300" s="5"/>
      <c r="BI3300" s="5"/>
      <c r="BJ3300" s="5"/>
      <c r="BK3300" s="5"/>
      <c r="BL3300" s="5"/>
      <c r="BM3300" s="5"/>
      <c r="BN3300" s="5"/>
      <c r="BO3300" s="5"/>
      <c r="BP3300" s="5"/>
    </row>
    <row r="3301" spans="35:68" x14ac:dyDescent="0.25">
      <c r="AI3301" s="49"/>
      <c r="AJ3301" s="78"/>
      <c r="AK3301" s="79"/>
      <c r="AL3301" s="79"/>
      <c r="AM3301" s="79"/>
      <c r="AN3301" s="79"/>
      <c r="AO3301" s="79"/>
      <c r="AP3301" s="79"/>
      <c r="AQ3301" s="79"/>
      <c r="AR3301" s="78"/>
      <c r="AS3301" s="78"/>
      <c r="AT3301" s="79"/>
      <c r="AU3301" s="79"/>
      <c r="AV3301" s="79"/>
      <c r="AW3301" s="79"/>
      <c r="AX3301" s="79"/>
      <c r="AZ3301" s="81"/>
      <c r="BB3301" s="5"/>
      <c r="BC3301" s="5"/>
      <c r="BD3301" s="5"/>
      <c r="BE3301" s="5"/>
      <c r="BF3301" s="5"/>
      <c r="BG3301" s="5"/>
      <c r="BH3301" s="5"/>
      <c r="BI3301" s="5"/>
      <c r="BJ3301" s="5"/>
      <c r="BK3301" s="5"/>
      <c r="BL3301" s="5"/>
      <c r="BM3301" s="5"/>
      <c r="BN3301" s="5"/>
      <c r="BO3301" s="5"/>
      <c r="BP3301" s="5"/>
    </row>
    <row r="3302" spans="35:68" x14ac:dyDescent="0.25">
      <c r="AI3302" s="49"/>
      <c r="AJ3302" s="78"/>
      <c r="AK3302" s="79"/>
      <c r="AL3302" s="79"/>
      <c r="AM3302" s="79"/>
      <c r="AN3302" s="79"/>
      <c r="AO3302" s="79"/>
      <c r="AP3302" s="79"/>
      <c r="AQ3302" s="79"/>
      <c r="AR3302" s="78"/>
      <c r="AS3302" s="78"/>
      <c r="AT3302" s="79"/>
      <c r="AU3302" s="79"/>
      <c r="AV3302" s="79"/>
      <c r="AW3302" s="79"/>
      <c r="AX3302" s="79"/>
      <c r="AZ3302" s="81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5"/>
      <c r="BP3302" s="5"/>
    </row>
    <row r="3303" spans="35:68" x14ac:dyDescent="0.25">
      <c r="AI3303" s="49"/>
      <c r="AJ3303" s="78"/>
      <c r="AK3303" s="79"/>
      <c r="AL3303" s="79"/>
      <c r="AM3303" s="79"/>
      <c r="AN3303" s="79"/>
      <c r="AO3303" s="79"/>
      <c r="AP3303" s="79"/>
      <c r="AQ3303" s="79"/>
      <c r="AR3303" s="78"/>
      <c r="AS3303" s="78"/>
      <c r="AT3303" s="79"/>
      <c r="AU3303" s="79"/>
      <c r="AV3303" s="79"/>
      <c r="AW3303" s="79"/>
      <c r="AX3303" s="79"/>
      <c r="AZ3303" s="81"/>
      <c r="BB3303" s="5"/>
      <c r="BC3303" s="5"/>
      <c r="BD3303" s="5"/>
      <c r="BE3303" s="5"/>
      <c r="BF3303" s="5"/>
      <c r="BG3303" s="5"/>
      <c r="BH3303" s="5"/>
      <c r="BI3303" s="5"/>
      <c r="BJ3303" s="5"/>
      <c r="BK3303" s="5"/>
      <c r="BL3303" s="5"/>
      <c r="BM3303" s="5"/>
      <c r="BN3303" s="5"/>
      <c r="BO3303" s="5"/>
      <c r="BP3303" s="5"/>
    </row>
    <row r="3304" spans="35:68" x14ac:dyDescent="0.25">
      <c r="AI3304" s="49"/>
      <c r="AJ3304" s="78"/>
      <c r="AK3304" s="79"/>
      <c r="AL3304" s="79"/>
      <c r="AM3304" s="79"/>
      <c r="AN3304" s="79"/>
      <c r="AO3304" s="79"/>
      <c r="AP3304" s="79"/>
      <c r="AQ3304" s="79"/>
      <c r="AR3304" s="78"/>
      <c r="AS3304" s="78"/>
      <c r="AT3304" s="79"/>
      <c r="AU3304" s="79"/>
      <c r="AV3304" s="79"/>
      <c r="AW3304" s="79"/>
      <c r="AX3304" s="79"/>
      <c r="AZ3304" s="81"/>
      <c r="BB3304" s="5"/>
      <c r="BC3304" s="5"/>
      <c r="BD3304" s="5"/>
      <c r="BE3304" s="5"/>
      <c r="BF3304" s="5"/>
      <c r="BG3304" s="5"/>
      <c r="BH3304" s="5"/>
      <c r="BI3304" s="5"/>
      <c r="BJ3304" s="5"/>
      <c r="BK3304" s="5"/>
      <c r="BL3304" s="5"/>
      <c r="BM3304" s="5"/>
      <c r="BN3304" s="5"/>
      <c r="BO3304" s="5"/>
      <c r="BP3304" s="5"/>
    </row>
    <row r="3305" spans="35:68" x14ac:dyDescent="0.25">
      <c r="AI3305" s="49"/>
      <c r="AJ3305" s="78"/>
      <c r="AK3305" s="79"/>
      <c r="AL3305" s="79"/>
      <c r="AM3305" s="79"/>
      <c r="AN3305" s="79"/>
      <c r="AO3305" s="79"/>
      <c r="AP3305" s="79"/>
      <c r="AQ3305" s="79"/>
      <c r="AR3305" s="78"/>
      <c r="AS3305" s="78"/>
      <c r="AT3305" s="79"/>
      <c r="AU3305" s="79"/>
      <c r="AV3305" s="79"/>
      <c r="AW3305" s="79"/>
      <c r="AX3305" s="79"/>
      <c r="AZ3305" s="81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/>
      <c r="BN3305" s="5"/>
      <c r="BO3305" s="5"/>
      <c r="BP3305" s="5"/>
    </row>
    <row r="3306" spans="35:68" x14ac:dyDescent="0.25">
      <c r="AI3306" s="49"/>
      <c r="AJ3306" s="78"/>
      <c r="AK3306" s="79"/>
      <c r="AL3306" s="79"/>
      <c r="AM3306" s="79"/>
      <c r="AN3306" s="79"/>
      <c r="AO3306" s="79"/>
      <c r="AP3306" s="79"/>
      <c r="AQ3306" s="79"/>
      <c r="AR3306" s="78"/>
      <c r="AS3306" s="78"/>
      <c r="AT3306" s="79"/>
      <c r="AU3306" s="79"/>
      <c r="AV3306" s="79"/>
      <c r="AW3306" s="79"/>
      <c r="AX3306" s="79"/>
      <c r="AZ3306" s="81"/>
      <c r="BB3306" s="5"/>
      <c r="BC3306" s="5"/>
      <c r="BD3306" s="5"/>
      <c r="BE3306" s="5"/>
      <c r="BF3306" s="5"/>
      <c r="BG3306" s="5"/>
      <c r="BH3306" s="5"/>
      <c r="BI3306" s="5"/>
      <c r="BJ3306" s="5"/>
      <c r="BK3306" s="5"/>
      <c r="BL3306" s="5"/>
      <c r="BM3306" s="5"/>
      <c r="BN3306" s="5"/>
      <c r="BO3306" s="5"/>
      <c r="BP3306" s="5"/>
    </row>
    <row r="3307" spans="35:68" x14ac:dyDescent="0.25">
      <c r="AI3307" s="49"/>
      <c r="AJ3307" s="78"/>
      <c r="AK3307" s="79"/>
      <c r="AL3307" s="79"/>
      <c r="AM3307" s="79"/>
      <c r="AN3307" s="79"/>
      <c r="AO3307" s="79"/>
      <c r="AP3307" s="79"/>
      <c r="AQ3307" s="79"/>
      <c r="AR3307" s="78"/>
      <c r="AS3307" s="78"/>
      <c r="AT3307" s="79"/>
      <c r="AU3307" s="79"/>
      <c r="AV3307" s="79"/>
      <c r="AW3307" s="79"/>
      <c r="AX3307" s="79"/>
      <c r="AZ3307" s="81"/>
      <c r="BB3307" s="5"/>
      <c r="BC3307" s="5"/>
      <c r="BD3307" s="5"/>
      <c r="BE3307" s="5"/>
      <c r="BF3307" s="5"/>
      <c r="BG3307" s="5"/>
      <c r="BH3307" s="5"/>
      <c r="BI3307" s="5"/>
      <c r="BJ3307" s="5"/>
      <c r="BK3307" s="5"/>
      <c r="BL3307" s="5"/>
      <c r="BM3307" s="5"/>
      <c r="BN3307" s="5"/>
      <c r="BO3307" s="5"/>
      <c r="BP3307" s="5"/>
    </row>
    <row r="3308" spans="35:68" x14ac:dyDescent="0.25">
      <c r="AI3308" s="49"/>
      <c r="AJ3308" s="78"/>
      <c r="AK3308" s="79"/>
      <c r="AL3308" s="79"/>
      <c r="AM3308" s="79"/>
      <c r="AN3308" s="79"/>
      <c r="AO3308" s="79"/>
      <c r="AP3308" s="79"/>
      <c r="AQ3308" s="79"/>
      <c r="AR3308" s="78"/>
      <c r="AS3308" s="78"/>
      <c r="AT3308" s="79"/>
      <c r="AU3308" s="79"/>
      <c r="AV3308" s="79"/>
      <c r="AW3308" s="79"/>
      <c r="AX3308" s="79"/>
      <c r="AZ3308" s="81"/>
      <c r="BB3308" s="5"/>
      <c r="BC3308" s="5"/>
      <c r="BD3308" s="5"/>
      <c r="BE3308" s="5"/>
      <c r="BF3308" s="5"/>
      <c r="BG3308" s="5"/>
      <c r="BH3308" s="5"/>
      <c r="BI3308" s="5"/>
      <c r="BJ3308" s="5"/>
      <c r="BK3308" s="5"/>
      <c r="BL3308" s="5"/>
      <c r="BM3308" s="5"/>
      <c r="BN3308" s="5"/>
      <c r="BO3308" s="5"/>
      <c r="BP3308" s="5"/>
    </row>
    <row r="3309" spans="35:68" x14ac:dyDescent="0.25">
      <c r="AI3309" s="49"/>
      <c r="AJ3309" s="78"/>
      <c r="AK3309" s="79"/>
      <c r="AL3309" s="79"/>
      <c r="AM3309" s="79"/>
      <c r="AN3309" s="79"/>
      <c r="AO3309" s="79"/>
      <c r="AP3309" s="79"/>
      <c r="AQ3309" s="79"/>
      <c r="AR3309" s="78"/>
      <c r="AS3309" s="78"/>
      <c r="AT3309" s="79"/>
      <c r="AU3309" s="79"/>
      <c r="AV3309" s="79"/>
      <c r="AW3309" s="79"/>
      <c r="AX3309" s="79"/>
      <c r="AZ3309" s="81"/>
      <c r="BB3309" s="5"/>
      <c r="BC3309" s="5"/>
      <c r="BD3309" s="5"/>
      <c r="BE3309" s="5"/>
      <c r="BF3309" s="5"/>
      <c r="BG3309" s="5"/>
      <c r="BH3309" s="5"/>
      <c r="BI3309" s="5"/>
      <c r="BJ3309" s="5"/>
      <c r="BK3309" s="5"/>
      <c r="BL3309" s="5"/>
      <c r="BM3309" s="5"/>
      <c r="BN3309" s="5"/>
      <c r="BO3309" s="5"/>
      <c r="BP3309" s="5"/>
    </row>
    <row r="3310" spans="35:68" x14ac:dyDescent="0.25">
      <c r="AI3310" s="49"/>
      <c r="AJ3310" s="78"/>
      <c r="AK3310" s="79"/>
      <c r="AL3310" s="79"/>
      <c r="AM3310" s="79"/>
      <c r="AN3310" s="79"/>
      <c r="AO3310" s="79"/>
      <c r="AP3310" s="79"/>
      <c r="AQ3310" s="79"/>
      <c r="AR3310" s="78"/>
      <c r="AS3310" s="78"/>
      <c r="AT3310" s="79"/>
      <c r="AU3310" s="79"/>
      <c r="AV3310" s="79"/>
      <c r="AW3310" s="79"/>
      <c r="AX3310" s="79"/>
      <c r="AZ3310" s="81"/>
      <c r="BB3310" s="5"/>
      <c r="BC3310" s="5"/>
      <c r="BD3310" s="5"/>
      <c r="BE3310" s="5"/>
      <c r="BF3310" s="5"/>
      <c r="BG3310" s="5"/>
      <c r="BH3310" s="5"/>
      <c r="BI3310" s="5"/>
      <c r="BJ3310" s="5"/>
      <c r="BK3310" s="5"/>
      <c r="BL3310" s="5"/>
      <c r="BM3310" s="5"/>
      <c r="BN3310" s="5"/>
      <c r="BO3310" s="5"/>
      <c r="BP3310" s="5"/>
    </row>
    <row r="3311" spans="35:68" x14ac:dyDescent="0.25">
      <c r="AI3311" s="49"/>
      <c r="AJ3311" s="78"/>
      <c r="AK3311" s="79"/>
      <c r="AL3311" s="79"/>
      <c r="AM3311" s="79"/>
      <c r="AN3311" s="79"/>
      <c r="AO3311" s="79"/>
      <c r="AP3311" s="79"/>
      <c r="AQ3311" s="79"/>
      <c r="AR3311" s="78"/>
      <c r="AS3311" s="78"/>
      <c r="AT3311" s="79"/>
      <c r="AU3311" s="79"/>
      <c r="AV3311" s="79"/>
      <c r="AW3311" s="79"/>
      <c r="AX3311" s="79"/>
      <c r="AZ3311" s="81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/>
      <c r="BO3311" s="5"/>
      <c r="BP3311" s="5"/>
    </row>
    <row r="3312" spans="35:68" x14ac:dyDescent="0.25">
      <c r="AI3312" s="49"/>
      <c r="AJ3312" s="78"/>
      <c r="AK3312" s="79"/>
      <c r="AL3312" s="79"/>
      <c r="AM3312" s="79"/>
      <c r="AN3312" s="79"/>
      <c r="AO3312" s="79"/>
      <c r="AP3312" s="79"/>
      <c r="AQ3312" s="79"/>
      <c r="AR3312" s="78"/>
      <c r="AS3312" s="78"/>
      <c r="AT3312" s="79"/>
      <c r="AU3312" s="79"/>
      <c r="AV3312" s="79"/>
      <c r="AW3312" s="79"/>
      <c r="AX3312" s="79"/>
      <c r="AZ3312" s="81"/>
      <c r="BB3312" s="5"/>
      <c r="BC3312" s="5"/>
      <c r="BD3312" s="5"/>
      <c r="BE3312" s="5"/>
      <c r="BF3312" s="5"/>
      <c r="BG3312" s="5"/>
      <c r="BH3312" s="5"/>
      <c r="BI3312" s="5"/>
      <c r="BJ3312" s="5"/>
      <c r="BK3312" s="5"/>
      <c r="BL3312" s="5"/>
      <c r="BM3312" s="5"/>
      <c r="BN3312" s="5"/>
      <c r="BO3312" s="5"/>
      <c r="BP3312" s="5"/>
    </row>
    <row r="3313" spans="35:68" x14ac:dyDescent="0.25">
      <c r="AI3313" s="49"/>
      <c r="AJ3313" s="78"/>
      <c r="AK3313" s="79"/>
      <c r="AL3313" s="79"/>
      <c r="AM3313" s="79"/>
      <c r="AN3313" s="79"/>
      <c r="AO3313" s="79"/>
      <c r="AP3313" s="79"/>
      <c r="AQ3313" s="79"/>
      <c r="AR3313" s="78"/>
      <c r="AS3313" s="78"/>
      <c r="AT3313" s="79"/>
      <c r="AU3313" s="79"/>
      <c r="AV3313" s="79"/>
      <c r="AW3313" s="79"/>
      <c r="AX3313" s="79"/>
      <c r="AZ3313" s="81"/>
      <c r="BB3313" s="5"/>
      <c r="BC3313" s="5"/>
      <c r="BD3313" s="5"/>
      <c r="BE3313" s="5"/>
      <c r="BF3313" s="5"/>
      <c r="BG3313" s="5"/>
      <c r="BH3313" s="5"/>
      <c r="BI3313" s="5"/>
      <c r="BJ3313" s="5"/>
      <c r="BK3313" s="5"/>
      <c r="BL3313" s="5"/>
      <c r="BM3313" s="5"/>
      <c r="BN3313" s="5"/>
      <c r="BO3313" s="5"/>
      <c r="BP3313" s="5"/>
    </row>
    <row r="3314" spans="35:68" x14ac:dyDescent="0.25">
      <c r="AI3314" s="49"/>
      <c r="AJ3314" s="78"/>
      <c r="AK3314" s="79"/>
      <c r="AL3314" s="79"/>
      <c r="AM3314" s="79"/>
      <c r="AN3314" s="79"/>
      <c r="AO3314" s="79"/>
      <c r="AP3314" s="79"/>
      <c r="AQ3314" s="79"/>
      <c r="AR3314" s="78"/>
      <c r="AS3314" s="78"/>
      <c r="AT3314" s="79"/>
      <c r="AU3314" s="79"/>
      <c r="AV3314" s="79"/>
      <c r="AW3314" s="79"/>
      <c r="AX3314" s="79"/>
      <c r="AZ3314" s="81"/>
      <c r="BB3314" s="5"/>
      <c r="BC3314" s="5"/>
      <c r="BD3314" s="5"/>
      <c r="BE3314" s="5"/>
      <c r="BF3314" s="5"/>
      <c r="BG3314" s="5"/>
      <c r="BH3314" s="5"/>
      <c r="BI3314" s="5"/>
      <c r="BJ3314" s="5"/>
      <c r="BK3314" s="5"/>
      <c r="BL3314" s="5"/>
      <c r="BM3314" s="5"/>
      <c r="BN3314" s="5"/>
      <c r="BO3314" s="5"/>
      <c r="BP3314" s="5"/>
    </row>
    <row r="3315" spans="35:68" x14ac:dyDescent="0.25">
      <c r="AI3315" s="49"/>
      <c r="AJ3315" s="78"/>
      <c r="AK3315" s="79"/>
      <c r="AL3315" s="79"/>
      <c r="AM3315" s="79"/>
      <c r="AN3315" s="79"/>
      <c r="AO3315" s="79"/>
      <c r="AP3315" s="79"/>
      <c r="AQ3315" s="79"/>
      <c r="AR3315" s="78"/>
      <c r="AS3315" s="78"/>
      <c r="AT3315" s="79"/>
      <c r="AU3315" s="79"/>
      <c r="AV3315" s="79"/>
      <c r="AW3315" s="79"/>
      <c r="AX3315" s="79"/>
      <c r="AZ3315" s="81"/>
      <c r="BB3315" s="5"/>
      <c r="BC3315" s="5"/>
      <c r="BD3315" s="5"/>
      <c r="BE3315" s="5"/>
      <c r="BF3315" s="5"/>
      <c r="BG3315" s="5"/>
      <c r="BH3315" s="5"/>
      <c r="BI3315" s="5"/>
      <c r="BJ3315" s="5"/>
      <c r="BK3315" s="5"/>
      <c r="BL3315" s="5"/>
      <c r="BM3315" s="5"/>
      <c r="BN3315" s="5"/>
      <c r="BO3315" s="5"/>
      <c r="BP3315" s="5"/>
    </row>
    <row r="3316" spans="35:68" x14ac:dyDescent="0.25">
      <c r="AI3316" s="49"/>
      <c r="AJ3316" s="78"/>
      <c r="AK3316" s="79"/>
      <c r="AL3316" s="79"/>
      <c r="AM3316" s="79"/>
      <c r="AN3316" s="79"/>
      <c r="AO3316" s="79"/>
      <c r="AP3316" s="79"/>
      <c r="AQ3316" s="79"/>
      <c r="AR3316" s="78"/>
      <c r="AS3316" s="78"/>
      <c r="AT3316" s="79"/>
      <c r="AU3316" s="79"/>
      <c r="AV3316" s="79"/>
      <c r="AW3316" s="79"/>
      <c r="AX3316" s="79"/>
      <c r="AZ3316" s="81"/>
      <c r="BB3316" s="5"/>
      <c r="BC3316" s="5"/>
      <c r="BD3316" s="5"/>
      <c r="BE3316" s="5"/>
      <c r="BF3316" s="5"/>
      <c r="BG3316" s="5"/>
      <c r="BH3316" s="5"/>
      <c r="BI3316" s="5"/>
      <c r="BJ3316" s="5"/>
      <c r="BK3316" s="5"/>
      <c r="BL3316" s="5"/>
      <c r="BM3316" s="5"/>
      <c r="BN3316" s="5"/>
      <c r="BO3316" s="5"/>
      <c r="BP3316" s="5"/>
    </row>
    <row r="3317" spans="35:68" x14ac:dyDescent="0.25">
      <c r="AI3317" s="49"/>
      <c r="AJ3317" s="78"/>
      <c r="AK3317" s="79"/>
      <c r="AL3317" s="79"/>
      <c r="AM3317" s="79"/>
      <c r="AN3317" s="79"/>
      <c r="AO3317" s="79"/>
      <c r="AP3317" s="79"/>
      <c r="AQ3317" s="79"/>
      <c r="AR3317" s="78"/>
      <c r="AS3317" s="78"/>
      <c r="AT3317" s="79"/>
      <c r="AU3317" s="79"/>
      <c r="AV3317" s="79"/>
      <c r="AW3317" s="79"/>
      <c r="AX3317" s="79"/>
      <c r="AZ3317" s="81"/>
      <c r="BB3317" s="5"/>
      <c r="BC3317" s="5"/>
      <c r="BD3317" s="5"/>
      <c r="BE3317" s="5"/>
      <c r="BF3317" s="5"/>
      <c r="BG3317" s="5"/>
      <c r="BH3317" s="5"/>
      <c r="BI3317" s="5"/>
      <c r="BJ3317" s="5"/>
      <c r="BK3317" s="5"/>
      <c r="BL3317" s="5"/>
      <c r="BM3317" s="5"/>
      <c r="BN3317" s="5"/>
      <c r="BO3317" s="5"/>
      <c r="BP3317" s="5"/>
    </row>
    <row r="3318" spans="35:68" x14ac:dyDescent="0.25">
      <c r="AI3318" s="49"/>
      <c r="AJ3318" s="78"/>
      <c r="AK3318" s="79"/>
      <c r="AL3318" s="79"/>
      <c r="AM3318" s="79"/>
      <c r="AN3318" s="79"/>
      <c r="AO3318" s="79"/>
      <c r="AP3318" s="79"/>
      <c r="AQ3318" s="79"/>
      <c r="AR3318" s="78"/>
      <c r="AS3318" s="78"/>
      <c r="AT3318" s="79"/>
      <c r="AU3318" s="79"/>
      <c r="AV3318" s="79"/>
      <c r="AW3318" s="79"/>
      <c r="AX3318" s="79"/>
      <c r="AZ3318" s="81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5"/>
      <c r="BP3318" s="5"/>
    </row>
    <row r="3319" spans="35:68" x14ac:dyDescent="0.25">
      <c r="AI3319" s="49"/>
      <c r="AJ3319" s="78"/>
      <c r="AK3319" s="79"/>
      <c r="AL3319" s="79"/>
      <c r="AM3319" s="79"/>
      <c r="AN3319" s="79"/>
      <c r="AO3319" s="79"/>
      <c r="AP3319" s="79"/>
      <c r="AQ3319" s="79"/>
      <c r="AR3319" s="78"/>
      <c r="AS3319" s="78"/>
      <c r="AT3319" s="79"/>
      <c r="AU3319" s="79"/>
      <c r="AV3319" s="79"/>
      <c r="AW3319" s="79"/>
      <c r="AX3319" s="79"/>
      <c r="AZ3319" s="81"/>
      <c r="BB3319" s="5"/>
      <c r="BC3319" s="5"/>
      <c r="BD3319" s="5"/>
      <c r="BE3319" s="5"/>
      <c r="BF3319" s="5"/>
      <c r="BG3319" s="5"/>
      <c r="BH3319" s="5"/>
      <c r="BI3319" s="5"/>
      <c r="BJ3319" s="5"/>
      <c r="BK3319" s="5"/>
      <c r="BL3319" s="5"/>
      <c r="BM3319" s="5"/>
      <c r="BN3319" s="5"/>
      <c r="BO3319" s="5"/>
      <c r="BP3319" s="5"/>
    </row>
    <row r="3320" spans="35:68" x14ac:dyDescent="0.25">
      <c r="AI3320" s="49"/>
      <c r="AJ3320" s="78"/>
      <c r="AK3320" s="79"/>
      <c r="AL3320" s="79"/>
      <c r="AM3320" s="79"/>
      <c r="AN3320" s="79"/>
      <c r="AO3320" s="79"/>
      <c r="AP3320" s="79"/>
      <c r="AQ3320" s="79"/>
      <c r="AR3320" s="78"/>
      <c r="AS3320" s="78"/>
      <c r="AT3320" s="79"/>
      <c r="AU3320" s="79"/>
      <c r="AV3320" s="79"/>
      <c r="AW3320" s="79"/>
      <c r="AX3320" s="79"/>
      <c r="AZ3320" s="81"/>
      <c r="BB3320" s="5"/>
      <c r="BC3320" s="5"/>
      <c r="BD3320" s="5"/>
      <c r="BE3320" s="5"/>
      <c r="BF3320" s="5"/>
      <c r="BG3320" s="5"/>
      <c r="BH3320" s="5"/>
      <c r="BI3320" s="5"/>
      <c r="BJ3320" s="5"/>
      <c r="BK3320" s="5"/>
      <c r="BL3320" s="5"/>
      <c r="BM3320" s="5"/>
      <c r="BN3320" s="5"/>
      <c r="BO3320" s="5"/>
      <c r="BP3320" s="5"/>
    </row>
    <row r="3321" spans="35:68" x14ac:dyDescent="0.25">
      <c r="AI3321" s="49"/>
      <c r="AJ3321" s="78"/>
      <c r="AK3321" s="79"/>
      <c r="AL3321" s="79"/>
      <c r="AM3321" s="79"/>
      <c r="AN3321" s="79"/>
      <c r="AO3321" s="79"/>
      <c r="AP3321" s="79"/>
      <c r="AQ3321" s="79"/>
      <c r="AR3321" s="78"/>
      <c r="AS3321" s="78"/>
      <c r="AT3321" s="79"/>
      <c r="AU3321" s="79"/>
      <c r="AV3321" s="79"/>
      <c r="AW3321" s="79"/>
      <c r="AX3321" s="79"/>
      <c r="AZ3321" s="81"/>
      <c r="BB3321" s="5"/>
      <c r="BC3321" s="5"/>
      <c r="BD3321" s="5"/>
      <c r="BE3321" s="5"/>
      <c r="BF3321" s="5"/>
      <c r="BG3321" s="5"/>
      <c r="BH3321" s="5"/>
      <c r="BI3321" s="5"/>
      <c r="BJ3321" s="5"/>
      <c r="BK3321" s="5"/>
      <c r="BL3321" s="5"/>
      <c r="BM3321" s="5"/>
      <c r="BN3321" s="5"/>
      <c r="BO3321" s="5"/>
      <c r="BP3321" s="5"/>
    </row>
    <row r="3322" spans="35:68" x14ac:dyDescent="0.25">
      <c r="AI3322" s="49"/>
      <c r="AJ3322" s="78"/>
      <c r="AK3322" s="79"/>
      <c r="AL3322" s="79"/>
      <c r="AM3322" s="79"/>
      <c r="AN3322" s="79"/>
      <c r="AO3322" s="79"/>
      <c r="AP3322" s="79"/>
      <c r="AQ3322" s="79"/>
      <c r="AR3322" s="78"/>
      <c r="AS3322" s="78"/>
      <c r="AT3322" s="79"/>
      <c r="AU3322" s="79"/>
      <c r="AV3322" s="79"/>
      <c r="AW3322" s="79"/>
      <c r="AX3322" s="79"/>
      <c r="AZ3322" s="81"/>
      <c r="BB3322" s="5"/>
      <c r="BC3322" s="5"/>
      <c r="BD3322" s="5"/>
      <c r="BE3322" s="5"/>
      <c r="BF3322" s="5"/>
      <c r="BG3322" s="5"/>
      <c r="BH3322" s="5"/>
      <c r="BI3322" s="5"/>
      <c r="BJ3322" s="5"/>
      <c r="BK3322" s="5"/>
      <c r="BL3322" s="5"/>
      <c r="BM3322" s="5"/>
      <c r="BN3322" s="5"/>
      <c r="BO3322" s="5"/>
      <c r="BP3322" s="5"/>
    </row>
    <row r="3323" spans="35:68" x14ac:dyDescent="0.25">
      <c r="AI3323" s="49"/>
      <c r="AJ3323" s="78"/>
      <c r="AK3323" s="79"/>
      <c r="AL3323" s="79"/>
      <c r="AM3323" s="79"/>
      <c r="AN3323" s="79"/>
      <c r="AO3323" s="79"/>
      <c r="AP3323" s="79"/>
      <c r="AQ3323" s="79"/>
      <c r="AR3323" s="78"/>
      <c r="AS3323" s="78"/>
      <c r="AT3323" s="79"/>
      <c r="AU3323" s="79"/>
      <c r="AV3323" s="79"/>
      <c r="AW3323" s="79"/>
      <c r="AX3323" s="79"/>
      <c r="AZ3323" s="81"/>
      <c r="BB3323" s="5"/>
      <c r="BC3323" s="5"/>
      <c r="BD3323" s="5"/>
      <c r="BE3323" s="5"/>
      <c r="BF3323" s="5"/>
      <c r="BG3323" s="5"/>
      <c r="BH3323" s="5"/>
      <c r="BI3323" s="5"/>
      <c r="BJ3323" s="5"/>
      <c r="BK3323" s="5"/>
      <c r="BL3323" s="5"/>
      <c r="BM3323" s="5"/>
      <c r="BN3323" s="5"/>
      <c r="BO3323" s="5"/>
      <c r="BP3323" s="5"/>
    </row>
    <row r="3324" spans="35:68" x14ac:dyDescent="0.25">
      <c r="AI3324" s="49"/>
      <c r="AJ3324" s="78"/>
      <c r="AK3324" s="79"/>
      <c r="AL3324" s="79"/>
      <c r="AM3324" s="79"/>
      <c r="AN3324" s="79"/>
      <c r="AO3324" s="79"/>
      <c r="AP3324" s="79"/>
      <c r="AQ3324" s="79"/>
      <c r="AR3324" s="78"/>
      <c r="AS3324" s="78"/>
      <c r="AT3324" s="79"/>
      <c r="AU3324" s="79"/>
      <c r="AV3324" s="79"/>
      <c r="AW3324" s="79"/>
      <c r="AX3324" s="79"/>
      <c r="AZ3324" s="81"/>
      <c r="BB3324" s="5"/>
      <c r="BC3324" s="5"/>
      <c r="BD3324" s="5"/>
      <c r="BE3324" s="5"/>
      <c r="BF3324" s="5"/>
      <c r="BG3324" s="5"/>
      <c r="BH3324" s="5"/>
      <c r="BI3324" s="5"/>
      <c r="BJ3324" s="5"/>
      <c r="BK3324" s="5"/>
      <c r="BL3324" s="5"/>
      <c r="BM3324" s="5"/>
      <c r="BN3324" s="5"/>
      <c r="BO3324" s="5"/>
      <c r="BP3324" s="5"/>
    </row>
    <row r="3325" spans="35:68" x14ac:dyDescent="0.25">
      <c r="AI3325" s="49"/>
      <c r="AJ3325" s="78"/>
      <c r="AK3325" s="79"/>
      <c r="AL3325" s="79"/>
      <c r="AM3325" s="79"/>
      <c r="AN3325" s="79"/>
      <c r="AO3325" s="79"/>
      <c r="AP3325" s="79"/>
      <c r="AQ3325" s="79"/>
      <c r="AR3325" s="78"/>
      <c r="AS3325" s="78"/>
      <c r="AT3325" s="79"/>
      <c r="AU3325" s="79"/>
      <c r="AV3325" s="79"/>
      <c r="AW3325" s="79"/>
      <c r="AX3325" s="79"/>
      <c r="AZ3325" s="81"/>
      <c r="BB3325" s="5"/>
      <c r="BC3325" s="5"/>
      <c r="BD3325" s="5"/>
      <c r="BE3325" s="5"/>
      <c r="BF3325" s="5"/>
      <c r="BG3325" s="5"/>
      <c r="BH3325" s="5"/>
      <c r="BI3325" s="5"/>
      <c r="BJ3325" s="5"/>
      <c r="BK3325" s="5"/>
      <c r="BL3325" s="5"/>
      <c r="BM3325" s="5"/>
      <c r="BN3325" s="5"/>
      <c r="BO3325" s="5"/>
      <c r="BP3325" s="5"/>
    </row>
    <row r="3326" spans="35:68" x14ac:dyDescent="0.25">
      <c r="AI3326" s="49"/>
      <c r="AJ3326" s="78"/>
      <c r="AK3326" s="79"/>
      <c r="AL3326" s="79"/>
      <c r="AM3326" s="79"/>
      <c r="AN3326" s="79"/>
      <c r="AO3326" s="79"/>
      <c r="AP3326" s="79"/>
      <c r="AQ3326" s="79"/>
      <c r="AR3326" s="78"/>
      <c r="AS3326" s="78"/>
      <c r="AT3326" s="79"/>
      <c r="AU3326" s="79"/>
      <c r="AV3326" s="79"/>
      <c r="AW3326" s="79"/>
      <c r="AX3326" s="79"/>
      <c r="AZ3326" s="81"/>
      <c r="BB3326" s="5"/>
      <c r="BC3326" s="5"/>
      <c r="BD3326" s="5"/>
      <c r="BE3326" s="5"/>
      <c r="BF3326" s="5"/>
      <c r="BG3326" s="5"/>
      <c r="BH3326" s="5"/>
      <c r="BI3326" s="5"/>
      <c r="BJ3326" s="5"/>
      <c r="BK3326" s="5"/>
      <c r="BL3326" s="5"/>
      <c r="BM3326" s="5"/>
      <c r="BN3326" s="5"/>
      <c r="BO3326" s="5"/>
      <c r="BP3326" s="5"/>
    </row>
    <row r="3327" spans="35:68" x14ac:dyDescent="0.25">
      <c r="AI3327" s="49"/>
      <c r="AJ3327" s="78"/>
      <c r="AK3327" s="79"/>
      <c r="AL3327" s="79"/>
      <c r="AM3327" s="79"/>
      <c r="AN3327" s="79"/>
      <c r="AO3327" s="79"/>
      <c r="AP3327" s="79"/>
      <c r="AQ3327" s="79"/>
      <c r="AR3327" s="78"/>
      <c r="AS3327" s="78"/>
      <c r="AT3327" s="79"/>
      <c r="AU3327" s="79"/>
      <c r="AV3327" s="79"/>
      <c r="AW3327" s="79"/>
      <c r="AX3327" s="79"/>
      <c r="AZ3327" s="81"/>
      <c r="BB3327" s="5"/>
      <c r="BC3327" s="5"/>
      <c r="BD3327" s="5"/>
      <c r="BE3327" s="5"/>
      <c r="BF3327" s="5"/>
      <c r="BG3327" s="5"/>
      <c r="BH3327" s="5"/>
      <c r="BI3327" s="5"/>
      <c r="BJ3327" s="5"/>
      <c r="BK3327" s="5"/>
      <c r="BL3327" s="5"/>
      <c r="BM3327" s="5"/>
      <c r="BN3327" s="5"/>
      <c r="BO3327" s="5"/>
      <c r="BP3327" s="5"/>
    </row>
    <row r="3328" spans="35:68" x14ac:dyDescent="0.25">
      <c r="AI3328" s="49"/>
      <c r="AJ3328" s="78"/>
      <c r="AK3328" s="79"/>
      <c r="AL3328" s="79"/>
      <c r="AM3328" s="79"/>
      <c r="AN3328" s="79"/>
      <c r="AO3328" s="79"/>
      <c r="AP3328" s="79"/>
      <c r="AQ3328" s="79"/>
      <c r="AR3328" s="78"/>
      <c r="AS3328" s="78"/>
      <c r="AT3328" s="79"/>
      <c r="AU3328" s="79"/>
      <c r="AV3328" s="79"/>
      <c r="AW3328" s="79"/>
      <c r="AX3328" s="79"/>
      <c r="AZ3328" s="81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</row>
    <row r="3329" spans="35:68" x14ac:dyDescent="0.25">
      <c r="AI3329" s="49"/>
      <c r="AJ3329" s="78"/>
      <c r="AK3329" s="79"/>
      <c r="AL3329" s="79"/>
      <c r="AM3329" s="79"/>
      <c r="AN3329" s="79"/>
      <c r="AO3329" s="79"/>
      <c r="AP3329" s="79"/>
      <c r="AQ3329" s="79"/>
      <c r="AR3329" s="78"/>
      <c r="AS3329" s="78"/>
      <c r="AT3329" s="79"/>
      <c r="AU3329" s="79"/>
      <c r="AV3329" s="79"/>
      <c r="AW3329" s="79"/>
      <c r="AX3329" s="79"/>
      <c r="AZ3329" s="81"/>
      <c r="BB3329" s="5"/>
      <c r="BC3329" s="5"/>
      <c r="BD3329" s="5"/>
      <c r="BE3329" s="5"/>
      <c r="BF3329" s="5"/>
      <c r="BG3329" s="5"/>
      <c r="BH3329" s="5"/>
      <c r="BI3329" s="5"/>
      <c r="BJ3329" s="5"/>
      <c r="BK3329" s="5"/>
      <c r="BL3329" s="5"/>
      <c r="BM3329" s="5"/>
      <c r="BN3329" s="5"/>
      <c r="BO3329" s="5"/>
      <c r="BP3329" s="5"/>
    </row>
    <row r="3330" spans="35:68" x14ac:dyDescent="0.25">
      <c r="AI3330" s="49"/>
      <c r="AJ3330" s="78"/>
      <c r="AK3330" s="79"/>
      <c r="AL3330" s="79"/>
      <c r="AM3330" s="79"/>
      <c r="AN3330" s="79"/>
      <c r="AO3330" s="79"/>
      <c r="AP3330" s="79"/>
      <c r="AQ3330" s="79"/>
      <c r="AR3330" s="78"/>
      <c r="AS3330" s="78"/>
      <c r="AT3330" s="79"/>
      <c r="AU3330" s="79"/>
      <c r="AV3330" s="79"/>
      <c r="AW3330" s="79"/>
      <c r="AX3330" s="79"/>
      <c r="AZ3330" s="81"/>
      <c r="BB3330" s="5"/>
      <c r="BC3330" s="5"/>
      <c r="BD3330" s="5"/>
      <c r="BE3330" s="5"/>
      <c r="BF3330" s="5"/>
      <c r="BG3330" s="5"/>
      <c r="BH3330" s="5"/>
      <c r="BI3330" s="5"/>
      <c r="BJ3330" s="5"/>
      <c r="BK3330" s="5"/>
      <c r="BL3330" s="5"/>
      <c r="BM3330" s="5"/>
      <c r="BN3330" s="5"/>
      <c r="BO3330" s="5"/>
      <c r="BP3330" s="5"/>
    </row>
    <row r="3331" spans="35:68" x14ac:dyDescent="0.25">
      <c r="AI3331" s="49"/>
      <c r="AJ3331" s="78"/>
      <c r="AK3331" s="79"/>
      <c r="AL3331" s="79"/>
      <c r="AM3331" s="79"/>
      <c r="AN3331" s="79"/>
      <c r="AO3331" s="79"/>
      <c r="AP3331" s="79"/>
      <c r="AQ3331" s="79"/>
      <c r="AR3331" s="78"/>
      <c r="AS3331" s="78"/>
      <c r="AT3331" s="79"/>
      <c r="AU3331" s="79"/>
      <c r="AV3331" s="79"/>
      <c r="AW3331" s="79"/>
      <c r="AX3331" s="79"/>
      <c r="AZ3331" s="81"/>
      <c r="BB3331" s="5"/>
      <c r="BC3331" s="5"/>
      <c r="BD3331" s="5"/>
      <c r="BE3331" s="5"/>
      <c r="BF3331" s="5"/>
      <c r="BG3331" s="5"/>
      <c r="BH3331" s="5"/>
      <c r="BI3331" s="5"/>
      <c r="BJ3331" s="5"/>
      <c r="BK3331" s="5"/>
      <c r="BL3331" s="5"/>
      <c r="BM3331" s="5"/>
      <c r="BN3331" s="5"/>
      <c r="BO3331" s="5"/>
      <c r="BP3331" s="5"/>
    </row>
    <row r="3332" spans="35:68" x14ac:dyDescent="0.25">
      <c r="AI3332" s="49"/>
      <c r="AJ3332" s="78"/>
      <c r="AK3332" s="79"/>
      <c r="AL3332" s="79"/>
      <c r="AM3332" s="79"/>
      <c r="AN3332" s="79"/>
      <c r="AO3332" s="79"/>
      <c r="AP3332" s="79"/>
      <c r="AQ3332" s="79"/>
      <c r="AR3332" s="78"/>
      <c r="AS3332" s="78"/>
      <c r="AT3332" s="79"/>
      <c r="AU3332" s="79"/>
      <c r="AV3332" s="79"/>
      <c r="AW3332" s="79"/>
      <c r="AX3332" s="79"/>
      <c r="AZ3332" s="81"/>
      <c r="BB3332" s="5"/>
      <c r="BC3332" s="5"/>
      <c r="BD3332" s="5"/>
      <c r="BE3332" s="5"/>
      <c r="BF3332" s="5"/>
      <c r="BG3332" s="5"/>
      <c r="BH3332" s="5"/>
      <c r="BI3332" s="5"/>
      <c r="BJ3332" s="5"/>
      <c r="BK3332" s="5"/>
      <c r="BL3332" s="5"/>
      <c r="BM3332" s="5"/>
      <c r="BN3332" s="5"/>
      <c r="BO3332" s="5"/>
      <c r="BP3332" s="5"/>
    </row>
    <row r="3333" spans="35:68" x14ac:dyDescent="0.25">
      <c r="AI3333" s="49"/>
      <c r="AJ3333" s="78"/>
      <c r="AK3333" s="79"/>
      <c r="AL3333" s="79"/>
      <c r="AM3333" s="79"/>
      <c r="AN3333" s="79"/>
      <c r="AO3333" s="79"/>
      <c r="AP3333" s="79"/>
      <c r="AQ3333" s="79"/>
      <c r="AR3333" s="78"/>
      <c r="AS3333" s="78"/>
      <c r="AT3333" s="79"/>
      <c r="AU3333" s="79"/>
      <c r="AV3333" s="79"/>
      <c r="AW3333" s="79"/>
      <c r="AX3333" s="79"/>
      <c r="AZ3333" s="81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</row>
    <row r="3334" spans="35:68" x14ac:dyDescent="0.25">
      <c r="AI3334" s="49"/>
      <c r="AJ3334" s="78"/>
      <c r="AK3334" s="79"/>
      <c r="AL3334" s="79"/>
      <c r="AM3334" s="79"/>
      <c r="AN3334" s="79"/>
      <c r="AO3334" s="79"/>
      <c r="AP3334" s="79"/>
      <c r="AQ3334" s="79"/>
      <c r="AR3334" s="78"/>
      <c r="AS3334" s="78"/>
      <c r="AT3334" s="79"/>
      <c r="AU3334" s="79"/>
      <c r="AV3334" s="79"/>
      <c r="AW3334" s="79"/>
      <c r="AX3334" s="79"/>
      <c r="AZ3334" s="81"/>
      <c r="BB3334" s="5"/>
      <c r="BC3334" s="5"/>
      <c r="BD3334" s="5"/>
      <c r="BE3334" s="5"/>
      <c r="BF3334" s="5"/>
      <c r="BG3334" s="5"/>
      <c r="BH3334" s="5"/>
      <c r="BI3334" s="5"/>
      <c r="BJ3334" s="5"/>
      <c r="BK3334" s="5"/>
      <c r="BL3334" s="5"/>
      <c r="BM3334" s="5"/>
      <c r="BN3334" s="5"/>
      <c r="BO3334" s="5"/>
      <c r="BP3334" s="5"/>
    </row>
    <row r="3335" spans="35:68" x14ac:dyDescent="0.25">
      <c r="AI3335" s="49"/>
      <c r="AJ3335" s="78"/>
      <c r="AK3335" s="79"/>
      <c r="AL3335" s="79"/>
      <c r="AM3335" s="79"/>
      <c r="AN3335" s="79"/>
      <c r="AO3335" s="79"/>
      <c r="AP3335" s="79"/>
      <c r="AQ3335" s="79"/>
      <c r="AR3335" s="78"/>
      <c r="AS3335" s="78"/>
      <c r="AT3335" s="79"/>
      <c r="AU3335" s="79"/>
      <c r="AV3335" s="79"/>
      <c r="AW3335" s="79"/>
      <c r="AX3335" s="79"/>
      <c r="AZ3335" s="81"/>
      <c r="BB3335" s="5"/>
      <c r="BC3335" s="5"/>
      <c r="BD3335" s="5"/>
      <c r="BE3335" s="5"/>
      <c r="BF3335" s="5"/>
      <c r="BG3335" s="5"/>
      <c r="BH3335" s="5"/>
      <c r="BI3335" s="5"/>
      <c r="BJ3335" s="5"/>
      <c r="BK3335" s="5"/>
      <c r="BL3335" s="5"/>
      <c r="BM3335" s="5"/>
      <c r="BN3335" s="5"/>
      <c r="BO3335" s="5"/>
      <c r="BP3335" s="5"/>
    </row>
    <row r="3336" spans="35:68" x14ac:dyDescent="0.25">
      <c r="AI3336" s="49"/>
      <c r="AJ3336" s="78"/>
      <c r="AK3336" s="79"/>
      <c r="AL3336" s="79"/>
      <c r="AM3336" s="79"/>
      <c r="AN3336" s="79"/>
      <c r="AO3336" s="79"/>
      <c r="AP3336" s="79"/>
      <c r="AQ3336" s="79"/>
      <c r="AR3336" s="78"/>
      <c r="AS3336" s="78"/>
      <c r="AT3336" s="79"/>
      <c r="AU3336" s="79"/>
      <c r="AV3336" s="79"/>
      <c r="AW3336" s="79"/>
      <c r="AX3336" s="79"/>
      <c r="AZ3336" s="81"/>
      <c r="BB3336" s="5"/>
      <c r="BC3336" s="5"/>
      <c r="BD3336" s="5"/>
      <c r="BE3336" s="5"/>
      <c r="BF3336" s="5"/>
      <c r="BG3336" s="5"/>
      <c r="BH3336" s="5"/>
      <c r="BI3336" s="5"/>
      <c r="BJ3336" s="5"/>
      <c r="BK3336" s="5"/>
      <c r="BL3336" s="5"/>
      <c r="BM3336" s="5"/>
      <c r="BN3336" s="5"/>
      <c r="BO3336" s="5"/>
      <c r="BP3336" s="5"/>
    </row>
    <row r="3337" spans="35:68" x14ac:dyDescent="0.25">
      <c r="AI3337" s="49"/>
      <c r="AJ3337" s="78"/>
      <c r="AK3337" s="79"/>
      <c r="AL3337" s="79"/>
      <c r="AM3337" s="79"/>
      <c r="AN3337" s="79"/>
      <c r="AO3337" s="79"/>
      <c r="AP3337" s="79"/>
      <c r="AQ3337" s="79"/>
      <c r="AR3337" s="78"/>
      <c r="AS3337" s="78"/>
      <c r="AT3337" s="79"/>
      <c r="AU3337" s="79"/>
      <c r="AV3337" s="79"/>
      <c r="AW3337" s="79"/>
      <c r="AX3337" s="79"/>
      <c r="AZ3337" s="81"/>
      <c r="BB3337" s="5"/>
      <c r="BC3337" s="5"/>
      <c r="BD3337" s="5"/>
      <c r="BE3337" s="5"/>
      <c r="BF3337" s="5"/>
      <c r="BG3337" s="5"/>
      <c r="BH3337" s="5"/>
      <c r="BI3337" s="5"/>
      <c r="BJ3337" s="5"/>
      <c r="BK3337" s="5"/>
      <c r="BL3337" s="5"/>
      <c r="BM3337" s="5"/>
      <c r="BN3337" s="5"/>
      <c r="BO3337" s="5"/>
      <c r="BP3337" s="5"/>
    </row>
    <row r="3338" spans="35:68" x14ac:dyDescent="0.25">
      <c r="AI3338" s="49"/>
      <c r="AJ3338" s="78"/>
      <c r="AK3338" s="79"/>
      <c r="AL3338" s="79"/>
      <c r="AM3338" s="79"/>
      <c r="AN3338" s="79"/>
      <c r="AO3338" s="79"/>
      <c r="AP3338" s="79"/>
      <c r="AQ3338" s="79"/>
      <c r="AR3338" s="78"/>
      <c r="AS3338" s="78"/>
      <c r="AT3338" s="79"/>
      <c r="AU3338" s="79"/>
      <c r="AV3338" s="79"/>
      <c r="AW3338" s="79"/>
      <c r="AX3338" s="79"/>
      <c r="AZ3338" s="81"/>
      <c r="BB3338" s="5"/>
      <c r="BC3338" s="5"/>
      <c r="BD3338" s="5"/>
      <c r="BE3338" s="5"/>
      <c r="BF3338" s="5"/>
      <c r="BG3338" s="5"/>
      <c r="BH3338" s="5"/>
      <c r="BI3338" s="5"/>
      <c r="BJ3338" s="5"/>
      <c r="BK3338" s="5"/>
      <c r="BL3338" s="5"/>
      <c r="BM3338" s="5"/>
      <c r="BN3338" s="5"/>
      <c r="BO3338" s="5"/>
      <c r="BP3338" s="5"/>
    </row>
    <row r="3339" spans="35:68" x14ac:dyDescent="0.25">
      <c r="AI3339" s="49"/>
      <c r="AJ3339" s="78"/>
      <c r="AK3339" s="79"/>
      <c r="AL3339" s="79"/>
      <c r="AM3339" s="79"/>
      <c r="AN3339" s="79"/>
      <c r="AO3339" s="79"/>
      <c r="AP3339" s="79"/>
      <c r="AQ3339" s="79"/>
      <c r="AR3339" s="78"/>
      <c r="AS3339" s="78"/>
      <c r="AT3339" s="79"/>
      <c r="AU3339" s="79"/>
      <c r="AV3339" s="79"/>
      <c r="AW3339" s="79"/>
      <c r="AX3339" s="79"/>
      <c r="AZ3339" s="81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/>
      <c r="BP3339" s="5"/>
    </row>
    <row r="3340" spans="35:68" x14ac:dyDescent="0.25">
      <c r="AI3340" s="49"/>
      <c r="AJ3340" s="78"/>
      <c r="AK3340" s="79"/>
      <c r="AL3340" s="79"/>
      <c r="AM3340" s="79"/>
      <c r="AN3340" s="79"/>
      <c r="AO3340" s="79"/>
      <c r="AP3340" s="79"/>
      <c r="AQ3340" s="79"/>
      <c r="AR3340" s="78"/>
      <c r="AS3340" s="78"/>
      <c r="AT3340" s="79"/>
      <c r="AU3340" s="79"/>
      <c r="AV3340" s="79"/>
      <c r="AW3340" s="79"/>
      <c r="AX3340" s="79"/>
      <c r="AZ3340" s="81"/>
      <c r="BB3340" s="5"/>
      <c r="BC3340" s="5"/>
      <c r="BD3340" s="5"/>
      <c r="BE3340" s="5"/>
      <c r="BF3340" s="5"/>
      <c r="BG3340" s="5"/>
      <c r="BH3340" s="5"/>
      <c r="BI3340" s="5"/>
      <c r="BJ3340" s="5"/>
      <c r="BK3340" s="5"/>
      <c r="BL3340" s="5"/>
      <c r="BM3340" s="5"/>
      <c r="BN3340" s="5"/>
      <c r="BO3340" s="5"/>
      <c r="BP3340" s="5"/>
    </row>
    <row r="3341" spans="35:68" x14ac:dyDescent="0.25">
      <c r="AI3341" s="49"/>
      <c r="AJ3341" s="78"/>
      <c r="AK3341" s="79"/>
      <c r="AL3341" s="79"/>
      <c r="AM3341" s="79"/>
      <c r="AN3341" s="79"/>
      <c r="AO3341" s="79"/>
      <c r="AP3341" s="79"/>
      <c r="AQ3341" s="79"/>
      <c r="AR3341" s="78"/>
      <c r="AS3341" s="78"/>
      <c r="AT3341" s="79"/>
      <c r="AU3341" s="79"/>
      <c r="AV3341" s="79"/>
      <c r="AW3341" s="79"/>
      <c r="AX3341" s="79"/>
      <c r="AZ3341" s="81"/>
      <c r="BB3341" s="5"/>
      <c r="BC3341" s="5"/>
      <c r="BD3341" s="5"/>
      <c r="BE3341" s="5"/>
      <c r="BF3341" s="5"/>
      <c r="BG3341" s="5"/>
      <c r="BH3341" s="5"/>
      <c r="BI3341" s="5"/>
      <c r="BJ3341" s="5"/>
      <c r="BK3341" s="5"/>
      <c r="BL3341" s="5"/>
      <c r="BM3341" s="5"/>
      <c r="BN3341" s="5"/>
      <c r="BO3341" s="5"/>
      <c r="BP3341" s="5"/>
    </row>
    <row r="3342" spans="35:68" x14ac:dyDescent="0.25">
      <c r="AI3342" s="49"/>
      <c r="AJ3342" s="78"/>
      <c r="AK3342" s="79"/>
      <c r="AL3342" s="79"/>
      <c r="AM3342" s="79"/>
      <c r="AN3342" s="79"/>
      <c r="AO3342" s="79"/>
      <c r="AP3342" s="79"/>
      <c r="AQ3342" s="79"/>
      <c r="AR3342" s="78"/>
      <c r="AS3342" s="78"/>
      <c r="AT3342" s="79"/>
      <c r="AU3342" s="79"/>
      <c r="AV3342" s="79"/>
      <c r="AW3342" s="79"/>
      <c r="AX3342" s="79"/>
      <c r="AZ3342" s="81"/>
      <c r="BB3342" s="5"/>
      <c r="BC3342" s="5"/>
      <c r="BD3342" s="5"/>
      <c r="BE3342" s="5"/>
      <c r="BF3342" s="5"/>
      <c r="BG3342" s="5"/>
      <c r="BH3342" s="5"/>
      <c r="BI3342" s="5"/>
      <c r="BJ3342" s="5"/>
      <c r="BK3342" s="5"/>
      <c r="BL3342" s="5"/>
      <c r="BM3342" s="5"/>
      <c r="BN3342" s="5"/>
      <c r="BO3342" s="5"/>
      <c r="BP3342" s="5"/>
    </row>
    <row r="3343" spans="35:68" x14ac:dyDescent="0.25">
      <c r="AI3343" s="49"/>
      <c r="AJ3343" s="78"/>
      <c r="AK3343" s="79"/>
      <c r="AL3343" s="79"/>
      <c r="AM3343" s="79"/>
      <c r="AN3343" s="79"/>
      <c r="AO3343" s="79"/>
      <c r="AP3343" s="79"/>
      <c r="AQ3343" s="79"/>
      <c r="AR3343" s="78"/>
      <c r="AS3343" s="78"/>
      <c r="AT3343" s="79"/>
      <c r="AU3343" s="79"/>
      <c r="AV3343" s="79"/>
      <c r="AW3343" s="79"/>
      <c r="AX3343" s="79"/>
      <c r="AZ3343" s="81"/>
      <c r="BB3343" s="5"/>
      <c r="BC3343" s="5"/>
      <c r="BD3343" s="5"/>
      <c r="BE3343" s="5"/>
      <c r="BF3343" s="5"/>
      <c r="BG3343" s="5"/>
      <c r="BH3343" s="5"/>
      <c r="BI3343" s="5"/>
      <c r="BJ3343" s="5"/>
      <c r="BK3343" s="5"/>
      <c r="BL3343" s="5"/>
      <c r="BM3343" s="5"/>
      <c r="BN3343" s="5"/>
      <c r="BO3343" s="5"/>
      <c r="BP3343" s="5"/>
    </row>
    <row r="3344" spans="35:68" x14ac:dyDescent="0.25">
      <c r="AI3344" s="49"/>
      <c r="AJ3344" s="78"/>
      <c r="AK3344" s="79"/>
      <c r="AL3344" s="79"/>
      <c r="AM3344" s="79"/>
      <c r="AN3344" s="79"/>
      <c r="AO3344" s="79"/>
      <c r="AP3344" s="79"/>
      <c r="AQ3344" s="79"/>
      <c r="AR3344" s="78"/>
      <c r="AS3344" s="78"/>
      <c r="AT3344" s="79"/>
      <c r="AU3344" s="79"/>
      <c r="AV3344" s="79"/>
      <c r="AW3344" s="79"/>
      <c r="AX3344" s="79"/>
      <c r="AZ3344" s="81"/>
      <c r="BB3344" s="5"/>
      <c r="BC3344" s="5"/>
      <c r="BD3344" s="5"/>
      <c r="BE3344" s="5"/>
      <c r="BF3344" s="5"/>
      <c r="BG3344" s="5"/>
      <c r="BH3344" s="5"/>
      <c r="BI3344" s="5"/>
      <c r="BJ3344" s="5"/>
      <c r="BK3344" s="5"/>
      <c r="BL3344" s="5"/>
      <c r="BM3344" s="5"/>
      <c r="BN3344" s="5"/>
      <c r="BO3344" s="5"/>
      <c r="BP3344" s="5"/>
    </row>
    <row r="3345" spans="35:68" x14ac:dyDescent="0.25">
      <c r="AI3345" s="49"/>
      <c r="AJ3345" s="78"/>
      <c r="AK3345" s="79"/>
      <c r="AL3345" s="79"/>
      <c r="AM3345" s="79"/>
      <c r="AN3345" s="79"/>
      <c r="AO3345" s="79"/>
      <c r="AP3345" s="79"/>
      <c r="AQ3345" s="79"/>
      <c r="AR3345" s="78"/>
      <c r="AS3345" s="78"/>
      <c r="AT3345" s="79"/>
      <c r="AU3345" s="79"/>
      <c r="AV3345" s="79"/>
      <c r="AW3345" s="79"/>
      <c r="AX3345" s="79"/>
      <c r="AZ3345" s="81"/>
      <c r="BB3345" s="5"/>
      <c r="BC3345" s="5"/>
      <c r="BD3345" s="5"/>
      <c r="BE3345" s="5"/>
      <c r="BF3345" s="5"/>
      <c r="BG3345" s="5"/>
      <c r="BH3345" s="5"/>
      <c r="BI3345" s="5"/>
      <c r="BJ3345" s="5"/>
      <c r="BK3345" s="5"/>
      <c r="BL3345" s="5"/>
      <c r="BM3345" s="5"/>
      <c r="BN3345" s="5"/>
      <c r="BO3345" s="5"/>
      <c r="BP3345" s="5"/>
    </row>
    <row r="3346" spans="35:68" x14ac:dyDescent="0.25">
      <c r="AI3346" s="49"/>
      <c r="AJ3346" s="78"/>
      <c r="AK3346" s="79"/>
      <c r="AL3346" s="79"/>
      <c r="AM3346" s="79"/>
      <c r="AN3346" s="79"/>
      <c r="AO3346" s="79"/>
      <c r="AP3346" s="79"/>
      <c r="AQ3346" s="79"/>
      <c r="AR3346" s="78"/>
      <c r="AS3346" s="78"/>
      <c r="AT3346" s="79"/>
      <c r="AU3346" s="79"/>
      <c r="AV3346" s="79"/>
      <c r="AW3346" s="79"/>
      <c r="AX3346" s="79"/>
      <c r="AZ3346" s="81"/>
      <c r="BB3346" s="5"/>
      <c r="BC3346" s="5"/>
      <c r="BD3346" s="5"/>
      <c r="BE3346" s="5"/>
      <c r="BF3346" s="5"/>
      <c r="BG3346" s="5"/>
      <c r="BH3346" s="5"/>
      <c r="BI3346" s="5"/>
      <c r="BJ3346" s="5"/>
      <c r="BK3346" s="5"/>
      <c r="BL3346" s="5"/>
      <c r="BM3346" s="5"/>
      <c r="BN3346" s="5"/>
      <c r="BO3346" s="5"/>
      <c r="BP3346" s="5"/>
    </row>
    <row r="3347" spans="35:68" x14ac:dyDescent="0.25">
      <c r="AI3347" s="49"/>
      <c r="AJ3347" s="78"/>
      <c r="AK3347" s="79"/>
      <c r="AL3347" s="79"/>
      <c r="AM3347" s="79"/>
      <c r="AN3347" s="79"/>
      <c r="AO3347" s="79"/>
      <c r="AP3347" s="79"/>
      <c r="AQ3347" s="79"/>
      <c r="AR3347" s="78"/>
      <c r="AS3347" s="78"/>
      <c r="AT3347" s="79"/>
      <c r="AU3347" s="79"/>
      <c r="AV3347" s="79"/>
      <c r="AW3347" s="79"/>
      <c r="AX3347" s="79"/>
      <c r="AZ3347" s="81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</row>
    <row r="3348" spans="35:68" x14ac:dyDescent="0.25">
      <c r="AI3348" s="49"/>
      <c r="AJ3348" s="78"/>
      <c r="AK3348" s="79"/>
      <c r="AL3348" s="79"/>
      <c r="AM3348" s="79"/>
      <c r="AN3348" s="79"/>
      <c r="AO3348" s="79"/>
      <c r="AP3348" s="79"/>
      <c r="AQ3348" s="79"/>
      <c r="AR3348" s="78"/>
      <c r="AS3348" s="78"/>
      <c r="AT3348" s="79"/>
      <c r="AU3348" s="79"/>
      <c r="AV3348" s="79"/>
      <c r="AW3348" s="79"/>
      <c r="AX3348" s="79"/>
      <c r="AZ3348" s="81"/>
      <c r="BB3348" s="5"/>
      <c r="BC3348" s="5"/>
      <c r="BD3348" s="5"/>
      <c r="BE3348" s="5"/>
      <c r="BF3348" s="5"/>
      <c r="BG3348" s="5"/>
      <c r="BH3348" s="5"/>
      <c r="BI3348" s="5"/>
      <c r="BJ3348" s="5"/>
      <c r="BK3348" s="5"/>
      <c r="BL3348" s="5"/>
      <c r="BM3348" s="5"/>
      <c r="BN3348" s="5"/>
      <c r="BO3348" s="5"/>
      <c r="BP3348" s="5"/>
    </row>
    <row r="3349" spans="35:68" x14ac:dyDescent="0.25">
      <c r="AI3349" s="49"/>
      <c r="AJ3349" s="78"/>
      <c r="AK3349" s="79"/>
      <c r="AL3349" s="79"/>
      <c r="AM3349" s="79"/>
      <c r="AN3349" s="79"/>
      <c r="AO3349" s="79"/>
      <c r="AP3349" s="79"/>
      <c r="AQ3349" s="79"/>
      <c r="AR3349" s="78"/>
      <c r="AS3349" s="78"/>
      <c r="AT3349" s="79"/>
      <c r="AU3349" s="79"/>
      <c r="AV3349" s="79"/>
      <c r="AW3349" s="79"/>
      <c r="AX3349" s="79"/>
      <c r="AZ3349" s="81"/>
      <c r="BB3349" s="5"/>
      <c r="BC3349" s="5"/>
      <c r="BD3349" s="5"/>
      <c r="BE3349" s="5"/>
      <c r="BF3349" s="5"/>
      <c r="BG3349" s="5"/>
      <c r="BH3349" s="5"/>
      <c r="BI3349" s="5"/>
      <c r="BJ3349" s="5"/>
      <c r="BK3349" s="5"/>
      <c r="BL3349" s="5"/>
      <c r="BM3349" s="5"/>
      <c r="BN3349" s="5"/>
      <c r="BO3349" s="5"/>
      <c r="BP3349" s="5"/>
    </row>
    <row r="3350" spans="35:68" x14ac:dyDescent="0.25">
      <c r="AI3350" s="49"/>
      <c r="AJ3350" s="78"/>
      <c r="AK3350" s="79"/>
      <c r="AL3350" s="79"/>
      <c r="AM3350" s="79"/>
      <c r="AN3350" s="79"/>
      <c r="AO3350" s="79"/>
      <c r="AP3350" s="79"/>
      <c r="AQ3350" s="79"/>
      <c r="AR3350" s="78"/>
      <c r="AS3350" s="78"/>
      <c r="AT3350" s="79"/>
      <c r="AU3350" s="79"/>
      <c r="AV3350" s="79"/>
      <c r="AW3350" s="79"/>
      <c r="AX3350" s="79"/>
      <c r="AZ3350" s="81"/>
      <c r="BB3350" s="5"/>
      <c r="BC3350" s="5"/>
      <c r="BD3350" s="5"/>
      <c r="BE3350" s="5"/>
      <c r="BF3350" s="5"/>
      <c r="BG3350" s="5"/>
      <c r="BH3350" s="5"/>
      <c r="BI3350" s="5"/>
      <c r="BJ3350" s="5"/>
      <c r="BK3350" s="5"/>
      <c r="BL3350" s="5"/>
      <c r="BM3350" s="5"/>
      <c r="BN3350" s="5"/>
      <c r="BO3350" s="5"/>
      <c r="BP3350" s="5"/>
    </row>
    <row r="3351" spans="35:68" x14ac:dyDescent="0.25">
      <c r="AI3351" s="49"/>
      <c r="AJ3351" s="78"/>
      <c r="AK3351" s="79"/>
      <c r="AL3351" s="79"/>
      <c r="AM3351" s="79"/>
      <c r="AN3351" s="79"/>
      <c r="AO3351" s="79"/>
      <c r="AP3351" s="79"/>
      <c r="AQ3351" s="79"/>
      <c r="AR3351" s="78"/>
      <c r="AS3351" s="78"/>
      <c r="AT3351" s="79"/>
      <c r="AU3351" s="79"/>
      <c r="AV3351" s="79"/>
      <c r="AW3351" s="79"/>
      <c r="AX3351" s="79"/>
      <c r="AZ3351" s="81"/>
      <c r="BB3351" s="5"/>
      <c r="BC3351" s="5"/>
      <c r="BD3351" s="5"/>
      <c r="BE3351" s="5"/>
      <c r="BF3351" s="5"/>
      <c r="BG3351" s="5"/>
      <c r="BH3351" s="5"/>
      <c r="BI3351" s="5"/>
      <c r="BJ3351" s="5"/>
      <c r="BK3351" s="5"/>
      <c r="BL3351" s="5"/>
      <c r="BM3351" s="5"/>
      <c r="BN3351" s="5"/>
      <c r="BO3351" s="5"/>
      <c r="BP3351" s="5"/>
    </row>
    <row r="3352" spans="35:68" x14ac:dyDescent="0.25">
      <c r="AI3352" s="49"/>
      <c r="AJ3352" s="78"/>
      <c r="AK3352" s="79"/>
      <c r="AL3352" s="79"/>
      <c r="AM3352" s="79"/>
      <c r="AN3352" s="79"/>
      <c r="AO3352" s="79"/>
      <c r="AP3352" s="79"/>
      <c r="AQ3352" s="79"/>
      <c r="AR3352" s="78"/>
      <c r="AS3352" s="78"/>
      <c r="AT3352" s="79"/>
      <c r="AU3352" s="79"/>
      <c r="AV3352" s="79"/>
      <c r="AW3352" s="79"/>
      <c r="AX3352" s="79"/>
      <c r="AZ3352" s="81"/>
      <c r="BB3352" s="5"/>
      <c r="BC3352" s="5"/>
      <c r="BD3352" s="5"/>
      <c r="BE3352" s="5"/>
      <c r="BF3352" s="5"/>
      <c r="BG3352" s="5"/>
      <c r="BH3352" s="5"/>
      <c r="BI3352" s="5"/>
      <c r="BJ3352" s="5"/>
      <c r="BK3352" s="5"/>
      <c r="BL3352" s="5"/>
      <c r="BM3352" s="5"/>
      <c r="BN3352" s="5"/>
      <c r="BO3352" s="5"/>
      <c r="BP3352" s="5"/>
    </row>
    <row r="3353" spans="35:68" x14ac:dyDescent="0.25">
      <c r="AI3353" s="49"/>
      <c r="AJ3353" s="78"/>
      <c r="AK3353" s="79"/>
      <c r="AL3353" s="79"/>
      <c r="AM3353" s="79"/>
      <c r="AN3353" s="79"/>
      <c r="AO3353" s="79"/>
      <c r="AP3353" s="79"/>
      <c r="AQ3353" s="79"/>
      <c r="AR3353" s="78"/>
      <c r="AS3353" s="78"/>
      <c r="AT3353" s="79"/>
      <c r="AU3353" s="79"/>
      <c r="AV3353" s="79"/>
      <c r="AW3353" s="79"/>
      <c r="AX3353" s="79"/>
      <c r="AZ3353" s="81"/>
      <c r="BB3353" s="5"/>
      <c r="BC3353" s="5"/>
      <c r="BD3353" s="5"/>
      <c r="BE3353" s="5"/>
      <c r="BF3353" s="5"/>
      <c r="BG3353" s="5"/>
      <c r="BH3353" s="5"/>
      <c r="BI3353" s="5"/>
      <c r="BJ3353" s="5"/>
      <c r="BK3353" s="5"/>
      <c r="BL3353" s="5"/>
      <c r="BM3353" s="5"/>
      <c r="BN3353" s="5"/>
      <c r="BO3353" s="5"/>
      <c r="BP3353" s="5"/>
    </row>
    <row r="3354" spans="35:68" x14ac:dyDescent="0.25">
      <c r="AI3354" s="49"/>
      <c r="AJ3354" s="78"/>
      <c r="AK3354" s="79"/>
      <c r="AL3354" s="79"/>
      <c r="AM3354" s="79"/>
      <c r="AN3354" s="79"/>
      <c r="AO3354" s="79"/>
      <c r="AP3354" s="79"/>
      <c r="AQ3354" s="79"/>
      <c r="AR3354" s="78"/>
      <c r="AS3354" s="78"/>
      <c r="AT3354" s="79"/>
      <c r="AU3354" s="79"/>
      <c r="AV3354" s="79"/>
      <c r="AW3354" s="79"/>
      <c r="AX3354" s="79"/>
      <c r="AZ3354" s="81"/>
      <c r="BB3354" s="5"/>
      <c r="BC3354" s="5"/>
      <c r="BD3354" s="5"/>
      <c r="BE3354" s="5"/>
      <c r="BF3354" s="5"/>
      <c r="BG3354" s="5"/>
      <c r="BH3354" s="5"/>
      <c r="BI3354" s="5"/>
      <c r="BJ3354" s="5"/>
      <c r="BK3354" s="5"/>
      <c r="BL3354" s="5"/>
      <c r="BM3354" s="5"/>
      <c r="BN3354" s="5"/>
      <c r="BO3354" s="5"/>
      <c r="BP3354" s="5"/>
    </row>
    <row r="3355" spans="35:68" x14ac:dyDescent="0.25">
      <c r="AI3355" s="49"/>
      <c r="AJ3355" s="78"/>
      <c r="AK3355" s="79"/>
      <c r="AL3355" s="79"/>
      <c r="AM3355" s="79"/>
      <c r="AN3355" s="79"/>
      <c r="AO3355" s="79"/>
      <c r="AP3355" s="79"/>
      <c r="AQ3355" s="79"/>
      <c r="AR3355" s="78"/>
      <c r="AS3355" s="78"/>
      <c r="AT3355" s="79"/>
      <c r="AU3355" s="79"/>
      <c r="AV3355" s="79"/>
      <c r="AW3355" s="79"/>
      <c r="AX3355" s="79"/>
      <c r="AZ3355" s="81"/>
      <c r="BB3355" s="5"/>
      <c r="BC3355" s="5"/>
      <c r="BD3355" s="5"/>
      <c r="BE3355" s="5"/>
      <c r="BF3355" s="5"/>
      <c r="BG3355" s="5"/>
      <c r="BH3355" s="5"/>
      <c r="BI3355" s="5"/>
      <c r="BJ3355" s="5"/>
      <c r="BK3355" s="5"/>
      <c r="BL3355" s="5"/>
      <c r="BM3355" s="5"/>
      <c r="BN3355" s="5"/>
      <c r="BO3355" s="5"/>
      <c r="BP3355" s="5"/>
    </row>
    <row r="3356" spans="35:68" x14ac:dyDescent="0.25">
      <c r="AI3356" s="49"/>
      <c r="AJ3356" s="78"/>
      <c r="AK3356" s="79"/>
      <c r="AL3356" s="79"/>
      <c r="AM3356" s="79"/>
      <c r="AN3356" s="79"/>
      <c r="AO3356" s="79"/>
      <c r="AP3356" s="79"/>
      <c r="AQ3356" s="79"/>
      <c r="AR3356" s="78"/>
      <c r="AS3356" s="78"/>
      <c r="AT3356" s="79"/>
      <c r="AU3356" s="79"/>
      <c r="AV3356" s="79"/>
      <c r="AW3356" s="79"/>
      <c r="AX3356" s="79"/>
      <c r="AZ3356" s="81"/>
      <c r="BB3356" s="5"/>
      <c r="BC3356" s="5"/>
      <c r="BD3356" s="5"/>
      <c r="BE3356" s="5"/>
      <c r="BF3356" s="5"/>
      <c r="BG3356" s="5"/>
      <c r="BH3356" s="5"/>
      <c r="BI3356" s="5"/>
      <c r="BJ3356" s="5"/>
      <c r="BK3356" s="5"/>
      <c r="BL3356" s="5"/>
      <c r="BM3356" s="5"/>
      <c r="BN3356" s="5"/>
      <c r="BO3356" s="5"/>
      <c r="BP3356" s="5"/>
    </row>
    <row r="3357" spans="35:68" x14ac:dyDescent="0.25">
      <c r="AI3357" s="49"/>
      <c r="AJ3357" s="78"/>
      <c r="AK3357" s="79"/>
      <c r="AL3357" s="79"/>
      <c r="AM3357" s="79"/>
      <c r="AN3357" s="79"/>
      <c r="AO3357" s="79"/>
      <c r="AP3357" s="79"/>
      <c r="AQ3357" s="79"/>
      <c r="AR3357" s="78"/>
      <c r="AS3357" s="78"/>
      <c r="AT3357" s="79"/>
      <c r="AU3357" s="79"/>
      <c r="AV3357" s="79"/>
      <c r="AW3357" s="79"/>
      <c r="AX3357" s="79"/>
      <c r="AZ3357" s="81"/>
      <c r="BB3357" s="5"/>
      <c r="BC3357" s="5"/>
      <c r="BD3357" s="5"/>
      <c r="BE3357" s="5"/>
      <c r="BF3357" s="5"/>
      <c r="BG3357" s="5"/>
      <c r="BH3357" s="5"/>
      <c r="BI3357" s="5"/>
      <c r="BJ3357" s="5"/>
      <c r="BK3357" s="5"/>
      <c r="BL3357" s="5"/>
      <c r="BM3357" s="5"/>
      <c r="BN3357" s="5"/>
      <c r="BO3357" s="5"/>
      <c r="BP3357" s="5"/>
    </row>
    <row r="3358" spans="35:68" x14ac:dyDescent="0.25">
      <c r="AI3358" s="49"/>
      <c r="AJ3358" s="78"/>
      <c r="AK3358" s="79"/>
      <c r="AL3358" s="79"/>
      <c r="AM3358" s="79"/>
      <c r="AN3358" s="79"/>
      <c r="AO3358" s="79"/>
      <c r="AP3358" s="79"/>
      <c r="AQ3358" s="79"/>
      <c r="AR3358" s="78"/>
      <c r="AS3358" s="78"/>
      <c r="AT3358" s="79"/>
      <c r="AU3358" s="79"/>
      <c r="AV3358" s="79"/>
      <c r="AW3358" s="79"/>
      <c r="AX3358" s="79"/>
      <c r="AZ3358" s="81"/>
      <c r="BB3358" s="5"/>
      <c r="BC3358" s="5"/>
      <c r="BD3358" s="5"/>
      <c r="BE3358" s="5"/>
      <c r="BF3358" s="5"/>
      <c r="BG3358" s="5"/>
      <c r="BH3358" s="5"/>
      <c r="BI3358" s="5"/>
      <c r="BJ3358" s="5"/>
      <c r="BK3358" s="5"/>
      <c r="BL3358" s="5"/>
      <c r="BM3358" s="5"/>
      <c r="BN3358" s="5"/>
      <c r="BO3358" s="5"/>
      <c r="BP3358" s="5"/>
    </row>
    <row r="3359" spans="35:68" x14ac:dyDescent="0.25">
      <c r="AI3359" s="49"/>
      <c r="AJ3359" s="78"/>
      <c r="AK3359" s="79"/>
      <c r="AL3359" s="79"/>
      <c r="AM3359" s="79"/>
      <c r="AN3359" s="79"/>
      <c r="AO3359" s="79"/>
      <c r="AP3359" s="79"/>
      <c r="AQ3359" s="79"/>
      <c r="AR3359" s="78"/>
      <c r="AS3359" s="78"/>
      <c r="AT3359" s="79"/>
      <c r="AU3359" s="79"/>
      <c r="AV3359" s="79"/>
      <c r="AW3359" s="79"/>
      <c r="AX3359" s="79"/>
      <c r="AZ3359" s="81"/>
      <c r="BB3359" s="5"/>
      <c r="BC3359" s="5"/>
      <c r="BD3359" s="5"/>
      <c r="BE3359" s="5"/>
      <c r="BF3359" s="5"/>
      <c r="BG3359" s="5"/>
      <c r="BH3359" s="5"/>
      <c r="BI3359" s="5"/>
      <c r="BJ3359" s="5"/>
      <c r="BK3359" s="5"/>
      <c r="BL3359" s="5"/>
      <c r="BM3359" s="5"/>
      <c r="BN3359" s="5"/>
      <c r="BO3359" s="5"/>
      <c r="BP3359" s="5"/>
    </row>
    <row r="3360" spans="35:68" x14ac:dyDescent="0.25">
      <c r="AI3360" s="49"/>
      <c r="AJ3360" s="78"/>
      <c r="AK3360" s="79"/>
      <c r="AL3360" s="79"/>
      <c r="AM3360" s="79"/>
      <c r="AN3360" s="79"/>
      <c r="AO3360" s="79"/>
      <c r="AP3360" s="79"/>
      <c r="AQ3360" s="79"/>
      <c r="AR3360" s="78"/>
      <c r="AS3360" s="78"/>
      <c r="AT3360" s="79"/>
      <c r="AU3360" s="79"/>
      <c r="AV3360" s="79"/>
      <c r="AW3360" s="79"/>
      <c r="AX3360" s="79"/>
      <c r="AZ3360" s="81"/>
      <c r="BB3360" s="5"/>
      <c r="BC3360" s="5"/>
      <c r="BD3360" s="5"/>
      <c r="BE3360" s="5"/>
      <c r="BF3360" s="5"/>
      <c r="BG3360" s="5"/>
      <c r="BH3360" s="5"/>
      <c r="BI3360" s="5"/>
      <c r="BJ3360" s="5"/>
      <c r="BK3360" s="5"/>
      <c r="BL3360" s="5"/>
      <c r="BM3360" s="5"/>
      <c r="BN3360" s="5"/>
      <c r="BO3360" s="5"/>
      <c r="BP3360" s="5"/>
    </row>
    <row r="3361" spans="35:68" x14ac:dyDescent="0.25">
      <c r="AI3361" s="49"/>
      <c r="AJ3361" s="78"/>
      <c r="AK3361" s="79"/>
      <c r="AL3361" s="79"/>
      <c r="AM3361" s="79"/>
      <c r="AN3361" s="79"/>
      <c r="AO3361" s="79"/>
      <c r="AP3361" s="79"/>
      <c r="AQ3361" s="79"/>
      <c r="AR3361" s="78"/>
      <c r="AS3361" s="78"/>
      <c r="AT3361" s="79"/>
      <c r="AU3361" s="79"/>
      <c r="AV3361" s="79"/>
      <c r="AW3361" s="79"/>
      <c r="AX3361" s="79"/>
      <c r="AZ3361" s="81"/>
      <c r="BB3361" s="5"/>
      <c r="BC3361" s="5"/>
      <c r="BD3361" s="5"/>
      <c r="BE3361" s="5"/>
      <c r="BF3361" s="5"/>
      <c r="BG3361" s="5"/>
      <c r="BH3361" s="5"/>
      <c r="BI3361" s="5"/>
      <c r="BJ3361" s="5"/>
      <c r="BK3361" s="5"/>
      <c r="BL3361" s="5"/>
      <c r="BM3361" s="5"/>
      <c r="BN3361" s="5"/>
      <c r="BO3361" s="5"/>
      <c r="BP3361" s="5"/>
    </row>
    <row r="3362" spans="35:68" x14ac:dyDescent="0.25">
      <c r="AI3362" s="49"/>
      <c r="AJ3362" s="78"/>
      <c r="AK3362" s="79"/>
      <c r="AL3362" s="79"/>
      <c r="AM3362" s="79"/>
      <c r="AN3362" s="79"/>
      <c r="AO3362" s="79"/>
      <c r="AP3362" s="79"/>
      <c r="AQ3362" s="79"/>
      <c r="AR3362" s="78"/>
      <c r="AS3362" s="78"/>
      <c r="AT3362" s="79"/>
      <c r="AU3362" s="79"/>
      <c r="AV3362" s="79"/>
      <c r="AW3362" s="79"/>
      <c r="AX3362" s="79"/>
      <c r="AZ3362" s="81"/>
      <c r="BB3362" s="5"/>
      <c r="BC3362" s="5"/>
      <c r="BD3362" s="5"/>
      <c r="BE3362" s="5"/>
      <c r="BF3362" s="5"/>
      <c r="BG3362" s="5"/>
      <c r="BH3362" s="5"/>
      <c r="BI3362" s="5"/>
      <c r="BJ3362" s="5"/>
      <c r="BK3362" s="5"/>
      <c r="BL3362" s="5"/>
      <c r="BM3362" s="5"/>
      <c r="BN3362" s="5"/>
      <c r="BO3362" s="5"/>
      <c r="BP3362" s="5"/>
    </row>
    <row r="3363" spans="35:68" x14ac:dyDescent="0.25">
      <c r="AI3363" s="49"/>
      <c r="AJ3363" s="78"/>
      <c r="AK3363" s="79"/>
      <c r="AL3363" s="79"/>
      <c r="AM3363" s="79"/>
      <c r="AN3363" s="79"/>
      <c r="AO3363" s="79"/>
      <c r="AP3363" s="79"/>
      <c r="AQ3363" s="79"/>
      <c r="AR3363" s="78"/>
      <c r="AS3363" s="78"/>
      <c r="AT3363" s="79"/>
      <c r="AU3363" s="79"/>
      <c r="AV3363" s="79"/>
      <c r="AW3363" s="79"/>
      <c r="AX3363" s="79"/>
      <c r="AZ3363" s="81"/>
      <c r="BB3363" s="5"/>
      <c r="BC3363" s="5"/>
      <c r="BD3363" s="5"/>
      <c r="BE3363" s="5"/>
      <c r="BF3363" s="5"/>
      <c r="BG3363" s="5"/>
      <c r="BH3363" s="5"/>
      <c r="BI3363" s="5"/>
      <c r="BJ3363" s="5"/>
      <c r="BK3363" s="5"/>
      <c r="BL3363" s="5"/>
      <c r="BM3363" s="5"/>
      <c r="BN3363" s="5"/>
      <c r="BO3363" s="5"/>
      <c r="BP3363" s="5"/>
    </row>
    <row r="3364" spans="35:68" x14ac:dyDescent="0.25">
      <c r="AI3364" s="49"/>
      <c r="AJ3364" s="78"/>
      <c r="AK3364" s="79"/>
      <c r="AL3364" s="79"/>
      <c r="AM3364" s="79"/>
      <c r="AN3364" s="79"/>
      <c r="AO3364" s="79"/>
      <c r="AP3364" s="79"/>
      <c r="AQ3364" s="79"/>
      <c r="AR3364" s="78"/>
      <c r="AS3364" s="78"/>
      <c r="AT3364" s="79"/>
      <c r="AU3364" s="79"/>
      <c r="AV3364" s="79"/>
      <c r="AW3364" s="79"/>
      <c r="AX3364" s="79"/>
      <c r="AZ3364" s="81"/>
      <c r="BB3364" s="5"/>
      <c r="BC3364" s="5"/>
      <c r="BD3364" s="5"/>
      <c r="BE3364" s="5"/>
      <c r="BF3364" s="5"/>
      <c r="BG3364" s="5"/>
      <c r="BH3364" s="5"/>
      <c r="BI3364" s="5"/>
      <c r="BJ3364" s="5"/>
      <c r="BK3364" s="5"/>
      <c r="BL3364" s="5"/>
      <c r="BM3364" s="5"/>
      <c r="BN3364" s="5"/>
      <c r="BO3364" s="5"/>
      <c r="BP3364" s="5"/>
    </row>
    <row r="3365" spans="35:68" x14ac:dyDescent="0.25">
      <c r="AI3365" s="49"/>
      <c r="AJ3365" s="78"/>
      <c r="AK3365" s="79"/>
      <c r="AL3365" s="79"/>
      <c r="AM3365" s="79"/>
      <c r="AN3365" s="79"/>
      <c r="AO3365" s="79"/>
      <c r="AP3365" s="79"/>
      <c r="AQ3365" s="79"/>
      <c r="AR3365" s="78"/>
      <c r="AS3365" s="78"/>
      <c r="AT3365" s="79"/>
      <c r="AU3365" s="79"/>
      <c r="AV3365" s="79"/>
      <c r="AW3365" s="79"/>
      <c r="AX3365" s="79"/>
      <c r="AZ3365" s="81"/>
      <c r="BB3365" s="5"/>
      <c r="BC3365" s="5"/>
      <c r="BD3365" s="5"/>
      <c r="BE3365" s="5"/>
      <c r="BF3365" s="5"/>
      <c r="BG3365" s="5"/>
      <c r="BH3365" s="5"/>
      <c r="BI3365" s="5"/>
      <c r="BJ3365" s="5"/>
      <c r="BK3365" s="5"/>
      <c r="BL3365" s="5"/>
      <c r="BM3365" s="5"/>
      <c r="BN3365" s="5"/>
      <c r="BO3365" s="5"/>
      <c r="BP3365" s="5"/>
    </row>
    <row r="3366" spans="35:68" x14ac:dyDescent="0.25">
      <c r="AI3366" s="49"/>
      <c r="AJ3366" s="78"/>
      <c r="AK3366" s="79"/>
      <c r="AL3366" s="79"/>
      <c r="AM3366" s="79"/>
      <c r="AN3366" s="79"/>
      <c r="AO3366" s="79"/>
      <c r="AP3366" s="79"/>
      <c r="AQ3366" s="79"/>
      <c r="AR3366" s="78"/>
      <c r="AS3366" s="78"/>
      <c r="AT3366" s="79"/>
      <c r="AU3366" s="79"/>
      <c r="AV3366" s="79"/>
      <c r="AW3366" s="79"/>
      <c r="AX3366" s="79"/>
      <c r="AZ3366" s="81"/>
      <c r="BB3366" s="5"/>
      <c r="BC3366" s="5"/>
      <c r="BD3366" s="5"/>
      <c r="BE3366" s="5"/>
      <c r="BF3366" s="5"/>
      <c r="BG3366" s="5"/>
      <c r="BH3366" s="5"/>
      <c r="BI3366" s="5"/>
      <c r="BJ3366" s="5"/>
      <c r="BK3366" s="5"/>
      <c r="BL3366" s="5"/>
      <c r="BM3366" s="5"/>
      <c r="BN3366" s="5"/>
      <c r="BO3366" s="5"/>
      <c r="BP3366" s="5"/>
    </row>
    <row r="3367" spans="35:68" x14ac:dyDescent="0.25">
      <c r="AI3367" s="49"/>
      <c r="AJ3367" s="78"/>
      <c r="AK3367" s="79"/>
      <c r="AL3367" s="79"/>
      <c r="AM3367" s="79"/>
      <c r="AN3367" s="79"/>
      <c r="AO3367" s="79"/>
      <c r="AP3367" s="79"/>
      <c r="AQ3367" s="79"/>
      <c r="AR3367" s="78"/>
      <c r="AS3367" s="78"/>
      <c r="AT3367" s="79"/>
      <c r="AU3367" s="79"/>
      <c r="AV3367" s="79"/>
      <c r="AW3367" s="79"/>
      <c r="AX3367" s="79"/>
      <c r="AZ3367" s="81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5"/>
      <c r="BM3367" s="5"/>
      <c r="BN3367" s="5"/>
      <c r="BO3367" s="5"/>
      <c r="BP3367" s="5"/>
    </row>
    <row r="3368" spans="35:68" x14ac:dyDescent="0.25">
      <c r="AI3368" s="49"/>
      <c r="AJ3368" s="78"/>
      <c r="AK3368" s="79"/>
      <c r="AL3368" s="79"/>
      <c r="AM3368" s="79"/>
      <c r="AN3368" s="79"/>
      <c r="AO3368" s="79"/>
      <c r="AP3368" s="79"/>
      <c r="AQ3368" s="79"/>
      <c r="AR3368" s="78"/>
      <c r="AS3368" s="78"/>
      <c r="AT3368" s="79"/>
      <c r="AU3368" s="79"/>
      <c r="AV3368" s="79"/>
      <c r="AW3368" s="79"/>
      <c r="AX3368" s="79"/>
      <c r="AZ3368" s="81"/>
      <c r="BB3368" s="5"/>
      <c r="BC3368" s="5"/>
      <c r="BD3368" s="5"/>
      <c r="BE3368" s="5"/>
      <c r="BF3368" s="5"/>
      <c r="BG3368" s="5"/>
      <c r="BH3368" s="5"/>
      <c r="BI3368" s="5"/>
      <c r="BJ3368" s="5"/>
      <c r="BK3368" s="5"/>
      <c r="BL3368" s="5"/>
      <c r="BM3368" s="5"/>
      <c r="BN3368" s="5"/>
      <c r="BO3368" s="5"/>
      <c r="BP3368" s="5"/>
    </row>
    <row r="3369" spans="35:68" x14ac:dyDescent="0.25">
      <c r="AI3369" s="49"/>
      <c r="AJ3369" s="78"/>
      <c r="AK3369" s="79"/>
      <c r="AL3369" s="79"/>
      <c r="AM3369" s="79"/>
      <c r="AN3369" s="79"/>
      <c r="AO3369" s="79"/>
      <c r="AP3369" s="79"/>
      <c r="AQ3369" s="79"/>
      <c r="AR3369" s="78"/>
      <c r="AS3369" s="78"/>
      <c r="AT3369" s="79"/>
      <c r="AU3369" s="79"/>
      <c r="AV3369" s="79"/>
      <c r="AW3369" s="79"/>
      <c r="AX3369" s="79"/>
      <c r="AZ3369" s="81"/>
      <c r="BB3369" s="5"/>
      <c r="BC3369" s="5"/>
      <c r="BD3369" s="5"/>
      <c r="BE3369" s="5"/>
      <c r="BF3369" s="5"/>
      <c r="BG3369" s="5"/>
      <c r="BH3369" s="5"/>
      <c r="BI3369" s="5"/>
      <c r="BJ3369" s="5"/>
      <c r="BK3369" s="5"/>
      <c r="BL3369" s="5"/>
      <c r="BM3369" s="5"/>
      <c r="BN3369" s="5"/>
      <c r="BO3369" s="5"/>
      <c r="BP3369" s="5"/>
    </row>
    <row r="3370" spans="35:68" x14ac:dyDescent="0.25">
      <c r="AI3370" s="49"/>
      <c r="AJ3370" s="78"/>
      <c r="AK3370" s="79"/>
      <c r="AL3370" s="79"/>
      <c r="AM3370" s="79"/>
      <c r="AN3370" s="79"/>
      <c r="AO3370" s="79"/>
      <c r="AP3370" s="79"/>
      <c r="AQ3370" s="79"/>
      <c r="AR3370" s="78"/>
      <c r="AS3370" s="78"/>
      <c r="AT3370" s="79"/>
      <c r="AU3370" s="79"/>
      <c r="AV3370" s="79"/>
      <c r="AW3370" s="79"/>
      <c r="AX3370" s="79"/>
      <c r="AZ3370" s="81"/>
      <c r="BB3370" s="5"/>
      <c r="BC3370" s="5"/>
      <c r="BD3370" s="5"/>
      <c r="BE3370" s="5"/>
      <c r="BF3370" s="5"/>
      <c r="BG3370" s="5"/>
      <c r="BH3370" s="5"/>
      <c r="BI3370" s="5"/>
      <c r="BJ3370" s="5"/>
      <c r="BK3370" s="5"/>
      <c r="BL3370" s="5"/>
      <c r="BM3370" s="5"/>
      <c r="BN3370" s="5"/>
      <c r="BO3370" s="5"/>
      <c r="BP3370" s="5"/>
    </row>
    <row r="3371" spans="35:68" x14ac:dyDescent="0.25">
      <c r="AI3371" s="49"/>
      <c r="AJ3371" s="78"/>
      <c r="AK3371" s="79"/>
      <c r="AL3371" s="79"/>
      <c r="AM3371" s="79"/>
      <c r="AN3371" s="79"/>
      <c r="AO3371" s="79"/>
      <c r="AP3371" s="79"/>
      <c r="AQ3371" s="79"/>
      <c r="AR3371" s="78"/>
      <c r="AS3371" s="78"/>
      <c r="AT3371" s="79"/>
      <c r="AU3371" s="79"/>
      <c r="AV3371" s="79"/>
      <c r="AW3371" s="79"/>
      <c r="AX3371" s="79"/>
      <c r="AZ3371" s="81"/>
      <c r="BB3371" s="5"/>
      <c r="BC3371" s="5"/>
      <c r="BD3371" s="5"/>
      <c r="BE3371" s="5"/>
      <c r="BF3371" s="5"/>
      <c r="BG3371" s="5"/>
      <c r="BH3371" s="5"/>
      <c r="BI3371" s="5"/>
      <c r="BJ3371" s="5"/>
      <c r="BK3371" s="5"/>
      <c r="BL3371" s="5"/>
      <c r="BM3371" s="5"/>
      <c r="BN3371" s="5"/>
      <c r="BO3371" s="5"/>
      <c r="BP3371" s="5"/>
    </row>
    <row r="3372" spans="35:68" x14ac:dyDescent="0.25">
      <c r="AI3372" s="49"/>
      <c r="AJ3372" s="78"/>
      <c r="AK3372" s="79"/>
      <c r="AL3372" s="79"/>
      <c r="AM3372" s="79"/>
      <c r="AN3372" s="79"/>
      <c r="AO3372" s="79"/>
      <c r="AP3372" s="79"/>
      <c r="AQ3372" s="79"/>
      <c r="AR3372" s="78"/>
      <c r="AS3372" s="78"/>
      <c r="AT3372" s="79"/>
      <c r="AU3372" s="79"/>
      <c r="AV3372" s="79"/>
      <c r="AW3372" s="79"/>
      <c r="AX3372" s="79"/>
      <c r="AZ3372" s="81"/>
      <c r="BB3372" s="5"/>
      <c r="BC3372" s="5"/>
      <c r="BD3372" s="5"/>
      <c r="BE3372" s="5"/>
      <c r="BF3372" s="5"/>
      <c r="BG3372" s="5"/>
      <c r="BH3372" s="5"/>
      <c r="BI3372" s="5"/>
      <c r="BJ3372" s="5"/>
      <c r="BK3372" s="5"/>
      <c r="BL3372" s="5"/>
      <c r="BM3372" s="5"/>
      <c r="BN3372" s="5"/>
      <c r="BO3372" s="5"/>
      <c r="BP3372" s="5"/>
    </row>
    <row r="3373" spans="35:68" x14ac:dyDescent="0.25">
      <c r="AI3373" s="49"/>
      <c r="AJ3373" s="78"/>
      <c r="AK3373" s="79"/>
      <c r="AL3373" s="79"/>
      <c r="AM3373" s="79"/>
      <c r="AN3373" s="79"/>
      <c r="AO3373" s="79"/>
      <c r="AP3373" s="79"/>
      <c r="AQ3373" s="79"/>
      <c r="AR3373" s="78"/>
      <c r="AS3373" s="78"/>
      <c r="AT3373" s="79"/>
      <c r="AU3373" s="79"/>
      <c r="AV3373" s="79"/>
      <c r="AW3373" s="79"/>
      <c r="AX3373" s="79"/>
      <c r="AZ3373" s="81"/>
      <c r="BB3373" s="5"/>
      <c r="BC3373" s="5"/>
      <c r="BD3373" s="5"/>
      <c r="BE3373" s="5"/>
      <c r="BF3373" s="5"/>
      <c r="BG3373" s="5"/>
      <c r="BH3373" s="5"/>
      <c r="BI3373" s="5"/>
      <c r="BJ3373" s="5"/>
      <c r="BK3373" s="5"/>
      <c r="BL3373" s="5"/>
      <c r="BM3373" s="5"/>
      <c r="BN3373" s="5"/>
      <c r="BO3373" s="5"/>
      <c r="BP3373" s="5"/>
    </row>
    <row r="3374" spans="35:68" x14ac:dyDescent="0.25">
      <c r="AI3374" s="49"/>
      <c r="AJ3374" s="78"/>
      <c r="AK3374" s="79"/>
      <c r="AL3374" s="79"/>
      <c r="AM3374" s="79"/>
      <c r="AN3374" s="79"/>
      <c r="AO3374" s="79"/>
      <c r="AP3374" s="79"/>
      <c r="AQ3374" s="79"/>
      <c r="AR3374" s="78"/>
      <c r="AS3374" s="78"/>
      <c r="AT3374" s="79"/>
      <c r="AU3374" s="79"/>
      <c r="AV3374" s="79"/>
      <c r="AW3374" s="79"/>
      <c r="AX3374" s="79"/>
      <c r="AZ3374" s="81"/>
      <c r="BB3374" s="5"/>
      <c r="BC3374" s="5"/>
      <c r="BD3374" s="5"/>
      <c r="BE3374" s="5"/>
      <c r="BF3374" s="5"/>
      <c r="BG3374" s="5"/>
      <c r="BH3374" s="5"/>
      <c r="BI3374" s="5"/>
      <c r="BJ3374" s="5"/>
      <c r="BK3374" s="5"/>
      <c r="BL3374" s="5"/>
      <c r="BM3374" s="5"/>
      <c r="BN3374" s="5"/>
      <c r="BO3374" s="5"/>
      <c r="BP3374" s="5"/>
    </row>
    <row r="3375" spans="35:68" x14ac:dyDescent="0.25">
      <c r="AI3375" s="49"/>
      <c r="AJ3375" s="78"/>
      <c r="AK3375" s="79"/>
      <c r="AL3375" s="79"/>
      <c r="AM3375" s="79"/>
      <c r="AN3375" s="79"/>
      <c r="AO3375" s="79"/>
      <c r="AP3375" s="79"/>
      <c r="AQ3375" s="79"/>
      <c r="AR3375" s="78"/>
      <c r="AS3375" s="78"/>
      <c r="AT3375" s="79"/>
      <c r="AU3375" s="79"/>
      <c r="AV3375" s="79"/>
      <c r="AW3375" s="79"/>
      <c r="AX3375" s="79"/>
      <c r="AZ3375" s="81"/>
      <c r="BB3375" s="5"/>
      <c r="BC3375" s="5"/>
      <c r="BD3375" s="5"/>
      <c r="BE3375" s="5"/>
      <c r="BF3375" s="5"/>
      <c r="BG3375" s="5"/>
      <c r="BH3375" s="5"/>
      <c r="BI3375" s="5"/>
      <c r="BJ3375" s="5"/>
      <c r="BK3375" s="5"/>
      <c r="BL3375" s="5"/>
      <c r="BM3375" s="5"/>
      <c r="BN3375" s="5"/>
      <c r="BO3375" s="5"/>
      <c r="BP3375" s="5"/>
    </row>
    <row r="3376" spans="35:68" x14ac:dyDescent="0.25">
      <c r="AI3376" s="49"/>
      <c r="AJ3376" s="78"/>
      <c r="AK3376" s="79"/>
      <c r="AL3376" s="79"/>
      <c r="AM3376" s="79"/>
      <c r="AN3376" s="79"/>
      <c r="AO3376" s="79"/>
      <c r="AP3376" s="79"/>
      <c r="AQ3376" s="79"/>
      <c r="AR3376" s="78"/>
      <c r="AS3376" s="78"/>
      <c r="AT3376" s="79"/>
      <c r="AU3376" s="79"/>
      <c r="AV3376" s="79"/>
      <c r="AW3376" s="79"/>
      <c r="AX3376" s="79"/>
      <c r="AZ3376" s="81"/>
      <c r="BB3376" s="5"/>
      <c r="BC3376" s="5"/>
      <c r="BD3376" s="5"/>
      <c r="BE3376" s="5"/>
      <c r="BF3376" s="5"/>
      <c r="BG3376" s="5"/>
      <c r="BH3376" s="5"/>
      <c r="BI3376" s="5"/>
      <c r="BJ3376" s="5"/>
      <c r="BK3376" s="5"/>
      <c r="BL3376" s="5"/>
      <c r="BM3376" s="5"/>
      <c r="BN3376" s="5"/>
      <c r="BO3376" s="5"/>
      <c r="BP3376" s="5"/>
    </row>
    <row r="3377" spans="35:68" x14ac:dyDescent="0.25">
      <c r="AI3377" s="49"/>
      <c r="AJ3377" s="78"/>
      <c r="AK3377" s="79"/>
      <c r="AL3377" s="79"/>
      <c r="AM3377" s="79"/>
      <c r="AN3377" s="79"/>
      <c r="AO3377" s="79"/>
      <c r="AP3377" s="79"/>
      <c r="AQ3377" s="79"/>
      <c r="AR3377" s="78"/>
      <c r="AS3377" s="78"/>
      <c r="AT3377" s="79"/>
      <c r="AU3377" s="79"/>
      <c r="AV3377" s="79"/>
      <c r="AW3377" s="79"/>
      <c r="AX3377" s="79"/>
      <c r="AZ3377" s="81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</row>
    <row r="3378" spans="35:68" x14ac:dyDescent="0.25">
      <c r="AI3378" s="49"/>
      <c r="AJ3378" s="78"/>
      <c r="AK3378" s="79"/>
      <c r="AL3378" s="79"/>
      <c r="AM3378" s="79"/>
      <c r="AN3378" s="79"/>
      <c r="AO3378" s="79"/>
      <c r="AP3378" s="79"/>
      <c r="AQ3378" s="79"/>
      <c r="AR3378" s="78"/>
      <c r="AS3378" s="78"/>
      <c r="AT3378" s="79"/>
      <c r="AU3378" s="79"/>
      <c r="AV3378" s="79"/>
      <c r="AW3378" s="79"/>
      <c r="AX3378" s="79"/>
      <c r="AZ3378" s="81"/>
      <c r="BB3378" s="5"/>
      <c r="BC3378" s="5"/>
      <c r="BD3378" s="5"/>
      <c r="BE3378" s="5"/>
      <c r="BF3378" s="5"/>
      <c r="BG3378" s="5"/>
      <c r="BH3378" s="5"/>
      <c r="BI3378" s="5"/>
      <c r="BJ3378" s="5"/>
      <c r="BK3378" s="5"/>
      <c r="BL3378" s="5"/>
      <c r="BM3378" s="5"/>
      <c r="BN3378" s="5"/>
      <c r="BO3378" s="5"/>
      <c r="BP3378" s="5"/>
    </row>
    <row r="3379" spans="35:68" x14ac:dyDescent="0.25">
      <c r="AI3379" s="49"/>
      <c r="AJ3379" s="78"/>
      <c r="AK3379" s="79"/>
      <c r="AL3379" s="79"/>
      <c r="AM3379" s="79"/>
      <c r="AN3379" s="79"/>
      <c r="AO3379" s="79"/>
      <c r="AP3379" s="79"/>
      <c r="AQ3379" s="79"/>
      <c r="AR3379" s="78"/>
      <c r="AS3379" s="78"/>
      <c r="AT3379" s="79"/>
      <c r="AU3379" s="79"/>
      <c r="AV3379" s="79"/>
      <c r="AW3379" s="79"/>
      <c r="AX3379" s="79"/>
      <c r="AZ3379" s="81"/>
      <c r="BB3379" s="5"/>
      <c r="BC3379" s="5"/>
      <c r="BD3379" s="5"/>
      <c r="BE3379" s="5"/>
      <c r="BF3379" s="5"/>
      <c r="BG3379" s="5"/>
      <c r="BH3379" s="5"/>
      <c r="BI3379" s="5"/>
      <c r="BJ3379" s="5"/>
      <c r="BK3379" s="5"/>
      <c r="BL3379" s="5"/>
      <c r="BM3379" s="5"/>
      <c r="BN3379" s="5"/>
      <c r="BO3379" s="5"/>
      <c r="BP3379" s="5"/>
    </row>
    <row r="3380" spans="35:68" x14ac:dyDescent="0.25">
      <c r="AI3380" s="49"/>
      <c r="AJ3380" s="78"/>
      <c r="AK3380" s="79"/>
      <c r="AL3380" s="79"/>
      <c r="AM3380" s="79"/>
      <c r="AN3380" s="79"/>
      <c r="AO3380" s="79"/>
      <c r="AP3380" s="79"/>
      <c r="AQ3380" s="79"/>
      <c r="AR3380" s="78"/>
      <c r="AS3380" s="78"/>
      <c r="AT3380" s="79"/>
      <c r="AU3380" s="79"/>
      <c r="AV3380" s="79"/>
      <c r="AW3380" s="79"/>
      <c r="AX3380" s="79"/>
      <c r="AZ3380" s="81"/>
      <c r="BB3380" s="5"/>
      <c r="BC3380" s="5"/>
      <c r="BD3380" s="5"/>
      <c r="BE3380" s="5"/>
      <c r="BF3380" s="5"/>
      <c r="BG3380" s="5"/>
      <c r="BH3380" s="5"/>
      <c r="BI3380" s="5"/>
      <c r="BJ3380" s="5"/>
      <c r="BK3380" s="5"/>
      <c r="BL3380" s="5"/>
      <c r="BM3380" s="5"/>
      <c r="BN3380" s="5"/>
      <c r="BO3380" s="5"/>
      <c r="BP3380" s="5"/>
    </row>
    <row r="3381" spans="35:68" x14ac:dyDescent="0.25">
      <c r="AI3381" s="49"/>
      <c r="AJ3381" s="78"/>
      <c r="AK3381" s="79"/>
      <c r="AL3381" s="79"/>
      <c r="AM3381" s="79"/>
      <c r="AN3381" s="79"/>
      <c r="AO3381" s="79"/>
      <c r="AP3381" s="79"/>
      <c r="AQ3381" s="79"/>
      <c r="AR3381" s="78"/>
      <c r="AS3381" s="78"/>
      <c r="AT3381" s="79"/>
      <c r="AU3381" s="79"/>
      <c r="AV3381" s="79"/>
      <c r="AW3381" s="79"/>
      <c r="AX3381" s="79"/>
      <c r="AZ3381" s="81"/>
      <c r="BB3381" s="5"/>
      <c r="BC3381" s="5"/>
      <c r="BD3381" s="5"/>
      <c r="BE3381" s="5"/>
      <c r="BF3381" s="5"/>
      <c r="BG3381" s="5"/>
      <c r="BH3381" s="5"/>
      <c r="BI3381" s="5"/>
      <c r="BJ3381" s="5"/>
      <c r="BK3381" s="5"/>
      <c r="BL3381" s="5"/>
      <c r="BM3381" s="5"/>
      <c r="BN3381" s="5"/>
      <c r="BO3381" s="5"/>
      <c r="BP3381" s="5"/>
    </row>
    <row r="3382" spans="35:68" x14ac:dyDescent="0.25">
      <c r="AI3382" s="49"/>
      <c r="AJ3382" s="78"/>
      <c r="AK3382" s="79"/>
      <c r="AL3382" s="79"/>
      <c r="AM3382" s="79"/>
      <c r="AN3382" s="79"/>
      <c r="AO3382" s="79"/>
      <c r="AP3382" s="79"/>
      <c r="AQ3382" s="79"/>
      <c r="AR3382" s="78"/>
      <c r="AS3382" s="78"/>
      <c r="AT3382" s="79"/>
      <c r="AU3382" s="79"/>
      <c r="AV3382" s="79"/>
      <c r="AW3382" s="79"/>
      <c r="AX3382" s="79"/>
      <c r="AZ3382" s="81"/>
      <c r="BB3382" s="5"/>
      <c r="BC3382" s="5"/>
      <c r="BD3382" s="5"/>
      <c r="BE3382" s="5"/>
      <c r="BF3382" s="5"/>
      <c r="BG3382" s="5"/>
      <c r="BH3382" s="5"/>
      <c r="BI3382" s="5"/>
      <c r="BJ3382" s="5"/>
      <c r="BK3382" s="5"/>
      <c r="BL3382" s="5"/>
      <c r="BM3382" s="5"/>
      <c r="BN3382" s="5"/>
      <c r="BO3382" s="5"/>
      <c r="BP3382" s="5"/>
    </row>
    <row r="3383" spans="35:68" x14ac:dyDescent="0.25">
      <c r="AI3383" s="49"/>
      <c r="AJ3383" s="78"/>
      <c r="AK3383" s="79"/>
      <c r="AL3383" s="79"/>
      <c r="AM3383" s="79"/>
      <c r="AN3383" s="79"/>
      <c r="AO3383" s="79"/>
      <c r="AP3383" s="79"/>
      <c r="AQ3383" s="79"/>
      <c r="AR3383" s="78"/>
      <c r="AS3383" s="78"/>
      <c r="AT3383" s="79"/>
      <c r="AU3383" s="79"/>
      <c r="AV3383" s="79"/>
      <c r="AW3383" s="79"/>
      <c r="AX3383" s="79"/>
      <c r="AZ3383" s="81"/>
      <c r="BB3383" s="5"/>
      <c r="BC3383" s="5"/>
      <c r="BD3383" s="5"/>
      <c r="BE3383" s="5"/>
      <c r="BF3383" s="5"/>
      <c r="BG3383" s="5"/>
      <c r="BH3383" s="5"/>
      <c r="BI3383" s="5"/>
      <c r="BJ3383" s="5"/>
      <c r="BK3383" s="5"/>
      <c r="BL3383" s="5"/>
      <c r="BM3383" s="5"/>
      <c r="BN3383" s="5"/>
      <c r="BO3383" s="5"/>
      <c r="BP3383" s="5"/>
    </row>
    <row r="3384" spans="35:68" x14ac:dyDescent="0.25">
      <c r="AI3384" s="49"/>
      <c r="AJ3384" s="78"/>
      <c r="AK3384" s="79"/>
      <c r="AL3384" s="79"/>
      <c r="AM3384" s="79"/>
      <c r="AN3384" s="79"/>
      <c r="AO3384" s="79"/>
      <c r="AP3384" s="79"/>
      <c r="AQ3384" s="79"/>
      <c r="AR3384" s="78"/>
      <c r="AS3384" s="78"/>
      <c r="AT3384" s="79"/>
      <c r="AU3384" s="79"/>
      <c r="AV3384" s="79"/>
      <c r="AW3384" s="79"/>
      <c r="AX3384" s="79"/>
      <c r="AZ3384" s="81"/>
      <c r="BB3384" s="5"/>
      <c r="BC3384" s="5"/>
      <c r="BD3384" s="5"/>
      <c r="BE3384" s="5"/>
      <c r="BF3384" s="5"/>
      <c r="BG3384" s="5"/>
      <c r="BH3384" s="5"/>
      <c r="BI3384" s="5"/>
      <c r="BJ3384" s="5"/>
      <c r="BK3384" s="5"/>
      <c r="BL3384" s="5"/>
      <c r="BM3384" s="5"/>
      <c r="BN3384" s="5"/>
      <c r="BO3384" s="5"/>
      <c r="BP3384" s="5"/>
    </row>
    <row r="3385" spans="35:68" x14ac:dyDescent="0.25">
      <c r="AI3385" s="49"/>
      <c r="AJ3385" s="78"/>
      <c r="AK3385" s="79"/>
      <c r="AL3385" s="79"/>
      <c r="AM3385" s="79"/>
      <c r="AN3385" s="79"/>
      <c r="AO3385" s="79"/>
      <c r="AP3385" s="79"/>
      <c r="AQ3385" s="79"/>
      <c r="AR3385" s="78"/>
      <c r="AS3385" s="78"/>
      <c r="AT3385" s="79"/>
      <c r="AU3385" s="79"/>
      <c r="AV3385" s="79"/>
      <c r="AW3385" s="79"/>
      <c r="AX3385" s="79"/>
      <c r="AZ3385" s="81"/>
      <c r="BB3385" s="5"/>
      <c r="BC3385" s="5"/>
      <c r="BD3385" s="5"/>
      <c r="BE3385" s="5"/>
      <c r="BF3385" s="5"/>
      <c r="BG3385" s="5"/>
      <c r="BH3385" s="5"/>
      <c r="BI3385" s="5"/>
      <c r="BJ3385" s="5"/>
      <c r="BK3385" s="5"/>
      <c r="BL3385" s="5"/>
      <c r="BM3385" s="5"/>
      <c r="BN3385" s="5"/>
      <c r="BO3385" s="5"/>
      <c r="BP3385" s="5"/>
    </row>
    <row r="3386" spans="35:68" x14ac:dyDescent="0.25">
      <c r="AI3386" s="49"/>
      <c r="AJ3386" s="78"/>
      <c r="AK3386" s="79"/>
      <c r="AL3386" s="79"/>
      <c r="AM3386" s="79"/>
      <c r="AN3386" s="79"/>
      <c r="AO3386" s="79"/>
      <c r="AP3386" s="79"/>
      <c r="AQ3386" s="79"/>
      <c r="AR3386" s="78"/>
      <c r="AS3386" s="78"/>
      <c r="AT3386" s="79"/>
      <c r="AU3386" s="79"/>
      <c r="AV3386" s="79"/>
      <c r="AW3386" s="79"/>
      <c r="AX3386" s="79"/>
      <c r="AZ3386" s="81"/>
      <c r="BB3386" s="5"/>
      <c r="BC3386" s="5"/>
      <c r="BD3386" s="5"/>
      <c r="BE3386" s="5"/>
      <c r="BF3386" s="5"/>
      <c r="BG3386" s="5"/>
      <c r="BH3386" s="5"/>
      <c r="BI3386" s="5"/>
      <c r="BJ3386" s="5"/>
      <c r="BK3386" s="5"/>
      <c r="BL3386" s="5"/>
      <c r="BM3386" s="5"/>
      <c r="BN3386" s="5"/>
      <c r="BO3386" s="5"/>
      <c r="BP3386" s="5"/>
    </row>
    <row r="3387" spans="35:68" x14ac:dyDescent="0.25">
      <c r="AI3387" s="49"/>
      <c r="AJ3387" s="78"/>
      <c r="AK3387" s="79"/>
      <c r="AL3387" s="79"/>
      <c r="AM3387" s="79"/>
      <c r="AN3387" s="79"/>
      <c r="AO3387" s="79"/>
      <c r="AP3387" s="79"/>
      <c r="AQ3387" s="79"/>
      <c r="AR3387" s="78"/>
      <c r="AS3387" s="78"/>
      <c r="AT3387" s="79"/>
      <c r="AU3387" s="79"/>
      <c r="AV3387" s="79"/>
      <c r="AW3387" s="79"/>
      <c r="AX3387" s="79"/>
      <c r="AZ3387" s="81"/>
      <c r="BB3387" s="5"/>
      <c r="BC3387" s="5"/>
      <c r="BD3387" s="5"/>
      <c r="BE3387" s="5"/>
      <c r="BF3387" s="5"/>
      <c r="BG3387" s="5"/>
      <c r="BH3387" s="5"/>
      <c r="BI3387" s="5"/>
      <c r="BJ3387" s="5"/>
      <c r="BK3387" s="5"/>
      <c r="BL3387" s="5"/>
      <c r="BM3387" s="5"/>
      <c r="BN3387" s="5"/>
      <c r="BO3387" s="5"/>
      <c r="BP3387" s="5"/>
    </row>
    <row r="3388" spans="35:68" x14ac:dyDescent="0.25">
      <c r="AI3388" s="49"/>
      <c r="AJ3388" s="78"/>
      <c r="AK3388" s="79"/>
      <c r="AL3388" s="79"/>
      <c r="AM3388" s="79"/>
      <c r="AN3388" s="79"/>
      <c r="AO3388" s="79"/>
      <c r="AP3388" s="79"/>
      <c r="AQ3388" s="79"/>
      <c r="AR3388" s="78"/>
      <c r="AS3388" s="78"/>
      <c r="AT3388" s="79"/>
      <c r="AU3388" s="79"/>
      <c r="AV3388" s="79"/>
      <c r="AW3388" s="79"/>
      <c r="AX3388" s="79"/>
      <c r="AZ3388" s="81"/>
      <c r="BB3388" s="5"/>
      <c r="BC3388" s="5"/>
      <c r="BD3388" s="5"/>
      <c r="BE3388" s="5"/>
      <c r="BF3388" s="5"/>
      <c r="BG3388" s="5"/>
      <c r="BH3388" s="5"/>
      <c r="BI3388" s="5"/>
      <c r="BJ3388" s="5"/>
      <c r="BK3388" s="5"/>
      <c r="BL3388" s="5"/>
      <c r="BM3388" s="5"/>
      <c r="BN3388" s="5"/>
      <c r="BO3388" s="5"/>
      <c r="BP3388" s="5"/>
    </row>
    <row r="3389" spans="35:68" x14ac:dyDescent="0.25">
      <c r="AI3389" s="49"/>
      <c r="AJ3389" s="78"/>
      <c r="AK3389" s="79"/>
      <c r="AL3389" s="79"/>
      <c r="AM3389" s="79"/>
      <c r="AN3389" s="79"/>
      <c r="AO3389" s="79"/>
      <c r="AP3389" s="79"/>
      <c r="AQ3389" s="79"/>
      <c r="AR3389" s="78"/>
      <c r="AS3389" s="78"/>
      <c r="AT3389" s="79"/>
      <c r="AU3389" s="79"/>
      <c r="AV3389" s="79"/>
      <c r="AW3389" s="79"/>
      <c r="AX3389" s="79"/>
      <c r="AZ3389" s="81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/>
      <c r="BO3389" s="5"/>
      <c r="BP3389" s="5"/>
    </row>
    <row r="3390" spans="35:68" x14ac:dyDescent="0.25">
      <c r="AI3390" s="49"/>
      <c r="AJ3390" s="78"/>
      <c r="AK3390" s="79"/>
      <c r="AL3390" s="79"/>
      <c r="AM3390" s="79"/>
      <c r="AN3390" s="79"/>
      <c r="AO3390" s="79"/>
      <c r="AP3390" s="79"/>
      <c r="AQ3390" s="79"/>
      <c r="AR3390" s="78"/>
      <c r="AS3390" s="78"/>
      <c r="AT3390" s="79"/>
      <c r="AU3390" s="79"/>
      <c r="AV3390" s="79"/>
      <c r="AW3390" s="79"/>
      <c r="AX3390" s="79"/>
      <c r="AZ3390" s="81"/>
      <c r="BB3390" s="5"/>
      <c r="BC3390" s="5"/>
      <c r="BD3390" s="5"/>
      <c r="BE3390" s="5"/>
      <c r="BF3390" s="5"/>
      <c r="BG3390" s="5"/>
      <c r="BH3390" s="5"/>
      <c r="BI3390" s="5"/>
      <c r="BJ3390" s="5"/>
      <c r="BK3390" s="5"/>
      <c r="BL3390" s="5"/>
      <c r="BM3390" s="5"/>
      <c r="BN3390" s="5"/>
      <c r="BO3390" s="5"/>
      <c r="BP3390" s="5"/>
    </row>
    <row r="3391" spans="35:68" x14ac:dyDescent="0.25">
      <c r="AI3391" s="49"/>
      <c r="AJ3391" s="78"/>
      <c r="AK3391" s="79"/>
      <c r="AL3391" s="79"/>
      <c r="AM3391" s="79"/>
      <c r="AN3391" s="79"/>
      <c r="AO3391" s="79"/>
      <c r="AP3391" s="79"/>
      <c r="AQ3391" s="79"/>
      <c r="AR3391" s="78"/>
      <c r="AS3391" s="78"/>
      <c r="AT3391" s="79"/>
      <c r="AU3391" s="79"/>
      <c r="AV3391" s="79"/>
      <c r="AW3391" s="79"/>
      <c r="AX3391" s="79"/>
      <c r="AZ3391" s="81"/>
      <c r="BB3391" s="5"/>
      <c r="BC3391" s="5"/>
      <c r="BD3391" s="5"/>
      <c r="BE3391" s="5"/>
      <c r="BF3391" s="5"/>
      <c r="BG3391" s="5"/>
      <c r="BH3391" s="5"/>
      <c r="BI3391" s="5"/>
      <c r="BJ3391" s="5"/>
      <c r="BK3391" s="5"/>
      <c r="BL3391" s="5"/>
      <c r="BM3391" s="5"/>
      <c r="BN3391" s="5"/>
      <c r="BO3391" s="5"/>
      <c r="BP3391" s="5"/>
    </row>
    <row r="3392" spans="35:68" x14ac:dyDescent="0.25">
      <c r="AI3392" s="49"/>
      <c r="AJ3392" s="78"/>
      <c r="AK3392" s="79"/>
      <c r="AL3392" s="79"/>
      <c r="AM3392" s="79"/>
      <c r="AN3392" s="79"/>
      <c r="AO3392" s="79"/>
      <c r="AP3392" s="79"/>
      <c r="AQ3392" s="79"/>
      <c r="AR3392" s="78"/>
      <c r="AS3392" s="78"/>
      <c r="AT3392" s="79"/>
      <c r="AU3392" s="79"/>
      <c r="AV3392" s="79"/>
      <c r="AW3392" s="79"/>
      <c r="AX3392" s="79"/>
      <c r="AZ3392" s="81"/>
      <c r="BB3392" s="5"/>
      <c r="BC3392" s="5"/>
      <c r="BD3392" s="5"/>
      <c r="BE3392" s="5"/>
      <c r="BF3392" s="5"/>
      <c r="BG3392" s="5"/>
      <c r="BH3392" s="5"/>
      <c r="BI3392" s="5"/>
      <c r="BJ3392" s="5"/>
      <c r="BK3392" s="5"/>
      <c r="BL3392" s="5"/>
      <c r="BM3392" s="5"/>
      <c r="BN3392" s="5"/>
      <c r="BO3392" s="5"/>
      <c r="BP3392" s="5"/>
    </row>
    <row r="3393" spans="35:68" x14ac:dyDescent="0.25">
      <c r="AI3393" s="49"/>
      <c r="AJ3393" s="78"/>
      <c r="AK3393" s="79"/>
      <c r="AL3393" s="79"/>
      <c r="AM3393" s="79"/>
      <c r="AN3393" s="79"/>
      <c r="AO3393" s="79"/>
      <c r="AP3393" s="79"/>
      <c r="AQ3393" s="79"/>
      <c r="AR3393" s="78"/>
      <c r="AS3393" s="78"/>
      <c r="AT3393" s="79"/>
      <c r="AU3393" s="79"/>
      <c r="AV3393" s="79"/>
      <c r="AW3393" s="79"/>
      <c r="AX3393" s="79"/>
      <c r="AZ3393" s="81"/>
      <c r="BB3393" s="5"/>
      <c r="BC3393" s="5"/>
      <c r="BD3393" s="5"/>
      <c r="BE3393" s="5"/>
      <c r="BF3393" s="5"/>
      <c r="BG3393" s="5"/>
      <c r="BH3393" s="5"/>
      <c r="BI3393" s="5"/>
      <c r="BJ3393" s="5"/>
      <c r="BK3393" s="5"/>
      <c r="BL3393" s="5"/>
      <c r="BM3393" s="5"/>
      <c r="BN3393" s="5"/>
      <c r="BO3393" s="5"/>
      <c r="BP3393" s="5"/>
    </row>
    <row r="3394" spans="35:68" x14ac:dyDescent="0.25">
      <c r="AI3394" s="49"/>
      <c r="AJ3394" s="78"/>
      <c r="AK3394" s="79"/>
      <c r="AL3394" s="79"/>
      <c r="AM3394" s="79"/>
      <c r="AN3394" s="79"/>
      <c r="AO3394" s="79"/>
      <c r="AP3394" s="79"/>
      <c r="AQ3394" s="79"/>
      <c r="AR3394" s="78"/>
      <c r="AS3394" s="78"/>
      <c r="AT3394" s="79"/>
      <c r="AU3394" s="79"/>
      <c r="AV3394" s="79"/>
      <c r="AW3394" s="79"/>
      <c r="AX3394" s="79"/>
      <c r="AZ3394" s="81"/>
      <c r="BB3394" s="5"/>
      <c r="BC3394" s="5"/>
      <c r="BD3394" s="5"/>
      <c r="BE3394" s="5"/>
      <c r="BF3394" s="5"/>
      <c r="BG3394" s="5"/>
      <c r="BH3394" s="5"/>
      <c r="BI3394" s="5"/>
      <c r="BJ3394" s="5"/>
      <c r="BK3394" s="5"/>
      <c r="BL3394" s="5"/>
      <c r="BM3394" s="5"/>
      <c r="BN3394" s="5"/>
      <c r="BO3394" s="5"/>
      <c r="BP3394" s="5"/>
    </row>
    <row r="3395" spans="35:68" x14ac:dyDescent="0.25">
      <c r="AI3395" s="49"/>
      <c r="AJ3395" s="78"/>
      <c r="AK3395" s="79"/>
      <c r="AL3395" s="79"/>
      <c r="AM3395" s="79"/>
      <c r="AN3395" s="79"/>
      <c r="AO3395" s="79"/>
      <c r="AP3395" s="79"/>
      <c r="AQ3395" s="79"/>
      <c r="AR3395" s="78"/>
      <c r="AS3395" s="78"/>
      <c r="AT3395" s="79"/>
      <c r="AU3395" s="79"/>
      <c r="AV3395" s="79"/>
      <c r="AW3395" s="79"/>
      <c r="AX3395" s="79"/>
      <c r="AZ3395" s="81"/>
      <c r="BB3395" s="5"/>
      <c r="BC3395" s="5"/>
      <c r="BD3395" s="5"/>
      <c r="BE3395" s="5"/>
      <c r="BF3395" s="5"/>
      <c r="BG3395" s="5"/>
      <c r="BH3395" s="5"/>
      <c r="BI3395" s="5"/>
      <c r="BJ3395" s="5"/>
      <c r="BK3395" s="5"/>
      <c r="BL3395" s="5"/>
      <c r="BM3395" s="5"/>
      <c r="BN3395" s="5"/>
      <c r="BO3395" s="5"/>
      <c r="BP3395" s="5"/>
    </row>
    <row r="3396" spans="35:68" x14ac:dyDescent="0.25">
      <c r="AI3396" s="49"/>
      <c r="AJ3396" s="78"/>
      <c r="AK3396" s="79"/>
      <c r="AL3396" s="79"/>
      <c r="AM3396" s="79"/>
      <c r="AN3396" s="79"/>
      <c r="AO3396" s="79"/>
      <c r="AP3396" s="79"/>
      <c r="AQ3396" s="79"/>
      <c r="AR3396" s="78"/>
      <c r="AS3396" s="78"/>
      <c r="AT3396" s="79"/>
      <c r="AU3396" s="79"/>
      <c r="AV3396" s="79"/>
      <c r="AW3396" s="79"/>
      <c r="AX3396" s="79"/>
      <c r="AZ3396" s="81"/>
      <c r="BB3396" s="5"/>
      <c r="BC3396" s="5"/>
      <c r="BD3396" s="5"/>
      <c r="BE3396" s="5"/>
      <c r="BF3396" s="5"/>
      <c r="BG3396" s="5"/>
      <c r="BH3396" s="5"/>
      <c r="BI3396" s="5"/>
      <c r="BJ3396" s="5"/>
      <c r="BK3396" s="5"/>
      <c r="BL3396" s="5"/>
      <c r="BM3396" s="5"/>
      <c r="BN3396" s="5"/>
      <c r="BO3396" s="5"/>
      <c r="BP3396" s="5"/>
    </row>
    <row r="3397" spans="35:68" x14ac:dyDescent="0.25">
      <c r="AI3397" s="49"/>
      <c r="AJ3397" s="78"/>
      <c r="AK3397" s="79"/>
      <c r="AL3397" s="79"/>
      <c r="AM3397" s="79"/>
      <c r="AN3397" s="79"/>
      <c r="AO3397" s="79"/>
      <c r="AP3397" s="79"/>
      <c r="AQ3397" s="79"/>
      <c r="AR3397" s="78"/>
      <c r="AS3397" s="78"/>
      <c r="AT3397" s="79"/>
      <c r="AU3397" s="79"/>
      <c r="AV3397" s="79"/>
      <c r="AW3397" s="79"/>
      <c r="AX3397" s="79"/>
      <c r="AZ3397" s="81"/>
      <c r="BB3397" s="5"/>
      <c r="BC3397" s="5"/>
      <c r="BD3397" s="5"/>
      <c r="BE3397" s="5"/>
      <c r="BF3397" s="5"/>
      <c r="BG3397" s="5"/>
      <c r="BH3397" s="5"/>
      <c r="BI3397" s="5"/>
      <c r="BJ3397" s="5"/>
      <c r="BK3397" s="5"/>
      <c r="BL3397" s="5"/>
      <c r="BM3397" s="5"/>
      <c r="BN3397" s="5"/>
      <c r="BO3397" s="5"/>
      <c r="BP3397" s="5"/>
    </row>
    <row r="3398" spans="35:68" x14ac:dyDescent="0.25">
      <c r="AI3398" s="49"/>
      <c r="AJ3398" s="78"/>
      <c r="AK3398" s="79"/>
      <c r="AL3398" s="79"/>
      <c r="AM3398" s="79"/>
      <c r="AN3398" s="79"/>
      <c r="AO3398" s="79"/>
      <c r="AP3398" s="79"/>
      <c r="AQ3398" s="79"/>
      <c r="AR3398" s="78"/>
      <c r="AS3398" s="78"/>
      <c r="AT3398" s="79"/>
      <c r="AU3398" s="79"/>
      <c r="AV3398" s="79"/>
      <c r="AW3398" s="79"/>
      <c r="AX3398" s="79"/>
      <c r="AZ3398" s="81"/>
      <c r="BB3398" s="5"/>
      <c r="BC3398" s="5"/>
      <c r="BD3398" s="5"/>
      <c r="BE3398" s="5"/>
      <c r="BF3398" s="5"/>
      <c r="BG3398" s="5"/>
      <c r="BH3398" s="5"/>
      <c r="BI3398" s="5"/>
      <c r="BJ3398" s="5"/>
      <c r="BK3398" s="5"/>
      <c r="BL3398" s="5"/>
      <c r="BM3398" s="5"/>
      <c r="BN3398" s="5"/>
      <c r="BO3398" s="5"/>
      <c r="BP3398" s="5"/>
    </row>
    <row r="3399" spans="35:68" x14ac:dyDescent="0.25">
      <c r="AI3399" s="49"/>
      <c r="AJ3399" s="78"/>
      <c r="AK3399" s="79"/>
      <c r="AL3399" s="79"/>
      <c r="AM3399" s="79"/>
      <c r="AN3399" s="79"/>
      <c r="AO3399" s="79"/>
      <c r="AP3399" s="79"/>
      <c r="AQ3399" s="79"/>
      <c r="AR3399" s="78"/>
      <c r="AS3399" s="78"/>
      <c r="AT3399" s="79"/>
      <c r="AU3399" s="79"/>
      <c r="AV3399" s="79"/>
      <c r="AW3399" s="79"/>
      <c r="AX3399" s="79"/>
      <c r="AZ3399" s="81"/>
      <c r="BB3399" s="5"/>
      <c r="BC3399" s="5"/>
      <c r="BD3399" s="5"/>
      <c r="BE3399" s="5"/>
      <c r="BF3399" s="5"/>
      <c r="BG3399" s="5"/>
      <c r="BH3399" s="5"/>
      <c r="BI3399" s="5"/>
      <c r="BJ3399" s="5"/>
      <c r="BK3399" s="5"/>
      <c r="BL3399" s="5"/>
      <c r="BM3399" s="5"/>
      <c r="BN3399" s="5"/>
      <c r="BO3399" s="5"/>
      <c r="BP3399" s="5"/>
    </row>
    <row r="3400" spans="35:68" x14ac:dyDescent="0.25">
      <c r="AI3400" s="49"/>
      <c r="AJ3400" s="78"/>
      <c r="AK3400" s="79"/>
      <c r="AL3400" s="79"/>
      <c r="AM3400" s="79"/>
      <c r="AN3400" s="79"/>
      <c r="AO3400" s="79"/>
      <c r="AP3400" s="79"/>
      <c r="AQ3400" s="79"/>
      <c r="AR3400" s="78"/>
      <c r="AS3400" s="78"/>
      <c r="AT3400" s="79"/>
      <c r="AU3400" s="79"/>
      <c r="AV3400" s="79"/>
      <c r="AW3400" s="79"/>
      <c r="AX3400" s="79"/>
      <c r="AZ3400" s="81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</row>
    <row r="3401" spans="35:68" x14ac:dyDescent="0.25">
      <c r="AI3401" s="49"/>
      <c r="AJ3401" s="78"/>
      <c r="AK3401" s="79"/>
      <c r="AL3401" s="79"/>
      <c r="AM3401" s="79"/>
      <c r="AN3401" s="79"/>
      <c r="AO3401" s="79"/>
      <c r="AP3401" s="79"/>
      <c r="AQ3401" s="79"/>
      <c r="AR3401" s="78"/>
      <c r="AS3401" s="78"/>
      <c r="AT3401" s="79"/>
      <c r="AU3401" s="79"/>
      <c r="AV3401" s="79"/>
      <c r="AW3401" s="79"/>
      <c r="AX3401" s="79"/>
      <c r="AZ3401" s="81"/>
      <c r="BB3401" s="5"/>
      <c r="BC3401" s="5"/>
      <c r="BD3401" s="5"/>
      <c r="BE3401" s="5"/>
      <c r="BF3401" s="5"/>
      <c r="BG3401" s="5"/>
      <c r="BH3401" s="5"/>
      <c r="BI3401" s="5"/>
      <c r="BJ3401" s="5"/>
      <c r="BK3401" s="5"/>
      <c r="BL3401" s="5"/>
      <c r="BM3401" s="5"/>
      <c r="BN3401" s="5"/>
      <c r="BO3401" s="5"/>
      <c r="BP3401" s="5"/>
    </row>
    <row r="3402" spans="35:68" x14ac:dyDescent="0.25">
      <c r="AI3402" s="49"/>
      <c r="AJ3402" s="78"/>
      <c r="AK3402" s="79"/>
      <c r="AL3402" s="79"/>
      <c r="AM3402" s="79"/>
      <c r="AN3402" s="79"/>
      <c r="AO3402" s="79"/>
      <c r="AP3402" s="79"/>
      <c r="AQ3402" s="79"/>
      <c r="AR3402" s="78"/>
      <c r="AS3402" s="78"/>
      <c r="AT3402" s="79"/>
      <c r="AU3402" s="79"/>
      <c r="AV3402" s="79"/>
      <c r="AW3402" s="79"/>
      <c r="AX3402" s="79"/>
      <c r="AZ3402" s="81"/>
      <c r="BB3402" s="5"/>
      <c r="BC3402" s="5"/>
      <c r="BD3402" s="5"/>
      <c r="BE3402" s="5"/>
      <c r="BF3402" s="5"/>
      <c r="BG3402" s="5"/>
      <c r="BH3402" s="5"/>
      <c r="BI3402" s="5"/>
      <c r="BJ3402" s="5"/>
      <c r="BK3402" s="5"/>
      <c r="BL3402" s="5"/>
      <c r="BM3402" s="5"/>
      <c r="BN3402" s="5"/>
      <c r="BO3402" s="5"/>
      <c r="BP3402" s="5"/>
    </row>
    <row r="3403" spans="35:68" x14ac:dyDescent="0.25">
      <c r="AI3403" s="49"/>
      <c r="AJ3403" s="78"/>
      <c r="AK3403" s="79"/>
      <c r="AL3403" s="79"/>
      <c r="AM3403" s="79"/>
      <c r="AN3403" s="79"/>
      <c r="AO3403" s="79"/>
      <c r="AP3403" s="79"/>
      <c r="AQ3403" s="79"/>
      <c r="AR3403" s="78"/>
      <c r="AS3403" s="78"/>
      <c r="AT3403" s="79"/>
      <c r="AU3403" s="79"/>
      <c r="AV3403" s="79"/>
      <c r="AW3403" s="79"/>
      <c r="AX3403" s="79"/>
      <c r="AZ3403" s="81"/>
      <c r="BB3403" s="5"/>
      <c r="BC3403" s="5"/>
      <c r="BD3403" s="5"/>
      <c r="BE3403" s="5"/>
      <c r="BF3403" s="5"/>
      <c r="BG3403" s="5"/>
      <c r="BH3403" s="5"/>
      <c r="BI3403" s="5"/>
      <c r="BJ3403" s="5"/>
      <c r="BK3403" s="5"/>
      <c r="BL3403" s="5"/>
      <c r="BM3403" s="5"/>
      <c r="BN3403" s="5"/>
      <c r="BO3403" s="5"/>
      <c r="BP3403" s="5"/>
    </row>
    <row r="3404" spans="35:68" x14ac:dyDescent="0.25">
      <c r="AI3404" s="49"/>
      <c r="AJ3404" s="78"/>
      <c r="AK3404" s="79"/>
      <c r="AL3404" s="79"/>
      <c r="AM3404" s="79"/>
      <c r="AN3404" s="79"/>
      <c r="AO3404" s="79"/>
      <c r="AP3404" s="79"/>
      <c r="AQ3404" s="79"/>
      <c r="AR3404" s="78"/>
      <c r="AS3404" s="78"/>
      <c r="AT3404" s="79"/>
      <c r="AU3404" s="79"/>
      <c r="AV3404" s="79"/>
      <c r="AW3404" s="79"/>
      <c r="AX3404" s="79"/>
      <c r="AZ3404" s="81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</row>
    <row r="3405" spans="35:68" x14ac:dyDescent="0.25">
      <c r="AI3405" s="49"/>
      <c r="AJ3405" s="78"/>
      <c r="AK3405" s="79"/>
      <c r="AL3405" s="79"/>
      <c r="AM3405" s="79"/>
      <c r="AN3405" s="79"/>
      <c r="AO3405" s="79"/>
      <c r="AP3405" s="79"/>
      <c r="AQ3405" s="79"/>
      <c r="AR3405" s="78"/>
      <c r="AS3405" s="78"/>
      <c r="AT3405" s="79"/>
      <c r="AU3405" s="79"/>
      <c r="AV3405" s="79"/>
      <c r="AW3405" s="79"/>
      <c r="AX3405" s="79"/>
      <c r="AZ3405" s="81"/>
      <c r="BB3405" s="5"/>
      <c r="BC3405" s="5"/>
      <c r="BD3405" s="5"/>
      <c r="BE3405" s="5"/>
      <c r="BF3405" s="5"/>
      <c r="BG3405" s="5"/>
      <c r="BH3405" s="5"/>
      <c r="BI3405" s="5"/>
      <c r="BJ3405" s="5"/>
      <c r="BK3405" s="5"/>
      <c r="BL3405" s="5"/>
      <c r="BM3405" s="5"/>
      <c r="BN3405" s="5"/>
      <c r="BO3405" s="5"/>
      <c r="BP3405" s="5"/>
    </row>
    <row r="3406" spans="35:68" x14ac:dyDescent="0.25">
      <c r="AI3406" s="49"/>
      <c r="AJ3406" s="78"/>
      <c r="AK3406" s="79"/>
      <c r="AL3406" s="79"/>
      <c r="AM3406" s="79"/>
      <c r="AN3406" s="79"/>
      <c r="AO3406" s="79"/>
      <c r="AP3406" s="79"/>
      <c r="AQ3406" s="79"/>
      <c r="AR3406" s="78"/>
      <c r="AS3406" s="78"/>
      <c r="AT3406" s="79"/>
      <c r="AU3406" s="79"/>
      <c r="AV3406" s="79"/>
      <c r="AW3406" s="79"/>
      <c r="AX3406" s="79"/>
      <c r="AZ3406" s="81"/>
      <c r="BB3406" s="5"/>
      <c r="BC3406" s="5"/>
      <c r="BD3406" s="5"/>
      <c r="BE3406" s="5"/>
      <c r="BF3406" s="5"/>
      <c r="BG3406" s="5"/>
      <c r="BH3406" s="5"/>
      <c r="BI3406" s="5"/>
      <c r="BJ3406" s="5"/>
      <c r="BK3406" s="5"/>
      <c r="BL3406" s="5"/>
      <c r="BM3406" s="5"/>
      <c r="BN3406" s="5"/>
      <c r="BO3406" s="5"/>
      <c r="BP3406" s="5"/>
    </row>
    <row r="3407" spans="35:68" x14ac:dyDescent="0.25">
      <c r="AI3407" s="49"/>
      <c r="AJ3407" s="78"/>
      <c r="AK3407" s="79"/>
      <c r="AL3407" s="79"/>
      <c r="AM3407" s="79"/>
      <c r="AN3407" s="79"/>
      <c r="AO3407" s="79"/>
      <c r="AP3407" s="79"/>
      <c r="AQ3407" s="79"/>
      <c r="AR3407" s="78"/>
      <c r="AS3407" s="78"/>
      <c r="AT3407" s="79"/>
      <c r="AU3407" s="79"/>
      <c r="AV3407" s="79"/>
      <c r="AW3407" s="79"/>
      <c r="AX3407" s="79"/>
      <c r="AZ3407" s="81"/>
      <c r="BB3407" s="5"/>
      <c r="BC3407" s="5"/>
      <c r="BD3407" s="5"/>
      <c r="BE3407" s="5"/>
      <c r="BF3407" s="5"/>
      <c r="BG3407" s="5"/>
      <c r="BH3407" s="5"/>
      <c r="BI3407" s="5"/>
      <c r="BJ3407" s="5"/>
      <c r="BK3407" s="5"/>
      <c r="BL3407" s="5"/>
      <c r="BM3407" s="5"/>
      <c r="BN3407" s="5"/>
      <c r="BO3407" s="5"/>
      <c r="BP3407" s="5"/>
    </row>
    <row r="3408" spans="35:68" x14ac:dyDescent="0.25">
      <c r="AI3408" s="49"/>
      <c r="AJ3408" s="78"/>
      <c r="AK3408" s="79"/>
      <c r="AL3408" s="79"/>
      <c r="AM3408" s="79"/>
      <c r="AN3408" s="79"/>
      <c r="AO3408" s="79"/>
      <c r="AP3408" s="79"/>
      <c r="AQ3408" s="79"/>
      <c r="AR3408" s="78"/>
      <c r="AS3408" s="78"/>
      <c r="AT3408" s="79"/>
      <c r="AU3408" s="79"/>
      <c r="AV3408" s="79"/>
      <c r="AW3408" s="79"/>
      <c r="AX3408" s="79"/>
      <c r="AZ3408" s="81"/>
      <c r="BB3408" s="5"/>
      <c r="BC3408" s="5"/>
      <c r="BD3408" s="5"/>
      <c r="BE3408" s="5"/>
      <c r="BF3408" s="5"/>
      <c r="BG3408" s="5"/>
      <c r="BH3408" s="5"/>
      <c r="BI3408" s="5"/>
      <c r="BJ3408" s="5"/>
      <c r="BK3408" s="5"/>
      <c r="BL3408" s="5"/>
      <c r="BM3408" s="5"/>
      <c r="BN3408" s="5"/>
      <c r="BO3408" s="5"/>
      <c r="BP3408" s="5"/>
    </row>
    <row r="3409" spans="35:68" x14ac:dyDescent="0.25">
      <c r="AI3409" s="49"/>
      <c r="AJ3409" s="78"/>
      <c r="AK3409" s="79"/>
      <c r="AL3409" s="79"/>
      <c r="AM3409" s="79"/>
      <c r="AN3409" s="79"/>
      <c r="AO3409" s="79"/>
      <c r="AP3409" s="79"/>
      <c r="AQ3409" s="79"/>
      <c r="AR3409" s="78"/>
      <c r="AS3409" s="78"/>
      <c r="AT3409" s="79"/>
      <c r="AU3409" s="79"/>
      <c r="AV3409" s="79"/>
      <c r="AW3409" s="79"/>
      <c r="AX3409" s="79"/>
      <c r="AZ3409" s="81"/>
      <c r="BB3409" s="5"/>
      <c r="BC3409" s="5"/>
      <c r="BD3409" s="5"/>
      <c r="BE3409" s="5"/>
      <c r="BF3409" s="5"/>
      <c r="BG3409" s="5"/>
      <c r="BH3409" s="5"/>
      <c r="BI3409" s="5"/>
      <c r="BJ3409" s="5"/>
      <c r="BK3409" s="5"/>
      <c r="BL3409" s="5"/>
      <c r="BM3409" s="5"/>
      <c r="BN3409" s="5"/>
      <c r="BO3409" s="5"/>
      <c r="BP3409" s="5"/>
    </row>
    <row r="3410" spans="35:68" x14ac:dyDescent="0.25">
      <c r="AI3410" s="49"/>
      <c r="AJ3410" s="78"/>
      <c r="AK3410" s="79"/>
      <c r="AL3410" s="79"/>
      <c r="AM3410" s="79"/>
      <c r="AN3410" s="79"/>
      <c r="AO3410" s="79"/>
      <c r="AP3410" s="79"/>
      <c r="AQ3410" s="79"/>
      <c r="AR3410" s="78"/>
      <c r="AS3410" s="78"/>
      <c r="AT3410" s="79"/>
      <c r="AU3410" s="79"/>
      <c r="AV3410" s="79"/>
      <c r="AW3410" s="79"/>
      <c r="AX3410" s="79"/>
      <c r="AZ3410" s="81"/>
      <c r="BB3410" s="5"/>
      <c r="BC3410" s="5"/>
      <c r="BD3410" s="5"/>
      <c r="BE3410" s="5"/>
      <c r="BF3410" s="5"/>
      <c r="BG3410" s="5"/>
      <c r="BH3410" s="5"/>
      <c r="BI3410" s="5"/>
      <c r="BJ3410" s="5"/>
      <c r="BK3410" s="5"/>
      <c r="BL3410" s="5"/>
      <c r="BM3410" s="5"/>
      <c r="BN3410" s="5"/>
      <c r="BO3410" s="5"/>
      <c r="BP3410" s="5"/>
    </row>
    <row r="3411" spans="35:68" x14ac:dyDescent="0.25">
      <c r="AI3411" s="49"/>
      <c r="AJ3411" s="78"/>
      <c r="AK3411" s="79"/>
      <c r="AL3411" s="79"/>
      <c r="AM3411" s="79"/>
      <c r="AN3411" s="79"/>
      <c r="AO3411" s="79"/>
      <c r="AP3411" s="79"/>
      <c r="AQ3411" s="79"/>
      <c r="AR3411" s="78"/>
      <c r="AS3411" s="78"/>
      <c r="AT3411" s="79"/>
      <c r="AU3411" s="79"/>
      <c r="AV3411" s="79"/>
      <c r="AW3411" s="79"/>
      <c r="AX3411" s="79"/>
      <c r="AZ3411" s="81"/>
      <c r="BB3411" s="5"/>
      <c r="BC3411" s="5"/>
      <c r="BD3411" s="5"/>
      <c r="BE3411" s="5"/>
      <c r="BF3411" s="5"/>
      <c r="BG3411" s="5"/>
      <c r="BH3411" s="5"/>
      <c r="BI3411" s="5"/>
      <c r="BJ3411" s="5"/>
      <c r="BK3411" s="5"/>
      <c r="BL3411" s="5"/>
      <c r="BM3411" s="5"/>
      <c r="BN3411" s="5"/>
      <c r="BO3411" s="5"/>
      <c r="BP3411" s="5"/>
    </row>
    <row r="3412" spans="35:68" x14ac:dyDescent="0.25">
      <c r="AI3412" s="49"/>
      <c r="AJ3412" s="78"/>
      <c r="AK3412" s="79"/>
      <c r="AL3412" s="79"/>
      <c r="AM3412" s="79"/>
      <c r="AN3412" s="79"/>
      <c r="AO3412" s="79"/>
      <c r="AP3412" s="79"/>
      <c r="AQ3412" s="79"/>
      <c r="AR3412" s="78"/>
      <c r="AS3412" s="78"/>
      <c r="AT3412" s="79"/>
      <c r="AU3412" s="79"/>
      <c r="AV3412" s="79"/>
      <c r="AW3412" s="79"/>
      <c r="AX3412" s="79"/>
      <c r="AZ3412" s="81"/>
      <c r="BB3412" s="5"/>
      <c r="BC3412" s="5"/>
      <c r="BD3412" s="5"/>
      <c r="BE3412" s="5"/>
      <c r="BF3412" s="5"/>
      <c r="BG3412" s="5"/>
      <c r="BH3412" s="5"/>
      <c r="BI3412" s="5"/>
      <c r="BJ3412" s="5"/>
      <c r="BK3412" s="5"/>
      <c r="BL3412" s="5"/>
      <c r="BM3412" s="5"/>
      <c r="BN3412" s="5"/>
      <c r="BO3412" s="5"/>
      <c r="BP3412" s="5"/>
    </row>
    <row r="3413" spans="35:68" x14ac:dyDescent="0.25">
      <c r="AI3413" s="49"/>
      <c r="AJ3413" s="78"/>
      <c r="AK3413" s="79"/>
      <c r="AL3413" s="79"/>
      <c r="AM3413" s="79"/>
      <c r="AN3413" s="79"/>
      <c r="AO3413" s="79"/>
      <c r="AP3413" s="79"/>
      <c r="AQ3413" s="79"/>
      <c r="AR3413" s="78"/>
      <c r="AS3413" s="78"/>
      <c r="AT3413" s="79"/>
      <c r="AU3413" s="79"/>
      <c r="AV3413" s="79"/>
      <c r="AW3413" s="79"/>
      <c r="AX3413" s="79"/>
      <c r="AZ3413" s="81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/>
    </row>
    <row r="3414" spans="35:68" x14ac:dyDescent="0.25">
      <c r="AI3414" s="49"/>
      <c r="AJ3414" s="78"/>
      <c r="AK3414" s="79"/>
      <c r="AL3414" s="79"/>
      <c r="AM3414" s="79"/>
      <c r="AN3414" s="79"/>
      <c r="AO3414" s="79"/>
      <c r="AP3414" s="79"/>
      <c r="AQ3414" s="79"/>
      <c r="AR3414" s="78"/>
      <c r="AS3414" s="78"/>
      <c r="AT3414" s="79"/>
      <c r="AU3414" s="79"/>
      <c r="AV3414" s="79"/>
      <c r="AW3414" s="79"/>
      <c r="AX3414" s="79"/>
      <c r="AZ3414" s="81"/>
      <c r="BB3414" s="5"/>
      <c r="BC3414" s="5"/>
      <c r="BD3414" s="5"/>
      <c r="BE3414" s="5"/>
      <c r="BF3414" s="5"/>
      <c r="BG3414" s="5"/>
      <c r="BH3414" s="5"/>
      <c r="BI3414" s="5"/>
      <c r="BJ3414" s="5"/>
      <c r="BK3414" s="5"/>
      <c r="BL3414" s="5"/>
      <c r="BM3414" s="5"/>
      <c r="BN3414" s="5"/>
      <c r="BO3414" s="5"/>
      <c r="BP3414" s="5"/>
    </row>
    <row r="3415" spans="35:68" x14ac:dyDescent="0.25">
      <c r="AI3415" s="49"/>
      <c r="AJ3415" s="78"/>
      <c r="AK3415" s="79"/>
      <c r="AL3415" s="79"/>
      <c r="AM3415" s="79"/>
      <c r="AN3415" s="79"/>
      <c r="AO3415" s="79"/>
      <c r="AP3415" s="79"/>
      <c r="AQ3415" s="79"/>
      <c r="AR3415" s="78"/>
      <c r="AS3415" s="78"/>
      <c r="AT3415" s="79"/>
      <c r="AU3415" s="79"/>
      <c r="AV3415" s="79"/>
      <c r="AW3415" s="79"/>
      <c r="AX3415" s="79"/>
      <c r="AZ3415" s="81"/>
      <c r="BB3415" s="5"/>
      <c r="BC3415" s="5"/>
      <c r="BD3415" s="5"/>
      <c r="BE3415" s="5"/>
      <c r="BF3415" s="5"/>
      <c r="BG3415" s="5"/>
      <c r="BH3415" s="5"/>
      <c r="BI3415" s="5"/>
      <c r="BJ3415" s="5"/>
      <c r="BK3415" s="5"/>
      <c r="BL3415" s="5"/>
      <c r="BM3415" s="5"/>
      <c r="BN3415" s="5"/>
      <c r="BO3415" s="5"/>
      <c r="BP3415" s="5"/>
    </row>
    <row r="3416" spans="35:68" x14ac:dyDescent="0.25">
      <c r="AI3416" s="49"/>
      <c r="AJ3416" s="78"/>
      <c r="AK3416" s="79"/>
      <c r="AL3416" s="79"/>
      <c r="AM3416" s="79"/>
      <c r="AN3416" s="79"/>
      <c r="AO3416" s="79"/>
      <c r="AP3416" s="79"/>
      <c r="AQ3416" s="79"/>
      <c r="AR3416" s="78"/>
      <c r="AS3416" s="78"/>
      <c r="AT3416" s="79"/>
      <c r="AU3416" s="79"/>
      <c r="AV3416" s="79"/>
      <c r="AW3416" s="79"/>
      <c r="AX3416" s="79"/>
      <c r="AZ3416" s="81"/>
      <c r="BB3416" s="5"/>
      <c r="BC3416" s="5"/>
      <c r="BD3416" s="5"/>
      <c r="BE3416" s="5"/>
      <c r="BF3416" s="5"/>
      <c r="BG3416" s="5"/>
      <c r="BH3416" s="5"/>
      <c r="BI3416" s="5"/>
      <c r="BJ3416" s="5"/>
      <c r="BK3416" s="5"/>
      <c r="BL3416" s="5"/>
      <c r="BM3416" s="5"/>
      <c r="BN3416" s="5"/>
      <c r="BO3416" s="5"/>
      <c r="BP3416" s="5"/>
    </row>
    <row r="3417" spans="35:68" x14ac:dyDescent="0.25">
      <c r="AI3417" s="49"/>
      <c r="AJ3417" s="78"/>
      <c r="AK3417" s="79"/>
      <c r="AL3417" s="79"/>
      <c r="AM3417" s="79"/>
      <c r="AN3417" s="79"/>
      <c r="AO3417" s="79"/>
      <c r="AP3417" s="79"/>
      <c r="AQ3417" s="79"/>
      <c r="AR3417" s="78"/>
      <c r="AS3417" s="78"/>
      <c r="AT3417" s="79"/>
      <c r="AU3417" s="79"/>
      <c r="AV3417" s="79"/>
      <c r="AW3417" s="79"/>
      <c r="AX3417" s="79"/>
      <c r="AZ3417" s="81"/>
      <c r="BB3417" s="5"/>
      <c r="BC3417" s="5"/>
      <c r="BD3417" s="5"/>
      <c r="BE3417" s="5"/>
      <c r="BF3417" s="5"/>
      <c r="BG3417" s="5"/>
      <c r="BH3417" s="5"/>
      <c r="BI3417" s="5"/>
      <c r="BJ3417" s="5"/>
      <c r="BK3417" s="5"/>
      <c r="BL3417" s="5"/>
      <c r="BM3417" s="5"/>
      <c r="BN3417" s="5"/>
      <c r="BO3417" s="5"/>
      <c r="BP3417" s="5"/>
    </row>
    <row r="3418" spans="35:68" x14ac:dyDescent="0.25">
      <c r="AI3418" s="49"/>
      <c r="AJ3418" s="78"/>
      <c r="AK3418" s="79"/>
      <c r="AL3418" s="79"/>
      <c r="AM3418" s="79"/>
      <c r="AN3418" s="79"/>
      <c r="AO3418" s="79"/>
      <c r="AP3418" s="79"/>
      <c r="AQ3418" s="79"/>
      <c r="AR3418" s="78"/>
      <c r="AS3418" s="78"/>
      <c r="AT3418" s="79"/>
      <c r="AU3418" s="79"/>
      <c r="AV3418" s="79"/>
      <c r="AW3418" s="79"/>
      <c r="AX3418" s="79"/>
      <c r="AZ3418" s="81"/>
      <c r="BB3418" s="5"/>
      <c r="BC3418" s="5"/>
      <c r="BD3418" s="5"/>
      <c r="BE3418" s="5"/>
      <c r="BF3418" s="5"/>
      <c r="BG3418" s="5"/>
      <c r="BH3418" s="5"/>
      <c r="BI3418" s="5"/>
      <c r="BJ3418" s="5"/>
      <c r="BK3418" s="5"/>
      <c r="BL3418" s="5"/>
      <c r="BM3418" s="5"/>
      <c r="BN3418" s="5"/>
      <c r="BO3418" s="5"/>
      <c r="BP3418" s="5"/>
    </row>
    <row r="3419" spans="35:68" x14ac:dyDescent="0.25">
      <c r="AI3419" s="49"/>
      <c r="AJ3419" s="78"/>
      <c r="AK3419" s="79"/>
      <c r="AL3419" s="79"/>
      <c r="AM3419" s="79"/>
      <c r="AN3419" s="79"/>
      <c r="AO3419" s="79"/>
      <c r="AP3419" s="79"/>
      <c r="AQ3419" s="79"/>
      <c r="AR3419" s="78"/>
      <c r="AS3419" s="78"/>
      <c r="AT3419" s="79"/>
      <c r="AU3419" s="79"/>
      <c r="AV3419" s="79"/>
      <c r="AW3419" s="79"/>
      <c r="AX3419" s="79"/>
      <c r="AZ3419" s="81"/>
      <c r="BB3419" s="5"/>
      <c r="BC3419" s="5"/>
      <c r="BD3419" s="5"/>
      <c r="BE3419" s="5"/>
      <c r="BF3419" s="5"/>
      <c r="BG3419" s="5"/>
      <c r="BH3419" s="5"/>
      <c r="BI3419" s="5"/>
      <c r="BJ3419" s="5"/>
      <c r="BK3419" s="5"/>
      <c r="BL3419" s="5"/>
      <c r="BM3419" s="5"/>
      <c r="BN3419" s="5"/>
      <c r="BO3419" s="5"/>
      <c r="BP3419" s="5"/>
    </row>
    <row r="3420" spans="35:68" x14ac:dyDescent="0.25">
      <c r="AI3420" s="49"/>
      <c r="AJ3420" s="78"/>
      <c r="AK3420" s="79"/>
      <c r="AL3420" s="79"/>
      <c r="AM3420" s="79"/>
      <c r="AN3420" s="79"/>
      <c r="AO3420" s="79"/>
      <c r="AP3420" s="79"/>
      <c r="AQ3420" s="79"/>
      <c r="AR3420" s="78"/>
      <c r="AS3420" s="78"/>
      <c r="AT3420" s="79"/>
      <c r="AU3420" s="79"/>
      <c r="AV3420" s="79"/>
      <c r="AW3420" s="79"/>
      <c r="AX3420" s="79"/>
      <c r="AZ3420" s="81"/>
      <c r="BB3420" s="5"/>
      <c r="BC3420" s="5"/>
      <c r="BD3420" s="5"/>
      <c r="BE3420" s="5"/>
      <c r="BF3420" s="5"/>
      <c r="BG3420" s="5"/>
      <c r="BH3420" s="5"/>
      <c r="BI3420" s="5"/>
      <c r="BJ3420" s="5"/>
      <c r="BK3420" s="5"/>
      <c r="BL3420" s="5"/>
      <c r="BM3420" s="5"/>
      <c r="BN3420" s="5"/>
      <c r="BO3420" s="5"/>
      <c r="BP3420" s="5"/>
    </row>
    <row r="3421" spans="35:68" x14ac:dyDescent="0.25">
      <c r="AI3421" s="49"/>
      <c r="AJ3421" s="78"/>
      <c r="AK3421" s="79"/>
      <c r="AL3421" s="79"/>
      <c r="AM3421" s="79"/>
      <c r="AN3421" s="79"/>
      <c r="AO3421" s="79"/>
      <c r="AP3421" s="79"/>
      <c r="AQ3421" s="79"/>
      <c r="AR3421" s="78"/>
      <c r="AS3421" s="78"/>
      <c r="AT3421" s="79"/>
      <c r="AU3421" s="79"/>
      <c r="AV3421" s="79"/>
      <c r="AW3421" s="79"/>
      <c r="AX3421" s="79"/>
      <c r="AZ3421" s="81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</row>
    <row r="3422" spans="35:68" x14ac:dyDescent="0.25">
      <c r="AI3422" s="49"/>
      <c r="AJ3422" s="78"/>
      <c r="AK3422" s="79"/>
      <c r="AL3422" s="79"/>
      <c r="AM3422" s="79"/>
      <c r="AN3422" s="79"/>
      <c r="AO3422" s="79"/>
      <c r="AP3422" s="79"/>
      <c r="AQ3422" s="79"/>
      <c r="AR3422" s="78"/>
      <c r="AS3422" s="78"/>
      <c r="AT3422" s="79"/>
      <c r="AU3422" s="79"/>
      <c r="AV3422" s="79"/>
      <c r="AW3422" s="79"/>
      <c r="AX3422" s="79"/>
      <c r="AZ3422" s="81"/>
      <c r="BB3422" s="5"/>
      <c r="BC3422" s="5"/>
      <c r="BD3422" s="5"/>
      <c r="BE3422" s="5"/>
      <c r="BF3422" s="5"/>
      <c r="BG3422" s="5"/>
      <c r="BH3422" s="5"/>
      <c r="BI3422" s="5"/>
      <c r="BJ3422" s="5"/>
      <c r="BK3422" s="5"/>
      <c r="BL3422" s="5"/>
      <c r="BM3422" s="5"/>
      <c r="BN3422" s="5"/>
      <c r="BO3422" s="5"/>
      <c r="BP3422" s="5"/>
    </row>
    <row r="3423" spans="35:68" x14ac:dyDescent="0.25">
      <c r="AI3423" s="49"/>
      <c r="AJ3423" s="78"/>
      <c r="AK3423" s="79"/>
      <c r="AL3423" s="79"/>
      <c r="AM3423" s="79"/>
      <c r="AN3423" s="79"/>
      <c r="AO3423" s="79"/>
      <c r="AP3423" s="79"/>
      <c r="AQ3423" s="79"/>
      <c r="AR3423" s="78"/>
      <c r="AS3423" s="78"/>
      <c r="AT3423" s="79"/>
      <c r="AU3423" s="79"/>
      <c r="AV3423" s="79"/>
      <c r="AW3423" s="79"/>
      <c r="AX3423" s="79"/>
      <c r="AZ3423" s="81"/>
      <c r="BB3423" s="5"/>
      <c r="BC3423" s="5"/>
      <c r="BD3423" s="5"/>
      <c r="BE3423" s="5"/>
      <c r="BF3423" s="5"/>
      <c r="BG3423" s="5"/>
      <c r="BH3423" s="5"/>
      <c r="BI3423" s="5"/>
      <c r="BJ3423" s="5"/>
      <c r="BK3423" s="5"/>
      <c r="BL3423" s="5"/>
      <c r="BM3423" s="5"/>
      <c r="BN3423" s="5"/>
      <c r="BO3423" s="5"/>
      <c r="BP3423" s="5"/>
    </row>
    <row r="3424" spans="35:68" x14ac:dyDescent="0.25">
      <c r="AI3424" s="49"/>
      <c r="AJ3424" s="78"/>
      <c r="AK3424" s="79"/>
      <c r="AL3424" s="79"/>
      <c r="AM3424" s="79"/>
      <c r="AN3424" s="79"/>
      <c r="AO3424" s="79"/>
      <c r="AP3424" s="79"/>
      <c r="AQ3424" s="79"/>
      <c r="AR3424" s="78"/>
      <c r="AS3424" s="78"/>
      <c r="AT3424" s="79"/>
      <c r="AU3424" s="79"/>
      <c r="AV3424" s="79"/>
      <c r="AW3424" s="79"/>
      <c r="AX3424" s="79"/>
      <c r="AZ3424" s="81"/>
      <c r="BB3424" s="5"/>
      <c r="BC3424" s="5"/>
      <c r="BD3424" s="5"/>
      <c r="BE3424" s="5"/>
      <c r="BF3424" s="5"/>
      <c r="BG3424" s="5"/>
      <c r="BH3424" s="5"/>
      <c r="BI3424" s="5"/>
      <c r="BJ3424" s="5"/>
      <c r="BK3424" s="5"/>
      <c r="BL3424" s="5"/>
      <c r="BM3424" s="5"/>
      <c r="BN3424" s="5"/>
      <c r="BO3424" s="5"/>
      <c r="BP3424" s="5"/>
    </row>
    <row r="3425" spans="35:68" x14ac:dyDescent="0.25">
      <c r="AI3425" s="49"/>
      <c r="AJ3425" s="78"/>
      <c r="AK3425" s="79"/>
      <c r="AL3425" s="79"/>
      <c r="AM3425" s="79"/>
      <c r="AN3425" s="79"/>
      <c r="AO3425" s="79"/>
      <c r="AP3425" s="79"/>
      <c r="AQ3425" s="79"/>
      <c r="AR3425" s="78"/>
      <c r="AS3425" s="78"/>
      <c r="AT3425" s="79"/>
      <c r="AU3425" s="79"/>
      <c r="AV3425" s="79"/>
      <c r="AW3425" s="79"/>
      <c r="AX3425" s="79"/>
      <c r="AZ3425" s="81"/>
      <c r="BB3425" s="5"/>
      <c r="BC3425" s="5"/>
      <c r="BD3425" s="5"/>
      <c r="BE3425" s="5"/>
      <c r="BF3425" s="5"/>
      <c r="BG3425" s="5"/>
      <c r="BH3425" s="5"/>
      <c r="BI3425" s="5"/>
      <c r="BJ3425" s="5"/>
      <c r="BK3425" s="5"/>
      <c r="BL3425" s="5"/>
      <c r="BM3425" s="5"/>
      <c r="BN3425" s="5"/>
      <c r="BO3425" s="5"/>
      <c r="BP3425" s="5"/>
    </row>
    <row r="3426" spans="35:68" x14ac:dyDescent="0.25">
      <c r="AI3426" s="49"/>
      <c r="AJ3426" s="78"/>
      <c r="AK3426" s="79"/>
      <c r="AL3426" s="79"/>
      <c r="AM3426" s="79"/>
      <c r="AN3426" s="79"/>
      <c r="AO3426" s="79"/>
      <c r="AP3426" s="79"/>
      <c r="AQ3426" s="79"/>
      <c r="AR3426" s="78"/>
      <c r="AS3426" s="78"/>
      <c r="AT3426" s="79"/>
      <c r="AU3426" s="79"/>
      <c r="AV3426" s="79"/>
      <c r="AW3426" s="79"/>
      <c r="AX3426" s="79"/>
      <c r="AZ3426" s="81"/>
      <c r="BB3426" s="5"/>
      <c r="BC3426" s="5"/>
      <c r="BD3426" s="5"/>
      <c r="BE3426" s="5"/>
      <c r="BF3426" s="5"/>
      <c r="BG3426" s="5"/>
      <c r="BH3426" s="5"/>
      <c r="BI3426" s="5"/>
      <c r="BJ3426" s="5"/>
      <c r="BK3426" s="5"/>
      <c r="BL3426" s="5"/>
      <c r="BM3426" s="5"/>
      <c r="BN3426" s="5"/>
      <c r="BO3426" s="5"/>
      <c r="BP3426" s="5"/>
    </row>
    <row r="3427" spans="35:68" x14ac:dyDescent="0.25">
      <c r="AI3427" s="49"/>
      <c r="AJ3427" s="78"/>
      <c r="AK3427" s="79"/>
      <c r="AL3427" s="79"/>
      <c r="AM3427" s="79"/>
      <c r="AN3427" s="79"/>
      <c r="AO3427" s="79"/>
      <c r="AP3427" s="79"/>
      <c r="AQ3427" s="79"/>
      <c r="AR3427" s="78"/>
      <c r="AS3427" s="78"/>
      <c r="AT3427" s="79"/>
      <c r="AU3427" s="79"/>
      <c r="AV3427" s="79"/>
      <c r="AW3427" s="79"/>
      <c r="AX3427" s="79"/>
      <c r="AZ3427" s="81"/>
      <c r="BB3427" s="5"/>
      <c r="BC3427" s="5"/>
      <c r="BD3427" s="5"/>
      <c r="BE3427" s="5"/>
      <c r="BF3427" s="5"/>
      <c r="BG3427" s="5"/>
      <c r="BH3427" s="5"/>
      <c r="BI3427" s="5"/>
      <c r="BJ3427" s="5"/>
      <c r="BK3427" s="5"/>
      <c r="BL3427" s="5"/>
      <c r="BM3427" s="5"/>
      <c r="BN3427" s="5"/>
      <c r="BO3427" s="5"/>
      <c r="BP3427" s="5"/>
    </row>
    <row r="3428" spans="35:68" x14ac:dyDescent="0.25">
      <c r="AI3428" s="49"/>
      <c r="AJ3428" s="78"/>
      <c r="AK3428" s="79"/>
      <c r="AL3428" s="79"/>
      <c r="AM3428" s="79"/>
      <c r="AN3428" s="79"/>
      <c r="AO3428" s="79"/>
      <c r="AP3428" s="79"/>
      <c r="AQ3428" s="79"/>
      <c r="AR3428" s="78"/>
      <c r="AS3428" s="78"/>
      <c r="AT3428" s="79"/>
      <c r="AU3428" s="79"/>
      <c r="AV3428" s="79"/>
      <c r="AW3428" s="79"/>
      <c r="AX3428" s="79"/>
      <c r="AZ3428" s="81"/>
      <c r="BB3428" s="5"/>
      <c r="BC3428" s="5"/>
      <c r="BD3428" s="5"/>
      <c r="BE3428" s="5"/>
      <c r="BF3428" s="5"/>
      <c r="BG3428" s="5"/>
      <c r="BH3428" s="5"/>
      <c r="BI3428" s="5"/>
      <c r="BJ3428" s="5"/>
      <c r="BK3428" s="5"/>
      <c r="BL3428" s="5"/>
      <c r="BM3428" s="5"/>
      <c r="BN3428" s="5"/>
      <c r="BO3428" s="5"/>
      <c r="BP3428" s="5"/>
    </row>
    <row r="3429" spans="35:68" x14ac:dyDescent="0.25">
      <c r="AI3429" s="49"/>
      <c r="AJ3429" s="78"/>
      <c r="AK3429" s="79"/>
      <c r="AL3429" s="79"/>
      <c r="AM3429" s="79"/>
      <c r="AN3429" s="79"/>
      <c r="AO3429" s="79"/>
      <c r="AP3429" s="79"/>
      <c r="AQ3429" s="79"/>
      <c r="AR3429" s="78"/>
      <c r="AS3429" s="78"/>
      <c r="AT3429" s="79"/>
      <c r="AU3429" s="79"/>
      <c r="AV3429" s="79"/>
      <c r="AW3429" s="79"/>
      <c r="AX3429" s="79"/>
      <c r="AZ3429" s="81"/>
      <c r="BB3429" s="5"/>
      <c r="BC3429" s="5"/>
      <c r="BD3429" s="5"/>
      <c r="BE3429" s="5"/>
      <c r="BF3429" s="5"/>
      <c r="BG3429" s="5"/>
      <c r="BH3429" s="5"/>
      <c r="BI3429" s="5"/>
      <c r="BJ3429" s="5"/>
      <c r="BK3429" s="5"/>
      <c r="BL3429" s="5"/>
      <c r="BM3429" s="5"/>
      <c r="BN3429" s="5"/>
      <c r="BO3429" s="5"/>
      <c r="BP3429" s="5"/>
    </row>
    <row r="3430" spans="35:68" x14ac:dyDescent="0.25">
      <c r="AI3430" s="49"/>
      <c r="AJ3430" s="78"/>
      <c r="AK3430" s="79"/>
      <c r="AL3430" s="79"/>
      <c r="AM3430" s="79"/>
      <c r="AN3430" s="79"/>
      <c r="AO3430" s="79"/>
      <c r="AP3430" s="79"/>
      <c r="AQ3430" s="79"/>
      <c r="AR3430" s="78"/>
      <c r="AS3430" s="78"/>
      <c r="AT3430" s="79"/>
      <c r="AU3430" s="79"/>
      <c r="AV3430" s="79"/>
      <c r="AW3430" s="79"/>
      <c r="AX3430" s="79"/>
      <c r="AZ3430" s="81"/>
      <c r="BB3430" s="5"/>
      <c r="BC3430" s="5"/>
      <c r="BD3430" s="5"/>
      <c r="BE3430" s="5"/>
      <c r="BF3430" s="5"/>
      <c r="BG3430" s="5"/>
      <c r="BH3430" s="5"/>
      <c r="BI3430" s="5"/>
      <c r="BJ3430" s="5"/>
      <c r="BK3430" s="5"/>
      <c r="BL3430" s="5"/>
      <c r="BM3430" s="5"/>
      <c r="BN3430" s="5"/>
      <c r="BO3430" s="5"/>
      <c r="BP3430" s="5"/>
    </row>
    <row r="3431" spans="35:68" x14ac:dyDescent="0.25">
      <c r="AI3431" s="49"/>
      <c r="AJ3431" s="78"/>
      <c r="AK3431" s="79"/>
      <c r="AL3431" s="79"/>
      <c r="AM3431" s="79"/>
      <c r="AN3431" s="79"/>
      <c r="AO3431" s="79"/>
      <c r="AP3431" s="79"/>
      <c r="AQ3431" s="79"/>
      <c r="AR3431" s="78"/>
      <c r="AS3431" s="78"/>
      <c r="AT3431" s="79"/>
      <c r="AU3431" s="79"/>
      <c r="AV3431" s="79"/>
      <c r="AW3431" s="79"/>
      <c r="AX3431" s="79"/>
      <c r="AZ3431" s="81"/>
      <c r="BB3431" s="5"/>
      <c r="BC3431" s="5"/>
      <c r="BD3431" s="5"/>
      <c r="BE3431" s="5"/>
      <c r="BF3431" s="5"/>
      <c r="BG3431" s="5"/>
      <c r="BH3431" s="5"/>
      <c r="BI3431" s="5"/>
      <c r="BJ3431" s="5"/>
      <c r="BK3431" s="5"/>
      <c r="BL3431" s="5"/>
      <c r="BM3431" s="5"/>
      <c r="BN3431" s="5"/>
      <c r="BO3431" s="5"/>
      <c r="BP3431" s="5"/>
    </row>
    <row r="3432" spans="35:68" x14ac:dyDescent="0.25">
      <c r="AI3432" s="49"/>
      <c r="AJ3432" s="78"/>
      <c r="AK3432" s="79"/>
      <c r="AL3432" s="79"/>
      <c r="AM3432" s="79"/>
      <c r="AN3432" s="79"/>
      <c r="AO3432" s="79"/>
      <c r="AP3432" s="79"/>
      <c r="AQ3432" s="79"/>
      <c r="AR3432" s="78"/>
      <c r="AS3432" s="78"/>
      <c r="AT3432" s="79"/>
      <c r="AU3432" s="79"/>
      <c r="AV3432" s="79"/>
      <c r="AW3432" s="79"/>
      <c r="AX3432" s="79"/>
      <c r="AZ3432" s="81"/>
      <c r="BB3432" s="5"/>
      <c r="BC3432" s="5"/>
      <c r="BD3432" s="5"/>
      <c r="BE3432" s="5"/>
      <c r="BF3432" s="5"/>
      <c r="BG3432" s="5"/>
      <c r="BH3432" s="5"/>
      <c r="BI3432" s="5"/>
      <c r="BJ3432" s="5"/>
      <c r="BK3432" s="5"/>
      <c r="BL3432" s="5"/>
      <c r="BM3432" s="5"/>
      <c r="BN3432" s="5"/>
      <c r="BO3432" s="5"/>
      <c r="BP3432" s="5"/>
    </row>
    <row r="3433" spans="35:68" x14ac:dyDescent="0.25">
      <c r="AI3433" s="49"/>
      <c r="AJ3433" s="78"/>
      <c r="AK3433" s="79"/>
      <c r="AL3433" s="79"/>
      <c r="AM3433" s="79"/>
      <c r="AN3433" s="79"/>
      <c r="AO3433" s="79"/>
      <c r="AP3433" s="79"/>
      <c r="AQ3433" s="79"/>
      <c r="AR3433" s="78"/>
      <c r="AS3433" s="78"/>
      <c r="AT3433" s="79"/>
      <c r="AU3433" s="79"/>
      <c r="AV3433" s="79"/>
      <c r="AW3433" s="79"/>
      <c r="AX3433" s="79"/>
      <c r="AZ3433" s="81"/>
      <c r="BB3433" s="5"/>
      <c r="BC3433" s="5"/>
      <c r="BD3433" s="5"/>
      <c r="BE3433" s="5"/>
      <c r="BF3433" s="5"/>
      <c r="BG3433" s="5"/>
      <c r="BH3433" s="5"/>
      <c r="BI3433" s="5"/>
      <c r="BJ3433" s="5"/>
      <c r="BK3433" s="5"/>
      <c r="BL3433" s="5"/>
      <c r="BM3433" s="5"/>
      <c r="BN3433" s="5"/>
      <c r="BO3433" s="5"/>
      <c r="BP3433" s="5"/>
    </row>
    <row r="3434" spans="35:68" x14ac:dyDescent="0.25">
      <c r="AI3434" s="49"/>
      <c r="AJ3434" s="78"/>
      <c r="AK3434" s="79"/>
      <c r="AL3434" s="79"/>
      <c r="AM3434" s="79"/>
      <c r="AN3434" s="79"/>
      <c r="AO3434" s="79"/>
      <c r="AP3434" s="79"/>
      <c r="AQ3434" s="79"/>
      <c r="AR3434" s="78"/>
      <c r="AS3434" s="78"/>
      <c r="AT3434" s="79"/>
      <c r="AU3434" s="79"/>
      <c r="AV3434" s="79"/>
      <c r="AW3434" s="79"/>
      <c r="AX3434" s="79"/>
      <c r="AZ3434" s="81"/>
      <c r="BB3434" s="5"/>
      <c r="BC3434" s="5"/>
      <c r="BD3434" s="5"/>
      <c r="BE3434" s="5"/>
      <c r="BF3434" s="5"/>
      <c r="BG3434" s="5"/>
      <c r="BH3434" s="5"/>
      <c r="BI3434" s="5"/>
      <c r="BJ3434" s="5"/>
      <c r="BK3434" s="5"/>
      <c r="BL3434" s="5"/>
      <c r="BM3434" s="5"/>
      <c r="BN3434" s="5"/>
      <c r="BO3434" s="5"/>
      <c r="BP3434" s="5"/>
    </row>
    <row r="3435" spans="35:68" x14ac:dyDescent="0.25">
      <c r="AI3435" s="49"/>
      <c r="AJ3435" s="78"/>
      <c r="AK3435" s="79"/>
      <c r="AL3435" s="79"/>
      <c r="AM3435" s="79"/>
      <c r="AN3435" s="79"/>
      <c r="AO3435" s="79"/>
      <c r="AP3435" s="79"/>
      <c r="AQ3435" s="79"/>
      <c r="AR3435" s="78"/>
      <c r="AS3435" s="78"/>
      <c r="AT3435" s="79"/>
      <c r="AU3435" s="79"/>
      <c r="AV3435" s="79"/>
      <c r="AW3435" s="79"/>
      <c r="AX3435" s="79"/>
      <c r="AZ3435" s="81"/>
      <c r="BB3435" s="5"/>
      <c r="BC3435" s="5"/>
      <c r="BD3435" s="5"/>
      <c r="BE3435" s="5"/>
      <c r="BF3435" s="5"/>
      <c r="BG3435" s="5"/>
      <c r="BH3435" s="5"/>
      <c r="BI3435" s="5"/>
      <c r="BJ3435" s="5"/>
      <c r="BK3435" s="5"/>
      <c r="BL3435" s="5"/>
      <c r="BM3435" s="5"/>
      <c r="BN3435" s="5"/>
      <c r="BO3435" s="5"/>
      <c r="BP3435" s="5"/>
    </row>
    <row r="3436" spans="35:68" x14ac:dyDescent="0.25">
      <c r="AI3436" s="49"/>
      <c r="AJ3436" s="78"/>
      <c r="AK3436" s="79"/>
      <c r="AL3436" s="79"/>
      <c r="AM3436" s="79"/>
      <c r="AN3436" s="79"/>
      <c r="AO3436" s="79"/>
      <c r="AP3436" s="79"/>
      <c r="AQ3436" s="79"/>
      <c r="AR3436" s="78"/>
      <c r="AS3436" s="78"/>
      <c r="AT3436" s="79"/>
      <c r="AU3436" s="79"/>
      <c r="AV3436" s="79"/>
      <c r="AW3436" s="79"/>
      <c r="AX3436" s="79"/>
      <c r="AZ3436" s="81"/>
      <c r="BB3436" s="5"/>
      <c r="BC3436" s="5"/>
      <c r="BD3436" s="5"/>
      <c r="BE3436" s="5"/>
      <c r="BF3436" s="5"/>
      <c r="BG3436" s="5"/>
      <c r="BH3436" s="5"/>
      <c r="BI3436" s="5"/>
      <c r="BJ3436" s="5"/>
      <c r="BK3436" s="5"/>
      <c r="BL3436" s="5"/>
      <c r="BM3436" s="5"/>
      <c r="BN3436" s="5"/>
      <c r="BO3436" s="5"/>
      <c r="BP3436" s="5"/>
    </row>
    <row r="3437" spans="35:68" x14ac:dyDescent="0.25">
      <c r="AI3437" s="49"/>
      <c r="AJ3437" s="78"/>
      <c r="AK3437" s="79"/>
      <c r="AL3437" s="79"/>
      <c r="AM3437" s="79"/>
      <c r="AN3437" s="79"/>
      <c r="AO3437" s="79"/>
      <c r="AP3437" s="79"/>
      <c r="AQ3437" s="79"/>
      <c r="AR3437" s="78"/>
      <c r="AS3437" s="78"/>
      <c r="AT3437" s="79"/>
      <c r="AU3437" s="79"/>
      <c r="AV3437" s="79"/>
      <c r="AW3437" s="79"/>
      <c r="AX3437" s="79"/>
      <c r="AZ3437" s="81"/>
      <c r="BB3437" s="5"/>
      <c r="BC3437" s="5"/>
      <c r="BD3437" s="5"/>
      <c r="BE3437" s="5"/>
      <c r="BF3437" s="5"/>
      <c r="BG3437" s="5"/>
      <c r="BH3437" s="5"/>
      <c r="BI3437" s="5"/>
      <c r="BJ3437" s="5"/>
      <c r="BK3437" s="5"/>
      <c r="BL3437" s="5"/>
      <c r="BM3437" s="5"/>
      <c r="BN3437" s="5"/>
      <c r="BO3437" s="5"/>
      <c r="BP3437" s="5"/>
    </row>
    <row r="3438" spans="35:68" x14ac:dyDescent="0.25">
      <c r="AI3438" s="49"/>
      <c r="AJ3438" s="78"/>
      <c r="AK3438" s="79"/>
      <c r="AL3438" s="79"/>
      <c r="AM3438" s="79"/>
      <c r="AN3438" s="79"/>
      <c r="AO3438" s="79"/>
      <c r="AP3438" s="79"/>
      <c r="AQ3438" s="79"/>
      <c r="AR3438" s="78"/>
      <c r="AS3438" s="78"/>
      <c r="AT3438" s="79"/>
      <c r="AU3438" s="79"/>
      <c r="AV3438" s="79"/>
      <c r="AW3438" s="79"/>
      <c r="AX3438" s="79"/>
      <c r="AZ3438" s="81"/>
      <c r="BB3438" s="5"/>
      <c r="BC3438" s="5"/>
      <c r="BD3438" s="5"/>
      <c r="BE3438" s="5"/>
      <c r="BF3438" s="5"/>
      <c r="BG3438" s="5"/>
      <c r="BH3438" s="5"/>
      <c r="BI3438" s="5"/>
      <c r="BJ3438" s="5"/>
      <c r="BK3438" s="5"/>
      <c r="BL3438" s="5"/>
      <c r="BM3438" s="5"/>
      <c r="BN3438" s="5"/>
      <c r="BO3438" s="5"/>
      <c r="BP3438" s="5"/>
    </row>
    <row r="3439" spans="35:68" x14ac:dyDescent="0.25">
      <c r="AI3439" s="49"/>
      <c r="AJ3439" s="78"/>
      <c r="AK3439" s="79"/>
      <c r="AL3439" s="79"/>
      <c r="AM3439" s="79"/>
      <c r="AN3439" s="79"/>
      <c r="AO3439" s="79"/>
      <c r="AP3439" s="79"/>
      <c r="AQ3439" s="79"/>
      <c r="AR3439" s="78"/>
      <c r="AS3439" s="78"/>
      <c r="AT3439" s="79"/>
      <c r="AU3439" s="79"/>
      <c r="AV3439" s="79"/>
      <c r="AW3439" s="79"/>
      <c r="AX3439" s="79"/>
      <c r="AZ3439" s="81"/>
      <c r="BB3439" s="5"/>
      <c r="BC3439" s="5"/>
      <c r="BD3439" s="5"/>
      <c r="BE3439" s="5"/>
      <c r="BF3439" s="5"/>
      <c r="BG3439" s="5"/>
      <c r="BH3439" s="5"/>
      <c r="BI3439" s="5"/>
      <c r="BJ3439" s="5"/>
      <c r="BK3439" s="5"/>
      <c r="BL3439" s="5"/>
      <c r="BM3439" s="5"/>
      <c r="BN3439" s="5"/>
      <c r="BO3439" s="5"/>
      <c r="BP3439" s="5"/>
    </row>
    <row r="3440" spans="35:68" x14ac:dyDescent="0.25">
      <c r="AI3440" s="49"/>
      <c r="AJ3440" s="78"/>
      <c r="AK3440" s="79"/>
      <c r="AL3440" s="79"/>
      <c r="AM3440" s="79"/>
      <c r="AN3440" s="79"/>
      <c r="AO3440" s="79"/>
      <c r="AP3440" s="79"/>
      <c r="AQ3440" s="79"/>
      <c r="AR3440" s="78"/>
      <c r="AS3440" s="78"/>
      <c r="AT3440" s="79"/>
      <c r="AU3440" s="79"/>
      <c r="AV3440" s="79"/>
      <c r="AW3440" s="79"/>
      <c r="AX3440" s="79"/>
      <c r="AZ3440" s="81"/>
      <c r="BB3440" s="5"/>
      <c r="BC3440" s="5"/>
      <c r="BD3440" s="5"/>
      <c r="BE3440" s="5"/>
      <c r="BF3440" s="5"/>
      <c r="BG3440" s="5"/>
      <c r="BH3440" s="5"/>
      <c r="BI3440" s="5"/>
      <c r="BJ3440" s="5"/>
      <c r="BK3440" s="5"/>
      <c r="BL3440" s="5"/>
      <c r="BM3440" s="5"/>
      <c r="BN3440" s="5"/>
      <c r="BO3440" s="5"/>
      <c r="BP3440" s="5"/>
    </row>
    <row r="3441" spans="35:68" x14ac:dyDescent="0.25">
      <c r="AI3441" s="49"/>
      <c r="AJ3441" s="78"/>
      <c r="AK3441" s="79"/>
      <c r="AL3441" s="79"/>
      <c r="AM3441" s="79"/>
      <c r="AN3441" s="79"/>
      <c r="AO3441" s="79"/>
      <c r="AP3441" s="79"/>
      <c r="AQ3441" s="79"/>
      <c r="AR3441" s="78"/>
      <c r="AS3441" s="78"/>
      <c r="AT3441" s="79"/>
      <c r="AU3441" s="79"/>
      <c r="AV3441" s="79"/>
      <c r="AW3441" s="79"/>
      <c r="AX3441" s="79"/>
      <c r="AZ3441" s="81"/>
      <c r="BB3441" s="5"/>
      <c r="BC3441" s="5"/>
      <c r="BD3441" s="5"/>
      <c r="BE3441" s="5"/>
      <c r="BF3441" s="5"/>
      <c r="BG3441" s="5"/>
      <c r="BH3441" s="5"/>
      <c r="BI3441" s="5"/>
      <c r="BJ3441" s="5"/>
      <c r="BK3441" s="5"/>
      <c r="BL3441" s="5"/>
      <c r="BM3441" s="5"/>
      <c r="BN3441" s="5"/>
      <c r="BO3441" s="5"/>
      <c r="BP3441" s="5"/>
    </row>
    <row r="3442" spans="35:68" x14ac:dyDescent="0.25">
      <c r="AI3442" s="49"/>
      <c r="AJ3442" s="78"/>
      <c r="AK3442" s="79"/>
      <c r="AL3442" s="79"/>
      <c r="AM3442" s="79"/>
      <c r="AN3442" s="79"/>
      <c r="AO3442" s="79"/>
      <c r="AP3442" s="79"/>
      <c r="AQ3442" s="79"/>
      <c r="AR3442" s="78"/>
      <c r="AS3442" s="78"/>
      <c r="AT3442" s="79"/>
      <c r="AU3442" s="79"/>
      <c r="AV3442" s="79"/>
      <c r="AW3442" s="79"/>
      <c r="AX3442" s="79"/>
      <c r="AZ3442" s="81"/>
      <c r="BB3442" s="5"/>
      <c r="BC3442" s="5"/>
      <c r="BD3442" s="5"/>
      <c r="BE3442" s="5"/>
      <c r="BF3442" s="5"/>
      <c r="BG3442" s="5"/>
      <c r="BH3442" s="5"/>
      <c r="BI3442" s="5"/>
      <c r="BJ3442" s="5"/>
      <c r="BK3442" s="5"/>
      <c r="BL3442" s="5"/>
      <c r="BM3442" s="5"/>
      <c r="BN3442" s="5"/>
      <c r="BO3442" s="5"/>
      <c r="BP3442" s="5"/>
    </row>
    <row r="3443" spans="35:68" x14ac:dyDescent="0.25">
      <c r="AI3443" s="49"/>
      <c r="AJ3443" s="78"/>
      <c r="AK3443" s="79"/>
      <c r="AL3443" s="79"/>
      <c r="AM3443" s="79"/>
      <c r="AN3443" s="79"/>
      <c r="AO3443" s="79"/>
      <c r="AP3443" s="79"/>
      <c r="AQ3443" s="79"/>
      <c r="AR3443" s="78"/>
      <c r="AS3443" s="78"/>
      <c r="AT3443" s="79"/>
      <c r="AU3443" s="79"/>
      <c r="AV3443" s="79"/>
      <c r="AW3443" s="79"/>
      <c r="AX3443" s="79"/>
      <c r="AZ3443" s="81"/>
      <c r="BB3443" s="5"/>
      <c r="BC3443" s="5"/>
      <c r="BD3443" s="5"/>
      <c r="BE3443" s="5"/>
      <c r="BF3443" s="5"/>
      <c r="BG3443" s="5"/>
      <c r="BH3443" s="5"/>
      <c r="BI3443" s="5"/>
      <c r="BJ3443" s="5"/>
      <c r="BK3443" s="5"/>
      <c r="BL3443" s="5"/>
      <c r="BM3443" s="5"/>
      <c r="BN3443" s="5"/>
      <c r="BO3443" s="5"/>
      <c r="BP3443" s="5"/>
    </row>
    <row r="3444" spans="35:68" x14ac:dyDescent="0.25">
      <c r="AI3444" s="49"/>
      <c r="AJ3444" s="78"/>
      <c r="AK3444" s="79"/>
      <c r="AL3444" s="79"/>
      <c r="AM3444" s="79"/>
      <c r="AN3444" s="79"/>
      <c r="AO3444" s="79"/>
      <c r="AP3444" s="79"/>
      <c r="AQ3444" s="79"/>
      <c r="AR3444" s="78"/>
      <c r="AS3444" s="78"/>
      <c r="AT3444" s="79"/>
      <c r="AU3444" s="79"/>
      <c r="AV3444" s="79"/>
      <c r="AW3444" s="79"/>
      <c r="AX3444" s="79"/>
      <c r="AZ3444" s="81"/>
      <c r="BB3444" s="5"/>
      <c r="BC3444" s="5"/>
      <c r="BD3444" s="5"/>
      <c r="BE3444" s="5"/>
      <c r="BF3444" s="5"/>
      <c r="BG3444" s="5"/>
      <c r="BH3444" s="5"/>
      <c r="BI3444" s="5"/>
      <c r="BJ3444" s="5"/>
      <c r="BK3444" s="5"/>
      <c r="BL3444" s="5"/>
      <c r="BM3444" s="5"/>
      <c r="BN3444" s="5"/>
      <c r="BO3444" s="5"/>
      <c r="BP3444" s="5"/>
    </row>
    <row r="3445" spans="35:68" x14ac:dyDescent="0.25">
      <c r="AI3445" s="49"/>
      <c r="AJ3445" s="78"/>
      <c r="AK3445" s="79"/>
      <c r="AL3445" s="79"/>
      <c r="AM3445" s="79"/>
      <c r="AN3445" s="79"/>
      <c r="AO3445" s="79"/>
      <c r="AP3445" s="79"/>
      <c r="AQ3445" s="79"/>
      <c r="AR3445" s="78"/>
      <c r="AS3445" s="78"/>
      <c r="AT3445" s="79"/>
      <c r="AU3445" s="79"/>
      <c r="AV3445" s="79"/>
      <c r="AW3445" s="79"/>
      <c r="AX3445" s="79"/>
      <c r="AZ3445" s="81"/>
      <c r="BB3445" s="5"/>
      <c r="BC3445" s="5"/>
      <c r="BD3445" s="5"/>
      <c r="BE3445" s="5"/>
      <c r="BF3445" s="5"/>
      <c r="BG3445" s="5"/>
      <c r="BH3445" s="5"/>
      <c r="BI3445" s="5"/>
      <c r="BJ3445" s="5"/>
      <c r="BK3445" s="5"/>
      <c r="BL3445" s="5"/>
      <c r="BM3445" s="5"/>
      <c r="BN3445" s="5"/>
      <c r="BO3445" s="5"/>
      <c r="BP3445" s="5"/>
    </row>
    <row r="3446" spans="35:68" x14ac:dyDescent="0.25">
      <c r="AI3446" s="49"/>
      <c r="AJ3446" s="78"/>
      <c r="AK3446" s="79"/>
      <c r="AL3446" s="79"/>
      <c r="AM3446" s="79"/>
      <c r="AN3446" s="79"/>
      <c r="AO3446" s="79"/>
      <c r="AP3446" s="79"/>
      <c r="AQ3446" s="79"/>
      <c r="AR3446" s="78"/>
      <c r="AS3446" s="78"/>
      <c r="AT3446" s="79"/>
      <c r="AU3446" s="79"/>
      <c r="AV3446" s="79"/>
      <c r="AW3446" s="79"/>
      <c r="AX3446" s="79"/>
      <c r="AZ3446" s="81"/>
      <c r="BB3446" s="5"/>
      <c r="BC3446" s="5"/>
      <c r="BD3446" s="5"/>
      <c r="BE3446" s="5"/>
      <c r="BF3446" s="5"/>
      <c r="BG3446" s="5"/>
      <c r="BH3446" s="5"/>
      <c r="BI3446" s="5"/>
      <c r="BJ3446" s="5"/>
      <c r="BK3446" s="5"/>
      <c r="BL3446" s="5"/>
      <c r="BM3446" s="5"/>
      <c r="BN3446" s="5"/>
      <c r="BO3446" s="5"/>
      <c r="BP3446" s="5"/>
    </row>
    <row r="3447" spans="35:68" x14ac:dyDescent="0.25">
      <c r="AI3447" s="49"/>
      <c r="AJ3447" s="78"/>
      <c r="AK3447" s="79"/>
      <c r="AL3447" s="79"/>
      <c r="AM3447" s="79"/>
      <c r="AN3447" s="79"/>
      <c r="AO3447" s="79"/>
      <c r="AP3447" s="79"/>
      <c r="AQ3447" s="79"/>
      <c r="AR3447" s="78"/>
      <c r="AS3447" s="78"/>
      <c r="AT3447" s="79"/>
      <c r="AU3447" s="79"/>
      <c r="AV3447" s="79"/>
      <c r="AW3447" s="79"/>
      <c r="AX3447" s="79"/>
      <c r="AZ3447" s="81"/>
      <c r="BB3447" s="5"/>
      <c r="BC3447" s="5"/>
      <c r="BD3447" s="5"/>
      <c r="BE3447" s="5"/>
      <c r="BF3447" s="5"/>
      <c r="BG3447" s="5"/>
      <c r="BH3447" s="5"/>
      <c r="BI3447" s="5"/>
      <c r="BJ3447" s="5"/>
      <c r="BK3447" s="5"/>
      <c r="BL3447" s="5"/>
      <c r="BM3447" s="5"/>
      <c r="BN3447" s="5"/>
      <c r="BO3447" s="5"/>
      <c r="BP3447" s="5"/>
    </row>
    <row r="3448" spans="35:68" x14ac:dyDescent="0.25">
      <c r="AI3448" s="49"/>
      <c r="AJ3448" s="78"/>
      <c r="AK3448" s="79"/>
      <c r="AL3448" s="79"/>
      <c r="AM3448" s="79"/>
      <c r="AN3448" s="79"/>
      <c r="AO3448" s="79"/>
      <c r="AP3448" s="79"/>
      <c r="AQ3448" s="79"/>
      <c r="AR3448" s="78"/>
      <c r="AS3448" s="78"/>
      <c r="AT3448" s="79"/>
      <c r="AU3448" s="79"/>
      <c r="AV3448" s="79"/>
      <c r="AW3448" s="79"/>
      <c r="AX3448" s="79"/>
      <c r="AZ3448" s="81"/>
      <c r="BB3448" s="5"/>
      <c r="BC3448" s="5"/>
      <c r="BD3448" s="5"/>
      <c r="BE3448" s="5"/>
      <c r="BF3448" s="5"/>
      <c r="BG3448" s="5"/>
      <c r="BH3448" s="5"/>
      <c r="BI3448" s="5"/>
      <c r="BJ3448" s="5"/>
      <c r="BK3448" s="5"/>
      <c r="BL3448" s="5"/>
      <c r="BM3448" s="5"/>
      <c r="BN3448" s="5"/>
      <c r="BO3448" s="5"/>
      <c r="BP3448" s="5"/>
    </row>
    <row r="3449" spans="35:68" x14ac:dyDescent="0.25">
      <c r="AI3449" s="49"/>
      <c r="AJ3449" s="78"/>
      <c r="AK3449" s="79"/>
      <c r="AL3449" s="79"/>
      <c r="AM3449" s="79"/>
      <c r="AN3449" s="79"/>
      <c r="AO3449" s="79"/>
      <c r="AP3449" s="79"/>
      <c r="AQ3449" s="79"/>
      <c r="AR3449" s="78"/>
      <c r="AS3449" s="78"/>
      <c r="AT3449" s="79"/>
      <c r="AU3449" s="79"/>
      <c r="AV3449" s="79"/>
      <c r="AW3449" s="79"/>
      <c r="AX3449" s="79"/>
      <c r="AZ3449" s="81"/>
      <c r="BB3449" s="5"/>
      <c r="BC3449" s="5"/>
      <c r="BD3449" s="5"/>
      <c r="BE3449" s="5"/>
      <c r="BF3449" s="5"/>
      <c r="BG3449" s="5"/>
      <c r="BH3449" s="5"/>
      <c r="BI3449" s="5"/>
      <c r="BJ3449" s="5"/>
      <c r="BK3449" s="5"/>
      <c r="BL3449" s="5"/>
      <c r="BM3449" s="5"/>
      <c r="BN3449" s="5"/>
      <c r="BO3449" s="5"/>
      <c r="BP3449" s="5"/>
    </row>
    <row r="3450" spans="35:68" x14ac:dyDescent="0.25">
      <c r="AI3450" s="49"/>
      <c r="AJ3450" s="78"/>
      <c r="AK3450" s="79"/>
      <c r="AL3450" s="79"/>
      <c r="AM3450" s="79"/>
      <c r="AN3450" s="79"/>
      <c r="AO3450" s="79"/>
      <c r="AP3450" s="79"/>
      <c r="AQ3450" s="79"/>
      <c r="AR3450" s="78"/>
      <c r="AS3450" s="78"/>
      <c r="AT3450" s="79"/>
      <c r="AU3450" s="79"/>
      <c r="AV3450" s="79"/>
      <c r="AW3450" s="79"/>
      <c r="AX3450" s="79"/>
      <c r="AZ3450" s="81"/>
      <c r="BB3450" s="5"/>
      <c r="BC3450" s="5"/>
      <c r="BD3450" s="5"/>
      <c r="BE3450" s="5"/>
      <c r="BF3450" s="5"/>
      <c r="BG3450" s="5"/>
      <c r="BH3450" s="5"/>
      <c r="BI3450" s="5"/>
      <c r="BJ3450" s="5"/>
      <c r="BK3450" s="5"/>
      <c r="BL3450" s="5"/>
      <c r="BM3450" s="5"/>
      <c r="BN3450" s="5"/>
      <c r="BO3450" s="5"/>
      <c r="BP3450" s="5"/>
    </row>
    <row r="3451" spans="35:68" x14ac:dyDescent="0.25">
      <c r="AI3451" s="49"/>
      <c r="AJ3451" s="78"/>
      <c r="AK3451" s="79"/>
      <c r="AL3451" s="79"/>
      <c r="AM3451" s="79"/>
      <c r="AN3451" s="79"/>
      <c r="AO3451" s="79"/>
      <c r="AP3451" s="79"/>
      <c r="AQ3451" s="79"/>
      <c r="AR3451" s="78"/>
      <c r="AS3451" s="78"/>
      <c r="AT3451" s="79"/>
      <c r="AU3451" s="79"/>
      <c r="AV3451" s="79"/>
      <c r="AW3451" s="79"/>
      <c r="AX3451" s="79"/>
      <c r="AZ3451" s="81"/>
      <c r="BB3451" s="5"/>
      <c r="BC3451" s="5"/>
      <c r="BD3451" s="5"/>
      <c r="BE3451" s="5"/>
      <c r="BF3451" s="5"/>
      <c r="BG3451" s="5"/>
      <c r="BH3451" s="5"/>
      <c r="BI3451" s="5"/>
      <c r="BJ3451" s="5"/>
      <c r="BK3451" s="5"/>
      <c r="BL3451" s="5"/>
      <c r="BM3451" s="5"/>
      <c r="BN3451" s="5"/>
      <c r="BO3451" s="5"/>
      <c r="BP3451" s="5"/>
    </row>
    <row r="3452" spans="35:68" x14ac:dyDescent="0.25">
      <c r="AI3452" s="49"/>
      <c r="AJ3452" s="78"/>
      <c r="AK3452" s="79"/>
      <c r="AL3452" s="79"/>
      <c r="AM3452" s="79"/>
      <c r="AN3452" s="79"/>
      <c r="AO3452" s="79"/>
      <c r="AP3452" s="79"/>
      <c r="AQ3452" s="79"/>
      <c r="AR3452" s="78"/>
      <c r="AS3452" s="78"/>
      <c r="AT3452" s="79"/>
      <c r="AU3452" s="79"/>
      <c r="AV3452" s="79"/>
      <c r="AW3452" s="79"/>
      <c r="AX3452" s="79"/>
      <c r="AZ3452" s="81"/>
      <c r="BB3452" s="5"/>
      <c r="BC3452" s="5"/>
      <c r="BD3452" s="5"/>
      <c r="BE3452" s="5"/>
      <c r="BF3452" s="5"/>
      <c r="BG3452" s="5"/>
      <c r="BH3452" s="5"/>
      <c r="BI3452" s="5"/>
      <c r="BJ3452" s="5"/>
      <c r="BK3452" s="5"/>
      <c r="BL3452" s="5"/>
      <c r="BM3452" s="5"/>
      <c r="BN3452" s="5"/>
      <c r="BO3452" s="5"/>
      <c r="BP3452" s="5"/>
    </row>
    <row r="3453" spans="35:68" x14ac:dyDescent="0.25">
      <c r="AI3453" s="49"/>
      <c r="AJ3453" s="78"/>
      <c r="AK3453" s="79"/>
      <c r="AL3453" s="79"/>
      <c r="AM3453" s="79"/>
      <c r="AN3453" s="79"/>
      <c r="AO3453" s="79"/>
      <c r="AP3453" s="79"/>
      <c r="AQ3453" s="79"/>
      <c r="AR3453" s="78"/>
      <c r="AS3453" s="78"/>
      <c r="AT3453" s="79"/>
      <c r="AU3453" s="79"/>
      <c r="AV3453" s="79"/>
      <c r="AW3453" s="79"/>
      <c r="AX3453" s="79"/>
      <c r="AZ3453" s="81"/>
      <c r="BB3453" s="5"/>
      <c r="BC3453" s="5"/>
      <c r="BD3453" s="5"/>
      <c r="BE3453" s="5"/>
      <c r="BF3453" s="5"/>
      <c r="BG3453" s="5"/>
      <c r="BH3453" s="5"/>
      <c r="BI3453" s="5"/>
      <c r="BJ3453" s="5"/>
      <c r="BK3453" s="5"/>
      <c r="BL3453" s="5"/>
      <c r="BM3453" s="5"/>
      <c r="BN3453" s="5"/>
      <c r="BO3453" s="5"/>
      <c r="BP3453" s="5"/>
    </row>
    <row r="3454" spans="35:68" x14ac:dyDescent="0.25">
      <c r="AI3454" s="49"/>
      <c r="AJ3454" s="78"/>
      <c r="AK3454" s="79"/>
      <c r="AL3454" s="79"/>
      <c r="AM3454" s="79"/>
      <c r="AN3454" s="79"/>
      <c r="AO3454" s="79"/>
      <c r="AP3454" s="79"/>
      <c r="AQ3454" s="79"/>
      <c r="AR3454" s="78"/>
      <c r="AS3454" s="78"/>
      <c r="AT3454" s="79"/>
      <c r="AU3454" s="79"/>
      <c r="AV3454" s="79"/>
      <c r="AW3454" s="79"/>
      <c r="AX3454" s="79"/>
      <c r="AZ3454" s="81"/>
      <c r="BB3454" s="5"/>
      <c r="BC3454" s="5"/>
      <c r="BD3454" s="5"/>
      <c r="BE3454" s="5"/>
      <c r="BF3454" s="5"/>
      <c r="BG3454" s="5"/>
      <c r="BH3454" s="5"/>
      <c r="BI3454" s="5"/>
      <c r="BJ3454" s="5"/>
      <c r="BK3454" s="5"/>
      <c r="BL3454" s="5"/>
      <c r="BM3454" s="5"/>
      <c r="BN3454" s="5"/>
      <c r="BO3454" s="5"/>
      <c r="BP3454" s="5"/>
    </row>
    <row r="3455" spans="35:68" x14ac:dyDescent="0.25">
      <c r="AI3455" s="49"/>
      <c r="AJ3455" s="78"/>
      <c r="AK3455" s="79"/>
      <c r="AL3455" s="79"/>
      <c r="AM3455" s="79"/>
      <c r="AN3455" s="79"/>
      <c r="AO3455" s="79"/>
      <c r="AP3455" s="79"/>
      <c r="AQ3455" s="79"/>
      <c r="AR3455" s="78"/>
      <c r="AS3455" s="78"/>
      <c r="AT3455" s="79"/>
      <c r="AU3455" s="79"/>
      <c r="AV3455" s="79"/>
      <c r="AW3455" s="79"/>
      <c r="AX3455" s="79"/>
      <c r="AZ3455" s="81"/>
      <c r="BB3455" s="5"/>
      <c r="BC3455" s="5"/>
      <c r="BD3455" s="5"/>
      <c r="BE3455" s="5"/>
      <c r="BF3455" s="5"/>
      <c r="BG3455" s="5"/>
      <c r="BH3455" s="5"/>
      <c r="BI3455" s="5"/>
      <c r="BJ3455" s="5"/>
      <c r="BK3455" s="5"/>
      <c r="BL3455" s="5"/>
      <c r="BM3455" s="5"/>
      <c r="BN3455" s="5"/>
      <c r="BO3455" s="5"/>
      <c r="BP3455" s="5"/>
    </row>
    <row r="3456" spans="35:68" x14ac:dyDescent="0.25">
      <c r="AI3456" s="49"/>
      <c r="AJ3456" s="78"/>
      <c r="AK3456" s="79"/>
      <c r="AL3456" s="79"/>
      <c r="AM3456" s="79"/>
      <c r="AN3456" s="79"/>
      <c r="AO3456" s="79"/>
      <c r="AP3456" s="79"/>
      <c r="AQ3456" s="79"/>
      <c r="AR3456" s="78"/>
      <c r="AS3456" s="78"/>
      <c r="AT3456" s="79"/>
      <c r="AU3456" s="79"/>
      <c r="AV3456" s="79"/>
      <c r="AW3456" s="79"/>
      <c r="AX3456" s="79"/>
      <c r="AZ3456" s="81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5"/>
      <c r="BP3456" s="5"/>
    </row>
    <row r="3457" spans="35:68" x14ac:dyDescent="0.25">
      <c r="AI3457" s="49"/>
      <c r="AJ3457" s="78"/>
      <c r="AK3457" s="79"/>
      <c r="AL3457" s="79"/>
      <c r="AM3457" s="79"/>
      <c r="AN3457" s="79"/>
      <c r="AO3457" s="79"/>
      <c r="AP3457" s="79"/>
      <c r="AQ3457" s="79"/>
      <c r="AR3457" s="78"/>
      <c r="AS3457" s="78"/>
      <c r="AT3457" s="79"/>
      <c r="AU3457" s="79"/>
      <c r="AV3457" s="79"/>
      <c r="AW3457" s="79"/>
      <c r="AX3457" s="79"/>
      <c r="AZ3457" s="81"/>
      <c r="BB3457" s="5"/>
      <c r="BC3457" s="5"/>
      <c r="BD3457" s="5"/>
      <c r="BE3457" s="5"/>
      <c r="BF3457" s="5"/>
      <c r="BG3457" s="5"/>
      <c r="BH3457" s="5"/>
      <c r="BI3457" s="5"/>
      <c r="BJ3457" s="5"/>
      <c r="BK3457" s="5"/>
      <c r="BL3457" s="5"/>
      <c r="BM3457" s="5"/>
      <c r="BN3457" s="5"/>
      <c r="BO3457" s="5"/>
      <c r="BP3457" s="5"/>
    </row>
    <row r="3458" spans="35:68" x14ac:dyDescent="0.25">
      <c r="AI3458" s="49"/>
      <c r="AJ3458" s="78"/>
      <c r="AK3458" s="79"/>
      <c r="AL3458" s="79"/>
      <c r="AM3458" s="79"/>
      <c r="AN3458" s="79"/>
      <c r="AO3458" s="79"/>
      <c r="AP3458" s="79"/>
      <c r="AQ3458" s="79"/>
      <c r="AR3458" s="78"/>
      <c r="AS3458" s="78"/>
      <c r="AT3458" s="79"/>
      <c r="AU3458" s="79"/>
      <c r="AV3458" s="79"/>
      <c r="AW3458" s="79"/>
      <c r="AX3458" s="79"/>
      <c r="AZ3458" s="81"/>
      <c r="BB3458" s="5"/>
      <c r="BC3458" s="5"/>
      <c r="BD3458" s="5"/>
      <c r="BE3458" s="5"/>
      <c r="BF3458" s="5"/>
      <c r="BG3458" s="5"/>
      <c r="BH3458" s="5"/>
      <c r="BI3458" s="5"/>
      <c r="BJ3458" s="5"/>
      <c r="BK3458" s="5"/>
      <c r="BL3458" s="5"/>
      <c r="BM3458" s="5"/>
      <c r="BN3458" s="5"/>
      <c r="BO3458" s="5"/>
      <c r="BP3458" s="5"/>
    </row>
    <row r="3459" spans="35:68" x14ac:dyDescent="0.25">
      <c r="AI3459" s="49"/>
      <c r="AJ3459" s="78"/>
      <c r="AK3459" s="79"/>
      <c r="AL3459" s="79"/>
      <c r="AM3459" s="79"/>
      <c r="AN3459" s="79"/>
      <c r="AO3459" s="79"/>
      <c r="AP3459" s="79"/>
      <c r="AQ3459" s="79"/>
      <c r="AR3459" s="78"/>
      <c r="AS3459" s="78"/>
      <c r="AT3459" s="79"/>
      <c r="AU3459" s="79"/>
      <c r="AV3459" s="79"/>
      <c r="AW3459" s="79"/>
      <c r="AX3459" s="79"/>
      <c r="AZ3459" s="81"/>
      <c r="BB3459" s="5"/>
      <c r="BC3459" s="5"/>
      <c r="BD3459" s="5"/>
      <c r="BE3459" s="5"/>
      <c r="BF3459" s="5"/>
      <c r="BG3459" s="5"/>
      <c r="BH3459" s="5"/>
      <c r="BI3459" s="5"/>
      <c r="BJ3459" s="5"/>
      <c r="BK3459" s="5"/>
      <c r="BL3459" s="5"/>
      <c r="BM3459" s="5"/>
      <c r="BN3459" s="5"/>
      <c r="BO3459" s="5"/>
      <c r="BP3459" s="5"/>
    </row>
    <row r="3460" spans="35:68" x14ac:dyDescent="0.25">
      <c r="AI3460" s="49"/>
      <c r="AJ3460" s="78"/>
      <c r="AK3460" s="79"/>
      <c r="AL3460" s="79"/>
      <c r="AM3460" s="79"/>
      <c r="AN3460" s="79"/>
      <c r="AO3460" s="79"/>
      <c r="AP3460" s="79"/>
      <c r="AQ3460" s="79"/>
      <c r="AR3460" s="78"/>
      <c r="AS3460" s="78"/>
      <c r="AT3460" s="79"/>
      <c r="AU3460" s="79"/>
      <c r="AV3460" s="79"/>
      <c r="AW3460" s="79"/>
      <c r="AX3460" s="79"/>
      <c r="AZ3460" s="81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/>
      <c r="BP3460" s="5"/>
    </row>
    <row r="3461" spans="35:68" x14ac:dyDescent="0.25">
      <c r="AI3461" s="49"/>
      <c r="AJ3461" s="78"/>
      <c r="AK3461" s="79"/>
      <c r="AL3461" s="79"/>
      <c r="AM3461" s="79"/>
      <c r="AN3461" s="79"/>
      <c r="AO3461" s="79"/>
      <c r="AP3461" s="79"/>
      <c r="AQ3461" s="79"/>
      <c r="AR3461" s="78"/>
      <c r="AS3461" s="78"/>
      <c r="AT3461" s="79"/>
      <c r="AU3461" s="79"/>
      <c r="AV3461" s="79"/>
      <c r="AW3461" s="79"/>
      <c r="AX3461" s="79"/>
      <c r="AZ3461" s="81"/>
      <c r="BB3461" s="5"/>
      <c r="BC3461" s="5"/>
      <c r="BD3461" s="5"/>
      <c r="BE3461" s="5"/>
      <c r="BF3461" s="5"/>
      <c r="BG3461" s="5"/>
      <c r="BH3461" s="5"/>
      <c r="BI3461" s="5"/>
      <c r="BJ3461" s="5"/>
      <c r="BK3461" s="5"/>
      <c r="BL3461" s="5"/>
      <c r="BM3461" s="5"/>
      <c r="BN3461" s="5"/>
      <c r="BO3461" s="5"/>
      <c r="BP3461" s="5"/>
    </row>
    <row r="3462" spans="35:68" x14ac:dyDescent="0.25">
      <c r="AI3462" s="49"/>
      <c r="AJ3462" s="78"/>
      <c r="AK3462" s="79"/>
      <c r="AL3462" s="79"/>
      <c r="AM3462" s="79"/>
      <c r="AN3462" s="79"/>
      <c r="AO3462" s="79"/>
      <c r="AP3462" s="79"/>
      <c r="AQ3462" s="79"/>
      <c r="AR3462" s="78"/>
      <c r="AS3462" s="78"/>
      <c r="AT3462" s="79"/>
      <c r="AU3462" s="79"/>
      <c r="AV3462" s="79"/>
      <c r="AW3462" s="79"/>
      <c r="AX3462" s="79"/>
      <c r="AZ3462" s="81"/>
      <c r="BB3462" s="5"/>
      <c r="BC3462" s="5"/>
      <c r="BD3462" s="5"/>
      <c r="BE3462" s="5"/>
      <c r="BF3462" s="5"/>
      <c r="BG3462" s="5"/>
      <c r="BH3462" s="5"/>
      <c r="BI3462" s="5"/>
      <c r="BJ3462" s="5"/>
      <c r="BK3462" s="5"/>
      <c r="BL3462" s="5"/>
      <c r="BM3462" s="5"/>
      <c r="BN3462" s="5"/>
      <c r="BO3462" s="5"/>
      <c r="BP3462" s="5"/>
    </row>
    <row r="3463" spans="35:68" x14ac:dyDescent="0.25">
      <c r="AI3463" s="49"/>
      <c r="AJ3463" s="78"/>
      <c r="AK3463" s="79"/>
      <c r="AL3463" s="79"/>
      <c r="AM3463" s="79"/>
      <c r="AN3463" s="79"/>
      <c r="AO3463" s="79"/>
      <c r="AP3463" s="79"/>
      <c r="AQ3463" s="79"/>
      <c r="AR3463" s="78"/>
      <c r="AS3463" s="78"/>
      <c r="AT3463" s="79"/>
      <c r="AU3463" s="79"/>
      <c r="AV3463" s="79"/>
      <c r="AW3463" s="79"/>
      <c r="AX3463" s="79"/>
      <c r="AZ3463" s="81"/>
      <c r="BB3463" s="5"/>
      <c r="BC3463" s="5"/>
      <c r="BD3463" s="5"/>
      <c r="BE3463" s="5"/>
      <c r="BF3463" s="5"/>
      <c r="BG3463" s="5"/>
      <c r="BH3463" s="5"/>
      <c r="BI3463" s="5"/>
      <c r="BJ3463" s="5"/>
      <c r="BK3463" s="5"/>
      <c r="BL3463" s="5"/>
      <c r="BM3463" s="5"/>
      <c r="BN3463" s="5"/>
      <c r="BO3463" s="5"/>
      <c r="BP3463" s="5"/>
    </row>
    <row r="3464" spans="35:68" x14ac:dyDescent="0.25">
      <c r="AI3464" s="49"/>
      <c r="AJ3464" s="78"/>
      <c r="AK3464" s="79"/>
      <c r="AL3464" s="79"/>
      <c r="AM3464" s="79"/>
      <c r="AN3464" s="79"/>
      <c r="AO3464" s="79"/>
      <c r="AP3464" s="79"/>
      <c r="AQ3464" s="79"/>
      <c r="AR3464" s="78"/>
      <c r="AS3464" s="78"/>
      <c r="AT3464" s="79"/>
      <c r="AU3464" s="79"/>
      <c r="AV3464" s="79"/>
      <c r="AW3464" s="79"/>
      <c r="AX3464" s="79"/>
      <c r="AZ3464" s="81"/>
      <c r="BB3464" s="5"/>
      <c r="BC3464" s="5"/>
      <c r="BD3464" s="5"/>
      <c r="BE3464" s="5"/>
      <c r="BF3464" s="5"/>
      <c r="BG3464" s="5"/>
      <c r="BH3464" s="5"/>
      <c r="BI3464" s="5"/>
      <c r="BJ3464" s="5"/>
      <c r="BK3464" s="5"/>
      <c r="BL3464" s="5"/>
      <c r="BM3464" s="5"/>
      <c r="BN3464" s="5"/>
      <c r="BO3464" s="5"/>
      <c r="BP3464" s="5"/>
    </row>
    <row r="3465" spans="35:68" x14ac:dyDescent="0.25">
      <c r="AI3465" s="49"/>
      <c r="AJ3465" s="78"/>
      <c r="AK3465" s="79"/>
      <c r="AL3465" s="79"/>
      <c r="AM3465" s="79"/>
      <c r="AN3465" s="79"/>
      <c r="AO3465" s="79"/>
      <c r="AP3465" s="79"/>
      <c r="AQ3465" s="79"/>
      <c r="AR3465" s="78"/>
      <c r="AS3465" s="78"/>
      <c r="AT3465" s="79"/>
      <c r="AU3465" s="79"/>
      <c r="AV3465" s="79"/>
      <c r="AW3465" s="79"/>
      <c r="AX3465" s="79"/>
      <c r="AZ3465" s="81"/>
      <c r="BB3465" s="5"/>
      <c r="BC3465" s="5"/>
      <c r="BD3465" s="5"/>
      <c r="BE3465" s="5"/>
      <c r="BF3465" s="5"/>
      <c r="BG3465" s="5"/>
      <c r="BH3465" s="5"/>
      <c r="BI3465" s="5"/>
      <c r="BJ3465" s="5"/>
      <c r="BK3465" s="5"/>
      <c r="BL3465" s="5"/>
      <c r="BM3465" s="5"/>
      <c r="BN3465" s="5"/>
      <c r="BO3465" s="5"/>
      <c r="BP3465" s="5"/>
    </row>
    <row r="3466" spans="35:68" x14ac:dyDescent="0.25">
      <c r="AI3466" s="49"/>
      <c r="AJ3466" s="78"/>
      <c r="AK3466" s="79"/>
      <c r="AL3466" s="79"/>
      <c r="AM3466" s="79"/>
      <c r="AN3466" s="79"/>
      <c r="AO3466" s="79"/>
      <c r="AP3466" s="79"/>
      <c r="AQ3466" s="79"/>
      <c r="AR3466" s="78"/>
      <c r="AS3466" s="78"/>
      <c r="AT3466" s="79"/>
      <c r="AU3466" s="79"/>
      <c r="AV3466" s="79"/>
      <c r="AW3466" s="79"/>
      <c r="AX3466" s="79"/>
      <c r="AZ3466" s="81"/>
      <c r="BB3466" s="5"/>
      <c r="BC3466" s="5"/>
      <c r="BD3466" s="5"/>
      <c r="BE3466" s="5"/>
      <c r="BF3466" s="5"/>
      <c r="BG3466" s="5"/>
      <c r="BH3466" s="5"/>
      <c r="BI3466" s="5"/>
      <c r="BJ3466" s="5"/>
      <c r="BK3466" s="5"/>
      <c r="BL3466" s="5"/>
      <c r="BM3466" s="5"/>
      <c r="BN3466" s="5"/>
      <c r="BO3466" s="5"/>
      <c r="BP3466" s="5"/>
    </row>
    <row r="3467" spans="35:68" x14ac:dyDescent="0.25">
      <c r="AI3467" s="49"/>
      <c r="AJ3467" s="78"/>
      <c r="AK3467" s="79"/>
      <c r="AL3467" s="79"/>
      <c r="AM3467" s="79"/>
      <c r="AN3467" s="79"/>
      <c r="AO3467" s="79"/>
      <c r="AP3467" s="79"/>
      <c r="AQ3467" s="79"/>
      <c r="AR3467" s="78"/>
      <c r="AS3467" s="78"/>
      <c r="AT3467" s="79"/>
      <c r="AU3467" s="79"/>
      <c r="AV3467" s="79"/>
      <c r="AW3467" s="79"/>
      <c r="AX3467" s="79"/>
      <c r="AZ3467" s="81"/>
      <c r="BB3467" s="5"/>
      <c r="BC3467" s="5"/>
      <c r="BD3467" s="5"/>
      <c r="BE3467" s="5"/>
      <c r="BF3467" s="5"/>
      <c r="BG3467" s="5"/>
      <c r="BH3467" s="5"/>
      <c r="BI3467" s="5"/>
      <c r="BJ3467" s="5"/>
      <c r="BK3467" s="5"/>
      <c r="BL3467" s="5"/>
      <c r="BM3467" s="5"/>
      <c r="BN3467" s="5"/>
      <c r="BO3467" s="5"/>
      <c r="BP3467" s="5"/>
    </row>
    <row r="3468" spans="35:68" x14ac:dyDescent="0.25">
      <c r="AI3468" s="49"/>
      <c r="AJ3468" s="78"/>
      <c r="AK3468" s="79"/>
      <c r="AL3468" s="79"/>
      <c r="AM3468" s="79"/>
      <c r="AN3468" s="79"/>
      <c r="AO3468" s="79"/>
      <c r="AP3468" s="79"/>
      <c r="AQ3468" s="79"/>
      <c r="AR3468" s="78"/>
      <c r="AS3468" s="78"/>
      <c r="AT3468" s="79"/>
      <c r="AU3468" s="79"/>
      <c r="AV3468" s="79"/>
      <c r="AW3468" s="79"/>
      <c r="AX3468" s="79"/>
      <c r="AZ3468" s="81"/>
      <c r="BB3468" s="5"/>
      <c r="BC3468" s="5"/>
      <c r="BD3468" s="5"/>
      <c r="BE3468" s="5"/>
      <c r="BF3468" s="5"/>
      <c r="BG3468" s="5"/>
      <c r="BH3468" s="5"/>
      <c r="BI3468" s="5"/>
      <c r="BJ3468" s="5"/>
      <c r="BK3468" s="5"/>
      <c r="BL3468" s="5"/>
      <c r="BM3468" s="5"/>
      <c r="BN3468" s="5"/>
      <c r="BO3468" s="5"/>
      <c r="BP3468" s="5"/>
    </row>
    <row r="3469" spans="35:68" x14ac:dyDescent="0.25">
      <c r="AI3469" s="49"/>
      <c r="AJ3469" s="78"/>
      <c r="AK3469" s="79"/>
      <c r="AL3469" s="79"/>
      <c r="AM3469" s="79"/>
      <c r="AN3469" s="79"/>
      <c r="AO3469" s="79"/>
      <c r="AP3469" s="79"/>
      <c r="AQ3469" s="79"/>
      <c r="AR3469" s="78"/>
      <c r="AS3469" s="78"/>
      <c r="AT3469" s="79"/>
      <c r="AU3469" s="79"/>
      <c r="AV3469" s="79"/>
      <c r="AW3469" s="79"/>
      <c r="AX3469" s="79"/>
      <c r="AZ3469" s="81"/>
      <c r="BB3469" s="5"/>
      <c r="BC3469" s="5"/>
      <c r="BD3469" s="5"/>
      <c r="BE3469" s="5"/>
      <c r="BF3469" s="5"/>
      <c r="BG3469" s="5"/>
      <c r="BH3469" s="5"/>
      <c r="BI3469" s="5"/>
      <c r="BJ3469" s="5"/>
      <c r="BK3469" s="5"/>
      <c r="BL3469" s="5"/>
      <c r="BM3469" s="5"/>
      <c r="BN3469" s="5"/>
      <c r="BO3469" s="5"/>
      <c r="BP3469" s="5"/>
    </row>
    <row r="3470" spans="35:68" x14ac:dyDescent="0.25">
      <c r="AI3470" s="49"/>
      <c r="AJ3470" s="78"/>
      <c r="AK3470" s="79"/>
      <c r="AL3470" s="79"/>
      <c r="AM3470" s="79"/>
      <c r="AN3470" s="79"/>
      <c r="AO3470" s="79"/>
      <c r="AP3470" s="79"/>
      <c r="AQ3470" s="79"/>
      <c r="AR3470" s="78"/>
      <c r="AS3470" s="78"/>
      <c r="AT3470" s="79"/>
      <c r="AU3470" s="79"/>
      <c r="AV3470" s="79"/>
      <c r="AW3470" s="79"/>
      <c r="AX3470" s="79"/>
      <c r="AZ3470" s="81"/>
      <c r="BB3470" s="5"/>
      <c r="BC3470" s="5"/>
      <c r="BD3470" s="5"/>
      <c r="BE3470" s="5"/>
      <c r="BF3470" s="5"/>
      <c r="BG3470" s="5"/>
      <c r="BH3470" s="5"/>
      <c r="BI3470" s="5"/>
      <c r="BJ3470" s="5"/>
      <c r="BK3470" s="5"/>
      <c r="BL3470" s="5"/>
      <c r="BM3470" s="5"/>
      <c r="BN3470" s="5"/>
      <c r="BO3470" s="5"/>
      <c r="BP3470" s="5"/>
    </row>
    <row r="3471" spans="35:68" x14ac:dyDescent="0.25">
      <c r="AI3471" s="49"/>
      <c r="AJ3471" s="78"/>
      <c r="AK3471" s="79"/>
      <c r="AL3471" s="79"/>
      <c r="AM3471" s="79"/>
      <c r="AN3471" s="79"/>
      <c r="AO3471" s="79"/>
      <c r="AP3471" s="79"/>
      <c r="AQ3471" s="79"/>
      <c r="AR3471" s="78"/>
      <c r="AS3471" s="78"/>
      <c r="AT3471" s="79"/>
      <c r="AU3471" s="79"/>
      <c r="AV3471" s="79"/>
      <c r="AW3471" s="79"/>
      <c r="AX3471" s="79"/>
      <c r="AZ3471" s="81"/>
      <c r="BB3471" s="5"/>
      <c r="BC3471" s="5"/>
      <c r="BD3471" s="5"/>
      <c r="BE3471" s="5"/>
      <c r="BF3471" s="5"/>
      <c r="BG3471" s="5"/>
      <c r="BH3471" s="5"/>
      <c r="BI3471" s="5"/>
      <c r="BJ3471" s="5"/>
      <c r="BK3471" s="5"/>
      <c r="BL3471" s="5"/>
      <c r="BM3471" s="5"/>
      <c r="BN3471" s="5"/>
      <c r="BO3471" s="5"/>
      <c r="BP3471" s="5"/>
    </row>
    <row r="3472" spans="35:68" x14ac:dyDescent="0.25">
      <c r="AI3472" s="49"/>
      <c r="AJ3472" s="78"/>
      <c r="AK3472" s="79"/>
      <c r="AL3472" s="79"/>
      <c r="AM3472" s="79"/>
      <c r="AN3472" s="79"/>
      <c r="AO3472" s="79"/>
      <c r="AP3472" s="79"/>
      <c r="AQ3472" s="79"/>
      <c r="AR3472" s="78"/>
      <c r="AS3472" s="78"/>
      <c r="AT3472" s="79"/>
      <c r="AU3472" s="79"/>
      <c r="AV3472" s="79"/>
      <c r="AW3472" s="79"/>
      <c r="AX3472" s="79"/>
      <c r="AZ3472" s="81"/>
      <c r="BB3472" s="5"/>
      <c r="BC3472" s="5"/>
      <c r="BD3472" s="5"/>
      <c r="BE3472" s="5"/>
      <c r="BF3472" s="5"/>
      <c r="BG3472" s="5"/>
      <c r="BH3472" s="5"/>
      <c r="BI3472" s="5"/>
      <c r="BJ3472" s="5"/>
      <c r="BK3472" s="5"/>
      <c r="BL3472" s="5"/>
      <c r="BM3472" s="5"/>
      <c r="BN3472" s="5"/>
      <c r="BO3472" s="5"/>
      <c r="BP3472" s="5"/>
    </row>
    <row r="3473" spans="35:68" x14ac:dyDescent="0.25">
      <c r="AI3473" s="49"/>
      <c r="AJ3473" s="78"/>
      <c r="AK3473" s="79"/>
      <c r="AL3473" s="79"/>
      <c r="AM3473" s="79"/>
      <c r="AN3473" s="79"/>
      <c r="AO3473" s="79"/>
      <c r="AP3473" s="79"/>
      <c r="AQ3473" s="79"/>
      <c r="AR3473" s="78"/>
      <c r="AS3473" s="78"/>
      <c r="AT3473" s="79"/>
      <c r="AU3473" s="79"/>
      <c r="AV3473" s="79"/>
      <c r="AW3473" s="79"/>
      <c r="AX3473" s="79"/>
      <c r="AZ3473" s="81"/>
      <c r="BB3473" s="5"/>
      <c r="BC3473" s="5"/>
      <c r="BD3473" s="5"/>
      <c r="BE3473" s="5"/>
      <c r="BF3473" s="5"/>
      <c r="BG3473" s="5"/>
      <c r="BH3473" s="5"/>
      <c r="BI3473" s="5"/>
      <c r="BJ3473" s="5"/>
      <c r="BK3473" s="5"/>
      <c r="BL3473" s="5"/>
      <c r="BM3473" s="5"/>
      <c r="BN3473" s="5"/>
      <c r="BO3473" s="5"/>
      <c r="BP3473" s="5"/>
    </row>
    <row r="3474" spans="35:68" x14ac:dyDescent="0.25">
      <c r="AI3474" s="49"/>
      <c r="AJ3474" s="78"/>
      <c r="AK3474" s="79"/>
      <c r="AL3474" s="79"/>
      <c r="AM3474" s="79"/>
      <c r="AN3474" s="79"/>
      <c r="AO3474" s="79"/>
      <c r="AP3474" s="79"/>
      <c r="AQ3474" s="79"/>
      <c r="AR3474" s="78"/>
      <c r="AS3474" s="78"/>
      <c r="AT3474" s="79"/>
      <c r="AU3474" s="79"/>
      <c r="AV3474" s="79"/>
      <c r="AW3474" s="79"/>
      <c r="AX3474" s="79"/>
      <c r="AZ3474" s="81"/>
      <c r="BB3474" s="5"/>
      <c r="BC3474" s="5"/>
      <c r="BD3474" s="5"/>
      <c r="BE3474" s="5"/>
      <c r="BF3474" s="5"/>
      <c r="BG3474" s="5"/>
      <c r="BH3474" s="5"/>
      <c r="BI3474" s="5"/>
      <c r="BJ3474" s="5"/>
      <c r="BK3474" s="5"/>
      <c r="BL3474" s="5"/>
      <c r="BM3474" s="5"/>
      <c r="BN3474" s="5"/>
      <c r="BO3474" s="5"/>
      <c r="BP3474" s="5"/>
    </row>
    <row r="3475" spans="35:68" x14ac:dyDescent="0.25">
      <c r="AI3475" s="49"/>
      <c r="AJ3475" s="78"/>
      <c r="AK3475" s="79"/>
      <c r="AL3475" s="79"/>
      <c r="AM3475" s="79"/>
      <c r="AN3475" s="79"/>
      <c r="AO3475" s="79"/>
      <c r="AP3475" s="79"/>
      <c r="AQ3475" s="79"/>
      <c r="AR3475" s="78"/>
      <c r="AS3475" s="78"/>
      <c r="AT3475" s="79"/>
      <c r="AU3475" s="79"/>
      <c r="AV3475" s="79"/>
      <c r="AW3475" s="79"/>
      <c r="AX3475" s="79"/>
      <c r="AZ3475" s="81"/>
      <c r="BB3475" s="5"/>
      <c r="BC3475" s="5"/>
      <c r="BD3475" s="5"/>
      <c r="BE3475" s="5"/>
      <c r="BF3475" s="5"/>
      <c r="BG3475" s="5"/>
      <c r="BH3475" s="5"/>
      <c r="BI3475" s="5"/>
      <c r="BJ3475" s="5"/>
      <c r="BK3475" s="5"/>
      <c r="BL3475" s="5"/>
      <c r="BM3475" s="5"/>
      <c r="BN3475" s="5"/>
      <c r="BO3475" s="5"/>
      <c r="BP3475" s="5"/>
    </row>
    <row r="3476" spans="35:68" x14ac:dyDescent="0.25">
      <c r="AI3476" s="49"/>
      <c r="AJ3476" s="78"/>
      <c r="AK3476" s="79"/>
      <c r="AL3476" s="79"/>
      <c r="AM3476" s="79"/>
      <c r="AN3476" s="79"/>
      <c r="AO3476" s="79"/>
      <c r="AP3476" s="79"/>
      <c r="AQ3476" s="79"/>
      <c r="AR3476" s="78"/>
      <c r="AS3476" s="78"/>
      <c r="AT3476" s="79"/>
      <c r="AU3476" s="79"/>
      <c r="AV3476" s="79"/>
      <c r="AW3476" s="79"/>
      <c r="AX3476" s="79"/>
      <c r="AZ3476" s="81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</row>
    <row r="3477" spans="35:68" x14ac:dyDescent="0.25">
      <c r="AI3477" s="49"/>
      <c r="AJ3477" s="78"/>
      <c r="AK3477" s="79"/>
      <c r="AL3477" s="79"/>
      <c r="AM3477" s="79"/>
      <c r="AN3477" s="79"/>
      <c r="AO3477" s="79"/>
      <c r="AP3477" s="79"/>
      <c r="AQ3477" s="79"/>
      <c r="AR3477" s="78"/>
      <c r="AS3477" s="78"/>
      <c r="AT3477" s="79"/>
      <c r="AU3477" s="79"/>
      <c r="AV3477" s="79"/>
      <c r="AW3477" s="79"/>
      <c r="AX3477" s="79"/>
      <c r="AZ3477" s="81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</row>
    <row r="3478" spans="35:68" x14ac:dyDescent="0.25">
      <c r="AI3478" s="49"/>
      <c r="AJ3478" s="78"/>
      <c r="AK3478" s="79"/>
      <c r="AL3478" s="79"/>
      <c r="AM3478" s="79"/>
      <c r="AN3478" s="79"/>
      <c r="AO3478" s="79"/>
      <c r="AP3478" s="79"/>
      <c r="AQ3478" s="79"/>
      <c r="AR3478" s="78"/>
      <c r="AS3478" s="78"/>
      <c r="AT3478" s="79"/>
      <c r="AU3478" s="79"/>
      <c r="AV3478" s="79"/>
      <c r="AW3478" s="79"/>
      <c r="AX3478" s="79"/>
      <c r="AZ3478" s="81"/>
      <c r="BB3478" s="5"/>
      <c r="BC3478" s="5"/>
      <c r="BD3478" s="5"/>
      <c r="BE3478" s="5"/>
      <c r="BF3478" s="5"/>
      <c r="BG3478" s="5"/>
      <c r="BH3478" s="5"/>
      <c r="BI3478" s="5"/>
      <c r="BJ3478" s="5"/>
      <c r="BK3478" s="5"/>
      <c r="BL3478" s="5"/>
      <c r="BM3478" s="5"/>
      <c r="BN3478" s="5"/>
      <c r="BO3478" s="5"/>
      <c r="BP3478" s="5"/>
    </row>
    <row r="3479" spans="35:68" x14ac:dyDescent="0.25">
      <c r="AI3479" s="49"/>
      <c r="AJ3479" s="78"/>
      <c r="AK3479" s="79"/>
      <c r="AL3479" s="79"/>
      <c r="AM3479" s="79"/>
      <c r="AN3479" s="79"/>
      <c r="AO3479" s="79"/>
      <c r="AP3479" s="79"/>
      <c r="AQ3479" s="79"/>
      <c r="AR3479" s="78"/>
      <c r="AS3479" s="78"/>
      <c r="AT3479" s="79"/>
      <c r="AU3479" s="79"/>
      <c r="AV3479" s="79"/>
      <c r="AW3479" s="79"/>
      <c r="AX3479" s="79"/>
      <c r="AZ3479" s="81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</row>
    <row r="3480" spans="35:68" x14ac:dyDescent="0.25">
      <c r="AI3480" s="49"/>
      <c r="AJ3480" s="78"/>
      <c r="AK3480" s="79"/>
      <c r="AL3480" s="79"/>
      <c r="AM3480" s="79"/>
      <c r="AN3480" s="79"/>
      <c r="AO3480" s="79"/>
      <c r="AP3480" s="79"/>
      <c r="AQ3480" s="79"/>
      <c r="AR3480" s="78"/>
      <c r="AS3480" s="78"/>
      <c r="AT3480" s="79"/>
      <c r="AU3480" s="79"/>
      <c r="AV3480" s="79"/>
      <c r="AW3480" s="79"/>
      <c r="AX3480" s="79"/>
      <c r="AZ3480" s="81"/>
      <c r="BB3480" s="5"/>
      <c r="BC3480" s="5"/>
      <c r="BD3480" s="5"/>
      <c r="BE3480" s="5"/>
      <c r="BF3480" s="5"/>
      <c r="BG3480" s="5"/>
      <c r="BH3480" s="5"/>
      <c r="BI3480" s="5"/>
      <c r="BJ3480" s="5"/>
      <c r="BK3480" s="5"/>
      <c r="BL3480" s="5"/>
      <c r="BM3480" s="5"/>
      <c r="BN3480" s="5"/>
      <c r="BO3480" s="5"/>
      <c r="BP3480" s="5"/>
    </row>
    <row r="3481" spans="35:68" x14ac:dyDescent="0.25">
      <c r="AI3481" s="49"/>
      <c r="AJ3481" s="78"/>
      <c r="AK3481" s="79"/>
      <c r="AL3481" s="79"/>
      <c r="AM3481" s="79"/>
      <c r="AN3481" s="79"/>
      <c r="AO3481" s="79"/>
      <c r="AP3481" s="79"/>
      <c r="AQ3481" s="79"/>
      <c r="AR3481" s="78"/>
      <c r="AS3481" s="78"/>
      <c r="AT3481" s="79"/>
      <c r="AU3481" s="79"/>
      <c r="AV3481" s="79"/>
      <c r="AW3481" s="79"/>
      <c r="AX3481" s="79"/>
      <c r="AZ3481" s="81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</row>
    <row r="3482" spans="35:68" x14ac:dyDescent="0.25">
      <c r="AI3482" s="49"/>
      <c r="AJ3482" s="78"/>
      <c r="AK3482" s="79"/>
      <c r="AL3482" s="79"/>
      <c r="AM3482" s="79"/>
      <c r="AN3482" s="79"/>
      <c r="AO3482" s="79"/>
      <c r="AP3482" s="79"/>
      <c r="AQ3482" s="79"/>
      <c r="AR3482" s="78"/>
      <c r="AS3482" s="78"/>
      <c r="AT3482" s="79"/>
      <c r="AU3482" s="79"/>
      <c r="AV3482" s="79"/>
      <c r="AW3482" s="79"/>
      <c r="AX3482" s="79"/>
      <c r="AZ3482" s="81"/>
      <c r="BB3482" s="5"/>
      <c r="BC3482" s="5"/>
      <c r="BD3482" s="5"/>
      <c r="BE3482" s="5"/>
      <c r="BF3482" s="5"/>
      <c r="BG3482" s="5"/>
      <c r="BH3482" s="5"/>
      <c r="BI3482" s="5"/>
      <c r="BJ3482" s="5"/>
      <c r="BK3482" s="5"/>
      <c r="BL3482" s="5"/>
      <c r="BM3482" s="5"/>
      <c r="BN3482" s="5"/>
      <c r="BO3482" s="5"/>
      <c r="BP3482" s="5"/>
    </row>
    <row r="3483" spans="35:68" x14ac:dyDescent="0.25">
      <c r="AI3483" s="49"/>
      <c r="AJ3483" s="78"/>
      <c r="AK3483" s="79"/>
      <c r="AL3483" s="79"/>
      <c r="AM3483" s="79"/>
      <c r="AN3483" s="79"/>
      <c r="AO3483" s="79"/>
      <c r="AP3483" s="79"/>
      <c r="AQ3483" s="79"/>
      <c r="AR3483" s="78"/>
      <c r="AS3483" s="78"/>
      <c r="AT3483" s="79"/>
      <c r="AU3483" s="79"/>
      <c r="AV3483" s="79"/>
      <c r="AW3483" s="79"/>
      <c r="AX3483" s="79"/>
      <c r="AZ3483" s="81"/>
      <c r="BB3483" s="5"/>
      <c r="BC3483" s="5"/>
      <c r="BD3483" s="5"/>
      <c r="BE3483" s="5"/>
      <c r="BF3483" s="5"/>
      <c r="BG3483" s="5"/>
      <c r="BH3483" s="5"/>
      <c r="BI3483" s="5"/>
      <c r="BJ3483" s="5"/>
      <c r="BK3483" s="5"/>
      <c r="BL3483" s="5"/>
      <c r="BM3483" s="5"/>
      <c r="BN3483" s="5"/>
      <c r="BO3483" s="5"/>
      <c r="BP3483" s="5"/>
    </row>
    <row r="3484" spans="35:68" x14ac:dyDescent="0.25">
      <c r="AI3484" s="49"/>
      <c r="AJ3484" s="78"/>
      <c r="AK3484" s="79"/>
      <c r="AL3484" s="79"/>
      <c r="AM3484" s="79"/>
      <c r="AN3484" s="79"/>
      <c r="AO3484" s="79"/>
      <c r="AP3484" s="79"/>
      <c r="AQ3484" s="79"/>
      <c r="AR3484" s="78"/>
      <c r="AS3484" s="78"/>
      <c r="AT3484" s="79"/>
      <c r="AU3484" s="79"/>
      <c r="AV3484" s="79"/>
      <c r="AW3484" s="79"/>
      <c r="AX3484" s="79"/>
      <c r="AZ3484" s="81"/>
      <c r="BB3484" s="5"/>
      <c r="BC3484" s="5"/>
      <c r="BD3484" s="5"/>
      <c r="BE3484" s="5"/>
      <c r="BF3484" s="5"/>
      <c r="BG3484" s="5"/>
      <c r="BH3484" s="5"/>
      <c r="BI3484" s="5"/>
      <c r="BJ3484" s="5"/>
      <c r="BK3484" s="5"/>
      <c r="BL3484" s="5"/>
      <c r="BM3484" s="5"/>
      <c r="BN3484" s="5"/>
      <c r="BO3484" s="5"/>
      <c r="BP3484" s="5"/>
    </row>
    <row r="3485" spans="35:68" x14ac:dyDescent="0.25">
      <c r="AI3485" s="49"/>
      <c r="AJ3485" s="78"/>
      <c r="AK3485" s="79"/>
      <c r="AL3485" s="79"/>
      <c r="AM3485" s="79"/>
      <c r="AN3485" s="79"/>
      <c r="AO3485" s="79"/>
      <c r="AP3485" s="79"/>
      <c r="AQ3485" s="79"/>
      <c r="AR3485" s="78"/>
      <c r="AS3485" s="78"/>
      <c r="AT3485" s="79"/>
      <c r="AU3485" s="79"/>
      <c r="AV3485" s="79"/>
      <c r="AW3485" s="79"/>
      <c r="AX3485" s="79"/>
      <c r="AZ3485" s="81"/>
      <c r="BB3485" s="5"/>
      <c r="BC3485" s="5"/>
      <c r="BD3485" s="5"/>
      <c r="BE3485" s="5"/>
      <c r="BF3485" s="5"/>
      <c r="BG3485" s="5"/>
      <c r="BH3485" s="5"/>
      <c r="BI3485" s="5"/>
      <c r="BJ3485" s="5"/>
      <c r="BK3485" s="5"/>
      <c r="BL3485" s="5"/>
      <c r="BM3485" s="5"/>
      <c r="BN3485" s="5"/>
      <c r="BO3485" s="5"/>
      <c r="BP3485" s="5"/>
    </row>
    <row r="3486" spans="35:68" x14ac:dyDescent="0.25">
      <c r="AI3486" s="49"/>
      <c r="AJ3486" s="78"/>
      <c r="AK3486" s="79"/>
      <c r="AL3486" s="79"/>
      <c r="AM3486" s="79"/>
      <c r="AN3486" s="79"/>
      <c r="AO3486" s="79"/>
      <c r="AP3486" s="79"/>
      <c r="AQ3486" s="79"/>
      <c r="AR3486" s="78"/>
      <c r="AS3486" s="78"/>
      <c r="AT3486" s="79"/>
      <c r="AU3486" s="79"/>
      <c r="AV3486" s="79"/>
      <c r="AW3486" s="79"/>
      <c r="AX3486" s="79"/>
      <c r="AZ3486" s="81"/>
      <c r="BB3486" s="5"/>
      <c r="BC3486" s="5"/>
      <c r="BD3486" s="5"/>
      <c r="BE3486" s="5"/>
      <c r="BF3486" s="5"/>
      <c r="BG3486" s="5"/>
      <c r="BH3486" s="5"/>
      <c r="BI3486" s="5"/>
      <c r="BJ3486" s="5"/>
      <c r="BK3486" s="5"/>
      <c r="BL3486" s="5"/>
      <c r="BM3486" s="5"/>
      <c r="BN3486" s="5"/>
      <c r="BO3486" s="5"/>
      <c r="BP3486" s="5"/>
    </row>
    <row r="3487" spans="35:68" x14ac:dyDescent="0.25">
      <c r="AI3487" s="49"/>
      <c r="AJ3487" s="78"/>
      <c r="AK3487" s="79"/>
      <c r="AL3487" s="79"/>
      <c r="AM3487" s="79"/>
      <c r="AN3487" s="79"/>
      <c r="AO3487" s="79"/>
      <c r="AP3487" s="79"/>
      <c r="AQ3487" s="79"/>
      <c r="AR3487" s="78"/>
      <c r="AS3487" s="78"/>
      <c r="AT3487" s="79"/>
      <c r="AU3487" s="79"/>
      <c r="AV3487" s="79"/>
      <c r="AW3487" s="79"/>
      <c r="AX3487" s="79"/>
      <c r="AZ3487" s="81"/>
      <c r="BB3487" s="5"/>
      <c r="BC3487" s="5"/>
      <c r="BD3487" s="5"/>
      <c r="BE3487" s="5"/>
      <c r="BF3487" s="5"/>
      <c r="BG3487" s="5"/>
      <c r="BH3487" s="5"/>
      <c r="BI3487" s="5"/>
      <c r="BJ3487" s="5"/>
      <c r="BK3487" s="5"/>
      <c r="BL3487" s="5"/>
      <c r="BM3487" s="5"/>
      <c r="BN3487" s="5"/>
      <c r="BO3487" s="5"/>
      <c r="BP3487" s="5"/>
    </row>
    <row r="3488" spans="35:68" x14ac:dyDescent="0.25">
      <c r="AI3488" s="49"/>
      <c r="AJ3488" s="78"/>
      <c r="AK3488" s="79"/>
      <c r="AL3488" s="79"/>
      <c r="AM3488" s="79"/>
      <c r="AN3488" s="79"/>
      <c r="AO3488" s="79"/>
      <c r="AP3488" s="79"/>
      <c r="AQ3488" s="79"/>
      <c r="AR3488" s="78"/>
      <c r="AS3488" s="78"/>
      <c r="AT3488" s="79"/>
      <c r="AU3488" s="79"/>
      <c r="AV3488" s="79"/>
      <c r="AW3488" s="79"/>
      <c r="AX3488" s="79"/>
      <c r="AZ3488" s="81"/>
      <c r="BB3488" s="5"/>
      <c r="BC3488" s="5"/>
      <c r="BD3488" s="5"/>
      <c r="BE3488" s="5"/>
      <c r="BF3488" s="5"/>
      <c r="BG3488" s="5"/>
      <c r="BH3488" s="5"/>
      <c r="BI3488" s="5"/>
      <c r="BJ3488" s="5"/>
      <c r="BK3488" s="5"/>
      <c r="BL3488" s="5"/>
      <c r="BM3488" s="5"/>
      <c r="BN3488" s="5"/>
      <c r="BO3488" s="5"/>
      <c r="BP3488" s="5"/>
    </row>
    <row r="3489" spans="35:68" x14ac:dyDescent="0.25">
      <c r="AI3489" s="49"/>
      <c r="AJ3489" s="78"/>
      <c r="AK3489" s="79"/>
      <c r="AL3489" s="79"/>
      <c r="AM3489" s="79"/>
      <c r="AN3489" s="79"/>
      <c r="AO3489" s="79"/>
      <c r="AP3489" s="79"/>
      <c r="AQ3489" s="79"/>
      <c r="AR3489" s="78"/>
      <c r="AS3489" s="78"/>
      <c r="AT3489" s="79"/>
      <c r="AU3489" s="79"/>
      <c r="AV3489" s="79"/>
      <c r="AW3489" s="79"/>
      <c r="AX3489" s="79"/>
      <c r="AZ3489" s="81"/>
      <c r="BB3489" s="5"/>
      <c r="BC3489" s="5"/>
      <c r="BD3489" s="5"/>
      <c r="BE3489" s="5"/>
      <c r="BF3489" s="5"/>
      <c r="BG3489" s="5"/>
      <c r="BH3489" s="5"/>
      <c r="BI3489" s="5"/>
      <c r="BJ3489" s="5"/>
      <c r="BK3489" s="5"/>
      <c r="BL3489" s="5"/>
      <c r="BM3489" s="5"/>
      <c r="BN3489" s="5"/>
      <c r="BO3489" s="5"/>
      <c r="BP3489" s="5"/>
    </row>
    <row r="3490" spans="35:68" x14ac:dyDescent="0.25">
      <c r="AI3490" s="49"/>
      <c r="AJ3490" s="78"/>
      <c r="AK3490" s="79"/>
      <c r="AL3490" s="79"/>
      <c r="AM3490" s="79"/>
      <c r="AN3490" s="79"/>
      <c r="AO3490" s="79"/>
      <c r="AP3490" s="79"/>
      <c r="AQ3490" s="79"/>
      <c r="AR3490" s="78"/>
      <c r="AS3490" s="78"/>
      <c r="AT3490" s="79"/>
      <c r="AU3490" s="79"/>
      <c r="AV3490" s="79"/>
      <c r="AW3490" s="79"/>
      <c r="AX3490" s="79"/>
      <c r="AZ3490" s="81"/>
      <c r="BB3490" s="5"/>
      <c r="BC3490" s="5"/>
      <c r="BD3490" s="5"/>
      <c r="BE3490" s="5"/>
      <c r="BF3490" s="5"/>
      <c r="BG3490" s="5"/>
      <c r="BH3490" s="5"/>
      <c r="BI3490" s="5"/>
      <c r="BJ3490" s="5"/>
      <c r="BK3490" s="5"/>
      <c r="BL3490" s="5"/>
      <c r="BM3490" s="5"/>
      <c r="BN3490" s="5"/>
      <c r="BO3490" s="5"/>
      <c r="BP3490" s="5"/>
    </row>
    <row r="3491" spans="35:68" x14ac:dyDescent="0.25">
      <c r="AI3491" s="49"/>
      <c r="AJ3491" s="78"/>
      <c r="AK3491" s="79"/>
      <c r="AL3491" s="79"/>
      <c r="AM3491" s="79"/>
      <c r="AN3491" s="79"/>
      <c r="AO3491" s="79"/>
      <c r="AP3491" s="79"/>
      <c r="AQ3491" s="79"/>
      <c r="AR3491" s="78"/>
      <c r="AS3491" s="78"/>
      <c r="AT3491" s="79"/>
      <c r="AU3491" s="79"/>
      <c r="AV3491" s="79"/>
      <c r="AW3491" s="79"/>
      <c r="AX3491" s="79"/>
      <c r="AZ3491" s="81"/>
      <c r="BB3491" s="5"/>
      <c r="BC3491" s="5"/>
      <c r="BD3491" s="5"/>
      <c r="BE3491" s="5"/>
      <c r="BF3491" s="5"/>
      <c r="BG3491" s="5"/>
      <c r="BH3491" s="5"/>
      <c r="BI3491" s="5"/>
      <c r="BJ3491" s="5"/>
      <c r="BK3491" s="5"/>
      <c r="BL3491" s="5"/>
      <c r="BM3491" s="5"/>
      <c r="BN3491" s="5"/>
      <c r="BO3491" s="5"/>
      <c r="BP3491" s="5"/>
    </row>
    <row r="3492" spans="35:68" x14ac:dyDescent="0.25">
      <c r="AI3492" s="49"/>
      <c r="AJ3492" s="78"/>
      <c r="AK3492" s="79"/>
      <c r="AL3492" s="79"/>
      <c r="AM3492" s="79"/>
      <c r="AN3492" s="79"/>
      <c r="AO3492" s="79"/>
      <c r="AP3492" s="79"/>
      <c r="AQ3492" s="79"/>
      <c r="AR3492" s="78"/>
      <c r="AS3492" s="78"/>
      <c r="AT3492" s="79"/>
      <c r="AU3492" s="79"/>
      <c r="AV3492" s="79"/>
      <c r="AW3492" s="79"/>
      <c r="AX3492" s="79"/>
      <c r="AZ3492" s="81"/>
      <c r="BB3492" s="5"/>
      <c r="BC3492" s="5"/>
      <c r="BD3492" s="5"/>
      <c r="BE3492" s="5"/>
      <c r="BF3492" s="5"/>
      <c r="BG3492" s="5"/>
      <c r="BH3492" s="5"/>
      <c r="BI3492" s="5"/>
      <c r="BJ3492" s="5"/>
      <c r="BK3492" s="5"/>
      <c r="BL3492" s="5"/>
      <c r="BM3492" s="5"/>
      <c r="BN3492" s="5"/>
      <c r="BO3492" s="5"/>
      <c r="BP3492" s="5"/>
    </row>
    <row r="3493" spans="35:68" x14ac:dyDescent="0.25">
      <c r="AI3493" s="49"/>
      <c r="AJ3493" s="78"/>
      <c r="AK3493" s="79"/>
      <c r="AL3493" s="79"/>
      <c r="AM3493" s="79"/>
      <c r="AN3493" s="79"/>
      <c r="AO3493" s="79"/>
      <c r="AP3493" s="79"/>
      <c r="AQ3493" s="79"/>
      <c r="AR3493" s="78"/>
      <c r="AS3493" s="78"/>
      <c r="AT3493" s="79"/>
      <c r="AU3493" s="79"/>
      <c r="AV3493" s="79"/>
      <c r="AW3493" s="79"/>
      <c r="AX3493" s="79"/>
      <c r="AZ3493" s="81"/>
      <c r="BB3493" s="5"/>
      <c r="BC3493" s="5"/>
      <c r="BD3493" s="5"/>
      <c r="BE3493" s="5"/>
      <c r="BF3493" s="5"/>
      <c r="BG3493" s="5"/>
      <c r="BH3493" s="5"/>
      <c r="BI3493" s="5"/>
      <c r="BJ3493" s="5"/>
      <c r="BK3493" s="5"/>
      <c r="BL3493" s="5"/>
      <c r="BM3493" s="5"/>
      <c r="BN3493" s="5"/>
      <c r="BO3493" s="5"/>
      <c r="BP3493" s="5"/>
    </row>
    <row r="3494" spans="35:68" x14ac:dyDescent="0.25">
      <c r="AI3494" s="49"/>
      <c r="AJ3494" s="78"/>
      <c r="AK3494" s="79"/>
      <c r="AL3494" s="79"/>
      <c r="AM3494" s="79"/>
      <c r="AN3494" s="79"/>
      <c r="AO3494" s="79"/>
      <c r="AP3494" s="79"/>
      <c r="AQ3494" s="79"/>
      <c r="AR3494" s="78"/>
      <c r="AS3494" s="78"/>
      <c r="AT3494" s="79"/>
      <c r="AU3494" s="79"/>
      <c r="AV3494" s="79"/>
      <c r="AW3494" s="79"/>
      <c r="AX3494" s="79"/>
      <c r="AZ3494" s="81"/>
      <c r="BB3494" s="5"/>
      <c r="BC3494" s="5"/>
      <c r="BD3494" s="5"/>
      <c r="BE3494" s="5"/>
      <c r="BF3494" s="5"/>
      <c r="BG3494" s="5"/>
      <c r="BH3494" s="5"/>
      <c r="BI3494" s="5"/>
      <c r="BJ3494" s="5"/>
      <c r="BK3494" s="5"/>
      <c r="BL3494" s="5"/>
      <c r="BM3494" s="5"/>
      <c r="BN3494" s="5"/>
      <c r="BO3494" s="5"/>
      <c r="BP3494" s="5"/>
    </row>
    <row r="3495" spans="35:68" x14ac:dyDescent="0.25">
      <c r="AI3495" s="49"/>
      <c r="AJ3495" s="78"/>
      <c r="AK3495" s="79"/>
      <c r="AL3495" s="79"/>
      <c r="AM3495" s="79"/>
      <c r="AN3495" s="79"/>
      <c r="AO3495" s="79"/>
      <c r="AP3495" s="79"/>
      <c r="AQ3495" s="79"/>
      <c r="AR3495" s="78"/>
      <c r="AS3495" s="78"/>
      <c r="AT3495" s="79"/>
      <c r="AU3495" s="79"/>
      <c r="AV3495" s="79"/>
      <c r="AW3495" s="79"/>
      <c r="AX3495" s="79"/>
      <c r="AZ3495" s="81"/>
      <c r="BB3495" s="5"/>
      <c r="BC3495" s="5"/>
      <c r="BD3495" s="5"/>
      <c r="BE3495" s="5"/>
      <c r="BF3495" s="5"/>
      <c r="BG3495" s="5"/>
      <c r="BH3495" s="5"/>
      <c r="BI3495" s="5"/>
      <c r="BJ3495" s="5"/>
      <c r="BK3495" s="5"/>
      <c r="BL3495" s="5"/>
      <c r="BM3495" s="5"/>
      <c r="BN3495" s="5"/>
      <c r="BO3495" s="5"/>
      <c r="BP3495" s="5"/>
    </row>
    <row r="3496" spans="35:68" x14ac:dyDescent="0.25">
      <c r="AI3496" s="49"/>
      <c r="AJ3496" s="78"/>
      <c r="AK3496" s="79"/>
      <c r="AL3496" s="79"/>
      <c r="AM3496" s="79"/>
      <c r="AN3496" s="79"/>
      <c r="AO3496" s="79"/>
      <c r="AP3496" s="79"/>
      <c r="AQ3496" s="79"/>
      <c r="AR3496" s="78"/>
      <c r="AS3496" s="78"/>
      <c r="AT3496" s="79"/>
      <c r="AU3496" s="79"/>
      <c r="AV3496" s="79"/>
      <c r="AW3496" s="79"/>
      <c r="AX3496" s="79"/>
      <c r="AZ3496" s="81"/>
      <c r="BB3496" s="5"/>
      <c r="BC3496" s="5"/>
      <c r="BD3496" s="5"/>
      <c r="BE3496" s="5"/>
      <c r="BF3496" s="5"/>
      <c r="BG3496" s="5"/>
      <c r="BH3496" s="5"/>
      <c r="BI3496" s="5"/>
      <c r="BJ3496" s="5"/>
      <c r="BK3496" s="5"/>
      <c r="BL3496" s="5"/>
      <c r="BM3496" s="5"/>
      <c r="BN3496" s="5"/>
      <c r="BO3496" s="5"/>
      <c r="BP3496" s="5"/>
    </row>
    <row r="3497" spans="35:68" x14ac:dyDescent="0.25">
      <c r="AI3497" s="49"/>
      <c r="AJ3497" s="78"/>
      <c r="AK3497" s="79"/>
      <c r="AL3497" s="79"/>
      <c r="AM3497" s="79"/>
      <c r="AN3497" s="79"/>
      <c r="AO3497" s="79"/>
      <c r="AP3497" s="79"/>
      <c r="AQ3497" s="79"/>
      <c r="AR3497" s="78"/>
      <c r="AS3497" s="78"/>
      <c r="AT3497" s="79"/>
      <c r="AU3497" s="79"/>
      <c r="AV3497" s="79"/>
      <c r="AW3497" s="79"/>
      <c r="AX3497" s="79"/>
      <c r="AZ3497" s="81"/>
      <c r="BB3497" s="5"/>
      <c r="BC3497" s="5"/>
      <c r="BD3497" s="5"/>
      <c r="BE3497" s="5"/>
      <c r="BF3497" s="5"/>
      <c r="BG3497" s="5"/>
      <c r="BH3497" s="5"/>
      <c r="BI3497" s="5"/>
      <c r="BJ3497" s="5"/>
      <c r="BK3497" s="5"/>
      <c r="BL3497" s="5"/>
      <c r="BM3497" s="5"/>
      <c r="BN3497" s="5"/>
      <c r="BO3497" s="5"/>
      <c r="BP3497" s="5"/>
    </row>
    <row r="3498" spans="35:68" x14ac:dyDescent="0.25">
      <c r="AI3498" s="49"/>
      <c r="AJ3498" s="78"/>
      <c r="AK3498" s="79"/>
      <c r="AL3498" s="79"/>
      <c r="AM3498" s="79"/>
      <c r="AN3498" s="79"/>
      <c r="AO3498" s="79"/>
      <c r="AP3498" s="79"/>
      <c r="AQ3498" s="79"/>
      <c r="AR3498" s="78"/>
      <c r="AS3498" s="78"/>
      <c r="AT3498" s="79"/>
      <c r="AU3498" s="79"/>
      <c r="AV3498" s="79"/>
      <c r="AW3498" s="79"/>
      <c r="AX3498" s="79"/>
      <c r="AZ3498" s="81"/>
      <c r="BB3498" s="5"/>
      <c r="BC3498" s="5"/>
      <c r="BD3498" s="5"/>
      <c r="BE3498" s="5"/>
      <c r="BF3498" s="5"/>
      <c r="BG3498" s="5"/>
      <c r="BH3498" s="5"/>
      <c r="BI3498" s="5"/>
      <c r="BJ3498" s="5"/>
      <c r="BK3498" s="5"/>
      <c r="BL3498" s="5"/>
      <c r="BM3498" s="5"/>
      <c r="BN3498" s="5"/>
      <c r="BO3498" s="5"/>
      <c r="BP3498" s="5"/>
    </row>
    <row r="3499" spans="35:68" x14ac:dyDescent="0.25">
      <c r="AI3499" s="49"/>
      <c r="AJ3499" s="78"/>
      <c r="AK3499" s="79"/>
      <c r="AL3499" s="79"/>
      <c r="AM3499" s="79"/>
      <c r="AN3499" s="79"/>
      <c r="AO3499" s="79"/>
      <c r="AP3499" s="79"/>
      <c r="AQ3499" s="79"/>
      <c r="AR3499" s="78"/>
      <c r="AS3499" s="78"/>
      <c r="AT3499" s="79"/>
      <c r="AU3499" s="79"/>
      <c r="AV3499" s="79"/>
      <c r="AW3499" s="79"/>
      <c r="AX3499" s="79"/>
      <c r="AZ3499" s="81"/>
      <c r="BB3499" s="5"/>
      <c r="BC3499" s="5"/>
      <c r="BD3499" s="5"/>
      <c r="BE3499" s="5"/>
      <c r="BF3499" s="5"/>
      <c r="BG3499" s="5"/>
      <c r="BH3499" s="5"/>
      <c r="BI3499" s="5"/>
      <c r="BJ3499" s="5"/>
      <c r="BK3499" s="5"/>
      <c r="BL3499" s="5"/>
      <c r="BM3499" s="5"/>
      <c r="BN3499" s="5"/>
      <c r="BO3499" s="5"/>
      <c r="BP3499" s="5"/>
    </row>
    <row r="3500" spans="35:68" x14ac:dyDescent="0.25">
      <c r="AI3500" s="49"/>
      <c r="AJ3500" s="78"/>
      <c r="AK3500" s="79"/>
      <c r="AL3500" s="79"/>
      <c r="AM3500" s="79"/>
      <c r="AN3500" s="79"/>
      <c r="AO3500" s="79"/>
      <c r="AP3500" s="79"/>
      <c r="AQ3500" s="79"/>
      <c r="AR3500" s="78"/>
      <c r="AS3500" s="78"/>
      <c r="AT3500" s="79"/>
      <c r="AU3500" s="79"/>
      <c r="AV3500" s="79"/>
      <c r="AW3500" s="79"/>
      <c r="AX3500" s="79"/>
      <c r="AZ3500" s="81"/>
      <c r="BB3500" s="5"/>
      <c r="BC3500" s="5"/>
      <c r="BD3500" s="5"/>
      <c r="BE3500" s="5"/>
      <c r="BF3500" s="5"/>
      <c r="BG3500" s="5"/>
      <c r="BH3500" s="5"/>
      <c r="BI3500" s="5"/>
      <c r="BJ3500" s="5"/>
      <c r="BK3500" s="5"/>
      <c r="BL3500" s="5"/>
      <c r="BM3500" s="5"/>
      <c r="BN3500" s="5"/>
      <c r="BO3500" s="5"/>
      <c r="BP3500" s="5"/>
    </row>
    <row r="3501" spans="35:68" x14ac:dyDescent="0.25">
      <c r="AI3501" s="49"/>
      <c r="AJ3501" s="78"/>
      <c r="AK3501" s="79"/>
      <c r="AL3501" s="79"/>
      <c r="AM3501" s="79"/>
      <c r="AN3501" s="79"/>
      <c r="AO3501" s="79"/>
      <c r="AP3501" s="79"/>
      <c r="AQ3501" s="79"/>
      <c r="AR3501" s="78"/>
      <c r="AS3501" s="78"/>
      <c r="AT3501" s="79"/>
      <c r="AU3501" s="79"/>
      <c r="AV3501" s="79"/>
      <c r="AW3501" s="79"/>
      <c r="AX3501" s="79"/>
      <c r="AZ3501" s="81"/>
      <c r="BB3501" s="5"/>
      <c r="BC3501" s="5"/>
      <c r="BD3501" s="5"/>
      <c r="BE3501" s="5"/>
      <c r="BF3501" s="5"/>
      <c r="BG3501" s="5"/>
      <c r="BH3501" s="5"/>
      <c r="BI3501" s="5"/>
      <c r="BJ3501" s="5"/>
      <c r="BK3501" s="5"/>
      <c r="BL3501" s="5"/>
      <c r="BM3501" s="5"/>
      <c r="BN3501" s="5"/>
      <c r="BO3501" s="5"/>
      <c r="BP3501" s="5"/>
    </row>
    <row r="3502" spans="35:68" x14ac:dyDescent="0.25">
      <c r="AI3502" s="49"/>
      <c r="AJ3502" s="78"/>
      <c r="AK3502" s="79"/>
      <c r="AL3502" s="79"/>
      <c r="AM3502" s="79"/>
      <c r="AN3502" s="79"/>
      <c r="AO3502" s="79"/>
      <c r="AP3502" s="79"/>
      <c r="AQ3502" s="79"/>
      <c r="AR3502" s="78"/>
      <c r="AS3502" s="78"/>
      <c r="AT3502" s="79"/>
      <c r="AU3502" s="79"/>
      <c r="AV3502" s="79"/>
      <c r="AW3502" s="79"/>
      <c r="AX3502" s="79"/>
      <c r="AZ3502" s="81"/>
      <c r="BB3502" s="5"/>
      <c r="BC3502" s="5"/>
      <c r="BD3502" s="5"/>
      <c r="BE3502" s="5"/>
      <c r="BF3502" s="5"/>
      <c r="BG3502" s="5"/>
      <c r="BH3502" s="5"/>
      <c r="BI3502" s="5"/>
      <c r="BJ3502" s="5"/>
      <c r="BK3502" s="5"/>
      <c r="BL3502" s="5"/>
      <c r="BM3502" s="5"/>
      <c r="BN3502" s="5"/>
      <c r="BO3502" s="5"/>
      <c r="BP3502" s="5"/>
    </row>
    <row r="3503" spans="35:68" x14ac:dyDescent="0.25">
      <c r="AI3503" s="49"/>
      <c r="AJ3503" s="78"/>
      <c r="AK3503" s="79"/>
      <c r="AL3503" s="79"/>
      <c r="AM3503" s="79"/>
      <c r="AN3503" s="79"/>
      <c r="AO3503" s="79"/>
      <c r="AP3503" s="79"/>
      <c r="AQ3503" s="79"/>
      <c r="AR3503" s="78"/>
      <c r="AS3503" s="78"/>
      <c r="AT3503" s="79"/>
      <c r="AU3503" s="79"/>
      <c r="AV3503" s="79"/>
      <c r="AW3503" s="79"/>
      <c r="AX3503" s="79"/>
      <c r="AZ3503" s="81"/>
      <c r="BB3503" s="5"/>
      <c r="BC3503" s="5"/>
      <c r="BD3503" s="5"/>
      <c r="BE3503" s="5"/>
      <c r="BF3503" s="5"/>
      <c r="BG3503" s="5"/>
      <c r="BH3503" s="5"/>
      <c r="BI3503" s="5"/>
      <c r="BJ3503" s="5"/>
      <c r="BK3503" s="5"/>
      <c r="BL3503" s="5"/>
      <c r="BM3503" s="5"/>
      <c r="BN3503" s="5"/>
      <c r="BO3503" s="5"/>
      <c r="BP3503" s="5"/>
    </row>
    <row r="3504" spans="35:68" x14ac:dyDescent="0.25">
      <c r="AI3504" s="49"/>
      <c r="AJ3504" s="78"/>
      <c r="AK3504" s="79"/>
      <c r="AL3504" s="79"/>
      <c r="AM3504" s="79"/>
      <c r="AN3504" s="79"/>
      <c r="AO3504" s="79"/>
      <c r="AP3504" s="79"/>
      <c r="AQ3504" s="79"/>
      <c r="AR3504" s="78"/>
      <c r="AS3504" s="78"/>
      <c r="AT3504" s="79"/>
      <c r="AU3504" s="79"/>
      <c r="AV3504" s="79"/>
      <c r="AW3504" s="79"/>
      <c r="AX3504" s="79"/>
      <c r="AZ3504" s="81"/>
      <c r="BB3504" s="5"/>
      <c r="BC3504" s="5"/>
      <c r="BD3504" s="5"/>
      <c r="BE3504" s="5"/>
      <c r="BF3504" s="5"/>
      <c r="BG3504" s="5"/>
      <c r="BH3504" s="5"/>
      <c r="BI3504" s="5"/>
      <c r="BJ3504" s="5"/>
      <c r="BK3504" s="5"/>
      <c r="BL3504" s="5"/>
      <c r="BM3504" s="5"/>
      <c r="BN3504" s="5"/>
      <c r="BO3504" s="5"/>
      <c r="BP3504" s="5"/>
    </row>
    <row r="3505" spans="35:68" x14ac:dyDescent="0.25">
      <c r="AI3505" s="49"/>
      <c r="AJ3505" s="78"/>
      <c r="AK3505" s="79"/>
      <c r="AL3505" s="79"/>
      <c r="AM3505" s="79"/>
      <c r="AN3505" s="79"/>
      <c r="AO3505" s="79"/>
      <c r="AP3505" s="79"/>
      <c r="AQ3505" s="79"/>
      <c r="AR3505" s="78"/>
      <c r="AS3505" s="78"/>
      <c r="AT3505" s="79"/>
      <c r="AU3505" s="79"/>
      <c r="AV3505" s="79"/>
      <c r="AW3505" s="79"/>
      <c r="AX3505" s="79"/>
      <c r="AZ3505" s="81"/>
      <c r="BB3505" s="5"/>
      <c r="BC3505" s="5"/>
      <c r="BD3505" s="5"/>
      <c r="BE3505" s="5"/>
      <c r="BF3505" s="5"/>
      <c r="BG3505" s="5"/>
      <c r="BH3505" s="5"/>
      <c r="BI3505" s="5"/>
      <c r="BJ3505" s="5"/>
      <c r="BK3505" s="5"/>
      <c r="BL3505" s="5"/>
      <c r="BM3505" s="5"/>
      <c r="BN3505" s="5"/>
      <c r="BO3505" s="5"/>
      <c r="BP3505" s="5"/>
    </row>
    <row r="3506" spans="35:68" x14ac:dyDescent="0.25">
      <c r="AI3506" s="49"/>
      <c r="AJ3506" s="78"/>
      <c r="AK3506" s="79"/>
      <c r="AL3506" s="79"/>
      <c r="AM3506" s="79"/>
      <c r="AN3506" s="79"/>
      <c r="AO3506" s="79"/>
      <c r="AP3506" s="79"/>
      <c r="AQ3506" s="79"/>
      <c r="AR3506" s="78"/>
      <c r="AS3506" s="78"/>
      <c r="AT3506" s="79"/>
      <c r="AU3506" s="79"/>
      <c r="AV3506" s="79"/>
      <c r="AW3506" s="79"/>
      <c r="AX3506" s="79"/>
      <c r="AZ3506" s="81"/>
      <c r="BB3506" s="5"/>
      <c r="BC3506" s="5"/>
      <c r="BD3506" s="5"/>
      <c r="BE3506" s="5"/>
      <c r="BF3506" s="5"/>
      <c r="BG3506" s="5"/>
      <c r="BH3506" s="5"/>
      <c r="BI3506" s="5"/>
      <c r="BJ3506" s="5"/>
      <c r="BK3506" s="5"/>
      <c r="BL3506" s="5"/>
      <c r="BM3506" s="5"/>
      <c r="BN3506" s="5"/>
      <c r="BO3506" s="5"/>
      <c r="BP3506" s="5"/>
    </row>
    <row r="3507" spans="35:68" x14ac:dyDescent="0.25">
      <c r="AI3507" s="49"/>
      <c r="AJ3507" s="78"/>
      <c r="AK3507" s="79"/>
      <c r="AL3507" s="79"/>
      <c r="AM3507" s="79"/>
      <c r="AN3507" s="79"/>
      <c r="AO3507" s="79"/>
      <c r="AP3507" s="79"/>
      <c r="AQ3507" s="79"/>
      <c r="AR3507" s="78"/>
      <c r="AS3507" s="78"/>
      <c r="AT3507" s="79"/>
      <c r="AU3507" s="79"/>
      <c r="AV3507" s="79"/>
      <c r="AW3507" s="79"/>
      <c r="AX3507" s="79"/>
      <c r="AZ3507" s="81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</row>
    <row r="3508" spans="35:68" x14ac:dyDescent="0.25">
      <c r="AI3508" s="49"/>
      <c r="AJ3508" s="78"/>
      <c r="AK3508" s="79"/>
      <c r="AL3508" s="79"/>
      <c r="AM3508" s="79"/>
      <c r="AN3508" s="79"/>
      <c r="AO3508" s="79"/>
      <c r="AP3508" s="79"/>
      <c r="AQ3508" s="79"/>
      <c r="AR3508" s="78"/>
      <c r="AS3508" s="78"/>
      <c r="AT3508" s="79"/>
      <c r="AU3508" s="79"/>
      <c r="AV3508" s="79"/>
      <c r="AW3508" s="79"/>
      <c r="AX3508" s="79"/>
      <c r="AZ3508" s="81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5"/>
      <c r="BP3508" s="5"/>
    </row>
    <row r="3509" spans="35:68" x14ac:dyDescent="0.25">
      <c r="AI3509" s="49"/>
      <c r="AJ3509" s="78"/>
      <c r="AK3509" s="79"/>
      <c r="AL3509" s="79"/>
      <c r="AM3509" s="79"/>
      <c r="AN3509" s="79"/>
      <c r="AO3509" s="79"/>
      <c r="AP3509" s="79"/>
      <c r="AQ3509" s="79"/>
      <c r="AR3509" s="78"/>
      <c r="AS3509" s="78"/>
      <c r="AT3509" s="79"/>
      <c r="AU3509" s="79"/>
      <c r="AV3509" s="79"/>
      <c r="AW3509" s="79"/>
      <c r="AX3509" s="79"/>
      <c r="AZ3509" s="81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/>
      <c r="BO3509" s="5"/>
      <c r="BP3509" s="5"/>
    </row>
    <row r="3510" spans="35:68" x14ac:dyDescent="0.25">
      <c r="AI3510" s="49"/>
      <c r="AJ3510" s="78"/>
      <c r="AK3510" s="79"/>
      <c r="AL3510" s="79"/>
      <c r="AM3510" s="79"/>
      <c r="AN3510" s="79"/>
      <c r="AO3510" s="79"/>
      <c r="AP3510" s="79"/>
      <c r="AQ3510" s="79"/>
      <c r="AR3510" s="78"/>
      <c r="AS3510" s="78"/>
      <c r="AT3510" s="79"/>
      <c r="AU3510" s="79"/>
      <c r="AV3510" s="79"/>
      <c r="AW3510" s="79"/>
      <c r="AX3510" s="79"/>
      <c r="AZ3510" s="81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</row>
    <row r="3511" spans="35:68" x14ac:dyDescent="0.25">
      <c r="AI3511" s="49"/>
      <c r="AJ3511" s="78"/>
      <c r="AK3511" s="79"/>
      <c r="AL3511" s="79"/>
      <c r="AM3511" s="79"/>
      <c r="AN3511" s="79"/>
      <c r="AO3511" s="79"/>
      <c r="AP3511" s="79"/>
      <c r="AQ3511" s="79"/>
      <c r="AR3511" s="78"/>
      <c r="AS3511" s="78"/>
      <c r="AT3511" s="79"/>
      <c r="AU3511" s="79"/>
      <c r="AV3511" s="79"/>
      <c r="AW3511" s="79"/>
      <c r="AX3511" s="79"/>
      <c r="AZ3511" s="81"/>
      <c r="BB3511" s="5"/>
      <c r="BC3511" s="5"/>
      <c r="BD3511" s="5"/>
      <c r="BE3511" s="5"/>
      <c r="BF3511" s="5"/>
      <c r="BG3511" s="5"/>
      <c r="BH3511" s="5"/>
      <c r="BI3511" s="5"/>
      <c r="BJ3511" s="5"/>
      <c r="BK3511" s="5"/>
      <c r="BL3511" s="5"/>
      <c r="BM3511" s="5"/>
      <c r="BN3511" s="5"/>
      <c r="BO3511" s="5"/>
      <c r="BP3511" s="5"/>
    </row>
    <row r="3512" spans="35:68" x14ac:dyDescent="0.25">
      <c r="AI3512" s="49"/>
      <c r="AJ3512" s="78"/>
      <c r="AK3512" s="79"/>
      <c r="AL3512" s="79"/>
      <c r="AM3512" s="79"/>
      <c r="AN3512" s="79"/>
      <c r="AO3512" s="79"/>
      <c r="AP3512" s="79"/>
      <c r="AQ3512" s="79"/>
      <c r="AR3512" s="78"/>
      <c r="AS3512" s="78"/>
      <c r="AT3512" s="79"/>
      <c r="AU3512" s="79"/>
      <c r="AV3512" s="79"/>
      <c r="AW3512" s="79"/>
      <c r="AX3512" s="79"/>
      <c r="AZ3512" s="81"/>
      <c r="BB3512" s="5"/>
      <c r="BC3512" s="5"/>
      <c r="BD3512" s="5"/>
      <c r="BE3512" s="5"/>
      <c r="BF3512" s="5"/>
      <c r="BG3512" s="5"/>
      <c r="BH3512" s="5"/>
      <c r="BI3512" s="5"/>
      <c r="BJ3512" s="5"/>
      <c r="BK3512" s="5"/>
      <c r="BL3512" s="5"/>
      <c r="BM3512" s="5"/>
      <c r="BN3512" s="5"/>
      <c r="BO3512" s="5"/>
      <c r="BP3512" s="5"/>
    </row>
    <row r="3513" spans="35:68" x14ac:dyDescent="0.25">
      <c r="AI3513" s="49"/>
      <c r="AJ3513" s="78"/>
      <c r="AK3513" s="79"/>
      <c r="AL3513" s="79"/>
      <c r="AM3513" s="79"/>
      <c r="AN3513" s="79"/>
      <c r="AO3513" s="79"/>
      <c r="AP3513" s="79"/>
      <c r="AQ3513" s="79"/>
      <c r="AR3513" s="78"/>
      <c r="AS3513" s="78"/>
      <c r="AT3513" s="79"/>
      <c r="AU3513" s="79"/>
      <c r="AV3513" s="79"/>
      <c r="AW3513" s="79"/>
      <c r="AX3513" s="79"/>
      <c r="AZ3513" s="81"/>
      <c r="BB3513" s="5"/>
      <c r="BC3513" s="5"/>
      <c r="BD3513" s="5"/>
      <c r="BE3513" s="5"/>
      <c r="BF3513" s="5"/>
      <c r="BG3513" s="5"/>
      <c r="BH3513" s="5"/>
      <c r="BI3513" s="5"/>
      <c r="BJ3513" s="5"/>
      <c r="BK3513" s="5"/>
      <c r="BL3513" s="5"/>
      <c r="BM3513" s="5"/>
      <c r="BN3513" s="5"/>
      <c r="BO3513" s="5"/>
      <c r="BP3513" s="5"/>
    </row>
    <row r="3514" spans="35:68" x14ac:dyDescent="0.25">
      <c r="AI3514" s="49"/>
      <c r="AJ3514" s="78"/>
      <c r="AK3514" s="79"/>
      <c r="AL3514" s="79"/>
      <c r="AM3514" s="79"/>
      <c r="AN3514" s="79"/>
      <c r="AO3514" s="79"/>
      <c r="AP3514" s="79"/>
      <c r="AQ3514" s="79"/>
      <c r="AR3514" s="78"/>
      <c r="AS3514" s="78"/>
      <c r="AT3514" s="79"/>
      <c r="AU3514" s="79"/>
      <c r="AV3514" s="79"/>
      <c r="AW3514" s="79"/>
      <c r="AX3514" s="79"/>
      <c r="AZ3514" s="81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</row>
    <row r="3515" spans="35:68" x14ac:dyDescent="0.25">
      <c r="AI3515" s="49"/>
      <c r="AJ3515" s="78"/>
      <c r="AK3515" s="79"/>
      <c r="AL3515" s="79"/>
      <c r="AM3515" s="79"/>
      <c r="AN3515" s="79"/>
      <c r="AO3515" s="79"/>
      <c r="AP3515" s="79"/>
      <c r="AQ3515" s="79"/>
      <c r="AR3515" s="78"/>
      <c r="AS3515" s="78"/>
      <c r="AT3515" s="79"/>
      <c r="AU3515" s="79"/>
      <c r="AV3515" s="79"/>
      <c r="AW3515" s="79"/>
      <c r="AX3515" s="79"/>
      <c r="AZ3515" s="81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5"/>
      <c r="BM3515" s="5"/>
      <c r="BN3515" s="5"/>
      <c r="BO3515" s="5"/>
      <c r="BP3515" s="5"/>
    </row>
    <row r="3516" spans="35:68" x14ac:dyDescent="0.25">
      <c r="AI3516" s="49"/>
      <c r="AJ3516" s="78"/>
      <c r="AK3516" s="79"/>
      <c r="AL3516" s="79"/>
      <c r="AM3516" s="79"/>
      <c r="AN3516" s="79"/>
      <c r="AO3516" s="79"/>
      <c r="AP3516" s="79"/>
      <c r="AQ3516" s="79"/>
      <c r="AR3516" s="78"/>
      <c r="AS3516" s="78"/>
      <c r="AT3516" s="79"/>
      <c r="AU3516" s="79"/>
      <c r="AV3516" s="79"/>
      <c r="AW3516" s="79"/>
      <c r="AX3516" s="79"/>
      <c r="AZ3516" s="81"/>
      <c r="BB3516" s="5"/>
      <c r="BC3516" s="5"/>
      <c r="BD3516" s="5"/>
      <c r="BE3516" s="5"/>
      <c r="BF3516" s="5"/>
      <c r="BG3516" s="5"/>
      <c r="BH3516" s="5"/>
      <c r="BI3516" s="5"/>
      <c r="BJ3516" s="5"/>
      <c r="BK3516" s="5"/>
      <c r="BL3516" s="5"/>
      <c r="BM3516" s="5"/>
      <c r="BN3516" s="5"/>
      <c r="BO3516" s="5"/>
      <c r="BP3516" s="5"/>
    </row>
    <row r="3517" spans="35:68" x14ac:dyDescent="0.25">
      <c r="AI3517" s="49"/>
      <c r="AJ3517" s="78"/>
      <c r="AK3517" s="79"/>
      <c r="AL3517" s="79"/>
      <c r="AM3517" s="79"/>
      <c r="AN3517" s="79"/>
      <c r="AO3517" s="79"/>
      <c r="AP3517" s="79"/>
      <c r="AQ3517" s="79"/>
      <c r="AR3517" s="78"/>
      <c r="AS3517" s="78"/>
      <c r="AT3517" s="79"/>
      <c r="AU3517" s="79"/>
      <c r="AV3517" s="79"/>
      <c r="AW3517" s="79"/>
      <c r="AX3517" s="79"/>
      <c r="AZ3517" s="81"/>
      <c r="BB3517" s="5"/>
      <c r="BC3517" s="5"/>
      <c r="BD3517" s="5"/>
      <c r="BE3517" s="5"/>
      <c r="BF3517" s="5"/>
      <c r="BG3517" s="5"/>
      <c r="BH3517" s="5"/>
      <c r="BI3517" s="5"/>
      <c r="BJ3517" s="5"/>
      <c r="BK3517" s="5"/>
      <c r="BL3517" s="5"/>
      <c r="BM3517" s="5"/>
      <c r="BN3517" s="5"/>
      <c r="BO3517" s="5"/>
      <c r="BP3517" s="5"/>
    </row>
    <row r="3518" spans="35:68" x14ac:dyDescent="0.25">
      <c r="AI3518" s="49"/>
      <c r="AJ3518" s="78"/>
      <c r="AK3518" s="79"/>
      <c r="AL3518" s="79"/>
      <c r="AM3518" s="79"/>
      <c r="AN3518" s="79"/>
      <c r="AO3518" s="79"/>
      <c r="AP3518" s="79"/>
      <c r="AQ3518" s="79"/>
      <c r="AR3518" s="78"/>
      <c r="AS3518" s="78"/>
      <c r="AT3518" s="79"/>
      <c r="AU3518" s="79"/>
      <c r="AV3518" s="79"/>
      <c r="AW3518" s="79"/>
      <c r="AX3518" s="79"/>
      <c r="AZ3518" s="81"/>
      <c r="BB3518" s="5"/>
      <c r="BC3518" s="5"/>
      <c r="BD3518" s="5"/>
      <c r="BE3518" s="5"/>
      <c r="BF3518" s="5"/>
      <c r="BG3518" s="5"/>
      <c r="BH3518" s="5"/>
      <c r="BI3518" s="5"/>
      <c r="BJ3518" s="5"/>
      <c r="BK3518" s="5"/>
      <c r="BL3518" s="5"/>
      <c r="BM3518" s="5"/>
      <c r="BN3518" s="5"/>
      <c r="BO3518" s="5"/>
      <c r="BP3518" s="5"/>
    </row>
    <row r="3519" spans="35:68" x14ac:dyDescent="0.25">
      <c r="AI3519" s="49"/>
      <c r="AJ3519" s="78"/>
      <c r="AK3519" s="79"/>
      <c r="AL3519" s="79"/>
      <c r="AM3519" s="79"/>
      <c r="AN3519" s="79"/>
      <c r="AO3519" s="79"/>
      <c r="AP3519" s="79"/>
      <c r="AQ3519" s="79"/>
      <c r="AR3519" s="78"/>
      <c r="AS3519" s="78"/>
      <c r="AT3519" s="79"/>
      <c r="AU3519" s="79"/>
      <c r="AV3519" s="79"/>
      <c r="AW3519" s="79"/>
      <c r="AX3519" s="79"/>
      <c r="AZ3519" s="81"/>
      <c r="BB3519" s="5"/>
      <c r="BC3519" s="5"/>
      <c r="BD3519" s="5"/>
      <c r="BE3519" s="5"/>
      <c r="BF3519" s="5"/>
      <c r="BG3519" s="5"/>
      <c r="BH3519" s="5"/>
      <c r="BI3519" s="5"/>
      <c r="BJ3519" s="5"/>
      <c r="BK3519" s="5"/>
      <c r="BL3519" s="5"/>
      <c r="BM3519" s="5"/>
      <c r="BN3519" s="5"/>
      <c r="BO3519" s="5"/>
      <c r="BP3519" s="5"/>
    </row>
    <row r="3520" spans="35:68" x14ac:dyDescent="0.25">
      <c r="AI3520" s="49"/>
      <c r="AJ3520" s="78"/>
      <c r="AK3520" s="79"/>
      <c r="AL3520" s="79"/>
      <c r="AM3520" s="79"/>
      <c r="AN3520" s="79"/>
      <c r="AO3520" s="79"/>
      <c r="AP3520" s="79"/>
      <c r="AQ3520" s="79"/>
      <c r="AR3520" s="78"/>
      <c r="AS3520" s="78"/>
      <c r="AT3520" s="79"/>
      <c r="AU3520" s="79"/>
      <c r="AV3520" s="79"/>
      <c r="AW3520" s="79"/>
      <c r="AX3520" s="79"/>
      <c r="AZ3520" s="81"/>
      <c r="BB3520" s="5"/>
      <c r="BC3520" s="5"/>
      <c r="BD3520" s="5"/>
      <c r="BE3520" s="5"/>
      <c r="BF3520" s="5"/>
      <c r="BG3520" s="5"/>
      <c r="BH3520" s="5"/>
      <c r="BI3520" s="5"/>
      <c r="BJ3520" s="5"/>
      <c r="BK3520" s="5"/>
      <c r="BL3520" s="5"/>
      <c r="BM3520" s="5"/>
      <c r="BN3520" s="5"/>
      <c r="BO3520" s="5"/>
      <c r="BP3520" s="5"/>
    </row>
    <row r="3521" spans="35:68" x14ac:dyDescent="0.25">
      <c r="AI3521" s="49"/>
      <c r="AJ3521" s="78"/>
      <c r="AK3521" s="79"/>
      <c r="AL3521" s="79"/>
      <c r="AM3521" s="79"/>
      <c r="AN3521" s="79"/>
      <c r="AO3521" s="79"/>
      <c r="AP3521" s="79"/>
      <c r="AQ3521" s="79"/>
      <c r="AR3521" s="78"/>
      <c r="AS3521" s="78"/>
      <c r="AT3521" s="79"/>
      <c r="AU3521" s="79"/>
      <c r="AV3521" s="79"/>
      <c r="AW3521" s="79"/>
      <c r="AX3521" s="79"/>
      <c r="AZ3521" s="81"/>
      <c r="BB3521" s="5"/>
      <c r="BC3521" s="5"/>
      <c r="BD3521" s="5"/>
      <c r="BE3521" s="5"/>
      <c r="BF3521" s="5"/>
      <c r="BG3521" s="5"/>
      <c r="BH3521" s="5"/>
      <c r="BI3521" s="5"/>
      <c r="BJ3521" s="5"/>
      <c r="BK3521" s="5"/>
      <c r="BL3521" s="5"/>
      <c r="BM3521" s="5"/>
      <c r="BN3521" s="5"/>
      <c r="BO3521" s="5"/>
      <c r="BP3521" s="5"/>
    </row>
    <row r="3522" spans="35:68" x14ac:dyDescent="0.25">
      <c r="AI3522" s="49"/>
      <c r="AJ3522" s="78"/>
      <c r="AK3522" s="79"/>
      <c r="AL3522" s="79"/>
      <c r="AM3522" s="79"/>
      <c r="AN3522" s="79"/>
      <c r="AO3522" s="79"/>
      <c r="AP3522" s="79"/>
      <c r="AQ3522" s="79"/>
      <c r="AR3522" s="78"/>
      <c r="AS3522" s="78"/>
      <c r="AT3522" s="79"/>
      <c r="AU3522" s="79"/>
      <c r="AV3522" s="79"/>
      <c r="AW3522" s="79"/>
      <c r="AX3522" s="79"/>
      <c r="AZ3522" s="81"/>
      <c r="BB3522" s="5"/>
      <c r="BC3522" s="5"/>
      <c r="BD3522" s="5"/>
      <c r="BE3522" s="5"/>
      <c r="BF3522" s="5"/>
      <c r="BG3522" s="5"/>
      <c r="BH3522" s="5"/>
      <c r="BI3522" s="5"/>
      <c r="BJ3522" s="5"/>
      <c r="BK3522" s="5"/>
      <c r="BL3522" s="5"/>
      <c r="BM3522" s="5"/>
      <c r="BN3522" s="5"/>
      <c r="BO3522" s="5"/>
      <c r="BP3522" s="5"/>
    </row>
    <row r="3523" spans="35:68" x14ac:dyDescent="0.25">
      <c r="AI3523" s="49"/>
      <c r="AJ3523" s="78"/>
      <c r="AK3523" s="79"/>
      <c r="AL3523" s="79"/>
      <c r="AM3523" s="79"/>
      <c r="AN3523" s="79"/>
      <c r="AO3523" s="79"/>
      <c r="AP3523" s="79"/>
      <c r="AQ3523" s="79"/>
      <c r="AR3523" s="78"/>
      <c r="AS3523" s="78"/>
      <c r="AT3523" s="79"/>
      <c r="AU3523" s="79"/>
      <c r="AV3523" s="79"/>
      <c r="AW3523" s="79"/>
      <c r="AX3523" s="79"/>
      <c r="AZ3523" s="81"/>
      <c r="BB3523" s="5"/>
      <c r="BC3523" s="5"/>
      <c r="BD3523" s="5"/>
      <c r="BE3523" s="5"/>
      <c r="BF3523" s="5"/>
      <c r="BG3523" s="5"/>
      <c r="BH3523" s="5"/>
      <c r="BI3523" s="5"/>
      <c r="BJ3523" s="5"/>
      <c r="BK3523" s="5"/>
      <c r="BL3523" s="5"/>
      <c r="BM3523" s="5"/>
      <c r="BN3523" s="5"/>
      <c r="BO3523" s="5"/>
      <c r="BP3523" s="5"/>
    </row>
    <row r="3524" spans="35:68" x14ac:dyDescent="0.25">
      <c r="AI3524" s="49"/>
      <c r="AJ3524" s="78"/>
      <c r="AK3524" s="79"/>
      <c r="AL3524" s="79"/>
      <c r="AM3524" s="79"/>
      <c r="AN3524" s="79"/>
      <c r="AO3524" s="79"/>
      <c r="AP3524" s="79"/>
      <c r="AQ3524" s="79"/>
      <c r="AR3524" s="78"/>
      <c r="AS3524" s="78"/>
      <c r="AT3524" s="79"/>
      <c r="AU3524" s="79"/>
      <c r="AV3524" s="79"/>
      <c r="AW3524" s="79"/>
      <c r="AX3524" s="79"/>
      <c r="AZ3524" s="81"/>
      <c r="BB3524" s="5"/>
      <c r="BC3524" s="5"/>
      <c r="BD3524" s="5"/>
      <c r="BE3524" s="5"/>
      <c r="BF3524" s="5"/>
      <c r="BG3524" s="5"/>
      <c r="BH3524" s="5"/>
      <c r="BI3524" s="5"/>
      <c r="BJ3524" s="5"/>
      <c r="BK3524" s="5"/>
      <c r="BL3524" s="5"/>
      <c r="BM3524" s="5"/>
      <c r="BN3524" s="5"/>
      <c r="BO3524" s="5"/>
      <c r="BP3524" s="5"/>
    </row>
    <row r="3525" spans="35:68" x14ac:dyDescent="0.25">
      <c r="AI3525" s="49"/>
      <c r="AJ3525" s="78"/>
      <c r="AK3525" s="79"/>
      <c r="AL3525" s="79"/>
      <c r="AM3525" s="79"/>
      <c r="AN3525" s="79"/>
      <c r="AO3525" s="79"/>
      <c r="AP3525" s="79"/>
      <c r="AQ3525" s="79"/>
      <c r="AR3525" s="78"/>
      <c r="AS3525" s="78"/>
      <c r="AT3525" s="79"/>
      <c r="AU3525" s="79"/>
      <c r="AV3525" s="79"/>
      <c r="AW3525" s="79"/>
      <c r="AX3525" s="79"/>
      <c r="AZ3525" s="81"/>
      <c r="BB3525" s="5"/>
      <c r="BC3525" s="5"/>
      <c r="BD3525" s="5"/>
      <c r="BE3525" s="5"/>
      <c r="BF3525" s="5"/>
      <c r="BG3525" s="5"/>
      <c r="BH3525" s="5"/>
      <c r="BI3525" s="5"/>
      <c r="BJ3525" s="5"/>
      <c r="BK3525" s="5"/>
      <c r="BL3525" s="5"/>
      <c r="BM3525" s="5"/>
      <c r="BN3525" s="5"/>
      <c r="BO3525" s="5"/>
      <c r="BP3525" s="5"/>
    </row>
    <row r="3526" spans="35:68" x14ac:dyDescent="0.25">
      <c r="AI3526" s="49"/>
      <c r="AJ3526" s="78"/>
      <c r="AK3526" s="79"/>
      <c r="AL3526" s="79"/>
      <c r="AM3526" s="79"/>
      <c r="AN3526" s="79"/>
      <c r="AO3526" s="79"/>
      <c r="AP3526" s="79"/>
      <c r="AQ3526" s="79"/>
      <c r="AR3526" s="78"/>
      <c r="AS3526" s="78"/>
      <c r="AT3526" s="79"/>
      <c r="AU3526" s="79"/>
      <c r="AV3526" s="79"/>
      <c r="AW3526" s="79"/>
      <c r="AX3526" s="79"/>
      <c r="AZ3526" s="81"/>
      <c r="BB3526" s="5"/>
      <c r="BC3526" s="5"/>
      <c r="BD3526" s="5"/>
      <c r="BE3526" s="5"/>
      <c r="BF3526" s="5"/>
      <c r="BG3526" s="5"/>
      <c r="BH3526" s="5"/>
      <c r="BI3526" s="5"/>
      <c r="BJ3526" s="5"/>
      <c r="BK3526" s="5"/>
      <c r="BL3526" s="5"/>
      <c r="BM3526" s="5"/>
      <c r="BN3526" s="5"/>
      <c r="BO3526" s="5"/>
      <c r="BP3526" s="5"/>
    </row>
    <row r="3527" spans="35:68" x14ac:dyDescent="0.25">
      <c r="AI3527" s="49"/>
      <c r="AJ3527" s="78"/>
      <c r="AK3527" s="79"/>
      <c r="AL3527" s="79"/>
      <c r="AM3527" s="79"/>
      <c r="AN3527" s="79"/>
      <c r="AO3527" s="79"/>
      <c r="AP3527" s="79"/>
      <c r="AQ3527" s="79"/>
      <c r="AR3527" s="78"/>
      <c r="AS3527" s="78"/>
      <c r="AT3527" s="79"/>
      <c r="AU3527" s="79"/>
      <c r="AV3527" s="79"/>
      <c r="AW3527" s="79"/>
      <c r="AX3527" s="79"/>
      <c r="AZ3527" s="81"/>
      <c r="BB3527" s="5"/>
      <c r="BC3527" s="5"/>
      <c r="BD3527" s="5"/>
      <c r="BE3527" s="5"/>
      <c r="BF3527" s="5"/>
      <c r="BG3527" s="5"/>
      <c r="BH3527" s="5"/>
      <c r="BI3527" s="5"/>
      <c r="BJ3527" s="5"/>
      <c r="BK3527" s="5"/>
      <c r="BL3527" s="5"/>
      <c r="BM3527" s="5"/>
      <c r="BN3527" s="5"/>
      <c r="BO3527" s="5"/>
      <c r="BP3527" s="5"/>
    </row>
    <row r="3528" spans="35:68" x14ac:dyDescent="0.25">
      <c r="AI3528" s="49"/>
      <c r="AJ3528" s="78"/>
      <c r="AK3528" s="79"/>
      <c r="AL3528" s="79"/>
      <c r="AM3528" s="79"/>
      <c r="AN3528" s="79"/>
      <c r="AO3528" s="79"/>
      <c r="AP3528" s="79"/>
      <c r="AQ3528" s="79"/>
      <c r="AR3528" s="78"/>
      <c r="AS3528" s="78"/>
      <c r="AT3528" s="79"/>
      <c r="AU3528" s="79"/>
      <c r="AV3528" s="79"/>
      <c r="AW3528" s="79"/>
      <c r="AX3528" s="79"/>
      <c r="AZ3528" s="81"/>
      <c r="BB3528" s="5"/>
      <c r="BC3528" s="5"/>
      <c r="BD3528" s="5"/>
      <c r="BE3528" s="5"/>
      <c r="BF3528" s="5"/>
      <c r="BG3528" s="5"/>
      <c r="BH3528" s="5"/>
      <c r="BI3528" s="5"/>
      <c r="BJ3528" s="5"/>
      <c r="BK3528" s="5"/>
      <c r="BL3528" s="5"/>
      <c r="BM3528" s="5"/>
      <c r="BN3528" s="5"/>
      <c r="BO3528" s="5"/>
      <c r="BP3528" s="5"/>
    </row>
    <row r="3529" spans="35:68" x14ac:dyDescent="0.25">
      <c r="AI3529" s="49"/>
      <c r="AJ3529" s="78"/>
      <c r="AK3529" s="79"/>
      <c r="AL3529" s="79"/>
      <c r="AM3529" s="79"/>
      <c r="AN3529" s="79"/>
      <c r="AO3529" s="79"/>
      <c r="AP3529" s="79"/>
      <c r="AQ3529" s="79"/>
      <c r="AR3529" s="78"/>
      <c r="AS3529" s="78"/>
      <c r="AT3529" s="79"/>
      <c r="AU3529" s="79"/>
      <c r="AV3529" s="79"/>
      <c r="AW3529" s="79"/>
      <c r="AX3529" s="79"/>
      <c r="AZ3529" s="81"/>
      <c r="BB3529" s="5"/>
      <c r="BC3529" s="5"/>
      <c r="BD3529" s="5"/>
      <c r="BE3529" s="5"/>
      <c r="BF3529" s="5"/>
      <c r="BG3529" s="5"/>
      <c r="BH3529" s="5"/>
      <c r="BI3529" s="5"/>
      <c r="BJ3529" s="5"/>
      <c r="BK3529" s="5"/>
      <c r="BL3529" s="5"/>
      <c r="BM3529" s="5"/>
      <c r="BN3529" s="5"/>
      <c r="BO3529" s="5"/>
      <c r="BP3529" s="5"/>
    </row>
    <row r="3530" spans="35:68" x14ac:dyDescent="0.25">
      <c r="AI3530" s="49"/>
      <c r="AJ3530" s="78"/>
      <c r="AK3530" s="79"/>
      <c r="AL3530" s="79"/>
      <c r="AM3530" s="79"/>
      <c r="AN3530" s="79"/>
      <c r="AO3530" s="79"/>
      <c r="AP3530" s="79"/>
      <c r="AQ3530" s="79"/>
      <c r="AR3530" s="78"/>
      <c r="AS3530" s="78"/>
      <c r="AT3530" s="79"/>
      <c r="AU3530" s="79"/>
      <c r="AV3530" s="79"/>
      <c r="AW3530" s="79"/>
      <c r="AX3530" s="79"/>
      <c r="AZ3530" s="81"/>
      <c r="BB3530" s="5"/>
      <c r="BC3530" s="5"/>
      <c r="BD3530" s="5"/>
      <c r="BE3530" s="5"/>
      <c r="BF3530" s="5"/>
      <c r="BG3530" s="5"/>
      <c r="BH3530" s="5"/>
      <c r="BI3530" s="5"/>
      <c r="BJ3530" s="5"/>
      <c r="BK3530" s="5"/>
      <c r="BL3530" s="5"/>
      <c r="BM3530" s="5"/>
      <c r="BN3530" s="5"/>
      <c r="BO3530" s="5"/>
      <c r="BP3530" s="5"/>
    </row>
    <row r="3531" spans="35:68" x14ac:dyDescent="0.25">
      <c r="AI3531" s="49"/>
      <c r="AJ3531" s="78"/>
      <c r="AK3531" s="79"/>
      <c r="AL3531" s="79"/>
      <c r="AM3531" s="79"/>
      <c r="AN3531" s="79"/>
      <c r="AO3531" s="79"/>
      <c r="AP3531" s="79"/>
      <c r="AQ3531" s="79"/>
      <c r="AR3531" s="78"/>
      <c r="AS3531" s="78"/>
      <c r="AT3531" s="79"/>
      <c r="AU3531" s="79"/>
      <c r="AV3531" s="79"/>
      <c r="AW3531" s="79"/>
      <c r="AX3531" s="79"/>
      <c r="AZ3531" s="81"/>
      <c r="BB3531" s="5"/>
      <c r="BC3531" s="5"/>
      <c r="BD3531" s="5"/>
      <c r="BE3531" s="5"/>
      <c r="BF3531" s="5"/>
      <c r="BG3531" s="5"/>
      <c r="BH3531" s="5"/>
      <c r="BI3531" s="5"/>
      <c r="BJ3531" s="5"/>
      <c r="BK3531" s="5"/>
      <c r="BL3531" s="5"/>
      <c r="BM3531" s="5"/>
      <c r="BN3531" s="5"/>
      <c r="BO3531" s="5"/>
      <c r="BP3531" s="5"/>
    </row>
    <row r="3532" spans="35:68" x14ac:dyDescent="0.25">
      <c r="AI3532" s="49"/>
      <c r="AJ3532" s="78"/>
      <c r="AK3532" s="79"/>
      <c r="AL3532" s="79"/>
      <c r="AM3532" s="79"/>
      <c r="AN3532" s="79"/>
      <c r="AO3532" s="79"/>
      <c r="AP3532" s="79"/>
      <c r="AQ3532" s="79"/>
      <c r="AR3532" s="78"/>
      <c r="AS3532" s="78"/>
      <c r="AT3532" s="79"/>
      <c r="AU3532" s="79"/>
      <c r="AV3532" s="79"/>
      <c r="AW3532" s="79"/>
      <c r="AX3532" s="79"/>
      <c r="AZ3532" s="81"/>
      <c r="BB3532" s="5"/>
      <c r="BC3532" s="5"/>
      <c r="BD3532" s="5"/>
      <c r="BE3532" s="5"/>
      <c r="BF3532" s="5"/>
      <c r="BG3532" s="5"/>
      <c r="BH3532" s="5"/>
      <c r="BI3532" s="5"/>
      <c r="BJ3532" s="5"/>
      <c r="BK3532" s="5"/>
      <c r="BL3532" s="5"/>
      <c r="BM3532" s="5"/>
      <c r="BN3532" s="5"/>
      <c r="BO3532" s="5"/>
      <c r="BP3532" s="5"/>
    </row>
    <row r="3533" spans="35:68" x14ac:dyDescent="0.25">
      <c r="AI3533" s="49"/>
      <c r="AJ3533" s="78"/>
      <c r="AK3533" s="79"/>
      <c r="AL3533" s="79"/>
      <c r="AM3533" s="79"/>
      <c r="AN3533" s="79"/>
      <c r="AO3533" s="79"/>
      <c r="AP3533" s="79"/>
      <c r="AQ3533" s="79"/>
      <c r="AR3533" s="78"/>
      <c r="AS3533" s="78"/>
      <c r="AT3533" s="79"/>
      <c r="AU3533" s="79"/>
      <c r="AV3533" s="79"/>
      <c r="AW3533" s="79"/>
      <c r="AX3533" s="79"/>
      <c r="AZ3533" s="81"/>
      <c r="BB3533" s="5"/>
      <c r="BC3533" s="5"/>
      <c r="BD3533" s="5"/>
      <c r="BE3533" s="5"/>
      <c r="BF3533" s="5"/>
      <c r="BG3533" s="5"/>
      <c r="BH3533" s="5"/>
      <c r="BI3533" s="5"/>
      <c r="BJ3533" s="5"/>
      <c r="BK3533" s="5"/>
      <c r="BL3533" s="5"/>
      <c r="BM3533" s="5"/>
      <c r="BN3533" s="5"/>
      <c r="BO3533" s="5"/>
      <c r="BP3533" s="5"/>
    </row>
    <row r="3534" spans="35:68" x14ac:dyDescent="0.25">
      <c r="AI3534" s="49"/>
      <c r="AJ3534" s="78"/>
      <c r="AK3534" s="79"/>
      <c r="AL3534" s="79"/>
      <c r="AM3534" s="79"/>
      <c r="AN3534" s="79"/>
      <c r="AO3534" s="79"/>
      <c r="AP3534" s="79"/>
      <c r="AQ3534" s="79"/>
      <c r="AR3534" s="78"/>
      <c r="AS3534" s="78"/>
      <c r="AT3534" s="79"/>
      <c r="AU3534" s="79"/>
      <c r="AV3534" s="79"/>
      <c r="AW3534" s="79"/>
      <c r="AX3534" s="79"/>
      <c r="AZ3534" s="81"/>
      <c r="BB3534" s="5"/>
      <c r="BC3534" s="5"/>
      <c r="BD3534" s="5"/>
      <c r="BE3534" s="5"/>
      <c r="BF3534" s="5"/>
      <c r="BG3534" s="5"/>
      <c r="BH3534" s="5"/>
      <c r="BI3534" s="5"/>
      <c r="BJ3534" s="5"/>
      <c r="BK3534" s="5"/>
      <c r="BL3534" s="5"/>
      <c r="BM3534" s="5"/>
      <c r="BN3534" s="5"/>
      <c r="BO3534" s="5"/>
      <c r="BP3534" s="5"/>
    </row>
    <row r="3535" spans="35:68" x14ac:dyDescent="0.25">
      <c r="AI3535" s="49"/>
      <c r="AJ3535" s="78"/>
      <c r="AK3535" s="79"/>
      <c r="AL3535" s="79"/>
      <c r="AM3535" s="79"/>
      <c r="AN3535" s="79"/>
      <c r="AO3535" s="79"/>
      <c r="AP3535" s="79"/>
      <c r="AQ3535" s="79"/>
      <c r="AR3535" s="78"/>
      <c r="AS3535" s="78"/>
      <c r="AT3535" s="79"/>
      <c r="AU3535" s="79"/>
      <c r="AV3535" s="79"/>
      <c r="AW3535" s="79"/>
      <c r="AX3535" s="79"/>
      <c r="AZ3535" s="81"/>
      <c r="BB3535" s="5"/>
      <c r="BC3535" s="5"/>
      <c r="BD3535" s="5"/>
      <c r="BE3535" s="5"/>
      <c r="BF3535" s="5"/>
      <c r="BG3535" s="5"/>
      <c r="BH3535" s="5"/>
      <c r="BI3535" s="5"/>
      <c r="BJ3535" s="5"/>
      <c r="BK3535" s="5"/>
      <c r="BL3535" s="5"/>
      <c r="BM3535" s="5"/>
      <c r="BN3535" s="5"/>
      <c r="BO3535" s="5"/>
      <c r="BP3535" s="5"/>
    </row>
    <row r="3536" spans="35:68" x14ac:dyDescent="0.25">
      <c r="AI3536" s="49"/>
      <c r="AJ3536" s="78"/>
      <c r="AK3536" s="79"/>
      <c r="AL3536" s="79"/>
      <c r="AM3536" s="79"/>
      <c r="AN3536" s="79"/>
      <c r="AO3536" s="79"/>
      <c r="AP3536" s="79"/>
      <c r="AQ3536" s="79"/>
      <c r="AR3536" s="78"/>
      <c r="AS3536" s="78"/>
      <c r="AT3536" s="79"/>
      <c r="AU3536" s="79"/>
      <c r="AV3536" s="79"/>
      <c r="AW3536" s="79"/>
      <c r="AX3536" s="79"/>
      <c r="AZ3536" s="81"/>
      <c r="BB3536" s="5"/>
      <c r="BC3536" s="5"/>
      <c r="BD3536" s="5"/>
      <c r="BE3536" s="5"/>
      <c r="BF3536" s="5"/>
      <c r="BG3536" s="5"/>
      <c r="BH3536" s="5"/>
      <c r="BI3536" s="5"/>
      <c r="BJ3536" s="5"/>
      <c r="BK3536" s="5"/>
      <c r="BL3536" s="5"/>
      <c r="BM3536" s="5"/>
      <c r="BN3536" s="5"/>
      <c r="BO3536" s="5"/>
      <c r="BP3536" s="5"/>
    </row>
    <row r="3537" spans="35:68" x14ac:dyDescent="0.25">
      <c r="AI3537" s="49"/>
      <c r="AJ3537" s="78"/>
      <c r="AK3537" s="79"/>
      <c r="AL3537" s="79"/>
      <c r="AM3537" s="79"/>
      <c r="AN3537" s="79"/>
      <c r="AO3537" s="79"/>
      <c r="AP3537" s="79"/>
      <c r="AQ3537" s="79"/>
      <c r="AR3537" s="78"/>
      <c r="AS3537" s="78"/>
      <c r="AT3537" s="79"/>
      <c r="AU3537" s="79"/>
      <c r="AV3537" s="79"/>
      <c r="AW3537" s="79"/>
      <c r="AX3537" s="79"/>
      <c r="AZ3537" s="81"/>
      <c r="BB3537" s="5"/>
      <c r="BC3537" s="5"/>
      <c r="BD3537" s="5"/>
      <c r="BE3537" s="5"/>
      <c r="BF3537" s="5"/>
      <c r="BG3537" s="5"/>
      <c r="BH3537" s="5"/>
      <c r="BI3537" s="5"/>
      <c r="BJ3537" s="5"/>
      <c r="BK3537" s="5"/>
      <c r="BL3537" s="5"/>
      <c r="BM3537" s="5"/>
      <c r="BN3537" s="5"/>
      <c r="BO3537" s="5"/>
      <c r="BP3537" s="5"/>
    </row>
    <row r="3538" spans="35:68" x14ac:dyDescent="0.25">
      <c r="AI3538" s="49"/>
      <c r="AJ3538" s="78"/>
      <c r="AK3538" s="79"/>
      <c r="AL3538" s="79"/>
      <c r="AM3538" s="79"/>
      <c r="AN3538" s="79"/>
      <c r="AO3538" s="79"/>
      <c r="AP3538" s="79"/>
      <c r="AQ3538" s="79"/>
      <c r="AR3538" s="78"/>
      <c r="AS3538" s="78"/>
      <c r="AT3538" s="79"/>
      <c r="AU3538" s="79"/>
      <c r="AV3538" s="79"/>
      <c r="AW3538" s="79"/>
      <c r="AX3538" s="79"/>
      <c r="AZ3538" s="81"/>
      <c r="BB3538" s="5"/>
      <c r="BC3538" s="5"/>
      <c r="BD3538" s="5"/>
      <c r="BE3538" s="5"/>
      <c r="BF3538" s="5"/>
      <c r="BG3538" s="5"/>
      <c r="BH3538" s="5"/>
      <c r="BI3538" s="5"/>
      <c r="BJ3538" s="5"/>
      <c r="BK3538" s="5"/>
      <c r="BL3538" s="5"/>
      <c r="BM3538" s="5"/>
      <c r="BN3538" s="5"/>
      <c r="BO3538" s="5"/>
      <c r="BP3538" s="5"/>
    </row>
    <row r="3539" spans="35:68" x14ac:dyDescent="0.25">
      <c r="AI3539" s="49"/>
      <c r="AJ3539" s="78"/>
      <c r="AK3539" s="79"/>
      <c r="AL3539" s="79"/>
      <c r="AM3539" s="79"/>
      <c r="AN3539" s="79"/>
      <c r="AO3539" s="79"/>
      <c r="AP3539" s="79"/>
      <c r="AQ3539" s="79"/>
      <c r="AR3539" s="78"/>
      <c r="AS3539" s="78"/>
      <c r="AT3539" s="79"/>
      <c r="AU3539" s="79"/>
      <c r="AV3539" s="79"/>
      <c r="AW3539" s="79"/>
      <c r="AX3539" s="79"/>
      <c r="AZ3539" s="81"/>
      <c r="BB3539" s="5"/>
      <c r="BC3539" s="5"/>
      <c r="BD3539" s="5"/>
      <c r="BE3539" s="5"/>
      <c r="BF3539" s="5"/>
      <c r="BG3539" s="5"/>
      <c r="BH3539" s="5"/>
      <c r="BI3539" s="5"/>
      <c r="BJ3539" s="5"/>
      <c r="BK3539" s="5"/>
      <c r="BL3539" s="5"/>
      <c r="BM3539" s="5"/>
      <c r="BN3539" s="5"/>
      <c r="BO3539" s="5"/>
      <c r="BP3539" s="5"/>
    </row>
    <row r="3540" spans="35:68" x14ac:dyDescent="0.25">
      <c r="AI3540" s="49"/>
      <c r="AJ3540" s="78"/>
      <c r="AK3540" s="79"/>
      <c r="AL3540" s="79"/>
      <c r="AM3540" s="79"/>
      <c r="AN3540" s="79"/>
      <c r="AO3540" s="79"/>
      <c r="AP3540" s="79"/>
      <c r="AQ3540" s="79"/>
      <c r="AR3540" s="78"/>
      <c r="AS3540" s="78"/>
      <c r="AT3540" s="79"/>
      <c r="AU3540" s="79"/>
      <c r="AV3540" s="79"/>
      <c r="AW3540" s="79"/>
      <c r="AX3540" s="79"/>
      <c r="AZ3540" s="81"/>
      <c r="BB3540" s="5"/>
      <c r="BC3540" s="5"/>
      <c r="BD3540" s="5"/>
      <c r="BE3540" s="5"/>
      <c r="BF3540" s="5"/>
      <c r="BG3540" s="5"/>
      <c r="BH3540" s="5"/>
      <c r="BI3540" s="5"/>
      <c r="BJ3540" s="5"/>
      <c r="BK3540" s="5"/>
      <c r="BL3540" s="5"/>
      <c r="BM3540" s="5"/>
      <c r="BN3540" s="5"/>
      <c r="BO3540" s="5"/>
      <c r="BP3540" s="5"/>
    </row>
    <row r="3541" spans="35:68" x14ac:dyDescent="0.25">
      <c r="AI3541" s="49"/>
      <c r="AJ3541" s="78"/>
      <c r="AK3541" s="79"/>
      <c r="AL3541" s="79"/>
      <c r="AM3541" s="79"/>
      <c r="AN3541" s="79"/>
      <c r="AO3541" s="79"/>
      <c r="AP3541" s="79"/>
      <c r="AQ3541" s="79"/>
      <c r="AR3541" s="78"/>
      <c r="AS3541" s="78"/>
      <c r="AT3541" s="79"/>
      <c r="AU3541" s="79"/>
      <c r="AV3541" s="79"/>
      <c r="AW3541" s="79"/>
      <c r="AX3541" s="79"/>
      <c r="AZ3541" s="81"/>
      <c r="BB3541" s="5"/>
      <c r="BC3541" s="5"/>
      <c r="BD3541" s="5"/>
      <c r="BE3541" s="5"/>
      <c r="BF3541" s="5"/>
      <c r="BG3541" s="5"/>
      <c r="BH3541" s="5"/>
      <c r="BI3541" s="5"/>
      <c r="BJ3541" s="5"/>
      <c r="BK3541" s="5"/>
      <c r="BL3541" s="5"/>
      <c r="BM3541" s="5"/>
      <c r="BN3541" s="5"/>
      <c r="BO3541" s="5"/>
      <c r="BP3541" s="5"/>
    </row>
    <row r="3542" spans="35:68" x14ac:dyDescent="0.25">
      <c r="AI3542" s="49"/>
      <c r="AJ3542" s="78"/>
      <c r="AK3542" s="79"/>
      <c r="AL3542" s="79"/>
      <c r="AM3542" s="79"/>
      <c r="AN3542" s="79"/>
      <c r="AO3542" s="79"/>
      <c r="AP3542" s="79"/>
      <c r="AQ3542" s="79"/>
      <c r="AR3542" s="78"/>
      <c r="AS3542" s="78"/>
      <c r="AT3542" s="79"/>
      <c r="AU3542" s="79"/>
      <c r="AV3542" s="79"/>
      <c r="AW3542" s="79"/>
      <c r="AX3542" s="79"/>
      <c r="AZ3542" s="81"/>
      <c r="BB3542" s="5"/>
      <c r="BC3542" s="5"/>
      <c r="BD3542" s="5"/>
      <c r="BE3542" s="5"/>
      <c r="BF3542" s="5"/>
      <c r="BG3542" s="5"/>
      <c r="BH3542" s="5"/>
      <c r="BI3542" s="5"/>
      <c r="BJ3542" s="5"/>
      <c r="BK3542" s="5"/>
      <c r="BL3542" s="5"/>
      <c r="BM3542" s="5"/>
      <c r="BN3542" s="5"/>
      <c r="BO3542" s="5"/>
      <c r="BP3542" s="5"/>
    </row>
    <row r="3543" spans="35:68" x14ac:dyDescent="0.25">
      <c r="AI3543" s="49"/>
      <c r="AJ3543" s="78"/>
      <c r="AK3543" s="79"/>
      <c r="AL3543" s="79"/>
      <c r="AM3543" s="79"/>
      <c r="AN3543" s="79"/>
      <c r="AO3543" s="79"/>
      <c r="AP3543" s="79"/>
      <c r="AQ3543" s="79"/>
      <c r="AR3543" s="78"/>
      <c r="AS3543" s="78"/>
      <c r="AT3543" s="79"/>
      <c r="AU3543" s="79"/>
      <c r="AV3543" s="79"/>
      <c r="AW3543" s="79"/>
      <c r="AX3543" s="79"/>
      <c r="AZ3543" s="81"/>
      <c r="BB3543" s="5"/>
      <c r="BC3543" s="5"/>
      <c r="BD3543" s="5"/>
      <c r="BE3543" s="5"/>
      <c r="BF3543" s="5"/>
      <c r="BG3543" s="5"/>
      <c r="BH3543" s="5"/>
      <c r="BI3543" s="5"/>
      <c r="BJ3543" s="5"/>
      <c r="BK3543" s="5"/>
      <c r="BL3543" s="5"/>
      <c r="BM3543" s="5"/>
      <c r="BN3543" s="5"/>
      <c r="BO3543" s="5"/>
      <c r="BP3543" s="5"/>
    </row>
    <row r="3544" spans="35:68" x14ac:dyDescent="0.25">
      <c r="AI3544" s="49"/>
      <c r="AJ3544" s="78"/>
      <c r="AK3544" s="79"/>
      <c r="AL3544" s="79"/>
      <c r="AM3544" s="79"/>
      <c r="AN3544" s="79"/>
      <c r="AO3544" s="79"/>
      <c r="AP3544" s="79"/>
      <c r="AQ3544" s="79"/>
      <c r="AR3544" s="78"/>
      <c r="AS3544" s="78"/>
      <c r="AT3544" s="79"/>
      <c r="AU3544" s="79"/>
      <c r="AV3544" s="79"/>
      <c r="AW3544" s="79"/>
      <c r="AX3544" s="79"/>
      <c r="AZ3544" s="81"/>
      <c r="BB3544" s="5"/>
      <c r="BC3544" s="5"/>
      <c r="BD3544" s="5"/>
      <c r="BE3544" s="5"/>
      <c r="BF3544" s="5"/>
      <c r="BG3544" s="5"/>
      <c r="BH3544" s="5"/>
      <c r="BI3544" s="5"/>
      <c r="BJ3544" s="5"/>
      <c r="BK3544" s="5"/>
      <c r="BL3544" s="5"/>
      <c r="BM3544" s="5"/>
      <c r="BN3544" s="5"/>
      <c r="BO3544" s="5"/>
      <c r="BP3544" s="5"/>
    </row>
    <row r="3545" spans="35:68" x14ac:dyDescent="0.25">
      <c r="AI3545" s="49"/>
      <c r="AJ3545" s="78"/>
      <c r="AK3545" s="79"/>
      <c r="AL3545" s="79"/>
      <c r="AM3545" s="79"/>
      <c r="AN3545" s="79"/>
      <c r="AO3545" s="79"/>
      <c r="AP3545" s="79"/>
      <c r="AQ3545" s="79"/>
      <c r="AR3545" s="78"/>
      <c r="AS3545" s="78"/>
      <c r="AT3545" s="79"/>
      <c r="AU3545" s="79"/>
      <c r="AV3545" s="79"/>
      <c r="AW3545" s="79"/>
      <c r="AX3545" s="79"/>
      <c r="AZ3545" s="81"/>
      <c r="BB3545" s="5"/>
      <c r="BC3545" s="5"/>
      <c r="BD3545" s="5"/>
      <c r="BE3545" s="5"/>
      <c r="BF3545" s="5"/>
      <c r="BG3545" s="5"/>
      <c r="BH3545" s="5"/>
      <c r="BI3545" s="5"/>
      <c r="BJ3545" s="5"/>
      <c r="BK3545" s="5"/>
      <c r="BL3545" s="5"/>
      <c r="BM3545" s="5"/>
      <c r="BN3545" s="5"/>
      <c r="BO3545" s="5"/>
      <c r="BP3545" s="5"/>
    </row>
    <row r="3546" spans="35:68" x14ac:dyDescent="0.25">
      <c r="AI3546" s="49"/>
      <c r="AJ3546" s="78"/>
      <c r="AK3546" s="79"/>
      <c r="AL3546" s="79"/>
      <c r="AM3546" s="79"/>
      <c r="AN3546" s="79"/>
      <c r="AO3546" s="79"/>
      <c r="AP3546" s="79"/>
      <c r="AQ3546" s="79"/>
      <c r="AR3546" s="78"/>
      <c r="AS3546" s="78"/>
      <c r="AT3546" s="79"/>
      <c r="AU3546" s="79"/>
      <c r="AV3546" s="79"/>
      <c r="AW3546" s="79"/>
      <c r="AX3546" s="79"/>
      <c r="AZ3546" s="81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</row>
    <row r="3547" spans="35:68" x14ac:dyDescent="0.25">
      <c r="AI3547" s="49"/>
      <c r="AJ3547" s="78"/>
      <c r="AK3547" s="79"/>
      <c r="AL3547" s="79"/>
      <c r="AM3547" s="79"/>
      <c r="AN3547" s="79"/>
      <c r="AO3547" s="79"/>
      <c r="AP3547" s="79"/>
      <c r="AQ3547" s="79"/>
      <c r="AR3547" s="78"/>
      <c r="AS3547" s="78"/>
      <c r="AT3547" s="79"/>
      <c r="AU3547" s="79"/>
      <c r="AV3547" s="79"/>
      <c r="AW3547" s="79"/>
      <c r="AX3547" s="79"/>
      <c r="AZ3547" s="81"/>
      <c r="BB3547" s="5"/>
      <c r="BC3547" s="5"/>
      <c r="BD3547" s="5"/>
      <c r="BE3547" s="5"/>
      <c r="BF3547" s="5"/>
      <c r="BG3547" s="5"/>
      <c r="BH3547" s="5"/>
      <c r="BI3547" s="5"/>
      <c r="BJ3547" s="5"/>
      <c r="BK3547" s="5"/>
      <c r="BL3547" s="5"/>
      <c r="BM3547" s="5"/>
      <c r="BN3547" s="5"/>
      <c r="BO3547" s="5"/>
      <c r="BP3547" s="5"/>
    </row>
    <row r="3548" spans="35:68" x14ac:dyDescent="0.25">
      <c r="AI3548" s="49"/>
      <c r="AJ3548" s="78"/>
      <c r="AK3548" s="79"/>
      <c r="AL3548" s="79"/>
      <c r="AM3548" s="79"/>
      <c r="AN3548" s="79"/>
      <c r="AO3548" s="79"/>
      <c r="AP3548" s="79"/>
      <c r="AQ3548" s="79"/>
      <c r="AR3548" s="78"/>
      <c r="AS3548" s="78"/>
      <c r="AT3548" s="79"/>
      <c r="AU3548" s="79"/>
      <c r="AV3548" s="79"/>
      <c r="AW3548" s="79"/>
      <c r="AX3548" s="79"/>
      <c r="AZ3548" s="81"/>
      <c r="BB3548" s="5"/>
      <c r="BC3548" s="5"/>
      <c r="BD3548" s="5"/>
      <c r="BE3548" s="5"/>
      <c r="BF3548" s="5"/>
      <c r="BG3548" s="5"/>
      <c r="BH3548" s="5"/>
      <c r="BI3548" s="5"/>
      <c r="BJ3548" s="5"/>
      <c r="BK3548" s="5"/>
      <c r="BL3548" s="5"/>
      <c r="BM3548" s="5"/>
      <c r="BN3548" s="5"/>
      <c r="BO3548" s="5"/>
      <c r="BP3548" s="5"/>
    </row>
    <row r="3549" spans="35:68" x14ac:dyDescent="0.25">
      <c r="AI3549" s="49"/>
      <c r="AJ3549" s="78"/>
      <c r="AK3549" s="79"/>
      <c r="AL3549" s="79"/>
      <c r="AM3549" s="79"/>
      <c r="AN3549" s="79"/>
      <c r="AO3549" s="79"/>
      <c r="AP3549" s="79"/>
      <c r="AQ3549" s="79"/>
      <c r="AR3549" s="78"/>
      <c r="AS3549" s="78"/>
      <c r="AT3549" s="79"/>
      <c r="AU3549" s="79"/>
      <c r="AV3549" s="79"/>
      <c r="AW3549" s="79"/>
      <c r="AX3549" s="79"/>
      <c r="AZ3549" s="81"/>
      <c r="BB3549" s="5"/>
      <c r="BC3549" s="5"/>
      <c r="BD3549" s="5"/>
      <c r="BE3549" s="5"/>
      <c r="BF3549" s="5"/>
      <c r="BG3549" s="5"/>
      <c r="BH3549" s="5"/>
      <c r="BI3549" s="5"/>
      <c r="BJ3549" s="5"/>
      <c r="BK3549" s="5"/>
      <c r="BL3549" s="5"/>
      <c r="BM3549" s="5"/>
      <c r="BN3549" s="5"/>
      <c r="BO3549" s="5"/>
      <c r="BP3549" s="5"/>
    </row>
    <row r="3550" spans="35:68" x14ac:dyDescent="0.25">
      <c r="AI3550" s="49"/>
      <c r="AJ3550" s="78"/>
      <c r="AK3550" s="79"/>
      <c r="AL3550" s="79"/>
      <c r="AM3550" s="79"/>
      <c r="AN3550" s="79"/>
      <c r="AO3550" s="79"/>
      <c r="AP3550" s="79"/>
      <c r="AQ3550" s="79"/>
      <c r="AR3550" s="78"/>
      <c r="AS3550" s="78"/>
      <c r="AT3550" s="79"/>
      <c r="AU3550" s="79"/>
      <c r="AV3550" s="79"/>
      <c r="AW3550" s="79"/>
      <c r="AX3550" s="79"/>
      <c r="AZ3550" s="81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5"/>
      <c r="BP3550" s="5"/>
    </row>
    <row r="3551" spans="35:68" x14ac:dyDescent="0.25">
      <c r="AI3551" s="49"/>
      <c r="AJ3551" s="78"/>
      <c r="AK3551" s="79"/>
      <c r="AL3551" s="79"/>
      <c r="AM3551" s="79"/>
      <c r="AN3551" s="79"/>
      <c r="AO3551" s="79"/>
      <c r="AP3551" s="79"/>
      <c r="AQ3551" s="79"/>
      <c r="AR3551" s="78"/>
      <c r="AS3551" s="78"/>
      <c r="AT3551" s="79"/>
      <c r="AU3551" s="79"/>
      <c r="AV3551" s="79"/>
      <c r="AW3551" s="79"/>
      <c r="AX3551" s="79"/>
      <c r="AZ3551" s="81"/>
      <c r="BB3551" s="5"/>
      <c r="BC3551" s="5"/>
      <c r="BD3551" s="5"/>
      <c r="BE3551" s="5"/>
      <c r="BF3551" s="5"/>
      <c r="BG3551" s="5"/>
      <c r="BH3551" s="5"/>
      <c r="BI3551" s="5"/>
      <c r="BJ3551" s="5"/>
      <c r="BK3551" s="5"/>
      <c r="BL3551" s="5"/>
      <c r="BM3551" s="5"/>
      <c r="BN3551" s="5"/>
      <c r="BO3551" s="5"/>
      <c r="BP3551" s="5"/>
    </row>
    <row r="3552" spans="35:68" x14ac:dyDescent="0.25">
      <c r="AI3552" s="49"/>
      <c r="AJ3552" s="78"/>
      <c r="AK3552" s="79"/>
      <c r="AL3552" s="79"/>
      <c r="AM3552" s="79"/>
      <c r="AN3552" s="79"/>
      <c r="AO3552" s="79"/>
      <c r="AP3552" s="79"/>
      <c r="AQ3552" s="79"/>
      <c r="AR3552" s="78"/>
      <c r="AS3552" s="78"/>
      <c r="AT3552" s="79"/>
      <c r="AU3552" s="79"/>
      <c r="AV3552" s="79"/>
      <c r="AW3552" s="79"/>
      <c r="AX3552" s="79"/>
      <c r="AZ3552" s="81"/>
      <c r="BB3552" s="5"/>
      <c r="BC3552" s="5"/>
      <c r="BD3552" s="5"/>
      <c r="BE3552" s="5"/>
      <c r="BF3552" s="5"/>
      <c r="BG3552" s="5"/>
      <c r="BH3552" s="5"/>
      <c r="BI3552" s="5"/>
      <c r="BJ3552" s="5"/>
      <c r="BK3552" s="5"/>
      <c r="BL3552" s="5"/>
      <c r="BM3552" s="5"/>
      <c r="BN3552" s="5"/>
      <c r="BO3552" s="5"/>
      <c r="BP3552" s="5"/>
    </row>
    <row r="3553" spans="35:68" x14ac:dyDescent="0.25">
      <c r="AI3553" s="49"/>
      <c r="AJ3553" s="78"/>
      <c r="AK3553" s="79"/>
      <c r="AL3553" s="79"/>
      <c r="AM3553" s="79"/>
      <c r="AN3553" s="79"/>
      <c r="AO3553" s="79"/>
      <c r="AP3553" s="79"/>
      <c r="AQ3553" s="79"/>
      <c r="AR3553" s="78"/>
      <c r="AS3553" s="78"/>
      <c r="AT3553" s="79"/>
      <c r="AU3553" s="79"/>
      <c r="AV3553" s="79"/>
      <c r="AW3553" s="79"/>
      <c r="AX3553" s="79"/>
      <c r="AZ3553" s="81"/>
      <c r="BB3553" s="5"/>
      <c r="BC3553" s="5"/>
      <c r="BD3553" s="5"/>
      <c r="BE3553" s="5"/>
      <c r="BF3553" s="5"/>
      <c r="BG3553" s="5"/>
      <c r="BH3553" s="5"/>
      <c r="BI3553" s="5"/>
      <c r="BJ3553" s="5"/>
      <c r="BK3553" s="5"/>
      <c r="BL3553" s="5"/>
      <c r="BM3553" s="5"/>
      <c r="BN3553" s="5"/>
      <c r="BO3553" s="5"/>
      <c r="BP3553" s="5"/>
    </row>
    <row r="3554" spans="35:68" x14ac:dyDescent="0.25">
      <c r="AI3554" s="49"/>
      <c r="AJ3554" s="78"/>
      <c r="AK3554" s="79"/>
      <c r="AL3554" s="79"/>
      <c r="AM3554" s="79"/>
      <c r="AN3554" s="79"/>
      <c r="AO3554" s="79"/>
      <c r="AP3554" s="79"/>
      <c r="AQ3554" s="79"/>
      <c r="AR3554" s="78"/>
      <c r="AS3554" s="78"/>
      <c r="AT3554" s="79"/>
      <c r="AU3554" s="79"/>
      <c r="AV3554" s="79"/>
      <c r="AW3554" s="79"/>
      <c r="AX3554" s="79"/>
      <c r="AZ3554" s="81"/>
      <c r="BB3554" s="5"/>
      <c r="BC3554" s="5"/>
      <c r="BD3554" s="5"/>
      <c r="BE3554" s="5"/>
      <c r="BF3554" s="5"/>
      <c r="BG3554" s="5"/>
      <c r="BH3554" s="5"/>
      <c r="BI3554" s="5"/>
      <c r="BJ3554" s="5"/>
      <c r="BK3554" s="5"/>
      <c r="BL3554" s="5"/>
      <c r="BM3554" s="5"/>
      <c r="BN3554" s="5"/>
      <c r="BO3554" s="5"/>
      <c r="BP3554" s="5"/>
    </row>
    <row r="3555" spans="35:68" x14ac:dyDescent="0.25">
      <c r="AI3555" s="49"/>
      <c r="AJ3555" s="78"/>
      <c r="AK3555" s="79"/>
      <c r="AL3555" s="79"/>
      <c r="AM3555" s="79"/>
      <c r="AN3555" s="79"/>
      <c r="AO3555" s="79"/>
      <c r="AP3555" s="79"/>
      <c r="AQ3555" s="79"/>
      <c r="AR3555" s="78"/>
      <c r="AS3555" s="78"/>
      <c r="AT3555" s="79"/>
      <c r="AU3555" s="79"/>
      <c r="AV3555" s="79"/>
      <c r="AW3555" s="79"/>
      <c r="AX3555" s="79"/>
      <c r="AZ3555" s="81"/>
      <c r="BB3555" s="5"/>
      <c r="BC3555" s="5"/>
      <c r="BD3555" s="5"/>
      <c r="BE3555" s="5"/>
      <c r="BF3555" s="5"/>
      <c r="BG3555" s="5"/>
      <c r="BH3555" s="5"/>
      <c r="BI3555" s="5"/>
      <c r="BJ3555" s="5"/>
      <c r="BK3555" s="5"/>
      <c r="BL3555" s="5"/>
      <c r="BM3555" s="5"/>
      <c r="BN3555" s="5"/>
      <c r="BO3555" s="5"/>
      <c r="BP3555" s="5"/>
    </row>
    <row r="3556" spans="35:68" x14ac:dyDescent="0.25">
      <c r="AI3556" s="49"/>
      <c r="AJ3556" s="78"/>
      <c r="AK3556" s="79"/>
      <c r="AL3556" s="79"/>
      <c r="AM3556" s="79"/>
      <c r="AN3556" s="79"/>
      <c r="AO3556" s="79"/>
      <c r="AP3556" s="79"/>
      <c r="AQ3556" s="79"/>
      <c r="AR3556" s="78"/>
      <c r="AS3556" s="78"/>
      <c r="AT3556" s="79"/>
      <c r="AU3556" s="79"/>
      <c r="AV3556" s="79"/>
      <c r="AW3556" s="79"/>
      <c r="AX3556" s="79"/>
      <c r="AZ3556" s="81"/>
      <c r="BB3556" s="5"/>
      <c r="BC3556" s="5"/>
      <c r="BD3556" s="5"/>
      <c r="BE3556" s="5"/>
      <c r="BF3556" s="5"/>
      <c r="BG3556" s="5"/>
      <c r="BH3556" s="5"/>
      <c r="BI3556" s="5"/>
      <c r="BJ3556" s="5"/>
      <c r="BK3556" s="5"/>
      <c r="BL3556" s="5"/>
      <c r="BM3556" s="5"/>
      <c r="BN3556" s="5"/>
      <c r="BO3556" s="5"/>
      <c r="BP3556" s="5"/>
    </row>
    <row r="3557" spans="35:68" x14ac:dyDescent="0.25">
      <c r="AI3557" s="49"/>
      <c r="AJ3557" s="78"/>
      <c r="AK3557" s="79"/>
      <c r="AL3557" s="79"/>
      <c r="AM3557" s="79"/>
      <c r="AN3557" s="79"/>
      <c r="AO3557" s="79"/>
      <c r="AP3557" s="79"/>
      <c r="AQ3557" s="79"/>
      <c r="AR3557" s="78"/>
      <c r="AS3557" s="78"/>
      <c r="AT3557" s="79"/>
      <c r="AU3557" s="79"/>
      <c r="AV3557" s="79"/>
      <c r="AW3557" s="79"/>
      <c r="AX3557" s="79"/>
      <c r="AZ3557" s="81"/>
      <c r="BB3557" s="5"/>
      <c r="BC3557" s="5"/>
      <c r="BD3557" s="5"/>
      <c r="BE3557" s="5"/>
      <c r="BF3557" s="5"/>
      <c r="BG3557" s="5"/>
      <c r="BH3557" s="5"/>
      <c r="BI3557" s="5"/>
      <c r="BJ3557" s="5"/>
      <c r="BK3557" s="5"/>
      <c r="BL3557" s="5"/>
      <c r="BM3557" s="5"/>
      <c r="BN3557" s="5"/>
      <c r="BO3557" s="5"/>
      <c r="BP3557" s="5"/>
    </row>
    <row r="3558" spans="35:68" x14ac:dyDescent="0.25">
      <c r="AI3558" s="49"/>
      <c r="AJ3558" s="78"/>
      <c r="AK3558" s="79"/>
      <c r="AL3558" s="79"/>
      <c r="AM3558" s="79"/>
      <c r="AN3558" s="79"/>
      <c r="AO3558" s="79"/>
      <c r="AP3558" s="79"/>
      <c r="AQ3558" s="79"/>
      <c r="AR3558" s="78"/>
      <c r="AS3558" s="78"/>
      <c r="AT3558" s="79"/>
      <c r="AU3558" s="79"/>
      <c r="AV3558" s="79"/>
      <c r="AW3558" s="79"/>
      <c r="AX3558" s="79"/>
      <c r="AZ3558" s="81"/>
      <c r="BB3558" s="5"/>
      <c r="BC3558" s="5"/>
      <c r="BD3558" s="5"/>
      <c r="BE3558" s="5"/>
      <c r="BF3558" s="5"/>
      <c r="BG3558" s="5"/>
      <c r="BH3558" s="5"/>
      <c r="BI3558" s="5"/>
      <c r="BJ3558" s="5"/>
      <c r="BK3558" s="5"/>
      <c r="BL3558" s="5"/>
      <c r="BM3558" s="5"/>
      <c r="BN3558" s="5"/>
      <c r="BO3558" s="5"/>
      <c r="BP3558" s="5"/>
    </row>
    <row r="3559" spans="35:68" x14ac:dyDescent="0.25">
      <c r="AI3559" s="49"/>
      <c r="AJ3559" s="78"/>
      <c r="AK3559" s="79"/>
      <c r="AL3559" s="79"/>
      <c r="AM3559" s="79"/>
      <c r="AN3559" s="79"/>
      <c r="AO3559" s="79"/>
      <c r="AP3559" s="79"/>
      <c r="AQ3559" s="79"/>
      <c r="AR3559" s="78"/>
      <c r="AS3559" s="78"/>
      <c r="AT3559" s="79"/>
      <c r="AU3559" s="79"/>
      <c r="AV3559" s="79"/>
      <c r="AW3559" s="79"/>
      <c r="AX3559" s="79"/>
      <c r="AZ3559" s="81"/>
      <c r="BB3559" s="5"/>
      <c r="BC3559" s="5"/>
      <c r="BD3559" s="5"/>
      <c r="BE3559" s="5"/>
      <c r="BF3559" s="5"/>
      <c r="BG3559" s="5"/>
      <c r="BH3559" s="5"/>
      <c r="BI3559" s="5"/>
      <c r="BJ3559" s="5"/>
      <c r="BK3559" s="5"/>
      <c r="BL3559" s="5"/>
      <c r="BM3559" s="5"/>
      <c r="BN3559" s="5"/>
      <c r="BO3559" s="5"/>
      <c r="BP3559" s="5"/>
    </row>
    <row r="3560" spans="35:68" x14ac:dyDescent="0.25">
      <c r="AI3560" s="49"/>
      <c r="AJ3560" s="78"/>
      <c r="AK3560" s="79"/>
      <c r="AL3560" s="79"/>
      <c r="AM3560" s="79"/>
      <c r="AN3560" s="79"/>
      <c r="AO3560" s="79"/>
      <c r="AP3560" s="79"/>
      <c r="AQ3560" s="79"/>
      <c r="AR3560" s="78"/>
      <c r="AS3560" s="78"/>
      <c r="AT3560" s="79"/>
      <c r="AU3560" s="79"/>
      <c r="AV3560" s="79"/>
      <c r="AW3560" s="79"/>
      <c r="AX3560" s="79"/>
      <c r="AZ3560" s="81"/>
      <c r="BB3560" s="5"/>
      <c r="BC3560" s="5"/>
      <c r="BD3560" s="5"/>
      <c r="BE3560" s="5"/>
      <c r="BF3560" s="5"/>
      <c r="BG3560" s="5"/>
      <c r="BH3560" s="5"/>
      <c r="BI3560" s="5"/>
      <c r="BJ3560" s="5"/>
      <c r="BK3560" s="5"/>
      <c r="BL3560" s="5"/>
      <c r="BM3560" s="5"/>
      <c r="BN3560" s="5"/>
      <c r="BO3560" s="5"/>
      <c r="BP3560" s="5"/>
    </row>
    <row r="3561" spans="35:68" x14ac:dyDescent="0.25">
      <c r="AI3561" s="49"/>
      <c r="AJ3561" s="78"/>
      <c r="AK3561" s="79"/>
      <c r="AL3561" s="79"/>
      <c r="AM3561" s="79"/>
      <c r="AN3561" s="79"/>
      <c r="AO3561" s="79"/>
      <c r="AP3561" s="79"/>
      <c r="AQ3561" s="79"/>
      <c r="AR3561" s="78"/>
      <c r="AS3561" s="78"/>
      <c r="AT3561" s="79"/>
      <c r="AU3561" s="79"/>
      <c r="AV3561" s="79"/>
      <c r="AW3561" s="79"/>
      <c r="AX3561" s="79"/>
      <c r="AZ3561" s="81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</row>
    <row r="3562" spans="35:68" x14ac:dyDescent="0.25">
      <c r="AI3562" s="49"/>
      <c r="AJ3562" s="78"/>
      <c r="AK3562" s="79"/>
      <c r="AL3562" s="79"/>
      <c r="AM3562" s="79"/>
      <c r="AN3562" s="79"/>
      <c r="AO3562" s="79"/>
      <c r="AP3562" s="79"/>
      <c r="AQ3562" s="79"/>
      <c r="AR3562" s="78"/>
      <c r="AS3562" s="78"/>
      <c r="AT3562" s="79"/>
      <c r="AU3562" s="79"/>
      <c r="AV3562" s="79"/>
      <c r="AW3562" s="79"/>
      <c r="AX3562" s="79"/>
      <c r="AZ3562" s="81"/>
      <c r="BB3562" s="5"/>
      <c r="BC3562" s="5"/>
      <c r="BD3562" s="5"/>
      <c r="BE3562" s="5"/>
      <c r="BF3562" s="5"/>
      <c r="BG3562" s="5"/>
      <c r="BH3562" s="5"/>
      <c r="BI3562" s="5"/>
      <c r="BJ3562" s="5"/>
      <c r="BK3562" s="5"/>
      <c r="BL3562" s="5"/>
      <c r="BM3562" s="5"/>
      <c r="BN3562" s="5"/>
      <c r="BO3562" s="5"/>
      <c r="BP3562" s="5"/>
    </row>
    <row r="3563" spans="35:68" x14ac:dyDescent="0.25">
      <c r="AI3563" s="49"/>
      <c r="AJ3563" s="78"/>
      <c r="AK3563" s="79"/>
      <c r="AL3563" s="79"/>
      <c r="AM3563" s="79"/>
      <c r="AN3563" s="79"/>
      <c r="AO3563" s="79"/>
      <c r="AP3563" s="79"/>
      <c r="AQ3563" s="79"/>
      <c r="AR3563" s="78"/>
      <c r="AS3563" s="78"/>
      <c r="AT3563" s="79"/>
      <c r="AU3563" s="79"/>
      <c r="AV3563" s="79"/>
      <c r="AW3563" s="79"/>
      <c r="AX3563" s="79"/>
      <c r="AZ3563" s="81"/>
      <c r="BB3563" s="5"/>
      <c r="BC3563" s="5"/>
      <c r="BD3563" s="5"/>
      <c r="BE3563" s="5"/>
      <c r="BF3563" s="5"/>
      <c r="BG3563" s="5"/>
      <c r="BH3563" s="5"/>
      <c r="BI3563" s="5"/>
      <c r="BJ3563" s="5"/>
      <c r="BK3563" s="5"/>
      <c r="BL3563" s="5"/>
      <c r="BM3563" s="5"/>
      <c r="BN3563" s="5"/>
      <c r="BO3563" s="5"/>
      <c r="BP3563" s="5"/>
    </row>
    <row r="3564" spans="35:68" x14ac:dyDescent="0.25">
      <c r="AI3564" s="49"/>
      <c r="AJ3564" s="78"/>
      <c r="AK3564" s="79"/>
      <c r="AL3564" s="79"/>
      <c r="AM3564" s="79"/>
      <c r="AN3564" s="79"/>
      <c r="AO3564" s="79"/>
      <c r="AP3564" s="79"/>
      <c r="AQ3564" s="79"/>
      <c r="AR3564" s="78"/>
      <c r="AS3564" s="78"/>
      <c r="AT3564" s="79"/>
      <c r="AU3564" s="79"/>
      <c r="AV3564" s="79"/>
      <c r="AW3564" s="79"/>
      <c r="AX3564" s="79"/>
      <c r="AZ3564" s="81"/>
      <c r="BB3564" s="5"/>
      <c r="BC3564" s="5"/>
      <c r="BD3564" s="5"/>
      <c r="BE3564" s="5"/>
      <c r="BF3564" s="5"/>
      <c r="BG3564" s="5"/>
      <c r="BH3564" s="5"/>
      <c r="BI3564" s="5"/>
      <c r="BJ3564" s="5"/>
      <c r="BK3564" s="5"/>
      <c r="BL3564" s="5"/>
      <c r="BM3564" s="5"/>
      <c r="BN3564" s="5"/>
      <c r="BO3564" s="5"/>
      <c r="BP3564" s="5"/>
    </row>
    <row r="3565" spans="35:68" x14ac:dyDescent="0.25">
      <c r="AI3565" s="49"/>
      <c r="AJ3565" s="78"/>
      <c r="AK3565" s="79"/>
      <c r="AL3565" s="79"/>
      <c r="AM3565" s="79"/>
      <c r="AN3565" s="79"/>
      <c r="AO3565" s="79"/>
      <c r="AP3565" s="79"/>
      <c r="AQ3565" s="79"/>
      <c r="AR3565" s="78"/>
      <c r="AS3565" s="78"/>
      <c r="AT3565" s="79"/>
      <c r="AU3565" s="79"/>
      <c r="AV3565" s="79"/>
      <c r="AW3565" s="79"/>
      <c r="AX3565" s="79"/>
      <c r="AZ3565" s="81"/>
      <c r="BB3565" s="5"/>
      <c r="BC3565" s="5"/>
      <c r="BD3565" s="5"/>
      <c r="BE3565" s="5"/>
      <c r="BF3565" s="5"/>
      <c r="BG3565" s="5"/>
      <c r="BH3565" s="5"/>
      <c r="BI3565" s="5"/>
      <c r="BJ3565" s="5"/>
      <c r="BK3565" s="5"/>
      <c r="BL3565" s="5"/>
      <c r="BM3565" s="5"/>
      <c r="BN3565" s="5"/>
      <c r="BO3565" s="5"/>
      <c r="BP3565" s="5"/>
    </row>
    <row r="3566" spans="35:68" x14ac:dyDescent="0.25">
      <c r="AI3566" s="49"/>
      <c r="AJ3566" s="78"/>
      <c r="AK3566" s="79"/>
      <c r="AL3566" s="79"/>
      <c r="AM3566" s="79"/>
      <c r="AN3566" s="79"/>
      <c r="AO3566" s="79"/>
      <c r="AP3566" s="79"/>
      <c r="AQ3566" s="79"/>
      <c r="AR3566" s="78"/>
      <c r="AS3566" s="78"/>
      <c r="AT3566" s="79"/>
      <c r="AU3566" s="79"/>
      <c r="AV3566" s="79"/>
      <c r="AW3566" s="79"/>
      <c r="AX3566" s="79"/>
      <c r="AZ3566" s="81"/>
      <c r="BB3566" s="5"/>
      <c r="BC3566" s="5"/>
      <c r="BD3566" s="5"/>
      <c r="BE3566" s="5"/>
      <c r="BF3566" s="5"/>
      <c r="BG3566" s="5"/>
      <c r="BH3566" s="5"/>
      <c r="BI3566" s="5"/>
      <c r="BJ3566" s="5"/>
      <c r="BK3566" s="5"/>
      <c r="BL3566" s="5"/>
      <c r="BM3566" s="5"/>
      <c r="BN3566" s="5"/>
      <c r="BO3566" s="5"/>
      <c r="BP3566" s="5"/>
    </row>
    <row r="3567" spans="35:68" x14ac:dyDescent="0.25">
      <c r="AI3567" s="49"/>
      <c r="AJ3567" s="78"/>
      <c r="AK3567" s="79"/>
      <c r="AL3567" s="79"/>
      <c r="AM3567" s="79"/>
      <c r="AN3567" s="79"/>
      <c r="AO3567" s="79"/>
      <c r="AP3567" s="79"/>
      <c r="AQ3567" s="79"/>
      <c r="AR3567" s="78"/>
      <c r="AS3567" s="78"/>
      <c r="AT3567" s="79"/>
      <c r="AU3567" s="79"/>
      <c r="AV3567" s="79"/>
      <c r="AW3567" s="79"/>
      <c r="AX3567" s="79"/>
      <c r="AZ3567" s="81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/>
      <c r="BO3567" s="5"/>
      <c r="BP3567" s="5"/>
    </row>
    <row r="3568" spans="35:68" x14ac:dyDescent="0.25">
      <c r="AI3568" s="49"/>
      <c r="AJ3568" s="78"/>
      <c r="AK3568" s="79"/>
      <c r="AL3568" s="79"/>
      <c r="AM3568" s="79"/>
      <c r="AN3568" s="79"/>
      <c r="AO3568" s="79"/>
      <c r="AP3568" s="79"/>
      <c r="AQ3568" s="79"/>
      <c r="AR3568" s="78"/>
      <c r="AS3568" s="78"/>
      <c r="AT3568" s="79"/>
      <c r="AU3568" s="79"/>
      <c r="AV3568" s="79"/>
      <c r="AW3568" s="79"/>
      <c r="AX3568" s="79"/>
      <c r="AZ3568" s="81"/>
      <c r="BB3568" s="5"/>
      <c r="BC3568" s="5"/>
      <c r="BD3568" s="5"/>
      <c r="BE3568" s="5"/>
      <c r="BF3568" s="5"/>
      <c r="BG3568" s="5"/>
      <c r="BH3568" s="5"/>
      <c r="BI3568" s="5"/>
      <c r="BJ3568" s="5"/>
      <c r="BK3568" s="5"/>
      <c r="BL3568" s="5"/>
      <c r="BM3568" s="5"/>
      <c r="BN3568" s="5"/>
      <c r="BO3568" s="5"/>
      <c r="BP3568" s="5"/>
    </row>
    <row r="3569" spans="35:68" x14ac:dyDescent="0.25">
      <c r="AI3569" s="49"/>
      <c r="AJ3569" s="78"/>
      <c r="AK3569" s="79"/>
      <c r="AL3569" s="79"/>
      <c r="AM3569" s="79"/>
      <c r="AN3569" s="79"/>
      <c r="AO3569" s="79"/>
      <c r="AP3569" s="79"/>
      <c r="AQ3569" s="79"/>
      <c r="AR3569" s="78"/>
      <c r="AS3569" s="78"/>
      <c r="AT3569" s="79"/>
      <c r="AU3569" s="79"/>
      <c r="AV3569" s="79"/>
      <c r="AW3569" s="79"/>
      <c r="AX3569" s="79"/>
      <c r="AZ3569" s="81"/>
      <c r="BB3569" s="5"/>
      <c r="BC3569" s="5"/>
      <c r="BD3569" s="5"/>
      <c r="BE3569" s="5"/>
      <c r="BF3569" s="5"/>
      <c r="BG3569" s="5"/>
      <c r="BH3569" s="5"/>
      <c r="BI3569" s="5"/>
      <c r="BJ3569" s="5"/>
      <c r="BK3569" s="5"/>
      <c r="BL3569" s="5"/>
      <c r="BM3569" s="5"/>
      <c r="BN3569" s="5"/>
      <c r="BO3569" s="5"/>
      <c r="BP3569" s="5"/>
    </row>
    <row r="3570" spans="35:68" x14ac:dyDescent="0.25">
      <c r="AI3570" s="49"/>
      <c r="AJ3570" s="78"/>
      <c r="AK3570" s="79"/>
      <c r="AL3570" s="79"/>
      <c r="AM3570" s="79"/>
      <c r="AN3570" s="79"/>
      <c r="AO3570" s="79"/>
      <c r="AP3570" s="79"/>
      <c r="AQ3570" s="79"/>
      <c r="AR3570" s="78"/>
      <c r="AS3570" s="78"/>
      <c r="AT3570" s="79"/>
      <c r="AU3570" s="79"/>
      <c r="AV3570" s="79"/>
      <c r="AW3570" s="79"/>
      <c r="AX3570" s="79"/>
      <c r="AZ3570" s="81"/>
      <c r="BB3570" s="5"/>
      <c r="BC3570" s="5"/>
      <c r="BD3570" s="5"/>
      <c r="BE3570" s="5"/>
      <c r="BF3570" s="5"/>
      <c r="BG3570" s="5"/>
      <c r="BH3570" s="5"/>
      <c r="BI3570" s="5"/>
      <c r="BJ3570" s="5"/>
      <c r="BK3570" s="5"/>
      <c r="BL3570" s="5"/>
      <c r="BM3570" s="5"/>
      <c r="BN3570" s="5"/>
      <c r="BO3570" s="5"/>
      <c r="BP3570" s="5"/>
    </row>
    <row r="3571" spans="35:68" x14ac:dyDescent="0.25">
      <c r="AI3571" s="49"/>
      <c r="AJ3571" s="78"/>
      <c r="AK3571" s="79"/>
      <c r="AL3571" s="79"/>
      <c r="AM3571" s="79"/>
      <c r="AN3571" s="79"/>
      <c r="AO3571" s="79"/>
      <c r="AP3571" s="79"/>
      <c r="AQ3571" s="79"/>
      <c r="AR3571" s="78"/>
      <c r="AS3571" s="78"/>
      <c r="AT3571" s="79"/>
      <c r="AU3571" s="79"/>
      <c r="AV3571" s="79"/>
      <c r="AW3571" s="79"/>
      <c r="AX3571" s="79"/>
      <c r="AZ3571" s="81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</row>
    <row r="3572" spans="35:68" x14ac:dyDescent="0.25">
      <c r="AI3572" s="49"/>
      <c r="AJ3572" s="78"/>
      <c r="AK3572" s="79"/>
      <c r="AL3572" s="79"/>
      <c r="AM3572" s="79"/>
      <c r="AN3572" s="79"/>
      <c r="AO3572" s="79"/>
      <c r="AP3572" s="79"/>
      <c r="AQ3572" s="79"/>
      <c r="AR3572" s="78"/>
      <c r="AS3572" s="78"/>
      <c r="AT3572" s="79"/>
      <c r="AU3572" s="79"/>
      <c r="AV3572" s="79"/>
      <c r="AW3572" s="79"/>
      <c r="AX3572" s="79"/>
      <c r="AZ3572" s="81"/>
      <c r="BB3572" s="5"/>
      <c r="BC3572" s="5"/>
      <c r="BD3572" s="5"/>
      <c r="BE3572" s="5"/>
      <c r="BF3572" s="5"/>
      <c r="BG3572" s="5"/>
      <c r="BH3572" s="5"/>
      <c r="BI3572" s="5"/>
      <c r="BJ3572" s="5"/>
      <c r="BK3572" s="5"/>
      <c r="BL3572" s="5"/>
      <c r="BM3572" s="5"/>
      <c r="BN3572" s="5"/>
      <c r="BO3572" s="5"/>
      <c r="BP3572" s="5"/>
    </row>
    <row r="3573" spans="35:68" x14ac:dyDescent="0.25">
      <c r="AI3573" s="49"/>
      <c r="AJ3573" s="78"/>
      <c r="AK3573" s="79"/>
      <c r="AL3573" s="79"/>
      <c r="AM3573" s="79"/>
      <c r="AN3573" s="79"/>
      <c r="AO3573" s="79"/>
      <c r="AP3573" s="79"/>
      <c r="AQ3573" s="79"/>
      <c r="AR3573" s="78"/>
      <c r="AS3573" s="78"/>
      <c r="AT3573" s="79"/>
      <c r="AU3573" s="79"/>
      <c r="AV3573" s="79"/>
      <c r="AW3573" s="79"/>
      <c r="AX3573" s="79"/>
      <c r="AZ3573" s="81"/>
      <c r="BB3573" s="5"/>
      <c r="BC3573" s="5"/>
      <c r="BD3573" s="5"/>
      <c r="BE3573" s="5"/>
      <c r="BF3573" s="5"/>
      <c r="BG3573" s="5"/>
      <c r="BH3573" s="5"/>
      <c r="BI3573" s="5"/>
      <c r="BJ3573" s="5"/>
      <c r="BK3573" s="5"/>
      <c r="BL3573" s="5"/>
      <c r="BM3573" s="5"/>
      <c r="BN3573" s="5"/>
      <c r="BO3573" s="5"/>
      <c r="BP3573" s="5"/>
    </row>
    <row r="3574" spans="35:68" x14ac:dyDescent="0.25">
      <c r="AI3574" s="49"/>
      <c r="AJ3574" s="78"/>
      <c r="AK3574" s="79"/>
      <c r="AL3574" s="79"/>
      <c r="AM3574" s="79"/>
      <c r="AN3574" s="79"/>
      <c r="AO3574" s="79"/>
      <c r="AP3574" s="79"/>
      <c r="AQ3574" s="79"/>
      <c r="AR3574" s="78"/>
      <c r="AS3574" s="78"/>
      <c r="AT3574" s="79"/>
      <c r="AU3574" s="79"/>
      <c r="AV3574" s="79"/>
      <c r="AW3574" s="79"/>
      <c r="AX3574" s="79"/>
      <c r="AZ3574" s="81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5"/>
      <c r="BP3574" s="5"/>
    </row>
    <row r="3575" spans="35:68" x14ac:dyDescent="0.25">
      <c r="AI3575" s="49"/>
      <c r="AJ3575" s="78"/>
      <c r="AK3575" s="79"/>
      <c r="AL3575" s="79"/>
      <c r="AM3575" s="79"/>
      <c r="AN3575" s="79"/>
      <c r="AO3575" s="79"/>
      <c r="AP3575" s="79"/>
      <c r="AQ3575" s="79"/>
      <c r="AR3575" s="78"/>
      <c r="AS3575" s="78"/>
      <c r="AT3575" s="79"/>
      <c r="AU3575" s="79"/>
      <c r="AV3575" s="79"/>
      <c r="AW3575" s="79"/>
      <c r="AX3575" s="79"/>
      <c r="AZ3575" s="81"/>
      <c r="BB3575" s="5"/>
      <c r="BC3575" s="5"/>
      <c r="BD3575" s="5"/>
      <c r="BE3575" s="5"/>
      <c r="BF3575" s="5"/>
      <c r="BG3575" s="5"/>
      <c r="BH3575" s="5"/>
      <c r="BI3575" s="5"/>
      <c r="BJ3575" s="5"/>
      <c r="BK3575" s="5"/>
      <c r="BL3575" s="5"/>
      <c r="BM3575" s="5"/>
      <c r="BN3575" s="5"/>
      <c r="BO3575" s="5"/>
      <c r="BP3575" s="5"/>
    </row>
    <row r="3576" spans="35:68" x14ac:dyDescent="0.25">
      <c r="AI3576" s="49"/>
      <c r="AJ3576" s="78"/>
      <c r="AK3576" s="79"/>
      <c r="AL3576" s="79"/>
      <c r="AM3576" s="79"/>
      <c r="AN3576" s="79"/>
      <c r="AO3576" s="79"/>
      <c r="AP3576" s="79"/>
      <c r="AQ3576" s="79"/>
      <c r="AR3576" s="78"/>
      <c r="AS3576" s="78"/>
      <c r="AT3576" s="79"/>
      <c r="AU3576" s="79"/>
      <c r="AV3576" s="79"/>
      <c r="AW3576" s="79"/>
      <c r="AX3576" s="79"/>
      <c r="AZ3576" s="81"/>
      <c r="BB3576" s="5"/>
      <c r="BC3576" s="5"/>
      <c r="BD3576" s="5"/>
      <c r="BE3576" s="5"/>
      <c r="BF3576" s="5"/>
      <c r="BG3576" s="5"/>
      <c r="BH3576" s="5"/>
      <c r="BI3576" s="5"/>
      <c r="BJ3576" s="5"/>
      <c r="BK3576" s="5"/>
      <c r="BL3576" s="5"/>
      <c r="BM3576" s="5"/>
      <c r="BN3576" s="5"/>
      <c r="BO3576" s="5"/>
      <c r="BP3576" s="5"/>
    </row>
    <row r="3577" spans="35:68" x14ac:dyDescent="0.25">
      <c r="AI3577" s="49"/>
      <c r="AJ3577" s="78"/>
      <c r="AK3577" s="79"/>
      <c r="AL3577" s="79"/>
      <c r="AM3577" s="79"/>
      <c r="AN3577" s="79"/>
      <c r="AO3577" s="79"/>
      <c r="AP3577" s="79"/>
      <c r="AQ3577" s="79"/>
      <c r="AR3577" s="78"/>
      <c r="AS3577" s="78"/>
      <c r="AT3577" s="79"/>
      <c r="AU3577" s="79"/>
      <c r="AV3577" s="79"/>
      <c r="AW3577" s="79"/>
      <c r="AX3577" s="79"/>
      <c r="AZ3577" s="81"/>
      <c r="BB3577" s="5"/>
      <c r="BC3577" s="5"/>
      <c r="BD3577" s="5"/>
      <c r="BE3577" s="5"/>
      <c r="BF3577" s="5"/>
      <c r="BG3577" s="5"/>
      <c r="BH3577" s="5"/>
      <c r="BI3577" s="5"/>
      <c r="BJ3577" s="5"/>
      <c r="BK3577" s="5"/>
      <c r="BL3577" s="5"/>
      <c r="BM3577" s="5"/>
      <c r="BN3577" s="5"/>
      <c r="BO3577" s="5"/>
      <c r="BP3577" s="5"/>
    </row>
    <row r="3578" spans="35:68" x14ac:dyDescent="0.25">
      <c r="AI3578" s="49"/>
      <c r="AJ3578" s="78"/>
      <c r="AK3578" s="79"/>
      <c r="AL3578" s="79"/>
      <c r="AM3578" s="79"/>
      <c r="AN3578" s="79"/>
      <c r="AO3578" s="79"/>
      <c r="AP3578" s="79"/>
      <c r="AQ3578" s="79"/>
      <c r="AR3578" s="78"/>
      <c r="AS3578" s="78"/>
      <c r="AT3578" s="79"/>
      <c r="AU3578" s="79"/>
      <c r="AV3578" s="79"/>
      <c r="AW3578" s="79"/>
      <c r="AX3578" s="79"/>
      <c r="AZ3578" s="81"/>
      <c r="BB3578" s="5"/>
      <c r="BC3578" s="5"/>
      <c r="BD3578" s="5"/>
      <c r="BE3578" s="5"/>
      <c r="BF3578" s="5"/>
      <c r="BG3578" s="5"/>
      <c r="BH3578" s="5"/>
      <c r="BI3578" s="5"/>
      <c r="BJ3578" s="5"/>
      <c r="BK3578" s="5"/>
      <c r="BL3578" s="5"/>
      <c r="BM3578" s="5"/>
      <c r="BN3578" s="5"/>
      <c r="BO3578" s="5"/>
      <c r="BP3578" s="5"/>
    </row>
    <row r="3579" spans="35:68" x14ac:dyDescent="0.25">
      <c r="AI3579" s="49"/>
      <c r="AJ3579" s="78"/>
      <c r="AK3579" s="79"/>
      <c r="AL3579" s="79"/>
      <c r="AM3579" s="79"/>
      <c r="AN3579" s="79"/>
      <c r="AO3579" s="79"/>
      <c r="AP3579" s="79"/>
      <c r="AQ3579" s="79"/>
      <c r="AR3579" s="78"/>
      <c r="AS3579" s="78"/>
      <c r="AT3579" s="79"/>
      <c r="AU3579" s="79"/>
      <c r="AV3579" s="79"/>
      <c r="AW3579" s="79"/>
      <c r="AX3579" s="79"/>
      <c r="AZ3579" s="81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</row>
    <row r="3580" spans="35:68" x14ac:dyDescent="0.25">
      <c r="AI3580" s="49"/>
      <c r="AJ3580" s="78"/>
      <c r="AK3580" s="79"/>
      <c r="AL3580" s="79"/>
      <c r="AM3580" s="79"/>
      <c r="AN3580" s="79"/>
      <c r="AO3580" s="79"/>
      <c r="AP3580" s="79"/>
      <c r="AQ3580" s="79"/>
      <c r="AR3580" s="78"/>
      <c r="AS3580" s="78"/>
      <c r="AT3580" s="79"/>
      <c r="AU3580" s="79"/>
      <c r="AV3580" s="79"/>
      <c r="AW3580" s="79"/>
      <c r="AX3580" s="79"/>
      <c r="AZ3580" s="81"/>
      <c r="BB3580" s="5"/>
      <c r="BC3580" s="5"/>
      <c r="BD3580" s="5"/>
      <c r="BE3580" s="5"/>
      <c r="BF3580" s="5"/>
      <c r="BG3580" s="5"/>
      <c r="BH3580" s="5"/>
      <c r="BI3580" s="5"/>
      <c r="BJ3580" s="5"/>
      <c r="BK3580" s="5"/>
      <c r="BL3580" s="5"/>
      <c r="BM3580" s="5"/>
      <c r="BN3580" s="5"/>
      <c r="BO3580" s="5"/>
      <c r="BP3580" s="5"/>
    </row>
    <row r="3581" spans="35:68" x14ac:dyDescent="0.25">
      <c r="AI3581" s="49"/>
      <c r="AJ3581" s="78"/>
      <c r="AK3581" s="79"/>
      <c r="AL3581" s="79"/>
      <c r="AM3581" s="79"/>
      <c r="AN3581" s="79"/>
      <c r="AO3581" s="79"/>
      <c r="AP3581" s="79"/>
      <c r="AQ3581" s="79"/>
      <c r="AR3581" s="78"/>
      <c r="AS3581" s="78"/>
      <c r="AT3581" s="79"/>
      <c r="AU3581" s="79"/>
      <c r="AV3581" s="79"/>
      <c r="AW3581" s="79"/>
      <c r="AX3581" s="79"/>
      <c r="AZ3581" s="81"/>
      <c r="BB3581" s="5"/>
      <c r="BC3581" s="5"/>
      <c r="BD3581" s="5"/>
      <c r="BE3581" s="5"/>
      <c r="BF3581" s="5"/>
      <c r="BG3581" s="5"/>
      <c r="BH3581" s="5"/>
      <c r="BI3581" s="5"/>
      <c r="BJ3581" s="5"/>
      <c r="BK3581" s="5"/>
      <c r="BL3581" s="5"/>
      <c r="BM3581" s="5"/>
      <c r="BN3581" s="5"/>
      <c r="BO3581" s="5"/>
      <c r="BP3581" s="5"/>
    </row>
    <row r="3582" spans="35:68" x14ac:dyDescent="0.25">
      <c r="AI3582" s="49"/>
      <c r="AJ3582" s="78"/>
      <c r="AK3582" s="79"/>
      <c r="AL3582" s="79"/>
      <c r="AM3582" s="79"/>
      <c r="AN3582" s="79"/>
      <c r="AO3582" s="79"/>
      <c r="AP3582" s="79"/>
      <c r="AQ3582" s="79"/>
      <c r="AR3582" s="78"/>
      <c r="AS3582" s="78"/>
      <c r="AT3582" s="79"/>
      <c r="AU3582" s="79"/>
      <c r="AV3582" s="79"/>
      <c r="AW3582" s="79"/>
      <c r="AX3582" s="79"/>
      <c r="AZ3582" s="81"/>
      <c r="BB3582" s="5"/>
      <c r="BC3582" s="5"/>
      <c r="BD3582" s="5"/>
      <c r="BE3582" s="5"/>
      <c r="BF3582" s="5"/>
      <c r="BG3582" s="5"/>
      <c r="BH3582" s="5"/>
      <c r="BI3582" s="5"/>
      <c r="BJ3582" s="5"/>
      <c r="BK3582" s="5"/>
      <c r="BL3582" s="5"/>
      <c r="BM3582" s="5"/>
      <c r="BN3582" s="5"/>
      <c r="BO3582" s="5"/>
      <c r="BP3582" s="5"/>
    </row>
    <row r="3583" spans="35:68" x14ac:dyDescent="0.25">
      <c r="AI3583" s="49"/>
      <c r="AJ3583" s="78"/>
      <c r="AK3583" s="79"/>
      <c r="AL3583" s="79"/>
      <c r="AM3583" s="79"/>
      <c r="AN3583" s="79"/>
      <c r="AO3583" s="79"/>
      <c r="AP3583" s="79"/>
      <c r="AQ3583" s="79"/>
      <c r="AR3583" s="78"/>
      <c r="AS3583" s="78"/>
      <c r="AT3583" s="79"/>
      <c r="AU3583" s="79"/>
      <c r="AV3583" s="79"/>
      <c r="AW3583" s="79"/>
      <c r="AX3583" s="79"/>
      <c r="AZ3583" s="81"/>
      <c r="BB3583" s="5"/>
      <c r="BC3583" s="5"/>
      <c r="BD3583" s="5"/>
      <c r="BE3583" s="5"/>
      <c r="BF3583" s="5"/>
      <c r="BG3583" s="5"/>
      <c r="BH3583" s="5"/>
      <c r="BI3583" s="5"/>
      <c r="BJ3583" s="5"/>
      <c r="BK3583" s="5"/>
      <c r="BL3583" s="5"/>
      <c r="BM3583" s="5"/>
      <c r="BN3583" s="5"/>
      <c r="BO3583" s="5"/>
      <c r="BP3583" s="5"/>
    </row>
    <row r="3584" spans="35:68" x14ac:dyDescent="0.25">
      <c r="AI3584" s="49"/>
      <c r="AJ3584" s="78"/>
      <c r="AK3584" s="79"/>
      <c r="AL3584" s="79"/>
      <c r="AM3584" s="79"/>
      <c r="AN3584" s="79"/>
      <c r="AO3584" s="79"/>
      <c r="AP3584" s="79"/>
      <c r="AQ3584" s="79"/>
      <c r="AR3584" s="78"/>
      <c r="AS3584" s="78"/>
      <c r="AT3584" s="79"/>
      <c r="AU3584" s="79"/>
      <c r="AV3584" s="79"/>
      <c r="AW3584" s="79"/>
      <c r="AX3584" s="79"/>
      <c r="AZ3584" s="81"/>
      <c r="BB3584" s="5"/>
      <c r="BC3584" s="5"/>
      <c r="BD3584" s="5"/>
      <c r="BE3584" s="5"/>
      <c r="BF3584" s="5"/>
      <c r="BG3584" s="5"/>
      <c r="BH3584" s="5"/>
      <c r="BI3584" s="5"/>
      <c r="BJ3584" s="5"/>
      <c r="BK3584" s="5"/>
      <c r="BL3584" s="5"/>
      <c r="BM3584" s="5"/>
      <c r="BN3584" s="5"/>
      <c r="BO3584" s="5"/>
      <c r="BP3584" s="5"/>
    </row>
    <row r="3585" spans="35:68" x14ac:dyDescent="0.25">
      <c r="AI3585" s="49"/>
      <c r="AJ3585" s="78"/>
      <c r="AK3585" s="79"/>
      <c r="AL3585" s="79"/>
      <c r="AM3585" s="79"/>
      <c r="AN3585" s="79"/>
      <c r="AO3585" s="79"/>
      <c r="AP3585" s="79"/>
      <c r="AQ3585" s="79"/>
      <c r="AR3585" s="78"/>
      <c r="AS3585" s="78"/>
      <c r="AT3585" s="79"/>
      <c r="AU3585" s="79"/>
      <c r="AV3585" s="79"/>
      <c r="AW3585" s="79"/>
      <c r="AX3585" s="79"/>
      <c r="AZ3585" s="81"/>
      <c r="BB3585" s="5"/>
      <c r="BC3585" s="5"/>
      <c r="BD3585" s="5"/>
      <c r="BE3585" s="5"/>
      <c r="BF3585" s="5"/>
      <c r="BG3585" s="5"/>
      <c r="BH3585" s="5"/>
      <c r="BI3585" s="5"/>
      <c r="BJ3585" s="5"/>
      <c r="BK3585" s="5"/>
      <c r="BL3585" s="5"/>
      <c r="BM3585" s="5"/>
      <c r="BN3585" s="5"/>
      <c r="BO3585" s="5"/>
      <c r="BP3585" s="5"/>
    </row>
    <row r="3586" spans="35:68" x14ac:dyDescent="0.25">
      <c r="AI3586" s="49"/>
      <c r="AJ3586" s="78"/>
      <c r="AK3586" s="79"/>
      <c r="AL3586" s="79"/>
      <c r="AM3586" s="79"/>
      <c r="AN3586" s="79"/>
      <c r="AO3586" s="79"/>
      <c r="AP3586" s="79"/>
      <c r="AQ3586" s="79"/>
      <c r="AR3586" s="78"/>
      <c r="AS3586" s="78"/>
      <c r="AT3586" s="79"/>
      <c r="AU3586" s="79"/>
      <c r="AV3586" s="79"/>
      <c r="AW3586" s="79"/>
      <c r="AX3586" s="79"/>
      <c r="AZ3586" s="81"/>
      <c r="BB3586" s="5"/>
      <c r="BC3586" s="5"/>
      <c r="BD3586" s="5"/>
      <c r="BE3586" s="5"/>
      <c r="BF3586" s="5"/>
      <c r="BG3586" s="5"/>
      <c r="BH3586" s="5"/>
      <c r="BI3586" s="5"/>
      <c r="BJ3586" s="5"/>
      <c r="BK3586" s="5"/>
      <c r="BL3586" s="5"/>
      <c r="BM3586" s="5"/>
      <c r="BN3586" s="5"/>
      <c r="BO3586" s="5"/>
      <c r="BP3586" s="5"/>
    </row>
    <row r="3587" spans="35:68" x14ac:dyDescent="0.25">
      <c r="AI3587" s="49"/>
      <c r="AJ3587" s="78"/>
      <c r="AK3587" s="79"/>
      <c r="AL3587" s="79"/>
      <c r="AM3587" s="79"/>
      <c r="AN3587" s="79"/>
      <c r="AO3587" s="79"/>
      <c r="AP3587" s="79"/>
      <c r="AQ3587" s="79"/>
      <c r="AR3587" s="78"/>
      <c r="AS3587" s="78"/>
      <c r="AT3587" s="79"/>
      <c r="AU3587" s="79"/>
      <c r="AV3587" s="79"/>
      <c r="AW3587" s="79"/>
      <c r="AX3587" s="79"/>
      <c r="AZ3587" s="81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</row>
    <row r="3588" spans="35:68" x14ac:dyDescent="0.25">
      <c r="AI3588" s="49"/>
      <c r="AJ3588" s="78"/>
      <c r="AK3588" s="79"/>
      <c r="AL3588" s="79"/>
      <c r="AM3588" s="79"/>
      <c r="AN3588" s="79"/>
      <c r="AO3588" s="79"/>
      <c r="AP3588" s="79"/>
      <c r="AQ3588" s="79"/>
      <c r="AR3588" s="78"/>
      <c r="AS3588" s="78"/>
      <c r="AT3588" s="79"/>
      <c r="AU3588" s="79"/>
      <c r="AV3588" s="79"/>
      <c r="AW3588" s="79"/>
      <c r="AX3588" s="79"/>
      <c r="AZ3588" s="81"/>
      <c r="BB3588" s="5"/>
      <c r="BC3588" s="5"/>
      <c r="BD3588" s="5"/>
      <c r="BE3588" s="5"/>
      <c r="BF3588" s="5"/>
      <c r="BG3588" s="5"/>
      <c r="BH3588" s="5"/>
      <c r="BI3588" s="5"/>
      <c r="BJ3588" s="5"/>
      <c r="BK3588" s="5"/>
      <c r="BL3588" s="5"/>
      <c r="BM3588" s="5"/>
      <c r="BN3588" s="5"/>
      <c r="BO3588" s="5"/>
      <c r="BP3588" s="5"/>
    </row>
    <row r="3589" spans="35:68" x14ac:dyDescent="0.25">
      <c r="AI3589" s="49"/>
      <c r="AJ3589" s="78"/>
      <c r="AK3589" s="79"/>
      <c r="AL3589" s="79"/>
      <c r="AM3589" s="79"/>
      <c r="AN3589" s="79"/>
      <c r="AO3589" s="79"/>
      <c r="AP3589" s="79"/>
      <c r="AQ3589" s="79"/>
      <c r="AR3589" s="78"/>
      <c r="AS3589" s="78"/>
      <c r="AT3589" s="79"/>
      <c r="AU3589" s="79"/>
      <c r="AV3589" s="79"/>
      <c r="AW3589" s="79"/>
      <c r="AX3589" s="79"/>
      <c r="AZ3589" s="81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5"/>
      <c r="BM3589" s="5"/>
      <c r="BN3589" s="5"/>
      <c r="BO3589" s="5"/>
      <c r="BP3589" s="5"/>
    </row>
    <row r="3590" spans="35:68" x14ac:dyDescent="0.25">
      <c r="AI3590" s="49"/>
      <c r="AJ3590" s="78"/>
      <c r="AK3590" s="79"/>
      <c r="AL3590" s="79"/>
      <c r="AM3590" s="79"/>
      <c r="AN3590" s="79"/>
      <c r="AO3590" s="79"/>
      <c r="AP3590" s="79"/>
      <c r="AQ3590" s="79"/>
      <c r="AR3590" s="78"/>
      <c r="AS3590" s="78"/>
      <c r="AT3590" s="79"/>
      <c r="AU3590" s="79"/>
      <c r="AV3590" s="79"/>
      <c r="AW3590" s="79"/>
      <c r="AX3590" s="79"/>
      <c r="AZ3590" s="81"/>
      <c r="BB3590" s="5"/>
      <c r="BC3590" s="5"/>
      <c r="BD3590" s="5"/>
      <c r="BE3590" s="5"/>
      <c r="BF3590" s="5"/>
      <c r="BG3590" s="5"/>
      <c r="BH3590" s="5"/>
      <c r="BI3590" s="5"/>
      <c r="BJ3590" s="5"/>
      <c r="BK3590" s="5"/>
      <c r="BL3590" s="5"/>
      <c r="BM3590" s="5"/>
      <c r="BN3590" s="5"/>
      <c r="BO3590" s="5"/>
      <c r="BP3590" s="5"/>
    </row>
    <row r="3591" spans="35:68" x14ac:dyDescent="0.25">
      <c r="AI3591" s="49"/>
      <c r="AJ3591" s="78"/>
      <c r="AK3591" s="79"/>
      <c r="AL3591" s="79"/>
      <c r="AM3591" s="79"/>
      <c r="AN3591" s="79"/>
      <c r="AO3591" s="79"/>
      <c r="AP3591" s="79"/>
      <c r="AQ3591" s="79"/>
      <c r="AR3591" s="78"/>
      <c r="AS3591" s="78"/>
      <c r="AT3591" s="79"/>
      <c r="AU3591" s="79"/>
      <c r="AV3591" s="79"/>
      <c r="AW3591" s="79"/>
      <c r="AX3591" s="79"/>
      <c r="AZ3591" s="81"/>
      <c r="BB3591" s="5"/>
      <c r="BC3591" s="5"/>
      <c r="BD3591" s="5"/>
      <c r="BE3591" s="5"/>
      <c r="BF3591" s="5"/>
      <c r="BG3591" s="5"/>
      <c r="BH3591" s="5"/>
      <c r="BI3591" s="5"/>
      <c r="BJ3591" s="5"/>
      <c r="BK3591" s="5"/>
      <c r="BL3591" s="5"/>
      <c r="BM3591" s="5"/>
      <c r="BN3591" s="5"/>
      <c r="BO3591" s="5"/>
      <c r="BP3591" s="5"/>
    </row>
    <row r="3592" spans="35:68" x14ac:dyDescent="0.25">
      <c r="AI3592" s="49"/>
      <c r="AJ3592" s="78"/>
      <c r="AK3592" s="79"/>
      <c r="AL3592" s="79"/>
      <c r="AM3592" s="79"/>
      <c r="AN3592" s="79"/>
      <c r="AO3592" s="79"/>
      <c r="AP3592" s="79"/>
      <c r="AQ3592" s="79"/>
      <c r="AR3592" s="78"/>
      <c r="AS3592" s="78"/>
      <c r="AT3592" s="79"/>
      <c r="AU3592" s="79"/>
      <c r="AV3592" s="79"/>
      <c r="AW3592" s="79"/>
      <c r="AX3592" s="79"/>
      <c r="AZ3592" s="81"/>
      <c r="BB3592" s="5"/>
      <c r="BC3592" s="5"/>
      <c r="BD3592" s="5"/>
      <c r="BE3592" s="5"/>
      <c r="BF3592" s="5"/>
      <c r="BG3592" s="5"/>
      <c r="BH3592" s="5"/>
      <c r="BI3592" s="5"/>
      <c r="BJ3592" s="5"/>
      <c r="BK3592" s="5"/>
      <c r="BL3592" s="5"/>
      <c r="BM3592" s="5"/>
      <c r="BN3592" s="5"/>
      <c r="BO3592" s="5"/>
      <c r="BP3592" s="5"/>
    </row>
    <row r="3593" spans="35:68" x14ac:dyDescent="0.25">
      <c r="AI3593" s="49"/>
      <c r="AJ3593" s="78"/>
      <c r="AK3593" s="79"/>
      <c r="AL3593" s="79"/>
      <c r="AM3593" s="79"/>
      <c r="AN3593" s="79"/>
      <c r="AO3593" s="79"/>
      <c r="AP3593" s="79"/>
      <c r="AQ3593" s="79"/>
      <c r="AR3593" s="78"/>
      <c r="AS3593" s="78"/>
      <c r="AT3593" s="79"/>
      <c r="AU3593" s="79"/>
      <c r="AV3593" s="79"/>
      <c r="AW3593" s="79"/>
      <c r="AX3593" s="79"/>
      <c r="AZ3593" s="81"/>
      <c r="BB3593" s="5"/>
      <c r="BC3593" s="5"/>
      <c r="BD3593" s="5"/>
      <c r="BE3593" s="5"/>
      <c r="BF3593" s="5"/>
      <c r="BG3593" s="5"/>
      <c r="BH3593" s="5"/>
      <c r="BI3593" s="5"/>
      <c r="BJ3593" s="5"/>
      <c r="BK3593" s="5"/>
      <c r="BL3593" s="5"/>
      <c r="BM3593" s="5"/>
      <c r="BN3593" s="5"/>
      <c r="BO3593" s="5"/>
      <c r="BP3593" s="5"/>
    </row>
    <row r="3594" spans="35:68" x14ac:dyDescent="0.25">
      <c r="AI3594" s="49"/>
      <c r="AJ3594" s="78"/>
      <c r="AK3594" s="79"/>
      <c r="AL3594" s="79"/>
      <c r="AM3594" s="79"/>
      <c r="AN3594" s="79"/>
      <c r="AO3594" s="79"/>
      <c r="AP3594" s="79"/>
      <c r="AQ3594" s="79"/>
      <c r="AR3594" s="78"/>
      <c r="AS3594" s="78"/>
      <c r="AT3594" s="79"/>
      <c r="AU3594" s="79"/>
      <c r="AV3594" s="79"/>
      <c r="AW3594" s="79"/>
      <c r="AX3594" s="79"/>
      <c r="AZ3594" s="81"/>
      <c r="BB3594" s="5"/>
      <c r="BC3594" s="5"/>
      <c r="BD3594" s="5"/>
      <c r="BE3594" s="5"/>
      <c r="BF3594" s="5"/>
      <c r="BG3594" s="5"/>
      <c r="BH3594" s="5"/>
      <c r="BI3594" s="5"/>
      <c r="BJ3594" s="5"/>
      <c r="BK3594" s="5"/>
      <c r="BL3594" s="5"/>
      <c r="BM3594" s="5"/>
      <c r="BN3594" s="5"/>
      <c r="BO3594" s="5"/>
      <c r="BP3594" s="5"/>
    </row>
    <row r="3595" spans="35:68" x14ac:dyDescent="0.25">
      <c r="AI3595" s="49"/>
      <c r="AJ3595" s="78"/>
      <c r="AK3595" s="79"/>
      <c r="AL3595" s="79"/>
      <c r="AM3595" s="79"/>
      <c r="AN3595" s="79"/>
      <c r="AO3595" s="79"/>
      <c r="AP3595" s="79"/>
      <c r="AQ3595" s="79"/>
      <c r="AR3595" s="78"/>
      <c r="AS3595" s="78"/>
      <c r="AT3595" s="79"/>
      <c r="AU3595" s="79"/>
      <c r="AV3595" s="79"/>
      <c r="AW3595" s="79"/>
      <c r="AX3595" s="79"/>
      <c r="AZ3595" s="81"/>
      <c r="BB3595" s="5"/>
      <c r="BC3595" s="5"/>
      <c r="BD3595" s="5"/>
      <c r="BE3595" s="5"/>
      <c r="BF3595" s="5"/>
      <c r="BG3595" s="5"/>
      <c r="BH3595" s="5"/>
      <c r="BI3595" s="5"/>
      <c r="BJ3595" s="5"/>
      <c r="BK3595" s="5"/>
      <c r="BL3595" s="5"/>
      <c r="BM3595" s="5"/>
      <c r="BN3595" s="5"/>
      <c r="BO3595" s="5"/>
      <c r="BP3595" s="5"/>
    </row>
    <row r="3596" spans="35:68" x14ac:dyDescent="0.25">
      <c r="AI3596" s="49"/>
      <c r="AJ3596" s="78"/>
      <c r="AK3596" s="79"/>
      <c r="AL3596" s="79"/>
      <c r="AM3596" s="79"/>
      <c r="AN3596" s="79"/>
      <c r="AO3596" s="79"/>
      <c r="AP3596" s="79"/>
      <c r="AQ3596" s="79"/>
      <c r="AR3596" s="78"/>
      <c r="AS3596" s="78"/>
      <c r="AT3596" s="79"/>
      <c r="AU3596" s="79"/>
      <c r="AV3596" s="79"/>
      <c r="AW3596" s="79"/>
      <c r="AX3596" s="79"/>
      <c r="AZ3596" s="81"/>
      <c r="BB3596" s="5"/>
      <c r="BC3596" s="5"/>
      <c r="BD3596" s="5"/>
      <c r="BE3596" s="5"/>
      <c r="BF3596" s="5"/>
      <c r="BG3596" s="5"/>
      <c r="BH3596" s="5"/>
      <c r="BI3596" s="5"/>
      <c r="BJ3596" s="5"/>
      <c r="BK3596" s="5"/>
      <c r="BL3596" s="5"/>
      <c r="BM3596" s="5"/>
      <c r="BN3596" s="5"/>
      <c r="BO3596" s="5"/>
      <c r="BP3596" s="5"/>
    </row>
    <row r="3597" spans="35:68" x14ac:dyDescent="0.25">
      <c r="AI3597" s="49"/>
      <c r="AJ3597" s="78"/>
      <c r="AK3597" s="79"/>
      <c r="AL3597" s="79"/>
      <c r="AM3597" s="79"/>
      <c r="AN3597" s="79"/>
      <c r="AO3597" s="79"/>
      <c r="AP3597" s="79"/>
      <c r="AQ3597" s="79"/>
      <c r="AR3597" s="78"/>
      <c r="AS3597" s="78"/>
      <c r="AT3597" s="79"/>
      <c r="AU3597" s="79"/>
      <c r="AV3597" s="79"/>
      <c r="AW3597" s="79"/>
      <c r="AX3597" s="79"/>
      <c r="AZ3597" s="81"/>
      <c r="BB3597" s="5"/>
      <c r="BC3597" s="5"/>
      <c r="BD3597" s="5"/>
      <c r="BE3597" s="5"/>
      <c r="BF3597" s="5"/>
      <c r="BG3597" s="5"/>
      <c r="BH3597" s="5"/>
      <c r="BI3597" s="5"/>
      <c r="BJ3597" s="5"/>
      <c r="BK3597" s="5"/>
      <c r="BL3597" s="5"/>
      <c r="BM3597" s="5"/>
      <c r="BN3597" s="5"/>
      <c r="BO3597" s="5"/>
      <c r="BP3597" s="5"/>
    </row>
    <row r="3598" spans="35:68" x14ac:dyDescent="0.25">
      <c r="AI3598" s="49"/>
      <c r="AJ3598" s="78"/>
      <c r="AK3598" s="79"/>
      <c r="AL3598" s="79"/>
      <c r="AM3598" s="79"/>
      <c r="AN3598" s="79"/>
      <c r="AO3598" s="79"/>
      <c r="AP3598" s="79"/>
      <c r="AQ3598" s="79"/>
      <c r="AR3598" s="78"/>
      <c r="AS3598" s="78"/>
      <c r="AT3598" s="79"/>
      <c r="AU3598" s="79"/>
      <c r="AV3598" s="79"/>
      <c r="AW3598" s="79"/>
      <c r="AX3598" s="79"/>
      <c r="AZ3598" s="81"/>
      <c r="BB3598" s="5"/>
      <c r="BC3598" s="5"/>
      <c r="BD3598" s="5"/>
      <c r="BE3598" s="5"/>
      <c r="BF3598" s="5"/>
      <c r="BG3598" s="5"/>
      <c r="BH3598" s="5"/>
      <c r="BI3598" s="5"/>
      <c r="BJ3598" s="5"/>
      <c r="BK3598" s="5"/>
      <c r="BL3598" s="5"/>
      <c r="BM3598" s="5"/>
      <c r="BN3598" s="5"/>
      <c r="BO3598" s="5"/>
      <c r="BP3598" s="5"/>
    </row>
    <row r="3599" spans="35:68" x14ac:dyDescent="0.25">
      <c r="AI3599" s="49"/>
      <c r="AJ3599" s="78"/>
      <c r="AK3599" s="79"/>
      <c r="AL3599" s="79"/>
      <c r="AM3599" s="79"/>
      <c r="AN3599" s="79"/>
      <c r="AO3599" s="79"/>
      <c r="AP3599" s="79"/>
      <c r="AQ3599" s="79"/>
      <c r="AR3599" s="78"/>
      <c r="AS3599" s="78"/>
      <c r="AT3599" s="79"/>
      <c r="AU3599" s="79"/>
      <c r="AV3599" s="79"/>
      <c r="AW3599" s="79"/>
      <c r="AX3599" s="79"/>
      <c r="AZ3599" s="81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</row>
    <row r="3600" spans="35:68" x14ac:dyDescent="0.25">
      <c r="AI3600" s="49"/>
      <c r="AJ3600" s="78"/>
      <c r="AK3600" s="79"/>
      <c r="AL3600" s="79"/>
      <c r="AM3600" s="79"/>
      <c r="AN3600" s="79"/>
      <c r="AO3600" s="79"/>
      <c r="AP3600" s="79"/>
      <c r="AQ3600" s="79"/>
      <c r="AR3600" s="78"/>
      <c r="AS3600" s="78"/>
      <c r="AT3600" s="79"/>
      <c r="AU3600" s="79"/>
      <c r="AV3600" s="79"/>
      <c r="AW3600" s="79"/>
      <c r="AX3600" s="79"/>
      <c r="AZ3600" s="81"/>
      <c r="BB3600" s="5"/>
      <c r="BC3600" s="5"/>
      <c r="BD3600" s="5"/>
      <c r="BE3600" s="5"/>
      <c r="BF3600" s="5"/>
      <c r="BG3600" s="5"/>
      <c r="BH3600" s="5"/>
      <c r="BI3600" s="5"/>
      <c r="BJ3600" s="5"/>
      <c r="BK3600" s="5"/>
      <c r="BL3600" s="5"/>
      <c r="BM3600" s="5"/>
      <c r="BN3600" s="5"/>
      <c r="BO3600" s="5"/>
      <c r="BP3600" s="5"/>
    </row>
    <row r="3601" spans="35:68" x14ac:dyDescent="0.25">
      <c r="AI3601" s="49"/>
      <c r="AJ3601" s="78"/>
      <c r="AK3601" s="79"/>
      <c r="AL3601" s="79"/>
      <c r="AM3601" s="79"/>
      <c r="AN3601" s="79"/>
      <c r="AO3601" s="79"/>
      <c r="AP3601" s="79"/>
      <c r="AQ3601" s="79"/>
      <c r="AR3601" s="78"/>
      <c r="AS3601" s="78"/>
      <c r="AT3601" s="79"/>
      <c r="AU3601" s="79"/>
      <c r="AV3601" s="79"/>
      <c r="AW3601" s="79"/>
      <c r="AX3601" s="79"/>
      <c r="AZ3601" s="81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</row>
    <row r="3602" spans="35:68" x14ac:dyDescent="0.25">
      <c r="AI3602" s="49"/>
      <c r="AJ3602" s="78"/>
      <c r="AK3602" s="79"/>
      <c r="AL3602" s="79"/>
      <c r="AM3602" s="79"/>
      <c r="AN3602" s="79"/>
      <c r="AO3602" s="79"/>
      <c r="AP3602" s="79"/>
      <c r="AQ3602" s="79"/>
      <c r="AR3602" s="78"/>
      <c r="AS3602" s="78"/>
      <c r="AT3602" s="79"/>
      <c r="AU3602" s="79"/>
      <c r="AV3602" s="79"/>
      <c r="AW3602" s="79"/>
      <c r="AX3602" s="79"/>
      <c r="AZ3602" s="81"/>
      <c r="BB3602" s="5"/>
      <c r="BC3602" s="5"/>
      <c r="BD3602" s="5"/>
      <c r="BE3602" s="5"/>
      <c r="BF3602" s="5"/>
      <c r="BG3602" s="5"/>
      <c r="BH3602" s="5"/>
      <c r="BI3602" s="5"/>
      <c r="BJ3602" s="5"/>
      <c r="BK3602" s="5"/>
      <c r="BL3602" s="5"/>
      <c r="BM3602" s="5"/>
      <c r="BN3602" s="5"/>
      <c r="BO3602" s="5"/>
      <c r="BP3602" s="5"/>
    </row>
    <row r="3603" spans="35:68" x14ac:dyDescent="0.25">
      <c r="AI3603" s="49"/>
      <c r="AJ3603" s="78"/>
      <c r="AK3603" s="79"/>
      <c r="AL3603" s="79"/>
      <c r="AM3603" s="79"/>
      <c r="AN3603" s="79"/>
      <c r="AO3603" s="79"/>
      <c r="AP3603" s="79"/>
      <c r="AQ3603" s="79"/>
      <c r="AR3603" s="78"/>
      <c r="AS3603" s="78"/>
      <c r="AT3603" s="79"/>
      <c r="AU3603" s="79"/>
      <c r="AV3603" s="79"/>
      <c r="AW3603" s="79"/>
      <c r="AX3603" s="79"/>
      <c r="AZ3603" s="81"/>
      <c r="BB3603" s="5"/>
      <c r="BC3603" s="5"/>
      <c r="BD3603" s="5"/>
      <c r="BE3603" s="5"/>
      <c r="BF3603" s="5"/>
      <c r="BG3603" s="5"/>
      <c r="BH3603" s="5"/>
      <c r="BI3603" s="5"/>
      <c r="BJ3603" s="5"/>
      <c r="BK3603" s="5"/>
      <c r="BL3603" s="5"/>
      <c r="BM3603" s="5"/>
      <c r="BN3603" s="5"/>
      <c r="BO3603" s="5"/>
      <c r="BP3603" s="5"/>
    </row>
    <row r="3604" spans="35:68" x14ac:dyDescent="0.25">
      <c r="AI3604" s="49"/>
      <c r="AJ3604" s="78"/>
      <c r="AK3604" s="79"/>
      <c r="AL3604" s="79"/>
      <c r="AM3604" s="79"/>
      <c r="AN3604" s="79"/>
      <c r="AO3604" s="79"/>
      <c r="AP3604" s="79"/>
      <c r="AQ3604" s="79"/>
      <c r="AR3604" s="78"/>
      <c r="AS3604" s="78"/>
      <c r="AT3604" s="79"/>
      <c r="AU3604" s="79"/>
      <c r="AV3604" s="79"/>
      <c r="AW3604" s="79"/>
      <c r="AX3604" s="79"/>
      <c r="AZ3604" s="81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5"/>
      <c r="BP3604" s="5"/>
    </row>
    <row r="3605" spans="35:68" x14ac:dyDescent="0.25">
      <c r="AI3605" s="49"/>
      <c r="AJ3605" s="78"/>
      <c r="AK3605" s="79"/>
      <c r="AL3605" s="79"/>
      <c r="AM3605" s="79"/>
      <c r="AN3605" s="79"/>
      <c r="AO3605" s="79"/>
      <c r="AP3605" s="79"/>
      <c r="AQ3605" s="79"/>
      <c r="AR3605" s="78"/>
      <c r="AS3605" s="78"/>
      <c r="AT3605" s="79"/>
      <c r="AU3605" s="79"/>
      <c r="AV3605" s="79"/>
      <c r="AW3605" s="79"/>
      <c r="AX3605" s="79"/>
      <c r="AZ3605" s="81"/>
      <c r="BB3605" s="5"/>
      <c r="BC3605" s="5"/>
      <c r="BD3605" s="5"/>
      <c r="BE3605" s="5"/>
      <c r="BF3605" s="5"/>
      <c r="BG3605" s="5"/>
      <c r="BH3605" s="5"/>
      <c r="BI3605" s="5"/>
      <c r="BJ3605" s="5"/>
      <c r="BK3605" s="5"/>
      <c r="BL3605" s="5"/>
      <c r="BM3605" s="5"/>
      <c r="BN3605" s="5"/>
      <c r="BO3605" s="5"/>
      <c r="BP3605" s="5"/>
    </row>
    <row r="3606" spans="35:68" x14ac:dyDescent="0.25">
      <c r="AI3606" s="49"/>
      <c r="AJ3606" s="78"/>
      <c r="AK3606" s="79"/>
      <c r="AL3606" s="79"/>
      <c r="AM3606" s="79"/>
      <c r="AN3606" s="79"/>
      <c r="AO3606" s="79"/>
      <c r="AP3606" s="79"/>
      <c r="AQ3606" s="79"/>
      <c r="AR3606" s="78"/>
      <c r="AS3606" s="78"/>
      <c r="AT3606" s="79"/>
      <c r="AU3606" s="79"/>
      <c r="AV3606" s="79"/>
      <c r="AW3606" s="79"/>
      <c r="AX3606" s="79"/>
      <c r="AZ3606" s="81"/>
      <c r="BB3606" s="5"/>
      <c r="BC3606" s="5"/>
      <c r="BD3606" s="5"/>
      <c r="BE3606" s="5"/>
      <c r="BF3606" s="5"/>
      <c r="BG3606" s="5"/>
      <c r="BH3606" s="5"/>
      <c r="BI3606" s="5"/>
      <c r="BJ3606" s="5"/>
      <c r="BK3606" s="5"/>
      <c r="BL3606" s="5"/>
      <c r="BM3606" s="5"/>
      <c r="BN3606" s="5"/>
      <c r="BO3606" s="5"/>
      <c r="BP3606" s="5"/>
    </row>
    <row r="3607" spans="35:68" x14ac:dyDescent="0.25">
      <c r="AI3607" s="49"/>
      <c r="AJ3607" s="78"/>
      <c r="AK3607" s="79"/>
      <c r="AL3607" s="79"/>
      <c r="AM3607" s="79"/>
      <c r="AN3607" s="79"/>
      <c r="AO3607" s="79"/>
      <c r="AP3607" s="79"/>
      <c r="AQ3607" s="79"/>
      <c r="AR3607" s="78"/>
      <c r="AS3607" s="78"/>
      <c r="AT3607" s="79"/>
      <c r="AU3607" s="79"/>
      <c r="AV3607" s="79"/>
      <c r="AW3607" s="79"/>
      <c r="AX3607" s="79"/>
      <c r="AZ3607" s="81"/>
      <c r="BB3607" s="5"/>
      <c r="BC3607" s="5"/>
      <c r="BD3607" s="5"/>
      <c r="BE3607" s="5"/>
      <c r="BF3607" s="5"/>
      <c r="BG3607" s="5"/>
      <c r="BH3607" s="5"/>
      <c r="BI3607" s="5"/>
      <c r="BJ3607" s="5"/>
      <c r="BK3607" s="5"/>
      <c r="BL3607" s="5"/>
      <c r="BM3607" s="5"/>
      <c r="BN3607" s="5"/>
      <c r="BO3607" s="5"/>
      <c r="BP3607" s="5"/>
    </row>
    <row r="3608" spans="35:68" x14ac:dyDescent="0.25">
      <c r="AI3608" s="49"/>
      <c r="AJ3608" s="78"/>
      <c r="AK3608" s="79"/>
      <c r="AL3608" s="79"/>
      <c r="AM3608" s="79"/>
      <c r="AN3608" s="79"/>
      <c r="AO3608" s="79"/>
      <c r="AP3608" s="79"/>
      <c r="AQ3608" s="79"/>
      <c r="AR3608" s="78"/>
      <c r="AS3608" s="78"/>
      <c r="AT3608" s="79"/>
      <c r="AU3608" s="79"/>
      <c r="AV3608" s="79"/>
      <c r="AW3608" s="79"/>
      <c r="AX3608" s="79"/>
      <c r="AZ3608" s="81"/>
      <c r="BB3608" s="5"/>
      <c r="BC3608" s="5"/>
      <c r="BD3608" s="5"/>
      <c r="BE3608" s="5"/>
      <c r="BF3608" s="5"/>
      <c r="BG3608" s="5"/>
      <c r="BH3608" s="5"/>
      <c r="BI3608" s="5"/>
      <c r="BJ3608" s="5"/>
      <c r="BK3608" s="5"/>
      <c r="BL3608" s="5"/>
      <c r="BM3608" s="5"/>
      <c r="BN3608" s="5"/>
      <c r="BO3608" s="5"/>
      <c r="BP3608" s="5"/>
    </row>
    <row r="3609" spans="35:68" x14ac:dyDescent="0.25">
      <c r="AI3609" s="49"/>
      <c r="AJ3609" s="78"/>
      <c r="AK3609" s="79"/>
      <c r="AL3609" s="79"/>
      <c r="AM3609" s="79"/>
      <c r="AN3609" s="79"/>
      <c r="AO3609" s="79"/>
      <c r="AP3609" s="79"/>
      <c r="AQ3609" s="79"/>
      <c r="AR3609" s="78"/>
      <c r="AS3609" s="78"/>
      <c r="AT3609" s="79"/>
      <c r="AU3609" s="79"/>
      <c r="AV3609" s="79"/>
      <c r="AW3609" s="79"/>
      <c r="AX3609" s="79"/>
      <c r="AZ3609" s="81"/>
      <c r="BB3609" s="5"/>
      <c r="BC3609" s="5"/>
      <c r="BD3609" s="5"/>
      <c r="BE3609" s="5"/>
      <c r="BF3609" s="5"/>
      <c r="BG3609" s="5"/>
      <c r="BH3609" s="5"/>
      <c r="BI3609" s="5"/>
      <c r="BJ3609" s="5"/>
      <c r="BK3609" s="5"/>
      <c r="BL3609" s="5"/>
      <c r="BM3609" s="5"/>
      <c r="BN3609" s="5"/>
      <c r="BO3609" s="5"/>
      <c r="BP3609" s="5"/>
    </row>
    <row r="3610" spans="35:68" x14ac:dyDescent="0.25">
      <c r="AI3610" s="49"/>
      <c r="AJ3610" s="78"/>
      <c r="AK3610" s="79"/>
      <c r="AL3610" s="79"/>
      <c r="AM3610" s="79"/>
      <c r="AN3610" s="79"/>
      <c r="AO3610" s="79"/>
      <c r="AP3610" s="79"/>
      <c r="AQ3610" s="79"/>
      <c r="AR3610" s="78"/>
      <c r="AS3610" s="78"/>
      <c r="AT3610" s="79"/>
      <c r="AU3610" s="79"/>
      <c r="AV3610" s="79"/>
      <c r="AW3610" s="79"/>
      <c r="AX3610" s="79"/>
      <c r="AZ3610" s="81"/>
      <c r="BB3610" s="5"/>
      <c r="BC3610" s="5"/>
      <c r="BD3610" s="5"/>
      <c r="BE3610" s="5"/>
      <c r="BF3610" s="5"/>
      <c r="BG3610" s="5"/>
      <c r="BH3610" s="5"/>
      <c r="BI3610" s="5"/>
      <c r="BJ3610" s="5"/>
      <c r="BK3610" s="5"/>
      <c r="BL3610" s="5"/>
      <c r="BM3610" s="5"/>
      <c r="BN3610" s="5"/>
      <c r="BO3610" s="5"/>
      <c r="BP3610" s="5"/>
    </row>
    <row r="3611" spans="35:68" x14ac:dyDescent="0.25">
      <c r="AI3611" s="49"/>
      <c r="AJ3611" s="78"/>
      <c r="AK3611" s="79"/>
      <c r="AL3611" s="79"/>
      <c r="AM3611" s="79"/>
      <c r="AN3611" s="79"/>
      <c r="AO3611" s="79"/>
      <c r="AP3611" s="79"/>
      <c r="AQ3611" s="79"/>
      <c r="AR3611" s="78"/>
      <c r="AS3611" s="78"/>
      <c r="AT3611" s="79"/>
      <c r="AU3611" s="79"/>
      <c r="AV3611" s="79"/>
      <c r="AW3611" s="79"/>
      <c r="AX3611" s="79"/>
      <c r="AZ3611" s="81"/>
      <c r="BB3611" s="5"/>
      <c r="BC3611" s="5"/>
      <c r="BD3611" s="5"/>
      <c r="BE3611" s="5"/>
      <c r="BF3611" s="5"/>
      <c r="BG3611" s="5"/>
      <c r="BH3611" s="5"/>
      <c r="BI3611" s="5"/>
      <c r="BJ3611" s="5"/>
      <c r="BK3611" s="5"/>
      <c r="BL3611" s="5"/>
      <c r="BM3611" s="5"/>
      <c r="BN3611" s="5"/>
      <c r="BO3611" s="5"/>
      <c r="BP3611" s="5"/>
    </row>
    <row r="3612" spans="35:68" x14ac:dyDescent="0.25">
      <c r="AI3612" s="49"/>
      <c r="AJ3612" s="78"/>
      <c r="AK3612" s="79"/>
      <c r="AL3612" s="79"/>
      <c r="AM3612" s="79"/>
      <c r="AN3612" s="79"/>
      <c r="AO3612" s="79"/>
      <c r="AP3612" s="79"/>
      <c r="AQ3612" s="79"/>
      <c r="AR3612" s="78"/>
      <c r="AS3612" s="78"/>
      <c r="AT3612" s="79"/>
      <c r="AU3612" s="79"/>
      <c r="AV3612" s="79"/>
      <c r="AW3612" s="79"/>
      <c r="AX3612" s="79"/>
      <c r="AZ3612" s="81"/>
      <c r="BB3612" s="5"/>
      <c r="BC3612" s="5"/>
      <c r="BD3612" s="5"/>
      <c r="BE3612" s="5"/>
      <c r="BF3612" s="5"/>
      <c r="BG3612" s="5"/>
      <c r="BH3612" s="5"/>
      <c r="BI3612" s="5"/>
      <c r="BJ3612" s="5"/>
      <c r="BK3612" s="5"/>
      <c r="BL3612" s="5"/>
      <c r="BM3612" s="5"/>
      <c r="BN3612" s="5"/>
      <c r="BO3612" s="5"/>
      <c r="BP3612" s="5"/>
    </row>
    <row r="3613" spans="35:68" x14ac:dyDescent="0.25">
      <c r="AI3613" s="49"/>
      <c r="AJ3613" s="78"/>
      <c r="AK3613" s="79"/>
      <c r="AL3613" s="79"/>
      <c r="AM3613" s="79"/>
      <c r="AN3613" s="79"/>
      <c r="AO3613" s="79"/>
      <c r="AP3613" s="79"/>
      <c r="AQ3613" s="79"/>
      <c r="AR3613" s="78"/>
      <c r="AS3613" s="78"/>
      <c r="AT3613" s="79"/>
      <c r="AU3613" s="79"/>
      <c r="AV3613" s="79"/>
      <c r="AW3613" s="79"/>
      <c r="AX3613" s="79"/>
      <c r="AZ3613" s="81"/>
      <c r="BB3613" s="5"/>
      <c r="BC3613" s="5"/>
      <c r="BD3613" s="5"/>
      <c r="BE3613" s="5"/>
      <c r="BF3613" s="5"/>
      <c r="BG3613" s="5"/>
      <c r="BH3613" s="5"/>
      <c r="BI3613" s="5"/>
      <c r="BJ3613" s="5"/>
      <c r="BK3613" s="5"/>
      <c r="BL3613" s="5"/>
      <c r="BM3613" s="5"/>
      <c r="BN3613" s="5"/>
      <c r="BO3613" s="5"/>
      <c r="BP3613" s="5"/>
    </row>
    <row r="3614" spans="35:68" x14ac:dyDescent="0.25">
      <c r="AI3614" s="49"/>
      <c r="AJ3614" s="78"/>
      <c r="AK3614" s="79"/>
      <c r="AL3614" s="79"/>
      <c r="AM3614" s="79"/>
      <c r="AN3614" s="79"/>
      <c r="AO3614" s="79"/>
      <c r="AP3614" s="79"/>
      <c r="AQ3614" s="79"/>
      <c r="AR3614" s="78"/>
      <c r="AS3614" s="78"/>
      <c r="AT3614" s="79"/>
      <c r="AU3614" s="79"/>
      <c r="AV3614" s="79"/>
      <c r="AW3614" s="79"/>
      <c r="AX3614" s="79"/>
      <c r="AZ3614" s="81"/>
      <c r="BB3614" s="5"/>
      <c r="BC3614" s="5"/>
      <c r="BD3614" s="5"/>
      <c r="BE3614" s="5"/>
      <c r="BF3614" s="5"/>
      <c r="BG3614" s="5"/>
      <c r="BH3614" s="5"/>
      <c r="BI3614" s="5"/>
      <c r="BJ3614" s="5"/>
      <c r="BK3614" s="5"/>
      <c r="BL3614" s="5"/>
      <c r="BM3614" s="5"/>
      <c r="BN3614" s="5"/>
      <c r="BO3614" s="5"/>
      <c r="BP3614" s="5"/>
    </row>
    <row r="3615" spans="35:68" x14ac:dyDescent="0.25">
      <c r="AI3615" s="49"/>
      <c r="AJ3615" s="78"/>
      <c r="AK3615" s="79"/>
      <c r="AL3615" s="79"/>
      <c r="AM3615" s="79"/>
      <c r="AN3615" s="79"/>
      <c r="AO3615" s="79"/>
      <c r="AP3615" s="79"/>
      <c r="AQ3615" s="79"/>
      <c r="AR3615" s="78"/>
      <c r="AS3615" s="78"/>
      <c r="AT3615" s="79"/>
      <c r="AU3615" s="79"/>
      <c r="AV3615" s="79"/>
      <c r="AW3615" s="79"/>
      <c r="AX3615" s="79"/>
      <c r="AZ3615" s="81"/>
      <c r="BB3615" s="5"/>
      <c r="BC3615" s="5"/>
      <c r="BD3615" s="5"/>
      <c r="BE3615" s="5"/>
      <c r="BF3615" s="5"/>
      <c r="BG3615" s="5"/>
      <c r="BH3615" s="5"/>
      <c r="BI3615" s="5"/>
      <c r="BJ3615" s="5"/>
      <c r="BK3615" s="5"/>
      <c r="BL3615" s="5"/>
      <c r="BM3615" s="5"/>
      <c r="BN3615" s="5"/>
      <c r="BO3615" s="5"/>
      <c r="BP3615" s="5"/>
    </row>
    <row r="3616" spans="35:68" x14ac:dyDescent="0.25">
      <c r="AI3616" s="49"/>
      <c r="AJ3616" s="78"/>
      <c r="AK3616" s="79"/>
      <c r="AL3616" s="79"/>
      <c r="AM3616" s="79"/>
      <c r="AN3616" s="79"/>
      <c r="AO3616" s="79"/>
      <c r="AP3616" s="79"/>
      <c r="AQ3616" s="79"/>
      <c r="AR3616" s="78"/>
      <c r="AS3616" s="78"/>
      <c r="AT3616" s="79"/>
      <c r="AU3616" s="79"/>
      <c r="AV3616" s="79"/>
      <c r="AW3616" s="79"/>
      <c r="AX3616" s="79"/>
      <c r="AZ3616" s="81"/>
      <c r="BB3616" s="5"/>
      <c r="BC3616" s="5"/>
      <c r="BD3616" s="5"/>
      <c r="BE3616" s="5"/>
      <c r="BF3616" s="5"/>
      <c r="BG3616" s="5"/>
      <c r="BH3616" s="5"/>
      <c r="BI3616" s="5"/>
      <c r="BJ3616" s="5"/>
      <c r="BK3616" s="5"/>
      <c r="BL3616" s="5"/>
      <c r="BM3616" s="5"/>
      <c r="BN3616" s="5"/>
      <c r="BO3616" s="5"/>
      <c r="BP3616" s="5"/>
    </row>
    <row r="3617" spans="35:68" x14ac:dyDescent="0.25">
      <c r="AI3617" s="49"/>
      <c r="AJ3617" s="78"/>
      <c r="AK3617" s="79"/>
      <c r="AL3617" s="79"/>
      <c r="AM3617" s="79"/>
      <c r="AN3617" s="79"/>
      <c r="AO3617" s="79"/>
      <c r="AP3617" s="79"/>
      <c r="AQ3617" s="79"/>
      <c r="AR3617" s="78"/>
      <c r="AS3617" s="78"/>
      <c r="AT3617" s="79"/>
      <c r="AU3617" s="79"/>
      <c r="AV3617" s="79"/>
      <c r="AW3617" s="79"/>
      <c r="AX3617" s="79"/>
      <c r="AZ3617" s="81"/>
      <c r="BB3617" s="5"/>
      <c r="BC3617" s="5"/>
      <c r="BD3617" s="5"/>
      <c r="BE3617" s="5"/>
      <c r="BF3617" s="5"/>
      <c r="BG3617" s="5"/>
      <c r="BH3617" s="5"/>
      <c r="BI3617" s="5"/>
      <c r="BJ3617" s="5"/>
      <c r="BK3617" s="5"/>
      <c r="BL3617" s="5"/>
      <c r="BM3617" s="5"/>
      <c r="BN3617" s="5"/>
      <c r="BO3617" s="5"/>
      <c r="BP3617" s="5"/>
    </row>
    <row r="3618" spans="35:68" x14ac:dyDescent="0.25">
      <c r="AI3618" s="49"/>
      <c r="AJ3618" s="78"/>
      <c r="AK3618" s="79"/>
      <c r="AL3618" s="79"/>
      <c r="AM3618" s="79"/>
      <c r="AN3618" s="79"/>
      <c r="AO3618" s="79"/>
      <c r="AP3618" s="79"/>
      <c r="AQ3618" s="79"/>
      <c r="AR3618" s="78"/>
      <c r="AS3618" s="78"/>
      <c r="AT3618" s="79"/>
      <c r="AU3618" s="79"/>
      <c r="AV3618" s="79"/>
      <c r="AW3618" s="79"/>
      <c r="AX3618" s="79"/>
      <c r="AZ3618" s="81"/>
      <c r="BB3618" s="5"/>
      <c r="BC3618" s="5"/>
      <c r="BD3618" s="5"/>
      <c r="BE3618" s="5"/>
      <c r="BF3618" s="5"/>
      <c r="BG3618" s="5"/>
      <c r="BH3618" s="5"/>
      <c r="BI3618" s="5"/>
      <c r="BJ3618" s="5"/>
      <c r="BK3618" s="5"/>
      <c r="BL3618" s="5"/>
      <c r="BM3618" s="5"/>
      <c r="BN3618" s="5"/>
      <c r="BO3618" s="5"/>
      <c r="BP3618" s="5"/>
    </row>
    <row r="3619" spans="35:68" x14ac:dyDescent="0.25">
      <c r="AI3619" s="49"/>
      <c r="AJ3619" s="78"/>
      <c r="AK3619" s="79"/>
      <c r="AL3619" s="79"/>
      <c r="AM3619" s="79"/>
      <c r="AN3619" s="79"/>
      <c r="AO3619" s="79"/>
      <c r="AP3619" s="79"/>
      <c r="AQ3619" s="79"/>
      <c r="AR3619" s="78"/>
      <c r="AS3619" s="78"/>
      <c r="AT3619" s="79"/>
      <c r="AU3619" s="79"/>
      <c r="AV3619" s="79"/>
      <c r="AW3619" s="79"/>
      <c r="AX3619" s="79"/>
      <c r="AZ3619" s="81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</row>
    <row r="3620" spans="35:68" x14ac:dyDescent="0.25">
      <c r="AI3620" s="49"/>
      <c r="AJ3620" s="78"/>
      <c r="AK3620" s="79"/>
      <c r="AL3620" s="79"/>
      <c r="AM3620" s="79"/>
      <c r="AN3620" s="79"/>
      <c r="AO3620" s="79"/>
      <c r="AP3620" s="79"/>
      <c r="AQ3620" s="79"/>
      <c r="AR3620" s="78"/>
      <c r="AS3620" s="78"/>
      <c r="AT3620" s="79"/>
      <c r="AU3620" s="79"/>
      <c r="AV3620" s="79"/>
      <c r="AW3620" s="79"/>
      <c r="AX3620" s="79"/>
      <c r="AZ3620" s="81"/>
      <c r="BB3620" s="5"/>
      <c r="BC3620" s="5"/>
      <c r="BD3620" s="5"/>
      <c r="BE3620" s="5"/>
      <c r="BF3620" s="5"/>
      <c r="BG3620" s="5"/>
      <c r="BH3620" s="5"/>
      <c r="BI3620" s="5"/>
      <c r="BJ3620" s="5"/>
      <c r="BK3620" s="5"/>
      <c r="BL3620" s="5"/>
      <c r="BM3620" s="5"/>
      <c r="BN3620" s="5"/>
      <c r="BO3620" s="5"/>
      <c r="BP3620" s="5"/>
    </row>
    <row r="3621" spans="35:68" x14ac:dyDescent="0.25">
      <c r="AI3621" s="49"/>
      <c r="AJ3621" s="78"/>
      <c r="AK3621" s="79"/>
      <c r="AL3621" s="79"/>
      <c r="AM3621" s="79"/>
      <c r="AN3621" s="79"/>
      <c r="AO3621" s="79"/>
      <c r="AP3621" s="79"/>
      <c r="AQ3621" s="79"/>
      <c r="AR3621" s="78"/>
      <c r="AS3621" s="78"/>
      <c r="AT3621" s="79"/>
      <c r="AU3621" s="79"/>
      <c r="AV3621" s="79"/>
      <c r="AW3621" s="79"/>
      <c r="AX3621" s="79"/>
      <c r="AZ3621" s="81"/>
      <c r="BB3621" s="5"/>
      <c r="BC3621" s="5"/>
      <c r="BD3621" s="5"/>
      <c r="BE3621" s="5"/>
      <c r="BF3621" s="5"/>
      <c r="BG3621" s="5"/>
      <c r="BH3621" s="5"/>
      <c r="BI3621" s="5"/>
      <c r="BJ3621" s="5"/>
      <c r="BK3621" s="5"/>
      <c r="BL3621" s="5"/>
      <c r="BM3621" s="5"/>
      <c r="BN3621" s="5"/>
      <c r="BO3621" s="5"/>
      <c r="BP3621" s="5"/>
    </row>
    <row r="3622" spans="35:68" x14ac:dyDescent="0.25">
      <c r="AI3622" s="49"/>
      <c r="AJ3622" s="78"/>
      <c r="AK3622" s="79"/>
      <c r="AL3622" s="79"/>
      <c r="AM3622" s="79"/>
      <c r="AN3622" s="79"/>
      <c r="AO3622" s="79"/>
      <c r="AP3622" s="79"/>
      <c r="AQ3622" s="79"/>
      <c r="AR3622" s="78"/>
      <c r="AS3622" s="78"/>
      <c r="AT3622" s="79"/>
      <c r="AU3622" s="79"/>
      <c r="AV3622" s="79"/>
      <c r="AW3622" s="79"/>
      <c r="AX3622" s="79"/>
      <c r="AZ3622" s="81"/>
      <c r="BB3622" s="5"/>
      <c r="BC3622" s="5"/>
      <c r="BD3622" s="5"/>
      <c r="BE3622" s="5"/>
      <c r="BF3622" s="5"/>
      <c r="BG3622" s="5"/>
      <c r="BH3622" s="5"/>
      <c r="BI3622" s="5"/>
      <c r="BJ3622" s="5"/>
      <c r="BK3622" s="5"/>
      <c r="BL3622" s="5"/>
      <c r="BM3622" s="5"/>
      <c r="BN3622" s="5"/>
      <c r="BO3622" s="5"/>
      <c r="BP3622" s="5"/>
    </row>
    <row r="3623" spans="35:68" x14ac:dyDescent="0.25">
      <c r="AI3623" s="49"/>
      <c r="AJ3623" s="78"/>
      <c r="AK3623" s="79"/>
      <c r="AL3623" s="79"/>
      <c r="AM3623" s="79"/>
      <c r="AN3623" s="79"/>
      <c r="AO3623" s="79"/>
      <c r="AP3623" s="79"/>
      <c r="AQ3623" s="79"/>
      <c r="AR3623" s="78"/>
      <c r="AS3623" s="78"/>
      <c r="AT3623" s="79"/>
      <c r="AU3623" s="79"/>
      <c r="AV3623" s="79"/>
      <c r="AW3623" s="79"/>
      <c r="AX3623" s="79"/>
      <c r="AZ3623" s="81"/>
      <c r="BB3623" s="5"/>
      <c r="BC3623" s="5"/>
      <c r="BD3623" s="5"/>
      <c r="BE3623" s="5"/>
      <c r="BF3623" s="5"/>
      <c r="BG3623" s="5"/>
      <c r="BH3623" s="5"/>
      <c r="BI3623" s="5"/>
      <c r="BJ3623" s="5"/>
      <c r="BK3623" s="5"/>
      <c r="BL3623" s="5"/>
      <c r="BM3623" s="5"/>
      <c r="BN3623" s="5"/>
      <c r="BO3623" s="5"/>
      <c r="BP3623" s="5"/>
    </row>
    <row r="3624" spans="35:68" x14ac:dyDescent="0.25">
      <c r="AI3624" s="49"/>
      <c r="AJ3624" s="78"/>
      <c r="AK3624" s="79"/>
      <c r="AL3624" s="79"/>
      <c r="AM3624" s="79"/>
      <c r="AN3624" s="79"/>
      <c r="AO3624" s="79"/>
      <c r="AP3624" s="79"/>
      <c r="AQ3624" s="79"/>
      <c r="AR3624" s="78"/>
      <c r="AS3624" s="78"/>
      <c r="AT3624" s="79"/>
      <c r="AU3624" s="79"/>
      <c r="AV3624" s="79"/>
      <c r="AW3624" s="79"/>
      <c r="AX3624" s="79"/>
      <c r="AZ3624" s="81"/>
      <c r="BB3624" s="5"/>
      <c r="BC3624" s="5"/>
      <c r="BD3624" s="5"/>
      <c r="BE3624" s="5"/>
      <c r="BF3624" s="5"/>
      <c r="BG3624" s="5"/>
      <c r="BH3624" s="5"/>
      <c r="BI3624" s="5"/>
      <c r="BJ3624" s="5"/>
      <c r="BK3624" s="5"/>
      <c r="BL3624" s="5"/>
      <c r="BM3624" s="5"/>
      <c r="BN3624" s="5"/>
      <c r="BO3624" s="5"/>
      <c r="BP3624" s="5"/>
    </row>
    <row r="3625" spans="35:68" x14ac:dyDescent="0.25">
      <c r="AI3625" s="49"/>
      <c r="AJ3625" s="78"/>
      <c r="AK3625" s="79"/>
      <c r="AL3625" s="79"/>
      <c r="AM3625" s="79"/>
      <c r="AN3625" s="79"/>
      <c r="AO3625" s="79"/>
      <c r="AP3625" s="79"/>
      <c r="AQ3625" s="79"/>
      <c r="AR3625" s="78"/>
      <c r="AS3625" s="78"/>
      <c r="AT3625" s="79"/>
      <c r="AU3625" s="79"/>
      <c r="AV3625" s="79"/>
      <c r="AW3625" s="79"/>
      <c r="AX3625" s="79"/>
      <c r="AZ3625" s="81"/>
      <c r="BB3625" s="5"/>
      <c r="BC3625" s="5"/>
      <c r="BD3625" s="5"/>
      <c r="BE3625" s="5"/>
      <c r="BF3625" s="5"/>
      <c r="BG3625" s="5"/>
      <c r="BH3625" s="5"/>
      <c r="BI3625" s="5"/>
      <c r="BJ3625" s="5"/>
      <c r="BK3625" s="5"/>
      <c r="BL3625" s="5"/>
      <c r="BM3625" s="5"/>
      <c r="BN3625" s="5"/>
      <c r="BO3625" s="5"/>
      <c r="BP3625" s="5"/>
    </row>
    <row r="3626" spans="35:68" x14ac:dyDescent="0.25">
      <c r="AI3626" s="49"/>
      <c r="AJ3626" s="78"/>
      <c r="AK3626" s="79"/>
      <c r="AL3626" s="79"/>
      <c r="AM3626" s="79"/>
      <c r="AN3626" s="79"/>
      <c r="AO3626" s="79"/>
      <c r="AP3626" s="79"/>
      <c r="AQ3626" s="79"/>
      <c r="AR3626" s="78"/>
      <c r="AS3626" s="78"/>
      <c r="AT3626" s="79"/>
      <c r="AU3626" s="79"/>
      <c r="AV3626" s="79"/>
      <c r="AW3626" s="79"/>
      <c r="AX3626" s="79"/>
      <c r="AZ3626" s="81"/>
      <c r="BB3626" s="5"/>
      <c r="BC3626" s="5"/>
      <c r="BD3626" s="5"/>
      <c r="BE3626" s="5"/>
      <c r="BF3626" s="5"/>
      <c r="BG3626" s="5"/>
      <c r="BH3626" s="5"/>
      <c r="BI3626" s="5"/>
      <c r="BJ3626" s="5"/>
      <c r="BK3626" s="5"/>
      <c r="BL3626" s="5"/>
      <c r="BM3626" s="5"/>
      <c r="BN3626" s="5"/>
      <c r="BO3626" s="5"/>
      <c r="BP3626" s="5"/>
    </row>
    <row r="3627" spans="35:68" x14ac:dyDescent="0.25">
      <c r="AI3627" s="49"/>
      <c r="AJ3627" s="78"/>
      <c r="AK3627" s="79"/>
      <c r="AL3627" s="79"/>
      <c r="AM3627" s="79"/>
      <c r="AN3627" s="79"/>
      <c r="AO3627" s="79"/>
      <c r="AP3627" s="79"/>
      <c r="AQ3627" s="79"/>
      <c r="AR3627" s="78"/>
      <c r="AS3627" s="78"/>
      <c r="AT3627" s="79"/>
      <c r="AU3627" s="79"/>
      <c r="AV3627" s="79"/>
      <c r="AW3627" s="79"/>
      <c r="AX3627" s="79"/>
      <c r="AZ3627" s="81"/>
      <c r="BB3627" s="5"/>
      <c r="BC3627" s="5"/>
      <c r="BD3627" s="5"/>
      <c r="BE3627" s="5"/>
      <c r="BF3627" s="5"/>
      <c r="BG3627" s="5"/>
      <c r="BH3627" s="5"/>
      <c r="BI3627" s="5"/>
      <c r="BJ3627" s="5"/>
      <c r="BK3627" s="5"/>
      <c r="BL3627" s="5"/>
      <c r="BM3627" s="5"/>
      <c r="BN3627" s="5"/>
      <c r="BO3627" s="5"/>
      <c r="BP3627" s="5"/>
    </row>
    <row r="3628" spans="35:68" x14ac:dyDescent="0.25">
      <c r="AI3628" s="49"/>
      <c r="AJ3628" s="78"/>
      <c r="AK3628" s="79"/>
      <c r="AL3628" s="79"/>
      <c r="AM3628" s="79"/>
      <c r="AN3628" s="79"/>
      <c r="AO3628" s="79"/>
      <c r="AP3628" s="79"/>
      <c r="AQ3628" s="79"/>
      <c r="AR3628" s="78"/>
      <c r="AS3628" s="78"/>
      <c r="AT3628" s="79"/>
      <c r="AU3628" s="79"/>
      <c r="AV3628" s="79"/>
      <c r="AW3628" s="79"/>
      <c r="AX3628" s="79"/>
      <c r="AZ3628" s="81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</row>
    <row r="3629" spans="35:68" x14ac:dyDescent="0.25">
      <c r="AI3629" s="49"/>
      <c r="AJ3629" s="78"/>
      <c r="AK3629" s="79"/>
      <c r="AL3629" s="79"/>
      <c r="AM3629" s="79"/>
      <c r="AN3629" s="79"/>
      <c r="AO3629" s="79"/>
      <c r="AP3629" s="79"/>
      <c r="AQ3629" s="79"/>
      <c r="AR3629" s="78"/>
      <c r="AS3629" s="78"/>
      <c r="AT3629" s="79"/>
      <c r="AU3629" s="79"/>
      <c r="AV3629" s="79"/>
      <c r="AW3629" s="79"/>
      <c r="AX3629" s="79"/>
      <c r="AZ3629" s="81"/>
      <c r="BB3629" s="5"/>
      <c r="BC3629" s="5"/>
      <c r="BD3629" s="5"/>
      <c r="BE3629" s="5"/>
      <c r="BF3629" s="5"/>
      <c r="BG3629" s="5"/>
      <c r="BH3629" s="5"/>
      <c r="BI3629" s="5"/>
      <c r="BJ3629" s="5"/>
      <c r="BK3629" s="5"/>
      <c r="BL3629" s="5"/>
      <c r="BM3629" s="5"/>
      <c r="BN3629" s="5"/>
      <c r="BO3629" s="5"/>
      <c r="BP3629" s="5"/>
    </row>
    <row r="3630" spans="35:68" x14ac:dyDescent="0.25">
      <c r="AI3630" s="49"/>
      <c r="AJ3630" s="78"/>
      <c r="AK3630" s="79"/>
      <c r="AL3630" s="79"/>
      <c r="AM3630" s="79"/>
      <c r="AN3630" s="79"/>
      <c r="AO3630" s="79"/>
      <c r="AP3630" s="79"/>
      <c r="AQ3630" s="79"/>
      <c r="AR3630" s="78"/>
      <c r="AS3630" s="78"/>
      <c r="AT3630" s="79"/>
      <c r="AU3630" s="79"/>
      <c r="AV3630" s="79"/>
      <c r="AW3630" s="79"/>
      <c r="AX3630" s="79"/>
      <c r="AZ3630" s="81"/>
      <c r="BB3630" s="5"/>
      <c r="BC3630" s="5"/>
      <c r="BD3630" s="5"/>
      <c r="BE3630" s="5"/>
      <c r="BF3630" s="5"/>
      <c r="BG3630" s="5"/>
      <c r="BH3630" s="5"/>
      <c r="BI3630" s="5"/>
      <c r="BJ3630" s="5"/>
      <c r="BK3630" s="5"/>
      <c r="BL3630" s="5"/>
      <c r="BM3630" s="5"/>
      <c r="BN3630" s="5"/>
      <c r="BO3630" s="5"/>
      <c r="BP3630" s="5"/>
    </row>
    <row r="3631" spans="35:68" x14ac:dyDescent="0.25">
      <c r="AI3631" s="49"/>
      <c r="AJ3631" s="78"/>
      <c r="AK3631" s="79"/>
      <c r="AL3631" s="79"/>
      <c r="AM3631" s="79"/>
      <c r="AN3631" s="79"/>
      <c r="AO3631" s="79"/>
      <c r="AP3631" s="79"/>
      <c r="AQ3631" s="79"/>
      <c r="AR3631" s="78"/>
      <c r="AS3631" s="78"/>
      <c r="AT3631" s="79"/>
      <c r="AU3631" s="79"/>
      <c r="AV3631" s="79"/>
      <c r="AW3631" s="79"/>
      <c r="AX3631" s="79"/>
      <c r="AZ3631" s="81"/>
      <c r="BB3631" s="5"/>
      <c r="BC3631" s="5"/>
      <c r="BD3631" s="5"/>
      <c r="BE3631" s="5"/>
      <c r="BF3631" s="5"/>
      <c r="BG3631" s="5"/>
      <c r="BH3631" s="5"/>
      <c r="BI3631" s="5"/>
      <c r="BJ3631" s="5"/>
      <c r="BK3631" s="5"/>
      <c r="BL3631" s="5"/>
      <c r="BM3631" s="5"/>
      <c r="BN3631" s="5"/>
      <c r="BO3631" s="5"/>
      <c r="BP3631" s="5"/>
    </row>
    <row r="3632" spans="35:68" x14ac:dyDescent="0.25">
      <c r="AI3632" s="49"/>
      <c r="AJ3632" s="78"/>
      <c r="AK3632" s="79"/>
      <c r="AL3632" s="79"/>
      <c r="AM3632" s="79"/>
      <c r="AN3632" s="79"/>
      <c r="AO3632" s="79"/>
      <c r="AP3632" s="79"/>
      <c r="AQ3632" s="79"/>
      <c r="AR3632" s="78"/>
      <c r="AS3632" s="78"/>
      <c r="AT3632" s="79"/>
      <c r="AU3632" s="79"/>
      <c r="AV3632" s="79"/>
      <c r="AW3632" s="79"/>
      <c r="AX3632" s="79"/>
      <c r="AZ3632" s="81"/>
      <c r="BB3632" s="5"/>
      <c r="BC3632" s="5"/>
      <c r="BD3632" s="5"/>
      <c r="BE3632" s="5"/>
      <c r="BF3632" s="5"/>
      <c r="BG3632" s="5"/>
      <c r="BH3632" s="5"/>
      <c r="BI3632" s="5"/>
      <c r="BJ3632" s="5"/>
      <c r="BK3632" s="5"/>
      <c r="BL3632" s="5"/>
      <c r="BM3632" s="5"/>
      <c r="BN3632" s="5"/>
      <c r="BO3632" s="5"/>
      <c r="BP3632" s="5"/>
    </row>
    <row r="3633" spans="35:68" x14ac:dyDescent="0.25">
      <c r="AI3633" s="49"/>
      <c r="AJ3633" s="78"/>
      <c r="AK3633" s="79"/>
      <c r="AL3633" s="79"/>
      <c r="AM3633" s="79"/>
      <c r="AN3633" s="79"/>
      <c r="AO3633" s="79"/>
      <c r="AP3633" s="79"/>
      <c r="AQ3633" s="79"/>
      <c r="AR3633" s="78"/>
      <c r="AS3633" s="78"/>
      <c r="AT3633" s="79"/>
      <c r="AU3633" s="79"/>
      <c r="AV3633" s="79"/>
      <c r="AW3633" s="79"/>
      <c r="AX3633" s="79"/>
      <c r="AZ3633" s="81"/>
      <c r="BB3633" s="5"/>
      <c r="BC3633" s="5"/>
      <c r="BD3633" s="5"/>
      <c r="BE3633" s="5"/>
      <c r="BF3633" s="5"/>
      <c r="BG3633" s="5"/>
      <c r="BH3633" s="5"/>
      <c r="BI3633" s="5"/>
      <c r="BJ3633" s="5"/>
      <c r="BK3633" s="5"/>
      <c r="BL3633" s="5"/>
      <c r="BM3633" s="5"/>
      <c r="BN3633" s="5"/>
      <c r="BO3633" s="5"/>
      <c r="BP3633" s="5"/>
    </row>
    <row r="3634" spans="35:68" x14ac:dyDescent="0.25">
      <c r="AI3634" s="49"/>
      <c r="AJ3634" s="78"/>
      <c r="AK3634" s="79"/>
      <c r="AL3634" s="79"/>
      <c r="AM3634" s="79"/>
      <c r="AN3634" s="79"/>
      <c r="AO3634" s="79"/>
      <c r="AP3634" s="79"/>
      <c r="AQ3634" s="79"/>
      <c r="AR3634" s="78"/>
      <c r="AS3634" s="78"/>
      <c r="AT3634" s="79"/>
      <c r="AU3634" s="79"/>
      <c r="AV3634" s="79"/>
      <c r="AW3634" s="79"/>
      <c r="AX3634" s="79"/>
      <c r="AZ3634" s="81"/>
      <c r="BB3634" s="5"/>
      <c r="BC3634" s="5"/>
      <c r="BD3634" s="5"/>
      <c r="BE3634" s="5"/>
      <c r="BF3634" s="5"/>
      <c r="BG3634" s="5"/>
      <c r="BH3634" s="5"/>
      <c r="BI3634" s="5"/>
      <c r="BJ3634" s="5"/>
      <c r="BK3634" s="5"/>
      <c r="BL3634" s="5"/>
      <c r="BM3634" s="5"/>
      <c r="BN3634" s="5"/>
      <c r="BO3634" s="5"/>
      <c r="BP3634" s="5"/>
    </row>
    <row r="3635" spans="35:68" x14ac:dyDescent="0.25">
      <c r="AI3635" s="49"/>
      <c r="AJ3635" s="78"/>
      <c r="AK3635" s="79"/>
      <c r="AL3635" s="79"/>
      <c r="AM3635" s="79"/>
      <c r="AN3635" s="79"/>
      <c r="AO3635" s="79"/>
      <c r="AP3635" s="79"/>
      <c r="AQ3635" s="79"/>
      <c r="AR3635" s="78"/>
      <c r="AS3635" s="78"/>
      <c r="AT3635" s="79"/>
      <c r="AU3635" s="79"/>
      <c r="AV3635" s="79"/>
      <c r="AW3635" s="79"/>
      <c r="AX3635" s="79"/>
      <c r="AZ3635" s="81"/>
      <c r="BB3635" s="5"/>
      <c r="BC3635" s="5"/>
      <c r="BD3635" s="5"/>
      <c r="BE3635" s="5"/>
      <c r="BF3635" s="5"/>
      <c r="BG3635" s="5"/>
      <c r="BH3635" s="5"/>
      <c r="BI3635" s="5"/>
      <c r="BJ3635" s="5"/>
      <c r="BK3635" s="5"/>
      <c r="BL3635" s="5"/>
      <c r="BM3635" s="5"/>
      <c r="BN3635" s="5"/>
      <c r="BO3635" s="5"/>
      <c r="BP3635" s="5"/>
    </row>
    <row r="3636" spans="35:68" x14ac:dyDescent="0.25">
      <c r="AI3636" s="49"/>
      <c r="AJ3636" s="78"/>
      <c r="AK3636" s="79"/>
      <c r="AL3636" s="79"/>
      <c r="AM3636" s="79"/>
      <c r="AN3636" s="79"/>
      <c r="AO3636" s="79"/>
      <c r="AP3636" s="79"/>
      <c r="AQ3636" s="79"/>
      <c r="AR3636" s="78"/>
      <c r="AS3636" s="78"/>
      <c r="AT3636" s="79"/>
      <c r="AU3636" s="79"/>
      <c r="AV3636" s="79"/>
      <c r="AW3636" s="79"/>
      <c r="AX3636" s="79"/>
      <c r="AZ3636" s="81"/>
      <c r="BB3636" s="5"/>
      <c r="BC3636" s="5"/>
      <c r="BD3636" s="5"/>
      <c r="BE3636" s="5"/>
      <c r="BF3636" s="5"/>
      <c r="BG3636" s="5"/>
      <c r="BH3636" s="5"/>
      <c r="BI3636" s="5"/>
      <c r="BJ3636" s="5"/>
      <c r="BK3636" s="5"/>
      <c r="BL3636" s="5"/>
      <c r="BM3636" s="5"/>
      <c r="BN3636" s="5"/>
      <c r="BO3636" s="5"/>
      <c r="BP3636" s="5"/>
    </row>
    <row r="3637" spans="35:68" x14ac:dyDescent="0.25">
      <c r="AI3637" s="49"/>
      <c r="AJ3637" s="78"/>
      <c r="AK3637" s="79"/>
      <c r="AL3637" s="79"/>
      <c r="AM3637" s="79"/>
      <c r="AN3637" s="79"/>
      <c r="AO3637" s="79"/>
      <c r="AP3637" s="79"/>
      <c r="AQ3637" s="79"/>
      <c r="AR3637" s="78"/>
      <c r="AS3637" s="78"/>
      <c r="AT3637" s="79"/>
      <c r="AU3637" s="79"/>
      <c r="AV3637" s="79"/>
      <c r="AW3637" s="79"/>
      <c r="AX3637" s="79"/>
      <c r="AZ3637" s="81"/>
      <c r="BB3637" s="5"/>
      <c r="BC3637" s="5"/>
      <c r="BD3637" s="5"/>
      <c r="BE3637" s="5"/>
      <c r="BF3637" s="5"/>
      <c r="BG3637" s="5"/>
      <c r="BH3637" s="5"/>
      <c r="BI3637" s="5"/>
      <c r="BJ3637" s="5"/>
      <c r="BK3637" s="5"/>
      <c r="BL3637" s="5"/>
      <c r="BM3637" s="5"/>
      <c r="BN3637" s="5"/>
      <c r="BO3637" s="5"/>
      <c r="BP3637" s="5"/>
    </row>
    <row r="3638" spans="35:68" x14ac:dyDescent="0.25">
      <c r="AI3638" s="49"/>
      <c r="AJ3638" s="78"/>
      <c r="AK3638" s="79"/>
      <c r="AL3638" s="79"/>
      <c r="AM3638" s="79"/>
      <c r="AN3638" s="79"/>
      <c r="AO3638" s="79"/>
      <c r="AP3638" s="79"/>
      <c r="AQ3638" s="79"/>
      <c r="AR3638" s="78"/>
      <c r="AS3638" s="78"/>
      <c r="AT3638" s="79"/>
      <c r="AU3638" s="79"/>
      <c r="AV3638" s="79"/>
      <c r="AW3638" s="79"/>
      <c r="AX3638" s="79"/>
      <c r="AZ3638" s="81"/>
      <c r="BB3638" s="5"/>
      <c r="BC3638" s="5"/>
      <c r="BD3638" s="5"/>
      <c r="BE3638" s="5"/>
      <c r="BF3638" s="5"/>
      <c r="BG3638" s="5"/>
      <c r="BH3638" s="5"/>
      <c r="BI3638" s="5"/>
      <c r="BJ3638" s="5"/>
      <c r="BK3638" s="5"/>
      <c r="BL3638" s="5"/>
      <c r="BM3638" s="5"/>
      <c r="BN3638" s="5"/>
      <c r="BO3638" s="5"/>
      <c r="BP3638" s="5"/>
    </row>
    <row r="3639" spans="35:68" x14ac:dyDescent="0.25">
      <c r="AI3639" s="49"/>
      <c r="AJ3639" s="78"/>
      <c r="AK3639" s="79"/>
      <c r="AL3639" s="79"/>
      <c r="AM3639" s="79"/>
      <c r="AN3639" s="79"/>
      <c r="AO3639" s="79"/>
      <c r="AP3639" s="79"/>
      <c r="AQ3639" s="79"/>
      <c r="AR3639" s="78"/>
      <c r="AS3639" s="78"/>
      <c r="AT3639" s="79"/>
      <c r="AU3639" s="79"/>
      <c r="AV3639" s="79"/>
      <c r="AW3639" s="79"/>
      <c r="AX3639" s="79"/>
      <c r="AZ3639" s="81"/>
      <c r="BB3639" s="5"/>
      <c r="BC3639" s="5"/>
      <c r="BD3639" s="5"/>
      <c r="BE3639" s="5"/>
      <c r="BF3639" s="5"/>
      <c r="BG3639" s="5"/>
      <c r="BH3639" s="5"/>
      <c r="BI3639" s="5"/>
      <c r="BJ3639" s="5"/>
      <c r="BK3639" s="5"/>
      <c r="BL3639" s="5"/>
      <c r="BM3639" s="5"/>
      <c r="BN3639" s="5"/>
      <c r="BO3639" s="5"/>
      <c r="BP3639" s="5"/>
    </row>
    <row r="3640" spans="35:68" x14ac:dyDescent="0.25">
      <c r="AI3640" s="49"/>
      <c r="AJ3640" s="78"/>
      <c r="AK3640" s="79"/>
      <c r="AL3640" s="79"/>
      <c r="AM3640" s="79"/>
      <c r="AN3640" s="79"/>
      <c r="AO3640" s="79"/>
      <c r="AP3640" s="79"/>
      <c r="AQ3640" s="79"/>
      <c r="AR3640" s="78"/>
      <c r="AS3640" s="78"/>
      <c r="AT3640" s="79"/>
      <c r="AU3640" s="79"/>
      <c r="AV3640" s="79"/>
      <c r="AW3640" s="79"/>
      <c r="AX3640" s="79"/>
      <c r="AZ3640" s="81"/>
      <c r="BB3640" s="5"/>
      <c r="BC3640" s="5"/>
      <c r="BD3640" s="5"/>
      <c r="BE3640" s="5"/>
      <c r="BF3640" s="5"/>
      <c r="BG3640" s="5"/>
      <c r="BH3640" s="5"/>
      <c r="BI3640" s="5"/>
      <c r="BJ3640" s="5"/>
      <c r="BK3640" s="5"/>
      <c r="BL3640" s="5"/>
      <c r="BM3640" s="5"/>
      <c r="BN3640" s="5"/>
      <c r="BO3640" s="5"/>
      <c r="BP3640" s="5"/>
    </row>
    <row r="3641" spans="35:68" x14ac:dyDescent="0.25">
      <c r="AI3641" s="49"/>
      <c r="AJ3641" s="78"/>
      <c r="AK3641" s="79"/>
      <c r="AL3641" s="79"/>
      <c r="AM3641" s="79"/>
      <c r="AN3641" s="79"/>
      <c r="AO3641" s="79"/>
      <c r="AP3641" s="79"/>
      <c r="AQ3641" s="79"/>
      <c r="AR3641" s="78"/>
      <c r="AS3641" s="78"/>
      <c r="AT3641" s="79"/>
      <c r="AU3641" s="79"/>
      <c r="AV3641" s="79"/>
      <c r="AW3641" s="79"/>
      <c r="AX3641" s="79"/>
      <c r="AZ3641" s="81"/>
      <c r="BB3641" s="5"/>
      <c r="BC3641" s="5"/>
      <c r="BD3641" s="5"/>
      <c r="BE3641" s="5"/>
      <c r="BF3641" s="5"/>
      <c r="BG3641" s="5"/>
      <c r="BH3641" s="5"/>
      <c r="BI3641" s="5"/>
      <c r="BJ3641" s="5"/>
      <c r="BK3641" s="5"/>
      <c r="BL3641" s="5"/>
      <c r="BM3641" s="5"/>
      <c r="BN3641" s="5"/>
      <c r="BO3641" s="5"/>
      <c r="BP3641" s="5"/>
    </row>
    <row r="3642" spans="35:68" x14ac:dyDescent="0.25">
      <c r="AI3642" s="49"/>
      <c r="AJ3642" s="78"/>
      <c r="AK3642" s="79"/>
      <c r="AL3642" s="79"/>
      <c r="AM3642" s="79"/>
      <c r="AN3642" s="79"/>
      <c r="AO3642" s="79"/>
      <c r="AP3642" s="79"/>
      <c r="AQ3642" s="79"/>
      <c r="AR3642" s="78"/>
      <c r="AS3642" s="78"/>
      <c r="AT3642" s="79"/>
      <c r="AU3642" s="79"/>
      <c r="AV3642" s="79"/>
      <c r="AW3642" s="79"/>
      <c r="AX3642" s="79"/>
      <c r="AZ3642" s="81"/>
      <c r="BB3642" s="5"/>
      <c r="BC3642" s="5"/>
      <c r="BD3642" s="5"/>
      <c r="BE3642" s="5"/>
      <c r="BF3642" s="5"/>
      <c r="BG3642" s="5"/>
      <c r="BH3642" s="5"/>
      <c r="BI3642" s="5"/>
      <c r="BJ3642" s="5"/>
      <c r="BK3642" s="5"/>
      <c r="BL3642" s="5"/>
      <c r="BM3642" s="5"/>
      <c r="BN3642" s="5"/>
      <c r="BO3642" s="5"/>
      <c r="BP3642" s="5"/>
    </row>
    <row r="3643" spans="35:68" x14ac:dyDescent="0.25">
      <c r="AI3643" s="49"/>
      <c r="AJ3643" s="78"/>
      <c r="AK3643" s="79"/>
      <c r="AL3643" s="79"/>
      <c r="AM3643" s="79"/>
      <c r="AN3643" s="79"/>
      <c r="AO3643" s="79"/>
      <c r="AP3643" s="79"/>
      <c r="AQ3643" s="79"/>
      <c r="AR3643" s="78"/>
      <c r="AS3643" s="78"/>
      <c r="AT3643" s="79"/>
      <c r="AU3643" s="79"/>
      <c r="AV3643" s="79"/>
      <c r="AW3643" s="79"/>
      <c r="AX3643" s="79"/>
      <c r="AZ3643" s="81"/>
      <c r="BB3643" s="5"/>
      <c r="BC3643" s="5"/>
      <c r="BD3643" s="5"/>
      <c r="BE3643" s="5"/>
      <c r="BF3643" s="5"/>
      <c r="BG3643" s="5"/>
      <c r="BH3643" s="5"/>
      <c r="BI3643" s="5"/>
      <c r="BJ3643" s="5"/>
      <c r="BK3643" s="5"/>
      <c r="BL3643" s="5"/>
      <c r="BM3643" s="5"/>
      <c r="BN3643" s="5"/>
      <c r="BO3643" s="5"/>
      <c r="BP3643" s="5"/>
    </row>
    <row r="3644" spans="35:68" x14ac:dyDescent="0.25">
      <c r="AI3644" s="49"/>
      <c r="AJ3644" s="78"/>
      <c r="AK3644" s="79"/>
      <c r="AL3644" s="79"/>
      <c r="AM3644" s="79"/>
      <c r="AN3644" s="79"/>
      <c r="AO3644" s="79"/>
      <c r="AP3644" s="79"/>
      <c r="AQ3644" s="79"/>
      <c r="AR3644" s="78"/>
      <c r="AS3644" s="78"/>
      <c r="AT3644" s="79"/>
      <c r="AU3644" s="79"/>
      <c r="AV3644" s="79"/>
      <c r="AW3644" s="79"/>
      <c r="AX3644" s="79"/>
      <c r="AZ3644" s="81"/>
      <c r="BB3644" s="5"/>
      <c r="BC3644" s="5"/>
      <c r="BD3644" s="5"/>
      <c r="BE3644" s="5"/>
      <c r="BF3644" s="5"/>
      <c r="BG3644" s="5"/>
      <c r="BH3644" s="5"/>
      <c r="BI3644" s="5"/>
      <c r="BJ3644" s="5"/>
      <c r="BK3644" s="5"/>
      <c r="BL3644" s="5"/>
      <c r="BM3644" s="5"/>
      <c r="BN3644" s="5"/>
      <c r="BO3644" s="5"/>
      <c r="BP3644" s="5"/>
    </row>
    <row r="3645" spans="35:68" x14ac:dyDescent="0.25">
      <c r="AI3645" s="49"/>
      <c r="AJ3645" s="78"/>
      <c r="AK3645" s="79"/>
      <c r="AL3645" s="79"/>
      <c r="AM3645" s="79"/>
      <c r="AN3645" s="79"/>
      <c r="AO3645" s="79"/>
      <c r="AP3645" s="79"/>
      <c r="AQ3645" s="79"/>
      <c r="AR3645" s="78"/>
      <c r="AS3645" s="78"/>
      <c r="AT3645" s="79"/>
      <c r="AU3645" s="79"/>
      <c r="AV3645" s="79"/>
      <c r="AW3645" s="79"/>
      <c r="AX3645" s="79"/>
      <c r="AZ3645" s="81"/>
      <c r="BB3645" s="5"/>
      <c r="BC3645" s="5"/>
      <c r="BD3645" s="5"/>
      <c r="BE3645" s="5"/>
      <c r="BF3645" s="5"/>
      <c r="BG3645" s="5"/>
      <c r="BH3645" s="5"/>
      <c r="BI3645" s="5"/>
      <c r="BJ3645" s="5"/>
      <c r="BK3645" s="5"/>
      <c r="BL3645" s="5"/>
      <c r="BM3645" s="5"/>
      <c r="BN3645" s="5"/>
      <c r="BO3645" s="5"/>
      <c r="BP3645" s="5"/>
    </row>
    <row r="3646" spans="35:68" x14ac:dyDescent="0.25">
      <c r="AI3646" s="49"/>
      <c r="AJ3646" s="78"/>
      <c r="AK3646" s="79"/>
      <c r="AL3646" s="79"/>
      <c r="AM3646" s="79"/>
      <c r="AN3646" s="79"/>
      <c r="AO3646" s="79"/>
      <c r="AP3646" s="79"/>
      <c r="AQ3646" s="79"/>
      <c r="AR3646" s="78"/>
      <c r="AS3646" s="78"/>
      <c r="AT3646" s="79"/>
      <c r="AU3646" s="79"/>
      <c r="AV3646" s="79"/>
      <c r="AW3646" s="79"/>
      <c r="AX3646" s="79"/>
      <c r="AZ3646" s="81"/>
      <c r="BB3646" s="5"/>
      <c r="BC3646" s="5"/>
      <c r="BD3646" s="5"/>
      <c r="BE3646" s="5"/>
      <c r="BF3646" s="5"/>
      <c r="BG3646" s="5"/>
      <c r="BH3646" s="5"/>
      <c r="BI3646" s="5"/>
      <c r="BJ3646" s="5"/>
      <c r="BK3646" s="5"/>
      <c r="BL3646" s="5"/>
      <c r="BM3646" s="5"/>
      <c r="BN3646" s="5"/>
      <c r="BO3646" s="5"/>
      <c r="BP3646" s="5"/>
    </row>
    <row r="3647" spans="35:68" x14ac:dyDescent="0.25">
      <c r="AI3647" s="49"/>
      <c r="AJ3647" s="78"/>
      <c r="AK3647" s="79"/>
      <c r="AL3647" s="79"/>
      <c r="AM3647" s="79"/>
      <c r="AN3647" s="79"/>
      <c r="AO3647" s="79"/>
      <c r="AP3647" s="79"/>
      <c r="AQ3647" s="79"/>
      <c r="AR3647" s="78"/>
      <c r="AS3647" s="78"/>
      <c r="AT3647" s="79"/>
      <c r="AU3647" s="79"/>
      <c r="AV3647" s="79"/>
      <c r="AW3647" s="79"/>
      <c r="AX3647" s="79"/>
      <c r="AZ3647" s="81"/>
      <c r="BB3647" s="5"/>
      <c r="BC3647" s="5"/>
      <c r="BD3647" s="5"/>
      <c r="BE3647" s="5"/>
      <c r="BF3647" s="5"/>
      <c r="BG3647" s="5"/>
      <c r="BH3647" s="5"/>
      <c r="BI3647" s="5"/>
      <c r="BJ3647" s="5"/>
      <c r="BK3647" s="5"/>
      <c r="BL3647" s="5"/>
      <c r="BM3647" s="5"/>
      <c r="BN3647" s="5"/>
      <c r="BO3647" s="5"/>
      <c r="BP3647" s="5"/>
    </row>
    <row r="3648" spans="35:68" x14ac:dyDescent="0.25">
      <c r="AI3648" s="49"/>
      <c r="AJ3648" s="78"/>
      <c r="AK3648" s="79"/>
      <c r="AL3648" s="79"/>
      <c r="AM3648" s="79"/>
      <c r="AN3648" s="79"/>
      <c r="AO3648" s="79"/>
      <c r="AP3648" s="79"/>
      <c r="AQ3648" s="79"/>
      <c r="AR3648" s="78"/>
      <c r="AS3648" s="78"/>
      <c r="AT3648" s="79"/>
      <c r="AU3648" s="79"/>
      <c r="AV3648" s="79"/>
      <c r="AW3648" s="79"/>
      <c r="AX3648" s="79"/>
      <c r="AZ3648" s="81"/>
      <c r="BB3648" s="5"/>
      <c r="BC3648" s="5"/>
      <c r="BD3648" s="5"/>
      <c r="BE3648" s="5"/>
      <c r="BF3648" s="5"/>
      <c r="BG3648" s="5"/>
      <c r="BH3648" s="5"/>
      <c r="BI3648" s="5"/>
      <c r="BJ3648" s="5"/>
      <c r="BK3648" s="5"/>
      <c r="BL3648" s="5"/>
      <c r="BM3648" s="5"/>
      <c r="BN3648" s="5"/>
      <c r="BO3648" s="5"/>
      <c r="BP3648" s="5"/>
    </row>
    <row r="3649" spans="35:68" x14ac:dyDescent="0.25">
      <c r="AI3649" s="49"/>
      <c r="AJ3649" s="78"/>
      <c r="AK3649" s="79"/>
      <c r="AL3649" s="79"/>
      <c r="AM3649" s="79"/>
      <c r="AN3649" s="79"/>
      <c r="AO3649" s="79"/>
      <c r="AP3649" s="79"/>
      <c r="AQ3649" s="79"/>
      <c r="AR3649" s="78"/>
      <c r="AS3649" s="78"/>
      <c r="AT3649" s="79"/>
      <c r="AU3649" s="79"/>
      <c r="AV3649" s="79"/>
      <c r="AW3649" s="79"/>
      <c r="AX3649" s="79"/>
      <c r="AZ3649" s="81"/>
      <c r="BB3649" s="5"/>
      <c r="BC3649" s="5"/>
      <c r="BD3649" s="5"/>
      <c r="BE3649" s="5"/>
      <c r="BF3649" s="5"/>
      <c r="BG3649" s="5"/>
      <c r="BH3649" s="5"/>
      <c r="BI3649" s="5"/>
      <c r="BJ3649" s="5"/>
      <c r="BK3649" s="5"/>
      <c r="BL3649" s="5"/>
      <c r="BM3649" s="5"/>
      <c r="BN3649" s="5"/>
      <c r="BO3649" s="5"/>
      <c r="BP3649" s="5"/>
    </row>
    <row r="3650" spans="35:68" x14ac:dyDescent="0.25">
      <c r="AI3650" s="49"/>
      <c r="AJ3650" s="78"/>
      <c r="AK3650" s="79"/>
      <c r="AL3650" s="79"/>
      <c r="AM3650" s="79"/>
      <c r="AN3650" s="79"/>
      <c r="AO3650" s="79"/>
      <c r="AP3650" s="79"/>
      <c r="AQ3650" s="79"/>
      <c r="AR3650" s="78"/>
      <c r="AS3650" s="78"/>
      <c r="AT3650" s="79"/>
      <c r="AU3650" s="79"/>
      <c r="AV3650" s="79"/>
      <c r="AW3650" s="79"/>
      <c r="AX3650" s="79"/>
      <c r="AZ3650" s="81"/>
      <c r="BB3650" s="5"/>
      <c r="BC3650" s="5"/>
      <c r="BD3650" s="5"/>
      <c r="BE3650" s="5"/>
      <c r="BF3650" s="5"/>
      <c r="BG3650" s="5"/>
      <c r="BH3650" s="5"/>
      <c r="BI3650" s="5"/>
      <c r="BJ3650" s="5"/>
      <c r="BK3650" s="5"/>
      <c r="BL3650" s="5"/>
      <c r="BM3650" s="5"/>
      <c r="BN3650" s="5"/>
      <c r="BO3650" s="5"/>
      <c r="BP3650" s="5"/>
    </row>
    <row r="3651" spans="35:68" x14ac:dyDescent="0.25">
      <c r="AI3651" s="49"/>
      <c r="AJ3651" s="78"/>
      <c r="AK3651" s="79"/>
      <c r="AL3651" s="79"/>
      <c r="AM3651" s="79"/>
      <c r="AN3651" s="79"/>
      <c r="AO3651" s="79"/>
      <c r="AP3651" s="79"/>
      <c r="AQ3651" s="79"/>
      <c r="AR3651" s="78"/>
      <c r="AS3651" s="78"/>
      <c r="AT3651" s="79"/>
      <c r="AU3651" s="79"/>
      <c r="AV3651" s="79"/>
      <c r="AW3651" s="79"/>
      <c r="AX3651" s="79"/>
      <c r="AZ3651" s="81"/>
      <c r="BB3651" s="5"/>
      <c r="BC3651" s="5"/>
      <c r="BD3651" s="5"/>
      <c r="BE3651" s="5"/>
      <c r="BF3651" s="5"/>
      <c r="BG3651" s="5"/>
      <c r="BH3651" s="5"/>
      <c r="BI3651" s="5"/>
      <c r="BJ3651" s="5"/>
      <c r="BK3651" s="5"/>
      <c r="BL3651" s="5"/>
      <c r="BM3651" s="5"/>
      <c r="BN3651" s="5"/>
      <c r="BO3651" s="5"/>
      <c r="BP3651" s="5"/>
    </row>
    <row r="3652" spans="35:68" x14ac:dyDescent="0.25">
      <c r="AI3652" s="49"/>
      <c r="AJ3652" s="78"/>
      <c r="AK3652" s="79"/>
      <c r="AL3652" s="79"/>
      <c r="AM3652" s="79"/>
      <c r="AN3652" s="79"/>
      <c r="AO3652" s="79"/>
      <c r="AP3652" s="79"/>
      <c r="AQ3652" s="79"/>
      <c r="AR3652" s="78"/>
      <c r="AS3652" s="78"/>
      <c r="AT3652" s="79"/>
      <c r="AU3652" s="79"/>
      <c r="AV3652" s="79"/>
      <c r="AW3652" s="79"/>
      <c r="AX3652" s="79"/>
      <c r="AZ3652" s="81"/>
      <c r="BB3652" s="5"/>
      <c r="BC3652" s="5"/>
      <c r="BD3652" s="5"/>
      <c r="BE3652" s="5"/>
      <c r="BF3652" s="5"/>
      <c r="BG3652" s="5"/>
      <c r="BH3652" s="5"/>
      <c r="BI3652" s="5"/>
      <c r="BJ3652" s="5"/>
      <c r="BK3652" s="5"/>
      <c r="BL3652" s="5"/>
      <c r="BM3652" s="5"/>
      <c r="BN3652" s="5"/>
      <c r="BO3652" s="5"/>
      <c r="BP3652" s="5"/>
    </row>
    <row r="3653" spans="35:68" x14ac:dyDescent="0.25">
      <c r="AI3653" s="49"/>
      <c r="AJ3653" s="78"/>
      <c r="AK3653" s="79"/>
      <c r="AL3653" s="79"/>
      <c r="AM3653" s="79"/>
      <c r="AN3653" s="79"/>
      <c r="AO3653" s="79"/>
      <c r="AP3653" s="79"/>
      <c r="AQ3653" s="79"/>
      <c r="AR3653" s="78"/>
      <c r="AS3653" s="78"/>
      <c r="AT3653" s="79"/>
      <c r="AU3653" s="79"/>
      <c r="AV3653" s="79"/>
      <c r="AW3653" s="79"/>
      <c r="AX3653" s="79"/>
      <c r="AZ3653" s="81"/>
      <c r="BB3653" s="5"/>
      <c r="BC3653" s="5"/>
      <c r="BD3653" s="5"/>
      <c r="BE3653" s="5"/>
      <c r="BF3653" s="5"/>
      <c r="BG3653" s="5"/>
      <c r="BH3653" s="5"/>
      <c r="BI3653" s="5"/>
      <c r="BJ3653" s="5"/>
      <c r="BK3653" s="5"/>
      <c r="BL3653" s="5"/>
      <c r="BM3653" s="5"/>
      <c r="BN3653" s="5"/>
      <c r="BO3653" s="5"/>
      <c r="BP3653" s="5"/>
    </row>
    <row r="3654" spans="35:68" x14ac:dyDescent="0.25">
      <c r="AI3654" s="49"/>
      <c r="AJ3654" s="78"/>
      <c r="AK3654" s="79"/>
      <c r="AL3654" s="79"/>
      <c r="AM3654" s="79"/>
      <c r="AN3654" s="79"/>
      <c r="AO3654" s="79"/>
      <c r="AP3654" s="79"/>
      <c r="AQ3654" s="79"/>
      <c r="AR3654" s="78"/>
      <c r="AS3654" s="78"/>
      <c r="AT3654" s="79"/>
      <c r="AU3654" s="79"/>
      <c r="AV3654" s="79"/>
      <c r="AW3654" s="79"/>
      <c r="AX3654" s="79"/>
      <c r="AZ3654" s="81"/>
      <c r="BB3654" s="5"/>
      <c r="BC3654" s="5"/>
      <c r="BD3654" s="5"/>
      <c r="BE3654" s="5"/>
      <c r="BF3654" s="5"/>
      <c r="BG3654" s="5"/>
      <c r="BH3654" s="5"/>
      <c r="BI3654" s="5"/>
      <c r="BJ3654" s="5"/>
      <c r="BK3654" s="5"/>
      <c r="BL3654" s="5"/>
      <c r="BM3654" s="5"/>
      <c r="BN3654" s="5"/>
      <c r="BO3654" s="5"/>
      <c r="BP3654" s="5"/>
    </row>
    <row r="3655" spans="35:68" x14ac:dyDescent="0.25">
      <c r="AI3655" s="49"/>
      <c r="AJ3655" s="78"/>
      <c r="AK3655" s="79"/>
      <c r="AL3655" s="79"/>
      <c r="AM3655" s="79"/>
      <c r="AN3655" s="79"/>
      <c r="AO3655" s="79"/>
      <c r="AP3655" s="79"/>
      <c r="AQ3655" s="79"/>
      <c r="AR3655" s="78"/>
      <c r="AS3655" s="78"/>
      <c r="AT3655" s="79"/>
      <c r="AU3655" s="79"/>
      <c r="AV3655" s="79"/>
      <c r="AW3655" s="79"/>
      <c r="AX3655" s="79"/>
      <c r="AZ3655" s="81"/>
      <c r="BB3655" s="5"/>
      <c r="BC3655" s="5"/>
      <c r="BD3655" s="5"/>
      <c r="BE3655" s="5"/>
      <c r="BF3655" s="5"/>
      <c r="BG3655" s="5"/>
      <c r="BH3655" s="5"/>
      <c r="BI3655" s="5"/>
      <c r="BJ3655" s="5"/>
      <c r="BK3655" s="5"/>
      <c r="BL3655" s="5"/>
      <c r="BM3655" s="5"/>
      <c r="BN3655" s="5"/>
      <c r="BO3655" s="5"/>
      <c r="BP3655" s="5"/>
    </row>
    <row r="3656" spans="35:68" x14ac:dyDescent="0.25">
      <c r="AI3656" s="49"/>
      <c r="AJ3656" s="78"/>
      <c r="AK3656" s="79"/>
      <c r="AL3656" s="79"/>
      <c r="AM3656" s="79"/>
      <c r="AN3656" s="79"/>
      <c r="AO3656" s="79"/>
      <c r="AP3656" s="79"/>
      <c r="AQ3656" s="79"/>
      <c r="AR3656" s="78"/>
      <c r="AS3656" s="78"/>
      <c r="AT3656" s="79"/>
      <c r="AU3656" s="79"/>
      <c r="AV3656" s="79"/>
      <c r="AW3656" s="79"/>
      <c r="AX3656" s="79"/>
      <c r="AZ3656" s="81"/>
      <c r="BB3656" s="5"/>
      <c r="BC3656" s="5"/>
      <c r="BD3656" s="5"/>
      <c r="BE3656" s="5"/>
      <c r="BF3656" s="5"/>
      <c r="BG3656" s="5"/>
      <c r="BH3656" s="5"/>
      <c r="BI3656" s="5"/>
      <c r="BJ3656" s="5"/>
      <c r="BK3656" s="5"/>
      <c r="BL3656" s="5"/>
      <c r="BM3656" s="5"/>
      <c r="BN3656" s="5"/>
      <c r="BO3656" s="5"/>
      <c r="BP3656" s="5"/>
    </row>
    <row r="3657" spans="35:68" x14ac:dyDescent="0.25">
      <c r="AI3657" s="49"/>
      <c r="AJ3657" s="78"/>
      <c r="AK3657" s="79"/>
      <c r="AL3657" s="79"/>
      <c r="AM3657" s="79"/>
      <c r="AN3657" s="79"/>
      <c r="AO3657" s="79"/>
      <c r="AP3657" s="79"/>
      <c r="AQ3657" s="79"/>
      <c r="AR3657" s="78"/>
      <c r="AS3657" s="78"/>
      <c r="AT3657" s="79"/>
      <c r="AU3657" s="79"/>
      <c r="AV3657" s="79"/>
      <c r="AW3657" s="79"/>
      <c r="AX3657" s="79"/>
      <c r="AZ3657" s="81"/>
      <c r="BB3657" s="5"/>
      <c r="BC3657" s="5"/>
      <c r="BD3657" s="5"/>
      <c r="BE3657" s="5"/>
      <c r="BF3657" s="5"/>
      <c r="BG3657" s="5"/>
      <c r="BH3657" s="5"/>
      <c r="BI3657" s="5"/>
      <c r="BJ3657" s="5"/>
      <c r="BK3657" s="5"/>
      <c r="BL3657" s="5"/>
      <c r="BM3657" s="5"/>
      <c r="BN3657" s="5"/>
      <c r="BO3657" s="5"/>
      <c r="BP3657" s="5"/>
    </row>
    <row r="3658" spans="35:68" x14ac:dyDescent="0.25">
      <c r="AI3658" s="49"/>
      <c r="AJ3658" s="78"/>
      <c r="AK3658" s="79"/>
      <c r="AL3658" s="79"/>
      <c r="AM3658" s="79"/>
      <c r="AN3658" s="79"/>
      <c r="AO3658" s="79"/>
      <c r="AP3658" s="79"/>
      <c r="AQ3658" s="79"/>
      <c r="AR3658" s="78"/>
      <c r="AS3658" s="78"/>
      <c r="AT3658" s="79"/>
      <c r="AU3658" s="79"/>
      <c r="AV3658" s="79"/>
      <c r="AW3658" s="79"/>
      <c r="AX3658" s="79"/>
      <c r="AZ3658" s="81"/>
      <c r="BB3658" s="5"/>
      <c r="BC3658" s="5"/>
      <c r="BD3658" s="5"/>
      <c r="BE3658" s="5"/>
      <c r="BF3658" s="5"/>
      <c r="BG3658" s="5"/>
      <c r="BH3658" s="5"/>
      <c r="BI3658" s="5"/>
      <c r="BJ3658" s="5"/>
      <c r="BK3658" s="5"/>
      <c r="BL3658" s="5"/>
      <c r="BM3658" s="5"/>
      <c r="BN3658" s="5"/>
      <c r="BO3658" s="5"/>
      <c r="BP3658" s="5"/>
    </row>
    <row r="3659" spans="35:68" x14ac:dyDescent="0.25">
      <c r="AI3659" s="49"/>
      <c r="AJ3659" s="78"/>
      <c r="AK3659" s="79"/>
      <c r="AL3659" s="79"/>
      <c r="AM3659" s="79"/>
      <c r="AN3659" s="79"/>
      <c r="AO3659" s="79"/>
      <c r="AP3659" s="79"/>
      <c r="AQ3659" s="79"/>
      <c r="AR3659" s="78"/>
      <c r="AS3659" s="78"/>
      <c r="AT3659" s="79"/>
      <c r="AU3659" s="79"/>
      <c r="AV3659" s="79"/>
      <c r="AW3659" s="79"/>
      <c r="AX3659" s="79"/>
      <c r="AZ3659" s="81"/>
      <c r="BB3659" s="5"/>
      <c r="BC3659" s="5"/>
      <c r="BD3659" s="5"/>
      <c r="BE3659" s="5"/>
      <c r="BF3659" s="5"/>
      <c r="BG3659" s="5"/>
      <c r="BH3659" s="5"/>
      <c r="BI3659" s="5"/>
      <c r="BJ3659" s="5"/>
      <c r="BK3659" s="5"/>
      <c r="BL3659" s="5"/>
      <c r="BM3659" s="5"/>
      <c r="BN3659" s="5"/>
      <c r="BO3659" s="5"/>
      <c r="BP3659" s="5"/>
    </row>
    <row r="3660" spans="35:68" x14ac:dyDescent="0.25">
      <c r="AI3660" s="49"/>
      <c r="AJ3660" s="78"/>
      <c r="AK3660" s="79"/>
      <c r="AL3660" s="79"/>
      <c r="AM3660" s="79"/>
      <c r="AN3660" s="79"/>
      <c r="AO3660" s="79"/>
      <c r="AP3660" s="79"/>
      <c r="AQ3660" s="79"/>
      <c r="AR3660" s="78"/>
      <c r="AS3660" s="78"/>
      <c r="AT3660" s="79"/>
      <c r="AU3660" s="79"/>
      <c r="AV3660" s="79"/>
      <c r="AW3660" s="79"/>
      <c r="AX3660" s="79"/>
      <c r="AZ3660" s="81"/>
      <c r="BB3660" s="5"/>
      <c r="BC3660" s="5"/>
      <c r="BD3660" s="5"/>
      <c r="BE3660" s="5"/>
      <c r="BF3660" s="5"/>
      <c r="BG3660" s="5"/>
      <c r="BH3660" s="5"/>
      <c r="BI3660" s="5"/>
      <c r="BJ3660" s="5"/>
      <c r="BK3660" s="5"/>
      <c r="BL3660" s="5"/>
      <c r="BM3660" s="5"/>
      <c r="BN3660" s="5"/>
      <c r="BO3660" s="5"/>
      <c r="BP3660" s="5"/>
    </row>
    <row r="3661" spans="35:68" x14ac:dyDescent="0.25">
      <c r="AI3661" s="49"/>
      <c r="AJ3661" s="78"/>
      <c r="AK3661" s="79"/>
      <c r="AL3661" s="79"/>
      <c r="AM3661" s="79"/>
      <c r="AN3661" s="79"/>
      <c r="AO3661" s="79"/>
      <c r="AP3661" s="79"/>
      <c r="AQ3661" s="79"/>
      <c r="AR3661" s="78"/>
      <c r="AS3661" s="78"/>
      <c r="AT3661" s="79"/>
      <c r="AU3661" s="79"/>
      <c r="AV3661" s="79"/>
      <c r="AW3661" s="79"/>
      <c r="AX3661" s="79"/>
      <c r="AZ3661" s="81"/>
      <c r="BB3661" s="5"/>
      <c r="BC3661" s="5"/>
      <c r="BD3661" s="5"/>
      <c r="BE3661" s="5"/>
      <c r="BF3661" s="5"/>
      <c r="BG3661" s="5"/>
      <c r="BH3661" s="5"/>
      <c r="BI3661" s="5"/>
      <c r="BJ3661" s="5"/>
      <c r="BK3661" s="5"/>
      <c r="BL3661" s="5"/>
      <c r="BM3661" s="5"/>
      <c r="BN3661" s="5"/>
      <c r="BO3661" s="5"/>
      <c r="BP3661" s="5"/>
    </row>
    <row r="3662" spans="35:68" x14ac:dyDescent="0.25">
      <c r="AI3662" s="49"/>
      <c r="AJ3662" s="78"/>
      <c r="AK3662" s="79"/>
      <c r="AL3662" s="79"/>
      <c r="AM3662" s="79"/>
      <c r="AN3662" s="79"/>
      <c r="AO3662" s="79"/>
      <c r="AP3662" s="79"/>
      <c r="AQ3662" s="79"/>
      <c r="AR3662" s="78"/>
      <c r="AS3662" s="78"/>
      <c r="AT3662" s="79"/>
      <c r="AU3662" s="79"/>
      <c r="AV3662" s="79"/>
      <c r="AW3662" s="79"/>
      <c r="AX3662" s="79"/>
      <c r="AZ3662" s="81"/>
      <c r="BB3662" s="5"/>
      <c r="BC3662" s="5"/>
      <c r="BD3662" s="5"/>
      <c r="BE3662" s="5"/>
      <c r="BF3662" s="5"/>
      <c r="BG3662" s="5"/>
      <c r="BH3662" s="5"/>
      <c r="BI3662" s="5"/>
      <c r="BJ3662" s="5"/>
      <c r="BK3662" s="5"/>
      <c r="BL3662" s="5"/>
      <c r="BM3662" s="5"/>
      <c r="BN3662" s="5"/>
      <c r="BO3662" s="5"/>
      <c r="BP3662" s="5"/>
    </row>
    <row r="3663" spans="35:68" x14ac:dyDescent="0.25">
      <c r="AI3663" s="49"/>
      <c r="AJ3663" s="78"/>
      <c r="AK3663" s="79"/>
      <c r="AL3663" s="79"/>
      <c r="AM3663" s="79"/>
      <c r="AN3663" s="79"/>
      <c r="AO3663" s="79"/>
      <c r="AP3663" s="79"/>
      <c r="AQ3663" s="79"/>
      <c r="AR3663" s="78"/>
      <c r="AS3663" s="78"/>
      <c r="AT3663" s="79"/>
      <c r="AU3663" s="79"/>
      <c r="AV3663" s="79"/>
      <c r="AW3663" s="79"/>
      <c r="AX3663" s="79"/>
      <c r="AZ3663" s="81"/>
      <c r="BB3663" s="5"/>
      <c r="BC3663" s="5"/>
      <c r="BD3663" s="5"/>
      <c r="BE3663" s="5"/>
      <c r="BF3663" s="5"/>
      <c r="BG3663" s="5"/>
      <c r="BH3663" s="5"/>
      <c r="BI3663" s="5"/>
      <c r="BJ3663" s="5"/>
      <c r="BK3663" s="5"/>
      <c r="BL3663" s="5"/>
      <c r="BM3663" s="5"/>
      <c r="BN3663" s="5"/>
      <c r="BO3663" s="5"/>
      <c r="BP3663" s="5"/>
    </row>
    <row r="3664" spans="35:68" x14ac:dyDescent="0.25">
      <c r="AI3664" s="49"/>
      <c r="AJ3664" s="78"/>
      <c r="AK3664" s="79"/>
      <c r="AL3664" s="79"/>
      <c r="AM3664" s="79"/>
      <c r="AN3664" s="79"/>
      <c r="AO3664" s="79"/>
      <c r="AP3664" s="79"/>
      <c r="AQ3664" s="79"/>
      <c r="AR3664" s="78"/>
      <c r="AS3664" s="78"/>
      <c r="AT3664" s="79"/>
      <c r="AU3664" s="79"/>
      <c r="AV3664" s="79"/>
      <c r="AW3664" s="79"/>
      <c r="AX3664" s="79"/>
      <c r="AZ3664" s="81"/>
      <c r="BB3664" s="5"/>
      <c r="BC3664" s="5"/>
      <c r="BD3664" s="5"/>
      <c r="BE3664" s="5"/>
      <c r="BF3664" s="5"/>
      <c r="BG3664" s="5"/>
      <c r="BH3664" s="5"/>
      <c r="BI3664" s="5"/>
      <c r="BJ3664" s="5"/>
      <c r="BK3664" s="5"/>
      <c r="BL3664" s="5"/>
      <c r="BM3664" s="5"/>
      <c r="BN3664" s="5"/>
      <c r="BO3664" s="5"/>
      <c r="BP3664" s="5"/>
    </row>
    <row r="3665" spans="35:68" x14ac:dyDescent="0.25">
      <c r="AI3665" s="49"/>
      <c r="AJ3665" s="78"/>
      <c r="AK3665" s="79"/>
      <c r="AL3665" s="79"/>
      <c r="AM3665" s="79"/>
      <c r="AN3665" s="79"/>
      <c r="AO3665" s="79"/>
      <c r="AP3665" s="79"/>
      <c r="AQ3665" s="79"/>
      <c r="AR3665" s="78"/>
      <c r="AS3665" s="78"/>
      <c r="AT3665" s="79"/>
      <c r="AU3665" s="79"/>
      <c r="AV3665" s="79"/>
      <c r="AW3665" s="79"/>
      <c r="AX3665" s="79"/>
      <c r="AZ3665" s="81"/>
      <c r="BB3665" s="5"/>
      <c r="BC3665" s="5"/>
      <c r="BD3665" s="5"/>
      <c r="BE3665" s="5"/>
      <c r="BF3665" s="5"/>
      <c r="BG3665" s="5"/>
      <c r="BH3665" s="5"/>
      <c r="BI3665" s="5"/>
      <c r="BJ3665" s="5"/>
      <c r="BK3665" s="5"/>
      <c r="BL3665" s="5"/>
      <c r="BM3665" s="5"/>
      <c r="BN3665" s="5"/>
      <c r="BO3665" s="5"/>
      <c r="BP3665" s="5"/>
    </row>
    <row r="3666" spans="35:68" x14ac:dyDescent="0.25">
      <c r="AI3666" s="49"/>
      <c r="AJ3666" s="78"/>
      <c r="AK3666" s="79"/>
      <c r="AL3666" s="79"/>
      <c r="AM3666" s="79"/>
      <c r="AN3666" s="79"/>
      <c r="AO3666" s="79"/>
      <c r="AP3666" s="79"/>
      <c r="AQ3666" s="79"/>
      <c r="AR3666" s="78"/>
      <c r="AS3666" s="78"/>
      <c r="AT3666" s="79"/>
      <c r="AU3666" s="79"/>
      <c r="AV3666" s="79"/>
      <c r="AW3666" s="79"/>
      <c r="AX3666" s="79"/>
      <c r="AZ3666" s="81"/>
      <c r="BB3666" s="5"/>
      <c r="BC3666" s="5"/>
      <c r="BD3666" s="5"/>
      <c r="BE3666" s="5"/>
      <c r="BF3666" s="5"/>
      <c r="BG3666" s="5"/>
      <c r="BH3666" s="5"/>
      <c r="BI3666" s="5"/>
      <c r="BJ3666" s="5"/>
      <c r="BK3666" s="5"/>
      <c r="BL3666" s="5"/>
      <c r="BM3666" s="5"/>
      <c r="BN3666" s="5"/>
      <c r="BO3666" s="5"/>
      <c r="BP3666" s="5"/>
    </row>
    <row r="3667" spans="35:68" x14ac:dyDescent="0.25">
      <c r="AI3667" s="49"/>
      <c r="AJ3667" s="78"/>
      <c r="AK3667" s="79"/>
      <c r="AL3667" s="79"/>
      <c r="AM3667" s="79"/>
      <c r="AN3667" s="79"/>
      <c r="AO3667" s="79"/>
      <c r="AP3667" s="79"/>
      <c r="AQ3667" s="79"/>
      <c r="AR3667" s="78"/>
      <c r="AS3667" s="78"/>
      <c r="AT3667" s="79"/>
      <c r="AU3667" s="79"/>
      <c r="AV3667" s="79"/>
      <c r="AW3667" s="79"/>
      <c r="AX3667" s="79"/>
      <c r="AZ3667" s="81"/>
      <c r="BB3667" s="5"/>
      <c r="BC3667" s="5"/>
      <c r="BD3667" s="5"/>
      <c r="BE3667" s="5"/>
      <c r="BF3667" s="5"/>
      <c r="BG3667" s="5"/>
      <c r="BH3667" s="5"/>
      <c r="BI3667" s="5"/>
      <c r="BJ3667" s="5"/>
      <c r="BK3667" s="5"/>
      <c r="BL3667" s="5"/>
      <c r="BM3667" s="5"/>
      <c r="BN3667" s="5"/>
      <c r="BO3667" s="5"/>
      <c r="BP3667" s="5"/>
    </row>
    <row r="3668" spans="35:68" x14ac:dyDescent="0.25">
      <c r="AI3668" s="49"/>
      <c r="AJ3668" s="78"/>
      <c r="AK3668" s="79"/>
      <c r="AL3668" s="79"/>
      <c r="AM3668" s="79"/>
      <c r="AN3668" s="79"/>
      <c r="AO3668" s="79"/>
      <c r="AP3668" s="79"/>
      <c r="AQ3668" s="79"/>
      <c r="AR3668" s="78"/>
      <c r="AS3668" s="78"/>
      <c r="AT3668" s="79"/>
      <c r="AU3668" s="79"/>
      <c r="AV3668" s="79"/>
      <c r="AW3668" s="79"/>
      <c r="AX3668" s="79"/>
      <c r="AZ3668" s="81"/>
      <c r="BB3668" s="5"/>
      <c r="BC3668" s="5"/>
      <c r="BD3668" s="5"/>
      <c r="BE3668" s="5"/>
      <c r="BF3668" s="5"/>
      <c r="BG3668" s="5"/>
      <c r="BH3668" s="5"/>
      <c r="BI3668" s="5"/>
      <c r="BJ3668" s="5"/>
      <c r="BK3668" s="5"/>
      <c r="BL3668" s="5"/>
      <c r="BM3668" s="5"/>
      <c r="BN3668" s="5"/>
      <c r="BO3668" s="5"/>
      <c r="BP3668" s="5"/>
    </row>
    <row r="3669" spans="35:68" x14ac:dyDescent="0.25">
      <c r="AI3669" s="49"/>
      <c r="AJ3669" s="78"/>
      <c r="AK3669" s="79"/>
      <c r="AL3669" s="79"/>
      <c r="AM3669" s="79"/>
      <c r="AN3669" s="79"/>
      <c r="AO3669" s="79"/>
      <c r="AP3669" s="79"/>
      <c r="AQ3669" s="79"/>
      <c r="AR3669" s="78"/>
      <c r="AS3669" s="78"/>
      <c r="AT3669" s="79"/>
      <c r="AU3669" s="79"/>
      <c r="AV3669" s="79"/>
      <c r="AW3669" s="79"/>
      <c r="AX3669" s="79"/>
      <c r="AZ3669" s="81"/>
      <c r="BB3669" s="5"/>
      <c r="BC3669" s="5"/>
      <c r="BD3669" s="5"/>
      <c r="BE3669" s="5"/>
      <c r="BF3669" s="5"/>
      <c r="BG3669" s="5"/>
      <c r="BH3669" s="5"/>
      <c r="BI3669" s="5"/>
      <c r="BJ3669" s="5"/>
      <c r="BK3669" s="5"/>
      <c r="BL3669" s="5"/>
      <c r="BM3669" s="5"/>
      <c r="BN3669" s="5"/>
      <c r="BO3669" s="5"/>
      <c r="BP3669" s="5"/>
    </row>
    <row r="3670" spans="35:68" x14ac:dyDescent="0.25">
      <c r="AI3670" s="49"/>
      <c r="AJ3670" s="78"/>
      <c r="AK3670" s="79"/>
      <c r="AL3670" s="79"/>
      <c r="AM3670" s="79"/>
      <c r="AN3670" s="79"/>
      <c r="AO3670" s="79"/>
      <c r="AP3670" s="79"/>
      <c r="AQ3670" s="79"/>
      <c r="AR3670" s="78"/>
      <c r="AS3670" s="78"/>
      <c r="AT3670" s="79"/>
      <c r="AU3670" s="79"/>
      <c r="AV3670" s="79"/>
      <c r="AW3670" s="79"/>
      <c r="AX3670" s="79"/>
      <c r="AZ3670" s="81"/>
      <c r="BB3670" s="5"/>
      <c r="BC3670" s="5"/>
      <c r="BD3670" s="5"/>
      <c r="BE3670" s="5"/>
      <c r="BF3670" s="5"/>
      <c r="BG3670" s="5"/>
      <c r="BH3670" s="5"/>
      <c r="BI3670" s="5"/>
      <c r="BJ3670" s="5"/>
      <c r="BK3670" s="5"/>
      <c r="BL3670" s="5"/>
      <c r="BM3670" s="5"/>
      <c r="BN3670" s="5"/>
      <c r="BO3670" s="5"/>
      <c r="BP3670" s="5"/>
    </row>
    <row r="3671" spans="35:68" x14ac:dyDescent="0.25">
      <c r="AI3671" s="49"/>
      <c r="AJ3671" s="78"/>
      <c r="AK3671" s="79"/>
      <c r="AL3671" s="79"/>
      <c r="AM3671" s="79"/>
      <c r="AN3671" s="79"/>
      <c r="AO3671" s="79"/>
      <c r="AP3671" s="79"/>
      <c r="AQ3671" s="79"/>
      <c r="AR3671" s="78"/>
      <c r="AS3671" s="78"/>
      <c r="AT3671" s="79"/>
      <c r="AU3671" s="79"/>
      <c r="AV3671" s="79"/>
      <c r="AW3671" s="79"/>
      <c r="AX3671" s="79"/>
      <c r="AZ3671" s="81"/>
      <c r="BB3671" s="5"/>
      <c r="BC3671" s="5"/>
      <c r="BD3671" s="5"/>
      <c r="BE3671" s="5"/>
      <c r="BF3671" s="5"/>
      <c r="BG3671" s="5"/>
      <c r="BH3671" s="5"/>
      <c r="BI3671" s="5"/>
      <c r="BJ3671" s="5"/>
      <c r="BK3671" s="5"/>
      <c r="BL3671" s="5"/>
      <c r="BM3671" s="5"/>
      <c r="BN3671" s="5"/>
      <c r="BO3671" s="5"/>
      <c r="BP3671" s="5"/>
    </row>
    <row r="3672" spans="35:68" x14ac:dyDescent="0.25">
      <c r="AI3672" s="49"/>
      <c r="AJ3672" s="78"/>
      <c r="AK3672" s="79"/>
      <c r="AL3672" s="79"/>
      <c r="AM3672" s="79"/>
      <c r="AN3672" s="79"/>
      <c r="AO3672" s="79"/>
      <c r="AP3672" s="79"/>
      <c r="AQ3672" s="79"/>
      <c r="AR3672" s="78"/>
      <c r="AS3672" s="78"/>
      <c r="AT3672" s="79"/>
      <c r="AU3672" s="79"/>
      <c r="AV3672" s="79"/>
      <c r="AW3672" s="79"/>
      <c r="AX3672" s="79"/>
      <c r="AZ3672" s="81"/>
      <c r="BB3672" s="5"/>
      <c r="BC3672" s="5"/>
      <c r="BD3672" s="5"/>
      <c r="BE3672" s="5"/>
      <c r="BF3672" s="5"/>
      <c r="BG3672" s="5"/>
      <c r="BH3672" s="5"/>
      <c r="BI3672" s="5"/>
      <c r="BJ3672" s="5"/>
      <c r="BK3672" s="5"/>
      <c r="BL3672" s="5"/>
      <c r="BM3672" s="5"/>
      <c r="BN3672" s="5"/>
      <c r="BO3672" s="5"/>
      <c r="BP3672" s="5"/>
    </row>
    <row r="3673" spans="35:68" x14ac:dyDescent="0.25">
      <c r="AI3673" s="49"/>
      <c r="AJ3673" s="78"/>
      <c r="AK3673" s="79"/>
      <c r="AL3673" s="79"/>
      <c r="AM3673" s="79"/>
      <c r="AN3673" s="79"/>
      <c r="AO3673" s="79"/>
      <c r="AP3673" s="79"/>
      <c r="AQ3673" s="79"/>
      <c r="AR3673" s="78"/>
      <c r="AS3673" s="78"/>
      <c r="AT3673" s="79"/>
      <c r="AU3673" s="79"/>
      <c r="AV3673" s="79"/>
      <c r="AW3673" s="79"/>
      <c r="AX3673" s="79"/>
      <c r="AZ3673" s="81"/>
      <c r="BB3673" s="5"/>
      <c r="BC3673" s="5"/>
      <c r="BD3673" s="5"/>
      <c r="BE3673" s="5"/>
      <c r="BF3673" s="5"/>
      <c r="BG3673" s="5"/>
      <c r="BH3673" s="5"/>
      <c r="BI3673" s="5"/>
      <c r="BJ3673" s="5"/>
      <c r="BK3673" s="5"/>
      <c r="BL3673" s="5"/>
      <c r="BM3673" s="5"/>
      <c r="BN3673" s="5"/>
      <c r="BO3673" s="5"/>
      <c r="BP3673" s="5"/>
    </row>
    <row r="3674" spans="35:68" x14ac:dyDescent="0.25">
      <c r="AI3674" s="49"/>
      <c r="AJ3674" s="78"/>
      <c r="AK3674" s="79"/>
      <c r="AL3674" s="79"/>
      <c r="AM3674" s="79"/>
      <c r="AN3674" s="79"/>
      <c r="AO3674" s="79"/>
      <c r="AP3674" s="79"/>
      <c r="AQ3674" s="79"/>
      <c r="AR3674" s="78"/>
      <c r="AS3674" s="78"/>
      <c r="AT3674" s="79"/>
      <c r="AU3674" s="79"/>
      <c r="AV3674" s="79"/>
      <c r="AW3674" s="79"/>
      <c r="AX3674" s="79"/>
      <c r="AZ3674" s="81"/>
      <c r="BB3674" s="5"/>
      <c r="BC3674" s="5"/>
      <c r="BD3674" s="5"/>
      <c r="BE3674" s="5"/>
      <c r="BF3674" s="5"/>
      <c r="BG3674" s="5"/>
      <c r="BH3674" s="5"/>
      <c r="BI3674" s="5"/>
      <c r="BJ3674" s="5"/>
      <c r="BK3674" s="5"/>
      <c r="BL3674" s="5"/>
      <c r="BM3674" s="5"/>
      <c r="BN3674" s="5"/>
      <c r="BO3674" s="5"/>
      <c r="BP3674" s="5"/>
    </row>
    <row r="3675" spans="35:68" x14ac:dyDescent="0.25">
      <c r="AI3675" s="49"/>
      <c r="AJ3675" s="78"/>
      <c r="AK3675" s="79"/>
      <c r="AL3675" s="79"/>
      <c r="AM3675" s="79"/>
      <c r="AN3675" s="79"/>
      <c r="AO3675" s="79"/>
      <c r="AP3675" s="79"/>
      <c r="AQ3675" s="79"/>
      <c r="AR3675" s="78"/>
      <c r="AS3675" s="78"/>
      <c r="AT3675" s="79"/>
      <c r="AU3675" s="79"/>
      <c r="AV3675" s="79"/>
      <c r="AW3675" s="79"/>
      <c r="AX3675" s="79"/>
      <c r="AZ3675" s="81"/>
      <c r="BB3675" s="5"/>
      <c r="BC3675" s="5"/>
      <c r="BD3675" s="5"/>
      <c r="BE3675" s="5"/>
      <c r="BF3675" s="5"/>
      <c r="BG3675" s="5"/>
      <c r="BH3675" s="5"/>
      <c r="BI3675" s="5"/>
      <c r="BJ3675" s="5"/>
      <c r="BK3675" s="5"/>
      <c r="BL3675" s="5"/>
      <c r="BM3675" s="5"/>
      <c r="BN3675" s="5"/>
      <c r="BO3675" s="5"/>
      <c r="BP3675" s="5"/>
    </row>
    <row r="3676" spans="35:68" x14ac:dyDescent="0.25">
      <c r="AI3676" s="49"/>
      <c r="AJ3676" s="78"/>
      <c r="AK3676" s="79"/>
      <c r="AL3676" s="79"/>
      <c r="AM3676" s="79"/>
      <c r="AN3676" s="79"/>
      <c r="AO3676" s="79"/>
      <c r="AP3676" s="79"/>
      <c r="AQ3676" s="79"/>
      <c r="AR3676" s="78"/>
      <c r="AS3676" s="78"/>
      <c r="AT3676" s="79"/>
      <c r="AU3676" s="79"/>
      <c r="AV3676" s="79"/>
      <c r="AW3676" s="79"/>
      <c r="AX3676" s="79"/>
      <c r="AZ3676" s="81"/>
      <c r="BB3676" s="5"/>
      <c r="BC3676" s="5"/>
      <c r="BD3676" s="5"/>
      <c r="BE3676" s="5"/>
      <c r="BF3676" s="5"/>
      <c r="BG3676" s="5"/>
      <c r="BH3676" s="5"/>
      <c r="BI3676" s="5"/>
      <c r="BJ3676" s="5"/>
      <c r="BK3676" s="5"/>
      <c r="BL3676" s="5"/>
      <c r="BM3676" s="5"/>
      <c r="BN3676" s="5"/>
      <c r="BO3676" s="5"/>
      <c r="BP3676" s="5"/>
    </row>
    <row r="3677" spans="35:68" x14ac:dyDescent="0.25">
      <c r="AI3677" s="49"/>
      <c r="AJ3677" s="78"/>
      <c r="AK3677" s="79"/>
      <c r="AL3677" s="79"/>
      <c r="AM3677" s="79"/>
      <c r="AN3677" s="79"/>
      <c r="AO3677" s="79"/>
      <c r="AP3677" s="79"/>
      <c r="AQ3677" s="79"/>
      <c r="AR3677" s="78"/>
      <c r="AS3677" s="78"/>
      <c r="AT3677" s="79"/>
      <c r="AU3677" s="79"/>
      <c r="AV3677" s="79"/>
      <c r="AW3677" s="79"/>
      <c r="AX3677" s="79"/>
      <c r="AZ3677" s="81"/>
      <c r="BB3677" s="5"/>
      <c r="BC3677" s="5"/>
      <c r="BD3677" s="5"/>
      <c r="BE3677" s="5"/>
      <c r="BF3677" s="5"/>
      <c r="BG3677" s="5"/>
      <c r="BH3677" s="5"/>
      <c r="BI3677" s="5"/>
      <c r="BJ3677" s="5"/>
      <c r="BK3677" s="5"/>
      <c r="BL3677" s="5"/>
      <c r="BM3677" s="5"/>
      <c r="BN3677" s="5"/>
      <c r="BO3677" s="5"/>
      <c r="BP3677" s="5"/>
    </row>
    <row r="3678" spans="35:68" x14ac:dyDescent="0.25">
      <c r="AI3678" s="49"/>
      <c r="AJ3678" s="78"/>
      <c r="AK3678" s="79"/>
      <c r="AL3678" s="79"/>
      <c r="AM3678" s="79"/>
      <c r="AN3678" s="79"/>
      <c r="AO3678" s="79"/>
      <c r="AP3678" s="79"/>
      <c r="AQ3678" s="79"/>
      <c r="AR3678" s="78"/>
      <c r="AS3678" s="78"/>
      <c r="AT3678" s="79"/>
      <c r="AU3678" s="79"/>
      <c r="AV3678" s="79"/>
      <c r="AW3678" s="79"/>
      <c r="AX3678" s="79"/>
      <c r="AZ3678" s="81"/>
      <c r="BB3678" s="5"/>
      <c r="BC3678" s="5"/>
      <c r="BD3678" s="5"/>
      <c r="BE3678" s="5"/>
      <c r="BF3678" s="5"/>
      <c r="BG3678" s="5"/>
      <c r="BH3678" s="5"/>
      <c r="BI3678" s="5"/>
      <c r="BJ3678" s="5"/>
      <c r="BK3678" s="5"/>
      <c r="BL3678" s="5"/>
      <c r="BM3678" s="5"/>
      <c r="BN3678" s="5"/>
      <c r="BO3678" s="5"/>
      <c r="BP3678" s="5"/>
    </row>
    <row r="3679" spans="35:68" x14ac:dyDescent="0.25">
      <c r="AI3679" s="49"/>
      <c r="AJ3679" s="78"/>
      <c r="AK3679" s="79"/>
      <c r="AL3679" s="79"/>
      <c r="AM3679" s="79"/>
      <c r="AN3679" s="79"/>
      <c r="AO3679" s="79"/>
      <c r="AP3679" s="79"/>
      <c r="AQ3679" s="79"/>
      <c r="AR3679" s="78"/>
      <c r="AS3679" s="78"/>
      <c r="AT3679" s="79"/>
      <c r="AU3679" s="79"/>
      <c r="AV3679" s="79"/>
      <c r="AW3679" s="79"/>
      <c r="AX3679" s="79"/>
      <c r="AZ3679" s="81"/>
      <c r="BB3679" s="5"/>
      <c r="BC3679" s="5"/>
      <c r="BD3679" s="5"/>
      <c r="BE3679" s="5"/>
      <c r="BF3679" s="5"/>
      <c r="BG3679" s="5"/>
      <c r="BH3679" s="5"/>
      <c r="BI3679" s="5"/>
      <c r="BJ3679" s="5"/>
      <c r="BK3679" s="5"/>
      <c r="BL3679" s="5"/>
      <c r="BM3679" s="5"/>
      <c r="BN3679" s="5"/>
      <c r="BO3679" s="5"/>
      <c r="BP3679" s="5"/>
    </row>
    <row r="3680" spans="35:68" x14ac:dyDescent="0.25">
      <c r="AI3680" s="49"/>
      <c r="AJ3680" s="78"/>
      <c r="AK3680" s="79"/>
      <c r="AL3680" s="79"/>
      <c r="AM3680" s="79"/>
      <c r="AN3680" s="79"/>
      <c r="AO3680" s="79"/>
      <c r="AP3680" s="79"/>
      <c r="AQ3680" s="79"/>
      <c r="AR3680" s="78"/>
      <c r="AS3680" s="78"/>
      <c r="AT3680" s="79"/>
      <c r="AU3680" s="79"/>
      <c r="AV3680" s="79"/>
      <c r="AW3680" s="79"/>
      <c r="AX3680" s="79"/>
      <c r="AZ3680" s="81"/>
      <c r="BB3680" s="5"/>
      <c r="BC3680" s="5"/>
      <c r="BD3680" s="5"/>
      <c r="BE3680" s="5"/>
      <c r="BF3680" s="5"/>
      <c r="BG3680" s="5"/>
      <c r="BH3680" s="5"/>
      <c r="BI3680" s="5"/>
      <c r="BJ3680" s="5"/>
      <c r="BK3680" s="5"/>
      <c r="BL3680" s="5"/>
      <c r="BM3680" s="5"/>
      <c r="BN3680" s="5"/>
      <c r="BO3680" s="5"/>
      <c r="BP3680" s="5"/>
    </row>
    <row r="3681" spans="35:68" x14ac:dyDescent="0.25">
      <c r="AI3681" s="49"/>
      <c r="AJ3681" s="78"/>
      <c r="AK3681" s="79"/>
      <c r="AL3681" s="79"/>
      <c r="AM3681" s="79"/>
      <c r="AN3681" s="79"/>
      <c r="AO3681" s="79"/>
      <c r="AP3681" s="79"/>
      <c r="AQ3681" s="79"/>
      <c r="AR3681" s="78"/>
      <c r="AS3681" s="78"/>
      <c r="AT3681" s="79"/>
      <c r="AU3681" s="79"/>
      <c r="AV3681" s="79"/>
      <c r="AW3681" s="79"/>
      <c r="AX3681" s="79"/>
      <c r="AZ3681" s="81"/>
      <c r="BB3681" s="5"/>
      <c r="BC3681" s="5"/>
      <c r="BD3681" s="5"/>
      <c r="BE3681" s="5"/>
      <c r="BF3681" s="5"/>
      <c r="BG3681" s="5"/>
      <c r="BH3681" s="5"/>
      <c r="BI3681" s="5"/>
      <c r="BJ3681" s="5"/>
      <c r="BK3681" s="5"/>
      <c r="BL3681" s="5"/>
      <c r="BM3681" s="5"/>
      <c r="BN3681" s="5"/>
      <c r="BO3681" s="5"/>
      <c r="BP3681" s="5"/>
    </row>
    <row r="3682" spans="35:68" x14ac:dyDescent="0.25">
      <c r="AI3682" s="49"/>
      <c r="AJ3682" s="78"/>
      <c r="AK3682" s="79"/>
      <c r="AL3682" s="79"/>
      <c r="AM3682" s="79"/>
      <c r="AN3682" s="79"/>
      <c r="AO3682" s="79"/>
      <c r="AP3682" s="79"/>
      <c r="AQ3682" s="79"/>
      <c r="AR3682" s="78"/>
      <c r="AS3682" s="78"/>
      <c r="AT3682" s="79"/>
      <c r="AU3682" s="79"/>
      <c r="AV3682" s="79"/>
      <c r="AW3682" s="79"/>
      <c r="AX3682" s="79"/>
      <c r="AZ3682" s="81"/>
      <c r="BB3682" s="5"/>
      <c r="BC3682" s="5"/>
      <c r="BD3682" s="5"/>
      <c r="BE3682" s="5"/>
      <c r="BF3682" s="5"/>
      <c r="BG3682" s="5"/>
      <c r="BH3682" s="5"/>
      <c r="BI3682" s="5"/>
      <c r="BJ3682" s="5"/>
      <c r="BK3682" s="5"/>
      <c r="BL3682" s="5"/>
      <c r="BM3682" s="5"/>
      <c r="BN3682" s="5"/>
      <c r="BO3682" s="5"/>
      <c r="BP3682" s="5"/>
    </row>
    <row r="3683" spans="35:68" x14ac:dyDescent="0.25">
      <c r="AI3683" s="49"/>
      <c r="AJ3683" s="78"/>
      <c r="AK3683" s="79"/>
      <c r="AL3683" s="79"/>
      <c r="AM3683" s="79"/>
      <c r="AN3683" s="79"/>
      <c r="AO3683" s="79"/>
      <c r="AP3683" s="79"/>
      <c r="AQ3683" s="79"/>
      <c r="AR3683" s="78"/>
      <c r="AS3683" s="78"/>
      <c r="AT3683" s="79"/>
      <c r="AU3683" s="79"/>
      <c r="AV3683" s="79"/>
      <c r="AW3683" s="79"/>
      <c r="AX3683" s="79"/>
      <c r="AZ3683" s="81"/>
      <c r="BB3683" s="5"/>
      <c r="BC3683" s="5"/>
      <c r="BD3683" s="5"/>
      <c r="BE3683" s="5"/>
      <c r="BF3683" s="5"/>
      <c r="BG3683" s="5"/>
      <c r="BH3683" s="5"/>
      <c r="BI3683" s="5"/>
      <c r="BJ3683" s="5"/>
      <c r="BK3683" s="5"/>
      <c r="BL3683" s="5"/>
      <c r="BM3683" s="5"/>
      <c r="BN3683" s="5"/>
      <c r="BO3683" s="5"/>
      <c r="BP3683" s="5"/>
    </row>
    <row r="3684" spans="35:68" x14ac:dyDescent="0.25">
      <c r="AI3684" s="49"/>
      <c r="AJ3684" s="78"/>
      <c r="AK3684" s="79"/>
      <c r="AL3684" s="79"/>
      <c r="AM3684" s="79"/>
      <c r="AN3684" s="79"/>
      <c r="AO3684" s="79"/>
      <c r="AP3684" s="79"/>
      <c r="AQ3684" s="79"/>
      <c r="AR3684" s="78"/>
      <c r="AS3684" s="78"/>
      <c r="AT3684" s="79"/>
      <c r="AU3684" s="79"/>
      <c r="AV3684" s="79"/>
      <c r="AW3684" s="79"/>
      <c r="AX3684" s="79"/>
      <c r="AZ3684" s="81"/>
      <c r="BB3684" s="5"/>
      <c r="BC3684" s="5"/>
      <c r="BD3684" s="5"/>
      <c r="BE3684" s="5"/>
      <c r="BF3684" s="5"/>
      <c r="BG3684" s="5"/>
      <c r="BH3684" s="5"/>
      <c r="BI3684" s="5"/>
      <c r="BJ3684" s="5"/>
      <c r="BK3684" s="5"/>
      <c r="BL3684" s="5"/>
      <c r="BM3684" s="5"/>
      <c r="BN3684" s="5"/>
      <c r="BO3684" s="5"/>
      <c r="BP3684" s="5"/>
    </row>
    <row r="3685" spans="35:68" x14ac:dyDescent="0.25">
      <c r="AI3685" s="49"/>
      <c r="AJ3685" s="78"/>
      <c r="AK3685" s="79"/>
      <c r="AL3685" s="79"/>
      <c r="AM3685" s="79"/>
      <c r="AN3685" s="79"/>
      <c r="AO3685" s="79"/>
      <c r="AP3685" s="79"/>
      <c r="AQ3685" s="79"/>
      <c r="AR3685" s="78"/>
      <c r="AS3685" s="78"/>
      <c r="AT3685" s="79"/>
      <c r="AU3685" s="79"/>
      <c r="AV3685" s="79"/>
      <c r="AW3685" s="79"/>
      <c r="AX3685" s="79"/>
      <c r="AZ3685" s="81"/>
      <c r="BB3685" s="5"/>
      <c r="BC3685" s="5"/>
      <c r="BD3685" s="5"/>
      <c r="BE3685" s="5"/>
      <c r="BF3685" s="5"/>
      <c r="BG3685" s="5"/>
      <c r="BH3685" s="5"/>
      <c r="BI3685" s="5"/>
      <c r="BJ3685" s="5"/>
      <c r="BK3685" s="5"/>
      <c r="BL3685" s="5"/>
      <c r="BM3685" s="5"/>
      <c r="BN3685" s="5"/>
      <c r="BO3685" s="5"/>
      <c r="BP3685" s="5"/>
    </row>
    <row r="3686" spans="35:68" x14ac:dyDescent="0.25">
      <c r="AI3686" s="49"/>
      <c r="AJ3686" s="78"/>
      <c r="AK3686" s="79"/>
      <c r="AL3686" s="79"/>
      <c r="AM3686" s="79"/>
      <c r="AN3686" s="79"/>
      <c r="AO3686" s="79"/>
      <c r="AP3686" s="79"/>
      <c r="AQ3686" s="79"/>
      <c r="AR3686" s="78"/>
      <c r="AS3686" s="78"/>
      <c r="AT3686" s="79"/>
      <c r="AU3686" s="79"/>
      <c r="AV3686" s="79"/>
      <c r="AW3686" s="79"/>
      <c r="AX3686" s="79"/>
      <c r="AZ3686" s="81"/>
      <c r="BB3686" s="5"/>
      <c r="BC3686" s="5"/>
      <c r="BD3686" s="5"/>
      <c r="BE3686" s="5"/>
      <c r="BF3686" s="5"/>
      <c r="BG3686" s="5"/>
      <c r="BH3686" s="5"/>
      <c r="BI3686" s="5"/>
      <c r="BJ3686" s="5"/>
      <c r="BK3686" s="5"/>
      <c r="BL3686" s="5"/>
      <c r="BM3686" s="5"/>
      <c r="BN3686" s="5"/>
      <c r="BO3686" s="5"/>
      <c r="BP3686" s="5"/>
    </row>
    <row r="3687" spans="35:68" x14ac:dyDescent="0.25">
      <c r="AI3687" s="49"/>
      <c r="AJ3687" s="78"/>
      <c r="AK3687" s="79"/>
      <c r="AL3687" s="79"/>
      <c r="AM3687" s="79"/>
      <c r="AN3687" s="79"/>
      <c r="AO3687" s="79"/>
      <c r="AP3687" s="79"/>
      <c r="AQ3687" s="79"/>
      <c r="AR3687" s="78"/>
      <c r="AS3687" s="78"/>
      <c r="AT3687" s="79"/>
      <c r="AU3687" s="79"/>
      <c r="AV3687" s="79"/>
      <c r="AW3687" s="79"/>
      <c r="AX3687" s="79"/>
      <c r="AZ3687" s="81"/>
      <c r="BB3687" s="5"/>
      <c r="BC3687" s="5"/>
      <c r="BD3687" s="5"/>
      <c r="BE3687" s="5"/>
      <c r="BF3687" s="5"/>
      <c r="BG3687" s="5"/>
      <c r="BH3687" s="5"/>
      <c r="BI3687" s="5"/>
      <c r="BJ3687" s="5"/>
      <c r="BK3687" s="5"/>
      <c r="BL3687" s="5"/>
      <c r="BM3687" s="5"/>
      <c r="BN3687" s="5"/>
      <c r="BO3687" s="5"/>
      <c r="BP3687" s="5"/>
    </row>
    <row r="3688" spans="35:68" x14ac:dyDescent="0.25">
      <c r="AI3688" s="49"/>
      <c r="AJ3688" s="78"/>
      <c r="AK3688" s="79"/>
      <c r="AL3688" s="79"/>
      <c r="AM3688" s="79"/>
      <c r="AN3688" s="79"/>
      <c r="AO3688" s="79"/>
      <c r="AP3688" s="79"/>
      <c r="AQ3688" s="79"/>
      <c r="AR3688" s="78"/>
      <c r="AS3688" s="78"/>
      <c r="AT3688" s="79"/>
      <c r="AU3688" s="79"/>
      <c r="AV3688" s="79"/>
      <c r="AW3688" s="79"/>
      <c r="AX3688" s="79"/>
      <c r="AZ3688" s="81"/>
      <c r="BB3688" s="5"/>
      <c r="BC3688" s="5"/>
      <c r="BD3688" s="5"/>
      <c r="BE3688" s="5"/>
      <c r="BF3688" s="5"/>
      <c r="BG3688" s="5"/>
      <c r="BH3688" s="5"/>
      <c r="BI3688" s="5"/>
      <c r="BJ3688" s="5"/>
      <c r="BK3688" s="5"/>
      <c r="BL3688" s="5"/>
      <c r="BM3688" s="5"/>
      <c r="BN3688" s="5"/>
      <c r="BO3688" s="5"/>
      <c r="BP3688" s="5"/>
    </row>
    <row r="3689" spans="35:68" x14ac:dyDescent="0.25">
      <c r="AI3689" s="49"/>
      <c r="AJ3689" s="78"/>
      <c r="AK3689" s="79"/>
      <c r="AL3689" s="79"/>
      <c r="AM3689" s="79"/>
      <c r="AN3689" s="79"/>
      <c r="AO3689" s="79"/>
      <c r="AP3689" s="79"/>
      <c r="AQ3689" s="79"/>
      <c r="AR3689" s="78"/>
      <c r="AS3689" s="78"/>
      <c r="AT3689" s="79"/>
      <c r="AU3689" s="79"/>
      <c r="AV3689" s="79"/>
      <c r="AW3689" s="79"/>
      <c r="AX3689" s="79"/>
      <c r="AZ3689" s="81"/>
      <c r="BB3689" s="5"/>
      <c r="BC3689" s="5"/>
      <c r="BD3689" s="5"/>
      <c r="BE3689" s="5"/>
      <c r="BF3689" s="5"/>
      <c r="BG3689" s="5"/>
      <c r="BH3689" s="5"/>
      <c r="BI3689" s="5"/>
      <c r="BJ3689" s="5"/>
      <c r="BK3689" s="5"/>
      <c r="BL3689" s="5"/>
      <c r="BM3689" s="5"/>
      <c r="BN3689" s="5"/>
      <c r="BO3689" s="5"/>
      <c r="BP3689" s="5"/>
    </row>
    <row r="3690" spans="35:68" x14ac:dyDescent="0.25">
      <c r="AI3690" s="49"/>
      <c r="AJ3690" s="78"/>
      <c r="AK3690" s="79"/>
      <c r="AL3690" s="79"/>
      <c r="AM3690" s="79"/>
      <c r="AN3690" s="79"/>
      <c r="AO3690" s="79"/>
      <c r="AP3690" s="79"/>
      <c r="AQ3690" s="79"/>
      <c r="AR3690" s="78"/>
      <c r="AS3690" s="78"/>
      <c r="AT3690" s="79"/>
      <c r="AU3690" s="79"/>
      <c r="AV3690" s="79"/>
      <c r="AW3690" s="79"/>
      <c r="AX3690" s="79"/>
      <c r="AZ3690" s="81"/>
      <c r="BB3690" s="5"/>
      <c r="BC3690" s="5"/>
      <c r="BD3690" s="5"/>
      <c r="BE3690" s="5"/>
      <c r="BF3690" s="5"/>
      <c r="BG3690" s="5"/>
      <c r="BH3690" s="5"/>
      <c r="BI3690" s="5"/>
      <c r="BJ3690" s="5"/>
      <c r="BK3690" s="5"/>
      <c r="BL3690" s="5"/>
      <c r="BM3690" s="5"/>
      <c r="BN3690" s="5"/>
      <c r="BO3690" s="5"/>
      <c r="BP3690" s="5"/>
    </row>
    <row r="3691" spans="35:68" x14ac:dyDescent="0.25">
      <c r="AI3691" s="49"/>
      <c r="AJ3691" s="78"/>
      <c r="AK3691" s="79"/>
      <c r="AL3691" s="79"/>
      <c r="AM3691" s="79"/>
      <c r="AN3691" s="79"/>
      <c r="AO3691" s="79"/>
      <c r="AP3691" s="79"/>
      <c r="AQ3691" s="79"/>
      <c r="AR3691" s="78"/>
      <c r="AS3691" s="78"/>
      <c r="AT3691" s="79"/>
      <c r="AU3691" s="79"/>
      <c r="AV3691" s="79"/>
      <c r="AW3691" s="79"/>
      <c r="AX3691" s="79"/>
      <c r="AZ3691" s="81"/>
      <c r="BB3691" s="5"/>
      <c r="BC3691" s="5"/>
      <c r="BD3691" s="5"/>
      <c r="BE3691" s="5"/>
      <c r="BF3691" s="5"/>
      <c r="BG3691" s="5"/>
      <c r="BH3691" s="5"/>
      <c r="BI3691" s="5"/>
      <c r="BJ3691" s="5"/>
      <c r="BK3691" s="5"/>
      <c r="BL3691" s="5"/>
      <c r="BM3691" s="5"/>
      <c r="BN3691" s="5"/>
      <c r="BO3691" s="5"/>
      <c r="BP3691" s="5"/>
    </row>
    <row r="3692" spans="35:68" x14ac:dyDescent="0.25">
      <c r="AI3692" s="49"/>
      <c r="AJ3692" s="78"/>
      <c r="AK3692" s="79"/>
      <c r="AL3692" s="79"/>
      <c r="AM3692" s="79"/>
      <c r="AN3692" s="79"/>
      <c r="AO3692" s="79"/>
      <c r="AP3692" s="79"/>
      <c r="AQ3692" s="79"/>
      <c r="AR3692" s="78"/>
      <c r="AS3692" s="78"/>
      <c r="AT3692" s="79"/>
      <c r="AU3692" s="79"/>
      <c r="AV3692" s="79"/>
      <c r="AW3692" s="79"/>
      <c r="AX3692" s="79"/>
      <c r="AZ3692" s="81"/>
      <c r="BB3692" s="5"/>
      <c r="BC3692" s="5"/>
      <c r="BD3692" s="5"/>
      <c r="BE3692" s="5"/>
      <c r="BF3692" s="5"/>
      <c r="BG3692" s="5"/>
      <c r="BH3692" s="5"/>
      <c r="BI3692" s="5"/>
      <c r="BJ3692" s="5"/>
      <c r="BK3692" s="5"/>
      <c r="BL3692" s="5"/>
      <c r="BM3692" s="5"/>
      <c r="BN3692" s="5"/>
      <c r="BO3692" s="5"/>
      <c r="BP3692" s="5"/>
    </row>
    <row r="3693" spans="35:68" x14ac:dyDescent="0.25">
      <c r="AI3693" s="49"/>
      <c r="AJ3693" s="78"/>
      <c r="AK3693" s="79"/>
      <c r="AL3693" s="79"/>
      <c r="AM3693" s="79"/>
      <c r="AN3693" s="79"/>
      <c r="AO3693" s="79"/>
      <c r="AP3693" s="79"/>
      <c r="AQ3693" s="79"/>
      <c r="AR3693" s="78"/>
      <c r="AS3693" s="78"/>
      <c r="AT3693" s="79"/>
      <c r="AU3693" s="79"/>
      <c r="AV3693" s="79"/>
      <c r="AW3693" s="79"/>
      <c r="AX3693" s="79"/>
      <c r="AZ3693" s="81"/>
      <c r="BB3693" s="5"/>
      <c r="BC3693" s="5"/>
      <c r="BD3693" s="5"/>
      <c r="BE3693" s="5"/>
      <c r="BF3693" s="5"/>
      <c r="BG3693" s="5"/>
      <c r="BH3693" s="5"/>
      <c r="BI3693" s="5"/>
      <c r="BJ3693" s="5"/>
      <c r="BK3693" s="5"/>
      <c r="BL3693" s="5"/>
      <c r="BM3693" s="5"/>
      <c r="BN3693" s="5"/>
      <c r="BO3693" s="5"/>
      <c r="BP3693" s="5"/>
    </row>
    <row r="3694" spans="35:68" x14ac:dyDescent="0.25">
      <c r="AI3694" s="49"/>
      <c r="AJ3694" s="78"/>
      <c r="AK3694" s="79"/>
      <c r="AL3694" s="79"/>
      <c r="AM3694" s="79"/>
      <c r="AN3694" s="79"/>
      <c r="AO3694" s="79"/>
      <c r="AP3694" s="79"/>
      <c r="AQ3694" s="79"/>
      <c r="AR3694" s="78"/>
      <c r="AS3694" s="78"/>
      <c r="AT3694" s="79"/>
      <c r="AU3694" s="79"/>
      <c r="AV3694" s="79"/>
      <c r="AW3694" s="79"/>
      <c r="AX3694" s="79"/>
      <c r="AZ3694" s="81"/>
      <c r="BB3694" s="5"/>
      <c r="BC3694" s="5"/>
      <c r="BD3694" s="5"/>
      <c r="BE3694" s="5"/>
      <c r="BF3694" s="5"/>
      <c r="BG3694" s="5"/>
      <c r="BH3694" s="5"/>
      <c r="BI3694" s="5"/>
      <c r="BJ3694" s="5"/>
      <c r="BK3694" s="5"/>
      <c r="BL3694" s="5"/>
      <c r="BM3694" s="5"/>
      <c r="BN3694" s="5"/>
      <c r="BO3694" s="5"/>
      <c r="BP3694" s="5"/>
    </row>
    <row r="3695" spans="35:68" x14ac:dyDescent="0.25">
      <c r="AI3695" s="49"/>
      <c r="AJ3695" s="78"/>
      <c r="AK3695" s="79"/>
      <c r="AL3695" s="79"/>
      <c r="AM3695" s="79"/>
      <c r="AN3695" s="79"/>
      <c r="AO3695" s="79"/>
      <c r="AP3695" s="79"/>
      <c r="AQ3695" s="79"/>
      <c r="AR3695" s="78"/>
      <c r="AS3695" s="78"/>
      <c r="AT3695" s="79"/>
      <c r="AU3695" s="79"/>
      <c r="AV3695" s="79"/>
      <c r="AW3695" s="79"/>
      <c r="AX3695" s="79"/>
      <c r="AZ3695" s="81"/>
      <c r="BB3695" s="5"/>
      <c r="BC3695" s="5"/>
      <c r="BD3695" s="5"/>
      <c r="BE3695" s="5"/>
      <c r="BF3695" s="5"/>
      <c r="BG3695" s="5"/>
      <c r="BH3695" s="5"/>
      <c r="BI3695" s="5"/>
      <c r="BJ3695" s="5"/>
      <c r="BK3695" s="5"/>
      <c r="BL3695" s="5"/>
      <c r="BM3695" s="5"/>
      <c r="BN3695" s="5"/>
      <c r="BO3695" s="5"/>
      <c r="BP3695" s="5"/>
    </row>
    <row r="3696" spans="35:68" x14ac:dyDescent="0.25">
      <c r="AI3696" s="49"/>
      <c r="AJ3696" s="78"/>
      <c r="AK3696" s="79"/>
      <c r="AL3696" s="79"/>
      <c r="AM3696" s="79"/>
      <c r="AN3696" s="79"/>
      <c r="AO3696" s="79"/>
      <c r="AP3696" s="79"/>
      <c r="AQ3696" s="79"/>
      <c r="AR3696" s="78"/>
      <c r="AS3696" s="78"/>
      <c r="AT3696" s="79"/>
      <c r="AU3696" s="79"/>
      <c r="AV3696" s="79"/>
      <c r="AW3696" s="79"/>
      <c r="AX3696" s="79"/>
      <c r="AZ3696" s="81"/>
      <c r="BB3696" s="5"/>
      <c r="BC3696" s="5"/>
      <c r="BD3696" s="5"/>
      <c r="BE3696" s="5"/>
      <c r="BF3696" s="5"/>
      <c r="BG3696" s="5"/>
      <c r="BH3696" s="5"/>
      <c r="BI3696" s="5"/>
      <c r="BJ3696" s="5"/>
      <c r="BK3696" s="5"/>
      <c r="BL3696" s="5"/>
      <c r="BM3696" s="5"/>
      <c r="BN3696" s="5"/>
      <c r="BO3696" s="5"/>
      <c r="BP3696" s="5"/>
    </row>
    <row r="3697" spans="35:68" x14ac:dyDescent="0.25">
      <c r="AI3697" s="49"/>
      <c r="AJ3697" s="78"/>
      <c r="AK3697" s="79"/>
      <c r="AL3697" s="79"/>
      <c r="AM3697" s="79"/>
      <c r="AN3697" s="79"/>
      <c r="AO3697" s="79"/>
      <c r="AP3697" s="79"/>
      <c r="AQ3697" s="79"/>
      <c r="AR3697" s="78"/>
      <c r="AS3697" s="78"/>
      <c r="AT3697" s="79"/>
      <c r="AU3697" s="79"/>
      <c r="AV3697" s="79"/>
      <c r="AW3697" s="79"/>
      <c r="AX3697" s="79"/>
      <c r="AZ3697" s="81"/>
      <c r="BB3697" s="5"/>
      <c r="BC3697" s="5"/>
      <c r="BD3697" s="5"/>
      <c r="BE3697" s="5"/>
      <c r="BF3697" s="5"/>
      <c r="BG3697" s="5"/>
      <c r="BH3697" s="5"/>
      <c r="BI3697" s="5"/>
      <c r="BJ3697" s="5"/>
      <c r="BK3697" s="5"/>
      <c r="BL3697" s="5"/>
      <c r="BM3697" s="5"/>
      <c r="BN3697" s="5"/>
      <c r="BO3697" s="5"/>
      <c r="BP3697" s="5"/>
    </row>
    <row r="3698" spans="35:68" x14ac:dyDescent="0.25">
      <c r="AI3698" s="49"/>
      <c r="AJ3698" s="78"/>
      <c r="AK3698" s="79"/>
      <c r="AL3698" s="79"/>
      <c r="AM3698" s="79"/>
      <c r="AN3698" s="79"/>
      <c r="AO3698" s="79"/>
      <c r="AP3698" s="79"/>
      <c r="AQ3698" s="79"/>
      <c r="AR3698" s="78"/>
      <c r="AS3698" s="78"/>
      <c r="AT3698" s="79"/>
      <c r="AU3698" s="79"/>
      <c r="AV3698" s="79"/>
      <c r="AW3698" s="79"/>
      <c r="AX3698" s="79"/>
      <c r="AZ3698" s="81"/>
      <c r="BB3698" s="5"/>
      <c r="BC3698" s="5"/>
      <c r="BD3698" s="5"/>
      <c r="BE3698" s="5"/>
      <c r="BF3698" s="5"/>
      <c r="BG3698" s="5"/>
      <c r="BH3698" s="5"/>
      <c r="BI3698" s="5"/>
      <c r="BJ3698" s="5"/>
      <c r="BK3698" s="5"/>
      <c r="BL3698" s="5"/>
      <c r="BM3698" s="5"/>
      <c r="BN3698" s="5"/>
      <c r="BO3698" s="5"/>
      <c r="BP3698" s="5"/>
    </row>
    <row r="3699" spans="35:68" x14ac:dyDescent="0.25">
      <c r="AI3699" s="49"/>
      <c r="AJ3699" s="78"/>
      <c r="AK3699" s="79"/>
      <c r="AL3699" s="79"/>
      <c r="AM3699" s="79"/>
      <c r="AN3699" s="79"/>
      <c r="AO3699" s="79"/>
      <c r="AP3699" s="79"/>
      <c r="AQ3699" s="79"/>
      <c r="AR3699" s="78"/>
      <c r="AS3699" s="78"/>
      <c r="AT3699" s="79"/>
      <c r="AU3699" s="79"/>
      <c r="AV3699" s="79"/>
      <c r="AW3699" s="79"/>
      <c r="AX3699" s="79"/>
      <c r="AZ3699" s="81"/>
      <c r="BB3699" s="5"/>
      <c r="BC3699" s="5"/>
      <c r="BD3699" s="5"/>
      <c r="BE3699" s="5"/>
      <c r="BF3699" s="5"/>
      <c r="BG3699" s="5"/>
      <c r="BH3699" s="5"/>
      <c r="BI3699" s="5"/>
      <c r="BJ3699" s="5"/>
      <c r="BK3699" s="5"/>
      <c r="BL3699" s="5"/>
      <c r="BM3699" s="5"/>
      <c r="BN3699" s="5"/>
      <c r="BO3699" s="5"/>
      <c r="BP3699" s="5"/>
    </row>
    <row r="3700" spans="35:68" x14ac:dyDescent="0.25">
      <c r="AI3700" s="49"/>
      <c r="AJ3700" s="78"/>
      <c r="AK3700" s="79"/>
      <c r="AL3700" s="79"/>
      <c r="AM3700" s="79"/>
      <c r="AN3700" s="79"/>
      <c r="AO3700" s="79"/>
      <c r="AP3700" s="79"/>
      <c r="AQ3700" s="79"/>
      <c r="AR3700" s="78"/>
      <c r="AS3700" s="78"/>
      <c r="AT3700" s="79"/>
      <c r="AU3700" s="79"/>
      <c r="AV3700" s="79"/>
      <c r="AW3700" s="79"/>
      <c r="AX3700" s="79"/>
      <c r="AZ3700" s="81"/>
      <c r="BB3700" s="5"/>
      <c r="BC3700" s="5"/>
      <c r="BD3700" s="5"/>
      <c r="BE3700" s="5"/>
      <c r="BF3700" s="5"/>
      <c r="BG3700" s="5"/>
      <c r="BH3700" s="5"/>
      <c r="BI3700" s="5"/>
      <c r="BJ3700" s="5"/>
      <c r="BK3700" s="5"/>
      <c r="BL3700" s="5"/>
      <c r="BM3700" s="5"/>
      <c r="BN3700" s="5"/>
      <c r="BO3700" s="5"/>
      <c r="BP3700" s="5"/>
    </row>
    <row r="3701" spans="35:68" x14ac:dyDescent="0.25">
      <c r="AI3701" s="49"/>
      <c r="AJ3701" s="78"/>
      <c r="AK3701" s="79"/>
      <c r="AL3701" s="79"/>
      <c r="AM3701" s="79"/>
      <c r="AN3701" s="79"/>
      <c r="AO3701" s="79"/>
      <c r="AP3701" s="79"/>
      <c r="AQ3701" s="79"/>
      <c r="AR3701" s="78"/>
      <c r="AS3701" s="78"/>
      <c r="AT3701" s="79"/>
      <c r="AU3701" s="79"/>
      <c r="AV3701" s="79"/>
      <c r="AW3701" s="79"/>
      <c r="AX3701" s="79"/>
      <c r="AZ3701" s="81"/>
      <c r="BB3701" s="5"/>
      <c r="BC3701" s="5"/>
      <c r="BD3701" s="5"/>
      <c r="BE3701" s="5"/>
      <c r="BF3701" s="5"/>
      <c r="BG3701" s="5"/>
      <c r="BH3701" s="5"/>
      <c r="BI3701" s="5"/>
      <c r="BJ3701" s="5"/>
      <c r="BK3701" s="5"/>
      <c r="BL3701" s="5"/>
      <c r="BM3701" s="5"/>
      <c r="BN3701" s="5"/>
      <c r="BO3701" s="5"/>
      <c r="BP3701" s="5"/>
    </row>
    <row r="3702" spans="35:68" x14ac:dyDescent="0.25">
      <c r="AI3702" s="49"/>
      <c r="AJ3702" s="78"/>
      <c r="AK3702" s="79"/>
      <c r="AL3702" s="79"/>
      <c r="AM3702" s="79"/>
      <c r="AN3702" s="79"/>
      <c r="AO3702" s="79"/>
      <c r="AP3702" s="79"/>
      <c r="AQ3702" s="79"/>
      <c r="AR3702" s="78"/>
      <c r="AS3702" s="78"/>
      <c r="AT3702" s="79"/>
      <c r="AU3702" s="79"/>
      <c r="AV3702" s="79"/>
      <c r="AW3702" s="79"/>
      <c r="AX3702" s="79"/>
      <c r="AZ3702" s="81"/>
      <c r="BB3702" s="5"/>
      <c r="BC3702" s="5"/>
      <c r="BD3702" s="5"/>
      <c r="BE3702" s="5"/>
      <c r="BF3702" s="5"/>
      <c r="BG3702" s="5"/>
      <c r="BH3702" s="5"/>
      <c r="BI3702" s="5"/>
      <c r="BJ3702" s="5"/>
      <c r="BK3702" s="5"/>
      <c r="BL3702" s="5"/>
      <c r="BM3702" s="5"/>
      <c r="BN3702" s="5"/>
      <c r="BO3702" s="5"/>
      <c r="BP3702" s="5"/>
    </row>
    <row r="3703" spans="35:68" x14ac:dyDescent="0.25">
      <c r="AI3703" s="49"/>
      <c r="AJ3703" s="78"/>
      <c r="AK3703" s="79"/>
      <c r="AL3703" s="79"/>
      <c r="AM3703" s="79"/>
      <c r="AN3703" s="79"/>
      <c r="AO3703" s="79"/>
      <c r="AP3703" s="79"/>
      <c r="AQ3703" s="79"/>
      <c r="AR3703" s="78"/>
      <c r="AS3703" s="78"/>
      <c r="AT3703" s="79"/>
      <c r="AU3703" s="79"/>
      <c r="AV3703" s="79"/>
      <c r="AW3703" s="79"/>
      <c r="AX3703" s="79"/>
      <c r="AZ3703" s="81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/>
    </row>
    <row r="3704" spans="35:68" x14ac:dyDescent="0.25">
      <c r="AI3704" s="49"/>
      <c r="AJ3704" s="78"/>
      <c r="AK3704" s="79"/>
      <c r="AL3704" s="79"/>
      <c r="AM3704" s="79"/>
      <c r="AN3704" s="79"/>
      <c r="AO3704" s="79"/>
      <c r="AP3704" s="79"/>
      <c r="AQ3704" s="79"/>
      <c r="AR3704" s="78"/>
      <c r="AS3704" s="78"/>
      <c r="AT3704" s="79"/>
      <c r="AU3704" s="79"/>
      <c r="AV3704" s="79"/>
      <c r="AW3704" s="79"/>
      <c r="AX3704" s="79"/>
      <c r="AZ3704" s="81"/>
      <c r="BB3704" s="5"/>
      <c r="BC3704" s="5"/>
      <c r="BD3704" s="5"/>
      <c r="BE3704" s="5"/>
      <c r="BF3704" s="5"/>
      <c r="BG3704" s="5"/>
      <c r="BH3704" s="5"/>
      <c r="BI3704" s="5"/>
      <c r="BJ3704" s="5"/>
      <c r="BK3704" s="5"/>
      <c r="BL3704" s="5"/>
      <c r="BM3704" s="5"/>
      <c r="BN3704" s="5"/>
      <c r="BO3704" s="5"/>
      <c r="BP3704" s="5"/>
    </row>
    <row r="3705" spans="35:68" x14ac:dyDescent="0.25">
      <c r="AI3705" s="49"/>
      <c r="AJ3705" s="78"/>
      <c r="AK3705" s="79"/>
      <c r="AL3705" s="79"/>
      <c r="AM3705" s="79"/>
      <c r="AN3705" s="79"/>
      <c r="AO3705" s="79"/>
      <c r="AP3705" s="79"/>
      <c r="AQ3705" s="79"/>
      <c r="AR3705" s="78"/>
      <c r="AS3705" s="78"/>
      <c r="AT3705" s="79"/>
      <c r="AU3705" s="79"/>
      <c r="AV3705" s="79"/>
      <c r="AW3705" s="79"/>
      <c r="AX3705" s="79"/>
      <c r="AZ3705" s="81"/>
      <c r="BB3705" s="5"/>
      <c r="BC3705" s="5"/>
      <c r="BD3705" s="5"/>
      <c r="BE3705" s="5"/>
      <c r="BF3705" s="5"/>
      <c r="BG3705" s="5"/>
      <c r="BH3705" s="5"/>
      <c r="BI3705" s="5"/>
      <c r="BJ3705" s="5"/>
      <c r="BK3705" s="5"/>
      <c r="BL3705" s="5"/>
      <c r="BM3705" s="5"/>
      <c r="BN3705" s="5"/>
      <c r="BO3705" s="5"/>
      <c r="BP3705" s="5"/>
    </row>
    <row r="3706" spans="35:68" x14ac:dyDescent="0.25">
      <c r="AI3706" s="49"/>
      <c r="AJ3706" s="78"/>
      <c r="AK3706" s="79"/>
      <c r="AL3706" s="79"/>
      <c r="AM3706" s="79"/>
      <c r="AN3706" s="79"/>
      <c r="AO3706" s="79"/>
      <c r="AP3706" s="79"/>
      <c r="AQ3706" s="79"/>
      <c r="AR3706" s="78"/>
      <c r="AS3706" s="78"/>
      <c r="AT3706" s="79"/>
      <c r="AU3706" s="79"/>
      <c r="AV3706" s="79"/>
      <c r="AW3706" s="79"/>
      <c r="AX3706" s="79"/>
      <c r="AZ3706" s="81"/>
      <c r="BB3706" s="5"/>
      <c r="BC3706" s="5"/>
      <c r="BD3706" s="5"/>
      <c r="BE3706" s="5"/>
      <c r="BF3706" s="5"/>
      <c r="BG3706" s="5"/>
      <c r="BH3706" s="5"/>
      <c r="BI3706" s="5"/>
      <c r="BJ3706" s="5"/>
      <c r="BK3706" s="5"/>
      <c r="BL3706" s="5"/>
      <c r="BM3706" s="5"/>
      <c r="BN3706" s="5"/>
      <c r="BO3706" s="5"/>
      <c r="BP3706" s="5"/>
    </row>
    <row r="3707" spans="35:68" x14ac:dyDescent="0.25">
      <c r="AI3707" s="49"/>
      <c r="AJ3707" s="78"/>
      <c r="AK3707" s="79"/>
      <c r="AL3707" s="79"/>
      <c r="AM3707" s="79"/>
      <c r="AN3707" s="79"/>
      <c r="AO3707" s="79"/>
      <c r="AP3707" s="79"/>
      <c r="AQ3707" s="79"/>
      <c r="AR3707" s="78"/>
      <c r="AS3707" s="78"/>
      <c r="AT3707" s="79"/>
      <c r="AU3707" s="79"/>
      <c r="AV3707" s="79"/>
      <c r="AW3707" s="79"/>
      <c r="AX3707" s="79"/>
      <c r="AZ3707" s="81"/>
      <c r="BB3707" s="5"/>
      <c r="BC3707" s="5"/>
      <c r="BD3707" s="5"/>
      <c r="BE3707" s="5"/>
      <c r="BF3707" s="5"/>
      <c r="BG3707" s="5"/>
      <c r="BH3707" s="5"/>
      <c r="BI3707" s="5"/>
      <c r="BJ3707" s="5"/>
      <c r="BK3707" s="5"/>
      <c r="BL3707" s="5"/>
      <c r="BM3707" s="5"/>
      <c r="BN3707" s="5"/>
      <c r="BO3707" s="5"/>
      <c r="BP3707" s="5"/>
    </row>
    <row r="3708" spans="35:68" x14ac:dyDescent="0.25">
      <c r="AI3708" s="49"/>
      <c r="AJ3708" s="78"/>
      <c r="AK3708" s="79"/>
      <c r="AL3708" s="79"/>
      <c r="AM3708" s="79"/>
      <c r="AN3708" s="79"/>
      <c r="AO3708" s="79"/>
      <c r="AP3708" s="79"/>
      <c r="AQ3708" s="79"/>
      <c r="AR3708" s="78"/>
      <c r="AS3708" s="78"/>
      <c r="AT3708" s="79"/>
      <c r="AU3708" s="79"/>
      <c r="AV3708" s="79"/>
      <c r="AW3708" s="79"/>
      <c r="AX3708" s="79"/>
      <c r="AZ3708" s="81"/>
      <c r="BB3708" s="5"/>
      <c r="BC3708" s="5"/>
      <c r="BD3708" s="5"/>
      <c r="BE3708" s="5"/>
      <c r="BF3708" s="5"/>
      <c r="BG3708" s="5"/>
      <c r="BH3708" s="5"/>
      <c r="BI3708" s="5"/>
      <c r="BJ3708" s="5"/>
      <c r="BK3708" s="5"/>
      <c r="BL3708" s="5"/>
      <c r="BM3708" s="5"/>
      <c r="BN3708" s="5"/>
      <c r="BO3708" s="5"/>
      <c r="BP3708" s="5"/>
    </row>
    <row r="3709" spans="35:68" x14ac:dyDescent="0.25">
      <c r="AI3709" s="49"/>
      <c r="AJ3709" s="78"/>
      <c r="AK3709" s="79"/>
      <c r="AL3709" s="79"/>
      <c r="AM3709" s="79"/>
      <c r="AN3709" s="79"/>
      <c r="AO3709" s="79"/>
      <c r="AP3709" s="79"/>
      <c r="AQ3709" s="79"/>
      <c r="AR3709" s="78"/>
      <c r="AS3709" s="78"/>
      <c r="AT3709" s="79"/>
      <c r="AU3709" s="79"/>
      <c r="AV3709" s="79"/>
      <c r="AW3709" s="79"/>
      <c r="AX3709" s="79"/>
      <c r="AZ3709" s="81"/>
      <c r="BB3709" s="5"/>
      <c r="BC3709" s="5"/>
      <c r="BD3709" s="5"/>
      <c r="BE3709" s="5"/>
      <c r="BF3709" s="5"/>
      <c r="BG3709" s="5"/>
      <c r="BH3709" s="5"/>
      <c r="BI3709" s="5"/>
      <c r="BJ3709" s="5"/>
      <c r="BK3709" s="5"/>
      <c r="BL3709" s="5"/>
      <c r="BM3709" s="5"/>
      <c r="BN3709" s="5"/>
      <c r="BO3709" s="5"/>
      <c r="BP3709" s="5"/>
    </row>
    <row r="3710" spans="35:68" x14ac:dyDescent="0.25">
      <c r="AI3710" s="49"/>
      <c r="AJ3710" s="78"/>
      <c r="AK3710" s="79"/>
      <c r="AL3710" s="79"/>
      <c r="AM3710" s="79"/>
      <c r="AN3710" s="79"/>
      <c r="AO3710" s="79"/>
      <c r="AP3710" s="79"/>
      <c r="AQ3710" s="79"/>
      <c r="AR3710" s="78"/>
      <c r="AS3710" s="78"/>
      <c r="AT3710" s="79"/>
      <c r="AU3710" s="79"/>
      <c r="AV3710" s="79"/>
      <c r="AW3710" s="79"/>
      <c r="AX3710" s="79"/>
      <c r="AZ3710" s="81"/>
      <c r="BB3710" s="5"/>
      <c r="BC3710" s="5"/>
      <c r="BD3710" s="5"/>
      <c r="BE3710" s="5"/>
      <c r="BF3710" s="5"/>
      <c r="BG3710" s="5"/>
      <c r="BH3710" s="5"/>
      <c r="BI3710" s="5"/>
      <c r="BJ3710" s="5"/>
      <c r="BK3710" s="5"/>
      <c r="BL3710" s="5"/>
      <c r="BM3710" s="5"/>
      <c r="BN3710" s="5"/>
      <c r="BO3710" s="5"/>
      <c r="BP3710" s="5"/>
    </row>
    <row r="3711" spans="35:68" x14ac:dyDescent="0.25">
      <c r="AI3711" s="49"/>
      <c r="AJ3711" s="78"/>
      <c r="AK3711" s="79"/>
      <c r="AL3711" s="79"/>
      <c r="AM3711" s="79"/>
      <c r="AN3711" s="79"/>
      <c r="AO3711" s="79"/>
      <c r="AP3711" s="79"/>
      <c r="AQ3711" s="79"/>
      <c r="AR3711" s="78"/>
      <c r="AS3711" s="78"/>
      <c r="AT3711" s="79"/>
      <c r="AU3711" s="79"/>
      <c r="AV3711" s="79"/>
      <c r="AW3711" s="79"/>
      <c r="AX3711" s="79"/>
      <c r="AZ3711" s="81"/>
      <c r="BB3711" s="5"/>
      <c r="BC3711" s="5"/>
      <c r="BD3711" s="5"/>
      <c r="BE3711" s="5"/>
      <c r="BF3711" s="5"/>
      <c r="BG3711" s="5"/>
      <c r="BH3711" s="5"/>
      <c r="BI3711" s="5"/>
      <c r="BJ3711" s="5"/>
      <c r="BK3711" s="5"/>
      <c r="BL3711" s="5"/>
      <c r="BM3711" s="5"/>
      <c r="BN3711" s="5"/>
      <c r="BO3711" s="5"/>
      <c r="BP3711" s="5"/>
    </row>
    <row r="3712" spans="35:68" x14ac:dyDescent="0.25">
      <c r="AI3712" s="49"/>
      <c r="AJ3712" s="78"/>
      <c r="AK3712" s="79"/>
      <c r="AL3712" s="79"/>
      <c r="AM3712" s="79"/>
      <c r="AN3712" s="79"/>
      <c r="AO3712" s="79"/>
      <c r="AP3712" s="79"/>
      <c r="AQ3712" s="79"/>
      <c r="AR3712" s="78"/>
      <c r="AS3712" s="78"/>
      <c r="AT3712" s="79"/>
      <c r="AU3712" s="79"/>
      <c r="AV3712" s="79"/>
      <c r="AW3712" s="79"/>
      <c r="AX3712" s="79"/>
      <c r="AZ3712" s="81"/>
      <c r="BB3712" s="5"/>
      <c r="BC3712" s="5"/>
      <c r="BD3712" s="5"/>
      <c r="BE3712" s="5"/>
      <c r="BF3712" s="5"/>
      <c r="BG3712" s="5"/>
      <c r="BH3712" s="5"/>
      <c r="BI3712" s="5"/>
      <c r="BJ3712" s="5"/>
      <c r="BK3712" s="5"/>
      <c r="BL3712" s="5"/>
      <c r="BM3712" s="5"/>
      <c r="BN3712" s="5"/>
      <c r="BO3712" s="5"/>
      <c r="BP3712" s="5"/>
    </row>
    <row r="3713" spans="35:68" x14ac:dyDescent="0.25">
      <c r="AI3713" s="49"/>
      <c r="AJ3713" s="78"/>
      <c r="AK3713" s="79"/>
      <c r="AL3713" s="79"/>
      <c r="AM3713" s="79"/>
      <c r="AN3713" s="79"/>
      <c r="AO3713" s="79"/>
      <c r="AP3713" s="79"/>
      <c r="AQ3713" s="79"/>
      <c r="AR3713" s="78"/>
      <c r="AS3713" s="78"/>
      <c r="AT3713" s="79"/>
      <c r="AU3713" s="79"/>
      <c r="AV3713" s="79"/>
      <c r="AW3713" s="79"/>
      <c r="AX3713" s="79"/>
      <c r="AZ3713" s="81"/>
      <c r="BB3713" s="5"/>
      <c r="BC3713" s="5"/>
      <c r="BD3713" s="5"/>
      <c r="BE3713" s="5"/>
      <c r="BF3713" s="5"/>
      <c r="BG3713" s="5"/>
      <c r="BH3713" s="5"/>
      <c r="BI3713" s="5"/>
      <c r="BJ3713" s="5"/>
      <c r="BK3713" s="5"/>
      <c r="BL3713" s="5"/>
      <c r="BM3713" s="5"/>
      <c r="BN3713" s="5"/>
      <c r="BO3713" s="5"/>
      <c r="BP3713" s="5"/>
    </row>
    <row r="3714" spans="35:68" x14ac:dyDescent="0.25">
      <c r="AI3714" s="49"/>
      <c r="AJ3714" s="78"/>
      <c r="AK3714" s="79"/>
      <c r="AL3714" s="79"/>
      <c r="AM3714" s="79"/>
      <c r="AN3714" s="79"/>
      <c r="AO3714" s="79"/>
      <c r="AP3714" s="79"/>
      <c r="AQ3714" s="79"/>
      <c r="AR3714" s="78"/>
      <c r="AS3714" s="78"/>
      <c r="AT3714" s="79"/>
      <c r="AU3714" s="79"/>
      <c r="AV3714" s="79"/>
      <c r="AW3714" s="79"/>
      <c r="AX3714" s="79"/>
      <c r="AZ3714" s="81"/>
      <c r="BB3714" s="5"/>
      <c r="BC3714" s="5"/>
      <c r="BD3714" s="5"/>
      <c r="BE3714" s="5"/>
      <c r="BF3714" s="5"/>
      <c r="BG3714" s="5"/>
      <c r="BH3714" s="5"/>
      <c r="BI3714" s="5"/>
      <c r="BJ3714" s="5"/>
      <c r="BK3714" s="5"/>
      <c r="BL3714" s="5"/>
      <c r="BM3714" s="5"/>
      <c r="BN3714" s="5"/>
      <c r="BO3714" s="5"/>
      <c r="BP3714" s="5"/>
    </row>
    <row r="3715" spans="35:68" x14ac:dyDescent="0.25">
      <c r="AI3715" s="49"/>
      <c r="AJ3715" s="78"/>
      <c r="AK3715" s="79"/>
      <c r="AL3715" s="79"/>
      <c r="AM3715" s="79"/>
      <c r="AN3715" s="79"/>
      <c r="AO3715" s="79"/>
      <c r="AP3715" s="79"/>
      <c r="AQ3715" s="79"/>
      <c r="AR3715" s="78"/>
      <c r="AS3715" s="78"/>
      <c r="AT3715" s="79"/>
      <c r="AU3715" s="79"/>
      <c r="AV3715" s="79"/>
      <c r="AW3715" s="79"/>
      <c r="AX3715" s="79"/>
      <c r="AZ3715" s="81"/>
      <c r="BB3715" s="5"/>
      <c r="BC3715" s="5"/>
      <c r="BD3715" s="5"/>
      <c r="BE3715" s="5"/>
      <c r="BF3715" s="5"/>
      <c r="BG3715" s="5"/>
      <c r="BH3715" s="5"/>
      <c r="BI3715" s="5"/>
      <c r="BJ3715" s="5"/>
      <c r="BK3715" s="5"/>
      <c r="BL3715" s="5"/>
      <c r="BM3715" s="5"/>
      <c r="BN3715" s="5"/>
      <c r="BO3715" s="5"/>
      <c r="BP3715" s="5"/>
    </row>
    <row r="3716" spans="35:68" x14ac:dyDescent="0.25">
      <c r="AI3716" s="49"/>
      <c r="AJ3716" s="78"/>
      <c r="AK3716" s="79"/>
      <c r="AL3716" s="79"/>
      <c r="AM3716" s="79"/>
      <c r="AN3716" s="79"/>
      <c r="AO3716" s="79"/>
      <c r="AP3716" s="79"/>
      <c r="AQ3716" s="79"/>
      <c r="AR3716" s="78"/>
      <c r="AS3716" s="78"/>
      <c r="AT3716" s="79"/>
      <c r="AU3716" s="79"/>
      <c r="AV3716" s="79"/>
      <c r="AW3716" s="79"/>
      <c r="AX3716" s="79"/>
      <c r="AZ3716" s="81"/>
      <c r="BB3716" s="5"/>
      <c r="BC3716" s="5"/>
      <c r="BD3716" s="5"/>
      <c r="BE3716" s="5"/>
      <c r="BF3716" s="5"/>
      <c r="BG3716" s="5"/>
      <c r="BH3716" s="5"/>
      <c r="BI3716" s="5"/>
      <c r="BJ3716" s="5"/>
      <c r="BK3716" s="5"/>
      <c r="BL3716" s="5"/>
      <c r="BM3716" s="5"/>
      <c r="BN3716" s="5"/>
      <c r="BO3716" s="5"/>
      <c r="BP3716" s="5"/>
    </row>
    <row r="3717" spans="35:68" x14ac:dyDescent="0.25">
      <c r="AI3717" s="49"/>
      <c r="AJ3717" s="78"/>
      <c r="AK3717" s="79"/>
      <c r="AL3717" s="79"/>
      <c r="AM3717" s="79"/>
      <c r="AN3717" s="79"/>
      <c r="AO3717" s="79"/>
      <c r="AP3717" s="79"/>
      <c r="AQ3717" s="79"/>
      <c r="AR3717" s="78"/>
      <c r="AS3717" s="78"/>
      <c r="AT3717" s="79"/>
      <c r="AU3717" s="79"/>
      <c r="AV3717" s="79"/>
      <c r="AW3717" s="79"/>
      <c r="AX3717" s="79"/>
      <c r="AZ3717" s="81"/>
      <c r="BB3717" s="5"/>
      <c r="BC3717" s="5"/>
      <c r="BD3717" s="5"/>
      <c r="BE3717" s="5"/>
      <c r="BF3717" s="5"/>
      <c r="BG3717" s="5"/>
      <c r="BH3717" s="5"/>
      <c r="BI3717" s="5"/>
      <c r="BJ3717" s="5"/>
      <c r="BK3717" s="5"/>
      <c r="BL3717" s="5"/>
      <c r="BM3717" s="5"/>
      <c r="BN3717" s="5"/>
      <c r="BO3717" s="5"/>
      <c r="BP3717" s="5"/>
    </row>
    <row r="3718" spans="35:68" x14ac:dyDescent="0.25">
      <c r="AI3718" s="49"/>
      <c r="AJ3718" s="78"/>
      <c r="AK3718" s="79"/>
      <c r="AL3718" s="79"/>
      <c r="AM3718" s="79"/>
      <c r="AN3718" s="79"/>
      <c r="AO3718" s="79"/>
      <c r="AP3718" s="79"/>
      <c r="AQ3718" s="79"/>
      <c r="AR3718" s="78"/>
      <c r="AS3718" s="78"/>
      <c r="AT3718" s="79"/>
      <c r="AU3718" s="79"/>
      <c r="AV3718" s="79"/>
      <c r="AW3718" s="79"/>
      <c r="AX3718" s="79"/>
      <c r="AZ3718" s="81"/>
      <c r="BB3718" s="5"/>
      <c r="BC3718" s="5"/>
      <c r="BD3718" s="5"/>
      <c r="BE3718" s="5"/>
      <c r="BF3718" s="5"/>
      <c r="BG3718" s="5"/>
      <c r="BH3718" s="5"/>
      <c r="BI3718" s="5"/>
      <c r="BJ3718" s="5"/>
      <c r="BK3718" s="5"/>
      <c r="BL3718" s="5"/>
      <c r="BM3718" s="5"/>
      <c r="BN3718" s="5"/>
      <c r="BO3718" s="5"/>
      <c r="BP3718" s="5"/>
    </row>
    <row r="3719" spans="35:68" x14ac:dyDescent="0.25">
      <c r="AI3719" s="49"/>
      <c r="AJ3719" s="78"/>
      <c r="AK3719" s="79"/>
      <c r="AL3719" s="79"/>
      <c r="AM3719" s="79"/>
      <c r="AN3719" s="79"/>
      <c r="AO3719" s="79"/>
      <c r="AP3719" s="79"/>
      <c r="AQ3719" s="79"/>
      <c r="AR3719" s="78"/>
      <c r="AS3719" s="78"/>
      <c r="AT3719" s="79"/>
      <c r="AU3719" s="79"/>
      <c r="AV3719" s="79"/>
      <c r="AW3719" s="79"/>
      <c r="AX3719" s="79"/>
      <c r="AZ3719" s="81"/>
      <c r="BB3719" s="5"/>
      <c r="BC3719" s="5"/>
      <c r="BD3719" s="5"/>
      <c r="BE3719" s="5"/>
      <c r="BF3719" s="5"/>
      <c r="BG3719" s="5"/>
      <c r="BH3719" s="5"/>
      <c r="BI3719" s="5"/>
      <c r="BJ3719" s="5"/>
      <c r="BK3719" s="5"/>
      <c r="BL3719" s="5"/>
      <c r="BM3719" s="5"/>
      <c r="BN3719" s="5"/>
      <c r="BO3719" s="5"/>
      <c r="BP3719" s="5"/>
    </row>
    <row r="3720" spans="35:68" x14ac:dyDescent="0.25">
      <c r="AI3720" s="49"/>
      <c r="AJ3720" s="78"/>
      <c r="AK3720" s="79"/>
      <c r="AL3720" s="79"/>
      <c r="AM3720" s="79"/>
      <c r="AN3720" s="79"/>
      <c r="AO3720" s="79"/>
      <c r="AP3720" s="79"/>
      <c r="AQ3720" s="79"/>
      <c r="AR3720" s="78"/>
      <c r="AS3720" s="78"/>
      <c r="AT3720" s="79"/>
      <c r="AU3720" s="79"/>
      <c r="AV3720" s="79"/>
      <c r="AW3720" s="79"/>
      <c r="AX3720" s="79"/>
      <c r="AZ3720" s="81"/>
      <c r="BB3720" s="5"/>
      <c r="BC3720" s="5"/>
      <c r="BD3720" s="5"/>
      <c r="BE3720" s="5"/>
      <c r="BF3720" s="5"/>
      <c r="BG3720" s="5"/>
      <c r="BH3720" s="5"/>
      <c r="BI3720" s="5"/>
      <c r="BJ3720" s="5"/>
      <c r="BK3720" s="5"/>
      <c r="BL3720" s="5"/>
      <c r="BM3720" s="5"/>
      <c r="BN3720" s="5"/>
      <c r="BO3720" s="5"/>
      <c r="BP3720" s="5"/>
    </row>
    <row r="3721" spans="35:68" x14ac:dyDescent="0.25">
      <c r="AI3721" s="49"/>
      <c r="AJ3721" s="78"/>
      <c r="AK3721" s="79"/>
      <c r="AL3721" s="79"/>
      <c r="AM3721" s="79"/>
      <c r="AN3721" s="79"/>
      <c r="AO3721" s="79"/>
      <c r="AP3721" s="79"/>
      <c r="AQ3721" s="79"/>
      <c r="AR3721" s="78"/>
      <c r="AS3721" s="78"/>
      <c r="AT3721" s="79"/>
      <c r="AU3721" s="79"/>
      <c r="AV3721" s="79"/>
      <c r="AW3721" s="79"/>
      <c r="AX3721" s="79"/>
      <c r="AZ3721" s="81"/>
      <c r="BB3721" s="5"/>
      <c r="BC3721" s="5"/>
      <c r="BD3721" s="5"/>
      <c r="BE3721" s="5"/>
      <c r="BF3721" s="5"/>
      <c r="BG3721" s="5"/>
      <c r="BH3721" s="5"/>
      <c r="BI3721" s="5"/>
      <c r="BJ3721" s="5"/>
      <c r="BK3721" s="5"/>
      <c r="BL3721" s="5"/>
      <c r="BM3721" s="5"/>
      <c r="BN3721" s="5"/>
      <c r="BO3721" s="5"/>
      <c r="BP3721" s="5"/>
    </row>
    <row r="3722" spans="35:68" x14ac:dyDescent="0.25">
      <c r="AI3722" s="49"/>
      <c r="AJ3722" s="78"/>
      <c r="AK3722" s="79"/>
      <c r="AL3722" s="79"/>
      <c r="AM3722" s="79"/>
      <c r="AN3722" s="79"/>
      <c r="AO3722" s="79"/>
      <c r="AP3722" s="79"/>
      <c r="AQ3722" s="79"/>
      <c r="AR3722" s="78"/>
      <c r="AS3722" s="78"/>
      <c r="AT3722" s="79"/>
      <c r="AU3722" s="79"/>
      <c r="AV3722" s="79"/>
      <c r="AW3722" s="79"/>
      <c r="AX3722" s="79"/>
      <c r="AZ3722" s="81"/>
      <c r="BB3722" s="5"/>
      <c r="BC3722" s="5"/>
      <c r="BD3722" s="5"/>
      <c r="BE3722" s="5"/>
      <c r="BF3722" s="5"/>
      <c r="BG3722" s="5"/>
      <c r="BH3722" s="5"/>
      <c r="BI3722" s="5"/>
      <c r="BJ3722" s="5"/>
      <c r="BK3722" s="5"/>
      <c r="BL3722" s="5"/>
      <c r="BM3722" s="5"/>
      <c r="BN3722" s="5"/>
      <c r="BO3722" s="5"/>
      <c r="BP3722" s="5"/>
    </row>
    <row r="3723" spans="35:68" x14ac:dyDescent="0.25">
      <c r="AI3723" s="49"/>
      <c r="AJ3723" s="78"/>
      <c r="AK3723" s="79"/>
      <c r="AL3723" s="79"/>
      <c r="AM3723" s="79"/>
      <c r="AN3723" s="79"/>
      <c r="AO3723" s="79"/>
      <c r="AP3723" s="79"/>
      <c r="AQ3723" s="79"/>
      <c r="AR3723" s="78"/>
      <c r="AS3723" s="78"/>
      <c r="AT3723" s="79"/>
      <c r="AU3723" s="79"/>
      <c r="AV3723" s="79"/>
      <c r="AW3723" s="79"/>
      <c r="AX3723" s="79"/>
      <c r="AZ3723" s="81"/>
      <c r="BB3723" s="5"/>
      <c r="BC3723" s="5"/>
      <c r="BD3723" s="5"/>
      <c r="BE3723" s="5"/>
      <c r="BF3723" s="5"/>
      <c r="BG3723" s="5"/>
      <c r="BH3723" s="5"/>
      <c r="BI3723" s="5"/>
      <c r="BJ3723" s="5"/>
      <c r="BK3723" s="5"/>
      <c r="BL3723" s="5"/>
      <c r="BM3723" s="5"/>
      <c r="BN3723" s="5"/>
      <c r="BO3723" s="5"/>
      <c r="BP3723" s="5"/>
    </row>
    <row r="3724" spans="35:68" x14ac:dyDescent="0.25">
      <c r="AI3724" s="49"/>
      <c r="AJ3724" s="78"/>
      <c r="AK3724" s="79"/>
      <c r="AL3724" s="79"/>
      <c r="AM3724" s="79"/>
      <c r="AN3724" s="79"/>
      <c r="AO3724" s="79"/>
      <c r="AP3724" s="79"/>
      <c r="AQ3724" s="79"/>
      <c r="AR3724" s="78"/>
      <c r="AS3724" s="78"/>
      <c r="AT3724" s="79"/>
      <c r="AU3724" s="79"/>
      <c r="AV3724" s="79"/>
      <c r="AW3724" s="79"/>
      <c r="AX3724" s="79"/>
      <c r="AZ3724" s="81"/>
      <c r="BB3724" s="5"/>
      <c r="BC3724" s="5"/>
      <c r="BD3724" s="5"/>
      <c r="BE3724" s="5"/>
      <c r="BF3724" s="5"/>
      <c r="BG3724" s="5"/>
      <c r="BH3724" s="5"/>
      <c r="BI3724" s="5"/>
      <c r="BJ3724" s="5"/>
      <c r="BK3724" s="5"/>
      <c r="BL3724" s="5"/>
      <c r="BM3724" s="5"/>
      <c r="BN3724" s="5"/>
      <c r="BO3724" s="5"/>
      <c r="BP3724" s="5"/>
    </row>
    <row r="3725" spans="35:68" x14ac:dyDescent="0.25">
      <c r="AI3725" s="49"/>
      <c r="AJ3725" s="78"/>
      <c r="AK3725" s="79"/>
      <c r="AL3725" s="79"/>
      <c r="AM3725" s="79"/>
      <c r="AN3725" s="79"/>
      <c r="AO3725" s="79"/>
      <c r="AP3725" s="79"/>
      <c r="AQ3725" s="79"/>
      <c r="AR3725" s="78"/>
      <c r="AS3725" s="78"/>
      <c r="AT3725" s="79"/>
      <c r="AU3725" s="79"/>
      <c r="AV3725" s="79"/>
      <c r="AW3725" s="79"/>
      <c r="AX3725" s="79"/>
      <c r="AZ3725" s="81"/>
      <c r="BB3725" s="5"/>
      <c r="BC3725" s="5"/>
      <c r="BD3725" s="5"/>
      <c r="BE3725" s="5"/>
      <c r="BF3725" s="5"/>
      <c r="BG3725" s="5"/>
      <c r="BH3725" s="5"/>
      <c r="BI3725" s="5"/>
      <c r="BJ3725" s="5"/>
      <c r="BK3725" s="5"/>
      <c r="BL3725" s="5"/>
      <c r="BM3725" s="5"/>
      <c r="BN3725" s="5"/>
      <c r="BO3725" s="5"/>
      <c r="BP3725" s="5"/>
    </row>
    <row r="3726" spans="35:68" x14ac:dyDescent="0.25">
      <c r="AI3726" s="49"/>
      <c r="AJ3726" s="78"/>
      <c r="AK3726" s="79"/>
      <c r="AL3726" s="79"/>
      <c r="AM3726" s="79"/>
      <c r="AN3726" s="79"/>
      <c r="AO3726" s="79"/>
      <c r="AP3726" s="79"/>
      <c r="AQ3726" s="79"/>
      <c r="AR3726" s="78"/>
      <c r="AS3726" s="78"/>
      <c r="AT3726" s="79"/>
      <c r="AU3726" s="79"/>
      <c r="AV3726" s="79"/>
      <c r="AW3726" s="79"/>
      <c r="AX3726" s="79"/>
      <c r="AZ3726" s="81"/>
      <c r="BB3726" s="5"/>
      <c r="BC3726" s="5"/>
      <c r="BD3726" s="5"/>
      <c r="BE3726" s="5"/>
      <c r="BF3726" s="5"/>
      <c r="BG3726" s="5"/>
      <c r="BH3726" s="5"/>
      <c r="BI3726" s="5"/>
      <c r="BJ3726" s="5"/>
      <c r="BK3726" s="5"/>
      <c r="BL3726" s="5"/>
      <c r="BM3726" s="5"/>
      <c r="BN3726" s="5"/>
      <c r="BO3726" s="5"/>
      <c r="BP3726" s="5"/>
    </row>
    <row r="3727" spans="35:68" x14ac:dyDescent="0.25">
      <c r="AI3727" s="49"/>
      <c r="AJ3727" s="78"/>
      <c r="AK3727" s="79"/>
      <c r="AL3727" s="79"/>
      <c r="AM3727" s="79"/>
      <c r="AN3727" s="79"/>
      <c r="AO3727" s="79"/>
      <c r="AP3727" s="79"/>
      <c r="AQ3727" s="79"/>
      <c r="AR3727" s="78"/>
      <c r="AS3727" s="78"/>
      <c r="AT3727" s="79"/>
      <c r="AU3727" s="79"/>
      <c r="AV3727" s="79"/>
      <c r="AW3727" s="79"/>
      <c r="AX3727" s="79"/>
      <c r="AZ3727" s="81"/>
      <c r="BB3727" s="5"/>
      <c r="BC3727" s="5"/>
      <c r="BD3727" s="5"/>
      <c r="BE3727" s="5"/>
      <c r="BF3727" s="5"/>
      <c r="BG3727" s="5"/>
      <c r="BH3727" s="5"/>
      <c r="BI3727" s="5"/>
      <c r="BJ3727" s="5"/>
      <c r="BK3727" s="5"/>
      <c r="BL3727" s="5"/>
      <c r="BM3727" s="5"/>
      <c r="BN3727" s="5"/>
      <c r="BO3727" s="5"/>
      <c r="BP3727" s="5"/>
    </row>
    <row r="3728" spans="35:68" x14ac:dyDescent="0.25">
      <c r="AI3728" s="49"/>
      <c r="AJ3728" s="78"/>
      <c r="AK3728" s="79"/>
      <c r="AL3728" s="79"/>
      <c r="AM3728" s="79"/>
      <c r="AN3728" s="79"/>
      <c r="AO3728" s="79"/>
      <c r="AP3728" s="79"/>
      <c r="AQ3728" s="79"/>
      <c r="AR3728" s="78"/>
      <c r="AS3728" s="78"/>
      <c r="AT3728" s="79"/>
      <c r="AU3728" s="79"/>
      <c r="AV3728" s="79"/>
      <c r="AW3728" s="79"/>
      <c r="AX3728" s="79"/>
      <c r="AZ3728" s="81"/>
      <c r="BB3728" s="5"/>
      <c r="BC3728" s="5"/>
      <c r="BD3728" s="5"/>
      <c r="BE3728" s="5"/>
      <c r="BF3728" s="5"/>
      <c r="BG3728" s="5"/>
      <c r="BH3728" s="5"/>
      <c r="BI3728" s="5"/>
      <c r="BJ3728" s="5"/>
      <c r="BK3728" s="5"/>
      <c r="BL3728" s="5"/>
      <c r="BM3728" s="5"/>
      <c r="BN3728" s="5"/>
      <c r="BO3728" s="5"/>
      <c r="BP3728" s="5"/>
    </row>
    <row r="3729" spans="35:68" x14ac:dyDescent="0.25">
      <c r="AI3729" s="49"/>
      <c r="AJ3729" s="78"/>
      <c r="AK3729" s="79"/>
      <c r="AL3729" s="79"/>
      <c r="AM3729" s="79"/>
      <c r="AN3729" s="79"/>
      <c r="AO3729" s="79"/>
      <c r="AP3729" s="79"/>
      <c r="AQ3729" s="79"/>
      <c r="AR3729" s="78"/>
      <c r="AS3729" s="78"/>
      <c r="AT3729" s="79"/>
      <c r="AU3729" s="79"/>
      <c r="AV3729" s="79"/>
      <c r="AW3729" s="79"/>
      <c r="AX3729" s="79"/>
      <c r="AZ3729" s="81"/>
      <c r="BB3729" s="5"/>
      <c r="BC3729" s="5"/>
      <c r="BD3729" s="5"/>
      <c r="BE3729" s="5"/>
      <c r="BF3729" s="5"/>
      <c r="BG3729" s="5"/>
      <c r="BH3729" s="5"/>
      <c r="BI3729" s="5"/>
      <c r="BJ3729" s="5"/>
      <c r="BK3729" s="5"/>
      <c r="BL3729" s="5"/>
      <c r="BM3729" s="5"/>
      <c r="BN3729" s="5"/>
      <c r="BO3729" s="5"/>
      <c r="BP3729" s="5"/>
    </row>
    <row r="3730" spans="35:68" x14ac:dyDescent="0.25">
      <c r="AI3730" s="49"/>
      <c r="AJ3730" s="78"/>
      <c r="AK3730" s="79"/>
      <c r="AL3730" s="79"/>
      <c r="AM3730" s="79"/>
      <c r="AN3730" s="79"/>
      <c r="AO3730" s="79"/>
      <c r="AP3730" s="79"/>
      <c r="AQ3730" s="79"/>
      <c r="AR3730" s="78"/>
      <c r="AS3730" s="78"/>
      <c r="AT3730" s="79"/>
      <c r="AU3730" s="79"/>
      <c r="AV3730" s="79"/>
      <c r="AW3730" s="79"/>
      <c r="AX3730" s="79"/>
      <c r="AZ3730" s="81"/>
      <c r="BB3730" s="5"/>
      <c r="BC3730" s="5"/>
      <c r="BD3730" s="5"/>
      <c r="BE3730" s="5"/>
      <c r="BF3730" s="5"/>
      <c r="BG3730" s="5"/>
      <c r="BH3730" s="5"/>
      <c r="BI3730" s="5"/>
      <c r="BJ3730" s="5"/>
      <c r="BK3730" s="5"/>
      <c r="BL3730" s="5"/>
      <c r="BM3730" s="5"/>
      <c r="BN3730" s="5"/>
      <c r="BO3730" s="5"/>
      <c r="BP3730" s="5"/>
    </row>
    <row r="3731" spans="35:68" x14ac:dyDescent="0.25">
      <c r="AI3731" s="49"/>
      <c r="AJ3731" s="78"/>
      <c r="AK3731" s="79"/>
      <c r="AL3731" s="79"/>
      <c r="AM3731" s="79"/>
      <c r="AN3731" s="79"/>
      <c r="AO3731" s="79"/>
      <c r="AP3731" s="79"/>
      <c r="AQ3731" s="79"/>
      <c r="AR3731" s="78"/>
      <c r="AS3731" s="78"/>
      <c r="AT3731" s="79"/>
      <c r="AU3731" s="79"/>
      <c r="AV3731" s="79"/>
      <c r="AW3731" s="79"/>
      <c r="AX3731" s="79"/>
      <c r="AZ3731" s="81"/>
      <c r="BB3731" s="5"/>
      <c r="BC3731" s="5"/>
      <c r="BD3731" s="5"/>
      <c r="BE3731" s="5"/>
      <c r="BF3731" s="5"/>
      <c r="BG3731" s="5"/>
      <c r="BH3731" s="5"/>
      <c r="BI3731" s="5"/>
      <c r="BJ3731" s="5"/>
      <c r="BK3731" s="5"/>
      <c r="BL3731" s="5"/>
      <c r="BM3731" s="5"/>
      <c r="BN3731" s="5"/>
      <c r="BO3731" s="5"/>
      <c r="BP3731" s="5"/>
    </row>
    <row r="3732" spans="35:68" x14ac:dyDescent="0.25">
      <c r="AI3732" s="49"/>
      <c r="AJ3732" s="78"/>
      <c r="AK3732" s="79"/>
      <c r="AL3732" s="79"/>
      <c r="AM3732" s="79"/>
      <c r="AN3732" s="79"/>
      <c r="AO3732" s="79"/>
      <c r="AP3732" s="79"/>
      <c r="AQ3732" s="79"/>
      <c r="AR3732" s="78"/>
      <c r="AS3732" s="78"/>
      <c r="AT3732" s="79"/>
      <c r="AU3732" s="79"/>
      <c r="AV3732" s="79"/>
      <c r="AW3732" s="79"/>
      <c r="AX3732" s="79"/>
      <c r="AZ3732" s="81"/>
      <c r="BB3732" s="5"/>
      <c r="BC3732" s="5"/>
      <c r="BD3732" s="5"/>
      <c r="BE3732" s="5"/>
      <c r="BF3732" s="5"/>
      <c r="BG3732" s="5"/>
      <c r="BH3732" s="5"/>
      <c r="BI3732" s="5"/>
      <c r="BJ3732" s="5"/>
      <c r="BK3732" s="5"/>
      <c r="BL3732" s="5"/>
      <c r="BM3732" s="5"/>
      <c r="BN3732" s="5"/>
      <c r="BO3732" s="5"/>
      <c r="BP3732" s="5"/>
    </row>
    <row r="3733" spans="35:68" x14ac:dyDescent="0.25">
      <c r="AI3733" s="49"/>
      <c r="AJ3733" s="78"/>
      <c r="AK3733" s="79"/>
      <c r="AL3733" s="79"/>
      <c r="AM3733" s="79"/>
      <c r="AN3733" s="79"/>
      <c r="AO3733" s="79"/>
      <c r="AP3733" s="79"/>
      <c r="AQ3733" s="79"/>
      <c r="AR3733" s="78"/>
      <c r="AS3733" s="78"/>
      <c r="AT3733" s="79"/>
      <c r="AU3733" s="79"/>
      <c r="AV3733" s="79"/>
      <c r="AW3733" s="79"/>
      <c r="AX3733" s="79"/>
      <c r="AZ3733" s="81"/>
      <c r="BB3733" s="5"/>
      <c r="BC3733" s="5"/>
      <c r="BD3733" s="5"/>
      <c r="BE3733" s="5"/>
      <c r="BF3733" s="5"/>
      <c r="BG3733" s="5"/>
      <c r="BH3733" s="5"/>
      <c r="BI3733" s="5"/>
      <c r="BJ3733" s="5"/>
      <c r="BK3733" s="5"/>
      <c r="BL3733" s="5"/>
      <c r="BM3733" s="5"/>
      <c r="BN3733" s="5"/>
      <c r="BO3733" s="5"/>
      <c r="BP3733" s="5"/>
    </row>
    <row r="3734" spans="35:68" x14ac:dyDescent="0.25">
      <c r="AI3734" s="49"/>
      <c r="AJ3734" s="78"/>
      <c r="AK3734" s="79"/>
      <c r="AL3734" s="79"/>
      <c r="AM3734" s="79"/>
      <c r="AN3734" s="79"/>
      <c r="AO3734" s="79"/>
      <c r="AP3734" s="79"/>
      <c r="AQ3734" s="79"/>
      <c r="AR3734" s="78"/>
      <c r="AS3734" s="78"/>
      <c r="AT3734" s="79"/>
      <c r="AU3734" s="79"/>
      <c r="AV3734" s="79"/>
      <c r="AW3734" s="79"/>
      <c r="AX3734" s="79"/>
      <c r="AZ3734" s="81"/>
      <c r="BB3734" s="5"/>
      <c r="BC3734" s="5"/>
      <c r="BD3734" s="5"/>
      <c r="BE3734" s="5"/>
      <c r="BF3734" s="5"/>
      <c r="BG3734" s="5"/>
      <c r="BH3734" s="5"/>
      <c r="BI3734" s="5"/>
      <c r="BJ3734" s="5"/>
      <c r="BK3734" s="5"/>
      <c r="BL3734" s="5"/>
      <c r="BM3734" s="5"/>
      <c r="BN3734" s="5"/>
      <c r="BO3734" s="5"/>
      <c r="BP3734" s="5"/>
    </row>
    <row r="3735" spans="35:68" x14ac:dyDescent="0.25">
      <c r="AI3735" s="49"/>
      <c r="AJ3735" s="78"/>
      <c r="AK3735" s="79"/>
      <c r="AL3735" s="79"/>
      <c r="AM3735" s="79"/>
      <c r="AN3735" s="79"/>
      <c r="AO3735" s="79"/>
      <c r="AP3735" s="79"/>
      <c r="AQ3735" s="79"/>
      <c r="AR3735" s="78"/>
      <c r="AS3735" s="78"/>
      <c r="AT3735" s="79"/>
      <c r="AU3735" s="79"/>
      <c r="AV3735" s="79"/>
      <c r="AW3735" s="79"/>
      <c r="AX3735" s="79"/>
      <c r="AZ3735" s="81"/>
      <c r="BB3735" s="5"/>
      <c r="BC3735" s="5"/>
      <c r="BD3735" s="5"/>
      <c r="BE3735" s="5"/>
      <c r="BF3735" s="5"/>
      <c r="BG3735" s="5"/>
      <c r="BH3735" s="5"/>
      <c r="BI3735" s="5"/>
      <c r="BJ3735" s="5"/>
      <c r="BK3735" s="5"/>
      <c r="BL3735" s="5"/>
      <c r="BM3735" s="5"/>
      <c r="BN3735" s="5"/>
      <c r="BO3735" s="5"/>
      <c r="BP3735" s="5"/>
    </row>
    <row r="3736" spans="35:68" x14ac:dyDescent="0.25">
      <c r="AI3736" s="49"/>
      <c r="AJ3736" s="78"/>
      <c r="AK3736" s="79"/>
      <c r="AL3736" s="79"/>
      <c r="AM3736" s="79"/>
      <c r="AN3736" s="79"/>
      <c r="AO3736" s="79"/>
      <c r="AP3736" s="79"/>
      <c r="AQ3736" s="79"/>
      <c r="AR3736" s="78"/>
      <c r="AS3736" s="78"/>
      <c r="AT3736" s="79"/>
      <c r="AU3736" s="79"/>
      <c r="AV3736" s="79"/>
      <c r="AW3736" s="79"/>
      <c r="AX3736" s="79"/>
      <c r="AZ3736" s="81"/>
      <c r="BB3736" s="5"/>
      <c r="BC3736" s="5"/>
      <c r="BD3736" s="5"/>
      <c r="BE3736" s="5"/>
      <c r="BF3736" s="5"/>
      <c r="BG3736" s="5"/>
      <c r="BH3736" s="5"/>
      <c r="BI3736" s="5"/>
      <c r="BJ3736" s="5"/>
      <c r="BK3736" s="5"/>
      <c r="BL3736" s="5"/>
      <c r="BM3736" s="5"/>
      <c r="BN3736" s="5"/>
      <c r="BO3736" s="5"/>
      <c r="BP3736" s="5"/>
    </row>
    <row r="3737" spans="35:68" x14ac:dyDescent="0.25">
      <c r="AI3737" s="49"/>
      <c r="AJ3737" s="78"/>
      <c r="AK3737" s="79"/>
      <c r="AL3737" s="79"/>
      <c r="AM3737" s="79"/>
      <c r="AN3737" s="79"/>
      <c r="AO3737" s="79"/>
      <c r="AP3737" s="79"/>
      <c r="AQ3737" s="79"/>
      <c r="AR3737" s="78"/>
      <c r="AS3737" s="78"/>
      <c r="AT3737" s="79"/>
      <c r="AU3737" s="79"/>
      <c r="AV3737" s="79"/>
      <c r="AW3737" s="79"/>
      <c r="AX3737" s="79"/>
      <c r="AZ3737" s="81"/>
      <c r="BB3737" s="5"/>
      <c r="BC3737" s="5"/>
      <c r="BD3737" s="5"/>
      <c r="BE3737" s="5"/>
      <c r="BF3737" s="5"/>
      <c r="BG3737" s="5"/>
      <c r="BH3737" s="5"/>
      <c r="BI3737" s="5"/>
      <c r="BJ3737" s="5"/>
      <c r="BK3737" s="5"/>
      <c r="BL3737" s="5"/>
      <c r="BM3737" s="5"/>
      <c r="BN3737" s="5"/>
      <c r="BO3737" s="5"/>
      <c r="BP3737" s="5"/>
    </row>
    <row r="3738" spans="35:68" x14ac:dyDescent="0.25">
      <c r="AI3738" s="49"/>
      <c r="AJ3738" s="78"/>
      <c r="AK3738" s="79"/>
      <c r="AL3738" s="79"/>
      <c r="AM3738" s="79"/>
      <c r="AN3738" s="79"/>
      <c r="AO3738" s="79"/>
      <c r="AP3738" s="79"/>
      <c r="AQ3738" s="79"/>
      <c r="AR3738" s="78"/>
      <c r="AS3738" s="78"/>
      <c r="AT3738" s="79"/>
      <c r="AU3738" s="79"/>
      <c r="AV3738" s="79"/>
      <c r="AW3738" s="79"/>
      <c r="AX3738" s="79"/>
      <c r="AZ3738" s="81"/>
      <c r="BB3738" s="5"/>
      <c r="BC3738" s="5"/>
      <c r="BD3738" s="5"/>
      <c r="BE3738" s="5"/>
      <c r="BF3738" s="5"/>
      <c r="BG3738" s="5"/>
      <c r="BH3738" s="5"/>
      <c r="BI3738" s="5"/>
      <c r="BJ3738" s="5"/>
      <c r="BK3738" s="5"/>
      <c r="BL3738" s="5"/>
      <c r="BM3738" s="5"/>
      <c r="BN3738" s="5"/>
      <c r="BO3738" s="5"/>
      <c r="BP3738" s="5"/>
    </row>
    <row r="3739" spans="35:68" x14ac:dyDescent="0.25">
      <c r="AI3739" s="49"/>
      <c r="AJ3739" s="78"/>
      <c r="AK3739" s="79"/>
      <c r="AL3739" s="79"/>
      <c r="AM3739" s="79"/>
      <c r="AN3739" s="79"/>
      <c r="AO3739" s="79"/>
      <c r="AP3739" s="79"/>
      <c r="AQ3739" s="79"/>
      <c r="AR3739" s="78"/>
      <c r="AS3739" s="78"/>
      <c r="AT3739" s="79"/>
      <c r="AU3739" s="79"/>
      <c r="AV3739" s="79"/>
      <c r="AW3739" s="79"/>
      <c r="AX3739" s="79"/>
      <c r="AZ3739" s="81"/>
      <c r="BB3739" s="5"/>
      <c r="BC3739" s="5"/>
      <c r="BD3739" s="5"/>
      <c r="BE3739" s="5"/>
      <c r="BF3739" s="5"/>
      <c r="BG3739" s="5"/>
      <c r="BH3739" s="5"/>
      <c r="BI3739" s="5"/>
      <c r="BJ3739" s="5"/>
      <c r="BK3739" s="5"/>
      <c r="BL3739" s="5"/>
      <c r="BM3739" s="5"/>
      <c r="BN3739" s="5"/>
      <c r="BO3739" s="5"/>
      <c r="BP3739" s="5"/>
    </row>
    <row r="3740" spans="35:68" x14ac:dyDescent="0.25">
      <c r="AI3740" s="49"/>
      <c r="AJ3740" s="78"/>
      <c r="AK3740" s="79"/>
      <c r="AL3740" s="79"/>
      <c r="AM3740" s="79"/>
      <c r="AN3740" s="79"/>
      <c r="AO3740" s="79"/>
      <c r="AP3740" s="79"/>
      <c r="AQ3740" s="79"/>
      <c r="AR3740" s="78"/>
      <c r="AS3740" s="78"/>
      <c r="AT3740" s="79"/>
      <c r="AU3740" s="79"/>
      <c r="AV3740" s="79"/>
      <c r="AW3740" s="79"/>
      <c r="AX3740" s="79"/>
      <c r="AZ3740" s="81"/>
      <c r="BB3740" s="5"/>
      <c r="BC3740" s="5"/>
      <c r="BD3740" s="5"/>
      <c r="BE3740" s="5"/>
      <c r="BF3740" s="5"/>
      <c r="BG3740" s="5"/>
      <c r="BH3740" s="5"/>
      <c r="BI3740" s="5"/>
      <c r="BJ3740" s="5"/>
      <c r="BK3740" s="5"/>
      <c r="BL3740" s="5"/>
      <c r="BM3740" s="5"/>
      <c r="BN3740" s="5"/>
      <c r="BO3740" s="5"/>
      <c r="BP3740" s="5"/>
    </row>
    <row r="3741" spans="35:68" x14ac:dyDescent="0.25">
      <c r="AI3741" s="49"/>
      <c r="AJ3741" s="78"/>
      <c r="AK3741" s="79"/>
      <c r="AL3741" s="79"/>
      <c r="AM3741" s="79"/>
      <c r="AN3741" s="79"/>
      <c r="AO3741" s="79"/>
      <c r="AP3741" s="79"/>
      <c r="AQ3741" s="79"/>
      <c r="AR3741" s="78"/>
      <c r="AS3741" s="78"/>
      <c r="AT3741" s="79"/>
      <c r="AU3741" s="79"/>
      <c r="AV3741" s="79"/>
      <c r="AW3741" s="79"/>
      <c r="AX3741" s="79"/>
      <c r="AZ3741" s="81"/>
      <c r="BB3741" s="5"/>
      <c r="BC3741" s="5"/>
      <c r="BD3741" s="5"/>
      <c r="BE3741" s="5"/>
      <c r="BF3741" s="5"/>
      <c r="BG3741" s="5"/>
      <c r="BH3741" s="5"/>
      <c r="BI3741" s="5"/>
      <c r="BJ3741" s="5"/>
      <c r="BK3741" s="5"/>
      <c r="BL3741" s="5"/>
      <c r="BM3741" s="5"/>
      <c r="BN3741" s="5"/>
      <c r="BO3741" s="5"/>
      <c r="BP3741" s="5"/>
    </row>
    <row r="3742" spans="35:68" x14ac:dyDescent="0.25">
      <c r="AI3742" s="49"/>
      <c r="AJ3742" s="78"/>
      <c r="AK3742" s="79"/>
      <c r="AL3742" s="79"/>
      <c r="AM3742" s="79"/>
      <c r="AN3742" s="79"/>
      <c r="AO3742" s="79"/>
      <c r="AP3742" s="79"/>
      <c r="AQ3742" s="79"/>
      <c r="AR3742" s="78"/>
      <c r="AS3742" s="78"/>
      <c r="AT3742" s="79"/>
      <c r="AU3742" s="79"/>
      <c r="AV3742" s="79"/>
      <c r="AW3742" s="79"/>
      <c r="AX3742" s="79"/>
      <c r="AZ3742" s="81"/>
      <c r="BB3742" s="5"/>
      <c r="BC3742" s="5"/>
      <c r="BD3742" s="5"/>
      <c r="BE3742" s="5"/>
      <c r="BF3742" s="5"/>
      <c r="BG3742" s="5"/>
      <c r="BH3742" s="5"/>
      <c r="BI3742" s="5"/>
      <c r="BJ3742" s="5"/>
      <c r="BK3742" s="5"/>
      <c r="BL3742" s="5"/>
      <c r="BM3742" s="5"/>
      <c r="BN3742" s="5"/>
      <c r="BO3742" s="5"/>
      <c r="BP3742" s="5"/>
    </row>
    <row r="3743" spans="35:68" x14ac:dyDescent="0.25">
      <c r="AI3743" s="49"/>
      <c r="AJ3743" s="78"/>
      <c r="AK3743" s="79"/>
      <c r="AL3743" s="79"/>
      <c r="AM3743" s="79"/>
      <c r="AN3743" s="79"/>
      <c r="AO3743" s="79"/>
      <c r="AP3743" s="79"/>
      <c r="AQ3743" s="79"/>
      <c r="AR3743" s="78"/>
      <c r="AS3743" s="78"/>
      <c r="AT3743" s="79"/>
      <c r="AU3743" s="79"/>
      <c r="AV3743" s="79"/>
      <c r="AW3743" s="79"/>
      <c r="AX3743" s="79"/>
      <c r="AZ3743" s="81"/>
      <c r="BB3743" s="5"/>
      <c r="BC3743" s="5"/>
      <c r="BD3743" s="5"/>
      <c r="BE3743" s="5"/>
      <c r="BF3743" s="5"/>
      <c r="BG3743" s="5"/>
      <c r="BH3743" s="5"/>
      <c r="BI3743" s="5"/>
      <c r="BJ3743" s="5"/>
      <c r="BK3743" s="5"/>
      <c r="BL3743" s="5"/>
      <c r="BM3743" s="5"/>
      <c r="BN3743" s="5"/>
      <c r="BO3743" s="5"/>
      <c r="BP3743" s="5"/>
    </row>
    <row r="3744" spans="35:68" x14ac:dyDescent="0.25">
      <c r="AI3744" s="49"/>
      <c r="AJ3744" s="78"/>
      <c r="AK3744" s="79"/>
      <c r="AL3744" s="79"/>
      <c r="AM3744" s="79"/>
      <c r="AN3744" s="79"/>
      <c r="AO3744" s="79"/>
      <c r="AP3744" s="79"/>
      <c r="AQ3744" s="79"/>
      <c r="AR3744" s="78"/>
      <c r="AS3744" s="78"/>
      <c r="AT3744" s="79"/>
      <c r="AU3744" s="79"/>
      <c r="AV3744" s="79"/>
      <c r="AW3744" s="79"/>
      <c r="AX3744" s="79"/>
      <c r="AZ3744" s="81"/>
      <c r="BB3744" s="5"/>
      <c r="BC3744" s="5"/>
      <c r="BD3744" s="5"/>
      <c r="BE3744" s="5"/>
      <c r="BF3744" s="5"/>
      <c r="BG3744" s="5"/>
      <c r="BH3744" s="5"/>
      <c r="BI3744" s="5"/>
      <c r="BJ3744" s="5"/>
      <c r="BK3744" s="5"/>
      <c r="BL3744" s="5"/>
      <c r="BM3744" s="5"/>
      <c r="BN3744" s="5"/>
      <c r="BO3744" s="5"/>
      <c r="BP3744" s="5"/>
    </row>
    <row r="3745" spans="35:68" x14ac:dyDescent="0.25">
      <c r="AI3745" s="49"/>
      <c r="AJ3745" s="78"/>
      <c r="AK3745" s="79"/>
      <c r="AL3745" s="79"/>
      <c r="AM3745" s="79"/>
      <c r="AN3745" s="79"/>
      <c r="AO3745" s="79"/>
      <c r="AP3745" s="79"/>
      <c r="AQ3745" s="79"/>
      <c r="AR3745" s="78"/>
      <c r="AS3745" s="78"/>
      <c r="AT3745" s="79"/>
      <c r="AU3745" s="79"/>
      <c r="AV3745" s="79"/>
      <c r="AW3745" s="79"/>
      <c r="AX3745" s="79"/>
      <c r="AZ3745" s="81"/>
      <c r="BB3745" s="5"/>
      <c r="BC3745" s="5"/>
      <c r="BD3745" s="5"/>
      <c r="BE3745" s="5"/>
      <c r="BF3745" s="5"/>
      <c r="BG3745" s="5"/>
      <c r="BH3745" s="5"/>
      <c r="BI3745" s="5"/>
      <c r="BJ3745" s="5"/>
      <c r="BK3745" s="5"/>
      <c r="BL3745" s="5"/>
      <c r="BM3745" s="5"/>
      <c r="BN3745" s="5"/>
      <c r="BO3745" s="5"/>
      <c r="BP3745" s="5"/>
    </row>
    <row r="3746" spans="35:68" x14ac:dyDescent="0.25">
      <c r="AI3746" s="49"/>
      <c r="AJ3746" s="78"/>
      <c r="AK3746" s="79"/>
      <c r="AL3746" s="79"/>
      <c r="AM3746" s="79"/>
      <c r="AN3746" s="79"/>
      <c r="AO3746" s="79"/>
      <c r="AP3746" s="79"/>
      <c r="AQ3746" s="79"/>
      <c r="AR3746" s="78"/>
      <c r="AS3746" s="78"/>
      <c r="AT3746" s="79"/>
      <c r="AU3746" s="79"/>
      <c r="AV3746" s="79"/>
      <c r="AW3746" s="79"/>
      <c r="AX3746" s="79"/>
      <c r="AZ3746" s="81"/>
      <c r="BB3746" s="5"/>
      <c r="BC3746" s="5"/>
      <c r="BD3746" s="5"/>
      <c r="BE3746" s="5"/>
      <c r="BF3746" s="5"/>
      <c r="BG3746" s="5"/>
      <c r="BH3746" s="5"/>
      <c r="BI3746" s="5"/>
      <c r="BJ3746" s="5"/>
      <c r="BK3746" s="5"/>
      <c r="BL3746" s="5"/>
      <c r="BM3746" s="5"/>
      <c r="BN3746" s="5"/>
      <c r="BO3746" s="5"/>
      <c r="BP3746" s="5"/>
    </row>
    <row r="3747" spans="35:68" x14ac:dyDescent="0.25">
      <c r="AI3747" s="49"/>
      <c r="AJ3747" s="78"/>
      <c r="AK3747" s="79"/>
      <c r="AL3747" s="79"/>
      <c r="AM3747" s="79"/>
      <c r="AN3747" s="79"/>
      <c r="AO3747" s="79"/>
      <c r="AP3747" s="79"/>
      <c r="AQ3747" s="79"/>
      <c r="AR3747" s="78"/>
      <c r="AS3747" s="78"/>
      <c r="AT3747" s="79"/>
      <c r="AU3747" s="79"/>
      <c r="AV3747" s="79"/>
      <c r="AW3747" s="79"/>
      <c r="AX3747" s="79"/>
      <c r="AZ3747" s="81"/>
      <c r="BB3747" s="5"/>
      <c r="BC3747" s="5"/>
      <c r="BD3747" s="5"/>
      <c r="BE3747" s="5"/>
      <c r="BF3747" s="5"/>
      <c r="BG3747" s="5"/>
      <c r="BH3747" s="5"/>
      <c r="BI3747" s="5"/>
      <c r="BJ3747" s="5"/>
      <c r="BK3747" s="5"/>
      <c r="BL3747" s="5"/>
      <c r="BM3747" s="5"/>
      <c r="BN3747" s="5"/>
      <c r="BO3747" s="5"/>
      <c r="BP3747" s="5"/>
    </row>
    <row r="3748" spans="35:68" x14ac:dyDescent="0.25">
      <c r="AI3748" s="49"/>
      <c r="AJ3748" s="78"/>
      <c r="AK3748" s="79"/>
      <c r="AL3748" s="79"/>
      <c r="AM3748" s="79"/>
      <c r="AN3748" s="79"/>
      <c r="AO3748" s="79"/>
      <c r="AP3748" s="79"/>
      <c r="AQ3748" s="79"/>
      <c r="AR3748" s="78"/>
      <c r="AS3748" s="78"/>
      <c r="AT3748" s="79"/>
      <c r="AU3748" s="79"/>
      <c r="AV3748" s="79"/>
      <c r="AW3748" s="79"/>
      <c r="AX3748" s="79"/>
      <c r="AZ3748" s="81"/>
      <c r="BB3748" s="5"/>
      <c r="BC3748" s="5"/>
      <c r="BD3748" s="5"/>
      <c r="BE3748" s="5"/>
      <c r="BF3748" s="5"/>
      <c r="BG3748" s="5"/>
      <c r="BH3748" s="5"/>
      <c r="BI3748" s="5"/>
      <c r="BJ3748" s="5"/>
      <c r="BK3748" s="5"/>
      <c r="BL3748" s="5"/>
      <c r="BM3748" s="5"/>
      <c r="BN3748" s="5"/>
      <c r="BO3748" s="5"/>
      <c r="BP3748" s="5"/>
    </row>
    <row r="3749" spans="35:68" x14ac:dyDescent="0.25">
      <c r="AI3749" s="49"/>
      <c r="AJ3749" s="78"/>
      <c r="AK3749" s="79"/>
      <c r="AL3749" s="79"/>
      <c r="AM3749" s="79"/>
      <c r="AN3749" s="79"/>
      <c r="AO3749" s="79"/>
      <c r="AP3749" s="79"/>
      <c r="AQ3749" s="79"/>
      <c r="AR3749" s="78"/>
      <c r="AS3749" s="78"/>
      <c r="AT3749" s="79"/>
      <c r="AU3749" s="79"/>
      <c r="AV3749" s="79"/>
      <c r="AW3749" s="79"/>
      <c r="AX3749" s="79"/>
      <c r="AZ3749" s="81"/>
      <c r="BB3749" s="5"/>
      <c r="BC3749" s="5"/>
      <c r="BD3749" s="5"/>
      <c r="BE3749" s="5"/>
      <c r="BF3749" s="5"/>
      <c r="BG3749" s="5"/>
      <c r="BH3749" s="5"/>
      <c r="BI3749" s="5"/>
      <c r="BJ3749" s="5"/>
      <c r="BK3749" s="5"/>
      <c r="BL3749" s="5"/>
      <c r="BM3749" s="5"/>
      <c r="BN3749" s="5"/>
      <c r="BO3749" s="5"/>
      <c r="BP3749" s="5"/>
    </row>
    <row r="3750" spans="35:68" x14ac:dyDescent="0.25">
      <c r="AI3750" s="49"/>
      <c r="AJ3750" s="78"/>
      <c r="AK3750" s="79"/>
      <c r="AL3750" s="79"/>
      <c r="AM3750" s="79"/>
      <c r="AN3750" s="79"/>
      <c r="AO3750" s="79"/>
      <c r="AP3750" s="79"/>
      <c r="AQ3750" s="79"/>
      <c r="AR3750" s="78"/>
      <c r="AS3750" s="78"/>
      <c r="AT3750" s="79"/>
      <c r="AU3750" s="79"/>
      <c r="AV3750" s="79"/>
      <c r="AW3750" s="79"/>
      <c r="AX3750" s="79"/>
      <c r="AZ3750" s="81"/>
      <c r="BB3750" s="5"/>
      <c r="BC3750" s="5"/>
      <c r="BD3750" s="5"/>
      <c r="BE3750" s="5"/>
      <c r="BF3750" s="5"/>
      <c r="BG3750" s="5"/>
      <c r="BH3750" s="5"/>
      <c r="BI3750" s="5"/>
      <c r="BJ3750" s="5"/>
      <c r="BK3750" s="5"/>
      <c r="BL3750" s="5"/>
      <c r="BM3750" s="5"/>
      <c r="BN3750" s="5"/>
      <c r="BO3750" s="5"/>
      <c r="BP3750" s="5"/>
    </row>
    <row r="3751" spans="35:68" x14ac:dyDescent="0.25">
      <c r="AI3751" s="49"/>
      <c r="AJ3751" s="78"/>
      <c r="AK3751" s="79"/>
      <c r="AL3751" s="79"/>
      <c r="AM3751" s="79"/>
      <c r="AN3751" s="79"/>
      <c r="AO3751" s="79"/>
      <c r="AP3751" s="79"/>
      <c r="AQ3751" s="79"/>
      <c r="AR3751" s="78"/>
      <c r="AS3751" s="78"/>
      <c r="AT3751" s="79"/>
      <c r="AU3751" s="79"/>
      <c r="AV3751" s="79"/>
      <c r="AW3751" s="79"/>
      <c r="AX3751" s="79"/>
      <c r="AZ3751" s="81"/>
      <c r="BB3751" s="5"/>
      <c r="BC3751" s="5"/>
      <c r="BD3751" s="5"/>
      <c r="BE3751" s="5"/>
      <c r="BF3751" s="5"/>
      <c r="BG3751" s="5"/>
      <c r="BH3751" s="5"/>
      <c r="BI3751" s="5"/>
      <c r="BJ3751" s="5"/>
      <c r="BK3751" s="5"/>
      <c r="BL3751" s="5"/>
      <c r="BM3751" s="5"/>
      <c r="BN3751" s="5"/>
      <c r="BO3751" s="5"/>
      <c r="BP3751" s="5"/>
    </row>
    <row r="3752" spans="35:68" x14ac:dyDescent="0.25">
      <c r="AI3752" s="49"/>
      <c r="AJ3752" s="78"/>
      <c r="AK3752" s="79"/>
      <c r="AL3752" s="79"/>
      <c r="AM3752" s="79"/>
      <c r="AN3752" s="79"/>
      <c r="AO3752" s="79"/>
      <c r="AP3752" s="79"/>
      <c r="AQ3752" s="79"/>
      <c r="AR3752" s="78"/>
      <c r="AS3752" s="78"/>
      <c r="AT3752" s="79"/>
      <c r="AU3752" s="79"/>
      <c r="AV3752" s="79"/>
      <c r="AW3752" s="79"/>
      <c r="AX3752" s="79"/>
      <c r="AZ3752" s="81"/>
      <c r="BB3752" s="5"/>
      <c r="BC3752" s="5"/>
      <c r="BD3752" s="5"/>
      <c r="BE3752" s="5"/>
      <c r="BF3752" s="5"/>
      <c r="BG3752" s="5"/>
      <c r="BH3752" s="5"/>
      <c r="BI3752" s="5"/>
      <c r="BJ3752" s="5"/>
      <c r="BK3752" s="5"/>
      <c r="BL3752" s="5"/>
      <c r="BM3752" s="5"/>
      <c r="BN3752" s="5"/>
      <c r="BO3752" s="5"/>
      <c r="BP3752" s="5"/>
    </row>
    <row r="3753" spans="35:68" x14ac:dyDescent="0.25">
      <c r="AI3753" s="49"/>
      <c r="AJ3753" s="78"/>
      <c r="AK3753" s="79"/>
      <c r="AL3753" s="79"/>
      <c r="AM3753" s="79"/>
      <c r="AN3753" s="79"/>
      <c r="AO3753" s="79"/>
      <c r="AP3753" s="79"/>
      <c r="AQ3753" s="79"/>
      <c r="AR3753" s="78"/>
      <c r="AS3753" s="78"/>
      <c r="AT3753" s="79"/>
      <c r="AU3753" s="79"/>
      <c r="AV3753" s="79"/>
      <c r="AW3753" s="79"/>
      <c r="AX3753" s="79"/>
      <c r="AZ3753" s="81"/>
      <c r="BB3753" s="5"/>
      <c r="BC3753" s="5"/>
      <c r="BD3753" s="5"/>
      <c r="BE3753" s="5"/>
      <c r="BF3753" s="5"/>
      <c r="BG3753" s="5"/>
      <c r="BH3753" s="5"/>
      <c r="BI3753" s="5"/>
      <c r="BJ3753" s="5"/>
      <c r="BK3753" s="5"/>
      <c r="BL3753" s="5"/>
      <c r="BM3753" s="5"/>
      <c r="BN3753" s="5"/>
      <c r="BO3753" s="5"/>
      <c r="BP3753" s="5"/>
    </row>
    <row r="3754" spans="35:68" x14ac:dyDescent="0.25">
      <c r="AI3754" s="49"/>
      <c r="AJ3754" s="78"/>
      <c r="AK3754" s="79"/>
      <c r="AL3754" s="79"/>
      <c r="AM3754" s="79"/>
      <c r="AN3754" s="79"/>
      <c r="AO3754" s="79"/>
      <c r="AP3754" s="79"/>
      <c r="AQ3754" s="79"/>
      <c r="AR3754" s="78"/>
      <c r="AS3754" s="78"/>
      <c r="AT3754" s="79"/>
      <c r="AU3754" s="79"/>
      <c r="AV3754" s="79"/>
      <c r="AW3754" s="79"/>
      <c r="AX3754" s="79"/>
      <c r="AZ3754" s="81"/>
      <c r="BB3754" s="5"/>
      <c r="BC3754" s="5"/>
      <c r="BD3754" s="5"/>
      <c r="BE3754" s="5"/>
      <c r="BF3754" s="5"/>
      <c r="BG3754" s="5"/>
      <c r="BH3754" s="5"/>
      <c r="BI3754" s="5"/>
      <c r="BJ3754" s="5"/>
      <c r="BK3754" s="5"/>
      <c r="BL3754" s="5"/>
      <c r="BM3754" s="5"/>
      <c r="BN3754" s="5"/>
      <c r="BO3754" s="5"/>
      <c r="BP3754" s="5"/>
    </row>
    <row r="3755" spans="35:68" x14ac:dyDescent="0.25">
      <c r="AI3755" s="49"/>
      <c r="AJ3755" s="78"/>
      <c r="AK3755" s="79"/>
      <c r="AL3755" s="79"/>
      <c r="AM3755" s="79"/>
      <c r="AN3755" s="79"/>
      <c r="AO3755" s="79"/>
      <c r="AP3755" s="79"/>
      <c r="AQ3755" s="79"/>
      <c r="AR3755" s="78"/>
      <c r="AS3755" s="78"/>
      <c r="AT3755" s="79"/>
      <c r="AU3755" s="79"/>
      <c r="AV3755" s="79"/>
      <c r="AW3755" s="79"/>
      <c r="AX3755" s="79"/>
      <c r="AZ3755" s="81"/>
      <c r="BB3755" s="5"/>
      <c r="BC3755" s="5"/>
      <c r="BD3755" s="5"/>
      <c r="BE3755" s="5"/>
      <c r="BF3755" s="5"/>
      <c r="BG3755" s="5"/>
      <c r="BH3755" s="5"/>
      <c r="BI3755" s="5"/>
      <c r="BJ3755" s="5"/>
      <c r="BK3755" s="5"/>
      <c r="BL3755" s="5"/>
      <c r="BM3755" s="5"/>
      <c r="BN3755" s="5"/>
      <c r="BO3755" s="5"/>
      <c r="BP3755" s="5"/>
    </row>
    <row r="3756" spans="35:68" x14ac:dyDescent="0.25">
      <c r="AI3756" s="49"/>
      <c r="AJ3756" s="78"/>
      <c r="AK3756" s="79"/>
      <c r="AL3756" s="79"/>
      <c r="AM3756" s="79"/>
      <c r="AN3756" s="79"/>
      <c r="AO3756" s="79"/>
      <c r="AP3756" s="79"/>
      <c r="AQ3756" s="79"/>
      <c r="AR3756" s="78"/>
      <c r="AS3756" s="78"/>
      <c r="AT3756" s="79"/>
      <c r="AU3756" s="79"/>
      <c r="AV3756" s="79"/>
      <c r="AW3756" s="79"/>
      <c r="AX3756" s="79"/>
      <c r="AZ3756" s="81"/>
      <c r="BB3756" s="5"/>
      <c r="BC3756" s="5"/>
      <c r="BD3756" s="5"/>
      <c r="BE3756" s="5"/>
      <c r="BF3756" s="5"/>
      <c r="BG3756" s="5"/>
      <c r="BH3756" s="5"/>
      <c r="BI3756" s="5"/>
      <c r="BJ3756" s="5"/>
      <c r="BK3756" s="5"/>
      <c r="BL3756" s="5"/>
      <c r="BM3756" s="5"/>
      <c r="BN3756" s="5"/>
      <c r="BO3756" s="5"/>
      <c r="BP3756" s="5"/>
    </row>
    <row r="3757" spans="35:68" x14ac:dyDescent="0.25">
      <c r="AI3757" s="49"/>
      <c r="AJ3757" s="78"/>
      <c r="AK3757" s="79"/>
      <c r="AL3757" s="79"/>
      <c r="AM3757" s="79"/>
      <c r="AN3757" s="79"/>
      <c r="AO3757" s="79"/>
      <c r="AP3757" s="79"/>
      <c r="AQ3757" s="79"/>
      <c r="AR3757" s="78"/>
      <c r="AS3757" s="78"/>
      <c r="AT3757" s="79"/>
      <c r="AU3757" s="79"/>
      <c r="AV3757" s="79"/>
      <c r="AW3757" s="79"/>
      <c r="AX3757" s="79"/>
      <c r="AZ3757" s="81"/>
      <c r="BB3757" s="5"/>
      <c r="BC3757" s="5"/>
      <c r="BD3757" s="5"/>
      <c r="BE3757" s="5"/>
      <c r="BF3757" s="5"/>
      <c r="BG3757" s="5"/>
      <c r="BH3757" s="5"/>
      <c r="BI3757" s="5"/>
      <c r="BJ3757" s="5"/>
      <c r="BK3757" s="5"/>
      <c r="BL3757" s="5"/>
      <c r="BM3757" s="5"/>
      <c r="BN3757" s="5"/>
      <c r="BO3757" s="5"/>
      <c r="BP3757" s="5"/>
    </row>
    <row r="3758" spans="35:68" x14ac:dyDescent="0.25">
      <c r="AI3758" s="49"/>
      <c r="AJ3758" s="78"/>
      <c r="AK3758" s="79"/>
      <c r="AL3758" s="79"/>
      <c r="AM3758" s="79"/>
      <c r="AN3758" s="79"/>
      <c r="AO3758" s="79"/>
      <c r="AP3758" s="79"/>
      <c r="AQ3758" s="79"/>
      <c r="AR3758" s="78"/>
      <c r="AS3758" s="78"/>
      <c r="AT3758" s="79"/>
      <c r="AU3758" s="79"/>
      <c r="AV3758" s="79"/>
      <c r="AW3758" s="79"/>
      <c r="AX3758" s="79"/>
      <c r="AZ3758" s="81"/>
      <c r="BB3758" s="5"/>
      <c r="BC3758" s="5"/>
      <c r="BD3758" s="5"/>
      <c r="BE3758" s="5"/>
      <c r="BF3758" s="5"/>
      <c r="BG3758" s="5"/>
      <c r="BH3758" s="5"/>
      <c r="BI3758" s="5"/>
      <c r="BJ3758" s="5"/>
      <c r="BK3758" s="5"/>
      <c r="BL3758" s="5"/>
      <c r="BM3758" s="5"/>
      <c r="BN3758" s="5"/>
      <c r="BO3758" s="5"/>
      <c r="BP3758" s="5"/>
    </row>
    <row r="3759" spans="35:68" x14ac:dyDescent="0.25">
      <c r="AI3759" s="49"/>
      <c r="AJ3759" s="78"/>
      <c r="AK3759" s="79"/>
      <c r="AL3759" s="79"/>
      <c r="AM3759" s="79"/>
      <c r="AN3759" s="79"/>
      <c r="AO3759" s="79"/>
      <c r="AP3759" s="79"/>
      <c r="AQ3759" s="79"/>
      <c r="AR3759" s="78"/>
      <c r="AS3759" s="78"/>
      <c r="AT3759" s="79"/>
      <c r="AU3759" s="79"/>
      <c r="AV3759" s="79"/>
      <c r="AW3759" s="79"/>
      <c r="AX3759" s="79"/>
      <c r="AZ3759" s="81"/>
      <c r="BB3759" s="5"/>
      <c r="BC3759" s="5"/>
      <c r="BD3759" s="5"/>
      <c r="BE3759" s="5"/>
      <c r="BF3759" s="5"/>
      <c r="BG3759" s="5"/>
      <c r="BH3759" s="5"/>
      <c r="BI3759" s="5"/>
      <c r="BJ3759" s="5"/>
      <c r="BK3759" s="5"/>
      <c r="BL3759" s="5"/>
      <c r="BM3759" s="5"/>
      <c r="BN3759" s="5"/>
      <c r="BO3759" s="5"/>
      <c r="BP3759" s="5"/>
    </row>
    <row r="3760" spans="35:68" x14ac:dyDescent="0.25">
      <c r="AI3760" s="49"/>
      <c r="AJ3760" s="78"/>
      <c r="AK3760" s="79"/>
      <c r="AL3760" s="79"/>
      <c r="AM3760" s="79"/>
      <c r="AN3760" s="79"/>
      <c r="AO3760" s="79"/>
      <c r="AP3760" s="79"/>
      <c r="AQ3760" s="79"/>
      <c r="AR3760" s="78"/>
      <c r="AS3760" s="78"/>
      <c r="AT3760" s="79"/>
      <c r="AU3760" s="79"/>
      <c r="AV3760" s="79"/>
      <c r="AW3760" s="79"/>
      <c r="AX3760" s="79"/>
      <c r="AZ3760" s="81"/>
      <c r="BB3760" s="5"/>
      <c r="BC3760" s="5"/>
      <c r="BD3760" s="5"/>
      <c r="BE3760" s="5"/>
      <c r="BF3760" s="5"/>
      <c r="BG3760" s="5"/>
      <c r="BH3760" s="5"/>
      <c r="BI3760" s="5"/>
      <c r="BJ3760" s="5"/>
      <c r="BK3760" s="5"/>
      <c r="BL3760" s="5"/>
      <c r="BM3760" s="5"/>
      <c r="BN3760" s="5"/>
      <c r="BO3760" s="5"/>
      <c r="BP3760" s="5"/>
    </row>
    <row r="3761" spans="35:68" x14ac:dyDescent="0.25">
      <c r="AI3761" s="49"/>
      <c r="AJ3761" s="78"/>
      <c r="AK3761" s="79"/>
      <c r="AL3761" s="79"/>
      <c r="AM3761" s="79"/>
      <c r="AN3761" s="79"/>
      <c r="AO3761" s="79"/>
      <c r="AP3761" s="79"/>
      <c r="AQ3761" s="79"/>
      <c r="AR3761" s="78"/>
      <c r="AS3761" s="78"/>
      <c r="AT3761" s="79"/>
      <c r="AU3761" s="79"/>
      <c r="AV3761" s="79"/>
      <c r="AW3761" s="79"/>
      <c r="AX3761" s="79"/>
      <c r="AZ3761" s="81"/>
      <c r="BB3761" s="5"/>
      <c r="BC3761" s="5"/>
      <c r="BD3761" s="5"/>
      <c r="BE3761" s="5"/>
      <c r="BF3761" s="5"/>
      <c r="BG3761" s="5"/>
      <c r="BH3761" s="5"/>
      <c r="BI3761" s="5"/>
      <c r="BJ3761" s="5"/>
      <c r="BK3761" s="5"/>
      <c r="BL3761" s="5"/>
      <c r="BM3761" s="5"/>
      <c r="BN3761" s="5"/>
      <c r="BO3761" s="5"/>
      <c r="BP3761" s="5"/>
    </row>
    <row r="3762" spans="35:68" x14ac:dyDescent="0.25">
      <c r="AI3762" s="49"/>
      <c r="AJ3762" s="78"/>
      <c r="AK3762" s="79"/>
      <c r="AL3762" s="79"/>
      <c r="AM3762" s="79"/>
      <c r="AN3762" s="79"/>
      <c r="AO3762" s="79"/>
      <c r="AP3762" s="79"/>
      <c r="AQ3762" s="79"/>
      <c r="AR3762" s="78"/>
      <c r="AS3762" s="78"/>
      <c r="AT3762" s="79"/>
      <c r="AU3762" s="79"/>
      <c r="AV3762" s="79"/>
      <c r="AW3762" s="79"/>
      <c r="AX3762" s="79"/>
      <c r="AZ3762" s="81"/>
      <c r="BB3762" s="5"/>
      <c r="BC3762" s="5"/>
      <c r="BD3762" s="5"/>
      <c r="BE3762" s="5"/>
      <c r="BF3762" s="5"/>
      <c r="BG3762" s="5"/>
      <c r="BH3762" s="5"/>
      <c r="BI3762" s="5"/>
      <c r="BJ3762" s="5"/>
      <c r="BK3762" s="5"/>
      <c r="BL3762" s="5"/>
      <c r="BM3762" s="5"/>
      <c r="BN3762" s="5"/>
      <c r="BO3762" s="5"/>
      <c r="BP3762" s="5"/>
    </row>
    <row r="3763" spans="35:68" x14ac:dyDescent="0.25">
      <c r="AI3763" s="49"/>
      <c r="AJ3763" s="78"/>
      <c r="AK3763" s="79"/>
      <c r="AL3763" s="79"/>
      <c r="AM3763" s="79"/>
      <c r="AN3763" s="79"/>
      <c r="AO3763" s="79"/>
      <c r="AP3763" s="79"/>
      <c r="AQ3763" s="79"/>
      <c r="AR3763" s="78"/>
      <c r="AS3763" s="78"/>
      <c r="AT3763" s="79"/>
      <c r="AU3763" s="79"/>
      <c r="AV3763" s="79"/>
      <c r="AW3763" s="79"/>
      <c r="AX3763" s="79"/>
      <c r="AZ3763" s="81"/>
      <c r="BB3763" s="5"/>
      <c r="BC3763" s="5"/>
      <c r="BD3763" s="5"/>
      <c r="BE3763" s="5"/>
      <c r="BF3763" s="5"/>
      <c r="BG3763" s="5"/>
      <c r="BH3763" s="5"/>
      <c r="BI3763" s="5"/>
      <c r="BJ3763" s="5"/>
      <c r="BK3763" s="5"/>
      <c r="BL3763" s="5"/>
      <c r="BM3763" s="5"/>
      <c r="BN3763" s="5"/>
      <c r="BO3763" s="5"/>
      <c r="BP3763" s="5"/>
    </row>
    <row r="3764" spans="35:68" x14ac:dyDescent="0.25">
      <c r="AI3764" s="49"/>
      <c r="AJ3764" s="78"/>
      <c r="AK3764" s="79"/>
      <c r="AL3764" s="79"/>
      <c r="AM3764" s="79"/>
      <c r="AN3764" s="79"/>
      <c r="AO3764" s="79"/>
      <c r="AP3764" s="79"/>
      <c r="AQ3764" s="79"/>
      <c r="AR3764" s="78"/>
      <c r="AS3764" s="78"/>
      <c r="AT3764" s="79"/>
      <c r="AU3764" s="79"/>
      <c r="AV3764" s="79"/>
      <c r="AW3764" s="79"/>
      <c r="AX3764" s="79"/>
      <c r="AZ3764" s="81"/>
      <c r="BB3764" s="5"/>
      <c r="BC3764" s="5"/>
      <c r="BD3764" s="5"/>
      <c r="BE3764" s="5"/>
      <c r="BF3764" s="5"/>
      <c r="BG3764" s="5"/>
      <c r="BH3764" s="5"/>
      <c r="BI3764" s="5"/>
      <c r="BJ3764" s="5"/>
      <c r="BK3764" s="5"/>
      <c r="BL3764" s="5"/>
      <c r="BM3764" s="5"/>
      <c r="BN3764" s="5"/>
      <c r="BO3764" s="5"/>
      <c r="BP3764" s="5"/>
    </row>
    <row r="3765" spans="35:68" x14ac:dyDescent="0.25">
      <c r="AI3765" s="49"/>
      <c r="AJ3765" s="78"/>
      <c r="AK3765" s="79"/>
      <c r="AL3765" s="79"/>
      <c r="AM3765" s="79"/>
      <c r="AN3765" s="79"/>
      <c r="AO3765" s="79"/>
      <c r="AP3765" s="79"/>
      <c r="AQ3765" s="79"/>
      <c r="AR3765" s="78"/>
      <c r="AS3765" s="78"/>
      <c r="AT3765" s="79"/>
      <c r="AU3765" s="79"/>
      <c r="AV3765" s="79"/>
      <c r="AW3765" s="79"/>
      <c r="AX3765" s="79"/>
      <c r="AZ3765" s="81"/>
      <c r="BB3765" s="5"/>
      <c r="BC3765" s="5"/>
      <c r="BD3765" s="5"/>
      <c r="BE3765" s="5"/>
      <c r="BF3765" s="5"/>
      <c r="BG3765" s="5"/>
      <c r="BH3765" s="5"/>
      <c r="BI3765" s="5"/>
      <c r="BJ3765" s="5"/>
      <c r="BK3765" s="5"/>
      <c r="BL3765" s="5"/>
      <c r="BM3765" s="5"/>
      <c r="BN3765" s="5"/>
      <c r="BO3765" s="5"/>
      <c r="BP3765" s="5"/>
    </row>
    <row r="3766" spans="35:68" x14ac:dyDescent="0.25">
      <c r="AI3766" s="49"/>
      <c r="AJ3766" s="78"/>
      <c r="AK3766" s="79"/>
      <c r="AL3766" s="79"/>
      <c r="AM3766" s="79"/>
      <c r="AN3766" s="79"/>
      <c r="AO3766" s="79"/>
      <c r="AP3766" s="79"/>
      <c r="AQ3766" s="79"/>
      <c r="AR3766" s="78"/>
      <c r="AS3766" s="78"/>
      <c r="AT3766" s="79"/>
      <c r="AU3766" s="79"/>
      <c r="AV3766" s="79"/>
      <c r="AW3766" s="79"/>
      <c r="AX3766" s="79"/>
      <c r="AZ3766" s="81"/>
      <c r="BB3766" s="5"/>
      <c r="BC3766" s="5"/>
      <c r="BD3766" s="5"/>
      <c r="BE3766" s="5"/>
      <c r="BF3766" s="5"/>
      <c r="BG3766" s="5"/>
      <c r="BH3766" s="5"/>
      <c r="BI3766" s="5"/>
      <c r="BJ3766" s="5"/>
      <c r="BK3766" s="5"/>
      <c r="BL3766" s="5"/>
      <c r="BM3766" s="5"/>
      <c r="BN3766" s="5"/>
      <c r="BO3766" s="5"/>
      <c r="BP3766" s="5"/>
    </row>
    <row r="3767" spans="35:68" x14ac:dyDescent="0.25">
      <c r="AI3767" s="49"/>
      <c r="AJ3767" s="78"/>
      <c r="AK3767" s="79"/>
      <c r="AL3767" s="79"/>
      <c r="AM3767" s="79"/>
      <c r="AN3767" s="79"/>
      <c r="AO3767" s="79"/>
      <c r="AP3767" s="79"/>
      <c r="AQ3767" s="79"/>
      <c r="AR3767" s="78"/>
      <c r="AS3767" s="78"/>
      <c r="AT3767" s="79"/>
      <c r="AU3767" s="79"/>
      <c r="AV3767" s="79"/>
      <c r="AW3767" s="79"/>
      <c r="AX3767" s="79"/>
      <c r="AZ3767" s="81"/>
      <c r="BB3767" s="5"/>
      <c r="BC3767" s="5"/>
      <c r="BD3767" s="5"/>
      <c r="BE3767" s="5"/>
      <c r="BF3767" s="5"/>
      <c r="BG3767" s="5"/>
      <c r="BH3767" s="5"/>
      <c r="BI3767" s="5"/>
      <c r="BJ3767" s="5"/>
      <c r="BK3767" s="5"/>
      <c r="BL3767" s="5"/>
      <c r="BM3767" s="5"/>
      <c r="BN3767" s="5"/>
      <c r="BO3767" s="5"/>
      <c r="BP3767" s="5"/>
    </row>
    <row r="3768" spans="35:68" x14ac:dyDescent="0.25">
      <c r="AI3768" s="49"/>
      <c r="AJ3768" s="78"/>
      <c r="AK3768" s="79"/>
      <c r="AL3768" s="79"/>
      <c r="AM3768" s="79"/>
      <c r="AN3768" s="79"/>
      <c r="AO3768" s="79"/>
      <c r="AP3768" s="79"/>
      <c r="AQ3768" s="79"/>
      <c r="AR3768" s="78"/>
      <c r="AS3768" s="78"/>
      <c r="AT3768" s="79"/>
      <c r="AU3768" s="79"/>
      <c r="AV3768" s="79"/>
      <c r="AW3768" s="79"/>
      <c r="AX3768" s="79"/>
      <c r="AZ3768" s="81"/>
      <c r="BB3768" s="5"/>
      <c r="BC3768" s="5"/>
      <c r="BD3768" s="5"/>
      <c r="BE3768" s="5"/>
      <c r="BF3768" s="5"/>
      <c r="BG3768" s="5"/>
      <c r="BH3768" s="5"/>
      <c r="BI3768" s="5"/>
      <c r="BJ3768" s="5"/>
      <c r="BK3768" s="5"/>
      <c r="BL3768" s="5"/>
      <c r="BM3768" s="5"/>
      <c r="BN3768" s="5"/>
      <c r="BO3768" s="5"/>
      <c r="BP3768" s="5"/>
    </row>
    <row r="3769" spans="35:68" x14ac:dyDescent="0.25">
      <c r="AI3769" s="49"/>
      <c r="AJ3769" s="78"/>
      <c r="AK3769" s="79"/>
      <c r="AL3769" s="79"/>
      <c r="AM3769" s="79"/>
      <c r="AN3769" s="79"/>
      <c r="AO3769" s="79"/>
      <c r="AP3769" s="79"/>
      <c r="AQ3769" s="79"/>
      <c r="AR3769" s="78"/>
      <c r="AS3769" s="78"/>
      <c r="AT3769" s="79"/>
      <c r="AU3769" s="79"/>
      <c r="AV3769" s="79"/>
      <c r="AW3769" s="79"/>
      <c r="AX3769" s="79"/>
      <c r="AZ3769" s="81"/>
      <c r="BB3769" s="5"/>
      <c r="BC3769" s="5"/>
      <c r="BD3769" s="5"/>
      <c r="BE3769" s="5"/>
      <c r="BF3769" s="5"/>
      <c r="BG3769" s="5"/>
      <c r="BH3769" s="5"/>
      <c r="BI3769" s="5"/>
      <c r="BJ3769" s="5"/>
      <c r="BK3769" s="5"/>
      <c r="BL3769" s="5"/>
      <c r="BM3769" s="5"/>
      <c r="BN3769" s="5"/>
      <c r="BO3769" s="5"/>
      <c r="BP3769" s="5"/>
    </row>
    <row r="3770" spans="35:68" x14ac:dyDescent="0.25">
      <c r="AI3770" s="49"/>
      <c r="AJ3770" s="78"/>
      <c r="AK3770" s="79"/>
      <c r="AL3770" s="79"/>
      <c r="AM3770" s="79"/>
      <c r="AN3770" s="79"/>
      <c r="AO3770" s="79"/>
      <c r="AP3770" s="79"/>
      <c r="AQ3770" s="79"/>
      <c r="AR3770" s="78"/>
      <c r="AS3770" s="78"/>
      <c r="AT3770" s="79"/>
      <c r="AU3770" s="79"/>
      <c r="AV3770" s="79"/>
      <c r="AW3770" s="79"/>
      <c r="AX3770" s="79"/>
      <c r="AZ3770" s="81"/>
      <c r="BB3770" s="5"/>
      <c r="BC3770" s="5"/>
      <c r="BD3770" s="5"/>
      <c r="BE3770" s="5"/>
      <c r="BF3770" s="5"/>
      <c r="BG3770" s="5"/>
      <c r="BH3770" s="5"/>
      <c r="BI3770" s="5"/>
      <c r="BJ3770" s="5"/>
      <c r="BK3770" s="5"/>
      <c r="BL3770" s="5"/>
      <c r="BM3770" s="5"/>
      <c r="BN3770" s="5"/>
      <c r="BO3770" s="5"/>
      <c r="BP3770" s="5"/>
    </row>
    <row r="3771" spans="35:68" x14ac:dyDescent="0.25">
      <c r="AI3771" s="49"/>
      <c r="AJ3771" s="78"/>
      <c r="AK3771" s="79"/>
      <c r="AL3771" s="79"/>
      <c r="AM3771" s="79"/>
      <c r="AN3771" s="79"/>
      <c r="AO3771" s="79"/>
      <c r="AP3771" s="79"/>
      <c r="AQ3771" s="79"/>
      <c r="AR3771" s="78"/>
      <c r="AS3771" s="78"/>
      <c r="AT3771" s="79"/>
      <c r="AU3771" s="79"/>
      <c r="AV3771" s="79"/>
      <c r="AW3771" s="79"/>
      <c r="AX3771" s="79"/>
      <c r="AZ3771" s="81"/>
      <c r="BB3771" s="5"/>
      <c r="BC3771" s="5"/>
      <c r="BD3771" s="5"/>
      <c r="BE3771" s="5"/>
      <c r="BF3771" s="5"/>
      <c r="BG3771" s="5"/>
      <c r="BH3771" s="5"/>
      <c r="BI3771" s="5"/>
      <c r="BJ3771" s="5"/>
      <c r="BK3771" s="5"/>
      <c r="BL3771" s="5"/>
      <c r="BM3771" s="5"/>
      <c r="BN3771" s="5"/>
      <c r="BO3771" s="5"/>
      <c r="BP3771" s="5"/>
    </row>
    <row r="3772" spans="35:68" x14ac:dyDescent="0.25">
      <c r="AI3772" s="49"/>
      <c r="AJ3772" s="78"/>
      <c r="AK3772" s="79"/>
      <c r="AL3772" s="79"/>
      <c r="AM3772" s="79"/>
      <c r="AN3772" s="79"/>
      <c r="AO3772" s="79"/>
      <c r="AP3772" s="79"/>
      <c r="AQ3772" s="79"/>
      <c r="AR3772" s="78"/>
      <c r="AS3772" s="78"/>
      <c r="AT3772" s="79"/>
      <c r="AU3772" s="79"/>
      <c r="AV3772" s="79"/>
      <c r="AW3772" s="79"/>
      <c r="AX3772" s="79"/>
      <c r="AZ3772" s="81"/>
      <c r="BB3772" s="5"/>
      <c r="BC3772" s="5"/>
      <c r="BD3772" s="5"/>
      <c r="BE3772" s="5"/>
      <c r="BF3772" s="5"/>
      <c r="BG3772" s="5"/>
      <c r="BH3772" s="5"/>
      <c r="BI3772" s="5"/>
      <c r="BJ3772" s="5"/>
      <c r="BK3772" s="5"/>
      <c r="BL3772" s="5"/>
      <c r="BM3772" s="5"/>
      <c r="BN3772" s="5"/>
      <c r="BO3772" s="5"/>
      <c r="BP3772" s="5"/>
    </row>
    <row r="3773" spans="35:68" x14ac:dyDescent="0.25">
      <c r="AI3773" s="49"/>
      <c r="AJ3773" s="78"/>
      <c r="AK3773" s="79"/>
      <c r="AL3773" s="79"/>
      <c r="AM3773" s="79"/>
      <c r="AN3773" s="79"/>
      <c r="AO3773" s="79"/>
      <c r="AP3773" s="79"/>
      <c r="AQ3773" s="79"/>
      <c r="AR3773" s="78"/>
      <c r="AS3773" s="78"/>
      <c r="AT3773" s="79"/>
      <c r="AU3773" s="79"/>
      <c r="AV3773" s="79"/>
      <c r="AW3773" s="79"/>
      <c r="AX3773" s="79"/>
      <c r="AZ3773" s="81"/>
      <c r="BB3773" s="5"/>
      <c r="BC3773" s="5"/>
      <c r="BD3773" s="5"/>
      <c r="BE3773" s="5"/>
      <c r="BF3773" s="5"/>
      <c r="BG3773" s="5"/>
      <c r="BH3773" s="5"/>
      <c r="BI3773" s="5"/>
      <c r="BJ3773" s="5"/>
      <c r="BK3773" s="5"/>
      <c r="BL3773" s="5"/>
      <c r="BM3773" s="5"/>
      <c r="BN3773" s="5"/>
      <c r="BO3773" s="5"/>
      <c r="BP3773" s="5"/>
    </row>
    <row r="3774" spans="35:68" x14ac:dyDescent="0.25">
      <c r="AI3774" s="49"/>
      <c r="AJ3774" s="78"/>
      <c r="AK3774" s="79"/>
      <c r="AL3774" s="79"/>
      <c r="AM3774" s="79"/>
      <c r="AN3774" s="79"/>
      <c r="AO3774" s="79"/>
      <c r="AP3774" s="79"/>
      <c r="AQ3774" s="79"/>
      <c r="AR3774" s="78"/>
      <c r="AS3774" s="78"/>
      <c r="AT3774" s="79"/>
      <c r="AU3774" s="79"/>
      <c r="AV3774" s="79"/>
      <c r="AW3774" s="79"/>
      <c r="AX3774" s="79"/>
      <c r="AZ3774" s="81"/>
      <c r="BB3774" s="5"/>
      <c r="BC3774" s="5"/>
      <c r="BD3774" s="5"/>
      <c r="BE3774" s="5"/>
      <c r="BF3774" s="5"/>
      <c r="BG3774" s="5"/>
      <c r="BH3774" s="5"/>
      <c r="BI3774" s="5"/>
      <c r="BJ3774" s="5"/>
      <c r="BK3774" s="5"/>
      <c r="BL3774" s="5"/>
      <c r="BM3774" s="5"/>
      <c r="BN3774" s="5"/>
      <c r="BO3774" s="5"/>
      <c r="BP3774" s="5"/>
    </row>
    <row r="3775" spans="35:68" x14ac:dyDescent="0.25">
      <c r="AI3775" s="49"/>
      <c r="AJ3775" s="78"/>
      <c r="AK3775" s="79"/>
      <c r="AL3775" s="79"/>
      <c r="AM3775" s="79"/>
      <c r="AN3775" s="79"/>
      <c r="AO3775" s="79"/>
      <c r="AP3775" s="79"/>
      <c r="AQ3775" s="79"/>
      <c r="AR3775" s="78"/>
      <c r="AS3775" s="78"/>
      <c r="AT3775" s="79"/>
      <c r="AU3775" s="79"/>
      <c r="AV3775" s="79"/>
      <c r="AW3775" s="79"/>
      <c r="AX3775" s="79"/>
      <c r="AZ3775" s="81"/>
      <c r="BB3775" s="5"/>
      <c r="BC3775" s="5"/>
      <c r="BD3775" s="5"/>
      <c r="BE3775" s="5"/>
      <c r="BF3775" s="5"/>
      <c r="BG3775" s="5"/>
      <c r="BH3775" s="5"/>
      <c r="BI3775" s="5"/>
      <c r="BJ3775" s="5"/>
      <c r="BK3775" s="5"/>
      <c r="BL3775" s="5"/>
      <c r="BM3775" s="5"/>
      <c r="BN3775" s="5"/>
      <c r="BO3775" s="5"/>
      <c r="BP3775" s="5"/>
    </row>
    <row r="3776" spans="35:68" x14ac:dyDescent="0.25">
      <c r="AI3776" s="49"/>
      <c r="AJ3776" s="78"/>
      <c r="AK3776" s="79"/>
      <c r="AL3776" s="79"/>
      <c r="AM3776" s="79"/>
      <c r="AN3776" s="79"/>
      <c r="AO3776" s="79"/>
      <c r="AP3776" s="79"/>
      <c r="AQ3776" s="79"/>
      <c r="AR3776" s="78"/>
      <c r="AS3776" s="78"/>
      <c r="AT3776" s="79"/>
      <c r="AU3776" s="79"/>
      <c r="AV3776" s="79"/>
      <c r="AW3776" s="79"/>
      <c r="AX3776" s="79"/>
      <c r="AZ3776" s="81"/>
      <c r="BB3776" s="5"/>
      <c r="BC3776" s="5"/>
      <c r="BD3776" s="5"/>
      <c r="BE3776" s="5"/>
      <c r="BF3776" s="5"/>
      <c r="BG3776" s="5"/>
      <c r="BH3776" s="5"/>
      <c r="BI3776" s="5"/>
      <c r="BJ3776" s="5"/>
      <c r="BK3776" s="5"/>
      <c r="BL3776" s="5"/>
      <c r="BM3776" s="5"/>
      <c r="BN3776" s="5"/>
      <c r="BO3776" s="5"/>
      <c r="BP3776" s="5"/>
    </row>
    <row r="3777" spans="35:68" x14ac:dyDescent="0.25">
      <c r="AI3777" s="49"/>
      <c r="AJ3777" s="78"/>
      <c r="AK3777" s="79"/>
      <c r="AL3777" s="79"/>
      <c r="AM3777" s="79"/>
      <c r="AN3777" s="79"/>
      <c r="AO3777" s="79"/>
      <c r="AP3777" s="79"/>
      <c r="AQ3777" s="79"/>
      <c r="AR3777" s="78"/>
      <c r="AS3777" s="78"/>
      <c r="AT3777" s="79"/>
      <c r="AU3777" s="79"/>
      <c r="AV3777" s="79"/>
      <c r="AW3777" s="79"/>
      <c r="AX3777" s="79"/>
      <c r="AZ3777" s="81"/>
      <c r="BB3777" s="5"/>
      <c r="BC3777" s="5"/>
      <c r="BD3777" s="5"/>
      <c r="BE3777" s="5"/>
      <c r="BF3777" s="5"/>
      <c r="BG3777" s="5"/>
      <c r="BH3777" s="5"/>
      <c r="BI3777" s="5"/>
      <c r="BJ3777" s="5"/>
      <c r="BK3777" s="5"/>
      <c r="BL3777" s="5"/>
      <c r="BM3777" s="5"/>
      <c r="BN3777" s="5"/>
      <c r="BO3777" s="5"/>
      <c r="BP3777" s="5"/>
    </row>
    <row r="3778" spans="35:68" x14ac:dyDescent="0.25">
      <c r="AI3778" s="49"/>
      <c r="AJ3778" s="78"/>
      <c r="AK3778" s="79"/>
      <c r="AL3778" s="79"/>
      <c r="AM3778" s="79"/>
      <c r="AN3778" s="79"/>
      <c r="AO3778" s="79"/>
      <c r="AP3778" s="79"/>
      <c r="AQ3778" s="79"/>
      <c r="AR3778" s="78"/>
      <c r="AS3778" s="78"/>
      <c r="AT3778" s="79"/>
      <c r="AU3778" s="79"/>
      <c r="AV3778" s="79"/>
      <c r="AW3778" s="79"/>
      <c r="AX3778" s="79"/>
      <c r="AZ3778" s="81"/>
      <c r="BB3778" s="5"/>
      <c r="BC3778" s="5"/>
      <c r="BD3778" s="5"/>
      <c r="BE3778" s="5"/>
      <c r="BF3778" s="5"/>
      <c r="BG3778" s="5"/>
      <c r="BH3778" s="5"/>
      <c r="BI3778" s="5"/>
      <c r="BJ3778" s="5"/>
      <c r="BK3778" s="5"/>
      <c r="BL3778" s="5"/>
      <c r="BM3778" s="5"/>
      <c r="BN3778" s="5"/>
      <c r="BO3778" s="5"/>
      <c r="BP3778" s="5"/>
    </row>
    <row r="3779" spans="35:68" x14ac:dyDescent="0.25">
      <c r="AI3779" s="49"/>
      <c r="AJ3779" s="78"/>
      <c r="AK3779" s="79"/>
      <c r="AL3779" s="79"/>
      <c r="AM3779" s="79"/>
      <c r="AN3779" s="79"/>
      <c r="AO3779" s="79"/>
      <c r="AP3779" s="79"/>
      <c r="AQ3779" s="79"/>
      <c r="AR3779" s="78"/>
      <c r="AS3779" s="78"/>
      <c r="AT3779" s="79"/>
      <c r="AU3779" s="79"/>
      <c r="AV3779" s="79"/>
      <c r="AW3779" s="79"/>
      <c r="AX3779" s="79"/>
      <c r="AZ3779" s="81"/>
      <c r="BB3779" s="5"/>
      <c r="BC3779" s="5"/>
      <c r="BD3779" s="5"/>
      <c r="BE3779" s="5"/>
      <c r="BF3779" s="5"/>
      <c r="BG3779" s="5"/>
      <c r="BH3779" s="5"/>
      <c r="BI3779" s="5"/>
      <c r="BJ3779" s="5"/>
      <c r="BK3779" s="5"/>
      <c r="BL3779" s="5"/>
      <c r="BM3779" s="5"/>
      <c r="BN3779" s="5"/>
      <c r="BO3779" s="5"/>
      <c r="BP3779" s="5"/>
    </row>
    <row r="3780" spans="35:68" x14ac:dyDescent="0.25">
      <c r="AI3780" s="49"/>
      <c r="AJ3780" s="78"/>
      <c r="AK3780" s="79"/>
      <c r="AL3780" s="79"/>
      <c r="AM3780" s="79"/>
      <c r="AN3780" s="79"/>
      <c r="AO3780" s="79"/>
      <c r="AP3780" s="79"/>
      <c r="AQ3780" s="79"/>
      <c r="AR3780" s="78"/>
      <c r="AS3780" s="78"/>
      <c r="AT3780" s="79"/>
      <c r="AU3780" s="79"/>
      <c r="AV3780" s="79"/>
      <c r="AW3780" s="79"/>
      <c r="AX3780" s="79"/>
      <c r="AZ3780" s="81"/>
      <c r="BB3780" s="5"/>
      <c r="BC3780" s="5"/>
      <c r="BD3780" s="5"/>
      <c r="BE3780" s="5"/>
      <c r="BF3780" s="5"/>
      <c r="BG3780" s="5"/>
      <c r="BH3780" s="5"/>
      <c r="BI3780" s="5"/>
      <c r="BJ3780" s="5"/>
      <c r="BK3780" s="5"/>
      <c r="BL3780" s="5"/>
      <c r="BM3780" s="5"/>
      <c r="BN3780" s="5"/>
      <c r="BO3780" s="5"/>
      <c r="BP3780" s="5"/>
    </row>
    <row r="3781" spans="35:68" x14ac:dyDescent="0.25">
      <c r="AI3781" s="49"/>
      <c r="AJ3781" s="78"/>
      <c r="AK3781" s="79"/>
      <c r="AL3781" s="79"/>
      <c r="AM3781" s="79"/>
      <c r="AN3781" s="79"/>
      <c r="AO3781" s="79"/>
      <c r="AP3781" s="79"/>
      <c r="AQ3781" s="79"/>
      <c r="AR3781" s="78"/>
      <c r="AS3781" s="78"/>
      <c r="AT3781" s="79"/>
      <c r="AU3781" s="79"/>
      <c r="AV3781" s="79"/>
      <c r="AW3781" s="79"/>
      <c r="AX3781" s="79"/>
      <c r="AZ3781" s="81"/>
      <c r="BB3781" s="5"/>
      <c r="BC3781" s="5"/>
      <c r="BD3781" s="5"/>
      <c r="BE3781" s="5"/>
      <c r="BF3781" s="5"/>
      <c r="BG3781" s="5"/>
      <c r="BH3781" s="5"/>
      <c r="BI3781" s="5"/>
      <c r="BJ3781" s="5"/>
      <c r="BK3781" s="5"/>
      <c r="BL3781" s="5"/>
      <c r="BM3781" s="5"/>
      <c r="BN3781" s="5"/>
      <c r="BO3781" s="5"/>
      <c r="BP3781" s="5"/>
    </row>
    <row r="3782" spans="35:68" x14ac:dyDescent="0.25">
      <c r="AI3782" s="49"/>
      <c r="AJ3782" s="78"/>
      <c r="AK3782" s="79"/>
      <c r="AL3782" s="79"/>
      <c r="AM3782" s="79"/>
      <c r="AN3782" s="79"/>
      <c r="AO3782" s="79"/>
      <c r="AP3782" s="79"/>
      <c r="AQ3782" s="79"/>
      <c r="AR3782" s="78"/>
      <c r="AS3782" s="78"/>
      <c r="AT3782" s="79"/>
      <c r="AU3782" s="79"/>
      <c r="AV3782" s="79"/>
      <c r="AW3782" s="79"/>
      <c r="AX3782" s="79"/>
      <c r="AZ3782" s="81"/>
      <c r="BB3782" s="5"/>
      <c r="BC3782" s="5"/>
      <c r="BD3782" s="5"/>
      <c r="BE3782" s="5"/>
      <c r="BF3782" s="5"/>
      <c r="BG3782" s="5"/>
      <c r="BH3782" s="5"/>
      <c r="BI3782" s="5"/>
      <c r="BJ3782" s="5"/>
      <c r="BK3782" s="5"/>
      <c r="BL3782" s="5"/>
      <c r="BM3782" s="5"/>
      <c r="BN3782" s="5"/>
      <c r="BO3782" s="5"/>
      <c r="BP3782" s="5"/>
    </row>
    <row r="3783" spans="35:68" x14ac:dyDescent="0.25">
      <c r="AI3783" s="49"/>
      <c r="AJ3783" s="78"/>
      <c r="AK3783" s="79"/>
      <c r="AL3783" s="79"/>
      <c r="AM3783" s="79"/>
      <c r="AN3783" s="79"/>
      <c r="AO3783" s="79"/>
      <c r="AP3783" s="79"/>
      <c r="AQ3783" s="79"/>
      <c r="AR3783" s="78"/>
      <c r="AS3783" s="78"/>
      <c r="AT3783" s="79"/>
      <c r="AU3783" s="79"/>
      <c r="AV3783" s="79"/>
      <c r="AW3783" s="79"/>
      <c r="AX3783" s="79"/>
      <c r="AZ3783" s="81"/>
      <c r="BB3783" s="5"/>
      <c r="BC3783" s="5"/>
      <c r="BD3783" s="5"/>
      <c r="BE3783" s="5"/>
      <c r="BF3783" s="5"/>
      <c r="BG3783" s="5"/>
      <c r="BH3783" s="5"/>
      <c r="BI3783" s="5"/>
      <c r="BJ3783" s="5"/>
      <c r="BK3783" s="5"/>
      <c r="BL3783" s="5"/>
      <c r="BM3783" s="5"/>
      <c r="BN3783" s="5"/>
      <c r="BO3783" s="5"/>
      <c r="BP3783" s="5"/>
    </row>
    <row r="3784" spans="35:68" x14ac:dyDescent="0.25">
      <c r="AI3784" s="49"/>
      <c r="AJ3784" s="78"/>
      <c r="AK3784" s="79"/>
      <c r="AL3784" s="79"/>
      <c r="AM3784" s="79"/>
      <c r="AN3784" s="79"/>
      <c r="AO3784" s="79"/>
      <c r="AP3784" s="79"/>
      <c r="AQ3784" s="79"/>
      <c r="AR3784" s="78"/>
      <c r="AS3784" s="78"/>
      <c r="AT3784" s="79"/>
      <c r="AU3784" s="79"/>
      <c r="AV3784" s="79"/>
      <c r="AW3784" s="79"/>
      <c r="AX3784" s="79"/>
      <c r="AZ3784" s="81"/>
      <c r="BB3784" s="5"/>
      <c r="BC3784" s="5"/>
      <c r="BD3784" s="5"/>
      <c r="BE3784" s="5"/>
      <c r="BF3784" s="5"/>
      <c r="BG3784" s="5"/>
      <c r="BH3784" s="5"/>
      <c r="BI3784" s="5"/>
      <c r="BJ3784" s="5"/>
      <c r="BK3784" s="5"/>
      <c r="BL3784" s="5"/>
      <c r="BM3784" s="5"/>
      <c r="BN3784" s="5"/>
      <c r="BO3784" s="5"/>
      <c r="BP3784" s="5"/>
    </row>
    <row r="3785" spans="35:68" x14ac:dyDescent="0.25">
      <c r="AI3785" s="49"/>
      <c r="AJ3785" s="78"/>
      <c r="AK3785" s="79"/>
      <c r="AL3785" s="79"/>
      <c r="AM3785" s="79"/>
      <c r="AN3785" s="79"/>
      <c r="AO3785" s="79"/>
      <c r="AP3785" s="79"/>
      <c r="AQ3785" s="79"/>
      <c r="AR3785" s="78"/>
      <c r="AS3785" s="78"/>
      <c r="AT3785" s="79"/>
      <c r="AU3785" s="79"/>
      <c r="AV3785" s="79"/>
      <c r="AW3785" s="79"/>
      <c r="AX3785" s="79"/>
      <c r="AZ3785" s="81"/>
      <c r="BB3785" s="5"/>
      <c r="BC3785" s="5"/>
      <c r="BD3785" s="5"/>
      <c r="BE3785" s="5"/>
      <c r="BF3785" s="5"/>
      <c r="BG3785" s="5"/>
      <c r="BH3785" s="5"/>
      <c r="BI3785" s="5"/>
      <c r="BJ3785" s="5"/>
      <c r="BK3785" s="5"/>
      <c r="BL3785" s="5"/>
      <c r="BM3785" s="5"/>
      <c r="BN3785" s="5"/>
      <c r="BO3785" s="5"/>
      <c r="BP3785" s="5"/>
    </row>
    <row r="3786" spans="35:68" x14ac:dyDescent="0.25">
      <c r="AI3786" s="49"/>
      <c r="AJ3786" s="78"/>
      <c r="AK3786" s="79"/>
      <c r="AL3786" s="79"/>
      <c r="AM3786" s="79"/>
      <c r="AN3786" s="79"/>
      <c r="AO3786" s="79"/>
      <c r="AP3786" s="79"/>
      <c r="AQ3786" s="79"/>
      <c r="AR3786" s="78"/>
      <c r="AS3786" s="78"/>
      <c r="AT3786" s="79"/>
      <c r="AU3786" s="79"/>
      <c r="AV3786" s="79"/>
      <c r="AW3786" s="79"/>
      <c r="AX3786" s="79"/>
      <c r="AZ3786" s="81"/>
      <c r="BB3786" s="5"/>
      <c r="BC3786" s="5"/>
      <c r="BD3786" s="5"/>
      <c r="BE3786" s="5"/>
      <c r="BF3786" s="5"/>
      <c r="BG3786" s="5"/>
      <c r="BH3786" s="5"/>
      <c r="BI3786" s="5"/>
      <c r="BJ3786" s="5"/>
      <c r="BK3786" s="5"/>
      <c r="BL3786" s="5"/>
      <c r="BM3786" s="5"/>
      <c r="BN3786" s="5"/>
      <c r="BO3786" s="5"/>
      <c r="BP3786" s="5"/>
    </row>
    <row r="3787" spans="35:68" x14ac:dyDescent="0.25">
      <c r="AI3787" s="49"/>
      <c r="AJ3787" s="78"/>
      <c r="AK3787" s="79"/>
      <c r="AL3787" s="79"/>
      <c r="AM3787" s="79"/>
      <c r="AN3787" s="79"/>
      <c r="AO3787" s="79"/>
      <c r="AP3787" s="79"/>
      <c r="AQ3787" s="79"/>
      <c r="AR3787" s="78"/>
      <c r="AS3787" s="78"/>
      <c r="AT3787" s="79"/>
      <c r="AU3787" s="79"/>
      <c r="AV3787" s="79"/>
      <c r="AW3787" s="79"/>
      <c r="AX3787" s="79"/>
      <c r="AZ3787" s="81"/>
      <c r="BB3787" s="5"/>
      <c r="BC3787" s="5"/>
      <c r="BD3787" s="5"/>
      <c r="BE3787" s="5"/>
      <c r="BF3787" s="5"/>
      <c r="BG3787" s="5"/>
      <c r="BH3787" s="5"/>
      <c r="BI3787" s="5"/>
      <c r="BJ3787" s="5"/>
      <c r="BK3787" s="5"/>
      <c r="BL3787" s="5"/>
      <c r="BM3787" s="5"/>
      <c r="BN3787" s="5"/>
      <c r="BO3787" s="5"/>
      <c r="BP3787" s="5"/>
    </row>
    <row r="3788" spans="35:68" x14ac:dyDescent="0.25">
      <c r="AI3788" s="49"/>
      <c r="AJ3788" s="78"/>
      <c r="AK3788" s="79"/>
      <c r="AL3788" s="79"/>
      <c r="AM3788" s="79"/>
      <c r="AN3788" s="79"/>
      <c r="AO3788" s="79"/>
      <c r="AP3788" s="79"/>
      <c r="AQ3788" s="79"/>
      <c r="AR3788" s="78"/>
      <c r="AS3788" s="78"/>
      <c r="AT3788" s="79"/>
      <c r="AU3788" s="79"/>
      <c r="AV3788" s="79"/>
      <c r="AW3788" s="79"/>
      <c r="AX3788" s="79"/>
      <c r="AZ3788" s="81"/>
      <c r="BB3788" s="5"/>
      <c r="BC3788" s="5"/>
      <c r="BD3788" s="5"/>
      <c r="BE3788" s="5"/>
      <c r="BF3788" s="5"/>
      <c r="BG3788" s="5"/>
      <c r="BH3788" s="5"/>
      <c r="BI3788" s="5"/>
      <c r="BJ3788" s="5"/>
      <c r="BK3788" s="5"/>
      <c r="BL3788" s="5"/>
      <c r="BM3788" s="5"/>
      <c r="BN3788" s="5"/>
      <c r="BO3788" s="5"/>
      <c r="BP3788" s="5"/>
    </row>
    <row r="3789" spans="35:68" x14ac:dyDescent="0.25">
      <c r="AI3789" s="49"/>
      <c r="AJ3789" s="78"/>
      <c r="AK3789" s="79"/>
      <c r="AL3789" s="79"/>
      <c r="AM3789" s="79"/>
      <c r="AN3789" s="79"/>
      <c r="AO3789" s="79"/>
      <c r="AP3789" s="79"/>
      <c r="AQ3789" s="79"/>
      <c r="AR3789" s="78"/>
      <c r="AS3789" s="78"/>
      <c r="AT3789" s="79"/>
      <c r="AU3789" s="79"/>
      <c r="AV3789" s="79"/>
      <c r="AW3789" s="79"/>
      <c r="AX3789" s="79"/>
      <c r="AZ3789" s="81"/>
      <c r="BB3789" s="5"/>
      <c r="BC3789" s="5"/>
      <c r="BD3789" s="5"/>
      <c r="BE3789" s="5"/>
      <c r="BF3789" s="5"/>
      <c r="BG3789" s="5"/>
      <c r="BH3789" s="5"/>
      <c r="BI3789" s="5"/>
      <c r="BJ3789" s="5"/>
      <c r="BK3789" s="5"/>
      <c r="BL3789" s="5"/>
      <c r="BM3789" s="5"/>
      <c r="BN3789" s="5"/>
      <c r="BO3789" s="5"/>
      <c r="BP3789" s="5"/>
    </row>
    <row r="3790" spans="35:68" x14ac:dyDescent="0.25">
      <c r="AI3790" s="49"/>
      <c r="AJ3790" s="78"/>
      <c r="AK3790" s="79"/>
      <c r="AL3790" s="79"/>
      <c r="AM3790" s="79"/>
      <c r="AN3790" s="79"/>
      <c r="AO3790" s="79"/>
      <c r="AP3790" s="79"/>
      <c r="AQ3790" s="79"/>
      <c r="AR3790" s="78"/>
      <c r="AS3790" s="78"/>
      <c r="AT3790" s="79"/>
      <c r="AU3790" s="79"/>
      <c r="AV3790" s="79"/>
      <c r="AW3790" s="79"/>
      <c r="AX3790" s="79"/>
      <c r="AZ3790" s="81"/>
      <c r="BB3790" s="5"/>
      <c r="BC3790" s="5"/>
      <c r="BD3790" s="5"/>
      <c r="BE3790" s="5"/>
      <c r="BF3790" s="5"/>
      <c r="BG3790" s="5"/>
      <c r="BH3790" s="5"/>
      <c r="BI3790" s="5"/>
      <c r="BJ3790" s="5"/>
      <c r="BK3790" s="5"/>
      <c r="BL3790" s="5"/>
      <c r="BM3790" s="5"/>
      <c r="BN3790" s="5"/>
      <c r="BO3790" s="5"/>
      <c r="BP3790" s="5"/>
    </row>
    <row r="3791" spans="35:68" x14ac:dyDescent="0.25">
      <c r="AI3791" s="49"/>
      <c r="AJ3791" s="78"/>
      <c r="AK3791" s="79"/>
      <c r="AL3791" s="79"/>
      <c r="AM3791" s="79"/>
      <c r="AN3791" s="79"/>
      <c r="AO3791" s="79"/>
      <c r="AP3791" s="79"/>
      <c r="AQ3791" s="79"/>
      <c r="AR3791" s="78"/>
      <c r="AS3791" s="78"/>
      <c r="AT3791" s="79"/>
      <c r="AU3791" s="79"/>
      <c r="AV3791" s="79"/>
      <c r="AW3791" s="79"/>
      <c r="AX3791" s="79"/>
      <c r="AZ3791" s="81"/>
      <c r="BB3791" s="5"/>
      <c r="BC3791" s="5"/>
      <c r="BD3791" s="5"/>
      <c r="BE3791" s="5"/>
      <c r="BF3791" s="5"/>
      <c r="BG3791" s="5"/>
      <c r="BH3791" s="5"/>
      <c r="BI3791" s="5"/>
      <c r="BJ3791" s="5"/>
      <c r="BK3791" s="5"/>
      <c r="BL3791" s="5"/>
      <c r="BM3791" s="5"/>
      <c r="BN3791" s="5"/>
      <c r="BO3791" s="5"/>
      <c r="BP3791" s="5"/>
    </row>
    <row r="3792" spans="35:68" x14ac:dyDescent="0.25">
      <c r="AI3792" s="49"/>
      <c r="AJ3792" s="78"/>
      <c r="AK3792" s="79"/>
      <c r="AL3792" s="79"/>
      <c r="AM3792" s="79"/>
      <c r="AN3792" s="79"/>
      <c r="AO3792" s="79"/>
      <c r="AP3792" s="79"/>
      <c r="AQ3792" s="79"/>
      <c r="AR3792" s="78"/>
      <c r="AS3792" s="78"/>
      <c r="AT3792" s="79"/>
      <c r="AU3792" s="79"/>
      <c r="AV3792" s="79"/>
      <c r="AW3792" s="79"/>
      <c r="AX3792" s="79"/>
      <c r="AZ3792" s="81"/>
      <c r="BB3792" s="5"/>
      <c r="BC3792" s="5"/>
      <c r="BD3792" s="5"/>
      <c r="BE3792" s="5"/>
      <c r="BF3792" s="5"/>
      <c r="BG3792" s="5"/>
      <c r="BH3792" s="5"/>
      <c r="BI3792" s="5"/>
      <c r="BJ3792" s="5"/>
      <c r="BK3792" s="5"/>
      <c r="BL3792" s="5"/>
      <c r="BM3792" s="5"/>
      <c r="BN3792" s="5"/>
      <c r="BO3792" s="5"/>
      <c r="BP3792" s="5"/>
    </row>
    <row r="3793" spans="35:68" x14ac:dyDescent="0.25">
      <c r="AI3793" s="49"/>
      <c r="AJ3793" s="78"/>
      <c r="AK3793" s="79"/>
      <c r="AL3793" s="79"/>
      <c r="AM3793" s="79"/>
      <c r="AN3793" s="79"/>
      <c r="AO3793" s="79"/>
      <c r="AP3793" s="79"/>
      <c r="AQ3793" s="79"/>
      <c r="AR3793" s="78"/>
      <c r="AS3793" s="78"/>
      <c r="AT3793" s="79"/>
      <c r="AU3793" s="79"/>
      <c r="AV3793" s="79"/>
      <c r="AW3793" s="79"/>
      <c r="AX3793" s="79"/>
      <c r="AZ3793" s="81"/>
      <c r="BB3793" s="5"/>
      <c r="BC3793" s="5"/>
      <c r="BD3793" s="5"/>
      <c r="BE3793" s="5"/>
      <c r="BF3793" s="5"/>
      <c r="BG3793" s="5"/>
      <c r="BH3793" s="5"/>
      <c r="BI3793" s="5"/>
      <c r="BJ3793" s="5"/>
      <c r="BK3793" s="5"/>
      <c r="BL3793" s="5"/>
      <c r="BM3793" s="5"/>
      <c r="BN3793" s="5"/>
      <c r="BO3793" s="5"/>
      <c r="BP3793" s="5"/>
    </row>
    <row r="3794" spans="35:68" x14ac:dyDescent="0.25">
      <c r="AI3794" s="49"/>
      <c r="AJ3794" s="78"/>
      <c r="AK3794" s="79"/>
      <c r="AL3794" s="79"/>
      <c r="AM3794" s="79"/>
      <c r="AN3794" s="79"/>
      <c r="AO3794" s="79"/>
      <c r="AP3794" s="79"/>
      <c r="AQ3794" s="79"/>
      <c r="AR3794" s="78"/>
      <c r="AS3794" s="78"/>
      <c r="AT3794" s="79"/>
      <c r="AU3794" s="79"/>
      <c r="AV3794" s="79"/>
      <c r="AW3794" s="79"/>
      <c r="AX3794" s="79"/>
      <c r="AZ3794" s="81"/>
      <c r="BB3794" s="5"/>
      <c r="BC3794" s="5"/>
      <c r="BD3794" s="5"/>
      <c r="BE3794" s="5"/>
      <c r="BF3794" s="5"/>
      <c r="BG3794" s="5"/>
      <c r="BH3794" s="5"/>
      <c r="BI3794" s="5"/>
      <c r="BJ3794" s="5"/>
      <c r="BK3794" s="5"/>
      <c r="BL3794" s="5"/>
      <c r="BM3794" s="5"/>
      <c r="BN3794" s="5"/>
      <c r="BO3794" s="5"/>
      <c r="BP3794" s="5"/>
    </row>
    <row r="3795" spans="35:68" x14ac:dyDescent="0.25">
      <c r="AI3795" s="49"/>
      <c r="AJ3795" s="78"/>
      <c r="AK3795" s="79"/>
      <c r="AL3795" s="79"/>
      <c r="AM3795" s="79"/>
      <c r="AN3795" s="79"/>
      <c r="AO3795" s="79"/>
      <c r="AP3795" s="79"/>
      <c r="AQ3795" s="79"/>
      <c r="AR3795" s="78"/>
      <c r="AS3795" s="78"/>
      <c r="AT3795" s="79"/>
      <c r="AU3795" s="79"/>
      <c r="AV3795" s="79"/>
      <c r="AW3795" s="79"/>
      <c r="AX3795" s="79"/>
      <c r="AZ3795" s="81"/>
      <c r="BB3795" s="5"/>
      <c r="BC3795" s="5"/>
      <c r="BD3795" s="5"/>
      <c r="BE3795" s="5"/>
      <c r="BF3795" s="5"/>
      <c r="BG3795" s="5"/>
      <c r="BH3795" s="5"/>
      <c r="BI3795" s="5"/>
      <c r="BJ3795" s="5"/>
      <c r="BK3795" s="5"/>
      <c r="BL3795" s="5"/>
      <c r="BM3795" s="5"/>
      <c r="BN3795" s="5"/>
      <c r="BO3795" s="5"/>
      <c r="BP3795" s="5"/>
    </row>
    <row r="3796" spans="35:68" x14ac:dyDescent="0.25">
      <c r="AI3796" s="49"/>
      <c r="AJ3796" s="78"/>
      <c r="AK3796" s="79"/>
      <c r="AL3796" s="79"/>
      <c r="AM3796" s="79"/>
      <c r="AN3796" s="79"/>
      <c r="AO3796" s="79"/>
      <c r="AP3796" s="79"/>
      <c r="AQ3796" s="79"/>
      <c r="AR3796" s="78"/>
      <c r="AS3796" s="78"/>
      <c r="AT3796" s="79"/>
      <c r="AU3796" s="79"/>
      <c r="AV3796" s="79"/>
      <c r="AW3796" s="79"/>
      <c r="AX3796" s="79"/>
      <c r="AZ3796" s="81"/>
      <c r="BB3796" s="5"/>
      <c r="BC3796" s="5"/>
      <c r="BD3796" s="5"/>
      <c r="BE3796" s="5"/>
      <c r="BF3796" s="5"/>
      <c r="BG3796" s="5"/>
      <c r="BH3796" s="5"/>
      <c r="BI3796" s="5"/>
      <c r="BJ3796" s="5"/>
      <c r="BK3796" s="5"/>
      <c r="BL3796" s="5"/>
      <c r="BM3796" s="5"/>
      <c r="BN3796" s="5"/>
      <c r="BO3796" s="5"/>
      <c r="BP3796" s="5"/>
    </row>
    <row r="3797" spans="35:68" x14ac:dyDescent="0.25">
      <c r="AI3797" s="49"/>
      <c r="AJ3797" s="78"/>
      <c r="AK3797" s="79"/>
      <c r="AL3797" s="79"/>
      <c r="AM3797" s="79"/>
      <c r="AN3797" s="79"/>
      <c r="AO3797" s="79"/>
      <c r="AP3797" s="79"/>
      <c r="AQ3797" s="79"/>
      <c r="AR3797" s="78"/>
      <c r="AS3797" s="78"/>
      <c r="AT3797" s="79"/>
      <c r="AU3797" s="79"/>
      <c r="AV3797" s="79"/>
      <c r="AW3797" s="79"/>
      <c r="AX3797" s="79"/>
      <c r="AZ3797" s="81"/>
      <c r="BB3797" s="5"/>
      <c r="BC3797" s="5"/>
      <c r="BD3797" s="5"/>
      <c r="BE3797" s="5"/>
      <c r="BF3797" s="5"/>
      <c r="BG3797" s="5"/>
      <c r="BH3797" s="5"/>
      <c r="BI3797" s="5"/>
      <c r="BJ3797" s="5"/>
      <c r="BK3797" s="5"/>
      <c r="BL3797" s="5"/>
      <c r="BM3797" s="5"/>
      <c r="BN3797" s="5"/>
      <c r="BO3797" s="5"/>
      <c r="BP3797" s="5"/>
    </row>
    <row r="3798" spans="35:68" x14ac:dyDescent="0.25">
      <c r="AI3798" s="49"/>
      <c r="AJ3798" s="78"/>
      <c r="AK3798" s="79"/>
      <c r="AL3798" s="79"/>
      <c r="AM3798" s="79"/>
      <c r="AN3798" s="79"/>
      <c r="AO3798" s="79"/>
      <c r="AP3798" s="79"/>
      <c r="AQ3798" s="79"/>
      <c r="AR3798" s="78"/>
      <c r="AS3798" s="78"/>
      <c r="AT3798" s="79"/>
      <c r="AU3798" s="79"/>
      <c r="AV3798" s="79"/>
      <c r="AW3798" s="79"/>
      <c r="AX3798" s="79"/>
      <c r="AZ3798" s="81"/>
      <c r="BB3798" s="5"/>
      <c r="BC3798" s="5"/>
      <c r="BD3798" s="5"/>
      <c r="BE3798" s="5"/>
      <c r="BF3798" s="5"/>
      <c r="BG3798" s="5"/>
      <c r="BH3798" s="5"/>
      <c r="BI3798" s="5"/>
      <c r="BJ3798" s="5"/>
      <c r="BK3798" s="5"/>
      <c r="BL3798" s="5"/>
      <c r="BM3798" s="5"/>
      <c r="BN3798" s="5"/>
      <c r="BO3798" s="5"/>
      <c r="BP3798" s="5"/>
    </row>
    <row r="3799" spans="35:68" x14ac:dyDescent="0.25">
      <c r="AI3799" s="49"/>
      <c r="AJ3799" s="78"/>
      <c r="AK3799" s="79"/>
      <c r="AL3799" s="79"/>
      <c r="AM3799" s="79"/>
      <c r="AN3799" s="79"/>
      <c r="AO3799" s="79"/>
      <c r="AP3799" s="79"/>
      <c r="AQ3799" s="79"/>
      <c r="AR3799" s="78"/>
      <c r="AS3799" s="78"/>
      <c r="AT3799" s="79"/>
      <c r="AU3799" s="79"/>
      <c r="AV3799" s="79"/>
      <c r="AW3799" s="79"/>
      <c r="AX3799" s="79"/>
      <c r="AZ3799" s="81"/>
      <c r="BB3799" s="5"/>
      <c r="BC3799" s="5"/>
      <c r="BD3799" s="5"/>
      <c r="BE3799" s="5"/>
      <c r="BF3799" s="5"/>
      <c r="BG3799" s="5"/>
      <c r="BH3799" s="5"/>
      <c r="BI3799" s="5"/>
      <c r="BJ3799" s="5"/>
      <c r="BK3799" s="5"/>
      <c r="BL3799" s="5"/>
      <c r="BM3799" s="5"/>
      <c r="BN3799" s="5"/>
      <c r="BO3799" s="5"/>
      <c r="BP3799" s="5"/>
    </row>
    <row r="3800" spans="35:68" x14ac:dyDescent="0.25">
      <c r="AI3800" s="49"/>
      <c r="AJ3800" s="78"/>
      <c r="AK3800" s="79"/>
      <c r="AL3800" s="79"/>
      <c r="AM3800" s="79"/>
      <c r="AN3800" s="79"/>
      <c r="AO3800" s="79"/>
      <c r="AP3800" s="79"/>
      <c r="AQ3800" s="79"/>
      <c r="AR3800" s="78"/>
      <c r="AS3800" s="78"/>
      <c r="AT3800" s="79"/>
      <c r="AU3800" s="79"/>
      <c r="AV3800" s="79"/>
      <c r="AW3800" s="79"/>
      <c r="AX3800" s="79"/>
      <c r="AZ3800" s="81"/>
      <c r="BB3800" s="5"/>
      <c r="BC3800" s="5"/>
      <c r="BD3800" s="5"/>
      <c r="BE3800" s="5"/>
      <c r="BF3800" s="5"/>
      <c r="BG3800" s="5"/>
      <c r="BH3800" s="5"/>
      <c r="BI3800" s="5"/>
      <c r="BJ3800" s="5"/>
      <c r="BK3800" s="5"/>
      <c r="BL3800" s="5"/>
      <c r="BM3800" s="5"/>
      <c r="BN3800" s="5"/>
      <c r="BO3800" s="5"/>
      <c r="BP3800" s="5"/>
    </row>
    <row r="3801" spans="35:68" x14ac:dyDescent="0.25">
      <c r="AI3801" s="49"/>
      <c r="AJ3801" s="78"/>
      <c r="AK3801" s="79"/>
      <c r="AL3801" s="79"/>
      <c r="AM3801" s="79"/>
      <c r="AN3801" s="79"/>
      <c r="AO3801" s="79"/>
      <c r="AP3801" s="79"/>
      <c r="AQ3801" s="79"/>
      <c r="AR3801" s="78"/>
      <c r="AS3801" s="78"/>
      <c r="AT3801" s="79"/>
      <c r="AU3801" s="79"/>
      <c r="AV3801" s="79"/>
      <c r="AW3801" s="79"/>
      <c r="AX3801" s="79"/>
      <c r="AZ3801" s="81"/>
      <c r="BB3801" s="5"/>
      <c r="BC3801" s="5"/>
      <c r="BD3801" s="5"/>
      <c r="BE3801" s="5"/>
      <c r="BF3801" s="5"/>
      <c r="BG3801" s="5"/>
      <c r="BH3801" s="5"/>
      <c r="BI3801" s="5"/>
      <c r="BJ3801" s="5"/>
      <c r="BK3801" s="5"/>
      <c r="BL3801" s="5"/>
      <c r="BM3801" s="5"/>
      <c r="BN3801" s="5"/>
      <c r="BO3801" s="5"/>
      <c r="BP3801" s="5"/>
    </row>
    <row r="3802" spans="35:68" x14ac:dyDescent="0.25">
      <c r="AI3802" s="49"/>
      <c r="AJ3802" s="78"/>
      <c r="AK3802" s="79"/>
      <c r="AL3802" s="79"/>
      <c r="AM3802" s="79"/>
      <c r="AN3802" s="79"/>
      <c r="AO3802" s="79"/>
      <c r="AP3802" s="79"/>
      <c r="AQ3802" s="79"/>
      <c r="AR3802" s="78"/>
      <c r="AS3802" s="78"/>
      <c r="AT3802" s="79"/>
      <c r="AU3802" s="79"/>
      <c r="AV3802" s="79"/>
      <c r="AW3802" s="79"/>
      <c r="AX3802" s="79"/>
      <c r="AZ3802" s="81"/>
      <c r="BB3802" s="5"/>
      <c r="BC3802" s="5"/>
      <c r="BD3802" s="5"/>
      <c r="BE3802" s="5"/>
      <c r="BF3802" s="5"/>
      <c r="BG3802" s="5"/>
      <c r="BH3802" s="5"/>
      <c r="BI3802" s="5"/>
      <c r="BJ3802" s="5"/>
      <c r="BK3802" s="5"/>
      <c r="BL3802" s="5"/>
      <c r="BM3802" s="5"/>
      <c r="BN3802" s="5"/>
      <c r="BO3802" s="5"/>
      <c r="BP3802" s="5"/>
    </row>
    <row r="3803" spans="35:68" x14ac:dyDescent="0.25">
      <c r="AI3803" s="49"/>
      <c r="AJ3803" s="78"/>
      <c r="AK3803" s="79"/>
      <c r="AL3803" s="79"/>
      <c r="AM3803" s="79"/>
      <c r="AN3803" s="79"/>
      <c r="AO3803" s="79"/>
      <c r="AP3803" s="79"/>
      <c r="AQ3803" s="79"/>
      <c r="AR3803" s="78"/>
      <c r="AS3803" s="78"/>
      <c r="AT3803" s="79"/>
      <c r="AU3803" s="79"/>
      <c r="AV3803" s="79"/>
      <c r="AW3803" s="79"/>
      <c r="AX3803" s="79"/>
      <c r="AZ3803" s="81"/>
      <c r="BB3803" s="5"/>
      <c r="BC3803" s="5"/>
      <c r="BD3803" s="5"/>
      <c r="BE3803" s="5"/>
      <c r="BF3803" s="5"/>
      <c r="BG3803" s="5"/>
      <c r="BH3803" s="5"/>
      <c r="BI3803" s="5"/>
      <c r="BJ3803" s="5"/>
      <c r="BK3803" s="5"/>
      <c r="BL3803" s="5"/>
      <c r="BM3803" s="5"/>
      <c r="BN3803" s="5"/>
      <c r="BO3803" s="5"/>
      <c r="BP3803" s="5"/>
    </row>
    <row r="3804" spans="35:68" x14ac:dyDescent="0.25">
      <c r="AI3804" s="49"/>
      <c r="AJ3804" s="78"/>
      <c r="AK3804" s="79"/>
      <c r="AL3804" s="79"/>
      <c r="AM3804" s="79"/>
      <c r="AN3804" s="79"/>
      <c r="AO3804" s="79"/>
      <c r="AP3804" s="79"/>
      <c r="AQ3804" s="79"/>
      <c r="AR3804" s="78"/>
      <c r="AS3804" s="78"/>
      <c r="AT3804" s="79"/>
      <c r="AU3804" s="79"/>
      <c r="AV3804" s="79"/>
      <c r="AW3804" s="79"/>
      <c r="AX3804" s="79"/>
      <c r="AZ3804" s="81"/>
      <c r="BB3804" s="5"/>
      <c r="BC3804" s="5"/>
      <c r="BD3804" s="5"/>
      <c r="BE3804" s="5"/>
      <c r="BF3804" s="5"/>
      <c r="BG3804" s="5"/>
      <c r="BH3804" s="5"/>
      <c r="BI3804" s="5"/>
      <c r="BJ3804" s="5"/>
      <c r="BK3804" s="5"/>
      <c r="BL3804" s="5"/>
      <c r="BM3804" s="5"/>
      <c r="BN3804" s="5"/>
      <c r="BO3804" s="5"/>
      <c r="BP3804" s="5"/>
    </row>
    <row r="3805" spans="35:68" x14ac:dyDescent="0.25">
      <c r="AI3805" s="49"/>
      <c r="AJ3805" s="78"/>
      <c r="AK3805" s="79"/>
      <c r="AL3805" s="79"/>
      <c r="AM3805" s="79"/>
      <c r="AN3805" s="79"/>
      <c r="AO3805" s="79"/>
      <c r="AP3805" s="79"/>
      <c r="AQ3805" s="79"/>
      <c r="AR3805" s="78"/>
      <c r="AS3805" s="78"/>
      <c r="AT3805" s="79"/>
      <c r="AU3805" s="79"/>
      <c r="AV3805" s="79"/>
      <c r="AW3805" s="79"/>
      <c r="AX3805" s="79"/>
      <c r="AZ3805" s="81"/>
      <c r="BB3805" s="5"/>
      <c r="BC3805" s="5"/>
      <c r="BD3805" s="5"/>
      <c r="BE3805" s="5"/>
      <c r="BF3805" s="5"/>
      <c r="BG3805" s="5"/>
      <c r="BH3805" s="5"/>
      <c r="BI3805" s="5"/>
      <c r="BJ3805" s="5"/>
      <c r="BK3805" s="5"/>
      <c r="BL3805" s="5"/>
      <c r="BM3805" s="5"/>
      <c r="BN3805" s="5"/>
      <c r="BO3805" s="5"/>
      <c r="BP3805" s="5"/>
    </row>
    <row r="3806" spans="35:68" x14ac:dyDescent="0.25">
      <c r="AI3806" s="49"/>
      <c r="AJ3806" s="78"/>
      <c r="AK3806" s="79"/>
      <c r="AL3806" s="79"/>
      <c r="AM3806" s="79"/>
      <c r="AN3806" s="79"/>
      <c r="AO3806" s="79"/>
      <c r="AP3806" s="79"/>
      <c r="AQ3806" s="79"/>
      <c r="AR3806" s="78"/>
      <c r="AS3806" s="78"/>
      <c r="AT3806" s="79"/>
      <c r="AU3806" s="79"/>
      <c r="AV3806" s="79"/>
      <c r="AW3806" s="79"/>
      <c r="AX3806" s="79"/>
      <c r="AZ3806" s="81"/>
      <c r="BB3806" s="5"/>
      <c r="BC3806" s="5"/>
      <c r="BD3806" s="5"/>
      <c r="BE3806" s="5"/>
      <c r="BF3806" s="5"/>
      <c r="BG3806" s="5"/>
      <c r="BH3806" s="5"/>
      <c r="BI3806" s="5"/>
      <c r="BJ3806" s="5"/>
      <c r="BK3806" s="5"/>
      <c r="BL3806" s="5"/>
      <c r="BM3806" s="5"/>
      <c r="BN3806" s="5"/>
      <c r="BO3806" s="5"/>
      <c r="BP3806" s="5"/>
    </row>
    <row r="3807" spans="35:68" x14ac:dyDescent="0.25">
      <c r="AI3807" s="49"/>
      <c r="AJ3807" s="78"/>
      <c r="AK3807" s="79"/>
      <c r="AL3807" s="79"/>
      <c r="AM3807" s="79"/>
      <c r="AN3807" s="79"/>
      <c r="AO3807" s="79"/>
      <c r="AP3807" s="79"/>
      <c r="AQ3807" s="79"/>
      <c r="AR3807" s="78"/>
      <c r="AS3807" s="78"/>
      <c r="AT3807" s="79"/>
      <c r="AU3807" s="79"/>
      <c r="AV3807" s="79"/>
      <c r="AW3807" s="79"/>
      <c r="AX3807" s="79"/>
      <c r="AZ3807" s="81"/>
      <c r="BB3807" s="5"/>
      <c r="BC3807" s="5"/>
      <c r="BD3807" s="5"/>
      <c r="BE3807" s="5"/>
      <c r="BF3807" s="5"/>
      <c r="BG3807" s="5"/>
      <c r="BH3807" s="5"/>
      <c r="BI3807" s="5"/>
      <c r="BJ3807" s="5"/>
      <c r="BK3807" s="5"/>
      <c r="BL3807" s="5"/>
      <c r="BM3807" s="5"/>
      <c r="BN3807" s="5"/>
      <c r="BO3807" s="5"/>
      <c r="BP3807" s="5"/>
    </row>
    <row r="3808" spans="35:68" x14ac:dyDescent="0.25">
      <c r="AI3808" s="49"/>
      <c r="AJ3808" s="78"/>
      <c r="AK3808" s="79"/>
      <c r="AL3808" s="79"/>
      <c r="AM3808" s="79"/>
      <c r="AN3808" s="79"/>
      <c r="AO3808" s="79"/>
      <c r="AP3808" s="79"/>
      <c r="AQ3808" s="79"/>
      <c r="AR3808" s="78"/>
      <c r="AS3808" s="78"/>
      <c r="AT3808" s="79"/>
      <c r="AU3808" s="79"/>
      <c r="AV3808" s="79"/>
      <c r="AW3808" s="79"/>
      <c r="AX3808" s="79"/>
      <c r="AZ3808" s="81"/>
      <c r="BB3808" s="5"/>
      <c r="BC3808" s="5"/>
      <c r="BD3808" s="5"/>
      <c r="BE3808" s="5"/>
      <c r="BF3808" s="5"/>
      <c r="BG3808" s="5"/>
      <c r="BH3808" s="5"/>
      <c r="BI3808" s="5"/>
      <c r="BJ3808" s="5"/>
      <c r="BK3808" s="5"/>
      <c r="BL3808" s="5"/>
      <c r="BM3808" s="5"/>
      <c r="BN3808" s="5"/>
      <c r="BO3808" s="5"/>
      <c r="BP3808" s="5"/>
    </row>
    <row r="3809" spans="35:68" x14ac:dyDescent="0.25">
      <c r="AI3809" s="49"/>
      <c r="AJ3809" s="78"/>
      <c r="AK3809" s="79"/>
      <c r="AL3809" s="79"/>
      <c r="AM3809" s="79"/>
      <c r="AN3809" s="79"/>
      <c r="AO3809" s="79"/>
      <c r="AP3809" s="79"/>
      <c r="AQ3809" s="79"/>
      <c r="AR3809" s="78"/>
      <c r="AS3809" s="78"/>
      <c r="AT3809" s="79"/>
      <c r="AU3809" s="79"/>
      <c r="AV3809" s="79"/>
      <c r="AW3809" s="79"/>
      <c r="AX3809" s="79"/>
      <c r="AZ3809" s="81"/>
      <c r="BB3809" s="5"/>
      <c r="BC3809" s="5"/>
      <c r="BD3809" s="5"/>
      <c r="BE3809" s="5"/>
      <c r="BF3809" s="5"/>
      <c r="BG3809" s="5"/>
      <c r="BH3809" s="5"/>
      <c r="BI3809" s="5"/>
      <c r="BJ3809" s="5"/>
      <c r="BK3809" s="5"/>
      <c r="BL3809" s="5"/>
      <c r="BM3809" s="5"/>
      <c r="BN3809" s="5"/>
      <c r="BO3809" s="5"/>
      <c r="BP3809" s="5"/>
    </row>
    <row r="3810" spans="35:68" x14ac:dyDescent="0.25">
      <c r="AI3810" s="49"/>
      <c r="AJ3810" s="78"/>
      <c r="AK3810" s="79"/>
      <c r="AL3810" s="79"/>
      <c r="AM3810" s="79"/>
      <c r="AN3810" s="79"/>
      <c r="AO3810" s="79"/>
      <c r="AP3810" s="79"/>
      <c r="AQ3810" s="79"/>
      <c r="AR3810" s="78"/>
      <c r="AS3810" s="78"/>
      <c r="AT3810" s="79"/>
      <c r="AU3810" s="79"/>
      <c r="AV3810" s="79"/>
      <c r="AW3810" s="79"/>
      <c r="AX3810" s="79"/>
      <c r="AZ3810" s="81"/>
      <c r="BB3810" s="5"/>
      <c r="BC3810" s="5"/>
      <c r="BD3810" s="5"/>
      <c r="BE3810" s="5"/>
      <c r="BF3810" s="5"/>
      <c r="BG3810" s="5"/>
      <c r="BH3810" s="5"/>
      <c r="BI3810" s="5"/>
      <c r="BJ3810" s="5"/>
      <c r="BK3810" s="5"/>
      <c r="BL3810" s="5"/>
      <c r="BM3810" s="5"/>
      <c r="BN3810" s="5"/>
      <c r="BO3810" s="5"/>
      <c r="BP3810" s="5"/>
    </row>
    <row r="3811" spans="35:68" x14ac:dyDescent="0.25">
      <c r="AI3811" s="49"/>
      <c r="AJ3811" s="78"/>
      <c r="AK3811" s="79"/>
      <c r="AL3811" s="79"/>
      <c r="AM3811" s="79"/>
      <c r="AN3811" s="79"/>
      <c r="AO3811" s="79"/>
      <c r="AP3811" s="79"/>
      <c r="AQ3811" s="79"/>
      <c r="AR3811" s="78"/>
      <c r="AS3811" s="78"/>
      <c r="AT3811" s="79"/>
      <c r="AU3811" s="79"/>
      <c r="AV3811" s="79"/>
      <c r="AW3811" s="79"/>
      <c r="AX3811" s="79"/>
      <c r="AZ3811" s="81"/>
      <c r="BB3811" s="5"/>
      <c r="BC3811" s="5"/>
      <c r="BD3811" s="5"/>
      <c r="BE3811" s="5"/>
      <c r="BF3811" s="5"/>
      <c r="BG3811" s="5"/>
      <c r="BH3811" s="5"/>
      <c r="BI3811" s="5"/>
      <c r="BJ3811" s="5"/>
      <c r="BK3811" s="5"/>
      <c r="BL3811" s="5"/>
      <c r="BM3811" s="5"/>
      <c r="BN3811" s="5"/>
      <c r="BO3811" s="5"/>
      <c r="BP3811" s="5"/>
    </row>
    <row r="3812" spans="35:68" x14ac:dyDescent="0.25">
      <c r="AI3812" s="49"/>
      <c r="AJ3812" s="78"/>
      <c r="AK3812" s="79"/>
      <c r="AL3812" s="79"/>
      <c r="AM3812" s="79"/>
      <c r="AN3812" s="79"/>
      <c r="AO3812" s="79"/>
      <c r="AP3812" s="79"/>
      <c r="AQ3812" s="79"/>
      <c r="AR3812" s="78"/>
      <c r="AS3812" s="78"/>
      <c r="AT3812" s="79"/>
      <c r="AU3812" s="79"/>
      <c r="AV3812" s="79"/>
      <c r="AW3812" s="79"/>
      <c r="AX3812" s="79"/>
      <c r="AZ3812" s="81"/>
      <c r="BB3812" s="5"/>
      <c r="BC3812" s="5"/>
      <c r="BD3812" s="5"/>
      <c r="BE3812" s="5"/>
      <c r="BF3812" s="5"/>
      <c r="BG3812" s="5"/>
      <c r="BH3812" s="5"/>
      <c r="BI3812" s="5"/>
      <c r="BJ3812" s="5"/>
      <c r="BK3812" s="5"/>
      <c r="BL3812" s="5"/>
      <c r="BM3812" s="5"/>
      <c r="BN3812" s="5"/>
      <c r="BO3812" s="5"/>
      <c r="BP3812" s="5"/>
    </row>
    <row r="3813" spans="35:68" x14ac:dyDescent="0.25">
      <c r="AI3813" s="49"/>
      <c r="AJ3813" s="78"/>
      <c r="AK3813" s="79"/>
      <c r="AL3813" s="79"/>
      <c r="AM3813" s="79"/>
      <c r="AN3813" s="79"/>
      <c r="AO3813" s="79"/>
      <c r="AP3813" s="79"/>
      <c r="AQ3813" s="79"/>
      <c r="AR3813" s="78"/>
      <c r="AS3813" s="78"/>
      <c r="AT3813" s="79"/>
      <c r="AU3813" s="79"/>
      <c r="AV3813" s="79"/>
      <c r="AW3813" s="79"/>
      <c r="AX3813" s="79"/>
      <c r="AZ3813" s="81"/>
      <c r="BB3813" s="5"/>
      <c r="BC3813" s="5"/>
      <c r="BD3813" s="5"/>
      <c r="BE3813" s="5"/>
      <c r="BF3813" s="5"/>
      <c r="BG3813" s="5"/>
      <c r="BH3813" s="5"/>
      <c r="BI3813" s="5"/>
      <c r="BJ3813" s="5"/>
      <c r="BK3813" s="5"/>
      <c r="BL3813" s="5"/>
      <c r="BM3813" s="5"/>
      <c r="BN3813" s="5"/>
      <c r="BO3813" s="5"/>
      <c r="BP3813" s="5"/>
    </row>
    <row r="3814" spans="35:68" x14ac:dyDescent="0.25">
      <c r="AI3814" s="49"/>
      <c r="AJ3814" s="78"/>
      <c r="AK3814" s="79"/>
      <c r="AL3814" s="79"/>
      <c r="AM3814" s="79"/>
      <c r="AN3814" s="79"/>
      <c r="AO3814" s="79"/>
      <c r="AP3814" s="79"/>
      <c r="AQ3814" s="79"/>
      <c r="AR3814" s="78"/>
      <c r="AS3814" s="78"/>
      <c r="AT3814" s="79"/>
      <c r="AU3814" s="79"/>
      <c r="AV3814" s="79"/>
      <c r="AW3814" s="79"/>
      <c r="AX3814" s="79"/>
      <c r="AZ3814" s="81"/>
      <c r="BB3814" s="5"/>
      <c r="BC3814" s="5"/>
      <c r="BD3814" s="5"/>
      <c r="BE3814" s="5"/>
      <c r="BF3814" s="5"/>
      <c r="BG3814" s="5"/>
      <c r="BH3814" s="5"/>
      <c r="BI3814" s="5"/>
      <c r="BJ3814" s="5"/>
      <c r="BK3814" s="5"/>
      <c r="BL3814" s="5"/>
      <c r="BM3814" s="5"/>
      <c r="BN3814" s="5"/>
      <c r="BO3814" s="5"/>
      <c r="BP3814" s="5"/>
    </row>
    <row r="3815" spans="35:68" x14ac:dyDescent="0.25">
      <c r="AI3815" s="49"/>
      <c r="AJ3815" s="78"/>
      <c r="AK3815" s="79"/>
      <c r="AL3815" s="79"/>
      <c r="AM3815" s="79"/>
      <c r="AN3815" s="79"/>
      <c r="AO3815" s="79"/>
      <c r="AP3815" s="79"/>
      <c r="AQ3815" s="79"/>
      <c r="AR3815" s="78"/>
      <c r="AS3815" s="78"/>
      <c r="AT3815" s="79"/>
      <c r="AU3815" s="79"/>
      <c r="AV3815" s="79"/>
      <c r="AW3815" s="79"/>
      <c r="AX3815" s="79"/>
      <c r="AZ3815" s="81"/>
      <c r="BB3815" s="5"/>
      <c r="BC3815" s="5"/>
      <c r="BD3815" s="5"/>
      <c r="BE3815" s="5"/>
      <c r="BF3815" s="5"/>
      <c r="BG3815" s="5"/>
      <c r="BH3815" s="5"/>
      <c r="BI3815" s="5"/>
      <c r="BJ3815" s="5"/>
      <c r="BK3815" s="5"/>
      <c r="BL3815" s="5"/>
      <c r="BM3815" s="5"/>
      <c r="BN3815" s="5"/>
      <c r="BO3815" s="5"/>
      <c r="BP3815" s="5"/>
    </row>
    <row r="3816" spans="35:68" x14ac:dyDescent="0.25">
      <c r="AI3816" s="49"/>
      <c r="AJ3816" s="78"/>
      <c r="AK3816" s="79"/>
      <c r="AL3816" s="79"/>
      <c r="AM3816" s="79"/>
      <c r="AN3816" s="79"/>
      <c r="AO3816" s="79"/>
      <c r="AP3816" s="79"/>
      <c r="AQ3816" s="79"/>
      <c r="AR3816" s="78"/>
      <c r="AS3816" s="78"/>
      <c r="AT3816" s="79"/>
      <c r="AU3816" s="79"/>
      <c r="AV3816" s="79"/>
      <c r="AW3816" s="79"/>
      <c r="AX3816" s="79"/>
      <c r="AZ3816" s="81"/>
      <c r="BB3816" s="5"/>
      <c r="BC3816" s="5"/>
      <c r="BD3816" s="5"/>
      <c r="BE3816" s="5"/>
      <c r="BF3816" s="5"/>
      <c r="BG3816" s="5"/>
      <c r="BH3816" s="5"/>
      <c r="BI3816" s="5"/>
      <c r="BJ3816" s="5"/>
      <c r="BK3816" s="5"/>
      <c r="BL3816" s="5"/>
      <c r="BM3816" s="5"/>
      <c r="BN3816" s="5"/>
      <c r="BO3816" s="5"/>
      <c r="BP3816" s="5"/>
    </row>
    <row r="3817" spans="35:68" x14ac:dyDescent="0.25">
      <c r="AI3817" s="49"/>
      <c r="AJ3817" s="78"/>
      <c r="AK3817" s="79"/>
      <c r="AL3817" s="79"/>
      <c r="AM3817" s="79"/>
      <c r="AN3817" s="79"/>
      <c r="AO3817" s="79"/>
      <c r="AP3817" s="79"/>
      <c r="AQ3817" s="79"/>
      <c r="AR3817" s="78"/>
      <c r="AS3817" s="78"/>
      <c r="AT3817" s="79"/>
      <c r="AU3817" s="79"/>
      <c r="AV3817" s="79"/>
      <c r="AW3817" s="79"/>
      <c r="AX3817" s="79"/>
      <c r="AZ3817" s="81"/>
      <c r="BB3817" s="5"/>
      <c r="BC3817" s="5"/>
      <c r="BD3817" s="5"/>
      <c r="BE3817" s="5"/>
      <c r="BF3817" s="5"/>
      <c r="BG3817" s="5"/>
      <c r="BH3817" s="5"/>
      <c r="BI3817" s="5"/>
      <c r="BJ3817" s="5"/>
      <c r="BK3817" s="5"/>
      <c r="BL3817" s="5"/>
      <c r="BM3817" s="5"/>
      <c r="BN3817" s="5"/>
      <c r="BO3817" s="5"/>
      <c r="BP3817" s="5"/>
    </row>
    <row r="3818" spans="35:68" x14ac:dyDescent="0.25">
      <c r="AI3818" s="49"/>
      <c r="AJ3818" s="78"/>
      <c r="AK3818" s="79"/>
      <c r="AL3818" s="79"/>
      <c r="AM3818" s="79"/>
      <c r="AN3818" s="79"/>
      <c r="AO3818" s="79"/>
      <c r="AP3818" s="79"/>
      <c r="AQ3818" s="79"/>
      <c r="AR3818" s="78"/>
      <c r="AS3818" s="78"/>
      <c r="AT3818" s="79"/>
      <c r="AU3818" s="79"/>
      <c r="AV3818" s="79"/>
      <c r="AW3818" s="79"/>
      <c r="AX3818" s="79"/>
      <c r="AZ3818" s="81"/>
      <c r="BB3818" s="5"/>
      <c r="BC3818" s="5"/>
      <c r="BD3818" s="5"/>
      <c r="BE3818" s="5"/>
      <c r="BF3818" s="5"/>
      <c r="BG3818" s="5"/>
      <c r="BH3818" s="5"/>
      <c r="BI3818" s="5"/>
      <c r="BJ3818" s="5"/>
      <c r="BK3818" s="5"/>
      <c r="BL3818" s="5"/>
      <c r="BM3818" s="5"/>
      <c r="BN3818" s="5"/>
      <c r="BO3818" s="5"/>
      <c r="BP3818" s="5"/>
    </row>
    <row r="3819" spans="35:68" x14ac:dyDescent="0.25">
      <c r="AI3819" s="49"/>
      <c r="AJ3819" s="78"/>
      <c r="AK3819" s="79"/>
      <c r="AL3819" s="79"/>
      <c r="AM3819" s="79"/>
      <c r="AN3819" s="79"/>
      <c r="AO3819" s="79"/>
      <c r="AP3819" s="79"/>
      <c r="AQ3819" s="79"/>
      <c r="AR3819" s="78"/>
      <c r="AS3819" s="78"/>
      <c r="AT3819" s="79"/>
      <c r="AU3819" s="79"/>
      <c r="AV3819" s="79"/>
      <c r="AW3819" s="79"/>
      <c r="AX3819" s="79"/>
      <c r="AZ3819" s="81"/>
      <c r="BB3819" s="5"/>
      <c r="BC3819" s="5"/>
      <c r="BD3819" s="5"/>
      <c r="BE3819" s="5"/>
      <c r="BF3819" s="5"/>
      <c r="BG3819" s="5"/>
      <c r="BH3819" s="5"/>
      <c r="BI3819" s="5"/>
      <c r="BJ3819" s="5"/>
      <c r="BK3819" s="5"/>
      <c r="BL3819" s="5"/>
      <c r="BM3819" s="5"/>
      <c r="BN3819" s="5"/>
      <c r="BO3819" s="5"/>
      <c r="BP3819" s="5"/>
    </row>
    <row r="3820" spans="35:68" x14ac:dyDescent="0.25">
      <c r="AI3820" s="49"/>
      <c r="AJ3820" s="78"/>
      <c r="AK3820" s="79"/>
      <c r="AL3820" s="79"/>
      <c r="AM3820" s="79"/>
      <c r="AN3820" s="79"/>
      <c r="AO3820" s="79"/>
      <c r="AP3820" s="79"/>
      <c r="AQ3820" s="79"/>
      <c r="AR3820" s="78"/>
      <c r="AS3820" s="78"/>
      <c r="AT3820" s="79"/>
      <c r="AU3820" s="79"/>
      <c r="AV3820" s="79"/>
      <c r="AW3820" s="79"/>
      <c r="AX3820" s="79"/>
      <c r="AZ3820" s="81"/>
      <c r="BB3820" s="5"/>
      <c r="BC3820" s="5"/>
      <c r="BD3820" s="5"/>
      <c r="BE3820" s="5"/>
      <c r="BF3820" s="5"/>
      <c r="BG3820" s="5"/>
      <c r="BH3820" s="5"/>
      <c r="BI3820" s="5"/>
      <c r="BJ3820" s="5"/>
      <c r="BK3820" s="5"/>
      <c r="BL3820" s="5"/>
      <c r="BM3820" s="5"/>
      <c r="BN3820" s="5"/>
      <c r="BO3820" s="5"/>
      <c r="BP3820" s="5"/>
    </row>
    <row r="3821" spans="35:68" x14ac:dyDescent="0.25">
      <c r="AI3821" s="49"/>
      <c r="AJ3821" s="78"/>
      <c r="AK3821" s="79"/>
      <c r="AL3821" s="79"/>
      <c r="AM3821" s="79"/>
      <c r="AN3821" s="79"/>
      <c r="AO3821" s="79"/>
      <c r="AP3821" s="79"/>
      <c r="AQ3821" s="79"/>
      <c r="AR3821" s="78"/>
      <c r="AS3821" s="78"/>
      <c r="AT3821" s="79"/>
      <c r="AU3821" s="79"/>
      <c r="AV3821" s="79"/>
      <c r="AW3821" s="79"/>
      <c r="AX3821" s="79"/>
      <c r="AZ3821" s="81"/>
      <c r="BB3821" s="5"/>
      <c r="BC3821" s="5"/>
      <c r="BD3821" s="5"/>
      <c r="BE3821" s="5"/>
      <c r="BF3821" s="5"/>
      <c r="BG3821" s="5"/>
      <c r="BH3821" s="5"/>
      <c r="BI3821" s="5"/>
      <c r="BJ3821" s="5"/>
      <c r="BK3821" s="5"/>
      <c r="BL3821" s="5"/>
      <c r="BM3821" s="5"/>
      <c r="BN3821" s="5"/>
      <c r="BO3821" s="5"/>
      <c r="BP3821" s="5"/>
    </row>
    <row r="3822" spans="35:68" x14ac:dyDescent="0.25">
      <c r="AI3822" s="49"/>
      <c r="AJ3822" s="78"/>
      <c r="AK3822" s="79"/>
      <c r="AL3822" s="79"/>
      <c r="AM3822" s="79"/>
      <c r="AN3822" s="79"/>
      <c r="AO3822" s="79"/>
      <c r="AP3822" s="79"/>
      <c r="AQ3822" s="79"/>
      <c r="AR3822" s="78"/>
      <c r="AS3822" s="78"/>
      <c r="AT3822" s="79"/>
      <c r="AU3822" s="79"/>
      <c r="AV3822" s="79"/>
      <c r="AW3822" s="79"/>
      <c r="AX3822" s="79"/>
      <c r="AZ3822" s="81"/>
      <c r="BB3822" s="5"/>
      <c r="BC3822" s="5"/>
      <c r="BD3822" s="5"/>
      <c r="BE3822" s="5"/>
      <c r="BF3822" s="5"/>
      <c r="BG3822" s="5"/>
      <c r="BH3822" s="5"/>
      <c r="BI3822" s="5"/>
      <c r="BJ3822" s="5"/>
      <c r="BK3822" s="5"/>
      <c r="BL3822" s="5"/>
      <c r="BM3822" s="5"/>
      <c r="BN3822" s="5"/>
      <c r="BO3822" s="5"/>
      <c r="BP3822" s="5"/>
    </row>
    <row r="3823" spans="35:68" x14ac:dyDescent="0.25">
      <c r="AI3823" s="49"/>
      <c r="AJ3823" s="78"/>
      <c r="AK3823" s="79"/>
      <c r="AL3823" s="79"/>
      <c r="AM3823" s="79"/>
      <c r="AN3823" s="79"/>
      <c r="AO3823" s="79"/>
      <c r="AP3823" s="79"/>
      <c r="AQ3823" s="79"/>
      <c r="AR3823" s="78"/>
      <c r="AS3823" s="78"/>
      <c r="AT3823" s="79"/>
      <c r="AU3823" s="79"/>
      <c r="AV3823" s="79"/>
      <c r="AW3823" s="79"/>
      <c r="AX3823" s="79"/>
      <c r="AZ3823" s="81"/>
      <c r="BB3823" s="5"/>
      <c r="BC3823" s="5"/>
      <c r="BD3823" s="5"/>
      <c r="BE3823" s="5"/>
      <c r="BF3823" s="5"/>
      <c r="BG3823" s="5"/>
      <c r="BH3823" s="5"/>
      <c r="BI3823" s="5"/>
      <c r="BJ3823" s="5"/>
      <c r="BK3823" s="5"/>
      <c r="BL3823" s="5"/>
      <c r="BM3823" s="5"/>
      <c r="BN3823" s="5"/>
      <c r="BO3823" s="5"/>
      <c r="BP3823" s="5"/>
    </row>
    <row r="3824" spans="35:68" x14ac:dyDescent="0.25">
      <c r="AI3824" s="49"/>
      <c r="AJ3824" s="78"/>
      <c r="AK3824" s="79"/>
      <c r="AL3824" s="79"/>
      <c r="AM3824" s="79"/>
      <c r="AN3824" s="79"/>
      <c r="AO3824" s="79"/>
      <c r="AP3824" s="79"/>
      <c r="AQ3824" s="79"/>
      <c r="AR3824" s="78"/>
      <c r="AS3824" s="78"/>
      <c r="AT3824" s="79"/>
      <c r="AU3824" s="79"/>
      <c r="AV3824" s="79"/>
      <c r="AW3824" s="79"/>
      <c r="AX3824" s="79"/>
      <c r="AZ3824" s="81"/>
      <c r="BB3824" s="5"/>
      <c r="BC3824" s="5"/>
      <c r="BD3824" s="5"/>
      <c r="BE3824" s="5"/>
      <c r="BF3824" s="5"/>
      <c r="BG3824" s="5"/>
      <c r="BH3824" s="5"/>
      <c r="BI3824" s="5"/>
      <c r="BJ3824" s="5"/>
      <c r="BK3824" s="5"/>
      <c r="BL3824" s="5"/>
      <c r="BM3824" s="5"/>
      <c r="BN3824" s="5"/>
      <c r="BO3824" s="5"/>
      <c r="BP3824" s="5"/>
    </row>
    <row r="3825" spans="35:68" x14ac:dyDescent="0.25">
      <c r="AI3825" s="49"/>
      <c r="AJ3825" s="78"/>
      <c r="AK3825" s="79"/>
      <c r="AL3825" s="79"/>
      <c r="AM3825" s="79"/>
      <c r="AN3825" s="79"/>
      <c r="AO3825" s="79"/>
      <c r="AP3825" s="79"/>
      <c r="AQ3825" s="79"/>
      <c r="AR3825" s="78"/>
      <c r="AS3825" s="78"/>
      <c r="AT3825" s="79"/>
      <c r="AU3825" s="79"/>
      <c r="AV3825" s="79"/>
      <c r="AW3825" s="79"/>
      <c r="AX3825" s="79"/>
      <c r="AZ3825" s="81"/>
      <c r="BB3825" s="5"/>
      <c r="BC3825" s="5"/>
      <c r="BD3825" s="5"/>
      <c r="BE3825" s="5"/>
      <c r="BF3825" s="5"/>
      <c r="BG3825" s="5"/>
      <c r="BH3825" s="5"/>
      <c r="BI3825" s="5"/>
      <c r="BJ3825" s="5"/>
      <c r="BK3825" s="5"/>
      <c r="BL3825" s="5"/>
      <c r="BM3825" s="5"/>
      <c r="BN3825" s="5"/>
      <c r="BO3825" s="5"/>
      <c r="BP3825" s="5"/>
    </row>
    <row r="3826" spans="35:68" x14ac:dyDescent="0.25">
      <c r="AI3826" s="49"/>
      <c r="AJ3826" s="78"/>
      <c r="AK3826" s="79"/>
      <c r="AL3826" s="79"/>
      <c r="AM3826" s="79"/>
      <c r="AN3826" s="79"/>
      <c r="AO3826" s="79"/>
      <c r="AP3826" s="79"/>
      <c r="AQ3826" s="79"/>
      <c r="AR3826" s="78"/>
      <c r="AS3826" s="78"/>
      <c r="AT3826" s="79"/>
      <c r="AU3826" s="79"/>
      <c r="AV3826" s="79"/>
      <c r="AW3826" s="79"/>
      <c r="AX3826" s="79"/>
      <c r="AZ3826" s="81"/>
      <c r="BB3826" s="5"/>
      <c r="BC3826" s="5"/>
      <c r="BD3826" s="5"/>
      <c r="BE3826" s="5"/>
      <c r="BF3826" s="5"/>
      <c r="BG3826" s="5"/>
      <c r="BH3826" s="5"/>
      <c r="BI3826" s="5"/>
      <c r="BJ3826" s="5"/>
      <c r="BK3826" s="5"/>
      <c r="BL3826" s="5"/>
      <c r="BM3826" s="5"/>
      <c r="BN3826" s="5"/>
      <c r="BO3826" s="5"/>
      <c r="BP3826" s="5"/>
    </row>
    <row r="3827" spans="35:68" x14ac:dyDescent="0.25">
      <c r="AI3827" s="49"/>
      <c r="AJ3827" s="78"/>
      <c r="AK3827" s="79"/>
      <c r="AL3827" s="79"/>
      <c r="AM3827" s="79"/>
      <c r="AN3827" s="79"/>
      <c r="AO3827" s="79"/>
      <c r="AP3827" s="79"/>
      <c r="AQ3827" s="79"/>
      <c r="AR3827" s="78"/>
      <c r="AS3827" s="78"/>
      <c r="AT3827" s="79"/>
      <c r="AU3827" s="79"/>
      <c r="AV3827" s="79"/>
      <c r="AW3827" s="79"/>
      <c r="AX3827" s="79"/>
      <c r="AZ3827" s="81"/>
      <c r="BB3827" s="5"/>
      <c r="BC3827" s="5"/>
      <c r="BD3827" s="5"/>
      <c r="BE3827" s="5"/>
      <c r="BF3827" s="5"/>
      <c r="BG3827" s="5"/>
      <c r="BH3827" s="5"/>
      <c r="BI3827" s="5"/>
      <c r="BJ3827" s="5"/>
      <c r="BK3827" s="5"/>
      <c r="BL3827" s="5"/>
      <c r="BM3827" s="5"/>
      <c r="BN3827" s="5"/>
      <c r="BO3827" s="5"/>
      <c r="BP3827" s="5"/>
    </row>
    <row r="3828" spans="35:68" x14ac:dyDescent="0.25">
      <c r="AI3828" s="49"/>
      <c r="AJ3828" s="78"/>
      <c r="AK3828" s="79"/>
      <c r="AL3828" s="79"/>
      <c r="AM3828" s="79"/>
      <c r="AN3828" s="79"/>
      <c r="AO3828" s="79"/>
      <c r="AP3828" s="79"/>
      <c r="AQ3828" s="79"/>
      <c r="AR3828" s="78"/>
      <c r="AS3828" s="78"/>
      <c r="AT3828" s="79"/>
      <c r="AU3828" s="79"/>
      <c r="AV3828" s="79"/>
      <c r="AW3828" s="79"/>
      <c r="AX3828" s="79"/>
      <c r="AZ3828" s="81"/>
      <c r="BB3828" s="5"/>
      <c r="BC3828" s="5"/>
      <c r="BD3828" s="5"/>
      <c r="BE3828" s="5"/>
      <c r="BF3828" s="5"/>
      <c r="BG3828" s="5"/>
      <c r="BH3828" s="5"/>
      <c r="BI3828" s="5"/>
      <c r="BJ3828" s="5"/>
      <c r="BK3828" s="5"/>
      <c r="BL3828" s="5"/>
      <c r="BM3828" s="5"/>
      <c r="BN3828" s="5"/>
      <c r="BO3828" s="5"/>
      <c r="BP3828" s="5"/>
    </row>
    <row r="3829" spans="35:68" x14ac:dyDescent="0.25">
      <c r="AI3829" s="49"/>
      <c r="AJ3829" s="78"/>
      <c r="AK3829" s="79"/>
      <c r="AL3829" s="79"/>
      <c r="AM3829" s="79"/>
      <c r="AN3829" s="79"/>
      <c r="AO3829" s="79"/>
      <c r="AP3829" s="79"/>
      <c r="AQ3829" s="79"/>
      <c r="AR3829" s="78"/>
      <c r="AS3829" s="78"/>
      <c r="AT3829" s="79"/>
      <c r="AU3829" s="79"/>
      <c r="AV3829" s="79"/>
      <c r="AW3829" s="79"/>
      <c r="AX3829" s="79"/>
      <c r="AZ3829" s="81"/>
      <c r="BB3829" s="5"/>
      <c r="BC3829" s="5"/>
      <c r="BD3829" s="5"/>
      <c r="BE3829" s="5"/>
      <c r="BF3829" s="5"/>
      <c r="BG3829" s="5"/>
      <c r="BH3829" s="5"/>
      <c r="BI3829" s="5"/>
      <c r="BJ3829" s="5"/>
      <c r="BK3829" s="5"/>
      <c r="BL3829" s="5"/>
      <c r="BM3829" s="5"/>
      <c r="BN3829" s="5"/>
      <c r="BO3829" s="5"/>
      <c r="BP3829" s="5"/>
    </row>
    <row r="3830" spans="35:68" x14ac:dyDescent="0.25">
      <c r="AI3830" s="49"/>
      <c r="AJ3830" s="78"/>
      <c r="AK3830" s="79"/>
      <c r="AL3830" s="79"/>
      <c r="AM3830" s="79"/>
      <c r="AN3830" s="79"/>
      <c r="AO3830" s="79"/>
      <c r="AP3830" s="79"/>
      <c r="AQ3830" s="79"/>
      <c r="AR3830" s="78"/>
      <c r="AS3830" s="78"/>
      <c r="AT3830" s="79"/>
      <c r="AU3830" s="79"/>
      <c r="AV3830" s="79"/>
      <c r="AW3830" s="79"/>
      <c r="AX3830" s="79"/>
      <c r="AZ3830" s="81"/>
      <c r="BB3830" s="5"/>
      <c r="BC3830" s="5"/>
      <c r="BD3830" s="5"/>
      <c r="BE3830" s="5"/>
      <c r="BF3830" s="5"/>
      <c r="BG3830" s="5"/>
      <c r="BH3830" s="5"/>
      <c r="BI3830" s="5"/>
      <c r="BJ3830" s="5"/>
      <c r="BK3830" s="5"/>
      <c r="BL3830" s="5"/>
      <c r="BM3830" s="5"/>
      <c r="BN3830" s="5"/>
      <c r="BO3830" s="5"/>
      <c r="BP3830" s="5"/>
    </row>
    <row r="3831" spans="35:68" x14ac:dyDescent="0.25">
      <c r="AI3831" s="49"/>
      <c r="AJ3831" s="78"/>
      <c r="AK3831" s="79"/>
      <c r="AL3831" s="79"/>
      <c r="AM3831" s="79"/>
      <c r="AN3831" s="79"/>
      <c r="AO3831" s="79"/>
      <c r="AP3831" s="79"/>
      <c r="AQ3831" s="79"/>
      <c r="AR3831" s="78"/>
      <c r="AS3831" s="78"/>
      <c r="AT3831" s="79"/>
      <c r="AU3831" s="79"/>
      <c r="AV3831" s="79"/>
      <c r="AW3831" s="79"/>
      <c r="AX3831" s="79"/>
      <c r="AZ3831" s="81"/>
      <c r="BB3831" s="5"/>
      <c r="BC3831" s="5"/>
      <c r="BD3831" s="5"/>
      <c r="BE3831" s="5"/>
      <c r="BF3831" s="5"/>
      <c r="BG3831" s="5"/>
      <c r="BH3831" s="5"/>
      <c r="BI3831" s="5"/>
      <c r="BJ3831" s="5"/>
      <c r="BK3831" s="5"/>
      <c r="BL3831" s="5"/>
      <c r="BM3831" s="5"/>
      <c r="BN3831" s="5"/>
      <c r="BO3831" s="5"/>
      <c r="BP3831" s="5"/>
    </row>
    <row r="3832" spans="35:68" x14ac:dyDescent="0.25">
      <c r="AI3832" s="49"/>
      <c r="AJ3832" s="78"/>
      <c r="AK3832" s="79"/>
      <c r="AL3832" s="79"/>
      <c r="AM3832" s="79"/>
      <c r="AN3832" s="79"/>
      <c r="AO3832" s="79"/>
      <c r="AP3832" s="79"/>
      <c r="AQ3832" s="79"/>
      <c r="AR3832" s="78"/>
      <c r="AS3832" s="78"/>
      <c r="AT3832" s="79"/>
      <c r="AU3832" s="79"/>
      <c r="AV3832" s="79"/>
      <c r="AW3832" s="79"/>
      <c r="AX3832" s="79"/>
      <c r="AZ3832" s="81"/>
      <c r="BB3832" s="5"/>
      <c r="BC3832" s="5"/>
      <c r="BD3832" s="5"/>
      <c r="BE3832" s="5"/>
      <c r="BF3832" s="5"/>
      <c r="BG3832" s="5"/>
      <c r="BH3832" s="5"/>
      <c r="BI3832" s="5"/>
      <c r="BJ3832" s="5"/>
      <c r="BK3832" s="5"/>
      <c r="BL3832" s="5"/>
      <c r="BM3832" s="5"/>
      <c r="BN3832" s="5"/>
      <c r="BO3832" s="5"/>
      <c r="BP3832" s="5"/>
    </row>
    <row r="3833" spans="35:68" x14ac:dyDescent="0.25">
      <c r="AI3833" s="49"/>
      <c r="AJ3833" s="78"/>
      <c r="AK3833" s="79"/>
      <c r="AL3833" s="79"/>
      <c r="AM3833" s="79"/>
      <c r="AN3833" s="79"/>
      <c r="AO3833" s="79"/>
      <c r="AP3833" s="79"/>
      <c r="AQ3833" s="79"/>
      <c r="AR3833" s="78"/>
      <c r="AS3833" s="78"/>
      <c r="AT3833" s="79"/>
      <c r="AU3833" s="79"/>
      <c r="AV3833" s="79"/>
      <c r="AW3833" s="79"/>
      <c r="AX3833" s="79"/>
      <c r="AZ3833" s="81"/>
      <c r="BB3833" s="5"/>
      <c r="BC3833" s="5"/>
      <c r="BD3833" s="5"/>
      <c r="BE3833" s="5"/>
      <c r="BF3833" s="5"/>
      <c r="BG3833" s="5"/>
      <c r="BH3833" s="5"/>
      <c r="BI3833" s="5"/>
      <c r="BJ3833" s="5"/>
      <c r="BK3833" s="5"/>
      <c r="BL3833" s="5"/>
      <c r="BM3833" s="5"/>
      <c r="BN3833" s="5"/>
      <c r="BO3833" s="5"/>
      <c r="BP3833" s="5"/>
    </row>
    <row r="3834" spans="35:68" x14ac:dyDescent="0.25">
      <c r="AI3834" s="49"/>
      <c r="AJ3834" s="78"/>
      <c r="AK3834" s="79"/>
      <c r="AL3834" s="79"/>
      <c r="AM3834" s="79"/>
      <c r="AN3834" s="79"/>
      <c r="AO3834" s="79"/>
      <c r="AP3834" s="79"/>
      <c r="AQ3834" s="79"/>
      <c r="AR3834" s="78"/>
      <c r="AS3834" s="78"/>
      <c r="AT3834" s="79"/>
      <c r="AU3834" s="79"/>
      <c r="AV3834" s="79"/>
      <c r="AW3834" s="79"/>
      <c r="AX3834" s="79"/>
      <c r="AZ3834" s="81"/>
      <c r="BB3834" s="5"/>
      <c r="BC3834" s="5"/>
      <c r="BD3834" s="5"/>
      <c r="BE3834" s="5"/>
      <c r="BF3834" s="5"/>
      <c r="BG3834" s="5"/>
      <c r="BH3834" s="5"/>
      <c r="BI3834" s="5"/>
      <c r="BJ3834" s="5"/>
      <c r="BK3834" s="5"/>
      <c r="BL3834" s="5"/>
      <c r="BM3834" s="5"/>
      <c r="BN3834" s="5"/>
      <c r="BO3834" s="5"/>
      <c r="BP3834" s="5"/>
    </row>
    <row r="3835" spans="35:68" x14ac:dyDescent="0.25">
      <c r="AI3835" s="49"/>
      <c r="AJ3835" s="78"/>
      <c r="AK3835" s="79"/>
      <c r="AL3835" s="79"/>
      <c r="AM3835" s="79"/>
      <c r="AN3835" s="79"/>
      <c r="AO3835" s="79"/>
      <c r="AP3835" s="79"/>
      <c r="AQ3835" s="79"/>
      <c r="AR3835" s="78"/>
      <c r="AS3835" s="78"/>
      <c r="AT3835" s="79"/>
      <c r="AU3835" s="79"/>
      <c r="AV3835" s="79"/>
      <c r="AW3835" s="79"/>
      <c r="AX3835" s="79"/>
      <c r="AZ3835" s="81"/>
      <c r="BB3835" s="5"/>
      <c r="BC3835" s="5"/>
      <c r="BD3835" s="5"/>
      <c r="BE3835" s="5"/>
      <c r="BF3835" s="5"/>
      <c r="BG3835" s="5"/>
      <c r="BH3835" s="5"/>
      <c r="BI3835" s="5"/>
      <c r="BJ3835" s="5"/>
      <c r="BK3835" s="5"/>
      <c r="BL3835" s="5"/>
      <c r="BM3835" s="5"/>
      <c r="BN3835" s="5"/>
      <c r="BO3835" s="5"/>
      <c r="BP3835" s="5"/>
    </row>
    <row r="3836" spans="35:68" x14ac:dyDescent="0.25">
      <c r="AI3836" s="49"/>
      <c r="AJ3836" s="78"/>
      <c r="AK3836" s="79"/>
      <c r="AL3836" s="79"/>
      <c r="AM3836" s="79"/>
      <c r="AN3836" s="79"/>
      <c r="AO3836" s="79"/>
      <c r="AP3836" s="79"/>
      <c r="AQ3836" s="79"/>
      <c r="AR3836" s="78"/>
      <c r="AS3836" s="78"/>
      <c r="AT3836" s="79"/>
      <c r="AU3836" s="79"/>
      <c r="AV3836" s="79"/>
      <c r="AW3836" s="79"/>
      <c r="AX3836" s="79"/>
      <c r="AZ3836" s="81"/>
      <c r="BB3836" s="5"/>
      <c r="BC3836" s="5"/>
      <c r="BD3836" s="5"/>
      <c r="BE3836" s="5"/>
      <c r="BF3836" s="5"/>
      <c r="BG3836" s="5"/>
      <c r="BH3836" s="5"/>
      <c r="BI3836" s="5"/>
      <c r="BJ3836" s="5"/>
      <c r="BK3836" s="5"/>
      <c r="BL3836" s="5"/>
      <c r="BM3836" s="5"/>
      <c r="BN3836" s="5"/>
      <c r="BO3836" s="5"/>
      <c r="BP3836" s="5"/>
    </row>
    <row r="3837" spans="35:68" x14ac:dyDescent="0.25">
      <c r="AI3837" s="49"/>
      <c r="AJ3837" s="78"/>
      <c r="AK3837" s="79"/>
      <c r="AL3837" s="79"/>
      <c r="AM3837" s="79"/>
      <c r="AN3837" s="79"/>
      <c r="AO3837" s="79"/>
      <c r="AP3837" s="79"/>
      <c r="AQ3837" s="79"/>
      <c r="AR3837" s="78"/>
      <c r="AS3837" s="78"/>
      <c r="AT3837" s="79"/>
      <c r="AU3837" s="79"/>
      <c r="AV3837" s="79"/>
      <c r="AW3837" s="79"/>
      <c r="AX3837" s="79"/>
      <c r="AZ3837" s="81"/>
      <c r="BB3837" s="5"/>
      <c r="BC3837" s="5"/>
      <c r="BD3837" s="5"/>
      <c r="BE3837" s="5"/>
      <c r="BF3837" s="5"/>
      <c r="BG3837" s="5"/>
      <c r="BH3837" s="5"/>
      <c r="BI3837" s="5"/>
      <c r="BJ3837" s="5"/>
      <c r="BK3837" s="5"/>
      <c r="BL3837" s="5"/>
      <c r="BM3837" s="5"/>
      <c r="BN3837" s="5"/>
      <c r="BO3837" s="5"/>
      <c r="BP3837" s="5"/>
    </row>
    <row r="3838" spans="35:68" x14ac:dyDescent="0.25">
      <c r="AI3838" s="49"/>
      <c r="AJ3838" s="78"/>
      <c r="AK3838" s="79"/>
      <c r="AL3838" s="79"/>
      <c r="AM3838" s="79"/>
      <c r="AN3838" s="79"/>
      <c r="AO3838" s="79"/>
      <c r="AP3838" s="79"/>
      <c r="AQ3838" s="79"/>
      <c r="AR3838" s="78"/>
      <c r="AS3838" s="78"/>
      <c r="AT3838" s="79"/>
      <c r="AU3838" s="79"/>
      <c r="AV3838" s="79"/>
      <c r="AW3838" s="79"/>
      <c r="AX3838" s="79"/>
      <c r="AZ3838" s="81"/>
      <c r="BB3838" s="5"/>
      <c r="BC3838" s="5"/>
      <c r="BD3838" s="5"/>
      <c r="BE3838" s="5"/>
      <c r="BF3838" s="5"/>
      <c r="BG3838" s="5"/>
      <c r="BH3838" s="5"/>
      <c r="BI3838" s="5"/>
      <c r="BJ3838" s="5"/>
      <c r="BK3838" s="5"/>
      <c r="BL3838" s="5"/>
      <c r="BM3838" s="5"/>
      <c r="BN3838" s="5"/>
      <c r="BO3838" s="5"/>
      <c r="BP3838" s="5"/>
    </row>
    <row r="3839" spans="35:68" x14ac:dyDescent="0.25">
      <c r="AI3839" s="49"/>
      <c r="AJ3839" s="78"/>
      <c r="AK3839" s="79"/>
      <c r="AL3839" s="79"/>
      <c r="AM3839" s="79"/>
      <c r="AN3839" s="79"/>
      <c r="AO3839" s="79"/>
      <c r="AP3839" s="79"/>
      <c r="AQ3839" s="79"/>
      <c r="AR3839" s="78"/>
      <c r="AS3839" s="78"/>
      <c r="AT3839" s="79"/>
      <c r="AU3839" s="79"/>
      <c r="AV3839" s="79"/>
      <c r="AW3839" s="79"/>
      <c r="AX3839" s="79"/>
      <c r="AZ3839" s="81"/>
      <c r="BB3839" s="5"/>
      <c r="BC3839" s="5"/>
      <c r="BD3839" s="5"/>
      <c r="BE3839" s="5"/>
      <c r="BF3839" s="5"/>
      <c r="BG3839" s="5"/>
      <c r="BH3839" s="5"/>
      <c r="BI3839" s="5"/>
      <c r="BJ3839" s="5"/>
      <c r="BK3839" s="5"/>
      <c r="BL3839" s="5"/>
      <c r="BM3839" s="5"/>
      <c r="BN3839" s="5"/>
      <c r="BO3839" s="5"/>
      <c r="BP3839" s="5"/>
    </row>
    <row r="3840" spans="35:68" x14ac:dyDescent="0.25">
      <c r="AI3840" s="49"/>
      <c r="AJ3840" s="78"/>
      <c r="AK3840" s="79"/>
      <c r="AL3840" s="79"/>
      <c r="AM3840" s="79"/>
      <c r="AN3840" s="79"/>
      <c r="AO3840" s="79"/>
      <c r="AP3840" s="79"/>
      <c r="AQ3840" s="79"/>
      <c r="AR3840" s="78"/>
      <c r="AS3840" s="78"/>
      <c r="AT3840" s="79"/>
      <c r="AU3840" s="79"/>
      <c r="AV3840" s="79"/>
      <c r="AW3840" s="79"/>
      <c r="AX3840" s="79"/>
      <c r="AZ3840" s="81"/>
      <c r="BB3840" s="5"/>
      <c r="BC3840" s="5"/>
      <c r="BD3840" s="5"/>
      <c r="BE3840" s="5"/>
      <c r="BF3840" s="5"/>
      <c r="BG3840" s="5"/>
      <c r="BH3840" s="5"/>
      <c r="BI3840" s="5"/>
      <c r="BJ3840" s="5"/>
      <c r="BK3840" s="5"/>
      <c r="BL3840" s="5"/>
      <c r="BM3840" s="5"/>
      <c r="BN3840" s="5"/>
      <c r="BO3840" s="5"/>
      <c r="BP3840" s="5"/>
    </row>
    <row r="3841" spans="35:68" x14ac:dyDescent="0.25">
      <c r="AI3841" s="49"/>
      <c r="AJ3841" s="78"/>
      <c r="AK3841" s="79"/>
      <c r="AL3841" s="79"/>
      <c r="AM3841" s="79"/>
      <c r="AN3841" s="79"/>
      <c r="AO3841" s="79"/>
      <c r="AP3841" s="79"/>
      <c r="AQ3841" s="79"/>
      <c r="AR3841" s="78"/>
      <c r="AS3841" s="78"/>
      <c r="AT3841" s="79"/>
      <c r="AU3841" s="79"/>
      <c r="AV3841" s="79"/>
      <c r="AW3841" s="79"/>
      <c r="AX3841" s="79"/>
      <c r="AZ3841" s="81"/>
      <c r="BB3841" s="5"/>
      <c r="BC3841" s="5"/>
      <c r="BD3841" s="5"/>
      <c r="BE3841" s="5"/>
      <c r="BF3841" s="5"/>
      <c r="BG3841" s="5"/>
      <c r="BH3841" s="5"/>
      <c r="BI3841" s="5"/>
      <c r="BJ3841" s="5"/>
      <c r="BK3841" s="5"/>
      <c r="BL3841" s="5"/>
      <c r="BM3841" s="5"/>
      <c r="BN3841" s="5"/>
      <c r="BO3841" s="5"/>
      <c r="BP3841" s="5"/>
    </row>
    <row r="3842" spans="35:68" x14ac:dyDescent="0.25">
      <c r="AI3842" s="49"/>
      <c r="AJ3842" s="78"/>
      <c r="AK3842" s="79"/>
      <c r="AL3842" s="79"/>
      <c r="AM3842" s="79"/>
      <c r="AN3842" s="79"/>
      <c r="AO3842" s="79"/>
      <c r="AP3842" s="79"/>
      <c r="AQ3842" s="79"/>
      <c r="AR3842" s="78"/>
      <c r="AS3842" s="78"/>
      <c r="AT3842" s="79"/>
      <c r="AU3842" s="79"/>
      <c r="AV3842" s="79"/>
      <c r="AW3842" s="79"/>
      <c r="AX3842" s="79"/>
      <c r="AZ3842" s="81"/>
      <c r="BB3842" s="5"/>
      <c r="BC3842" s="5"/>
      <c r="BD3842" s="5"/>
      <c r="BE3842" s="5"/>
      <c r="BF3842" s="5"/>
      <c r="BG3842" s="5"/>
      <c r="BH3842" s="5"/>
      <c r="BI3842" s="5"/>
      <c r="BJ3842" s="5"/>
      <c r="BK3842" s="5"/>
      <c r="BL3842" s="5"/>
      <c r="BM3842" s="5"/>
      <c r="BN3842" s="5"/>
      <c r="BO3842" s="5"/>
      <c r="BP3842" s="5"/>
    </row>
    <row r="3843" spans="35:68" x14ac:dyDescent="0.25">
      <c r="AI3843" s="49"/>
      <c r="AJ3843" s="78"/>
      <c r="AK3843" s="79"/>
      <c r="AL3843" s="79"/>
      <c r="AM3843" s="79"/>
      <c r="AN3843" s="79"/>
      <c r="AO3843" s="79"/>
      <c r="AP3843" s="79"/>
      <c r="AQ3843" s="79"/>
      <c r="AR3843" s="78"/>
      <c r="AS3843" s="78"/>
      <c r="AT3843" s="79"/>
      <c r="AU3843" s="79"/>
      <c r="AV3843" s="79"/>
      <c r="AW3843" s="79"/>
      <c r="AX3843" s="79"/>
      <c r="AZ3843" s="81"/>
      <c r="BB3843" s="5"/>
      <c r="BC3843" s="5"/>
      <c r="BD3843" s="5"/>
      <c r="BE3843" s="5"/>
      <c r="BF3843" s="5"/>
      <c r="BG3843" s="5"/>
      <c r="BH3843" s="5"/>
      <c r="BI3843" s="5"/>
      <c r="BJ3843" s="5"/>
      <c r="BK3843" s="5"/>
      <c r="BL3843" s="5"/>
      <c r="BM3843" s="5"/>
      <c r="BN3843" s="5"/>
      <c r="BO3843" s="5"/>
      <c r="BP3843" s="5"/>
    </row>
    <row r="3844" spans="35:68" x14ac:dyDescent="0.25">
      <c r="AI3844" s="49"/>
      <c r="AJ3844" s="78"/>
      <c r="AK3844" s="79"/>
      <c r="AL3844" s="79"/>
      <c r="AM3844" s="79"/>
      <c r="AN3844" s="79"/>
      <c r="AO3844" s="79"/>
      <c r="AP3844" s="79"/>
      <c r="AQ3844" s="79"/>
      <c r="AR3844" s="78"/>
      <c r="AS3844" s="78"/>
      <c r="AT3844" s="79"/>
      <c r="AU3844" s="79"/>
      <c r="AV3844" s="79"/>
      <c r="AW3844" s="79"/>
      <c r="AX3844" s="79"/>
      <c r="AZ3844" s="81"/>
      <c r="BB3844" s="5"/>
      <c r="BC3844" s="5"/>
      <c r="BD3844" s="5"/>
      <c r="BE3844" s="5"/>
      <c r="BF3844" s="5"/>
      <c r="BG3844" s="5"/>
      <c r="BH3844" s="5"/>
      <c r="BI3844" s="5"/>
      <c r="BJ3844" s="5"/>
      <c r="BK3844" s="5"/>
      <c r="BL3844" s="5"/>
      <c r="BM3844" s="5"/>
      <c r="BN3844" s="5"/>
      <c r="BO3844" s="5"/>
      <c r="BP3844" s="5"/>
    </row>
    <row r="3845" spans="35:68" x14ac:dyDescent="0.25">
      <c r="AI3845" s="49"/>
      <c r="AJ3845" s="78"/>
      <c r="AK3845" s="79"/>
      <c r="AL3845" s="79"/>
      <c r="AM3845" s="79"/>
      <c r="AN3845" s="79"/>
      <c r="AO3845" s="79"/>
      <c r="AP3845" s="79"/>
      <c r="AQ3845" s="79"/>
      <c r="AR3845" s="78"/>
      <c r="AS3845" s="78"/>
      <c r="AT3845" s="79"/>
      <c r="AU3845" s="79"/>
      <c r="AV3845" s="79"/>
      <c r="AW3845" s="79"/>
      <c r="AX3845" s="79"/>
      <c r="AZ3845" s="81"/>
      <c r="BB3845" s="5"/>
      <c r="BC3845" s="5"/>
      <c r="BD3845" s="5"/>
      <c r="BE3845" s="5"/>
      <c r="BF3845" s="5"/>
      <c r="BG3845" s="5"/>
      <c r="BH3845" s="5"/>
      <c r="BI3845" s="5"/>
      <c r="BJ3845" s="5"/>
      <c r="BK3845" s="5"/>
      <c r="BL3845" s="5"/>
      <c r="BM3845" s="5"/>
      <c r="BN3845" s="5"/>
      <c r="BO3845" s="5"/>
      <c r="BP3845" s="5"/>
    </row>
    <row r="3846" spans="35:68" x14ac:dyDescent="0.25">
      <c r="AI3846" s="49"/>
      <c r="AJ3846" s="78"/>
      <c r="AK3846" s="79"/>
      <c r="AL3846" s="79"/>
      <c r="AM3846" s="79"/>
      <c r="AN3846" s="79"/>
      <c r="AO3846" s="79"/>
      <c r="AP3846" s="79"/>
      <c r="AQ3846" s="79"/>
      <c r="AR3846" s="78"/>
      <c r="AS3846" s="78"/>
      <c r="AT3846" s="79"/>
      <c r="AU3846" s="79"/>
      <c r="AV3846" s="79"/>
      <c r="AW3846" s="79"/>
      <c r="AX3846" s="79"/>
      <c r="AZ3846" s="81"/>
      <c r="BB3846" s="5"/>
      <c r="BC3846" s="5"/>
      <c r="BD3846" s="5"/>
      <c r="BE3846" s="5"/>
      <c r="BF3846" s="5"/>
      <c r="BG3846" s="5"/>
      <c r="BH3846" s="5"/>
      <c r="BI3846" s="5"/>
      <c r="BJ3846" s="5"/>
      <c r="BK3846" s="5"/>
      <c r="BL3846" s="5"/>
      <c r="BM3846" s="5"/>
      <c r="BN3846" s="5"/>
      <c r="BO3846" s="5"/>
      <c r="BP3846" s="5"/>
    </row>
    <row r="3847" spans="35:68" x14ac:dyDescent="0.25">
      <c r="AI3847" s="49"/>
      <c r="AJ3847" s="78"/>
      <c r="AK3847" s="79"/>
      <c r="AL3847" s="79"/>
      <c r="AM3847" s="79"/>
      <c r="AN3847" s="79"/>
      <c r="AO3847" s="79"/>
      <c r="AP3847" s="79"/>
      <c r="AQ3847" s="79"/>
      <c r="AR3847" s="78"/>
      <c r="AS3847" s="78"/>
      <c r="AT3847" s="79"/>
      <c r="AU3847" s="79"/>
      <c r="AV3847" s="79"/>
      <c r="AW3847" s="79"/>
      <c r="AX3847" s="79"/>
      <c r="AZ3847" s="81"/>
      <c r="BB3847" s="5"/>
      <c r="BC3847" s="5"/>
      <c r="BD3847" s="5"/>
      <c r="BE3847" s="5"/>
      <c r="BF3847" s="5"/>
      <c r="BG3847" s="5"/>
      <c r="BH3847" s="5"/>
      <c r="BI3847" s="5"/>
      <c r="BJ3847" s="5"/>
      <c r="BK3847" s="5"/>
      <c r="BL3847" s="5"/>
      <c r="BM3847" s="5"/>
      <c r="BN3847" s="5"/>
      <c r="BO3847" s="5"/>
      <c r="BP3847" s="5"/>
    </row>
    <row r="3848" spans="35:68" x14ac:dyDescent="0.25">
      <c r="AI3848" s="49"/>
      <c r="AJ3848" s="78"/>
      <c r="AK3848" s="79"/>
      <c r="AL3848" s="79"/>
      <c r="AM3848" s="79"/>
      <c r="AN3848" s="79"/>
      <c r="AO3848" s="79"/>
      <c r="AP3848" s="79"/>
      <c r="AQ3848" s="79"/>
      <c r="AR3848" s="78"/>
      <c r="AS3848" s="78"/>
      <c r="AT3848" s="79"/>
      <c r="AU3848" s="79"/>
      <c r="AV3848" s="79"/>
      <c r="AW3848" s="79"/>
      <c r="AX3848" s="79"/>
      <c r="AZ3848" s="81"/>
      <c r="BB3848" s="5"/>
      <c r="BC3848" s="5"/>
      <c r="BD3848" s="5"/>
      <c r="BE3848" s="5"/>
      <c r="BF3848" s="5"/>
      <c r="BG3848" s="5"/>
      <c r="BH3848" s="5"/>
      <c r="BI3848" s="5"/>
      <c r="BJ3848" s="5"/>
      <c r="BK3848" s="5"/>
      <c r="BL3848" s="5"/>
      <c r="BM3848" s="5"/>
      <c r="BN3848" s="5"/>
      <c r="BO3848" s="5"/>
      <c r="BP3848" s="5"/>
    </row>
    <row r="3849" spans="35:68" x14ac:dyDescent="0.25">
      <c r="AI3849" s="49"/>
      <c r="AJ3849" s="78"/>
      <c r="AK3849" s="79"/>
      <c r="AL3849" s="79"/>
      <c r="AM3849" s="79"/>
      <c r="AN3849" s="79"/>
      <c r="AO3849" s="79"/>
      <c r="AP3849" s="79"/>
      <c r="AQ3849" s="79"/>
      <c r="AR3849" s="78"/>
      <c r="AS3849" s="78"/>
      <c r="AT3849" s="79"/>
      <c r="AU3849" s="79"/>
      <c r="AV3849" s="79"/>
      <c r="AW3849" s="79"/>
      <c r="AX3849" s="79"/>
      <c r="AZ3849" s="81"/>
      <c r="BB3849" s="5"/>
      <c r="BC3849" s="5"/>
      <c r="BD3849" s="5"/>
      <c r="BE3849" s="5"/>
      <c r="BF3849" s="5"/>
      <c r="BG3849" s="5"/>
      <c r="BH3849" s="5"/>
      <c r="BI3849" s="5"/>
      <c r="BJ3849" s="5"/>
      <c r="BK3849" s="5"/>
      <c r="BL3849" s="5"/>
      <c r="BM3849" s="5"/>
      <c r="BN3849" s="5"/>
      <c r="BO3849" s="5"/>
      <c r="BP3849" s="5"/>
    </row>
    <row r="3850" spans="35:68" x14ac:dyDescent="0.25">
      <c r="AI3850" s="49"/>
      <c r="AJ3850" s="78"/>
      <c r="AK3850" s="79"/>
      <c r="AL3850" s="79"/>
      <c r="AM3850" s="79"/>
      <c r="AN3850" s="79"/>
      <c r="AO3850" s="79"/>
      <c r="AP3850" s="79"/>
      <c r="AQ3850" s="79"/>
      <c r="AR3850" s="78"/>
      <c r="AS3850" s="78"/>
      <c r="AT3850" s="79"/>
      <c r="AU3850" s="79"/>
      <c r="AV3850" s="79"/>
      <c r="AW3850" s="79"/>
      <c r="AX3850" s="79"/>
      <c r="AZ3850" s="81"/>
      <c r="BB3850" s="5"/>
      <c r="BC3850" s="5"/>
      <c r="BD3850" s="5"/>
      <c r="BE3850" s="5"/>
      <c r="BF3850" s="5"/>
      <c r="BG3850" s="5"/>
      <c r="BH3850" s="5"/>
      <c r="BI3850" s="5"/>
      <c r="BJ3850" s="5"/>
      <c r="BK3850" s="5"/>
      <c r="BL3850" s="5"/>
      <c r="BM3850" s="5"/>
      <c r="BN3850" s="5"/>
      <c r="BO3850" s="5"/>
      <c r="BP3850" s="5"/>
    </row>
    <row r="3851" spans="35:68" x14ac:dyDescent="0.25">
      <c r="AI3851" s="49"/>
      <c r="AJ3851" s="78"/>
      <c r="AK3851" s="79"/>
      <c r="AL3851" s="79"/>
      <c r="AM3851" s="79"/>
      <c r="AN3851" s="79"/>
      <c r="AO3851" s="79"/>
      <c r="AP3851" s="79"/>
      <c r="AQ3851" s="79"/>
      <c r="AR3851" s="78"/>
      <c r="AS3851" s="78"/>
      <c r="AT3851" s="79"/>
      <c r="AU3851" s="79"/>
      <c r="AV3851" s="79"/>
      <c r="AW3851" s="79"/>
      <c r="AX3851" s="79"/>
      <c r="AZ3851" s="81"/>
      <c r="BB3851" s="5"/>
      <c r="BC3851" s="5"/>
      <c r="BD3851" s="5"/>
      <c r="BE3851" s="5"/>
      <c r="BF3851" s="5"/>
      <c r="BG3851" s="5"/>
      <c r="BH3851" s="5"/>
      <c r="BI3851" s="5"/>
      <c r="BJ3851" s="5"/>
      <c r="BK3851" s="5"/>
      <c r="BL3851" s="5"/>
      <c r="BM3851" s="5"/>
      <c r="BN3851" s="5"/>
      <c r="BO3851" s="5"/>
      <c r="BP3851" s="5"/>
    </row>
    <row r="3852" spans="35:68" x14ac:dyDescent="0.25">
      <c r="AI3852" s="49"/>
      <c r="AJ3852" s="78"/>
      <c r="AK3852" s="79"/>
      <c r="AL3852" s="79"/>
      <c r="AM3852" s="79"/>
      <c r="AN3852" s="79"/>
      <c r="AO3852" s="79"/>
      <c r="AP3852" s="79"/>
      <c r="AQ3852" s="79"/>
      <c r="AR3852" s="78"/>
      <c r="AS3852" s="78"/>
      <c r="AT3852" s="79"/>
      <c r="AU3852" s="79"/>
      <c r="AV3852" s="79"/>
      <c r="AW3852" s="79"/>
      <c r="AX3852" s="79"/>
      <c r="AZ3852" s="81"/>
      <c r="BB3852" s="5"/>
      <c r="BC3852" s="5"/>
      <c r="BD3852" s="5"/>
      <c r="BE3852" s="5"/>
      <c r="BF3852" s="5"/>
      <c r="BG3852" s="5"/>
      <c r="BH3852" s="5"/>
      <c r="BI3852" s="5"/>
      <c r="BJ3852" s="5"/>
      <c r="BK3852" s="5"/>
      <c r="BL3852" s="5"/>
      <c r="BM3852" s="5"/>
      <c r="BN3852" s="5"/>
      <c r="BO3852" s="5"/>
      <c r="BP3852" s="5"/>
    </row>
    <row r="3853" spans="35:68" x14ac:dyDescent="0.25">
      <c r="AI3853" s="49"/>
      <c r="AJ3853" s="78"/>
      <c r="AK3853" s="79"/>
      <c r="AL3853" s="79"/>
      <c r="AM3853" s="79"/>
      <c r="AN3853" s="79"/>
      <c r="AO3853" s="79"/>
      <c r="AP3853" s="79"/>
      <c r="AQ3853" s="79"/>
      <c r="AR3853" s="78"/>
      <c r="AS3853" s="78"/>
      <c r="AT3853" s="79"/>
      <c r="AU3853" s="79"/>
      <c r="AV3853" s="79"/>
      <c r="AW3853" s="79"/>
      <c r="AX3853" s="79"/>
      <c r="AZ3853" s="81"/>
      <c r="BB3853" s="5"/>
      <c r="BC3853" s="5"/>
      <c r="BD3853" s="5"/>
      <c r="BE3853" s="5"/>
      <c r="BF3853" s="5"/>
      <c r="BG3853" s="5"/>
      <c r="BH3853" s="5"/>
      <c r="BI3853" s="5"/>
      <c r="BJ3853" s="5"/>
      <c r="BK3853" s="5"/>
      <c r="BL3853" s="5"/>
      <c r="BM3853" s="5"/>
      <c r="BN3853" s="5"/>
      <c r="BO3853" s="5"/>
      <c r="BP3853" s="5"/>
    </row>
    <row r="3854" spans="35:68" x14ac:dyDescent="0.25">
      <c r="AI3854" s="49"/>
      <c r="AJ3854" s="78"/>
      <c r="AK3854" s="79"/>
      <c r="AL3854" s="79"/>
      <c r="AM3854" s="79"/>
      <c r="AN3854" s="79"/>
      <c r="AO3854" s="79"/>
      <c r="AP3854" s="79"/>
      <c r="AQ3854" s="79"/>
      <c r="AR3854" s="78"/>
      <c r="AS3854" s="78"/>
      <c r="AT3854" s="79"/>
      <c r="AU3854" s="79"/>
      <c r="AV3854" s="79"/>
      <c r="AW3854" s="79"/>
      <c r="AX3854" s="79"/>
      <c r="AZ3854" s="81"/>
      <c r="BB3854" s="5"/>
      <c r="BC3854" s="5"/>
      <c r="BD3854" s="5"/>
      <c r="BE3854" s="5"/>
      <c r="BF3854" s="5"/>
      <c r="BG3854" s="5"/>
      <c r="BH3854" s="5"/>
      <c r="BI3854" s="5"/>
      <c r="BJ3854" s="5"/>
      <c r="BK3854" s="5"/>
      <c r="BL3854" s="5"/>
      <c r="BM3854" s="5"/>
      <c r="BN3854" s="5"/>
      <c r="BO3854" s="5"/>
      <c r="BP3854" s="5"/>
    </row>
    <row r="3855" spans="35:68" x14ac:dyDescent="0.25">
      <c r="AI3855" s="49"/>
      <c r="AJ3855" s="78"/>
      <c r="AK3855" s="79"/>
      <c r="AL3855" s="79"/>
      <c r="AM3855" s="79"/>
      <c r="AN3855" s="79"/>
      <c r="AO3855" s="79"/>
      <c r="AP3855" s="79"/>
      <c r="AQ3855" s="79"/>
      <c r="AR3855" s="78"/>
      <c r="AS3855" s="78"/>
      <c r="AT3855" s="79"/>
      <c r="AU3855" s="79"/>
      <c r="AV3855" s="79"/>
      <c r="AW3855" s="79"/>
      <c r="AX3855" s="79"/>
      <c r="AZ3855" s="81"/>
      <c r="BB3855" s="5"/>
      <c r="BC3855" s="5"/>
      <c r="BD3855" s="5"/>
      <c r="BE3855" s="5"/>
      <c r="BF3855" s="5"/>
      <c r="BG3855" s="5"/>
      <c r="BH3855" s="5"/>
      <c r="BI3855" s="5"/>
      <c r="BJ3855" s="5"/>
      <c r="BK3855" s="5"/>
      <c r="BL3855" s="5"/>
      <c r="BM3855" s="5"/>
      <c r="BN3855" s="5"/>
      <c r="BO3855" s="5"/>
      <c r="BP3855" s="5"/>
    </row>
    <row r="3856" spans="35:68" x14ac:dyDescent="0.25">
      <c r="AI3856" s="49"/>
      <c r="AJ3856" s="78"/>
      <c r="AK3856" s="79"/>
      <c r="AL3856" s="79"/>
      <c r="AM3856" s="79"/>
      <c r="AN3856" s="79"/>
      <c r="AO3856" s="79"/>
      <c r="AP3856" s="79"/>
      <c r="AQ3856" s="79"/>
      <c r="AR3856" s="78"/>
      <c r="AS3856" s="78"/>
      <c r="AT3856" s="79"/>
      <c r="AU3856" s="79"/>
      <c r="AV3856" s="79"/>
      <c r="AW3856" s="79"/>
      <c r="AX3856" s="79"/>
      <c r="AZ3856" s="81"/>
      <c r="BB3856" s="5"/>
      <c r="BC3856" s="5"/>
      <c r="BD3856" s="5"/>
      <c r="BE3856" s="5"/>
      <c r="BF3856" s="5"/>
      <c r="BG3856" s="5"/>
      <c r="BH3856" s="5"/>
      <c r="BI3856" s="5"/>
      <c r="BJ3856" s="5"/>
      <c r="BK3856" s="5"/>
      <c r="BL3856" s="5"/>
      <c r="BM3856" s="5"/>
      <c r="BN3856" s="5"/>
      <c r="BO3856" s="5"/>
      <c r="BP3856" s="5"/>
    </row>
    <row r="3857" spans="35:68" x14ac:dyDescent="0.25">
      <c r="AI3857" s="49"/>
      <c r="AJ3857" s="78"/>
      <c r="AK3857" s="79"/>
      <c r="AL3857" s="79"/>
      <c r="AM3857" s="79"/>
      <c r="AN3857" s="79"/>
      <c r="AO3857" s="79"/>
      <c r="AP3857" s="79"/>
      <c r="AQ3857" s="79"/>
      <c r="AR3857" s="78"/>
      <c r="AS3857" s="78"/>
      <c r="AT3857" s="79"/>
      <c r="AU3857" s="79"/>
      <c r="AV3857" s="79"/>
      <c r="AW3857" s="79"/>
      <c r="AX3857" s="79"/>
      <c r="AZ3857" s="81"/>
      <c r="BB3857" s="5"/>
      <c r="BC3857" s="5"/>
      <c r="BD3857" s="5"/>
      <c r="BE3857" s="5"/>
      <c r="BF3857" s="5"/>
      <c r="BG3857" s="5"/>
      <c r="BH3857" s="5"/>
      <c r="BI3857" s="5"/>
      <c r="BJ3857" s="5"/>
      <c r="BK3857" s="5"/>
      <c r="BL3857" s="5"/>
      <c r="BM3857" s="5"/>
      <c r="BN3857" s="5"/>
      <c r="BO3857" s="5"/>
      <c r="BP3857" s="5"/>
    </row>
    <row r="3858" spans="35:68" x14ac:dyDescent="0.25">
      <c r="AI3858" s="49"/>
      <c r="AJ3858" s="78"/>
      <c r="AK3858" s="79"/>
      <c r="AL3858" s="79"/>
      <c r="AM3858" s="79"/>
      <c r="AN3858" s="79"/>
      <c r="AO3858" s="79"/>
      <c r="AP3858" s="79"/>
      <c r="AQ3858" s="79"/>
      <c r="AR3858" s="78"/>
      <c r="AS3858" s="78"/>
      <c r="AT3858" s="79"/>
      <c r="AU3858" s="79"/>
      <c r="AV3858" s="79"/>
      <c r="AW3858" s="79"/>
      <c r="AX3858" s="79"/>
      <c r="AZ3858" s="81"/>
      <c r="BB3858" s="5"/>
      <c r="BC3858" s="5"/>
      <c r="BD3858" s="5"/>
      <c r="BE3858" s="5"/>
      <c r="BF3858" s="5"/>
      <c r="BG3858" s="5"/>
      <c r="BH3858" s="5"/>
      <c r="BI3858" s="5"/>
      <c r="BJ3858" s="5"/>
      <c r="BK3858" s="5"/>
      <c r="BL3858" s="5"/>
      <c r="BM3858" s="5"/>
      <c r="BN3858" s="5"/>
      <c r="BO3858" s="5"/>
      <c r="BP3858" s="5"/>
    </row>
    <row r="3859" spans="35:68" x14ac:dyDescent="0.25">
      <c r="AI3859" s="49"/>
      <c r="AJ3859" s="78"/>
      <c r="AK3859" s="79"/>
      <c r="AL3859" s="79"/>
      <c r="AM3859" s="79"/>
      <c r="AN3859" s="79"/>
      <c r="AO3859" s="79"/>
      <c r="AP3859" s="79"/>
      <c r="AQ3859" s="79"/>
      <c r="AR3859" s="78"/>
      <c r="AS3859" s="78"/>
      <c r="AT3859" s="79"/>
      <c r="AU3859" s="79"/>
      <c r="AV3859" s="79"/>
      <c r="AW3859" s="79"/>
      <c r="AX3859" s="79"/>
      <c r="AZ3859" s="81"/>
      <c r="BB3859" s="5"/>
      <c r="BC3859" s="5"/>
      <c r="BD3859" s="5"/>
      <c r="BE3859" s="5"/>
      <c r="BF3859" s="5"/>
      <c r="BG3859" s="5"/>
      <c r="BH3859" s="5"/>
      <c r="BI3859" s="5"/>
      <c r="BJ3859" s="5"/>
      <c r="BK3859" s="5"/>
      <c r="BL3859" s="5"/>
      <c r="BM3859" s="5"/>
      <c r="BN3859" s="5"/>
      <c r="BO3859" s="5"/>
      <c r="BP3859" s="5"/>
    </row>
    <row r="3860" spans="35:68" x14ac:dyDescent="0.25">
      <c r="AI3860" s="49"/>
      <c r="AJ3860" s="78"/>
      <c r="AK3860" s="79"/>
      <c r="AL3860" s="79"/>
      <c r="AM3860" s="79"/>
      <c r="AN3860" s="79"/>
      <c r="AO3860" s="79"/>
      <c r="AP3860" s="79"/>
      <c r="AQ3860" s="79"/>
      <c r="AR3860" s="78"/>
      <c r="AS3860" s="78"/>
      <c r="AT3860" s="79"/>
      <c r="AU3860" s="79"/>
      <c r="AV3860" s="79"/>
      <c r="AW3860" s="79"/>
      <c r="AX3860" s="79"/>
      <c r="AZ3860" s="81"/>
      <c r="BB3860" s="5"/>
      <c r="BC3860" s="5"/>
      <c r="BD3860" s="5"/>
      <c r="BE3860" s="5"/>
      <c r="BF3860" s="5"/>
      <c r="BG3860" s="5"/>
      <c r="BH3860" s="5"/>
      <c r="BI3860" s="5"/>
      <c r="BJ3860" s="5"/>
      <c r="BK3860" s="5"/>
      <c r="BL3860" s="5"/>
      <c r="BM3860" s="5"/>
      <c r="BN3860" s="5"/>
      <c r="BO3860" s="5"/>
      <c r="BP3860" s="5"/>
    </row>
    <row r="3861" spans="35:68" x14ac:dyDescent="0.25">
      <c r="AI3861" s="49"/>
      <c r="AJ3861" s="78"/>
      <c r="AK3861" s="79"/>
      <c r="AL3861" s="79"/>
      <c r="AM3861" s="79"/>
      <c r="AN3861" s="79"/>
      <c r="AO3861" s="79"/>
      <c r="AP3861" s="79"/>
      <c r="AQ3861" s="79"/>
      <c r="AR3861" s="78"/>
      <c r="AS3861" s="78"/>
      <c r="AT3861" s="79"/>
      <c r="AU3861" s="79"/>
      <c r="AV3861" s="79"/>
      <c r="AW3861" s="79"/>
      <c r="AX3861" s="79"/>
      <c r="AZ3861" s="81"/>
      <c r="BB3861" s="5"/>
      <c r="BC3861" s="5"/>
      <c r="BD3861" s="5"/>
      <c r="BE3861" s="5"/>
      <c r="BF3861" s="5"/>
      <c r="BG3861" s="5"/>
      <c r="BH3861" s="5"/>
      <c r="BI3861" s="5"/>
      <c r="BJ3861" s="5"/>
      <c r="BK3861" s="5"/>
      <c r="BL3861" s="5"/>
      <c r="BM3861" s="5"/>
      <c r="BN3861" s="5"/>
      <c r="BO3861" s="5"/>
      <c r="BP3861" s="5"/>
    </row>
    <row r="3862" spans="35:68" x14ac:dyDescent="0.25">
      <c r="AI3862" s="49"/>
      <c r="AJ3862" s="78"/>
      <c r="AK3862" s="79"/>
      <c r="AL3862" s="79"/>
      <c r="AM3862" s="79"/>
      <c r="AN3862" s="79"/>
      <c r="AO3862" s="79"/>
      <c r="AP3862" s="79"/>
      <c r="AQ3862" s="79"/>
      <c r="AR3862" s="78"/>
      <c r="AS3862" s="78"/>
      <c r="AT3862" s="79"/>
      <c r="AU3862" s="79"/>
      <c r="AV3862" s="79"/>
      <c r="AW3862" s="79"/>
      <c r="AX3862" s="79"/>
      <c r="AZ3862" s="81"/>
      <c r="BB3862" s="5"/>
      <c r="BC3862" s="5"/>
      <c r="BD3862" s="5"/>
      <c r="BE3862" s="5"/>
      <c r="BF3862" s="5"/>
      <c r="BG3862" s="5"/>
      <c r="BH3862" s="5"/>
      <c r="BI3862" s="5"/>
      <c r="BJ3862" s="5"/>
      <c r="BK3862" s="5"/>
      <c r="BL3862" s="5"/>
      <c r="BM3862" s="5"/>
      <c r="BN3862" s="5"/>
      <c r="BO3862" s="5"/>
      <c r="BP3862" s="5"/>
    </row>
    <row r="3863" spans="35:68" x14ac:dyDescent="0.25">
      <c r="AI3863" s="49"/>
      <c r="AJ3863" s="78"/>
      <c r="AK3863" s="79"/>
      <c r="AL3863" s="79"/>
      <c r="AM3863" s="79"/>
      <c r="AN3863" s="79"/>
      <c r="AO3863" s="79"/>
      <c r="AP3863" s="79"/>
      <c r="AQ3863" s="79"/>
      <c r="AR3863" s="78"/>
      <c r="AS3863" s="78"/>
      <c r="AT3863" s="79"/>
      <c r="AU3863" s="79"/>
      <c r="AV3863" s="79"/>
      <c r="AW3863" s="79"/>
      <c r="AX3863" s="79"/>
      <c r="AZ3863" s="81"/>
      <c r="BB3863" s="5"/>
      <c r="BC3863" s="5"/>
      <c r="BD3863" s="5"/>
      <c r="BE3863" s="5"/>
      <c r="BF3863" s="5"/>
      <c r="BG3863" s="5"/>
      <c r="BH3863" s="5"/>
      <c r="BI3863" s="5"/>
      <c r="BJ3863" s="5"/>
      <c r="BK3863" s="5"/>
      <c r="BL3863" s="5"/>
      <c r="BM3863" s="5"/>
      <c r="BN3863" s="5"/>
      <c r="BO3863" s="5"/>
      <c r="BP3863" s="5"/>
    </row>
    <row r="3864" spans="35:68" x14ac:dyDescent="0.25">
      <c r="AI3864" s="49"/>
      <c r="AJ3864" s="78"/>
      <c r="AK3864" s="79"/>
      <c r="AL3864" s="79"/>
      <c r="AM3864" s="79"/>
      <c r="AN3864" s="79"/>
      <c r="AO3864" s="79"/>
      <c r="AP3864" s="79"/>
      <c r="AQ3864" s="79"/>
      <c r="AR3864" s="78"/>
      <c r="AS3864" s="78"/>
      <c r="AT3864" s="79"/>
      <c r="AU3864" s="79"/>
      <c r="AV3864" s="79"/>
      <c r="AW3864" s="79"/>
      <c r="AX3864" s="79"/>
      <c r="AZ3864" s="81"/>
      <c r="BB3864" s="5"/>
      <c r="BC3864" s="5"/>
      <c r="BD3864" s="5"/>
      <c r="BE3864" s="5"/>
      <c r="BF3864" s="5"/>
      <c r="BG3864" s="5"/>
      <c r="BH3864" s="5"/>
      <c r="BI3864" s="5"/>
      <c r="BJ3864" s="5"/>
      <c r="BK3864" s="5"/>
      <c r="BL3864" s="5"/>
      <c r="BM3864" s="5"/>
      <c r="BN3864" s="5"/>
      <c r="BO3864" s="5"/>
      <c r="BP3864" s="5"/>
    </row>
    <row r="3865" spans="35:68" x14ac:dyDescent="0.25">
      <c r="AI3865" s="49"/>
      <c r="AJ3865" s="78"/>
      <c r="AK3865" s="79"/>
      <c r="AL3865" s="79"/>
      <c r="AM3865" s="79"/>
      <c r="AN3865" s="79"/>
      <c r="AO3865" s="79"/>
      <c r="AP3865" s="79"/>
      <c r="AQ3865" s="79"/>
      <c r="AR3865" s="78"/>
      <c r="AS3865" s="78"/>
      <c r="AT3865" s="79"/>
      <c r="AU3865" s="79"/>
      <c r="AV3865" s="79"/>
      <c r="AW3865" s="79"/>
      <c r="AX3865" s="79"/>
      <c r="AZ3865" s="81"/>
      <c r="BB3865" s="5"/>
      <c r="BC3865" s="5"/>
      <c r="BD3865" s="5"/>
      <c r="BE3865" s="5"/>
      <c r="BF3865" s="5"/>
      <c r="BG3865" s="5"/>
      <c r="BH3865" s="5"/>
      <c r="BI3865" s="5"/>
      <c r="BJ3865" s="5"/>
      <c r="BK3865" s="5"/>
      <c r="BL3865" s="5"/>
      <c r="BM3865" s="5"/>
      <c r="BN3865" s="5"/>
      <c r="BO3865" s="5"/>
      <c r="BP3865" s="5"/>
    </row>
    <row r="3866" spans="35:68" x14ac:dyDescent="0.25">
      <c r="AI3866" s="49"/>
      <c r="AJ3866" s="78"/>
      <c r="AK3866" s="79"/>
      <c r="AL3866" s="79"/>
      <c r="AM3866" s="79"/>
      <c r="AN3866" s="79"/>
      <c r="AO3866" s="79"/>
      <c r="AP3866" s="79"/>
      <c r="AQ3866" s="79"/>
      <c r="AR3866" s="78"/>
      <c r="AS3866" s="78"/>
      <c r="AT3866" s="79"/>
      <c r="AU3866" s="79"/>
      <c r="AV3866" s="79"/>
      <c r="AW3866" s="79"/>
      <c r="AX3866" s="79"/>
      <c r="AZ3866" s="81"/>
      <c r="BB3866" s="5"/>
      <c r="BC3866" s="5"/>
      <c r="BD3866" s="5"/>
      <c r="BE3866" s="5"/>
      <c r="BF3866" s="5"/>
      <c r="BG3866" s="5"/>
      <c r="BH3866" s="5"/>
      <c r="BI3866" s="5"/>
      <c r="BJ3866" s="5"/>
      <c r="BK3866" s="5"/>
      <c r="BL3866" s="5"/>
      <c r="BM3866" s="5"/>
      <c r="BN3866" s="5"/>
      <c r="BO3866" s="5"/>
      <c r="BP3866" s="5"/>
    </row>
    <row r="3867" spans="35:68" x14ac:dyDescent="0.25">
      <c r="AI3867" s="49"/>
      <c r="AJ3867" s="78"/>
      <c r="AK3867" s="79"/>
      <c r="AL3867" s="79"/>
      <c r="AM3867" s="79"/>
      <c r="AN3867" s="79"/>
      <c r="AO3867" s="79"/>
      <c r="AP3867" s="79"/>
      <c r="AQ3867" s="79"/>
      <c r="AR3867" s="78"/>
      <c r="AS3867" s="78"/>
      <c r="AT3867" s="79"/>
      <c r="AU3867" s="79"/>
      <c r="AV3867" s="79"/>
      <c r="AW3867" s="79"/>
      <c r="AX3867" s="79"/>
      <c r="AZ3867" s="81"/>
      <c r="BB3867" s="5"/>
      <c r="BC3867" s="5"/>
      <c r="BD3867" s="5"/>
      <c r="BE3867" s="5"/>
      <c r="BF3867" s="5"/>
      <c r="BG3867" s="5"/>
      <c r="BH3867" s="5"/>
      <c r="BI3867" s="5"/>
      <c r="BJ3867" s="5"/>
      <c r="BK3867" s="5"/>
      <c r="BL3867" s="5"/>
      <c r="BM3867" s="5"/>
      <c r="BN3867" s="5"/>
      <c r="BO3867" s="5"/>
      <c r="BP3867" s="5"/>
    </row>
    <row r="3868" spans="35:68" x14ac:dyDescent="0.25">
      <c r="AI3868" s="49"/>
      <c r="AJ3868" s="78"/>
      <c r="AK3868" s="79"/>
      <c r="AL3868" s="79"/>
      <c r="AM3868" s="79"/>
      <c r="AN3868" s="79"/>
      <c r="AO3868" s="79"/>
      <c r="AP3868" s="79"/>
      <c r="AQ3868" s="79"/>
      <c r="AR3868" s="78"/>
      <c r="AS3868" s="78"/>
      <c r="AT3868" s="79"/>
      <c r="AU3868" s="79"/>
      <c r="AV3868" s="79"/>
      <c r="AW3868" s="79"/>
      <c r="AX3868" s="79"/>
      <c r="AZ3868" s="81"/>
      <c r="BB3868" s="5"/>
      <c r="BC3868" s="5"/>
      <c r="BD3868" s="5"/>
      <c r="BE3868" s="5"/>
      <c r="BF3868" s="5"/>
      <c r="BG3868" s="5"/>
      <c r="BH3868" s="5"/>
      <c r="BI3868" s="5"/>
      <c r="BJ3868" s="5"/>
      <c r="BK3868" s="5"/>
      <c r="BL3868" s="5"/>
      <c r="BM3868" s="5"/>
      <c r="BN3868" s="5"/>
      <c r="BO3868" s="5"/>
      <c r="BP3868" s="5"/>
    </row>
    <row r="3869" spans="35:68" x14ac:dyDescent="0.25">
      <c r="AI3869" s="49"/>
      <c r="AJ3869" s="78"/>
      <c r="AK3869" s="79"/>
      <c r="AL3869" s="79"/>
      <c r="AM3869" s="79"/>
      <c r="AN3869" s="79"/>
      <c r="AO3869" s="79"/>
      <c r="AP3869" s="79"/>
      <c r="AQ3869" s="79"/>
      <c r="AR3869" s="78"/>
      <c r="AS3869" s="78"/>
      <c r="AT3869" s="79"/>
      <c r="AU3869" s="79"/>
      <c r="AV3869" s="79"/>
      <c r="AW3869" s="79"/>
      <c r="AX3869" s="79"/>
      <c r="AZ3869" s="81"/>
      <c r="BB3869" s="5"/>
      <c r="BC3869" s="5"/>
      <c r="BD3869" s="5"/>
      <c r="BE3869" s="5"/>
      <c r="BF3869" s="5"/>
      <c r="BG3869" s="5"/>
      <c r="BH3869" s="5"/>
      <c r="BI3869" s="5"/>
      <c r="BJ3869" s="5"/>
      <c r="BK3869" s="5"/>
      <c r="BL3869" s="5"/>
      <c r="BM3869" s="5"/>
      <c r="BN3869" s="5"/>
      <c r="BO3869" s="5"/>
      <c r="BP3869" s="5"/>
    </row>
    <row r="3870" spans="35:68" x14ac:dyDescent="0.25">
      <c r="AI3870" s="49"/>
      <c r="AJ3870" s="78"/>
      <c r="AK3870" s="79"/>
      <c r="AL3870" s="79"/>
      <c r="AM3870" s="79"/>
      <c r="AN3870" s="79"/>
      <c r="AO3870" s="79"/>
      <c r="AP3870" s="79"/>
      <c r="AQ3870" s="79"/>
      <c r="AR3870" s="78"/>
      <c r="AS3870" s="78"/>
      <c r="AT3870" s="79"/>
      <c r="AU3870" s="79"/>
      <c r="AV3870" s="79"/>
      <c r="AW3870" s="79"/>
      <c r="AX3870" s="79"/>
      <c r="AZ3870" s="81"/>
      <c r="BB3870" s="5"/>
      <c r="BC3870" s="5"/>
      <c r="BD3870" s="5"/>
      <c r="BE3870" s="5"/>
      <c r="BF3870" s="5"/>
      <c r="BG3870" s="5"/>
      <c r="BH3870" s="5"/>
      <c r="BI3870" s="5"/>
      <c r="BJ3870" s="5"/>
      <c r="BK3870" s="5"/>
      <c r="BL3870" s="5"/>
      <c r="BM3870" s="5"/>
      <c r="BN3870" s="5"/>
      <c r="BO3870" s="5"/>
      <c r="BP3870" s="5"/>
    </row>
    <row r="3871" spans="35:68" x14ac:dyDescent="0.25">
      <c r="AI3871" s="49"/>
      <c r="AJ3871" s="78"/>
      <c r="AK3871" s="79"/>
      <c r="AL3871" s="79"/>
      <c r="AM3871" s="79"/>
      <c r="AN3871" s="79"/>
      <c r="AO3871" s="79"/>
      <c r="AP3871" s="79"/>
      <c r="AQ3871" s="79"/>
      <c r="AR3871" s="78"/>
      <c r="AS3871" s="78"/>
      <c r="AT3871" s="79"/>
      <c r="AU3871" s="79"/>
      <c r="AV3871" s="79"/>
      <c r="AW3871" s="79"/>
      <c r="AX3871" s="79"/>
      <c r="AZ3871" s="81"/>
      <c r="BB3871" s="5"/>
      <c r="BC3871" s="5"/>
      <c r="BD3871" s="5"/>
      <c r="BE3871" s="5"/>
      <c r="BF3871" s="5"/>
      <c r="BG3871" s="5"/>
      <c r="BH3871" s="5"/>
      <c r="BI3871" s="5"/>
      <c r="BJ3871" s="5"/>
      <c r="BK3871" s="5"/>
      <c r="BL3871" s="5"/>
      <c r="BM3871" s="5"/>
      <c r="BN3871" s="5"/>
      <c r="BO3871" s="5"/>
      <c r="BP3871" s="5"/>
    </row>
    <row r="3872" spans="35:68" x14ac:dyDescent="0.25">
      <c r="AI3872" s="49"/>
      <c r="AJ3872" s="78"/>
      <c r="AK3872" s="79"/>
      <c r="AL3872" s="79"/>
      <c r="AM3872" s="79"/>
      <c r="AN3872" s="79"/>
      <c r="AO3872" s="79"/>
      <c r="AP3872" s="79"/>
      <c r="AQ3872" s="79"/>
      <c r="AR3872" s="78"/>
      <c r="AS3872" s="78"/>
      <c r="AT3872" s="79"/>
      <c r="AU3872" s="79"/>
      <c r="AV3872" s="79"/>
      <c r="AW3872" s="79"/>
      <c r="AX3872" s="79"/>
      <c r="AZ3872" s="81"/>
      <c r="BB3872" s="5"/>
      <c r="BC3872" s="5"/>
      <c r="BD3872" s="5"/>
      <c r="BE3872" s="5"/>
      <c r="BF3872" s="5"/>
      <c r="BG3872" s="5"/>
      <c r="BH3872" s="5"/>
      <c r="BI3872" s="5"/>
      <c r="BJ3872" s="5"/>
      <c r="BK3872" s="5"/>
      <c r="BL3872" s="5"/>
      <c r="BM3872" s="5"/>
      <c r="BN3872" s="5"/>
      <c r="BO3872" s="5"/>
      <c r="BP3872" s="5"/>
    </row>
    <row r="3873" spans="35:68" x14ac:dyDescent="0.25">
      <c r="AI3873" s="49"/>
      <c r="AJ3873" s="78"/>
      <c r="AK3873" s="79"/>
      <c r="AL3873" s="79"/>
      <c r="AM3873" s="79"/>
      <c r="AN3873" s="79"/>
      <c r="AO3873" s="79"/>
      <c r="AP3873" s="79"/>
      <c r="AQ3873" s="79"/>
      <c r="AR3873" s="78"/>
      <c r="AS3873" s="78"/>
      <c r="AT3873" s="79"/>
      <c r="AU3873" s="79"/>
      <c r="AV3873" s="79"/>
      <c r="AW3873" s="79"/>
      <c r="AX3873" s="79"/>
      <c r="AZ3873" s="81"/>
      <c r="BB3873" s="5"/>
      <c r="BC3873" s="5"/>
      <c r="BD3873" s="5"/>
      <c r="BE3873" s="5"/>
      <c r="BF3873" s="5"/>
      <c r="BG3873" s="5"/>
      <c r="BH3873" s="5"/>
      <c r="BI3873" s="5"/>
      <c r="BJ3873" s="5"/>
      <c r="BK3873" s="5"/>
      <c r="BL3873" s="5"/>
      <c r="BM3873" s="5"/>
      <c r="BN3873" s="5"/>
      <c r="BO3873" s="5"/>
      <c r="BP3873" s="5"/>
    </row>
    <row r="3874" spans="35:68" x14ac:dyDescent="0.25">
      <c r="AI3874" s="49"/>
      <c r="AJ3874" s="78"/>
      <c r="AK3874" s="79"/>
      <c r="AL3874" s="79"/>
      <c r="AM3874" s="79"/>
      <c r="AN3874" s="79"/>
      <c r="AO3874" s="79"/>
      <c r="AP3874" s="79"/>
      <c r="AQ3874" s="79"/>
      <c r="AR3874" s="78"/>
      <c r="AS3874" s="78"/>
      <c r="AT3874" s="79"/>
      <c r="AU3874" s="79"/>
      <c r="AV3874" s="79"/>
      <c r="AW3874" s="79"/>
      <c r="AX3874" s="79"/>
      <c r="AZ3874" s="81"/>
      <c r="BB3874" s="5"/>
      <c r="BC3874" s="5"/>
      <c r="BD3874" s="5"/>
      <c r="BE3874" s="5"/>
      <c r="BF3874" s="5"/>
      <c r="BG3874" s="5"/>
      <c r="BH3874" s="5"/>
      <c r="BI3874" s="5"/>
      <c r="BJ3874" s="5"/>
      <c r="BK3874" s="5"/>
      <c r="BL3874" s="5"/>
      <c r="BM3874" s="5"/>
      <c r="BN3874" s="5"/>
      <c r="BO3874" s="5"/>
      <c r="BP3874" s="5"/>
    </row>
    <row r="3875" spans="35:68" x14ac:dyDescent="0.25">
      <c r="AI3875" s="49"/>
      <c r="AJ3875" s="78"/>
      <c r="AK3875" s="79"/>
      <c r="AL3875" s="79"/>
      <c r="AM3875" s="79"/>
      <c r="AN3875" s="79"/>
      <c r="AO3875" s="79"/>
      <c r="AP3875" s="79"/>
      <c r="AQ3875" s="79"/>
      <c r="AR3875" s="78"/>
      <c r="AS3875" s="78"/>
      <c r="AT3875" s="79"/>
      <c r="AU3875" s="79"/>
      <c r="AV3875" s="79"/>
      <c r="AW3875" s="79"/>
      <c r="AX3875" s="79"/>
      <c r="AZ3875" s="81"/>
      <c r="BB3875" s="5"/>
      <c r="BC3875" s="5"/>
      <c r="BD3875" s="5"/>
      <c r="BE3875" s="5"/>
      <c r="BF3875" s="5"/>
      <c r="BG3875" s="5"/>
      <c r="BH3875" s="5"/>
      <c r="BI3875" s="5"/>
      <c r="BJ3875" s="5"/>
      <c r="BK3875" s="5"/>
      <c r="BL3875" s="5"/>
      <c r="BM3875" s="5"/>
      <c r="BN3875" s="5"/>
      <c r="BO3875" s="5"/>
      <c r="BP3875" s="5"/>
    </row>
    <row r="3876" spans="35:68" x14ac:dyDescent="0.25">
      <c r="AI3876" s="49"/>
      <c r="AJ3876" s="78"/>
      <c r="AK3876" s="79"/>
      <c r="AL3876" s="79"/>
      <c r="AM3876" s="79"/>
      <c r="AN3876" s="79"/>
      <c r="AO3876" s="79"/>
      <c r="AP3876" s="79"/>
      <c r="AQ3876" s="79"/>
      <c r="AR3876" s="78"/>
      <c r="AS3876" s="78"/>
      <c r="AT3876" s="79"/>
      <c r="AU3876" s="79"/>
      <c r="AV3876" s="79"/>
      <c r="AW3876" s="79"/>
      <c r="AX3876" s="79"/>
      <c r="AZ3876" s="81"/>
      <c r="BB3876" s="5"/>
      <c r="BC3876" s="5"/>
      <c r="BD3876" s="5"/>
      <c r="BE3876" s="5"/>
      <c r="BF3876" s="5"/>
      <c r="BG3876" s="5"/>
      <c r="BH3876" s="5"/>
      <c r="BI3876" s="5"/>
      <c r="BJ3876" s="5"/>
      <c r="BK3876" s="5"/>
      <c r="BL3876" s="5"/>
      <c r="BM3876" s="5"/>
      <c r="BN3876" s="5"/>
      <c r="BO3876" s="5"/>
      <c r="BP3876" s="5"/>
    </row>
    <row r="3877" spans="35:68" x14ac:dyDescent="0.25">
      <c r="AI3877" s="49"/>
      <c r="AJ3877" s="78"/>
      <c r="AK3877" s="79"/>
      <c r="AL3877" s="79"/>
      <c r="AM3877" s="79"/>
      <c r="AN3877" s="79"/>
      <c r="AO3877" s="79"/>
      <c r="AP3877" s="79"/>
      <c r="AQ3877" s="79"/>
      <c r="AR3877" s="78"/>
      <c r="AS3877" s="78"/>
      <c r="AT3877" s="79"/>
      <c r="AU3877" s="79"/>
      <c r="AV3877" s="79"/>
      <c r="AW3877" s="79"/>
      <c r="AX3877" s="79"/>
      <c r="AZ3877" s="81"/>
      <c r="BB3877" s="5"/>
      <c r="BC3877" s="5"/>
      <c r="BD3877" s="5"/>
      <c r="BE3877" s="5"/>
      <c r="BF3877" s="5"/>
      <c r="BG3877" s="5"/>
      <c r="BH3877" s="5"/>
      <c r="BI3877" s="5"/>
      <c r="BJ3877" s="5"/>
      <c r="BK3877" s="5"/>
      <c r="BL3877" s="5"/>
      <c r="BM3877" s="5"/>
      <c r="BN3877" s="5"/>
      <c r="BO3877" s="5"/>
      <c r="BP3877" s="5"/>
    </row>
    <row r="3878" spans="35:68" x14ac:dyDescent="0.25">
      <c r="AI3878" s="49"/>
      <c r="AJ3878" s="78"/>
      <c r="AK3878" s="79"/>
      <c r="AL3878" s="79"/>
      <c r="AM3878" s="79"/>
      <c r="AN3878" s="79"/>
      <c r="AO3878" s="79"/>
      <c r="AP3878" s="79"/>
      <c r="AQ3878" s="79"/>
      <c r="AR3878" s="78"/>
      <c r="AS3878" s="78"/>
      <c r="AT3878" s="79"/>
      <c r="AU3878" s="79"/>
      <c r="AV3878" s="79"/>
      <c r="AW3878" s="79"/>
      <c r="AX3878" s="79"/>
      <c r="AZ3878" s="81"/>
      <c r="BB3878" s="5"/>
      <c r="BC3878" s="5"/>
      <c r="BD3878" s="5"/>
      <c r="BE3878" s="5"/>
      <c r="BF3878" s="5"/>
      <c r="BG3878" s="5"/>
      <c r="BH3878" s="5"/>
      <c r="BI3878" s="5"/>
      <c r="BJ3878" s="5"/>
      <c r="BK3878" s="5"/>
      <c r="BL3878" s="5"/>
      <c r="BM3878" s="5"/>
      <c r="BN3878" s="5"/>
      <c r="BO3878" s="5"/>
      <c r="BP3878" s="5"/>
    </row>
    <row r="3879" spans="35:68" x14ac:dyDescent="0.25">
      <c r="AI3879" s="49"/>
      <c r="AJ3879" s="78"/>
      <c r="AK3879" s="79"/>
      <c r="AL3879" s="79"/>
      <c r="AM3879" s="79"/>
      <c r="AN3879" s="79"/>
      <c r="AO3879" s="79"/>
      <c r="AP3879" s="79"/>
      <c r="AQ3879" s="79"/>
      <c r="AR3879" s="78"/>
      <c r="AS3879" s="78"/>
      <c r="AT3879" s="79"/>
      <c r="AU3879" s="79"/>
      <c r="AV3879" s="79"/>
      <c r="AW3879" s="79"/>
      <c r="AX3879" s="79"/>
      <c r="AZ3879" s="81"/>
      <c r="BB3879" s="5"/>
      <c r="BC3879" s="5"/>
      <c r="BD3879" s="5"/>
      <c r="BE3879" s="5"/>
      <c r="BF3879" s="5"/>
      <c r="BG3879" s="5"/>
      <c r="BH3879" s="5"/>
      <c r="BI3879" s="5"/>
      <c r="BJ3879" s="5"/>
      <c r="BK3879" s="5"/>
      <c r="BL3879" s="5"/>
      <c r="BM3879" s="5"/>
      <c r="BN3879" s="5"/>
      <c r="BO3879" s="5"/>
      <c r="BP3879" s="5"/>
    </row>
    <row r="3880" spans="35:68" x14ac:dyDescent="0.25">
      <c r="AI3880" s="49"/>
      <c r="AJ3880" s="78"/>
      <c r="AK3880" s="79"/>
      <c r="AL3880" s="79"/>
      <c r="AM3880" s="79"/>
      <c r="AN3880" s="79"/>
      <c r="AO3880" s="79"/>
      <c r="AP3880" s="79"/>
      <c r="AQ3880" s="79"/>
      <c r="AR3880" s="78"/>
      <c r="AS3880" s="78"/>
      <c r="AT3880" s="79"/>
      <c r="AU3880" s="79"/>
      <c r="AV3880" s="79"/>
      <c r="AW3880" s="79"/>
      <c r="AX3880" s="79"/>
      <c r="AZ3880" s="81"/>
      <c r="BB3880" s="5"/>
      <c r="BC3880" s="5"/>
      <c r="BD3880" s="5"/>
      <c r="BE3880" s="5"/>
      <c r="BF3880" s="5"/>
      <c r="BG3880" s="5"/>
      <c r="BH3880" s="5"/>
      <c r="BI3880" s="5"/>
      <c r="BJ3880" s="5"/>
      <c r="BK3880" s="5"/>
      <c r="BL3880" s="5"/>
      <c r="BM3880" s="5"/>
      <c r="BN3880" s="5"/>
      <c r="BO3880" s="5"/>
      <c r="BP3880" s="5"/>
    </row>
    <row r="3881" spans="35:68" x14ac:dyDescent="0.25">
      <c r="AI3881" s="49"/>
      <c r="AJ3881" s="78"/>
      <c r="AK3881" s="79"/>
      <c r="AL3881" s="79"/>
      <c r="AM3881" s="79"/>
      <c r="AN3881" s="79"/>
      <c r="AO3881" s="79"/>
      <c r="AP3881" s="79"/>
      <c r="AQ3881" s="79"/>
      <c r="AR3881" s="78"/>
      <c r="AS3881" s="78"/>
      <c r="AT3881" s="79"/>
      <c r="AU3881" s="79"/>
      <c r="AV3881" s="79"/>
      <c r="AW3881" s="79"/>
      <c r="AX3881" s="79"/>
      <c r="AZ3881" s="81"/>
      <c r="BB3881" s="5"/>
      <c r="BC3881" s="5"/>
      <c r="BD3881" s="5"/>
      <c r="BE3881" s="5"/>
      <c r="BF3881" s="5"/>
      <c r="BG3881" s="5"/>
      <c r="BH3881" s="5"/>
      <c r="BI3881" s="5"/>
      <c r="BJ3881" s="5"/>
      <c r="BK3881" s="5"/>
      <c r="BL3881" s="5"/>
      <c r="BM3881" s="5"/>
      <c r="BN3881" s="5"/>
      <c r="BO3881" s="5"/>
      <c r="BP3881" s="5"/>
    </row>
    <row r="3882" spans="35:68" x14ac:dyDescent="0.25">
      <c r="AI3882" s="49"/>
      <c r="AJ3882" s="78"/>
      <c r="AK3882" s="79"/>
      <c r="AL3882" s="79"/>
      <c r="AM3882" s="79"/>
      <c r="AN3882" s="79"/>
      <c r="AO3882" s="79"/>
      <c r="AP3882" s="79"/>
      <c r="AQ3882" s="79"/>
      <c r="AR3882" s="78"/>
      <c r="AS3882" s="78"/>
      <c r="AT3882" s="79"/>
      <c r="AU3882" s="79"/>
      <c r="AV3882" s="79"/>
      <c r="AW3882" s="79"/>
      <c r="AX3882" s="79"/>
      <c r="AZ3882" s="81"/>
      <c r="BB3882" s="5"/>
      <c r="BC3882" s="5"/>
      <c r="BD3882" s="5"/>
      <c r="BE3882" s="5"/>
      <c r="BF3882" s="5"/>
      <c r="BG3882" s="5"/>
      <c r="BH3882" s="5"/>
      <c r="BI3882" s="5"/>
      <c r="BJ3882" s="5"/>
      <c r="BK3882" s="5"/>
      <c r="BL3882" s="5"/>
      <c r="BM3882" s="5"/>
      <c r="BN3882" s="5"/>
      <c r="BO3882" s="5"/>
      <c r="BP3882" s="5"/>
    </row>
    <row r="3883" spans="35:68" x14ac:dyDescent="0.25">
      <c r="AI3883" s="49"/>
      <c r="AJ3883" s="78"/>
      <c r="AK3883" s="79"/>
      <c r="AL3883" s="79"/>
      <c r="AM3883" s="79"/>
      <c r="AN3883" s="79"/>
      <c r="AO3883" s="79"/>
      <c r="AP3883" s="79"/>
      <c r="AQ3883" s="79"/>
      <c r="AR3883" s="78"/>
      <c r="AS3883" s="78"/>
      <c r="AT3883" s="79"/>
      <c r="AU3883" s="79"/>
      <c r="AV3883" s="79"/>
      <c r="AW3883" s="79"/>
      <c r="AX3883" s="79"/>
      <c r="AZ3883" s="81"/>
      <c r="BB3883" s="5"/>
      <c r="BC3883" s="5"/>
      <c r="BD3883" s="5"/>
      <c r="BE3883" s="5"/>
      <c r="BF3883" s="5"/>
      <c r="BG3883" s="5"/>
      <c r="BH3883" s="5"/>
      <c r="BI3883" s="5"/>
      <c r="BJ3883" s="5"/>
      <c r="BK3883" s="5"/>
      <c r="BL3883" s="5"/>
      <c r="BM3883" s="5"/>
      <c r="BN3883" s="5"/>
      <c r="BO3883" s="5"/>
      <c r="BP3883" s="5"/>
    </row>
    <row r="3884" spans="35:68" x14ac:dyDescent="0.25">
      <c r="AI3884" s="49"/>
      <c r="AJ3884" s="78"/>
      <c r="AK3884" s="79"/>
      <c r="AL3884" s="79"/>
      <c r="AM3884" s="79"/>
      <c r="AN3884" s="79"/>
      <c r="AO3884" s="79"/>
      <c r="AP3884" s="79"/>
      <c r="AQ3884" s="79"/>
      <c r="AR3884" s="78"/>
      <c r="AS3884" s="78"/>
      <c r="AT3884" s="79"/>
      <c r="AU3884" s="79"/>
      <c r="AV3884" s="79"/>
      <c r="AW3884" s="79"/>
      <c r="AX3884" s="79"/>
      <c r="AZ3884" s="81"/>
      <c r="BB3884" s="5"/>
      <c r="BC3884" s="5"/>
      <c r="BD3884" s="5"/>
      <c r="BE3884" s="5"/>
      <c r="BF3884" s="5"/>
      <c r="BG3884" s="5"/>
      <c r="BH3884" s="5"/>
      <c r="BI3884" s="5"/>
      <c r="BJ3884" s="5"/>
      <c r="BK3884" s="5"/>
      <c r="BL3884" s="5"/>
      <c r="BM3884" s="5"/>
      <c r="BN3884" s="5"/>
      <c r="BO3884" s="5"/>
      <c r="BP3884" s="5"/>
    </row>
    <row r="3885" spans="35:68" x14ac:dyDescent="0.25">
      <c r="AI3885" s="49"/>
      <c r="AJ3885" s="78"/>
      <c r="AK3885" s="79"/>
      <c r="AL3885" s="79"/>
      <c r="AM3885" s="79"/>
      <c r="AN3885" s="79"/>
      <c r="AO3885" s="79"/>
      <c r="AP3885" s="79"/>
      <c r="AQ3885" s="79"/>
      <c r="AR3885" s="78"/>
      <c r="AS3885" s="78"/>
      <c r="AT3885" s="79"/>
      <c r="AU3885" s="79"/>
      <c r="AV3885" s="79"/>
      <c r="AW3885" s="79"/>
      <c r="AX3885" s="79"/>
      <c r="AZ3885" s="81"/>
      <c r="BB3885" s="5"/>
      <c r="BC3885" s="5"/>
      <c r="BD3885" s="5"/>
      <c r="BE3885" s="5"/>
      <c r="BF3885" s="5"/>
      <c r="BG3885" s="5"/>
      <c r="BH3885" s="5"/>
      <c r="BI3885" s="5"/>
      <c r="BJ3885" s="5"/>
      <c r="BK3885" s="5"/>
      <c r="BL3885" s="5"/>
      <c r="BM3885" s="5"/>
      <c r="BN3885" s="5"/>
      <c r="BO3885" s="5"/>
      <c r="BP3885" s="5"/>
    </row>
    <row r="3886" spans="35:68" x14ac:dyDescent="0.25">
      <c r="AI3886" s="49"/>
      <c r="AJ3886" s="78"/>
      <c r="AK3886" s="79"/>
      <c r="AL3886" s="79"/>
      <c r="AM3886" s="79"/>
      <c r="AN3886" s="79"/>
      <c r="AO3886" s="79"/>
      <c r="AP3886" s="79"/>
      <c r="AQ3886" s="79"/>
      <c r="AR3886" s="78"/>
      <c r="AS3886" s="78"/>
      <c r="AT3886" s="79"/>
      <c r="AU3886" s="79"/>
      <c r="AV3886" s="79"/>
      <c r="AW3886" s="79"/>
      <c r="AX3886" s="79"/>
      <c r="AZ3886" s="81"/>
      <c r="BB3886" s="5"/>
      <c r="BC3886" s="5"/>
      <c r="BD3886" s="5"/>
      <c r="BE3886" s="5"/>
      <c r="BF3886" s="5"/>
      <c r="BG3886" s="5"/>
      <c r="BH3886" s="5"/>
      <c r="BI3886" s="5"/>
      <c r="BJ3886" s="5"/>
      <c r="BK3886" s="5"/>
      <c r="BL3886" s="5"/>
      <c r="BM3886" s="5"/>
      <c r="BN3886" s="5"/>
      <c r="BO3886" s="5"/>
      <c r="BP3886" s="5"/>
    </row>
    <row r="3887" spans="35:68" x14ac:dyDescent="0.25">
      <c r="AI3887" s="49"/>
      <c r="AJ3887" s="78"/>
      <c r="AK3887" s="79"/>
      <c r="AL3887" s="79"/>
      <c r="AM3887" s="79"/>
      <c r="AN3887" s="79"/>
      <c r="AO3887" s="79"/>
      <c r="AP3887" s="79"/>
      <c r="AQ3887" s="79"/>
      <c r="AR3887" s="78"/>
      <c r="AS3887" s="78"/>
      <c r="AT3887" s="79"/>
      <c r="AU3887" s="79"/>
      <c r="AV3887" s="79"/>
      <c r="AW3887" s="79"/>
      <c r="AX3887" s="79"/>
      <c r="AZ3887" s="81"/>
      <c r="BB3887" s="5"/>
      <c r="BC3887" s="5"/>
      <c r="BD3887" s="5"/>
      <c r="BE3887" s="5"/>
      <c r="BF3887" s="5"/>
      <c r="BG3887" s="5"/>
      <c r="BH3887" s="5"/>
      <c r="BI3887" s="5"/>
      <c r="BJ3887" s="5"/>
      <c r="BK3887" s="5"/>
      <c r="BL3887" s="5"/>
      <c r="BM3887" s="5"/>
      <c r="BN3887" s="5"/>
      <c r="BO3887" s="5"/>
      <c r="BP3887" s="5"/>
    </row>
    <row r="3888" spans="35:68" x14ac:dyDescent="0.25">
      <c r="AI3888" s="49"/>
      <c r="AJ3888" s="78"/>
      <c r="AK3888" s="79"/>
      <c r="AL3888" s="79"/>
      <c r="AM3888" s="79"/>
      <c r="AN3888" s="79"/>
      <c r="AO3888" s="79"/>
      <c r="AP3888" s="79"/>
      <c r="AQ3888" s="79"/>
      <c r="AR3888" s="78"/>
      <c r="AS3888" s="78"/>
      <c r="AT3888" s="79"/>
      <c r="AU3888" s="79"/>
      <c r="AV3888" s="79"/>
      <c r="AW3888" s="79"/>
      <c r="AX3888" s="79"/>
      <c r="AZ3888" s="81"/>
      <c r="BB3888" s="5"/>
      <c r="BC3888" s="5"/>
      <c r="BD3888" s="5"/>
      <c r="BE3888" s="5"/>
      <c r="BF3888" s="5"/>
      <c r="BG3888" s="5"/>
      <c r="BH3888" s="5"/>
      <c r="BI3888" s="5"/>
      <c r="BJ3888" s="5"/>
      <c r="BK3888" s="5"/>
      <c r="BL3888" s="5"/>
      <c r="BM3888" s="5"/>
      <c r="BN3888" s="5"/>
      <c r="BO3888" s="5"/>
      <c r="BP3888" s="5"/>
    </row>
    <row r="3889" spans="35:68" x14ac:dyDescent="0.25">
      <c r="AI3889" s="49"/>
      <c r="AJ3889" s="78"/>
      <c r="AK3889" s="79"/>
      <c r="AL3889" s="79"/>
      <c r="AM3889" s="79"/>
      <c r="AN3889" s="79"/>
      <c r="AO3889" s="79"/>
      <c r="AP3889" s="79"/>
      <c r="AQ3889" s="79"/>
      <c r="AR3889" s="78"/>
      <c r="AS3889" s="78"/>
      <c r="AT3889" s="79"/>
      <c r="AU3889" s="79"/>
      <c r="AV3889" s="79"/>
      <c r="AW3889" s="79"/>
      <c r="AX3889" s="79"/>
      <c r="AZ3889" s="81"/>
      <c r="BB3889" s="5"/>
      <c r="BC3889" s="5"/>
      <c r="BD3889" s="5"/>
      <c r="BE3889" s="5"/>
      <c r="BF3889" s="5"/>
      <c r="BG3889" s="5"/>
      <c r="BH3889" s="5"/>
      <c r="BI3889" s="5"/>
      <c r="BJ3889" s="5"/>
      <c r="BK3889" s="5"/>
      <c r="BL3889" s="5"/>
      <c r="BM3889" s="5"/>
      <c r="BN3889" s="5"/>
      <c r="BO3889" s="5"/>
      <c r="BP3889" s="5"/>
    </row>
    <row r="3890" spans="35:68" x14ac:dyDescent="0.25">
      <c r="AI3890" s="49"/>
      <c r="AJ3890" s="78"/>
      <c r="AK3890" s="79"/>
      <c r="AL3890" s="79"/>
      <c r="AM3890" s="79"/>
      <c r="AN3890" s="79"/>
      <c r="AO3890" s="79"/>
      <c r="AP3890" s="79"/>
      <c r="AQ3890" s="79"/>
      <c r="AR3890" s="78"/>
      <c r="AS3890" s="78"/>
      <c r="AT3890" s="79"/>
      <c r="AU3890" s="79"/>
      <c r="AV3890" s="79"/>
      <c r="AW3890" s="79"/>
      <c r="AX3890" s="79"/>
      <c r="AZ3890" s="81"/>
      <c r="BB3890" s="5"/>
      <c r="BC3890" s="5"/>
      <c r="BD3890" s="5"/>
      <c r="BE3890" s="5"/>
      <c r="BF3890" s="5"/>
      <c r="BG3890" s="5"/>
      <c r="BH3890" s="5"/>
      <c r="BI3890" s="5"/>
      <c r="BJ3890" s="5"/>
      <c r="BK3890" s="5"/>
      <c r="BL3890" s="5"/>
      <c r="BM3890" s="5"/>
      <c r="BN3890" s="5"/>
      <c r="BO3890" s="5"/>
      <c r="BP3890" s="5"/>
    </row>
    <row r="3891" spans="35:68" x14ac:dyDescent="0.25">
      <c r="AI3891" s="49"/>
      <c r="AJ3891" s="78"/>
      <c r="AK3891" s="79"/>
      <c r="AL3891" s="79"/>
      <c r="AM3891" s="79"/>
      <c r="AN3891" s="79"/>
      <c r="AO3891" s="79"/>
      <c r="AP3891" s="79"/>
      <c r="AQ3891" s="79"/>
      <c r="AR3891" s="78"/>
      <c r="AS3891" s="78"/>
      <c r="AT3891" s="79"/>
      <c r="AU3891" s="79"/>
      <c r="AV3891" s="79"/>
      <c r="AW3891" s="79"/>
      <c r="AX3891" s="79"/>
      <c r="AZ3891" s="81"/>
      <c r="BB3891" s="5"/>
      <c r="BC3891" s="5"/>
      <c r="BD3891" s="5"/>
      <c r="BE3891" s="5"/>
      <c r="BF3891" s="5"/>
      <c r="BG3891" s="5"/>
      <c r="BH3891" s="5"/>
      <c r="BI3891" s="5"/>
      <c r="BJ3891" s="5"/>
      <c r="BK3891" s="5"/>
      <c r="BL3891" s="5"/>
      <c r="BM3891" s="5"/>
      <c r="BN3891" s="5"/>
      <c r="BO3891" s="5"/>
      <c r="BP3891" s="5"/>
    </row>
    <row r="3892" spans="35:68" x14ac:dyDescent="0.25">
      <c r="AI3892" s="49"/>
      <c r="AJ3892" s="78"/>
      <c r="AK3892" s="79"/>
      <c r="AL3892" s="79"/>
      <c r="AM3892" s="79"/>
      <c r="AN3892" s="79"/>
      <c r="AO3892" s="79"/>
      <c r="AP3892" s="79"/>
      <c r="AQ3892" s="79"/>
      <c r="AR3892" s="78"/>
      <c r="AS3892" s="78"/>
      <c r="AT3892" s="79"/>
      <c r="AU3892" s="79"/>
      <c r="AV3892" s="79"/>
      <c r="AW3892" s="79"/>
      <c r="AX3892" s="79"/>
      <c r="AZ3892" s="81"/>
      <c r="BB3892" s="5"/>
      <c r="BC3892" s="5"/>
      <c r="BD3892" s="5"/>
      <c r="BE3892" s="5"/>
      <c r="BF3892" s="5"/>
      <c r="BG3892" s="5"/>
      <c r="BH3892" s="5"/>
      <c r="BI3892" s="5"/>
      <c r="BJ3892" s="5"/>
      <c r="BK3892" s="5"/>
      <c r="BL3892" s="5"/>
      <c r="BM3892" s="5"/>
      <c r="BN3892" s="5"/>
      <c r="BO3892" s="5"/>
      <c r="BP3892" s="5"/>
    </row>
    <row r="3893" spans="35:68" x14ac:dyDescent="0.25">
      <c r="AI3893" s="49"/>
      <c r="AJ3893" s="78"/>
      <c r="AK3893" s="79"/>
      <c r="AL3893" s="79"/>
      <c r="AM3893" s="79"/>
      <c r="AN3893" s="79"/>
      <c r="AO3893" s="79"/>
      <c r="AP3893" s="79"/>
      <c r="AQ3893" s="79"/>
      <c r="AR3893" s="78"/>
      <c r="AS3893" s="78"/>
      <c r="AT3893" s="79"/>
      <c r="AU3893" s="79"/>
      <c r="AV3893" s="79"/>
      <c r="AW3893" s="79"/>
      <c r="AX3893" s="79"/>
      <c r="AZ3893" s="81"/>
      <c r="BB3893" s="5"/>
      <c r="BC3893" s="5"/>
      <c r="BD3893" s="5"/>
      <c r="BE3893" s="5"/>
      <c r="BF3893" s="5"/>
      <c r="BG3893" s="5"/>
      <c r="BH3893" s="5"/>
      <c r="BI3893" s="5"/>
      <c r="BJ3893" s="5"/>
      <c r="BK3893" s="5"/>
      <c r="BL3893" s="5"/>
      <c r="BM3893" s="5"/>
      <c r="BN3893" s="5"/>
      <c r="BO3893" s="5"/>
      <c r="BP3893" s="5"/>
    </row>
    <row r="3894" spans="35:68" x14ac:dyDescent="0.25">
      <c r="AI3894" s="49"/>
      <c r="AJ3894" s="78"/>
      <c r="AK3894" s="79"/>
      <c r="AL3894" s="79"/>
      <c r="AM3894" s="79"/>
      <c r="AN3894" s="79"/>
      <c r="AO3894" s="79"/>
      <c r="AP3894" s="79"/>
      <c r="AQ3894" s="79"/>
      <c r="AR3894" s="78"/>
      <c r="AS3894" s="78"/>
      <c r="AT3894" s="79"/>
      <c r="AU3894" s="79"/>
      <c r="AV3894" s="79"/>
      <c r="AW3894" s="79"/>
      <c r="AX3894" s="79"/>
      <c r="AZ3894" s="81"/>
      <c r="BB3894" s="5"/>
      <c r="BC3894" s="5"/>
      <c r="BD3894" s="5"/>
      <c r="BE3894" s="5"/>
      <c r="BF3894" s="5"/>
      <c r="BG3894" s="5"/>
      <c r="BH3894" s="5"/>
      <c r="BI3894" s="5"/>
      <c r="BJ3894" s="5"/>
      <c r="BK3894" s="5"/>
      <c r="BL3894" s="5"/>
      <c r="BM3894" s="5"/>
      <c r="BN3894" s="5"/>
      <c r="BO3894" s="5"/>
      <c r="BP3894" s="5"/>
    </row>
    <row r="3895" spans="35:68" x14ac:dyDescent="0.25">
      <c r="AI3895" s="49"/>
      <c r="AJ3895" s="78"/>
      <c r="AK3895" s="79"/>
      <c r="AL3895" s="79"/>
      <c r="AM3895" s="79"/>
      <c r="AN3895" s="79"/>
      <c r="AO3895" s="79"/>
      <c r="AP3895" s="79"/>
      <c r="AQ3895" s="79"/>
      <c r="AR3895" s="78"/>
      <c r="AS3895" s="78"/>
      <c r="AT3895" s="79"/>
      <c r="AU3895" s="79"/>
      <c r="AV3895" s="79"/>
      <c r="AW3895" s="79"/>
      <c r="AX3895" s="79"/>
      <c r="AZ3895" s="81"/>
      <c r="BB3895" s="5"/>
      <c r="BC3895" s="5"/>
      <c r="BD3895" s="5"/>
      <c r="BE3895" s="5"/>
      <c r="BF3895" s="5"/>
      <c r="BG3895" s="5"/>
      <c r="BH3895" s="5"/>
      <c r="BI3895" s="5"/>
      <c r="BJ3895" s="5"/>
      <c r="BK3895" s="5"/>
      <c r="BL3895" s="5"/>
      <c r="BM3895" s="5"/>
      <c r="BN3895" s="5"/>
      <c r="BO3895" s="5"/>
      <c r="BP3895" s="5"/>
    </row>
    <row r="3896" spans="35:68" x14ac:dyDescent="0.25">
      <c r="AI3896" s="49"/>
      <c r="AJ3896" s="78"/>
      <c r="AK3896" s="79"/>
      <c r="AL3896" s="79"/>
      <c r="AM3896" s="79"/>
      <c r="AN3896" s="79"/>
      <c r="AO3896" s="79"/>
      <c r="AP3896" s="79"/>
      <c r="AQ3896" s="79"/>
      <c r="AR3896" s="78"/>
      <c r="AS3896" s="78"/>
      <c r="AT3896" s="79"/>
      <c r="AU3896" s="79"/>
      <c r="AV3896" s="79"/>
      <c r="AW3896" s="79"/>
      <c r="AX3896" s="79"/>
      <c r="AZ3896" s="81"/>
      <c r="BB3896" s="5"/>
      <c r="BC3896" s="5"/>
      <c r="BD3896" s="5"/>
      <c r="BE3896" s="5"/>
      <c r="BF3896" s="5"/>
      <c r="BG3896" s="5"/>
      <c r="BH3896" s="5"/>
      <c r="BI3896" s="5"/>
      <c r="BJ3896" s="5"/>
      <c r="BK3896" s="5"/>
      <c r="BL3896" s="5"/>
      <c r="BM3896" s="5"/>
      <c r="BN3896" s="5"/>
      <c r="BO3896" s="5"/>
      <c r="BP3896" s="5"/>
    </row>
    <row r="3897" spans="35:68" x14ac:dyDescent="0.25">
      <c r="AI3897" s="49"/>
      <c r="AJ3897" s="78"/>
      <c r="AK3897" s="79"/>
      <c r="AL3897" s="79"/>
      <c r="AM3897" s="79"/>
      <c r="AN3897" s="79"/>
      <c r="AO3897" s="79"/>
      <c r="AP3897" s="79"/>
      <c r="AQ3897" s="79"/>
      <c r="AR3897" s="78"/>
      <c r="AS3897" s="78"/>
      <c r="AT3897" s="79"/>
      <c r="AU3897" s="79"/>
      <c r="AV3897" s="79"/>
      <c r="AW3897" s="79"/>
      <c r="AX3897" s="79"/>
      <c r="AZ3897" s="81"/>
      <c r="BB3897" s="5"/>
      <c r="BC3897" s="5"/>
      <c r="BD3897" s="5"/>
      <c r="BE3897" s="5"/>
      <c r="BF3897" s="5"/>
      <c r="BG3897" s="5"/>
      <c r="BH3897" s="5"/>
      <c r="BI3897" s="5"/>
      <c r="BJ3897" s="5"/>
      <c r="BK3897" s="5"/>
      <c r="BL3897" s="5"/>
      <c r="BM3897" s="5"/>
      <c r="BN3897" s="5"/>
      <c r="BO3897" s="5"/>
      <c r="BP3897" s="5"/>
    </row>
    <row r="3898" spans="35:68" x14ac:dyDescent="0.25">
      <c r="AI3898" s="49"/>
      <c r="AJ3898" s="78"/>
      <c r="AK3898" s="79"/>
      <c r="AL3898" s="79"/>
      <c r="AM3898" s="79"/>
      <c r="AN3898" s="79"/>
      <c r="AO3898" s="79"/>
      <c r="AP3898" s="79"/>
      <c r="AQ3898" s="79"/>
      <c r="AR3898" s="78"/>
      <c r="AS3898" s="78"/>
      <c r="AT3898" s="79"/>
      <c r="AU3898" s="79"/>
      <c r="AV3898" s="79"/>
      <c r="AW3898" s="79"/>
      <c r="AX3898" s="79"/>
      <c r="AZ3898" s="81"/>
      <c r="BB3898" s="5"/>
      <c r="BC3898" s="5"/>
      <c r="BD3898" s="5"/>
      <c r="BE3898" s="5"/>
      <c r="BF3898" s="5"/>
      <c r="BG3898" s="5"/>
      <c r="BH3898" s="5"/>
      <c r="BI3898" s="5"/>
      <c r="BJ3898" s="5"/>
      <c r="BK3898" s="5"/>
      <c r="BL3898" s="5"/>
      <c r="BM3898" s="5"/>
      <c r="BN3898" s="5"/>
      <c r="BO3898" s="5"/>
      <c r="BP3898" s="5"/>
    </row>
    <row r="3899" spans="35:68" x14ac:dyDescent="0.25">
      <c r="AI3899" s="49"/>
      <c r="AJ3899" s="78"/>
      <c r="AK3899" s="79"/>
      <c r="AL3899" s="79"/>
      <c r="AM3899" s="79"/>
      <c r="AN3899" s="79"/>
      <c r="AO3899" s="79"/>
      <c r="AP3899" s="79"/>
      <c r="AQ3899" s="79"/>
      <c r="AR3899" s="78"/>
      <c r="AS3899" s="78"/>
      <c r="AT3899" s="79"/>
      <c r="AU3899" s="79"/>
      <c r="AV3899" s="79"/>
      <c r="AW3899" s="79"/>
      <c r="AX3899" s="79"/>
      <c r="AZ3899" s="81"/>
      <c r="BB3899" s="5"/>
      <c r="BC3899" s="5"/>
      <c r="BD3899" s="5"/>
      <c r="BE3899" s="5"/>
      <c r="BF3899" s="5"/>
      <c r="BG3899" s="5"/>
      <c r="BH3899" s="5"/>
      <c r="BI3899" s="5"/>
      <c r="BJ3899" s="5"/>
      <c r="BK3899" s="5"/>
      <c r="BL3899" s="5"/>
      <c r="BM3899" s="5"/>
      <c r="BN3899" s="5"/>
      <c r="BO3899" s="5"/>
      <c r="BP3899" s="5"/>
    </row>
    <row r="3900" spans="35:68" x14ac:dyDescent="0.25">
      <c r="AI3900" s="49"/>
      <c r="AJ3900" s="78"/>
      <c r="AK3900" s="79"/>
      <c r="AL3900" s="79"/>
      <c r="AM3900" s="79"/>
      <c r="AN3900" s="79"/>
      <c r="AO3900" s="79"/>
      <c r="AP3900" s="79"/>
      <c r="AQ3900" s="79"/>
      <c r="AR3900" s="78"/>
      <c r="AS3900" s="78"/>
      <c r="AT3900" s="79"/>
      <c r="AU3900" s="79"/>
      <c r="AV3900" s="79"/>
      <c r="AW3900" s="79"/>
      <c r="AX3900" s="79"/>
      <c r="AZ3900" s="81"/>
      <c r="BB3900" s="5"/>
      <c r="BC3900" s="5"/>
      <c r="BD3900" s="5"/>
      <c r="BE3900" s="5"/>
      <c r="BF3900" s="5"/>
      <c r="BG3900" s="5"/>
      <c r="BH3900" s="5"/>
      <c r="BI3900" s="5"/>
      <c r="BJ3900" s="5"/>
      <c r="BK3900" s="5"/>
      <c r="BL3900" s="5"/>
      <c r="BM3900" s="5"/>
      <c r="BN3900" s="5"/>
      <c r="BO3900" s="5"/>
      <c r="BP3900" s="5"/>
    </row>
    <row r="3901" spans="35:68" x14ac:dyDescent="0.25">
      <c r="AI3901" s="49"/>
      <c r="AJ3901" s="78"/>
      <c r="AK3901" s="79"/>
      <c r="AL3901" s="79"/>
      <c r="AM3901" s="79"/>
      <c r="AN3901" s="79"/>
      <c r="AO3901" s="79"/>
      <c r="AP3901" s="79"/>
      <c r="AQ3901" s="79"/>
      <c r="AR3901" s="78"/>
      <c r="AS3901" s="78"/>
      <c r="AT3901" s="79"/>
      <c r="AU3901" s="79"/>
      <c r="AV3901" s="79"/>
      <c r="AW3901" s="79"/>
      <c r="AX3901" s="79"/>
      <c r="AZ3901" s="81"/>
      <c r="BB3901" s="5"/>
      <c r="BC3901" s="5"/>
      <c r="BD3901" s="5"/>
      <c r="BE3901" s="5"/>
      <c r="BF3901" s="5"/>
      <c r="BG3901" s="5"/>
      <c r="BH3901" s="5"/>
      <c r="BI3901" s="5"/>
      <c r="BJ3901" s="5"/>
      <c r="BK3901" s="5"/>
      <c r="BL3901" s="5"/>
      <c r="BM3901" s="5"/>
      <c r="BN3901" s="5"/>
      <c r="BO3901" s="5"/>
      <c r="BP3901" s="5"/>
    </row>
    <row r="3902" spans="35:68" x14ac:dyDescent="0.25">
      <c r="AI3902" s="49"/>
      <c r="AJ3902" s="78"/>
      <c r="AK3902" s="79"/>
      <c r="AL3902" s="79"/>
      <c r="AM3902" s="79"/>
      <c r="AN3902" s="79"/>
      <c r="AO3902" s="79"/>
      <c r="AP3902" s="79"/>
      <c r="AQ3902" s="79"/>
      <c r="AR3902" s="78"/>
      <c r="AS3902" s="78"/>
      <c r="AT3902" s="79"/>
      <c r="AU3902" s="79"/>
      <c r="AV3902" s="79"/>
      <c r="AW3902" s="79"/>
      <c r="AX3902" s="79"/>
      <c r="AZ3902" s="81"/>
      <c r="BB3902" s="5"/>
      <c r="BC3902" s="5"/>
      <c r="BD3902" s="5"/>
      <c r="BE3902" s="5"/>
      <c r="BF3902" s="5"/>
      <c r="BG3902" s="5"/>
      <c r="BH3902" s="5"/>
      <c r="BI3902" s="5"/>
      <c r="BJ3902" s="5"/>
      <c r="BK3902" s="5"/>
      <c r="BL3902" s="5"/>
      <c r="BM3902" s="5"/>
      <c r="BN3902" s="5"/>
      <c r="BO3902" s="5"/>
      <c r="BP3902" s="5"/>
    </row>
    <row r="3903" spans="35:68" x14ac:dyDescent="0.25">
      <c r="AI3903" s="49"/>
      <c r="AJ3903" s="78"/>
      <c r="AK3903" s="79"/>
      <c r="AL3903" s="79"/>
      <c r="AM3903" s="79"/>
      <c r="AN3903" s="79"/>
      <c r="AO3903" s="79"/>
      <c r="AP3903" s="79"/>
      <c r="AQ3903" s="79"/>
      <c r="AR3903" s="78"/>
      <c r="AS3903" s="78"/>
      <c r="AT3903" s="79"/>
      <c r="AU3903" s="79"/>
      <c r="AV3903" s="79"/>
      <c r="AW3903" s="79"/>
      <c r="AX3903" s="79"/>
      <c r="AZ3903" s="81"/>
      <c r="BB3903" s="5"/>
      <c r="BC3903" s="5"/>
      <c r="BD3903" s="5"/>
      <c r="BE3903" s="5"/>
      <c r="BF3903" s="5"/>
      <c r="BG3903" s="5"/>
      <c r="BH3903" s="5"/>
      <c r="BI3903" s="5"/>
      <c r="BJ3903" s="5"/>
      <c r="BK3903" s="5"/>
      <c r="BL3903" s="5"/>
      <c r="BM3903" s="5"/>
      <c r="BN3903" s="5"/>
      <c r="BO3903" s="5"/>
      <c r="BP3903" s="5"/>
    </row>
    <row r="3904" spans="35:68" x14ac:dyDescent="0.25">
      <c r="AI3904" s="49"/>
      <c r="AJ3904" s="78"/>
      <c r="AK3904" s="79"/>
      <c r="AL3904" s="79"/>
      <c r="AM3904" s="79"/>
      <c r="AN3904" s="79"/>
      <c r="AO3904" s="79"/>
      <c r="AP3904" s="79"/>
      <c r="AQ3904" s="79"/>
      <c r="AR3904" s="78"/>
      <c r="AS3904" s="78"/>
      <c r="AT3904" s="79"/>
      <c r="AU3904" s="79"/>
      <c r="AV3904" s="79"/>
      <c r="AW3904" s="79"/>
      <c r="AX3904" s="79"/>
      <c r="AZ3904" s="81"/>
      <c r="BB3904" s="5"/>
      <c r="BC3904" s="5"/>
      <c r="BD3904" s="5"/>
      <c r="BE3904" s="5"/>
      <c r="BF3904" s="5"/>
      <c r="BG3904" s="5"/>
      <c r="BH3904" s="5"/>
      <c r="BI3904" s="5"/>
      <c r="BJ3904" s="5"/>
      <c r="BK3904" s="5"/>
      <c r="BL3904" s="5"/>
      <c r="BM3904" s="5"/>
      <c r="BN3904" s="5"/>
      <c r="BO3904" s="5"/>
      <c r="BP3904" s="5"/>
    </row>
    <row r="3905" spans="35:68" x14ac:dyDescent="0.25">
      <c r="AI3905" s="49"/>
      <c r="AJ3905" s="78"/>
      <c r="AK3905" s="79"/>
      <c r="AL3905" s="79"/>
      <c r="AM3905" s="79"/>
      <c r="AN3905" s="79"/>
      <c r="AO3905" s="79"/>
      <c r="AP3905" s="79"/>
      <c r="AQ3905" s="79"/>
      <c r="AR3905" s="78"/>
      <c r="AS3905" s="78"/>
      <c r="AT3905" s="79"/>
      <c r="AU3905" s="79"/>
      <c r="AV3905" s="79"/>
      <c r="AW3905" s="79"/>
      <c r="AX3905" s="79"/>
      <c r="AZ3905" s="81"/>
      <c r="BB3905" s="5"/>
      <c r="BC3905" s="5"/>
      <c r="BD3905" s="5"/>
      <c r="BE3905" s="5"/>
      <c r="BF3905" s="5"/>
      <c r="BG3905" s="5"/>
      <c r="BH3905" s="5"/>
      <c r="BI3905" s="5"/>
      <c r="BJ3905" s="5"/>
      <c r="BK3905" s="5"/>
      <c r="BL3905" s="5"/>
      <c r="BM3905" s="5"/>
      <c r="BN3905" s="5"/>
      <c r="BO3905" s="5"/>
      <c r="BP3905" s="5"/>
    </row>
    <row r="3906" spans="35:68" x14ac:dyDescent="0.25">
      <c r="AI3906" s="49"/>
      <c r="AJ3906" s="78"/>
      <c r="AK3906" s="79"/>
      <c r="AL3906" s="79"/>
      <c r="AM3906" s="79"/>
      <c r="AN3906" s="79"/>
      <c r="AO3906" s="79"/>
      <c r="AP3906" s="79"/>
      <c r="AQ3906" s="79"/>
      <c r="AR3906" s="78"/>
      <c r="AS3906" s="78"/>
      <c r="AT3906" s="79"/>
      <c r="AU3906" s="79"/>
      <c r="AV3906" s="79"/>
      <c r="AW3906" s="79"/>
      <c r="AX3906" s="79"/>
      <c r="AZ3906" s="81"/>
      <c r="BB3906" s="5"/>
      <c r="BC3906" s="5"/>
      <c r="BD3906" s="5"/>
      <c r="BE3906" s="5"/>
      <c r="BF3906" s="5"/>
      <c r="BG3906" s="5"/>
      <c r="BH3906" s="5"/>
      <c r="BI3906" s="5"/>
      <c r="BJ3906" s="5"/>
      <c r="BK3906" s="5"/>
      <c r="BL3906" s="5"/>
      <c r="BM3906" s="5"/>
      <c r="BN3906" s="5"/>
      <c r="BO3906" s="5"/>
      <c r="BP3906" s="5"/>
    </row>
    <row r="3907" spans="35:68" x14ac:dyDescent="0.25">
      <c r="AI3907" s="49"/>
      <c r="AJ3907" s="78"/>
      <c r="AK3907" s="79"/>
      <c r="AL3907" s="79"/>
      <c r="AM3907" s="79"/>
      <c r="AN3907" s="79"/>
      <c r="AO3907" s="79"/>
      <c r="AP3907" s="79"/>
      <c r="AQ3907" s="79"/>
      <c r="AR3907" s="78"/>
      <c r="AS3907" s="78"/>
      <c r="AT3907" s="79"/>
      <c r="AU3907" s="79"/>
      <c r="AV3907" s="79"/>
      <c r="AW3907" s="79"/>
      <c r="AX3907" s="79"/>
      <c r="AZ3907" s="81"/>
      <c r="BB3907" s="5"/>
      <c r="BC3907" s="5"/>
      <c r="BD3907" s="5"/>
      <c r="BE3907" s="5"/>
      <c r="BF3907" s="5"/>
      <c r="BG3907" s="5"/>
      <c r="BH3907" s="5"/>
      <c r="BI3907" s="5"/>
      <c r="BJ3907" s="5"/>
      <c r="BK3907" s="5"/>
      <c r="BL3907" s="5"/>
      <c r="BM3907" s="5"/>
      <c r="BN3907" s="5"/>
      <c r="BO3907" s="5"/>
      <c r="BP3907" s="5"/>
    </row>
    <row r="3908" spans="35:68" x14ac:dyDescent="0.25">
      <c r="AI3908" s="49"/>
      <c r="AJ3908" s="78"/>
      <c r="AK3908" s="79"/>
      <c r="AL3908" s="79"/>
      <c r="AM3908" s="79"/>
      <c r="AN3908" s="79"/>
      <c r="AO3908" s="79"/>
      <c r="AP3908" s="79"/>
      <c r="AQ3908" s="79"/>
      <c r="AR3908" s="78"/>
      <c r="AS3908" s="78"/>
      <c r="AT3908" s="79"/>
      <c r="AU3908" s="79"/>
      <c r="AV3908" s="79"/>
      <c r="AW3908" s="79"/>
      <c r="AX3908" s="79"/>
      <c r="AZ3908" s="81"/>
      <c r="BB3908" s="5"/>
      <c r="BC3908" s="5"/>
      <c r="BD3908" s="5"/>
      <c r="BE3908" s="5"/>
      <c r="BF3908" s="5"/>
      <c r="BG3908" s="5"/>
      <c r="BH3908" s="5"/>
      <c r="BI3908" s="5"/>
      <c r="BJ3908" s="5"/>
      <c r="BK3908" s="5"/>
      <c r="BL3908" s="5"/>
      <c r="BM3908" s="5"/>
      <c r="BN3908" s="5"/>
      <c r="BO3908" s="5"/>
      <c r="BP3908" s="5"/>
    </row>
    <row r="3909" spans="35:68" x14ac:dyDescent="0.25">
      <c r="AI3909" s="49"/>
      <c r="AJ3909" s="78"/>
      <c r="AK3909" s="79"/>
      <c r="AL3909" s="79"/>
      <c r="AM3909" s="79"/>
      <c r="AN3909" s="79"/>
      <c r="AO3909" s="79"/>
      <c r="AP3909" s="79"/>
      <c r="AQ3909" s="79"/>
      <c r="AR3909" s="78"/>
      <c r="AS3909" s="78"/>
      <c r="AT3909" s="79"/>
      <c r="AU3909" s="79"/>
      <c r="AV3909" s="79"/>
      <c r="AW3909" s="79"/>
      <c r="AX3909" s="79"/>
      <c r="AZ3909" s="81"/>
      <c r="BB3909" s="5"/>
      <c r="BC3909" s="5"/>
      <c r="BD3909" s="5"/>
      <c r="BE3909" s="5"/>
      <c r="BF3909" s="5"/>
      <c r="BG3909" s="5"/>
      <c r="BH3909" s="5"/>
      <c r="BI3909" s="5"/>
      <c r="BJ3909" s="5"/>
      <c r="BK3909" s="5"/>
      <c r="BL3909" s="5"/>
      <c r="BM3909" s="5"/>
      <c r="BN3909" s="5"/>
      <c r="BO3909" s="5"/>
      <c r="BP3909" s="5"/>
    </row>
    <row r="3910" spans="35:68" x14ac:dyDescent="0.25">
      <c r="AI3910" s="49"/>
      <c r="AJ3910" s="78"/>
      <c r="AK3910" s="79"/>
      <c r="AL3910" s="79"/>
      <c r="AM3910" s="79"/>
      <c r="AN3910" s="79"/>
      <c r="AO3910" s="79"/>
      <c r="AP3910" s="79"/>
      <c r="AQ3910" s="79"/>
      <c r="AR3910" s="78"/>
      <c r="AS3910" s="78"/>
      <c r="AT3910" s="79"/>
      <c r="AU3910" s="79"/>
      <c r="AV3910" s="79"/>
      <c r="AW3910" s="79"/>
      <c r="AX3910" s="79"/>
      <c r="AZ3910" s="81"/>
      <c r="BB3910" s="5"/>
      <c r="BC3910" s="5"/>
      <c r="BD3910" s="5"/>
      <c r="BE3910" s="5"/>
      <c r="BF3910" s="5"/>
      <c r="BG3910" s="5"/>
      <c r="BH3910" s="5"/>
      <c r="BI3910" s="5"/>
      <c r="BJ3910" s="5"/>
      <c r="BK3910" s="5"/>
      <c r="BL3910" s="5"/>
      <c r="BM3910" s="5"/>
      <c r="BN3910" s="5"/>
      <c r="BO3910" s="5"/>
      <c r="BP3910" s="5"/>
    </row>
    <row r="3911" spans="35:68" x14ac:dyDescent="0.25">
      <c r="AI3911" s="49"/>
      <c r="AJ3911" s="78"/>
      <c r="AK3911" s="79"/>
      <c r="AL3911" s="79"/>
      <c r="AM3911" s="79"/>
      <c r="AN3911" s="79"/>
      <c r="AO3911" s="79"/>
      <c r="AP3911" s="79"/>
      <c r="AQ3911" s="79"/>
      <c r="AR3911" s="78"/>
      <c r="AS3911" s="78"/>
      <c r="AT3911" s="79"/>
      <c r="AU3911" s="79"/>
      <c r="AV3911" s="79"/>
      <c r="AW3911" s="79"/>
      <c r="AX3911" s="79"/>
      <c r="AZ3911" s="81"/>
      <c r="BB3911" s="5"/>
      <c r="BC3911" s="5"/>
      <c r="BD3911" s="5"/>
      <c r="BE3911" s="5"/>
      <c r="BF3911" s="5"/>
      <c r="BG3911" s="5"/>
      <c r="BH3911" s="5"/>
      <c r="BI3911" s="5"/>
      <c r="BJ3911" s="5"/>
      <c r="BK3911" s="5"/>
      <c r="BL3911" s="5"/>
      <c r="BM3911" s="5"/>
      <c r="BN3911" s="5"/>
      <c r="BO3911" s="5"/>
      <c r="BP3911" s="5"/>
    </row>
    <row r="3912" spans="35:68" x14ac:dyDescent="0.25">
      <c r="AI3912" s="49"/>
      <c r="AJ3912" s="78"/>
      <c r="AK3912" s="79"/>
      <c r="AL3912" s="79"/>
      <c r="AM3912" s="79"/>
      <c r="AN3912" s="79"/>
      <c r="AO3912" s="79"/>
      <c r="AP3912" s="79"/>
      <c r="AQ3912" s="79"/>
      <c r="AR3912" s="78"/>
      <c r="AS3912" s="78"/>
      <c r="AT3912" s="79"/>
      <c r="AU3912" s="79"/>
      <c r="AV3912" s="79"/>
      <c r="AW3912" s="79"/>
      <c r="AX3912" s="79"/>
      <c r="AZ3912" s="81"/>
      <c r="BB3912" s="5"/>
      <c r="BC3912" s="5"/>
      <c r="BD3912" s="5"/>
      <c r="BE3912" s="5"/>
      <c r="BF3912" s="5"/>
      <c r="BG3912" s="5"/>
      <c r="BH3912" s="5"/>
      <c r="BI3912" s="5"/>
      <c r="BJ3912" s="5"/>
      <c r="BK3912" s="5"/>
      <c r="BL3912" s="5"/>
      <c r="BM3912" s="5"/>
      <c r="BN3912" s="5"/>
      <c r="BO3912" s="5"/>
      <c r="BP3912" s="5"/>
    </row>
    <row r="3913" spans="35:68" x14ac:dyDescent="0.25">
      <c r="AI3913" s="49"/>
      <c r="AJ3913" s="78"/>
      <c r="AK3913" s="79"/>
      <c r="AL3913" s="79"/>
      <c r="AM3913" s="79"/>
      <c r="AN3913" s="79"/>
      <c r="AO3913" s="79"/>
      <c r="AP3913" s="79"/>
      <c r="AQ3913" s="79"/>
      <c r="AR3913" s="78"/>
      <c r="AS3913" s="78"/>
      <c r="AT3913" s="79"/>
      <c r="AU3913" s="79"/>
      <c r="AV3913" s="79"/>
      <c r="AW3913" s="79"/>
      <c r="AX3913" s="79"/>
      <c r="AZ3913" s="81"/>
      <c r="BB3913" s="5"/>
      <c r="BC3913" s="5"/>
      <c r="BD3913" s="5"/>
      <c r="BE3913" s="5"/>
      <c r="BF3913" s="5"/>
      <c r="BG3913" s="5"/>
      <c r="BH3913" s="5"/>
      <c r="BI3913" s="5"/>
      <c r="BJ3913" s="5"/>
      <c r="BK3913" s="5"/>
      <c r="BL3913" s="5"/>
      <c r="BM3913" s="5"/>
      <c r="BN3913" s="5"/>
      <c r="BO3913" s="5"/>
      <c r="BP3913" s="5"/>
    </row>
    <row r="3914" spans="35:68" x14ac:dyDescent="0.25">
      <c r="AI3914" s="49"/>
      <c r="AJ3914" s="78"/>
      <c r="AK3914" s="79"/>
      <c r="AL3914" s="79"/>
      <c r="AM3914" s="79"/>
      <c r="AN3914" s="79"/>
      <c r="AO3914" s="79"/>
      <c r="AP3914" s="79"/>
      <c r="AQ3914" s="79"/>
      <c r="AR3914" s="78"/>
      <c r="AS3914" s="78"/>
      <c r="AT3914" s="79"/>
      <c r="AU3914" s="79"/>
      <c r="AV3914" s="79"/>
      <c r="AW3914" s="79"/>
      <c r="AX3914" s="79"/>
      <c r="AZ3914" s="81"/>
      <c r="BB3914" s="5"/>
      <c r="BC3914" s="5"/>
      <c r="BD3914" s="5"/>
      <c r="BE3914" s="5"/>
      <c r="BF3914" s="5"/>
      <c r="BG3914" s="5"/>
      <c r="BH3914" s="5"/>
      <c r="BI3914" s="5"/>
      <c r="BJ3914" s="5"/>
      <c r="BK3914" s="5"/>
      <c r="BL3914" s="5"/>
      <c r="BM3914" s="5"/>
      <c r="BN3914" s="5"/>
      <c r="BO3914" s="5"/>
      <c r="BP3914" s="5"/>
    </row>
    <row r="3915" spans="35:68" x14ac:dyDescent="0.25">
      <c r="AI3915" s="49"/>
      <c r="AJ3915" s="78"/>
      <c r="AK3915" s="79"/>
      <c r="AL3915" s="79"/>
      <c r="AM3915" s="79"/>
      <c r="AN3915" s="79"/>
      <c r="AO3915" s="79"/>
      <c r="AP3915" s="79"/>
      <c r="AQ3915" s="79"/>
      <c r="AR3915" s="78"/>
      <c r="AS3915" s="78"/>
      <c r="AT3915" s="79"/>
      <c r="AU3915" s="79"/>
      <c r="AV3915" s="79"/>
      <c r="AW3915" s="79"/>
      <c r="AX3915" s="79"/>
      <c r="AZ3915" s="81"/>
      <c r="BB3915" s="5"/>
      <c r="BC3915" s="5"/>
      <c r="BD3915" s="5"/>
      <c r="BE3915" s="5"/>
      <c r="BF3915" s="5"/>
      <c r="BG3915" s="5"/>
      <c r="BH3915" s="5"/>
      <c r="BI3915" s="5"/>
      <c r="BJ3915" s="5"/>
      <c r="BK3915" s="5"/>
      <c r="BL3915" s="5"/>
      <c r="BM3915" s="5"/>
      <c r="BN3915" s="5"/>
      <c r="BO3915" s="5"/>
      <c r="BP3915" s="5"/>
    </row>
    <row r="3916" spans="35:68" x14ac:dyDescent="0.25">
      <c r="AI3916" s="49"/>
      <c r="AJ3916" s="78"/>
      <c r="AK3916" s="79"/>
      <c r="AL3916" s="79"/>
      <c r="AM3916" s="79"/>
      <c r="AN3916" s="79"/>
      <c r="AO3916" s="79"/>
      <c r="AP3916" s="79"/>
      <c r="AQ3916" s="79"/>
      <c r="AR3916" s="78"/>
      <c r="AS3916" s="78"/>
      <c r="AT3916" s="79"/>
      <c r="AU3916" s="79"/>
      <c r="AV3916" s="79"/>
      <c r="AW3916" s="79"/>
      <c r="AX3916" s="79"/>
      <c r="AZ3916" s="81"/>
      <c r="BB3916" s="5"/>
      <c r="BC3916" s="5"/>
      <c r="BD3916" s="5"/>
      <c r="BE3916" s="5"/>
      <c r="BF3916" s="5"/>
      <c r="BG3916" s="5"/>
      <c r="BH3916" s="5"/>
      <c r="BI3916" s="5"/>
      <c r="BJ3916" s="5"/>
      <c r="BK3916" s="5"/>
      <c r="BL3916" s="5"/>
      <c r="BM3916" s="5"/>
      <c r="BN3916" s="5"/>
      <c r="BO3916" s="5"/>
      <c r="BP3916" s="5"/>
    </row>
    <row r="3917" spans="35:68" x14ac:dyDescent="0.25">
      <c r="AI3917" s="49"/>
      <c r="AJ3917" s="78"/>
      <c r="AK3917" s="79"/>
      <c r="AL3917" s="79"/>
      <c r="AM3917" s="79"/>
      <c r="AN3917" s="79"/>
      <c r="AO3917" s="79"/>
      <c r="AP3917" s="79"/>
      <c r="AQ3917" s="79"/>
      <c r="AR3917" s="78"/>
      <c r="AS3917" s="78"/>
      <c r="AT3917" s="79"/>
      <c r="AU3917" s="79"/>
      <c r="AV3917" s="79"/>
      <c r="AW3917" s="79"/>
      <c r="AX3917" s="79"/>
      <c r="AZ3917" s="81"/>
      <c r="BB3917" s="5"/>
      <c r="BC3917" s="5"/>
      <c r="BD3917" s="5"/>
      <c r="BE3917" s="5"/>
      <c r="BF3917" s="5"/>
      <c r="BG3917" s="5"/>
      <c r="BH3917" s="5"/>
      <c r="BI3917" s="5"/>
      <c r="BJ3917" s="5"/>
      <c r="BK3917" s="5"/>
      <c r="BL3917" s="5"/>
      <c r="BM3917" s="5"/>
      <c r="BN3917" s="5"/>
      <c r="BO3917" s="5"/>
      <c r="BP3917" s="5"/>
    </row>
    <row r="3918" spans="35:68" x14ac:dyDescent="0.25">
      <c r="AI3918" s="49"/>
      <c r="AJ3918" s="78"/>
      <c r="AK3918" s="79"/>
      <c r="AL3918" s="79"/>
      <c r="AM3918" s="79"/>
      <c r="AN3918" s="79"/>
      <c r="AO3918" s="79"/>
      <c r="AP3918" s="79"/>
      <c r="AQ3918" s="79"/>
      <c r="AR3918" s="78"/>
      <c r="AS3918" s="78"/>
      <c r="AT3918" s="79"/>
      <c r="AU3918" s="79"/>
      <c r="AV3918" s="79"/>
      <c r="AW3918" s="79"/>
      <c r="AX3918" s="79"/>
      <c r="AZ3918" s="81"/>
      <c r="BB3918" s="5"/>
      <c r="BC3918" s="5"/>
      <c r="BD3918" s="5"/>
      <c r="BE3918" s="5"/>
      <c r="BF3918" s="5"/>
      <c r="BG3918" s="5"/>
      <c r="BH3918" s="5"/>
      <c r="BI3918" s="5"/>
      <c r="BJ3918" s="5"/>
      <c r="BK3918" s="5"/>
      <c r="BL3918" s="5"/>
      <c r="BM3918" s="5"/>
      <c r="BN3918" s="5"/>
      <c r="BO3918" s="5"/>
      <c r="BP3918" s="5"/>
    </row>
    <row r="3919" spans="35:68" x14ac:dyDescent="0.25">
      <c r="AI3919" s="49"/>
      <c r="AJ3919" s="78"/>
      <c r="AK3919" s="79"/>
      <c r="AL3919" s="79"/>
      <c r="AM3919" s="79"/>
      <c r="AN3919" s="79"/>
      <c r="AO3919" s="79"/>
      <c r="AP3919" s="79"/>
      <c r="AQ3919" s="79"/>
      <c r="AR3919" s="78"/>
      <c r="AS3919" s="78"/>
      <c r="AT3919" s="79"/>
      <c r="AU3919" s="79"/>
      <c r="AV3919" s="79"/>
      <c r="AW3919" s="79"/>
      <c r="AX3919" s="79"/>
      <c r="AZ3919" s="81"/>
      <c r="BB3919" s="5"/>
      <c r="BC3919" s="5"/>
      <c r="BD3919" s="5"/>
      <c r="BE3919" s="5"/>
      <c r="BF3919" s="5"/>
      <c r="BG3919" s="5"/>
      <c r="BH3919" s="5"/>
      <c r="BI3919" s="5"/>
      <c r="BJ3919" s="5"/>
      <c r="BK3919" s="5"/>
      <c r="BL3919" s="5"/>
      <c r="BM3919" s="5"/>
      <c r="BN3919" s="5"/>
      <c r="BO3919" s="5"/>
      <c r="BP3919" s="5"/>
    </row>
    <row r="3920" spans="35:68" x14ac:dyDescent="0.25">
      <c r="AI3920" s="49"/>
      <c r="AJ3920" s="78"/>
      <c r="AK3920" s="79"/>
      <c r="AL3920" s="79"/>
      <c r="AM3920" s="79"/>
      <c r="AN3920" s="79"/>
      <c r="AO3920" s="79"/>
      <c r="AP3920" s="79"/>
      <c r="AQ3920" s="79"/>
      <c r="AR3920" s="78"/>
      <c r="AS3920" s="78"/>
      <c r="AT3920" s="79"/>
      <c r="AU3920" s="79"/>
      <c r="AV3920" s="79"/>
      <c r="AW3920" s="79"/>
      <c r="AX3920" s="79"/>
      <c r="AZ3920" s="81"/>
      <c r="BB3920" s="5"/>
      <c r="BC3920" s="5"/>
      <c r="BD3920" s="5"/>
      <c r="BE3920" s="5"/>
      <c r="BF3920" s="5"/>
      <c r="BG3920" s="5"/>
      <c r="BH3920" s="5"/>
      <c r="BI3920" s="5"/>
      <c r="BJ3920" s="5"/>
      <c r="BK3920" s="5"/>
      <c r="BL3920" s="5"/>
      <c r="BM3920" s="5"/>
      <c r="BN3920" s="5"/>
      <c r="BO3920" s="5"/>
      <c r="BP3920" s="5"/>
    </row>
    <row r="3921" spans="35:68" x14ac:dyDescent="0.25">
      <c r="AI3921" s="49"/>
      <c r="AJ3921" s="78"/>
      <c r="AK3921" s="79"/>
      <c r="AL3921" s="79"/>
      <c r="AM3921" s="79"/>
      <c r="AN3921" s="79"/>
      <c r="AO3921" s="79"/>
      <c r="AP3921" s="79"/>
      <c r="AQ3921" s="79"/>
      <c r="AR3921" s="78"/>
      <c r="AS3921" s="78"/>
      <c r="AT3921" s="79"/>
      <c r="AU3921" s="79"/>
      <c r="AV3921" s="79"/>
      <c r="AW3921" s="79"/>
      <c r="AX3921" s="79"/>
      <c r="AZ3921" s="81"/>
      <c r="BB3921" s="5"/>
      <c r="BC3921" s="5"/>
      <c r="BD3921" s="5"/>
      <c r="BE3921" s="5"/>
      <c r="BF3921" s="5"/>
      <c r="BG3921" s="5"/>
      <c r="BH3921" s="5"/>
      <c r="BI3921" s="5"/>
      <c r="BJ3921" s="5"/>
      <c r="BK3921" s="5"/>
      <c r="BL3921" s="5"/>
      <c r="BM3921" s="5"/>
      <c r="BN3921" s="5"/>
      <c r="BO3921" s="5"/>
      <c r="BP3921" s="5"/>
    </row>
    <row r="3922" spans="35:68" x14ac:dyDescent="0.25">
      <c r="AI3922" s="49"/>
      <c r="AJ3922" s="78"/>
      <c r="AK3922" s="79"/>
      <c r="AL3922" s="79"/>
      <c r="AM3922" s="79"/>
      <c r="AN3922" s="79"/>
      <c r="AO3922" s="79"/>
      <c r="AP3922" s="79"/>
      <c r="AQ3922" s="79"/>
      <c r="AR3922" s="78"/>
      <c r="AS3922" s="78"/>
      <c r="AT3922" s="79"/>
      <c r="AU3922" s="79"/>
      <c r="AV3922" s="79"/>
      <c r="AW3922" s="79"/>
      <c r="AX3922" s="79"/>
      <c r="AZ3922" s="81"/>
      <c r="BB3922" s="5"/>
      <c r="BC3922" s="5"/>
      <c r="BD3922" s="5"/>
      <c r="BE3922" s="5"/>
      <c r="BF3922" s="5"/>
      <c r="BG3922" s="5"/>
      <c r="BH3922" s="5"/>
      <c r="BI3922" s="5"/>
      <c r="BJ3922" s="5"/>
      <c r="BK3922" s="5"/>
      <c r="BL3922" s="5"/>
      <c r="BM3922" s="5"/>
      <c r="BN3922" s="5"/>
      <c r="BO3922" s="5"/>
      <c r="BP3922" s="5"/>
    </row>
    <row r="3923" spans="35:68" x14ac:dyDescent="0.25">
      <c r="AI3923" s="49"/>
      <c r="AJ3923" s="78"/>
      <c r="AK3923" s="79"/>
      <c r="AL3923" s="79"/>
      <c r="AM3923" s="79"/>
      <c r="AN3923" s="79"/>
      <c r="AO3923" s="79"/>
      <c r="AP3923" s="79"/>
      <c r="AQ3923" s="79"/>
      <c r="AR3923" s="78"/>
      <c r="AS3923" s="78"/>
      <c r="AT3923" s="79"/>
      <c r="AU3923" s="79"/>
      <c r="AV3923" s="79"/>
      <c r="AW3923" s="79"/>
      <c r="AX3923" s="79"/>
      <c r="AZ3923" s="81"/>
      <c r="BB3923" s="5"/>
      <c r="BC3923" s="5"/>
      <c r="BD3923" s="5"/>
      <c r="BE3923" s="5"/>
      <c r="BF3923" s="5"/>
      <c r="BG3923" s="5"/>
      <c r="BH3923" s="5"/>
      <c r="BI3923" s="5"/>
      <c r="BJ3923" s="5"/>
      <c r="BK3923" s="5"/>
      <c r="BL3923" s="5"/>
      <c r="BM3923" s="5"/>
      <c r="BN3923" s="5"/>
      <c r="BO3923" s="5"/>
      <c r="BP3923" s="5"/>
    </row>
    <row r="3924" spans="35:68" x14ac:dyDescent="0.25">
      <c r="AI3924" s="49"/>
      <c r="AJ3924" s="78"/>
      <c r="AK3924" s="79"/>
      <c r="AL3924" s="79"/>
      <c r="AM3924" s="79"/>
      <c r="AN3924" s="79"/>
      <c r="AO3924" s="79"/>
      <c r="AP3924" s="79"/>
      <c r="AQ3924" s="79"/>
      <c r="AR3924" s="78"/>
      <c r="AS3924" s="78"/>
      <c r="AT3924" s="79"/>
      <c r="AU3924" s="79"/>
      <c r="AV3924" s="79"/>
      <c r="AW3924" s="79"/>
      <c r="AX3924" s="79"/>
      <c r="AZ3924" s="81"/>
      <c r="BB3924" s="5"/>
      <c r="BC3924" s="5"/>
      <c r="BD3924" s="5"/>
      <c r="BE3924" s="5"/>
      <c r="BF3924" s="5"/>
      <c r="BG3924" s="5"/>
      <c r="BH3924" s="5"/>
      <c r="BI3924" s="5"/>
      <c r="BJ3924" s="5"/>
      <c r="BK3924" s="5"/>
      <c r="BL3924" s="5"/>
      <c r="BM3924" s="5"/>
      <c r="BN3924" s="5"/>
      <c r="BO3924" s="5"/>
      <c r="BP3924" s="5"/>
    </row>
    <row r="3925" spans="35:68" x14ac:dyDescent="0.25">
      <c r="AI3925" s="49"/>
      <c r="AJ3925" s="78"/>
      <c r="AK3925" s="79"/>
      <c r="AL3925" s="79"/>
      <c r="AM3925" s="79"/>
      <c r="AN3925" s="79"/>
      <c r="AO3925" s="79"/>
      <c r="AP3925" s="79"/>
      <c r="AQ3925" s="79"/>
      <c r="AR3925" s="78"/>
      <c r="AS3925" s="78"/>
      <c r="AT3925" s="79"/>
      <c r="AU3925" s="79"/>
      <c r="AV3925" s="79"/>
      <c r="AW3925" s="79"/>
      <c r="AX3925" s="79"/>
      <c r="AZ3925" s="81"/>
      <c r="BB3925" s="5"/>
      <c r="BC3925" s="5"/>
      <c r="BD3925" s="5"/>
      <c r="BE3925" s="5"/>
      <c r="BF3925" s="5"/>
      <c r="BG3925" s="5"/>
      <c r="BH3925" s="5"/>
      <c r="BI3925" s="5"/>
      <c r="BJ3925" s="5"/>
      <c r="BK3925" s="5"/>
      <c r="BL3925" s="5"/>
      <c r="BM3925" s="5"/>
      <c r="BN3925" s="5"/>
      <c r="BO3925" s="5"/>
      <c r="BP3925" s="5"/>
    </row>
    <row r="3926" spans="35:68" x14ac:dyDescent="0.25">
      <c r="AI3926" s="49"/>
      <c r="AJ3926" s="78"/>
      <c r="AK3926" s="79"/>
      <c r="AL3926" s="79"/>
      <c r="AM3926" s="79"/>
      <c r="AN3926" s="79"/>
      <c r="AO3926" s="79"/>
      <c r="AP3926" s="79"/>
      <c r="AQ3926" s="79"/>
      <c r="AR3926" s="78"/>
      <c r="AS3926" s="78"/>
      <c r="AT3926" s="79"/>
      <c r="AU3926" s="79"/>
      <c r="AV3926" s="79"/>
      <c r="AW3926" s="79"/>
      <c r="AX3926" s="79"/>
      <c r="AZ3926" s="81"/>
      <c r="BB3926" s="5"/>
      <c r="BC3926" s="5"/>
      <c r="BD3926" s="5"/>
      <c r="BE3926" s="5"/>
      <c r="BF3926" s="5"/>
      <c r="BG3926" s="5"/>
      <c r="BH3926" s="5"/>
      <c r="BI3926" s="5"/>
      <c r="BJ3926" s="5"/>
      <c r="BK3926" s="5"/>
      <c r="BL3926" s="5"/>
      <c r="BM3926" s="5"/>
      <c r="BN3926" s="5"/>
      <c r="BO3926" s="5"/>
      <c r="BP3926" s="5"/>
    </row>
    <row r="3927" spans="35:68" x14ac:dyDescent="0.25">
      <c r="AI3927" s="49"/>
      <c r="AJ3927" s="78"/>
      <c r="AK3927" s="79"/>
      <c r="AL3927" s="79"/>
      <c r="AM3927" s="79"/>
      <c r="AN3927" s="79"/>
      <c r="AO3927" s="79"/>
      <c r="AP3927" s="79"/>
      <c r="AQ3927" s="79"/>
      <c r="AR3927" s="78"/>
      <c r="AS3927" s="78"/>
      <c r="AT3927" s="79"/>
      <c r="AU3927" s="79"/>
      <c r="AV3927" s="79"/>
      <c r="AW3927" s="79"/>
      <c r="AX3927" s="79"/>
      <c r="AZ3927" s="81"/>
      <c r="BB3927" s="5"/>
      <c r="BC3927" s="5"/>
      <c r="BD3927" s="5"/>
      <c r="BE3927" s="5"/>
      <c r="BF3927" s="5"/>
      <c r="BG3927" s="5"/>
      <c r="BH3927" s="5"/>
      <c r="BI3927" s="5"/>
      <c r="BJ3927" s="5"/>
      <c r="BK3927" s="5"/>
      <c r="BL3927" s="5"/>
      <c r="BM3927" s="5"/>
      <c r="BN3927" s="5"/>
      <c r="BO3927" s="5"/>
      <c r="BP3927" s="5"/>
    </row>
    <row r="3928" spans="35:68" x14ac:dyDescent="0.25">
      <c r="AI3928" s="49"/>
      <c r="AJ3928" s="78"/>
      <c r="AK3928" s="79"/>
      <c r="AL3928" s="79"/>
      <c r="AM3928" s="79"/>
      <c r="AN3928" s="79"/>
      <c r="AO3928" s="79"/>
      <c r="AP3928" s="79"/>
      <c r="AQ3928" s="79"/>
      <c r="AR3928" s="78"/>
      <c r="AS3928" s="78"/>
      <c r="AT3928" s="79"/>
      <c r="AU3928" s="79"/>
      <c r="AV3928" s="79"/>
      <c r="AW3928" s="79"/>
      <c r="AX3928" s="79"/>
      <c r="AZ3928" s="81"/>
      <c r="BB3928" s="5"/>
      <c r="BC3928" s="5"/>
      <c r="BD3928" s="5"/>
      <c r="BE3928" s="5"/>
      <c r="BF3928" s="5"/>
      <c r="BG3928" s="5"/>
      <c r="BH3928" s="5"/>
      <c r="BI3928" s="5"/>
      <c r="BJ3928" s="5"/>
      <c r="BK3928" s="5"/>
      <c r="BL3928" s="5"/>
      <c r="BM3928" s="5"/>
      <c r="BN3928" s="5"/>
      <c r="BO3928" s="5"/>
      <c r="BP3928" s="5"/>
    </row>
    <row r="3929" spans="35:68" x14ac:dyDescent="0.25">
      <c r="AI3929" s="49"/>
      <c r="AJ3929" s="78"/>
      <c r="AK3929" s="79"/>
      <c r="AL3929" s="79"/>
      <c r="AM3929" s="79"/>
      <c r="AN3929" s="79"/>
      <c r="AO3929" s="79"/>
      <c r="AP3929" s="79"/>
      <c r="AQ3929" s="79"/>
      <c r="AR3929" s="78"/>
      <c r="AS3929" s="78"/>
      <c r="AT3929" s="79"/>
      <c r="AU3929" s="79"/>
      <c r="AV3929" s="79"/>
      <c r="AW3929" s="79"/>
      <c r="AX3929" s="79"/>
      <c r="AZ3929" s="81"/>
      <c r="BB3929" s="5"/>
      <c r="BC3929" s="5"/>
      <c r="BD3929" s="5"/>
      <c r="BE3929" s="5"/>
      <c r="BF3929" s="5"/>
      <c r="BG3929" s="5"/>
      <c r="BH3929" s="5"/>
      <c r="BI3929" s="5"/>
      <c r="BJ3929" s="5"/>
      <c r="BK3929" s="5"/>
      <c r="BL3929" s="5"/>
      <c r="BM3929" s="5"/>
      <c r="BN3929" s="5"/>
      <c r="BO3929" s="5"/>
      <c r="BP3929" s="5"/>
    </row>
    <row r="3930" spans="35:68" x14ac:dyDescent="0.25">
      <c r="AI3930" s="49"/>
      <c r="AJ3930" s="78"/>
      <c r="AK3930" s="79"/>
      <c r="AL3930" s="79"/>
      <c r="AM3930" s="79"/>
      <c r="AN3930" s="79"/>
      <c r="AO3930" s="79"/>
      <c r="AP3930" s="79"/>
      <c r="AQ3930" s="79"/>
      <c r="AR3930" s="78"/>
      <c r="AS3930" s="78"/>
      <c r="AT3930" s="79"/>
      <c r="AU3930" s="79"/>
      <c r="AV3930" s="79"/>
      <c r="AW3930" s="79"/>
      <c r="AX3930" s="79"/>
      <c r="AZ3930" s="81"/>
      <c r="BB3930" s="5"/>
      <c r="BC3930" s="5"/>
      <c r="BD3930" s="5"/>
      <c r="BE3930" s="5"/>
      <c r="BF3930" s="5"/>
      <c r="BG3930" s="5"/>
      <c r="BH3930" s="5"/>
      <c r="BI3930" s="5"/>
      <c r="BJ3930" s="5"/>
      <c r="BK3930" s="5"/>
      <c r="BL3930" s="5"/>
      <c r="BM3930" s="5"/>
      <c r="BN3930" s="5"/>
      <c r="BO3930" s="5"/>
      <c r="BP3930" s="5"/>
    </row>
    <row r="3931" spans="35:68" x14ac:dyDescent="0.25">
      <c r="AI3931" s="49"/>
      <c r="AJ3931" s="78"/>
      <c r="AK3931" s="79"/>
      <c r="AL3931" s="79"/>
      <c r="AM3931" s="79"/>
      <c r="AN3931" s="79"/>
      <c r="AO3931" s="79"/>
      <c r="AP3931" s="79"/>
      <c r="AQ3931" s="79"/>
      <c r="AR3931" s="78"/>
      <c r="AS3931" s="78"/>
      <c r="AT3931" s="79"/>
      <c r="AU3931" s="79"/>
      <c r="AV3931" s="79"/>
      <c r="AW3931" s="79"/>
      <c r="AX3931" s="79"/>
      <c r="AZ3931" s="81"/>
      <c r="BB3931" s="5"/>
      <c r="BC3931" s="5"/>
      <c r="BD3931" s="5"/>
      <c r="BE3931" s="5"/>
      <c r="BF3931" s="5"/>
      <c r="BG3931" s="5"/>
      <c r="BH3931" s="5"/>
      <c r="BI3931" s="5"/>
      <c r="BJ3931" s="5"/>
      <c r="BK3931" s="5"/>
      <c r="BL3931" s="5"/>
      <c r="BM3931" s="5"/>
      <c r="BN3931" s="5"/>
      <c r="BO3931" s="5"/>
      <c r="BP3931" s="5"/>
    </row>
    <row r="3932" spans="35:68" x14ac:dyDescent="0.25">
      <c r="AI3932" s="49"/>
      <c r="AJ3932" s="78"/>
      <c r="AK3932" s="79"/>
      <c r="AL3932" s="79"/>
      <c r="AM3932" s="79"/>
      <c r="AN3932" s="79"/>
      <c r="AO3932" s="79"/>
      <c r="AP3932" s="79"/>
      <c r="AQ3932" s="79"/>
      <c r="AR3932" s="78"/>
      <c r="AS3932" s="78"/>
      <c r="AT3932" s="79"/>
      <c r="AU3932" s="79"/>
      <c r="AV3932" s="79"/>
      <c r="AW3932" s="79"/>
      <c r="AX3932" s="79"/>
      <c r="AZ3932" s="81"/>
      <c r="BB3932" s="5"/>
      <c r="BC3932" s="5"/>
      <c r="BD3932" s="5"/>
      <c r="BE3932" s="5"/>
      <c r="BF3932" s="5"/>
      <c r="BG3932" s="5"/>
      <c r="BH3932" s="5"/>
      <c r="BI3932" s="5"/>
      <c r="BJ3932" s="5"/>
      <c r="BK3932" s="5"/>
      <c r="BL3932" s="5"/>
      <c r="BM3932" s="5"/>
      <c r="BN3932" s="5"/>
      <c r="BO3932" s="5"/>
      <c r="BP3932" s="5"/>
    </row>
    <row r="3933" spans="35:68" x14ac:dyDescent="0.25">
      <c r="AI3933" s="49"/>
      <c r="AJ3933" s="78"/>
      <c r="AK3933" s="79"/>
      <c r="AL3933" s="79"/>
      <c r="AM3933" s="79"/>
      <c r="AN3933" s="79"/>
      <c r="AO3933" s="79"/>
      <c r="AP3933" s="79"/>
      <c r="AQ3933" s="79"/>
      <c r="AR3933" s="78"/>
      <c r="AS3933" s="78"/>
      <c r="AT3933" s="79"/>
      <c r="AU3933" s="79"/>
      <c r="AV3933" s="79"/>
      <c r="AW3933" s="79"/>
      <c r="AX3933" s="79"/>
      <c r="AZ3933" s="81"/>
      <c r="BB3933" s="5"/>
      <c r="BC3933" s="5"/>
      <c r="BD3933" s="5"/>
      <c r="BE3933" s="5"/>
      <c r="BF3933" s="5"/>
      <c r="BG3933" s="5"/>
      <c r="BH3933" s="5"/>
      <c r="BI3933" s="5"/>
      <c r="BJ3933" s="5"/>
      <c r="BK3933" s="5"/>
      <c r="BL3933" s="5"/>
      <c r="BM3933" s="5"/>
      <c r="BN3933" s="5"/>
      <c r="BO3933" s="5"/>
      <c r="BP3933" s="5"/>
    </row>
    <row r="3934" spans="35:68" x14ac:dyDescent="0.25">
      <c r="AI3934" s="49"/>
      <c r="AJ3934" s="78"/>
      <c r="AK3934" s="79"/>
      <c r="AL3934" s="79"/>
      <c r="AM3934" s="79"/>
      <c r="AN3934" s="79"/>
      <c r="AO3934" s="79"/>
      <c r="AP3934" s="79"/>
      <c r="AQ3934" s="79"/>
      <c r="AR3934" s="78"/>
      <c r="AS3934" s="78"/>
      <c r="AT3934" s="79"/>
      <c r="AU3934" s="79"/>
      <c r="AV3934" s="79"/>
      <c r="AW3934" s="79"/>
      <c r="AX3934" s="79"/>
      <c r="AZ3934" s="81"/>
      <c r="BB3934" s="5"/>
      <c r="BC3934" s="5"/>
      <c r="BD3934" s="5"/>
      <c r="BE3934" s="5"/>
      <c r="BF3934" s="5"/>
      <c r="BG3934" s="5"/>
      <c r="BH3934" s="5"/>
      <c r="BI3934" s="5"/>
      <c r="BJ3934" s="5"/>
      <c r="BK3934" s="5"/>
      <c r="BL3934" s="5"/>
      <c r="BM3934" s="5"/>
      <c r="BN3934" s="5"/>
      <c r="BO3934" s="5"/>
      <c r="BP3934" s="5"/>
    </row>
    <row r="3935" spans="35:68" x14ac:dyDescent="0.25">
      <c r="AI3935" s="49"/>
      <c r="AJ3935" s="78"/>
      <c r="AK3935" s="79"/>
      <c r="AL3935" s="79"/>
      <c r="AM3935" s="79"/>
      <c r="AN3935" s="79"/>
      <c r="AO3935" s="79"/>
      <c r="AP3935" s="79"/>
      <c r="AQ3935" s="79"/>
      <c r="AR3935" s="78"/>
      <c r="AS3935" s="78"/>
      <c r="AT3935" s="79"/>
      <c r="AU3935" s="79"/>
      <c r="AV3935" s="79"/>
      <c r="AW3935" s="79"/>
      <c r="AX3935" s="79"/>
      <c r="AZ3935" s="81"/>
      <c r="BB3935" s="5"/>
      <c r="BC3935" s="5"/>
      <c r="BD3935" s="5"/>
      <c r="BE3935" s="5"/>
      <c r="BF3935" s="5"/>
      <c r="BG3935" s="5"/>
      <c r="BH3935" s="5"/>
      <c r="BI3935" s="5"/>
      <c r="BJ3935" s="5"/>
      <c r="BK3935" s="5"/>
      <c r="BL3935" s="5"/>
      <c r="BM3935" s="5"/>
      <c r="BN3935" s="5"/>
      <c r="BO3935" s="5"/>
      <c r="BP3935" s="5"/>
    </row>
    <row r="3936" spans="35:68" x14ac:dyDescent="0.25">
      <c r="AI3936" s="49"/>
      <c r="AJ3936" s="78"/>
      <c r="AK3936" s="79"/>
      <c r="AL3936" s="79"/>
      <c r="AM3936" s="79"/>
      <c r="AN3936" s="79"/>
      <c r="AO3936" s="79"/>
      <c r="AP3936" s="79"/>
      <c r="AQ3936" s="79"/>
      <c r="AR3936" s="78"/>
      <c r="AS3936" s="78"/>
      <c r="AT3936" s="79"/>
      <c r="AU3936" s="79"/>
      <c r="AV3936" s="79"/>
      <c r="AW3936" s="79"/>
      <c r="AX3936" s="79"/>
      <c r="AZ3936" s="81"/>
      <c r="BB3936" s="5"/>
      <c r="BC3936" s="5"/>
      <c r="BD3936" s="5"/>
      <c r="BE3936" s="5"/>
      <c r="BF3936" s="5"/>
      <c r="BG3936" s="5"/>
      <c r="BH3936" s="5"/>
      <c r="BI3936" s="5"/>
      <c r="BJ3936" s="5"/>
      <c r="BK3936" s="5"/>
      <c r="BL3936" s="5"/>
      <c r="BM3936" s="5"/>
      <c r="BN3936" s="5"/>
      <c r="BO3936" s="5"/>
      <c r="BP3936" s="5"/>
    </row>
    <row r="3937" spans="35:68" x14ac:dyDescent="0.25">
      <c r="AI3937" s="49"/>
      <c r="AJ3937" s="78"/>
      <c r="AK3937" s="79"/>
      <c r="AL3937" s="79"/>
      <c r="AM3937" s="79"/>
      <c r="AN3937" s="79"/>
      <c r="AO3937" s="79"/>
      <c r="AP3937" s="79"/>
      <c r="AQ3937" s="79"/>
      <c r="AR3937" s="78"/>
      <c r="AS3937" s="78"/>
      <c r="AT3937" s="79"/>
      <c r="AU3937" s="79"/>
      <c r="AV3937" s="79"/>
      <c r="AW3937" s="79"/>
      <c r="AX3937" s="79"/>
      <c r="AZ3937" s="81"/>
      <c r="BB3937" s="5"/>
      <c r="BC3937" s="5"/>
      <c r="BD3937" s="5"/>
      <c r="BE3937" s="5"/>
      <c r="BF3937" s="5"/>
      <c r="BG3937" s="5"/>
      <c r="BH3937" s="5"/>
      <c r="BI3937" s="5"/>
      <c r="BJ3937" s="5"/>
      <c r="BK3937" s="5"/>
      <c r="BL3937" s="5"/>
      <c r="BM3937" s="5"/>
      <c r="BN3937" s="5"/>
      <c r="BO3937" s="5"/>
      <c r="BP3937" s="5"/>
    </row>
    <row r="3938" spans="35:68" x14ac:dyDescent="0.25">
      <c r="AI3938" s="49"/>
      <c r="AJ3938" s="78"/>
      <c r="AK3938" s="79"/>
      <c r="AL3938" s="79"/>
      <c r="AM3938" s="79"/>
      <c r="AN3938" s="79"/>
      <c r="AO3938" s="79"/>
      <c r="AP3938" s="79"/>
      <c r="AQ3938" s="79"/>
      <c r="AR3938" s="78"/>
      <c r="AS3938" s="78"/>
      <c r="AT3938" s="79"/>
      <c r="AU3938" s="79"/>
      <c r="AV3938" s="79"/>
      <c r="AW3938" s="79"/>
      <c r="AX3938" s="79"/>
      <c r="AZ3938" s="81"/>
      <c r="BB3938" s="5"/>
      <c r="BC3938" s="5"/>
      <c r="BD3938" s="5"/>
      <c r="BE3938" s="5"/>
      <c r="BF3938" s="5"/>
      <c r="BG3938" s="5"/>
      <c r="BH3938" s="5"/>
      <c r="BI3938" s="5"/>
      <c r="BJ3938" s="5"/>
      <c r="BK3938" s="5"/>
      <c r="BL3938" s="5"/>
      <c r="BM3938" s="5"/>
      <c r="BN3938" s="5"/>
      <c r="BO3938" s="5"/>
      <c r="BP3938" s="5"/>
    </row>
    <row r="3939" spans="35:68" x14ac:dyDescent="0.25">
      <c r="AI3939" s="49"/>
      <c r="AJ3939" s="78"/>
      <c r="AK3939" s="79"/>
      <c r="AL3939" s="79"/>
      <c r="AM3939" s="79"/>
      <c r="AN3939" s="79"/>
      <c r="AO3939" s="79"/>
      <c r="AP3939" s="79"/>
      <c r="AQ3939" s="79"/>
      <c r="AR3939" s="78"/>
      <c r="AS3939" s="78"/>
      <c r="AT3939" s="79"/>
      <c r="AU3939" s="79"/>
      <c r="AV3939" s="79"/>
      <c r="AW3939" s="79"/>
      <c r="AX3939" s="79"/>
      <c r="AZ3939" s="81"/>
      <c r="BB3939" s="5"/>
      <c r="BC3939" s="5"/>
      <c r="BD3939" s="5"/>
      <c r="BE3939" s="5"/>
      <c r="BF3939" s="5"/>
      <c r="BG3939" s="5"/>
      <c r="BH3939" s="5"/>
      <c r="BI3939" s="5"/>
      <c r="BJ3939" s="5"/>
      <c r="BK3939" s="5"/>
      <c r="BL3939" s="5"/>
      <c r="BM3939" s="5"/>
      <c r="BN3939" s="5"/>
      <c r="BO3939" s="5"/>
      <c r="BP3939" s="5"/>
    </row>
    <row r="3940" spans="35:68" x14ac:dyDescent="0.25">
      <c r="AI3940" s="49"/>
      <c r="AJ3940" s="78"/>
      <c r="AK3940" s="79"/>
      <c r="AL3940" s="79"/>
      <c r="AM3940" s="79"/>
      <c r="AN3940" s="79"/>
      <c r="AO3940" s="79"/>
      <c r="AP3940" s="79"/>
      <c r="AQ3940" s="79"/>
      <c r="AR3940" s="78"/>
      <c r="AS3940" s="78"/>
      <c r="AT3940" s="79"/>
      <c r="AU3940" s="79"/>
      <c r="AV3940" s="79"/>
      <c r="AW3940" s="79"/>
      <c r="AX3940" s="79"/>
      <c r="AZ3940" s="81"/>
      <c r="BB3940" s="5"/>
      <c r="BC3940" s="5"/>
      <c r="BD3940" s="5"/>
      <c r="BE3940" s="5"/>
      <c r="BF3940" s="5"/>
      <c r="BG3940" s="5"/>
      <c r="BH3940" s="5"/>
      <c r="BI3940" s="5"/>
      <c r="BJ3940" s="5"/>
      <c r="BK3940" s="5"/>
      <c r="BL3940" s="5"/>
      <c r="BM3940" s="5"/>
      <c r="BN3940" s="5"/>
      <c r="BO3940" s="5"/>
      <c r="BP3940" s="5"/>
    </row>
    <row r="3941" spans="35:68" x14ac:dyDescent="0.25">
      <c r="AI3941" s="49"/>
      <c r="AJ3941" s="78"/>
      <c r="AK3941" s="79"/>
      <c r="AL3941" s="79"/>
      <c r="AM3941" s="79"/>
      <c r="AN3941" s="79"/>
      <c r="AO3941" s="79"/>
      <c r="AP3941" s="79"/>
      <c r="AQ3941" s="79"/>
      <c r="AR3941" s="78"/>
      <c r="AS3941" s="78"/>
      <c r="AT3941" s="79"/>
      <c r="AU3941" s="79"/>
      <c r="AV3941" s="79"/>
      <c r="AW3941" s="79"/>
      <c r="AX3941" s="79"/>
      <c r="AZ3941" s="81"/>
      <c r="BB3941" s="5"/>
      <c r="BC3941" s="5"/>
      <c r="BD3941" s="5"/>
      <c r="BE3941" s="5"/>
      <c r="BF3941" s="5"/>
      <c r="BG3941" s="5"/>
      <c r="BH3941" s="5"/>
      <c r="BI3941" s="5"/>
      <c r="BJ3941" s="5"/>
      <c r="BK3941" s="5"/>
      <c r="BL3941" s="5"/>
      <c r="BM3941" s="5"/>
      <c r="BN3941" s="5"/>
      <c r="BO3941" s="5"/>
      <c r="BP3941" s="5"/>
    </row>
    <row r="3942" spans="35:68" x14ac:dyDescent="0.25">
      <c r="AI3942" s="49"/>
      <c r="AJ3942" s="78"/>
      <c r="AK3942" s="79"/>
      <c r="AL3942" s="79"/>
      <c r="AM3942" s="79"/>
      <c r="AN3942" s="79"/>
      <c r="AO3942" s="79"/>
      <c r="AP3942" s="79"/>
      <c r="AQ3942" s="79"/>
      <c r="AR3942" s="78"/>
      <c r="AS3942" s="78"/>
      <c r="AT3942" s="79"/>
      <c r="AU3942" s="79"/>
      <c r="AV3942" s="79"/>
      <c r="AW3942" s="79"/>
      <c r="AX3942" s="79"/>
      <c r="AZ3942" s="81"/>
      <c r="BB3942" s="5"/>
      <c r="BC3942" s="5"/>
      <c r="BD3942" s="5"/>
      <c r="BE3942" s="5"/>
      <c r="BF3942" s="5"/>
      <c r="BG3942" s="5"/>
      <c r="BH3942" s="5"/>
      <c r="BI3942" s="5"/>
      <c r="BJ3942" s="5"/>
      <c r="BK3942" s="5"/>
      <c r="BL3942" s="5"/>
      <c r="BM3942" s="5"/>
      <c r="BN3942" s="5"/>
      <c r="BO3942" s="5"/>
      <c r="BP3942" s="5"/>
    </row>
    <row r="3943" spans="35:68" x14ac:dyDescent="0.25">
      <c r="AI3943" s="49"/>
      <c r="AJ3943" s="78"/>
      <c r="AK3943" s="79"/>
      <c r="AL3943" s="79"/>
      <c r="AM3943" s="79"/>
      <c r="AN3943" s="79"/>
      <c r="AO3943" s="79"/>
      <c r="AP3943" s="79"/>
      <c r="AQ3943" s="79"/>
      <c r="AR3943" s="78"/>
      <c r="AS3943" s="78"/>
      <c r="AT3943" s="79"/>
      <c r="AU3943" s="79"/>
      <c r="AV3943" s="79"/>
      <c r="AW3943" s="79"/>
      <c r="AX3943" s="79"/>
      <c r="AZ3943" s="81"/>
      <c r="BB3943" s="5"/>
      <c r="BC3943" s="5"/>
      <c r="BD3943" s="5"/>
      <c r="BE3943" s="5"/>
      <c r="BF3943" s="5"/>
      <c r="BG3943" s="5"/>
      <c r="BH3943" s="5"/>
      <c r="BI3943" s="5"/>
      <c r="BJ3943" s="5"/>
      <c r="BK3943" s="5"/>
      <c r="BL3943" s="5"/>
      <c r="BM3943" s="5"/>
      <c r="BN3943" s="5"/>
      <c r="BO3943" s="5"/>
      <c r="BP3943" s="5"/>
    </row>
    <row r="3944" spans="35:68" x14ac:dyDescent="0.25">
      <c r="AI3944" s="49"/>
      <c r="AJ3944" s="78"/>
      <c r="AK3944" s="79"/>
      <c r="AL3944" s="79"/>
      <c r="AM3944" s="79"/>
      <c r="AN3944" s="79"/>
      <c r="AO3944" s="79"/>
      <c r="AP3944" s="79"/>
      <c r="AQ3944" s="79"/>
      <c r="AR3944" s="78"/>
      <c r="AS3944" s="78"/>
      <c r="AT3944" s="79"/>
      <c r="AU3944" s="79"/>
      <c r="AV3944" s="79"/>
      <c r="AW3944" s="79"/>
      <c r="AX3944" s="79"/>
      <c r="AZ3944" s="81"/>
      <c r="BB3944" s="5"/>
      <c r="BC3944" s="5"/>
      <c r="BD3944" s="5"/>
      <c r="BE3944" s="5"/>
      <c r="BF3944" s="5"/>
      <c r="BG3944" s="5"/>
      <c r="BH3944" s="5"/>
      <c r="BI3944" s="5"/>
      <c r="BJ3944" s="5"/>
      <c r="BK3944" s="5"/>
      <c r="BL3944" s="5"/>
      <c r="BM3944" s="5"/>
      <c r="BN3944" s="5"/>
      <c r="BO3944" s="5"/>
      <c r="BP3944" s="5"/>
    </row>
    <row r="3945" spans="35:68" x14ac:dyDescent="0.25">
      <c r="AI3945" s="49"/>
      <c r="AJ3945" s="78"/>
      <c r="AK3945" s="79"/>
      <c r="AL3945" s="79"/>
      <c r="AM3945" s="79"/>
      <c r="AN3945" s="79"/>
      <c r="AO3945" s="79"/>
      <c r="AP3945" s="79"/>
      <c r="AQ3945" s="79"/>
      <c r="AR3945" s="78"/>
      <c r="AS3945" s="78"/>
      <c r="AT3945" s="79"/>
      <c r="AU3945" s="79"/>
      <c r="AV3945" s="79"/>
      <c r="AW3945" s="79"/>
      <c r="AX3945" s="79"/>
      <c r="AZ3945" s="81"/>
      <c r="BB3945" s="5"/>
      <c r="BC3945" s="5"/>
      <c r="BD3945" s="5"/>
      <c r="BE3945" s="5"/>
      <c r="BF3945" s="5"/>
      <c r="BG3945" s="5"/>
      <c r="BH3945" s="5"/>
      <c r="BI3945" s="5"/>
      <c r="BJ3945" s="5"/>
      <c r="BK3945" s="5"/>
      <c r="BL3945" s="5"/>
      <c r="BM3945" s="5"/>
      <c r="BN3945" s="5"/>
      <c r="BO3945" s="5"/>
      <c r="BP3945" s="5"/>
    </row>
    <row r="3946" spans="35:68" x14ac:dyDescent="0.25">
      <c r="AI3946" s="49"/>
      <c r="AJ3946" s="78"/>
      <c r="AK3946" s="79"/>
      <c r="AL3946" s="79"/>
      <c r="AM3946" s="79"/>
      <c r="AN3946" s="79"/>
      <c r="AO3946" s="79"/>
      <c r="AP3946" s="79"/>
      <c r="AQ3946" s="79"/>
      <c r="AR3946" s="78"/>
      <c r="AS3946" s="78"/>
      <c r="AT3946" s="79"/>
      <c r="AU3946" s="79"/>
      <c r="AV3946" s="79"/>
      <c r="AW3946" s="79"/>
      <c r="AX3946" s="79"/>
      <c r="AZ3946" s="81"/>
      <c r="BB3946" s="5"/>
      <c r="BC3946" s="5"/>
      <c r="BD3946" s="5"/>
      <c r="BE3946" s="5"/>
      <c r="BF3946" s="5"/>
      <c r="BG3946" s="5"/>
      <c r="BH3946" s="5"/>
      <c r="BI3946" s="5"/>
      <c r="BJ3946" s="5"/>
      <c r="BK3946" s="5"/>
      <c r="BL3946" s="5"/>
      <c r="BM3946" s="5"/>
      <c r="BN3946" s="5"/>
      <c r="BO3946" s="5"/>
      <c r="BP3946" s="5"/>
    </row>
    <row r="3947" spans="35:68" x14ac:dyDescent="0.25">
      <c r="AI3947" s="49"/>
      <c r="AJ3947" s="78"/>
      <c r="AK3947" s="79"/>
      <c r="AL3947" s="79"/>
      <c r="AM3947" s="79"/>
      <c r="AN3947" s="79"/>
      <c r="AO3947" s="79"/>
      <c r="AP3947" s="79"/>
      <c r="AQ3947" s="79"/>
      <c r="AR3947" s="78"/>
      <c r="AS3947" s="78"/>
      <c r="AT3947" s="79"/>
      <c r="AU3947" s="79"/>
      <c r="AV3947" s="79"/>
      <c r="AW3947" s="79"/>
      <c r="AX3947" s="79"/>
      <c r="AZ3947" s="81"/>
      <c r="BB3947" s="5"/>
      <c r="BC3947" s="5"/>
      <c r="BD3947" s="5"/>
      <c r="BE3947" s="5"/>
      <c r="BF3947" s="5"/>
      <c r="BG3947" s="5"/>
      <c r="BH3947" s="5"/>
      <c r="BI3947" s="5"/>
      <c r="BJ3947" s="5"/>
      <c r="BK3947" s="5"/>
      <c r="BL3947" s="5"/>
      <c r="BM3947" s="5"/>
      <c r="BN3947" s="5"/>
      <c r="BO3947" s="5"/>
      <c r="BP3947" s="5"/>
    </row>
    <row r="3948" spans="35:68" x14ac:dyDescent="0.25">
      <c r="AI3948" s="49"/>
      <c r="AJ3948" s="78"/>
      <c r="AK3948" s="79"/>
      <c r="AL3948" s="79"/>
      <c r="AM3948" s="79"/>
      <c r="AN3948" s="79"/>
      <c r="AO3948" s="79"/>
      <c r="AP3948" s="79"/>
      <c r="AQ3948" s="79"/>
      <c r="AR3948" s="78"/>
      <c r="AS3948" s="78"/>
      <c r="AT3948" s="79"/>
      <c r="AU3948" s="79"/>
      <c r="AV3948" s="79"/>
      <c r="AW3948" s="79"/>
      <c r="AX3948" s="79"/>
      <c r="AZ3948" s="81"/>
      <c r="BB3948" s="5"/>
      <c r="BC3948" s="5"/>
      <c r="BD3948" s="5"/>
      <c r="BE3948" s="5"/>
      <c r="BF3948" s="5"/>
      <c r="BG3948" s="5"/>
      <c r="BH3948" s="5"/>
      <c r="BI3948" s="5"/>
      <c r="BJ3948" s="5"/>
      <c r="BK3948" s="5"/>
      <c r="BL3948" s="5"/>
      <c r="BM3948" s="5"/>
      <c r="BN3948" s="5"/>
      <c r="BO3948" s="5"/>
      <c r="BP3948" s="5"/>
    </row>
    <row r="3949" spans="35:68" x14ac:dyDescent="0.25">
      <c r="AI3949" s="49"/>
      <c r="AJ3949" s="78"/>
      <c r="AK3949" s="79"/>
      <c r="AL3949" s="79"/>
      <c r="AM3949" s="79"/>
      <c r="AN3949" s="79"/>
      <c r="AO3949" s="79"/>
      <c r="AP3949" s="79"/>
      <c r="AQ3949" s="79"/>
      <c r="AR3949" s="78"/>
      <c r="AS3949" s="78"/>
      <c r="AT3949" s="79"/>
      <c r="AU3949" s="79"/>
      <c r="AV3949" s="79"/>
      <c r="AW3949" s="79"/>
      <c r="AX3949" s="79"/>
      <c r="AZ3949" s="81"/>
      <c r="BB3949" s="5"/>
      <c r="BC3949" s="5"/>
      <c r="BD3949" s="5"/>
      <c r="BE3949" s="5"/>
      <c r="BF3949" s="5"/>
      <c r="BG3949" s="5"/>
      <c r="BH3949" s="5"/>
      <c r="BI3949" s="5"/>
      <c r="BJ3949" s="5"/>
      <c r="BK3949" s="5"/>
      <c r="BL3949" s="5"/>
      <c r="BM3949" s="5"/>
      <c r="BN3949" s="5"/>
      <c r="BO3949" s="5"/>
      <c r="BP3949" s="5"/>
    </row>
    <row r="3950" spans="35:68" x14ac:dyDescent="0.25">
      <c r="AI3950" s="49"/>
      <c r="AJ3950" s="78"/>
      <c r="AK3950" s="79"/>
      <c r="AL3950" s="79"/>
      <c r="AM3950" s="79"/>
      <c r="AN3950" s="79"/>
      <c r="AO3950" s="79"/>
      <c r="AP3950" s="79"/>
      <c r="AQ3950" s="79"/>
      <c r="AR3950" s="78"/>
      <c r="AS3950" s="78"/>
      <c r="AT3950" s="79"/>
      <c r="AU3950" s="79"/>
      <c r="AV3950" s="79"/>
      <c r="AW3950" s="79"/>
      <c r="AX3950" s="79"/>
      <c r="AZ3950" s="81"/>
      <c r="BB3950" s="5"/>
      <c r="BC3950" s="5"/>
      <c r="BD3950" s="5"/>
      <c r="BE3950" s="5"/>
      <c r="BF3950" s="5"/>
      <c r="BG3950" s="5"/>
      <c r="BH3950" s="5"/>
      <c r="BI3950" s="5"/>
      <c r="BJ3950" s="5"/>
      <c r="BK3950" s="5"/>
      <c r="BL3950" s="5"/>
      <c r="BM3950" s="5"/>
      <c r="BN3950" s="5"/>
      <c r="BO3950" s="5"/>
      <c r="BP3950" s="5"/>
    </row>
    <row r="3951" spans="35:68" x14ac:dyDescent="0.25">
      <c r="AI3951" s="49"/>
      <c r="AJ3951" s="78"/>
      <c r="AK3951" s="79"/>
      <c r="AL3951" s="79"/>
      <c r="AM3951" s="79"/>
      <c r="AN3951" s="79"/>
      <c r="AO3951" s="79"/>
      <c r="AP3951" s="79"/>
      <c r="AQ3951" s="79"/>
      <c r="AR3951" s="78"/>
      <c r="AS3951" s="78"/>
      <c r="AT3951" s="79"/>
      <c r="AU3951" s="79"/>
      <c r="AV3951" s="79"/>
      <c r="AW3951" s="79"/>
      <c r="AX3951" s="79"/>
      <c r="AZ3951" s="81"/>
      <c r="BB3951" s="5"/>
      <c r="BC3951" s="5"/>
      <c r="BD3951" s="5"/>
      <c r="BE3951" s="5"/>
      <c r="BF3951" s="5"/>
      <c r="BG3951" s="5"/>
      <c r="BH3951" s="5"/>
      <c r="BI3951" s="5"/>
      <c r="BJ3951" s="5"/>
      <c r="BK3951" s="5"/>
      <c r="BL3951" s="5"/>
      <c r="BM3951" s="5"/>
      <c r="BN3951" s="5"/>
      <c r="BO3951" s="5"/>
      <c r="BP3951" s="5"/>
    </row>
    <row r="3952" spans="35:68" x14ac:dyDescent="0.25">
      <c r="AI3952" s="49"/>
      <c r="AJ3952" s="78"/>
      <c r="AK3952" s="79"/>
      <c r="AL3952" s="79"/>
      <c r="AM3952" s="79"/>
      <c r="AN3952" s="79"/>
      <c r="AO3952" s="79"/>
      <c r="AP3952" s="79"/>
      <c r="AQ3952" s="79"/>
      <c r="AR3952" s="78"/>
      <c r="AS3952" s="78"/>
      <c r="AT3952" s="79"/>
      <c r="AU3952" s="79"/>
      <c r="AV3952" s="79"/>
      <c r="AW3952" s="79"/>
      <c r="AX3952" s="79"/>
      <c r="AZ3952" s="81"/>
      <c r="BB3952" s="5"/>
      <c r="BC3952" s="5"/>
      <c r="BD3952" s="5"/>
      <c r="BE3952" s="5"/>
      <c r="BF3952" s="5"/>
      <c r="BG3952" s="5"/>
      <c r="BH3952" s="5"/>
      <c r="BI3952" s="5"/>
      <c r="BJ3952" s="5"/>
      <c r="BK3952" s="5"/>
      <c r="BL3952" s="5"/>
      <c r="BM3952" s="5"/>
      <c r="BN3952" s="5"/>
      <c r="BO3952" s="5"/>
      <c r="BP3952" s="5"/>
    </row>
    <row r="3953" spans="35:68" x14ac:dyDescent="0.25">
      <c r="AI3953" s="49"/>
      <c r="AJ3953" s="78"/>
      <c r="AK3953" s="79"/>
      <c r="AL3953" s="79"/>
      <c r="AM3953" s="79"/>
      <c r="AN3953" s="79"/>
      <c r="AO3953" s="79"/>
      <c r="AP3953" s="79"/>
      <c r="AQ3953" s="79"/>
      <c r="AR3953" s="78"/>
      <c r="AS3953" s="78"/>
      <c r="AT3953" s="79"/>
      <c r="AU3953" s="79"/>
      <c r="AV3953" s="79"/>
      <c r="AW3953" s="79"/>
      <c r="AX3953" s="79"/>
      <c r="AZ3953" s="81"/>
      <c r="BB3953" s="5"/>
      <c r="BC3953" s="5"/>
      <c r="BD3953" s="5"/>
      <c r="BE3953" s="5"/>
      <c r="BF3953" s="5"/>
      <c r="BG3953" s="5"/>
      <c r="BH3953" s="5"/>
      <c r="BI3953" s="5"/>
      <c r="BJ3953" s="5"/>
      <c r="BK3953" s="5"/>
      <c r="BL3953" s="5"/>
      <c r="BM3953" s="5"/>
      <c r="BN3953" s="5"/>
      <c r="BO3953" s="5"/>
      <c r="BP3953" s="5"/>
    </row>
    <row r="3954" spans="35:68" x14ac:dyDescent="0.25">
      <c r="AI3954" s="49"/>
      <c r="AJ3954" s="78"/>
      <c r="AK3954" s="79"/>
      <c r="AL3954" s="79"/>
      <c r="AM3954" s="79"/>
      <c r="AN3954" s="79"/>
      <c r="AO3954" s="79"/>
      <c r="AP3954" s="79"/>
      <c r="AQ3954" s="79"/>
      <c r="AR3954" s="78"/>
      <c r="AS3954" s="78"/>
      <c r="AT3954" s="79"/>
      <c r="AU3954" s="79"/>
      <c r="AV3954" s="79"/>
      <c r="AW3954" s="79"/>
      <c r="AX3954" s="79"/>
      <c r="AZ3954" s="81"/>
      <c r="BB3954" s="5"/>
      <c r="BC3954" s="5"/>
      <c r="BD3954" s="5"/>
      <c r="BE3954" s="5"/>
      <c r="BF3954" s="5"/>
      <c r="BG3954" s="5"/>
      <c r="BH3954" s="5"/>
      <c r="BI3954" s="5"/>
      <c r="BJ3954" s="5"/>
      <c r="BK3954" s="5"/>
      <c r="BL3954" s="5"/>
      <c r="BM3954" s="5"/>
      <c r="BN3954" s="5"/>
      <c r="BO3954" s="5"/>
      <c r="BP3954" s="5"/>
    </row>
    <row r="3955" spans="35:68" x14ac:dyDescent="0.25">
      <c r="AI3955" s="49"/>
      <c r="AJ3955" s="78"/>
      <c r="AK3955" s="79"/>
      <c r="AL3955" s="79"/>
      <c r="AM3955" s="79"/>
      <c r="AN3955" s="79"/>
      <c r="AO3955" s="79"/>
      <c r="AP3955" s="79"/>
      <c r="AQ3955" s="79"/>
      <c r="AR3955" s="78"/>
      <c r="AS3955" s="78"/>
      <c r="AT3955" s="79"/>
      <c r="AU3955" s="79"/>
      <c r="AV3955" s="79"/>
      <c r="AW3955" s="79"/>
      <c r="AX3955" s="79"/>
      <c r="AZ3955" s="81"/>
      <c r="BB3955" s="5"/>
      <c r="BC3955" s="5"/>
      <c r="BD3955" s="5"/>
      <c r="BE3955" s="5"/>
      <c r="BF3955" s="5"/>
      <c r="BG3955" s="5"/>
      <c r="BH3955" s="5"/>
      <c r="BI3955" s="5"/>
      <c r="BJ3955" s="5"/>
      <c r="BK3955" s="5"/>
      <c r="BL3955" s="5"/>
      <c r="BM3955" s="5"/>
      <c r="BN3955" s="5"/>
      <c r="BO3955" s="5"/>
      <c r="BP3955" s="5"/>
    </row>
    <row r="3956" spans="35:68" x14ac:dyDescent="0.25">
      <c r="AI3956" s="49"/>
      <c r="AJ3956" s="78"/>
      <c r="AK3956" s="79"/>
      <c r="AL3956" s="79"/>
      <c r="AM3956" s="79"/>
      <c r="AN3956" s="79"/>
      <c r="AO3956" s="79"/>
      <c r="AP3956" s="79"/>
      <c r="AQ3956" s="79"/>
      <c r="AR3956" s="78"/>
      <c r="AS3956" s="78"/>
      <c r="AT3956" s="79"/>
      <c r="AU3956" s="79"/>
      <c r="AV3956" s="79"/>
      <c r="AW3956" s="79"/>
      <c r="AX3956" s="79"/>
      <c r="AZ3956" s="81"/>
      <c r="BB3956" s="5"/>
      <c r="BC3956" s="5"/>
      <c r="BD3956" s="5"/>
      <c r="BE3956" s="5"/>
      <c r="BF3956" s="5"/>
      <c r="BG3956" s="5"/>
      <c r="BH3956" s="5"/>
      <c r="BI3956" s="5"/>
      <c r="BJ3956" s="5"/>
      <c r="BK3956" s="5"/>
      <c r="BL3956" s="5"/>
      <c r="BM3956" s="5"/>
      <c r="BN3956" s="5"/>
      <c r="BO3956" s="5"/>
      <c r="BP3956" s="5"/>
    </row>
    <row r="3957" spans="35:68" x14ac:dyDescent="0.25">
      <c r="AI3957" s="49"/>
      <c r="AJ3957" s="78"/>
      <c r="AK3957" s="79"/>
      <c r="AL3957" s="79"/>
      <c r="AM3957" s="79"/>
      <c r="AN3957" s="79"/>
      <c r="AO3957" s="79"/>
      <c r="AP3957" s="79"/>
      <c r="AQ3957" s="79"/>
      <c r="AR3957" s="78"/>
      <c r="AS3957" s="78"/>
      <c r="AT3957" s="79"/>
      <c r="AU3957" s="79"/>
      <c r="AV3957" s="79"/>
      <c r="AW3957" s="79"/>
      <c r="AX3957" s="79"/>
      <c r="AZ3957" s="81"/>
      <c r="BB3957" s="5"/>
      <c r="BC3957" s="5"/>
      <c r="BD3957" s="5"/>
      <c r="BE3957" s="5"/>
      <c r="BF3957" s="5"/>
      <c r="BG3957" s="5"/>
      <c r="BH3957" s="5"/>
      <c r="BI3957" s="5"/>
      <c r="BJ3957" s="5"/>
      <c r="BK3957" s="5"/>
      <c r="BL3957" s="5"/>
      <c r="BM3957" s="5"/>
      <c r="BN3957" s="5"/>
      <c r="BO3957" s="5"/>
      <c r="BP3957" s="5"/>
    </row>
    <row r="3958" spans="35:68" x14ac:dyDescent="0.25">
      <c r="AI3958" s="49"/>
      <c r="AJ3958" s="78"/>
      <c r="AK3958" s="79"/>
      <c r="AL3958" s="79"/>
      <c r="AM3958" s="79"/>
      <c r="AN3958" s="79"/>
      <c r="AO3958" s="79"/>
      <c r="AP3958" s="79"/>
      <c r="AQ3958" s="79"/>
      <c r="AR3958" s="78"/>
      <c r="AS3958" s="78"/>
      <c r="AT3958" s="79"/>
      <c r="AU3958" s="79"/>
      <c r="AV3958" s="79"/>
      <c r="AW3958" s="79"/>
      <c r="AX3958" s="79"/>
      <c r="AZ3958" s="81"/>
      <c r="BB3958" s="5"/>
      <c r="BC3958" s="5"/>
      <c r="BD3958" s="5"/>
      <c r="BE3958" s="5"/>
      <c r="BF3958" s="5"/>
      <c r="BG3958" s="5"/>
      <c r="BH3958" s="5"/>
      <c r="BI3958" s="5"/>
      <c r="BJ3958" s="5"/>
      <c r="BK3958" s="5"/>
      <c r="BL3958" s="5"/>
      <c r="BM3958" s="5"/>
      <c r="BN3958" s="5"/>
      <c r="BO3958" s="5"/>
      <c r="BP3958" s="5"/>
    </row>
    <row r="3959" spans="35:68" x14ac:dyDescent="0.25">
      <c r="AI3959" s="49"/>
      <c r="AJ3959" s="78"/>
      <c r="AK3959" s="79"/>
      <c r="AL3959" s="79"/>
      <c r="AM3959" s="79"/>
      <c r="AN3959" s="79"/>
      <c r="AO3959" s="79"/>
      <c r="AP3959" s="79"/>
      <c r="AQ3959" s="79"/>
      <c r="AR3959" s="78"/>
      <c r="AS3959" s="78"/>
      <c r="AT3959" s="79"/>
      <c r="AU3959" s="79"/>
      <c r="AV3959" s="79"/>
      <c r="AW3959" s="79"/>
      <c r="AX3959" s="79"/>
      <c r="AZ3959" s="81"/>
      <c r="BB3959" s="5"/>
      <c r="BC3959" s="5"/>
      <c r="BD3959" s="5"/>
      <c r="BE3959" s="5"/>
      <c r="BF3959" s="5"/>
      <c r="BG3959" s="5"/>
      <c r="BH3959" s="5"/>
      <c r="BI3959" s="5"/>
      <c r="BJ3959" s="5"/>
      <c r="BK3959" s="5"/>
      <c r="BL3959" s="5"/>
      <c r="BM3959" s="5"/>
      <c r="BN3959" s="5"/>
      <c r="BO3959" s="5"/>
      <c r="BP3959" s="5"/>
    </row>
    <row r="3960" spans="35:68" x14ac:dyDescent="0.25">
      <c r="AI3960" s="49"/>
      <c r="AJ3960" s="78"/>
      <c r="AK3960" s="79"/>
      <c r="AL3960" s="79"/>
      <c r="AM3960" s="79"/>
      <c r="AN3960" s="79"/>
      <c r="AO3960" s="79"/>
      <c r="AP3960" s="79"/>
      <c r="AQ3960" s="79"/>
      <c r="AR3960" s="78"/>
      <c r="AS3960" s="78"/>
      <c r="AT3960" s="79"/>
      <c r="AU3960" s="79"/>
      <c r="AV3960" s="79"/>
      <c r="AW3960" s="79"/>
      <c r="AX3960" s="79"/>
      <c r="AZ3960" s="81"/>
      <c r="BB3960" s="5"/>
      <c r="BC3960" s="5"/>
      <c r="BD3960" s="5"/>
      <c r="BE3960" s="5"/>
      <c r="BF3960" s="5"/>
      <c r="BG3960" s="5"/>
      <c r="BH3960" s="5"/>
      <c r="BI3960" s="5"/>
      <c r="BJ3960" s="5"/>
      <c r="BK3960" s="5"/>
      <c r="BL3960" s="5"/>
      <c r="BM3960" s="5"/>
      <c r="BN3960" s="5"/>
      <c r="BO3960" s="5"/>
      <c r="BP3960" s="5"/>
    </row>
    <row r="3961" spans="35:68" x14ac:dyDescent="0.25">
      <c r="AI3961" s="49"/>
      <c r="AJ3961" s="78"/>
      <c r="AK3961" s="79"/>
      <c r="AL3961" s="79"/>
      <c r="AM3961" s="79"/>
      <c r="AN3961" s="79"/>
      <c r="AO3961" s="79"/>
      <c r="AP3961" s="79"/>
      <c r="AQ3961" s="79"/>
      <c r="AR3961" s="78"/>
      <c r="AS3961" s="78"/>
      <c r="AT3961" s="79"/>
      <c r="AU3961" s="79"/>
      <c r="AV3961" s="79"/>
      <c r="AW3961" s="79"/>
      <c r="AX3961" s="79"/>
      <c r="AZ3961" s="81"/>
      <c r="BB3961" s="5"/>
      <c r="BC3961" s="5"/>
      <c r="BD3961" s="5"/>
      <c r="BE3961" s="5"/>
      <c r="BF3961" s="5"/>
      <c r="BG3961" s="5"/>
      <c r="BH3961" s="5"/>
      <c r="BI3961" s="5"/>
      <c r="BJ3961" s="5"/>
      <c r="BK3961" s="5"/>
      <c r="BL3961" s="5"/>
      <c r="BM3961" s="5"/>
      <c r="BN3961" s="5"/>
      <c r="BO3961" s="5"/>
      <c r="BP3961" s="5"/>
    </row>
    <row r="3962" spans="35:68" x14ac:dyDescent="0.25">
      <c r="AI3962" s="49"/>
      <c r="AJ3962" s="78"/>
      <c r="AK3962" s="79"/>
      <c r="AL3962" s="79"/>
      <c r="AM3962" s="79"/>
      <c r="AN3962" s="79"/>
      <c r="AO3962" s="79"/>
      <c r="AP3962" s="79"/>
      <c r="AQ3962" s="79"/>
      <c r="AR3962" s="78"/>
      <c r="AS3962" s="78"/>
      <c r="AT3962" s="79"/>
      <c r="AU3962" s="79"/>
      <c r="AV3962" s="79"/>
      <c r="AW3962" s="79"/>
      <c r="AX3962" s="79"/>
      <c r="AZ3962" s="81"/>
      <c r="BB3962" s="5"/>
      <c r="BC3962" s="5"/>
      <c r="BD3962" s="5"/>
      <c r="BE3962" s="5"/>
      <c r="BF3962" s="5"/>
      <c r="BG3962" s="5"/>
      <c r="BH3962" s="5"/>
      <c r="BI3962" s="5"/>
      <c r="BJ3962" s="5"/>
      <c r="BK3962" s="5"/>
      <c r="BL3962" s="5"/>
      <c r="BM3962" s="5"/>
      <c r="BN3962" s="5"/>
      <c r="BO3962" s="5"/>
      <c r="BP3962" s="5"/>
    </row>
    <row r="3963" spans="35:68" x14ac:dyDescent="0.25">
      <c r="AI3963" s="49"/>
      <c r="AJ3963" s="78"/>
      <c r="AK3963" s="79"/>
      <c r="AL3963" s="79"/>
      <c r="AM3963" s="79"/>
      <c r="AN3963" s="79"/>
      <c r="AO3963" s="79"/>
      <c r="AP3963" s="79"/>
      <c r="AQ3963" s="79"/>
      <c r="AR3963" s="78"/>
      <c r="AS3963" s="78"/>
      <c r="AT3963" s="79"/>
      <c r="AU3963" s="79"/>
      <c r="AV3963" s="79"/>
      <c r="AW3963" s="79"/>
      <c r="AX3963" s="79"/>
      <c r="AZ3963" s="81"/>
      <c r="BB3963" s="5"/>
      <c r="BC3963" s="5"/>
      <c r="BD3963" s="5"/>
      <c r="BE3963" s="5"/>
      <c r="BF3963" s="5"/>
      <c r="BG3963" s="5"/>
      <c r="BH3963" s="5"/>
      <c r="BI3963" s="5"/>
      <c r="BJ3963" s="5"/>
      <c r="BK3963" s="5"/>
      <c r="BL3963" s="5"/>
      <c r="BM3963" s="5"/>
      <c r="BN3963" s="5"/>
      <c r="BO3963" s="5"/>
      <c r="BP3963" s="5"/>
    </row>
    <row r="3964" spans="35:68" x14ac:dyDescent="0.25">
      <c r="AI3964" s="49"/>
      <c r="AJ3964" s="78"/>
      <c r="AK3964" s="79"/>
      <c r="AL3964" s="79"/>
      <c r="AM3964" s="79"/>
      <c r="AN3964" s="79"/>
      <c r="AO3964" s="79"/>
      <c r="AP3964" s="79"/>
      <c r="AQ3964" s="79"/>
      <c r="AR3964" s="78"/>
      <c r="AS3964" s="78"/>
      <c r="AT3964" s="79"/>
      <c r="AU3964" s="79"/>
      <c r="AV3964" s="79"/>
      <c r="AW3964" s="79"/>
      <c r="AX3964" s="79"/>
      <c r="AZ3964" s="81"/>
      <c r="BB3964" s="5"/>
      <c r="BC3964" s="5"/>
      <c r="BD3964" s="5"/>
      <c r="BE3964" s="5"/>
      <c r="BF3964" s="5"/>
      <c r="BG3964" s="5"/>
      <c r="BH3964" s="5"/>
      <c r="BI3964" s="5"/>
      <c r="BJ3964" s="5"/>
      <c r="BK3964" s="5"/>
      <c r="BL3964" s="5"/>
      <c r="BM3964" s="5"/>
      <c r="BN3964" s="5"/>
      <c r="BO3964" s="5"/>
      <c r="BP3964" s="5"/>
    </row>
    <row r="3965" spans="35:68" x14ac:dyDescent="0.25">
      <c r="AI3965" s="49"/>
      <c r="AJ3965" s="78"/>
      <c r="AK3965" s="79"/>
      <c r="AL3965" s="79"/>
      <c r="AM3965" s="79"/>
      <c r="AN3965" s="79"/>
      <c r="AO3965" s="79"/>
      <c r="AP3965" s="79"/>
      <c r="AQ3965" s="79"/>
      <c r="AR3965" s="78"/>
      <c r="AS3965" s="78"/>
      <c r="AT3965" s="79"/>
      <c r="AU3965" s="79"/>
      <c r="AV3965" s="79"/>
      <c r="AW3965" s="79"/>
      <c r="AX3965" s="79"/>
      <c r="AZ3965" s="81"/>
      <c r="BB3965" s="5"/>
      <c r="BC3965" s="5"/>
      <c r="BD3965" s="5"/>
      <c r="BE3965" s="5"/>
      <c r="BF3965" s="5"/>
      <c r="BG3965" s="5"/>
      <c r="BH3965" s="5"/>
      <c r="BI3965" s="5"/>
      <c r="BJ3965" s="5"/>
      <c r="BK3965" s="5"/>
      <c r="BL3965" s="5"/>
      <c r="BM3965" s="5"/>
      <c r="BN3965" s="5"/>
      <c r="BO3965" s="5"/>
      <c r="BP3965" s="5"/>
    </row>
    <row r="3966" spans="35:68" x14ac:dyDescent="0.25">
      <c r="AI3966" s="49"/>
      <c r="AJ3966" s="78"/>
      <c r="AK3966" s="79"/>
      <c r="AL3966" s="79"/>
      <c r="AM3966" s="79"/>
      <c r="AN3966" s="79"/>
      <c r="AO3966" s="79"/>
      <c r="AP3966" s="79"/>
      <c r="AQ3966" s="79"/>
      <c r="AR3966" s="78"/>
      <c r="AS3966" s="78"/>
      <c r="AT3966" s="79"/>
      <c r="AU3966" s="79"/>
      <c r="AV3966" s="79"/>
      <c r="AW3966" s="79"/>
      <c r="AX3966" s="79"/>
      <c r="AZ3966" s="81"/>
      <c r="BB3966" s="5"/>
      <c r="BC3966" s="5"/>
      <c r="BD3966" s="5"/>
      <c r="BE3966" s="5"/>
      <c r="BF3966" s="5"/>
      <c r="BG3966" s="5"/>
      <c r="BH3966" s="5"/>
      <c r="BI3966" s="5"/>
      <c r="BJ3966" s="5"/>
      <c r="BK3966" s="5"/>
      <c r="BL3966" s="5"/>
      <c r="BM3966" s="5"/>
      <c r="BN3966" s="5"/>
      <c r="BO3966" s="5"/>
      <c r="BP3966" s="5"/>
    </row>
    <row r="3967" spans="35:68" x14ac:dyDescent="0.25">
      <c r="AI3967" s="49"/>
      <c r="AJ3967" s="78"/>
      <c r="AK3967" s="79"/>
      <c r="AL3967" s="79"/>
      <c r="AM3967" s="79"/>
      <c r="AN3967" s="79"/>
      <c r="AO3967" s="79"/>
      <c r="AP3967" s="79"/>
      <c r="AQ3967" s="79"/>
      <c r="AR3967" s="78"/>
      <c r="AS3967" s="78"/>
      <c r="AT3967" s="79"/>
      <c r="AU3967" s="79"/>
      <c r="AV3967" s="79"/>
      <c r="AW3967" s="79"/>
      <c r="AX3967" s="79"/>
      <c r="AZ3967" s="81"/>
      <c r="BB3967" s="5"/>
      <c r="BC3967" s="5"/>
      <c r="BD3967" s="5"/>
      <c r="BE3967" s="5"/>
      <c r="BF3967" s="5"/>
      <c r="BG3967" s="5"/>
      <c r="BH3967" s="5"/>
      <c r="BI3967" s="5"/>
      <c r="BJ3967" s="5"/>
      <c r="BK3967" s="5"/>
      <c r="BL3967" s="5"/>
      <c r="BM3967" s="5"/>
      <c r="BN3967" s="5"/>
      <c r="BO3967" s="5"/>
      <c r="BP3967" s="5"/>
    </row>
    <row r="3968" spans="35:68" x14ac:dyDescent="0.25">
      <c r="AI3968" s="49"/>
      <c r="AJ3968" s="78"/>
      <c r="AK3968" s="79"/>
      <c r="AL3968" s="79"/>
      <c r="AM3968" s="79"/>
      <c r="AN3968" s="79"/>
      <c r="AO3968" s="79"/>
      <c r="AP3968" s="79"/>
      <c r="AQ3968" s="79"/>
      <c r="AR3968" s="78"/>
      <c r="AS3968" s="78"/>
      <c r="AT3968" s="79"/>
      <c r="AU3968" s="79"/>
      <c r="AV3968" s="79"/>
      <c r="AW3968" s="79"/>
      <c r="AX3968" s="79"/>
      <c r="AZ3968" s="81"/>
      <c r="BB3968" s="5"/>
      <c r="BC3968" s="5"/>
      <c r="BD3968" s="5"/>
      <c r="BE3968" s="5"/>
      <c r="BF3968" s="5"/>
      <c r="BG3968" s="5"/>
      <c r="BH3968" s="5"/>
      <c r="BI3968" s="5"/>
      <c r="BJ3968" s="5"/>
      <c r="BK3968" s="5"/>
      <c r="BL3968" s="5"/>
      <c r="BM3968" s="5"/>
      <c r="BN3968" s="5"/>
      <c r="BO3968" s="5"/>
      <c r="BP3968" s="5"/>
    </row>
    <row r="3969" spans="35:68" x14ac:dyDescent="0.25">
      <c r="AI3969" s="49"/>
      <c r="AJ3969" s="78"/>
      <c r="AK3969" s="79"/>
      <c r="AL3969" s="79"/>
      <c r="AM3969" s="79"/>
      <c r="AN3969" s="79"/>
      <c r="AO3969" s="79"/>
      <c r="AP3969" s="79"/>
      <c r="AQ3969" s="79"/>
      <c r="AR3969" s="78"/>
      <c r="AS3969" s="78"/>
      <c r="AT3969" s="79"/>
      <c r="AU3969" s="79"/>
      <c r="AV3969" s="79"/>
      <c r="AW3969" s="79"/>
      <c r="AX3969" s="79"/>
      <c r="AZ3969" s="81"/>
      <c r="BB3969" s="5"/>
      <c r="BC3969" s="5"/>
      <c r="BD3969" s="5"/>
      <c r="BE3969" s="5"/>
      <c r="BF3969" s="5"/>
      <c r="BG3969" s="5"/>
      <c r="BH3969" s="5"/>
      <c r="BI3969" s="5"/>
      <c r="BJ3969" s="5"/>
      <c r="BK3969" s="5"/>
      <c r="BL3969" s="5"/>
      <c r="BM3969" s="5"/>
      <c r="BN3969" s="5"/>
      <c r="BO3969" s="5"/>
      <c r="BP3969" s="5"/>
    </row>
    <row r="3970" spans="35:68" x14ac:dyDescent="0.25">
      <c r="AI3970" s="49"/>
      <c r="AJ3970" s="78"/>
      <c r="AK3970" s="79"/>
      <c r="AL3970" s="79"/>
      <c r="AM3970" s="79"/>
      <c r="AN3970" s="79"/>
      <c r="AO3970" s="79"/>
      <c r="AP3970" s="79"/>
      <c r="AQ3970" s="79"/>
      <c r="AR3970" s="78"/>
      <c r="AS3970" s="78"/>
      <c r="AT3970" s="79"/>
      <c r="AU3970" s="79"/>
      <c r="AV3970" s="79"/>
      <c r="AW3970" s="79"/>
      <c r="AX3970" s="79"/>
      <c r="AZ3970" s="81"/>
      <c r="BB3970" s="5"/>
      <c r="BC3970" s="5"/>
      <c r="BD3970" s="5"/>
      <c r="BE3970" s="5"/>
      <c r="BF3970" s="5"/>
      <c r="BG3970" s="5"/>
      <c r="BH3970" s="5"/>
      <c r="BI3970" s="5"/>
      <c r="BJ3970" s="5"/>
      <c r="BK3970" s="5"/>
      <c r="BL3970" s="5"/>
      <c r="BM3970" s="5"/>
      <c r="BN3970" s="5"/>
      <c r="BO3970" s="5"/>
      <c r="BP3970" s="5"/>
    </row>
    <row r="3971" spans="35:68" x14ac:dyDescent="0.25">
      <c r="AI3971" s="49"/>
      <c r="AJ3971" s="78"/>
      <c r="AK3971" s="79"/>
      <c r="AL3971" s="79"/>
      <c r="AM3971" s="79"/>
      <c r="AN3971" s="79"/>
      <c r="AO3971" s="79"/>
      <c r="AP3971" s="79"/>
      <c r="AQ3971" s="79"/>
      <c r="AR3971" s="78"/>
      <c r="AS3971" s="78"/>
      <c r="AT3971" s="79"/>
      <c r="AU3971" s="79"/>
      <c r="AV3971" s="79"/>
      <c r="AW3971" s="79"/>
      <c r="AX3971" s="79"/>
      <c r="AZ3971" s="81"/>
      <c r="BB3971" s="5"/>
      <c r="BC3971" s="5"/>
      <c r="BD3971" s="5"/>
      <c r="BE3971" s="5"/>
      <c r="BF3971" s="5"/>
      <c r="BG3971" s="5"/>
      <c r="BH3971" s="5"/>
      <c r="BI3971" s="5"/>
      <c r="BJ3971" s="5"/>
      <c r="BK3971" s="5"/>
      <c r="BL3971" s="5"/>
      <c r="BM3971" s="5"/>
      <c r="BN3971" s="5"/>
      <c r="BO3971" s="5"/>
      <c r="BP3971" s="5"/>
    </row>
    <row r="3972" spans="35:68" x14ac:dyDescent="0.25">
      <c r="AI3972" s="49"/>
      <c r="AJ3972" s="78"/>
      <c r="AK3972" s="79"/>
      <c r="AL3972" s="79"/>
      <c r="AM3972" s="79"/>
      <c r="AN3972" s="79"/>
      <c r="AO3972" s="79"/>
      <c r="AP3972" s="79"/>
      <c r="AQ3972" s="79"/>
      <c r="AR3972" s="78"/>
      <c r="AS3972" s="78"/>
      <c r="AT3972" s="79"/>
      <c r="AU3972" s="79"/>
      <c r="AV3972" s="79"/>
      <c r="AW3972" s="79"/>
      <c r="AX3972" s="79"/>
      <c r="AZ3972" s="81"/>
      <c r="BB3972" s="5"/>
      <c r="BC3972" s="5"/>
      <c r="BD3972" s="5"/>
      <c r="BE3972" s="5"/>
      <c r="BF3972" s="5"/>
      <c r="BG3972" s="5"/>
      <c r="BH3972" s="5"/>
      <c r="BI3972" s="5"/>
      <c r="BJ3972" s="5"/>
      <c r="BK3972" s="5"/>
      <c r="BL3972" s="5"/>
      <c r="BM3972" s="5"/>
      <c r="BN3972" s="5"/>
      <c r="BO3972" s="5"/>
      <c r="BP3972" s="5"/>
    </row>
    <row r="3973" spans="35:68" x14ac:dyDescent="0.25">
      <c r="AI3973" s="49"/>
      <c r="AJ3973" s="78"/>
      <c r="AK3973" s="79"/>
      <c r="AL3973" s="79"/>
      <c r="AM3973" s="79"/>
      <c r="AN3973" s="79"/>
      <c r="AO3973" s="79"/>
      <c r="AP3973" s="79"/>
      <c r="AQ3973" s="79"/>
      <c r="AR3973" s="78"/>
      <c r="AS3973" s="78"/>
      <c r="AT3973" s="79"/>
      <c r="AU3973" s="79"/>
      <c r="AV3973" s="79"/>
      <c r="AW3973" s="79"/>
      <c r="AX3973" s="79"/>
      <c r="AZ3973" s="81"/>
      <c r="BB3973" s="5"/>
      <c r="BC3973" s="5"/>
      <c r="BD3973" s="5"/>
      <c r="BE3973" s="5"/>
      <c r="BF3973" s="5"/>
      <c r="BG3973" s="5"/>
      <c r="BH3973" s="5"/>
      <c r="BI3973" s="5"/>
      <c r="BJ3973" s="5"/>
      <c r="BK3973" s="5"/>
      <c r="BL3973" s="5"/>
      <c r="BM3973" s="5"/>
      <c r="BN3973" s="5"/>
      <c r="BO3973" s="5"/>
      <c r="BP3973" s="5"/>
    </row>
    <row r="3974" spans="35:68" x14ac:dyDescent="0.25">
      <c r="AI3974" s="49"/>
      <c r="AJ3974" s="78"/>
      <c r="AK3974" s="79"/>
      <c r="AL3974" s="79"/>
      <c r="AM3974" s="79"/>
      <c r="AN3974" s="79"/>
      <c r="AO3974" s="79"/>
      <c r="AP3974" s="79"/>
      <c r="AQ3974" s="79"/>
      <c r="AR3974" s="78"/>
      <c r="AS3974" s="78"/>
      <c r="AT3974" s="79"/>
      <c r="AU3974" s="79"/>
      <c r="AV3974" s="79"/>
      <c r="AW3974" s="79"/>
      <c r="AX3974" s="79"/>
      <c r="AZ3974" s="81"/>
      <c r="BB3974" s="5"/>
      <c r="BC3974" s="5"/>
      <c r="BD3974" s="5"/>
      <c r="BE3974" s="5"/>
      <c r="BF3974" s="5"/>
      <c r="BG3974" s="5"/>
      <c r="BH3974" s="5"/>
      <c r="BI3974" s="5"/>
      <c r="BJ3974" s="5"/>
      <c r="BK3974" s="5"/>
      <c r="BL3974" s="5"/>
      <c r="BM3974" s="5"/>
      <c r="BN3974" s="5"/>
      <c r="BO3974" s="5"/>
      <c r="BP3974" s="5"/>
    </row>
    <row r="3975" spans="35:68" x14ac:dyDescent="0.25">
      <c r="AI3975" s="49"/>
      <c r="AJ3975" s="78"/>
      <c r="AK3975" s="79"/>
      <c r="AL3975" s="79"/>
      <c r="AM3975" s="79"/>
      <c r="AN3975" s="79"/>
      <c r="AO3975" s="79"/>
      <c r="AP3975" s="79"/>
      <c r="AQ3975" s="79"/>
      <c r="AR3975" s="78"/>
      <c r="AS3975" s="78"/>
      <c r="AT3975" s="79"/>
      <c r="AU3975" s="79"/>
      <c r="AV3975" s="79"/>
      <c r="AW3975" s="79"/>
      <c r="AX3975" s="79"/>
      <c r="AZ3975" s="81"/>
      <c r="BB3975" s="5"/>
      <c r="BC3975" s="5"/>
      <c r="BD3975" s="5"/>
      <c r="BE3975" s="5"/>
      <c r="BF3975" s="5"/>
      <c r="BG3975" s="5"/>
      <c r="BH3975" s="5"/>
      <c r="BI3975" s="5"/>
      <c r="BJ3975" s="5"/>
      <c r="BK3975" s="5"/>
      <c r="BL3975" s="5"/>
      <c r="BM3975" s="5"/>
      <c r="BN3975" s="5"/>
      <c r="BO3975" s="5"/>
      <c r="BP3975" s="5"/>
    </row>
    <row r="3976" spans="35:68" x14ac:dyDescent="0.25">
      <c r="AI3976" s="49"/>
      <c r="AJ3976" s="78"/>
      <c r="AK3976" s="79"/>
      <c r="AL3976" s="79"/>
      <c r="AM3976" s="79"/>
      <c r="AN3976" s="79"/>
      <c r="AO3976" s="79"/>
      <c r="AP3976" s="79"/>
      <c r="AQ3976" s="79"/>
      <c r="AR3976" s="78"/>
      <c r="AS3976" s="78"/>
      <c r="AT3976" s="79"/>
      <c r="AU3976" s="79"/>
      <c r="AV3976" s="79"/>
      <c r="AW3976" s="79"/>
      <c r="AX3976" s="79"/>
      <c r="AZ3976" s="81"/>
      <c r="BB3976" s="5"/>
      <c r="BC3976" s="5"/>
      <c r="BD3976" s="5"/>
      <c r="BE3976" s="5"/>
      <c r="BF3976" s="5"/>
      <c r="BG3976" s="5"/>
      <c r="BH3976" s="5"/>
      <c r="BI3976" s="5"/>
      <c r="BJ3976" s="5"/>
      <c r="BK3976" s="5"/>
      <c r="BL3976" s="5"/>
      <c r="BM3976" s="5"/>
      <c r="BN3976" s="5"/>
      <c r="BO3976" s="5"/>
      <c r="BP3976" s="5"/>
    </row>
    <row r="3977" spans="35:68" x14ac:dyDescent="0.25">
      <c r="AI3977" s="49"/>
      <c r="AJ3977" s="78"/>
      <c r="AK3977" s="79"/>
      <c r="AL3977" s="79"/>
      <c r="AM3977" s="79"/>
      <c r="AN3977" s="79"/>
      <c r="AO3977" s="79"/>
      <c r="AP3977" s="79"/>
      <c r="AQ3977" s="79"/>
      <c r="AR3977" s="78"/>
      <c r="AS3977" s="78"/>
      <c r="AT3977" s="79"/>
      <c r="AU3977" s="79"/>
      <c r="AV3977" s="79"/>
      <c r="AW3977" s="79"/>
      <c r="AX3977" s="79"/>
      <c r="AZ3977" s="81"/>
      <c r="BB3977" s="5"/>
      <c r="BC3977" s="5"/>
      <c r="BD3977" s="5"/>
      <c r="BE3977" s="5"/>
      <c r="BF3977" s="5"/>
      <c r="BG3977" s="5"/>
      <c r="BH3977" s="5"/>
      <c r="BI3977" s="5"/>
      <c r="BJ3977" s="5"/>
      <c r="BK3977" s="5"/>
      <c r="BL3977" s="5"/>
      <c r="BM3977" s="5"/>
      <c r="BN3977" s="5"/>
      <c r="BO3977" s="5"/>
      <c r="BP3977" s="5"/>
    </row>
    <row r="3978" spans="35:68" x14ac:dyDescent="0.25">
      <c r="AI3978" s="49"/>
      <c r="AJ3978" s="78"/>
      <c r="AK3978" s="79"/>
      <c r="AL3978" s="79"/>
      <c r="AM3978" s="79"/>
      <c r="AN3978" s="79"/>
      <c r="AO3978" s="79"/>
      <c r="AP3978" s="79"/>
      <c r="AQ3978" s="79"/>
      <c r="AR3978" s="78"/>
      <c r="AS3978" s="78"/>
      <c r="AT3978" s="79"/>
      <c r="AU3978" s="79"/>
      <c r="AV3978" s="79"/>
      <c r="AW3978" s="79"/>
      <c r="AX3978" s="79"/>
      <c r="AZ3978" s="81"/>
      <c r="BB3978" s="5"/>
      <c r="BC3978" s="5"/>
      <c r="BD3978" s="5"/>
      <c r="BE3978" s="5"/>
      <c r="BF3978" s="5"/>
      <c r="BG3978" s="5"/>
      <c r="BH3978" s="5"/>
      <c r="BI3978" s="5"/>
      <c r="BJ3978" s="5"/>
      <c r="BK3978" s="5"/>
      <c r="BL3978" s="5"/>
      <c r="BM3978" s="5"/>
      <c r="BN3978" s="5"/>
      <c r="BO3978" s="5"/>
      <c r="BP3978" s="5"/>
    </row>
    <row r="3979" spans="35:68" x14ac:dyDescent="0.25">
      <c r="AI3979" s="49"/>
      <c r="AJ3979" s="78"/>
      <c r="AK3979" s="79"/>
      <c r="AL3979" s="79"/>
      <c r="AM3979" s="79"/>
      <c r="AN3979" s="79"/>
      <c r="AO3979" s="79"/>
      <c r="AP3979" s="79"/>
      <c r="AQ3979" s="79"/>
      <c r="AR3979" s="78"/>
      <c r="AS3979" s="78"/>
      <c r="AT3979" s="79"/>
      <c r="AU3979" s="79"/>
      <c r="AV3979" s="79"/>
      <c r="AW3979" s="79"/>
      <c r="AX3979" s="79"/>
      <c r="AZ3979" s="81"/>
      <c r="BB3979" s="5"/>
      <c r="BC3979" s="5"/>
      <c r="BD3979" s="5"/>
      <c r="BE3979" s="5"/>
      <c r="BF3979" s="5"/>
      <c r="BG3979" s="5"/>
      <c r="BH3979" s="5"/>
      <c r="BI3979" s="5"/>
      <c r="BJ3979" s="5"/>
      <c r="BK3979" s="5"/>
      <c r="BL3979" s="5"/>
      <c r="BM3979" s="5"/>
      <c r="BN3979" s="5"/>
      <c r="BO3979" s="5"/>
      <c r="BP3979" s="5"/>
    </row>
    <row r="3980" spans="35:68" x14ac:dyDescent="0.25">
      <c r="AI3980" s="49"/>
      <c r="AJ3980" s="78"/>
      <c r="AK3980" s="79"/>
      <c r="AL3980" s="79"/>
      <c r="AM3980" s="79"/>
      <c r="AN3980" s="79"/>
      <c r="AO3980" s="79"/>
      <c r="AP3980" s="79"/>
      <c r="AQ3980" s="79"/>
      <c r="AR3980" s="78"/>
      <c r="AS3980" s="78"/>
      <c r="AT3980" s="79"/>
      <c r="AU3980" s="79"/>
      <c r="AV3980" s="79"/>
      <c r="AW3980" s="79"/>
      <c r="AX3980" s="79"/>
      <c r="AZ3980" s="81"/>
      <c r="BB3980" s="5"/>
      <c r="BC3980" s="5"/>
      <c r="BD3980" s="5"/>
      <c r="BE3980" s="5"/>
      <c r="BF3980" s="5"/>
      <c r="BG3980" s="5"/>
      <c r="BH3980" s="5"/>
      <c r="BI3980" s="5"/>
      <c r="BJ3980" s="5"/>
      <c r="BK3980" s="5"/>
      <c r="BL3980" s="5"/>
      <c r="BM3980" s="5"/>
      <c r="BN3980" s="5"/>
      <c r="BO3980" s="5"/>
      <c r="BP3980" s="5"/>
    </row>
    <row r="3981" spans="35:68" x14ac:dyDescent="0.25">
      <c r="AI3981" s="49"/>
      <c r="AJ3981" s="78"/>
      <c r="AK3981" s="79"/>
      <c r="AL3981" s="79"/>
      <c r="AM3981" s="79"/>
      <c r="AN3981" s="79"/>
      <c r="AO3981" s="79"/>
      <c r="AP3981" s="79"/>
      <c r="AQ3981" s="79"/>
      <c r="AR3981" s="78"/>
      <c r="AS3981" s="78"/>
      <c r="AT3981" s="79"/>
      <c r="AU3981" s="79"/>
      <c r="AV3981" s="79"/>
      <c r="AW3981" s="79"/>
      <c r="AX3981" s="79"/>
      <c r="AZ3981" s="81"/>
      <c r="BB3981" s="5"/>
      <c r="BC3981" s="5"/>
      <c r="BD3981" s="5"/>
      <c r="BE3981" s="5"/>
      <c r="BF3981" s="5"/>
      <c r="BG3981" s="5"/>
      <c r="BH3981" s="5"/>
      <c r="BI3981" s="5"/>
      <c r="BJ3981" s="5"/>
      <c r="BK3981" s="5"/>
      <c r="BL3981" s="5"/>
      <c r="BM3981" s="5"/>
      <c r="BN3981" s="5"/>
      <c r="BO3981" s="5"/>
      <c r="BP3981" s="5"/>
    </row>
    <row r="3982" spans="35:68" x14ac:dyDescent="0.25">
      <c r="AI3982" s="49"/>
      <c r="AJ3982" s="78"/>
      <c r="AK3982" s="79"/>
      <c r="AL3982" s="79"/>
      <c r="AM3982" s="79"/>
      <c r="AN3982" s="79"/>
      <c r="AO3982" s="79"/>
      <c r="AP3982" s="79"/>
      <c r="AQ3982" s="79"/>
      <c r="AR3982" s="78"/>
      <c r="AS3982" s="78"/>
      <c r="AT3982" s="79"/>
      <c r="AU3982" s="79"/>
      <c r="AV3982" s="79"/>
      <c r="AW3982" s="79"/>
      <c r="AX3982" s="79"/>
      <c r="AZ3982" s="81"/>
      <c r="BB3982" s="5"/>
      <c r="BC3982" s="5"/>
      <c r="BD3982" s="5"/>
      <c r="BE3982" s="5"/>
      <c r="BF3982" s="5"/>
      <c r="BG3982" s="5"/>
      <c r="BH3982" s="5"/>
      <c r="BI3982" s="5"/>
      <c r="BJ3982" s="5"/>
      <c r="BK3982" s="5"/>
      <c r="BL3982" s="5"/>
      <c r="BM3982" s="5"/>
      <c r="BN3982" s="5"/>
      <c r="BO3982" s="5"/>
      <c r="BP3982" s="5"/>
    </row>
    <row r="3983" spans="35:68" x14ac:dyDescent="0.25">
      <c r="AI3983" s="49"/>
      <c r="AJ3983" s="78"/>
      <c r="AK3983" s="79"/>
      <c r="AL3983" s="79"/>
      <c r="AM3983" s="79"/>
      <c r="AN3983" s="79"/>
      <c r="AO3983" s="79"/>
      <c r="AP3983" s="79"/>
      <c r="AQ3983" s="79"/>
      <c r="AR3983" s="78"/>
      <c r="AS3983" s="78"/>
      <c r="AT3983" s="79"/>
      <c r="AU3983" s="79"/>
      <c r="AV3983" s="79"/>
      <c r="AW3983" s="79"/>
      <c r="AX3983" s="79"/>
      <c r="AZ3983" s="81"/>
      <c r="BB3983" s="5"/>
      <c r="BC3983" s="5"/>
      <c r="BD3983" s="5"/>
      <c r="BE3983" s="5"/>
      <c r="BF3983" s="5"/>
      <c r="BG3983" s="5"/>
      <c r="BH3983" s="5"/>
      <c r="BI3983" s="5"/>
      <c r="BJ3983" s="5"/>
      <c r="BK3983" s="5"/>
      <c r="BL3983" s="5"/>
      <c r="BM3983" s="5"/>
      <c r="BN3983" s="5"/>
      <c r="BO3983" s="5"/>
      <c r="BP3983" s="5"/>
    </row>
    <row r="3984" spans="35:68" x14ac:dyDescent="0.25">
      <c r="AI3984" s="49"/>
      <c r="AJ3984" s="78"/>
      <c r="AK3984" s="79"/>
      <c r="AL3984" s="79"/>
      <c r="AM3984" s="79"/>
      <c r="AN3984" s="79"/>
      <c r="AO3984" s="79"/>
      <c r="AP3984" s="79"/>
      <c r="AQ3984" s="79"/>
      <c r="AR3984" s="78"/>
      <c r="AS3984" s="78"/>
      <c r="AT3984" s="79"/>
      <c r="AU3984" s="79"/>
      <c r="AV3984" s="79"/>
      <c r="AW3984" s="79"/>
      <c r="AX3984" s="79"/>
      <c r="AZ3984" s="81"/>
      <c r="BB3984" s="5"/>
      <c r="BC3984" s="5"/>
      <c r="BD3984" s="5"/>
      <c r="BE3984" s="5"/>
      <c r="BF3984" s="5"/>
      <c r="BG3984" s="5"/>
      <c r="BH3984" s="5"/>
      <c r="BI3984" s="5"/>
      <c r="BJ3984" s="5"/>
      <c r="BK3984" s="5"/>
      <c r="BL3984" s="5"/>
      <c r="BM3984" s="5"/>
      <c r="BN3984" s="5"/>
      <c r="BO3984" s="5"/>
      <c r="BP3984" s="5"/>
    </row>
    <row r="3985" spans="35:68" x14ac:dyDescent="0.25">
      <c r="AI3985" s="49"/>
      <c r="AJ3985" s="78"/>
      <c r="AK3985" s="79"/>
      <c r="AL3985" s="79"/>
      <c r="AM3985" s="79"/>
      <c r="AN3985" s="79"/>
      <c r="AO3985" s="79"/>
      <c r="AP3985" s="79"/>
      <c r="AQ3985" s="79"/>
      <c r="AR3985" s="78"/>
      <c r="AS3985" s="78"/>
      <c r="AT3985" s="79"/>
      <c r="AU3985" s="79"/>
      <c r="AV3985" s="79"/>
      <c r="AW3985" s="79"/>
      <c r="AX3985" s="79"/>
      <c r="AZ3985" s="81"/>
      <c r="BB3985" s="5"/>
      <c r="BC3985" s="5"/>
      <c r="BD3985" s="5"/>
      <c r="BE3985" s="5"/>
      <c r="BF3985" s="5"/>
      <c r="BG3985" s="5"/>
      <c r="BH3985" s="5"/>
      <c r="BI3985" s="5"/>
      <c r="BJ3985" s="5"/>
      <c r="BK3985" s="5"/>
      <c r="BL3985" s="5"/>
      <c r="BM3985" s="5"/>
      <c r="BN3985" s="5"/>
      <c r="BO3985" s="5"/>
      <c r="BP3985" s="5"/>
    </row>
    <row r="3986" spans="35:68" x14ac:dyDescent="0.25">
      <c r="AI3986" s="49"/>
      <c r="AJ3986" s="78"/>
      <c r="AK3986" s="79"/>
      <c r="AL3986" s="79"/>
      <c r="AM3986" s="79"/>
      <c r="AN3986" s="79"/>
      <c r="AO3986" s="79"/>
      <c r="AP3986" s="79"/>
      <c r="AQ3986" s="79"/>
      <c r="AR3986" s="78"/>
      <c r="AS3986" s="78"/>
      <c r="AT3986" s="79"/>
      <c r="AU3986" s="79"/>
      <c r="AV3986" s="79"/>
      <c r="AW3986" s="79"/>
      <c r="AX3986" s="79"/>
      <c r="AZ3986" s="81"/>
      <c r="BB3986" s="5"/>
      <c r="BC3986" s="5"/>
      <c r="BD3986" s="5"/>
      <c r="BE3986" s="5"/>
      <c r="BF3986" s="5"/>
      <c r="BG3986" s="5"/>
      <c r="BH3986" s="5"/>
      <c r="BI3986" s="5"/>
      <c r="BJ3986" s="5"/>
      <c r="BK3986" s="5"/>
      <c r="BL3986" s="5"/>
      <c r="BM3986" s="5"/>
      <c r="BN3986" s="5"/>
      <c r="BO3986" s="5"/>
      <c r="BP3986" s="5"/>
    </row>
    <row r="3987" spans="35:68" x14ac:dyDescent="0.25">
      <c r="AI3987" s="49"/>
      <c r="AJ3987" s="78"/>
      <c r="AK3987" s="79"/>
      <c r="AL3987" s="79"/>
      <c r="AM3987" s="79"/>
      <c r="AN3987" s="79"/>
      <c r="AO3987" s="79"/>
      <c r="AP3987" s="79"/>
      <c r="AQ3987" s="79"/>
      <c r="AR3987" s="78"/>
      <c r="AS3987" s="78"/>
      <c r="AT3987" s="79"/>
      <c r="AU3987" s="79"/>
      <c r="AV3987" s="79"/>
      <c r="AW3987" s="79"/>
      <c r="AX3987" s="79"/>
      <c r="AZ3987" s="81"/>
      <c r="BB3987" s="5"/>
      <c r="BC3987" s="5"/>
      <c r="BD3987" s="5"/>
      <c r="BE3987" s="5"/>
      <c r="BF3987" s="5"/>
      <c r="BG3987" s="5"/>
      <c r="BH3987" s="5"/>
      <c r="BI3987" s="5"/>
      <c r="BJ3987" s="5"/>
      <c r="BK3987" s="5"/>
      <c r="BL3987" s="5"/>
      <c r="BM3987" s="5"/>
      <c r="BN3987" s="5"/>
      <c r="BO3987" s="5"/>
      <c r="BP3987" s="5"/>
    </row>
    <row r="3988" spans="35:68" x14ac:dyDescent="0.25">
      <c r="AI3988" s="49"/>
      <c r="AJ3988" s="78"/>
      <c r="AK3988" s="79"/>
      <c r="AL3988" s="79"/>
      <c r="AM3988" s="79"/>
      <c r="AN3988" s="79"/>
      <c r="AO3988" s="79"/>
      <c r="AP3988" s="79"/>
      <c r="AQ3988" s="79"/>
      <c r="AR3988" s="78"/>
      <c r="AS3988" s="78"/>
      <c r="AT3988" s="79"/>
      <c r="AU3988" s="79"/>
      <c r="AV3988" s="79"/>
      <c r="AW3988" s="79"/>
      <c r="AX3988" s="79"/>
      <c r="AZ3988" s="81"/>
      <c r="BB3988" s="5"/>
      <c r="BC3988" s="5"/>
      <c r="BD3988" s="5"/>
      <c r="BE3988" s="5"/>
      <c r="BF3988" s="5"/>
      <c r="BG3988" s="5"/>
      <c r="BH3988" s="5"/>
      <c r="BI3988" s="5"/>
      <c r="BJ3988" s="5"/>
      <c r="BK3988" s="5"/>
      <c r="BL3988" s="5"/>
      <c r="BM3988" s="5"/>
      <c r="BN3988" s="5"/>
      <c r="BO3988" s="5"/>
      <c r="BP3988" s="5"/>
    </row>
    <row r="3989" spans="35:68" x14ac:dyDescent="0.25">
      <c r="AI3989" s="49"/>
      <c r="AJ3989" s="78"/>
      <c r="AK3989" s="79"/>
      <c r="AL3989" s="79"/>
      <c r="AM3989" s="79"/>
      <c r="AN3989" s="79"/>
      <c r="AO3989" s="79"/>
      <c r="AP3989" s="79"/>
      <c r="AQ3989" s="79"/>
      <c r="AR3989" s="78"/>
      <c r="AS3989" s="78"/>
      <c r="AT3989" s="79"/>
      <c r="AU3989" s="79"/>
      <c r="AV3989" s="79"/>
      <c r="AW3989" s="79"/>
      <c r="AX3989" s="79"/>
      <c r="AZ3989" s="81"/>
      <c r="BB3989" s="5"/>
      <c r="BC3989" s="5"/>
      <c r="BD3989" s="5"/>
      <c r="BE3989" s="5"/>
      <c r="BF3989" s="5"/>
      <c r="BG3989" s="5"/>
      <c r="BH3989" s="5"/>
      <c r="BI3989" s="5"/>
      <c r="BJ3989" s="5"/>
      <c r="BK3989" s="5"/>
      <c r="BL3989" s="5"/>
      <c r="BM3989" s="5"/>
      <c r="BN3989" s="5"/>
      <c r="BO3989" s="5"/>
      <c r="BP3989" s="5"/>
    </row>
    <row r="3990" spans="35:68" x14ac:dyDescent="0.25">
      <c r="AI3990" s="49"/>
      <c r="AJ3990" s="78"/>
      <c r="AK3990" s="79"/>
      <c r="AL3990" s="79"/>
      <c r="AM3990" s="79"/>
      <c r="AN3990" s="79"/>
      <c r="AO3990" s="79"/>
      <c r="AP3990" s="79"/>
      <c r="AQ3990" s="79"/>
      <c r="AR3990" s="78"/>
      <c r="AS3990" s="78"/>
      <c r="AT3990" s="79"/>
      <c r="AU3990" s="79"/>
      <c r="AV3990" s="79"/>
      <c r="AW3990" s="79"/>
      <c r="AX3990" s="79"/>
      <c r="AZ3990" s="81"/>
      <c r="BB3990" s="5"/>
      <c r="BC3990" s="5"/>
      <c r="BD3990" s="5"/>
      <c r="BE3990" s="5"/>
      <c r="BF3990" s="5"/>
      <c r="BG3990" s="5"/>
      <c r="BH3990" s="5"/>
      <c r="BI3990" s="5"/>
      <c r="BJ3990" s="5"/>
      <c r="BK3990" s="5"/>
      <c r="BL3990" s="5"/>
      <c r="BM3990" s="5"/>
      <c r="BN3990" s="5"/>
      <c r="BO3990" s="5"/>
      <c r="BP3990" s="5"/>
    </row>
    <row r="3991" spans="35:68" x14ac:dyDescent="0.25">
      <c r="AI3991" s="49"/>
      <c r="AJ3991" s="78"/>
      <c r="AK3991" s="79"/>
      <c r="AL3991" s="79"/>
      <c r="AM3991" s="79"/>
      <c r="AN3991" s="79"/>
      <c r="AO3991" s="79"/>
      <c r="AP3991" s="79"/>
      <c r="AQ3991" s="79"/>
      <c r="AR3991" s="78"/>
      <c r="AS3991" s="78"/>
      <c r="AT3991" s="79"/>
      <c r="AU3991" s="79"/>
      <c r="AV3991" s="79"/>
      <c r="AW3991" s="79"/>
      <c r="AX3991" s="79"/>
      <c r="AZ3991" s="81"/>
      <c r="BB3991" s="5"/>
      <c r="BC3991" s="5"/>
      <c r="BD3991" s="5"/>
      <c r="BE3991" s="5"/>
      <c r="BF3991" s="5"/>
      <c r="BG3991" s="5"/>
      <c r="BH3991" s="5"/>
      <c r="BI3991" s="5"/>
      <c r="BJ3991" s="5"/>
      <c r="BK3991" s="5"/>
      <c r="BL3991" s="5"/>
      <c r="BM3991" s="5"/>
      <c r="BN3991" s="5"/>
      <c r="BO3991" s="5"/>
      <c r="BP3991" s="5"/>
    </row>
    <row r="3992" spans="35:68" x14ac:dyDescent="0.25">
      <c r="AI3992" s="49"/>
      <c r="AJ3992" s="78"/>
      <c r="AK3992" s="79"/>
      <c r="AL3992" s="79"/>
      <c r="AM3992" s="79"/>
      <c r="AN3992" s="79"/>
      <c r="AO3992" s="79"/>
      <c r="AP3992" s="79"/>
      <c r="AQ3992" s="79"/>
      <c r="AR3992" s="78"/>
      <c r="AS3992" s="78"/>
      <c r="AT3992" s="79"/>
      <c r="AU3992" s="79"/>
      <c r="AV3992" s="79"/>
      <c r="AW3992" s="79"/>
      <c r="AX3992" s="79"/>
      <c r="AZ3992" s="81"/>
      <c r="BB3992" s="5"/>
      <c r="BC3992" s="5"/>
      <c r="BD3992" s="5"/>
      <c r="BE3992" s="5"/>
      <c r="BF3992" s="5"/>
      <c r="BG3992" s="5"/>
      <c r="BH3992" s="5"/>
      <c r="BI3992" s="5"/>
      <c r="BJ3992" s="5"/>
      <c r="BK3992" s="5"/>
      <c r="BL3992" s="5"/>
      <c r="BM3992" s="5"/>
      <c r="BN3992" s="5"/>
      <c r="BO3992" s="5"/>
      <c r="BP3992" s="5"/>
    </row>
    <row r="3993" spans="35:68" x14ac:dyDescent="0.25">
      <c r="AI3993" s="49"/>
      <c r="AJ3993" s="78"/>
      <c r="AK3993" s="79"/>
      <c r="AL3993" s="79"/>
      <c r="AM3993" s="79"/>
      <c r="AN3993" s="79"/>
      <c r="AO3993" s="79"/>
      <c r="AP3993" s="79"/>
      <c r="AQ3993" s="79"/>
      <c r="AR3993" s="78"/>
      <c r="AS3993" s="78"/>
      <c r="AT3993" s="79"/>
      <c r="AU3993" s="79"/>
      <c r="AV3993" s="79"/>
      <c r="AW3993" s="79"/>
      <c r="AX3993" s="79"/>
      <c r="AZ3993" s="81"/>
      <c r="BB3993" s="5"/>
      <c r="BC3993" s="5"/>
      <c r="BD3993" s="5"/>
      <c r="BE3993" s="5"/>
      <c r="BF3993" s="5"/>
      <c r="BG3993" s="5"/>
      <c r="BH3993" s="5"/>
      <c r="BI3993" s="5"/>
      <c r="BJ3993" s="5"/>
      <c r="BK3993" s="5"/>
      <c r="BL3993" s="5"/>
      <c r="BM3993" s="5"/>
      <c r="BN3993" s="5"/>
      <c r="BO3993" s="5"/>
      <c r="BP3993" s="5"/>
    </row>
    <row r="3994" spans="35:68" x14ac:dyDescent="0.25">
      <c r="AI3994" s="49"/>
      <c r="AJ3994" s="78"/>
      <c r="AK3994" s="79"/>
      <c r="AL3994" s="79"/>
      <c r="AM3994" s="79"/>
      <c r="AN3994" s="79"/>
      <c r="AO3994" s="79"/>
      <c r="AP3994" s="79"/>
      <c r="AQ3994" s="79"/>
      <c r="AR3994" s="78"/>
      <c r="AS3994" s="78"/>
      <c r="AT3994" s="79"/>
      <c r="AU3994" s="79"/>
      <c r="AV3994" s="79"/>
      <c r="AW3994" s="79"/>
      <c r="AX3994" s="79"/>
      <c r="AZ3994" s="81"/>
      <c r="BB3994" s="5"/>
      <c r="BC3994" s="5"/>
      <c r="BD3994" s="5"/>
      <c r="BE3994" s="5"/>
      <c r="BF3994" s="5"/>
      <c r="BG3994" s="5"/>
      <c r="BH3994" s="5"/>
      <c r="BI3994" s="5"/>
      <c r="BJ3994" s="5"/>
      <c r="BK3994" s="5"/>
      <c r="BL3994" s="5"/>
      <c r="BM3994" s="5"/>
      <c r="BN3994" s="5"/>
      <c r="BO3994" s="5"/>
      <c r="BP3994" s="5"/>
    </row>
    <row r="3995" spans="35:68" x14ac:dyDescent="0.25">
      <c r="AI3995" s="49"/>
      <c r="AJ3995" s="78"/>
      <c r="AK3995" s="79"/>
      <c r="AL3995" s="79"/>
      <c r="AM3995" s="79"/>
      <c r="AN3995" s="79"/>
      <c r="AO3995" s="79"/>
      <c r="AP3995" s="79"/>
      <c r="AQ3995" s="79"/>
      <c r="AR3995" s="78"/>
      <c r="AS3995" s="78"/>
      <c r="AT3995" s="79"/>
      <c r="AU3995" s="79"/>
      <c r="AV3995" s="79"/>
      <c r="AW3995" s="79"/>
      <c r="AX3995" s="79"/>
      <c r="AZ3995" s="81"/>
      <c r="BB3995" s="5"/>
      <c r="BC3995" s="5"/>
      <c r="BD3995" s="5"/>
      <c r="BE3995" s="5"/>
      <c r="BF3995" s="5"/>
      <c r="BG3995" s="5"/>
      <c r="BH3995" s="5"/>
      <c r="BI3995" s="5"/>
      <c r="BJ3995" s="5"/>
      <c r="BK3995" s="5"/>
      <c r="BL3995" s="5"/>
      <c r="BM3995" s="5"/>
      <c r="BN3995" s="5"/>
      <c r="BO3995" s="5"/>
      <c r="BP3995" s="5"/>
    </row>
    <row r="3996" spans="35:68" x14ac:dyDescent="0.25">
      <c r="AI3996" s="49"/>
      <c r="AJ3996" s="78"/>
      <c r="AK3996" s="79"/>
      <c r="AL3996" s="79"/>
      <c r="AM3996" s="79"/>
      <c r="AN3996" s="79"/>
      <c r="AO3996" s="79"/>
      <c r="AP3996" s="79"/>
      <c r="AQ3996" s="79"/>
      <c r="AR3996" s="78"/>
      <c r="AS3996" s="78"/>
      <c r="AT3996" s="79"/>
      <c r="AU3996" s="79"/>
      <c r="AV3996" s="79"/>
      <c r="AW3996" s="79"/>
      <c r="AX3996" s="79"/>
      <c r="AZ3996" s="81"/>
      <c r="BB3996" s="5"/>
      <c r="BC3996" s="5"/>
      <c r="BD3996" s="5"/>
      <c r="BE3996" s="5"/>
      <c r="BF3996" s="5"/>
      <c r="BG3996" s="5"/>
      <c r="BH3996" s="5"/>
      <c r="BI3996" s="5"/>
      <c r="BJ3996" s="5"/>
      <c r="BK3996" s="5"/>
      <c r="BL3996" s="5"/>
      <c r="BM3996" s="5"/>
      <c r="BN3996" s="5"/>
      <c r="BO3996" s="5"/>
      <c r="BP3996" s="5"/>
    </row>
    <row r="3997" spans="35:68" x14ac:dyDescent="0.25">
      <c r="AI3997" s="49"/>
      <c r="AJ3997" s="78"/>
      <c r="AK3997" s="79"/>
      <c r="AL3997" s="79"/>
      <c r="AM3997" s="79"/>
      <c r="AN3997" s="79"/>
      <c r="AO3997" s="79"/>
      <c r="AP3997" s="79"/>
      <c r="AQ3997" s="79"/>
      <c r="AR3997" s="78"/>
      <c r="AS3997" s="78"/>
      <c r="AT3997" s="79"/>
      <c r="AU3997" s="79"/>
      <c r="AV3997" s="79"/>
      <c r="AW3997" s="79"/>
      <c r="AX3997" s="79"/>
      <c r="AZ3997" s="81"/>
      <c r="BB3997" s="5"/>
      <c r="BC3997" s="5"/>
      <c r="BD3997" s="5"/>
      <c r="BE3997" s="5"/>
      <c r="BF3997" s="5"/>
      <c r="BG3997" s="5"/>
      <c r="BH3997" s="5"/>
      <c r="BI3997" s="5"/>
      <c r="BJ3997" s="5"/>
      <c r="BK3997" s="5"/>
      <c r="BL3997" s="5"/>
      <c r="BM3997" s="5"/>
      <c r="BN3997" s="5"/>
      <c r="BO3997" s="5"/>
      <c r="BP3997" s="5"/>
    </row>
    <row r="3998" spans="35:68" x14ac:dyDescent="0.25">
      <c r="AI3998" s="49"/>
      <c r="AJ3998" s="78"/>
      <c r="AK3998" s="79"/>
      <c r="AL3998" s="79"/>
      <c r="AM3998" s="79"/>
      <c r="AN3998" s="79"/>
      <c r="AO3998" s="79"/>
      <c r="AP3998" s="79"/>
      <c r="AQ3998" s="79"/>
      <c r="AR3998" s="78"/>
      <c r="AS3998" s="78"/>
      <c r="AT3998" s="79"/>
      <c r="AU3998" s="79"/>
      <c r="AV3998" s="79"/>
      <c r="AW3998" s="79"/>
      <c r="AX3998" s="79"/>
      <c r="AZ3998" s="81"/>
      <c r="BB3998" s="5"/>
      <c r="BC3998" s="5"/>
      <c r="BD3998" s="5"/>
      <c r="BE3998" s="5"/>
      <c r="BF3998" s="5"/>
      <c r="BG3998" s="5"/>
      <c r="BH3998" s="5"/>
      <c r="BI3998" s="5"/>
      <c r="BJ3998" s="5"/>
      <c r="BK3998" s="5"/>
      <c r="BL3998" s="5"/>
      <c r="BM3998" s="5"/>
      <c r="BN3998" s="5"/>
      <c r="BO3998" s="5"/>
      <c r="BP3998" s="5"/>
    </row>
    <row r="3999" spans="35:68" x14ac:dyDescent="0.25">
      <c r="AI3999" s="49"/>
      <c r="AJ3999" s="78"/>
      <c r="AK3999" s="79"/>
      <c r="AL3999" s="79"/>
      <c r="AM3999" s="79"/>
      <c r="AN3999" s="79"/>
      <c r="AO3999" s="79"/>
      <c r="AP3999" s="79"/>
      <c r="AQ3999" s="79"/>
      <c r="AR3999" s="78"/>
      <c r="AS3999" s="78"/>
      <c r="AT3999" s="79"/>
      <c r="AU3999" s="79"/>
      <c r="AV3999" s="79"/>
      <c r="AW3999" s="79"/>
      <c r="AX3999" s="79"/>
      <c r="AZ3999" s="81"/>
      <c r="BB3999" s="5"/>
      <c r="BC3999" s="5"/>
      <c r="BD3999" s="5"/>
      <c r="BE3999" s="5"/>
      <c r="BF3999" s="5"/>
      <c r="BG3999" s="5"/>
      <c r="BH3999" s="5"/>
      <c r="BI3999" s="5"/>
      <c r="BJ3999" s="5"/>
      <c r="BK3999" s="5"/>
      <c r="BL3999" s="5"/>
      <c r="BM3999" s="5"/>
      <c r="BN3999" s="5"/>
      <c r="BO3999" s="5"/>
      <c r="BP3999" s="5"/>
    </row>
    <row r="4000" spans="35:68" x14ac:dyDescent="0.25">
      <c r="AI4000" s="49"/>
      <c r="AJ4000" s="78"/>
      <c r="AK4000" s="79"/>
      <c r="AL4000" s="79"/>
      <c r="AM4000" s="79"/>
      <c r="AN4000" s="79"/>
      <c r="AO4000" s="79"/>
      <c r="AP4000" s="79"/>
      <c r="AQ4000" s="79"/>
      <c r="AR4000" s="78"/>
      <c r="AS4000" s="78"/>
      <c r="AT4000" s="79"/>
      <c r="AU4000" s="79"/>
      <c r="AV4000" s="79"/>
      <c r="AW4000" s="79"/>
      <c r="AX4000" s="79"/>
      <c r="AZ4000" s="81"/>
      <c r="BB4000" s="5"/>
      <c r="BC4000" s="5"/>
      <c r="BD4000" s="5"/>
      <c r="BE4000" s="5"/>
      <c r="BF4000" s="5"/>
      <c r="BG4000" s="5"/>
      <c r="BH4000" s="5"/>
      <c r="BI4000" s="5"/>
      <c r="BJ4000" s="5"/>
      <c r="BK4000" s="5"/>
      <c r="BL4000" s="5"/>
      <c r="BM4000" s="5"/>
      <c r="BN4000" s="5"/>
      <c r="BO4000" s="5"/>
      <c r="BP4000" s="5"/>
    </row>
    <row r="4001" spans="35:68" x14ac:dyDescent="0.25">
      <c r="AI4001" s="49"/>
      <c r="AJ4001" s="78"/>
      <c r="AK4001" s="79"/>
      <c r="AL4001" s="79"/>
      <c r="AM4001" s="79"/>
      <c r="AN4001" s="79"/>
      <c r="AO4001" s="79"/>
      <c r="AP4001" s="79"/>
      <c r="AQ4001" s="79"/>
      <c r="AR4001" s="78"/>
      <c r="AS4001" s="78"/>
      <c r="AT4001" s="79"/>
      <c r="AU4001" s="79"/>
      <c r="AV4001" s="79"/>
      <c r="AW4001" s="79"/>
      <c r="AX4001" s="79"/>
      <c r="AZ4001" s="81"/>
      <c r="BB4001" s="5"/>
      <c r="BC4001" s="5"/>
      <c r="BD4001" s="5"/>
      <c r="BE4001" s="5"/>
      <c r="BF4001" s="5"/>
      <c r="BG4001" s="5"/>
      <c r="BH4001" s="5"/>
      <c r="BI4001" s="5"/>
      <c r="BJ4001" s="5"/>
      <c r="BK4001" s="5"/>
      <c r="BL4001" s="5"/>
      <c r="BM4001" s="5"/>
      <c r="BN4001" s="5"/>
      <c r="BO4001" s="5"/>
      <c r="BP4001" s="5"/>
    </row>
    <row r="4002" spans="35:68" x14ac:dyDescent="0.25">
      <c r="AI4002" s="49"/>
      <c r="AJ4002" s="78"/>
      <c r="AK4002" s="79"/>
      <c r="AL4002" s="79"/>
      <c r="AM4002" s="79"/>
      <c r="AN4002" s="79"/>
      <c r="AO4002" s="79"/>
      <c r="AP4002" s="79"/>
      <c r="AQ4002" s="79"/>
      <c r="AR4002" s="78"/>
      <c r="AS4002" s="78"/>
      <c r="AT4002" s="79"/>
      <c r="AU4002" s="79"/>
      <c r="AV4002" s="79"/>
      <c r="AW4002" s="79"/>
      <c r="AX4002" s="79"/>
      <c r="AZ4002" s="81"/>
      <c r="BB4002" s="5"/>
      <c r="BC4002" s="5"/>
      <c r="BD4002" s="5"/>
      <c r="BE4002" s="5"/>
      <c r="BF4002" s="5"/>
      <c r="BG4002" s="5"/>
      <c r="BH4002" s="5"/>
      <c r="BI4002" s="5"/>
      <c r="BJ4002" s="5"/>
      <c r="BK4002" s="5"/>
      <c r="BL4002" s="5"/>
      <c r="BM4002" s="5"/>
      <c r="BN4002" s="5"/>
      <c r="BO4002" s="5"/>
      <c r="BP4002" s="5"/>
    </row>
    <row r="4003" spans="35:68" x14ac:dyDescent="0.25">
      <c r="AI4003" s="49"/>
      <c r="AJ4003" s="78"/>
      <c r="AK4003" s="79"/>
      <c r="AL4003" s="79"/>
      <c r="AM4003" s="79"/>
      <c r="AN4003" s="79"/>
      <c r="AO4003" s="79"/>
      <c r="AP4003" s="79"/>
      <c r="AQ4003" s="79"/>
      <c r="AR4003" s="78"/>
      <c r="AS4003" s="78"/>
      <c r="AT4003" s="79"/>
      <c r="AU4003" s="79"/>
      <c r="AV4003" s="79"/>
      <c r="AW4003" s="79"/>
      <c r="AX4003" s="79"/>
      <c r="AZ4003" s="81"/>
      <c r="BB4003" s="5"/>
      <c r="BC4003" s="5"/>
      <c r="BD4003" s="5"/>
      <c r="BE4003" s="5"/>
      <c r="BF4003" s="5"/>
      <c r="BG4003" s="5"/>
      <c r="BH4003" s="5"/>
      <c r="BI4003" s="5"/>
      <c r="BJ4003" s="5"/>
      <c r="BK4003" s="5"/>
      <c r="BL4003" s="5"/>
      <c r="BM4003" s="5"/>
      <c r="BN4003" s="5"/>
      <c r="BO4003" s="5"/>
      <c r="BP4003" s="5"/>
    </row>
    <row r="4004" spans="35:68" x14ac:dyDescent="0.25">
      <c r="AI4004" s="49"/>
      <c r="AJ4004" s="78"/>
      <c r="AK4004" s="79"/>
      <c r="AL4004" s="79"/>
      <c r="AM4004" s="79"/>
      <c r="AN4004" s="79"/>
      <c r="AO4004" s="79"/>
      <c r="AP4004" s="79"/>
      <c r="AQ4004" s="79"/>
      <c r="AR4004" s="78"/>
      <c r="AS4004" s="78"/>
      <c r="AT4004" s="79"/>
      <c r="AU4004" s="79"/>
      <c r="AV4004" s="79"/>
      <c r="AW4004" s="79"/>
      <c r="AX4004" s="79"/>
      <c r="AZ4004" s="81"/>
      <c r="BB4004" s="5"/>
      <c r="BC4004" s="5"/>
      <c r="BD4004" s="5"/>
      <c r="BE4004" s="5"/>
      <c r="BF4004" s="5"/>
      <c r="BG4004" s="5"/>
      <c r="BH4004" s="5"/>
      <c r="BI4004" s="5"/>
      <c r="BJ4004" s="5"/>
      <c r="BK4004" s="5"/>
      <c r="BL4004" s="5"/>
      <c r="BM4004" s="5"/>
      <c r="BN4004" s="5"/>
      <c r="BO4004" s="5"/>
      <c r="BP4004" s="5"/>
    </row>
    <row r="4005" spans="35:68" x14ac:dyDescent="0.25">
      <c r="AI4005" s="49"/>
      <c r="AJ4005" s="78"/>
      <c r="AK4005" s="79"/>
      <c r="AL4005" s="79"/>
      <c r="AM4005" s="79"/>
      <c r="AN4005" s="79"/>
      <c r="AO4005" s="79"/>
      <c r="AP4005" s="79"/>
      <c r="AQ4005" s="79"/>
      <c r="AR4005" s="78"/>
      <c r="AS4005" s="78"/>
      <c r="AT4005" s="79"/>
      <c r="AU4005" s="79"/>
      <c r="AV4005" s="79"/>
      <c r="AW4005" s="79"/>
      <c r="AX4005" s="79"/>
      <c r="AZ4005" s="81"/>
      <c r="BB4005" s="5"/>
      <c r="BC4005" s="5"/>
      <c r="BD4005" s="5"/>
      <c r="BE4005" s="5"/>
      <c r="BF4005" s="5"/>
      <c r="BG4005" s="5"/>
      <c r="BH4005" s="5"/>
      <c r="BI4005" s="5"/>
      <c r="BJ4005" s="5"/>
      <c r="BK4005" s="5"/>
      <c r="BL4005" s="5"/>
      <c r="BM4005" s="5"/>
      <c r="BN4005" s="5"/>
      <c r="BO4005" s="5"/>
      <c r="BP4005" s="5"/>
    </row>
    <row r="4006" spans="35:68" x14ac:dyDescent="0.25">
      <c r="AI4006" s="49"/>
      <c r="AJ4006" s="78"/>
      <c r="AK4006" s="79"/>
      <c r="AL4006" s="79"/>
      <c r="AM4006" s="79"/>
      <c r="AN4006" s="79"/>
      <c r="AO4006" s="79"/>
      <c r="AP4006" s="79"/>
      <c r="AQ4006" s="79"/>
      <c r="AR4006" s="78"/>
      <c r="AS4006" s="78"/>
      <c r="AT4006" s="79"/>
      <c r="AU4006" s="79"/>
      <c r="AV4006" s="79"/>
      <c r="AW4006" s="79"/>
      <c r="AX4006" s="79"/>
      <c r="AZ4006" s="81"/>
      <c r="BB4006" s="5"/>
      <c r="BC4006" s="5"/>
      <c r="BD4006" s="5"/>
      <c r="BE4006" s="5"/>
      <c r="BF4006" s="5"/>
      <c r="BG4006" s="5"/>
      <c r="BH4006" s="5"/>
      <c r="BI4006" s="5"/>
      <c r="BJ4006" s="5"/>
      <c r="BK4006" s="5"/>
      <c r="BL4006" s="5"/>
      <c r="BM4006" s="5"/>
      <c r="BN4006" s="5"/>
      <c r="BO4006" s="5"/>
      <c r="BP4006" s="5"/>
    </row>
    <row r="4007" spans="35:68" x14ac:dyDescent="0.25">
      <c r="AI4007" s="49"/>
      <c r="AJ4007" s="78"/>
      <c r="AK4007" s="79"/>
      <c r="AL4007" s="79"/>
      <c r="AM4007" s="79"/>
      <c r="AN4007" s="79"/>
      <c r="AO4007" s="79"/>
      <c r="AP4007" s="79"/>
      <c r="AQ4007" s="79"/>
      <c r="AR4007" s="78"/>
      <c r="AS4007" s="78"/>
      <c r="AT4007" s="79"/>
      <c r="AU4007" s="79"/>
      <c r="AV4007" s="79"/>
      <c r="AW4007" s="79"/>
      <c r="AX4007" s="79"/>
      <c r="AZ4007" s="81"/>
      <c r="BB4007" s="5"/>
      <c r="BC4007" s="5"/>
      <c r="BD4007" s="5"/>
      <c r="BE4007" s="5"/>
      <c r="BF4007" s="5"/>
      <c r="BG4007" s="5"/>
      <c r="BH4007" s="5"/>
      <c r="BI4007" s="5"/>
      <c r="BJ4007" s="5"/>
      <c r="BK4007" s="5"/>
      <c r="BL4007" s="5"/>
      <c r="BM4007" s="5"/>
      <c r="BN4007" s="5"/>
      <c r="BO4007" s="5"/>
      <c r="BP4007" s="5"/>
    </row>
    <row r="4008" spans="35:68" x14ac:dyDescent="0.25">
      <c r="AI4008" s="49"/>
      <c r="AJ4008" s="78"/>
      <c r="AK4008" s="79"/>
      <c r="AL4008" s="79"/>
      <c r="AM4008" s="79"/>
      <c r="AN4008" s="79"/>
      <c r="AO4008" s="79"/>
      <c r="AP4008" s="79"/>
      <c r="AQ4008" s="79"/>
      <c r="AR4008" s="78"/>
      <c r="AS4008" s="78"/>
      <c r="AT4008" s="79"/>
      <c r="AU4008" s="79"/>
      <c r="AV4008" s="79"/>
      <c r="AW4008" s="79"/>
      <c r="AX4008" s="79"/>
      <c r="AZ4008" s="81"/>
      <c r="BB4008" s="5"/>
      <c r="BC4008" s="5"/>
      <c r="BD4008" s="5"/>
      <c r="BE4008" s="5"/>
      <c r="BF4008" s="5"/>
      <c r="BG4008" s="5"/>
      <c r="BH4008" s="5"/>
      <c r="BI4008" s="5"/>
      <c r="BJ4008" s="5"/>
      <c r="BK4008" s="5"/>
      <c r="BL4008" s="5"/>
      <c r="BM4008" s="5"/>
      <c r="BN4008" s="5"/>
      <c r="BO4008" s="5"/>
      <c r="BP4008" s="5"/>
    </row>
    <row r="4009" spans="35:68" x14ac:dyDescent="0.25">
      <c r="AI4009" s="49"/>
      <c r="AJ4009" s="78"/>
      <c r="AK4009" s="79"/>
      <c r="AL4009" s="79"/>
      <c r="AM4009" s="79"/>
      <c r="AN4009" s="79"/>
      <c r="AO4009" s="79"/>
      <c r="AP4009" s="79"/>
      <c r="AQ4009" s="79"/>
      <c r="AR4009" s="78"/>
      <c r="AS4009" s="78"/>
      <c r="AT4009" s="79"/>
      <c r="AU4009" s="79"/>
      <c r="AV4009" s="79"/>
      <c r="AW4009" s="79"/>
      <c r="AX4009" s="79"/>
      <c r="AZ4009" s="81"/>
      <c r="BB4009" s="5"/>
      <c r="BC4009" s="5"/>
      <c r="BD4009" s="5"/>
      <c r="BE4009" s="5"/>
      <c r="BF4009" s="5"/>
      <c r="BG4009" s="5"/>
      <c r="BH4009" s="5"/>
      <c r="BI4009" s="5"/>
      <c r="BJ4009" s="5"/>
      <c r="BK4009" s="5"/>
      <c r="BL4009" s="5"/>
      <c r="BM4009" s="5"/>
      <c r="BN4009" s="5"/>
      <c r="BO4009" s="5"/>
      <c r="BP4009" s="5"/>
    </row>
    <row r="4010" spans="35:68" x14ac:dyDescent="0.25">
      <c r="AI4010" s="49"/>
      <c r="AJ4010" s="78"/>
      <c r="AK4010" s="79"/>
      <c r="AL4010" s="79"/>
      <c r="AM4010" s="79"/>
      <c r="AN4010" s="79"/>
      <c r="AO4010" s="79"/>
      <c r="AP4010" s="79"/>
      <c r="AQ4010" s="79"/>
      <c r="AR4010" s="78"/>
      <c r="AS4010" s="78"/>
      <c r="AT4010" s="79"/>
      <c r="AU4010" s="79"/>
      <c r="AV4010" s="79"/>
      <c r="AW4010" s="79"/>
      <c r="AX4010" s="79"/>
      <c r="AZ4010" s="81"/>
      <c r="BB4010" s="5"/>
      <c r="BC4010" s="5"/>
      <c r="BD4010" s="5"/>
      <c r="BE4010" s="5"/>
      <c r="BF4010" s="5"/>
      <c r="BG4010" s="5"/>
      <c r="BH4010" s="5"/>
      <c r="BI4010" s="5"/>
      <c r="BJ4010" s="5"/>
      <c r="BK4010" s="5"/>
      <c r="BL4010" s="5"/>
      <c r="BM4010" s="5"/>
      <c r="BN4010" s="5"/>
      <c r="BO4010" s="5"/>
      <c r="BP4010" s="5"/>
    </row>
    <row r="4011" spans="35:68" x14ac:dyDescent="0.25">
      <c r="AI4011" s="49"/>
      <c r="AJ4011" s="78"/>
      <c r="AK4011" s="79"/>
      <c r="AL4011" s="79"/>
      <c r="AM4011" s="79"/>
      <c r="AN4011" s="79"/>
      <c r="AO4011" s="79"/>
      <c r="AP4011" s="79"/>
      <c r="AQ4011" s="79"/>
      <c r="AR4011" s="78"/>
      <c r="AS4011" s="78"/>
      <c r="AT4011" s="79"/>
      <c r="AU4011" s="79"/>
      <c r="AV4011" s="79"/>
      <c r="AW4011" s="79"/>
      <c r="AX4011" s="79"/>
      <c r="AZ4011" s="81"/>
      <c r="BB4011" s="5"/>
      <c r="BC4011" s="5"/>
      <c r="BD4011" s="5"/>
      <c r="BE4011" s="5"/>
      <c r="BF4011" s="5"/>
      <c r="BG4011" s="5"/>
      <c r="BH4011" s="5"/>
      <c r="BI4011" s="5"/>
      <c r="BJ4011" s="5"/>
      <c r="BK4011" s="5"/>
      <c r="BL4011" s="5"/>
      <c r="BM4011" s="5"/>
      <c r="BN4011" s="5"/>
      <c r="BO4011" s="5"/>
      <c r="BP4011" s="5"/>
    </row>
    <row r="4012" spans="35:68" x14ac:dyDescent="0.25">
      <c r="AI4012" s="49"/>
      <c r="AJ4012" s="78"/>
      <c r="AK4012" s="79"/>
      <c r="AL4012" s="79"/>
      <c r="AM4012" s="79"/>
      <c r="AN4012" s="79"/>
      <c r="AO4012" s="79"/>
      <c r="AP4012" s="79"/>
      <c r="AQ4012" s="79"/>
      <c r="AR4012" s="78"/>
      <c r="AS4012" s="78"/>
      <c r="AT4012" s="79"/>
      <c r="AU4012" s="79"/>
      <c r="AV4012" s="79"/>
      <c r="AW4012" s="79"/>
      <c r="AX4012" s="79"/>
      <c r="AZ4012" s="81"/>
      <c r="BB4012" s="5"/>
      <c r="BC4012" s="5"/>
      <c r="BD4012" s="5"/>
      <c r="BE4012" s="5"/>
      <c r="BF4012" s="5"/>
      <c r="BG4012" s="5"/>
      <c r="BH4012" s="5"/>
      <c r="BI4012" s="5"/>
      <c r="BJ4012" s="5"/>
      <c r="BK4012" s="5"/>
      <c r="BL4012" s="5"/>
      <c r="BM4012" s="5"/>
      <c r="BN4012" s="5"/>
      <c r="BO4012" s="5"/>
      <c r="BP4012" s="5"/>
    </row>
    <row r="4013" spans="35:68" x14ac:dyDescent="0.25">
      <c r="AI4013" s="49"/>
      <c r="AJ4013" s="78"/>
      <c r="AK4013" s="79"/>
      <c r="AL4013" s="79"/>
      <c r="AM4013" s="79"/>
      <c r="AN4013" s="79"/>
      <c r="AO4013" s="79"/>
      <c r="AP4013" s="79"/>
      <c r="AQ4013" s="79"/>
      <c r="AR4013" s="78"/>
      <c r="AS4013" s="78"/>
      <c r="AT4013" s="79"/>
      <c r="AU4013" s="79"/>
      <c r="AV4013" s="79"/>
      <c r="AW4013" s="79"/>
      <c r="AX4013" s="79"/>
      <c r="AZ4013" s="81"/>
      <c r="BB4013" s="5"/>
      <c r="BC4013" s="5"/>
      <c r="BD4013" s="5"/>
      <c r="BE4013" s="5"/>
      <c r="BF4013" s="5"/>
      <c r="BG4013" s="5"/>
      <c r="BH4013" s="5"/>
      <c r="BI4013" s="5"/>
      <c r="BJ4013" s="5"/>
      <c r="BK4013" s="5"/>
      <c r="BL4013" s="5"/>
      <c r="BM4013" s="5"/>
      <c r="BN4013" s="5"/>
      <c r="BO4013" s="5"/>
      <c r="BP4013" s="5"/>
    </row>
    <row r="4014" spans="35:68" x14ac:dyDescent="0.25">
      <c r="AI4014" s="49"/>
      <c r="AJ4014" s="78"/>
      <c r="AK4014" s="79"/>
      <c r="AL4014" s="79"/>
      <c r="AM4014" s="79"/>
      <c r="AN4014" s="79"/>
      <c r="AO4014" s="79"/>
      <c r="AP4014" s="79"/>
      <c r="AQ4014" s="79"/>
      <c r="AR4014" s="78"/>
      <c r="AS4014" s="78"/>
      <c r="AT4014" s="79"/>
      <c r="AU4014" s="79"/>
      <c r="AV4014" s="79"/>
      <c r="AW4014" s="79"/>
      <c r="AX4014" s="79"/>
      <c r="AZ4014" s="81"/>
      <c r="BB4014" s="5"/>
      <c r="BC4014" s="5"/>
      <c r="BD4014" s="5"/>
      <c r="BE4014" s="5"/>
      <c r="BF4014" s="5"/>
      <c r="BG4014" s="5"/>
      <c r="BH4014" s="5"/>
      <c r="BI4014" s="5"/>
      <c r="BJ4014" s="5"/>
      <c r="BK4014" s="5"/>
      <c r="BL4014" s="5"/>
      <c r="BM4014" s="5"/>
      <c r="BN4014" s="5"/>
      <c r="BO4014" s="5"/>
      <c r="BP4014" s="5"/>
    </row>
    <row r="4015" spans="35:68" x14ac:dyDescent="0.25">
      <c r="AI4015" s="49"/>
      <c r="AJ4015" s="78"/>
      <c r="AK4015" s="79"/>
      <c r="AL4015" s="79"/>
      <c r="AM4015" s="79"/>
      <c r="AN4015" s="79"/>
      <c r="AO4015" s="79"/>
      <c r="AP4015" s="79"/>
      <c r="AQ4015" s="79"/>
      <c r="AR4015" s="78"/>
      <c r="AS4015" s="78"/>
      <c r="AT4015" s="79"/>
      <c r="AU4015" s="79"/>
      <c r="AV4015" s="79"/>
      <c r="AW4015" s="79"/>
      <c r="AX4015" s="79"/>
      <c r="AZ4015" s="81"/>
      <c r="BB4015" s="5"/>
      <c r="BC4015" s="5"/>
      <c r="BD4015" s="5"/>
      <c r="BE4015" s="5"/>
      <c r="BF4015" s="5"/>
      <c r="BG4015" s="5"/>
      <c r="BH4015" s="5"/>
      <c r="BI4015" s="5"/>
      <c r="BJ4015" s="5"/>
      <c r="BK4015" s="5"/>
      <c r="BL4015" s="5"/>
      <c r="BM4015" s="5"/>
      <c r="BN4015" s="5"/>
      <c r="BO4015" s="5"/>
      <c r="BP4015" s="5"/>
    </row>
    <row r="4016" spans="35:68" x14ac:dyDescent="0.25">
      <c r="AI4016" s="49"/>
      <c r="AJ4016" s="78"/>
      <c r="AK4016" s="79"/>
      <c r="AL4016" s="79"/>
      <c r="AM4016" s="79"/>
      <c r="AN4016" s="79"/>
      <c r="AO4016" s="79"/>
      <c r="AP4016" s="79"/>
      <c r="AQ4016" s="79"/>
      <c r="AR4016" s="78"/>
      <c r="AS4016" s="78"/>
      <c r="AT4016" s="79"/>
      <c r="AU4016" s="79"/>
      <c r="AV4016" s="79"/>
      <c r="AW4016" s="79"/>
      <c r="AX4016" s="79"/>
      <c r="AZ4016" s="81"/>
      <c r="BB4016" s="5"/>
      <c r="BC4016" s="5"/>
      <c r="BD4016" s="5"/>
      <c r="BE4016" s="5"/>
      <c r="BF4016" s="5"/>
      <c r="BG4016" s="5"/>
      <c r="BH4016" s="5"/>
      <c r="BI4016" s="5"/>
      <c r="BJ4016" s="5"/>
      <c r="BK4016" s="5"/>
      <c r="BL4016" s="5"/>
      <c r="BM4016" s="5"/>
      <c r="BN4016" s="5"/>
      <c r="BO4016" s="5"/>
      <c r="BP4016" s="5"/>
    </row>
    <row r="4017" spans="35:68" x14ac:dyDescent="0.25">
      <c r="AI4017" s="49"/>
      <c r="AJ4017" s="78"/>
      <c r="AK4017" s="79"/>
      <c r="AL4017" s="79"/>
      <c r="AM4017" s="79"/>
      <c r="AN4017" s="79"/>
      <c r="AO4017" s="79"/>
      <c r="AP4017" s="79"/>
      <c r="AQ4017" s="79"/>
      <c r="AR4017" s="78"/>
      <c r="AS4017" s="78"/>
      <c r="AT4017" s="79"/>
      <c r="AU4017" s="79"/>
      <c r="AV4017" s="79"/>
      <c r="AW4017" s="79"/>
      <c r="AX4017" s="79"/>
      <c r="AZ4017" s="81"/>
      <c r="BB4017" s="5"/>
      <c r="BC4017" s="5"/>
      <c r="BD4017" s="5"/>
      <c r="BE4017" s="5"/>
      <c r="BF4017" s="5"/>
      <c r="BG4017" s="5"/>
      <c r="BH4017" s="5"/>
      <c r="BI4017" s="5"/>
      <c r="BJ4017" s="5"/>
      <c r="BK4017" s="5"/>
      <c r="BL4017" s="5"/>
      <c r="BM4017" s="5"/>
      <c r="BN4017" s="5"/>
      <c r="BO4017" s="5"/>
      <c r="BP4017" s="5"/>
    </row>
    <row r="4018" spans="35:68" x14ac:dyDescent="0.25">
      <c r="AI4018" s="49"/>
      <c r="AJ4018" s="78"/>
      <c r="AK4018" s="79"/>
      <c r="AL4018" s="79"/>
      <c r="AM4018" s="79"/>
      <c r="AN4018" s="79"/>
      <c r="AO4018" s="79"/>
      <c r="AP4018" s="79"/>
      <c r="AQ4018" s="79"/>
      <c r="AR4018" s="78"/>
      <c r="AS4018" s="78"/>
      <c r="AT4018" s="79"/>
      <c r="AU4018" s="79"/>
      <c r="AV4018" s="79"/>
      <c r="AW4018" s="79"/>
      <c r="AX4018" s="79"/>
      <c r="AZ4018" s="81"/>
      <c r="BB4018" s="5"/>
      <c r="BC4018" s="5"/>
      <c r="BD4018" s="5"/>
      <c r="BE4018" s="5"/>
      <c r="BF4018" s="5"/>
      <c r="BG4018" s="5"/>
      <c r="BH4018" s="5"/>
      <c r="BI4018" s="5"/>
      <c r="BJ4018" s="5"/>
      <c r="BK4018" s="5"/>
      <c r="BL4018" s="5"/>
      <c r="BM4018" s="5"/>
      <c r="BN4018" s="5"/>
      <c r="BO4018" s="5"/>
      <c r="BP4018" s="5"/>
    </row>
    <row r="4019" spans="35:68" x14ac:dyDescent="0.25">
      <c r="AI4019" s="49"/>
      <c r="AJ4019" s="78"/>
      <c r="AK4019" s="79"/>
      <c r="AL4019" s="79"/>
      <c r="AM4019" s="79"/>
      <c r="AN4019" s="79"/>
      <c r="AO4019" s="79"/>
      <c r="AP4019" s="79"/>
      <c r="AQ4019" s="79"/>
      <c r="AR4019" s="78"/>
      <c r="AS4019" s="78"/>
      <c r="AT4019" s="79"/>
      <c r="AU4019" s="79"/>
      <c r="AV4019" s="79"/>
      <c r="AW4019" s="79"/>
      <c r="AX4019" s="79"/>
      <c r="AZ4019" s="81"/>
      <c r="BB4019" s="5"/>
      <c r="BC4019" s="5"/>
      <c r="BD4019" s="5"/>
      <c r="BE4019" s="5"/>
      <c r="BF4019" s="5"/>
      <c r="BG4019" s="5"/>
      <c r="BH4019" s="5"/>
      <c r="BI4019" s="5"/>
      <c r="BJ4019" s="5"/>
      <c r="BK4019" s="5"/>
      <c r="BL4019" s="5"/>
      <c r="BM4019" s="5"/>
      <c r="BN4019" s="5"/>
      <c r="BO4019" s="5"/>
      <c r="BP4019" s="5"/>
    </row>
    <row r="4020" spans="35:68" x14ac:dyDescent="0.25">
      <c r="AI4020" s="49"/>
      <c r="AJ4020" s="78"/>
      <c r="AK4020" s="79"/>
      <c r="AL4020" s="79"/>
      <c r="AM4020" s="79"/>
      <c r="AN4020" s="79"/>
      <c r="AO4020" s="79"/>
      <c r="AP4020" s="79"/>
      <c r="AQ4020" s="79"/>
      <c r="AR4020" s="78"/>
      <c r="AS4020" s="78"/>
      <c r="AT4020" s="79"/>
      <c r="AU4020" s="79"/>
      <c r="AV4020" s="79"/>
      <c r="AW4020" s="79"/>
      <c r="AX4020" s="79"/>
      <c r="AZ4020" s="81"/>
      <c r="BB4020" s="5"/>
      <c r="BC4020" s="5"/>
      <c r="BD4020" s="5"/>
      <c r="BE4020" s="5"/>
      <c r="BF4020" s="5"/>
      <c r="BG4020" s="5"/>
      <c r="BH4020" s="5"/>
      <c r="BI4020" s="5"/>
      <c r="BJ4020" s="5"/>
      <c r="BK4020" s="5"/>
      <c r="BL4020" s="5"/>
      <c r="BM4020" s="5"/>
      <c r="BN4020" s="5"/>
      <c r="BO4020" s="5"/>
      <c r="BP4020" s="5"/>
    </row>
    <row r="4021" spans="35:68" x14ac:dyDescent="0.25">
      <c r="AI4021" s="49"/>
      <c r="AJ4021" s="78"/>
      <c r="AK4021" s="79"/>
      <c r="AL4021" s="79"/>
      <c r="AM4021" s="79"/>
      <c r="AN4021" s="79"/>
      <c r="AO4021" s="79"/>
      <c r="AP4021" s="79"/>
      <c r="AQ4021" s="79"/>
      <c r="AR4021" s="78"/>
      <c r="AS4021" s="78"/>
      <c r="AT4021" s="79"/>
      <c r="AU4021" s="79"/>
      <c r="AV4021" s="79"/>
      <c r="AW4021" s="79"/>
      <c r="AX4021" s="79"/>
      <c r="AZ4021" s="81"/>
      <c r="BB4021" s="5"/>
      <c r="BC4021" s="5"/>
      <c r="BD4021" s="5"/>
      <c r="BE4021" s="5"/>
      <c r="BF4021" s="5"/>
      <c r="BG4021" s="5"/>
      <c r="BH4021" s="5"/>
      <c r="BI4021" s="5"/>
      <c r="BJ4021" s="5"/>
      <c r="BK4021" s="5"/>
      <c r="BL4021" s="5"/>
      <c r="BM4021" s="5"/>
      <c r="BN4021" s="5"/>
      <c r="BO4021" s="5"/>
      <c r="BP4021" s="5"/>
    </row>
    <row r="4022" spans="35:68" x14ac:dyDescent="0.25">
      <c r="AI4022" s="49"/>
      <c r="AJ4022" s="78"/>
      <c r="AK4022" s="79"/>
      <c r="AL4022" s="79"/>
      <c r="AM4022" s="79"/>
      <c r="AN4022" s="79"/>
      <c r="AO4022" s="79"/>
      <c r="AP4022" s="79"/>
      <c r="AQ4022" s="79"/>
      <c r="AR4022" s="78"/>
      <c r="AS4022" s="78"/>
      <c r="AT4022" s="79"/>
      <c r="AU4022" s="79"/>
      <c r="AV4022" s="79"/>
      <c r="AW4022" s="79"/>
      <c r="AX4022" s="79"/>
      <c r="AZ4022" s="81"/>
      <c r="BB4022" s="5"/>
      <c r="BC4022" s="5"/>
      <c r="BD4022" s="5"/>
      <c r="BE4022" s="5"/>
      <c r="BF4022" s="5"/>
      <c r="BG4022" s="5"/>
      <c r="BH4022" s="5"/>
      <c r="BI4022" s="5"/>
      <c r="BJ4022" s="5"/>
      <c r="BK4022" s="5"/>
      <c r="BL4022" s="5"/>
      <c r="BM4022" s="5"/>
      <c r="BN4022" s="5"/>
      <c r="BO4022" s="5"/>
      <c r="BP4022" s="5"/>
    </row>
    <row r="4023" spans="35:68" x14ac:dyDescent="0.25">
      <c r="AI4023" s="49"/>
      <c r="AJ4023" s="78"/>
      <c r="AK4023" s="79"/>
      <c r="AL4023" s="79"/>
      <c r="AM4023" s="79"/>
      <c r="AN4023" s="79"/>
      <c r="AO4023" s="79"/>
      <c r="AP4023" s="79"/>
      <c r="AQ4023" s="79"/>
      <c r="AR4023" s="78"/>
      <c r="AS4023" s="78"/>
      <c r="AT4023" s="79"/>
      <c r="AU4023" s="79"/>
      <c r="AV4023" s="79"/>
      <c r="AW4023" s="79"/>
      <c r="AX4023" s="79"/>
      <c r="AZ4023" s="81"/>
      <c r="BB4023" s="5"/>
      <c r="BC4023" s="5"/>
      <c r="BD4023" s="5"/>
      <c r="BE4023" s="5"/>
      <c r="BF4023" s="5"/>
      <c r="BG4023" s="5"/>
      <c r="BH4023" s="5"/>
      <c r="BI4023" s="5"/>
      <c r="BJ4023" s="5"/>
      <c r="BK4023" s="5"/>
      <c r="BL4023" s="5"/>
      <c r="BM4023" s="5"/>
      <c r="BN4023" s="5"/>
      <c r="BO4023" s="5"/>
      <c r="BP4023" s="5"/>
    </row>
    <row r="4024" spans="35:68" x14ac:dyDescent="0.25">
      <c r="AI4024" s="49"/>
      <c r="AJ4024" s="78"/>
      <c r="AK4024" s="79"/>
      <c r="AL4024" s="79"/>
      <c r="AM4024" s="79"/>
      <c r="AN4024" s="79"/>
      <c r="AO4024" s="79"/>
      <c r="AP4024" s="79"/>
      <c r="AQ4024" s="79"/>
      <c r="AR4024" s="78"/>
      <c r="AS4024" s="78"/>
      <c r="AT4024" s="79"/>
      <c r="AU4024" s="79"/>
      <c r="AV4024" s="79"/>
      <c r="AW4024" s="79"/>
      <c r="AX4024" s="79"/>
      <c r="AZ4024" s="81"/>
      <c r="BB4024" s="5"/>
      <c r="BC4024" s="5"/>
      <c r="BD4024" s="5"/>
      <c r="BE4024" s="5"/>
      <c r="BF4024" s="5"/>
      <c r="BG4024" s="5"/>
      <c r="BH4024" s="5"/>
      <c r="BI4024" s="5"/>
      <c r="BJ4024" s="5"/>
      <c r="BK4024" s="5"/>
      <c r="BL4024" s="5"/>
      <c r="BM4024" s="5"/>
      <c r="BN4024" s="5"/>
      <c r="BO4024" s="5"/>
      <c r="BP4024" s="5"/>
    </row>
    <row r="4025" spans="35:68" x14ac:dyDescent="0.25">
      <c r="AI4025" s="49"/>
      <c r="AJ4025" s="78"/>
      <c r="AK4025" s="79"/>
      <c r="AL4025" s="79"/>
      <c r="AM4025" s="79"/>
      <c r="AN4025" s="79"/>
      <c r="AO4025" s="79"/>
      <c r="AP4025" s="79"/>
      <c r="AQ4025" s="79"/>
      <c r="AR4025" s="78"/>
      <c r="AS4025" s="78"/>
      <c r="AT4025" s="79"/>
      <c r="AU4025" s="79"/>
      <c r="AV4025" s="79"/>
      <c r="AW4025" s="79"/>
      <c r="AX4025" s="79"/>
      <c r="AZ4025" s="81"/>
      <c r="BB4025" s="5"/>
      <c r="BC4025" s="5"/>
      <c r="BD4025" s="5"/>
      <c r="BE4025" s="5"/>
      <c r="BF4025" s="5"/>
      <c r="BG4025" s="5"/>
      <c r="BH4025" s="5"/>
      <c r="BI4025" s="5"/>
      <c r="BJ4025" s="5"/>
      <c r="BK4025" s="5"/>
      <c r="BL4025" s="5"/>
      <c r="BM4025" s="5"/>
      <c r="BN4025" s="5"/>
      <c r="BO4025" s="5"/>
      <c r="BP4025" s="5"/>
    </row>
    <row r="4026" spans="35:68" x14ac:dyDescent="0.25">
      <c r="AI4026" s="49"/>
      <c r="AJ4026" s="78"/>
      <c r="AK4026" s="79"/>
      <c r="AL4026" s="79"/>
      <c r="AM4026" s="79"/>
      <c r="AN4026" s="79"/>
      <c r="AO4026" s="79"/>
      <c r="AP4026" s="79"/>
      <c r="AQ4026" s="79"/>
      <c r="AR4026" s="78"/>
      <c r="AS4026" s="78"/>
      <c r="AT4026" s="79"/>
      <c r="AU4026" s="79"/>
      <c r="AV4026" s="79"/>
      <c r="AW4026" s="79"/>
      <c r="AX4026" s="79"/>
      <c r="AZ4026" s="81"/>
      <c r="BB4026" s="5"/>
      <c r="BC4026" s="5"/>
      <c r="BD4026" s="5"/>
      <c r="BE4026" s="5"/>
      <c r="BF4026" s="5"/>
      <c r="BG4026" s="5"/>
      <c r="BH4026" s="5"/>
      <c r="BI4026" s="5"/>
      <c r="BJ4026" s="5"/>
      <c r="BK4026" s="5"/>
      <c r="BL4026" s="5"/>
      <c r="BM4026" s="5"/>
      <c r="BN4026" s="5"/>
      <c r="BO4026" s="5"/>
      <c r="BP4026" s="5"/>
    </row>
    <row r="4027" spans="35:68" x14ac:dyDescent="0.25">
      <c r="AI4027" s="49"/>
      <c r="AJ4027" s="78"/>
      <c r="AK4027" s="79"/>
      <c r="AL4027" s="79"/>
      <c r="AM4027" s="79"/>
      <c r="AN4027" s="79"/>
      <c r="AO4027" s="79"/>
      <c r="AP4027" s="79"/>
      <c r="AQ4027" s="79"/>
      <c r="AR4027" s="78"/>
      <c r="AS4027" s="78"/>
      <c r="AT4027" s="79"/>
      <c r="AU4027" s="79"/>
      <c r="AV4027" s="79"/>
      <c r="AW4027" s="79"/>
      <c r="AX4027" s="79"/>
      <c r="AZ4027" s="81"/>
      <c r="BB4027" s="5"/>
      <c r="BC4027" s="5"/>
      <c r="BD4027" s="5"/>
      <c r="BE4027" s="5"/>
      <c r="BF4027" s="5"/>
      <c r="BG4027" s="5"/>
      <c r="BH4027" s="5"/>
      <c r="BI4027" s="5"/>
      <c r="BJ4027" s="5"/>
      <c r="BK4027" s="5"/>
      <c r="BL4027" s="5"/>
      <c r="BM4027" s="5"/>
      <c r="BN4027" s="5"/>
      <c r="BO4027" s="5"/>
      <c r="BP4027" s="5"/>
    </row>
    <row r="4028" spans="35:68" x14ac:dyDescent="0.25">
      <c r="AI4028" s="49"/>
      <c r="AJ4028" s="78"/>
      <c r="AK4028" s="79"/>
      <c r="AL4028" s="79"/>
      <c r="AM4028" s="79"/>
      <c r="AN4028" s="79"/>
      <c r="AO4028" s="79"/>
      <c r="AP4028" s="79"/>
      <c r="AQ4028" s="79"/>
      <c r="AR4028" s="78"/>
      <c r="AS4028" s="78"/>
      <c r="AT4028" s="79"/>
      <c r="AU4028" s="79"/>
      <c r="AV4028" s="79"/>
      <c r="AW4028" s="79"/>
      <c r="AX4028" s="79"/>
      <c r="AZ4028" s="81"/>
      <c r="BB4028" s="5"/>
      <c r="BC4028" s="5"/>
      <c r="BD4028" s="5"/>
      <c r="BE4028" s="5"/>
      <c r="BF4028" s="5"/>
      <c r="BG4028" s="5"/>
      <c r="BH4028" s="5"/>
      <c r="BI4028" s="5"/>
      <c r="BJ4028" s="5"/>
      <c r="BK4028" s="5"/>
      <c r="BL4028" s="5"/>
      <c r="BM4028" s="5"/>
      <c r="BN4028" s="5"/>
      <c r="BO4028" s="5"/>
      <c r="BP4028" s="5"/>
    </row>
    <row r="4029" spans="35:68" x14ac:dyDescent="0.25">
      <c r="AI4029" s="49"/>
      <c r="AJ4029" s="78"/>
      <c r="AK4029" s="79"/>
      <c r="AL4029" s="79"/>
      <c r="AM4029" s="79"/>
      <c r="AN4029" s="79"/>
      <c r="AO4029" s="79"/>
      <c r="AP4029" s="79"/>
      <c r="AQ4029" s="79"/>
      <c r="AR4029" s="78"/>
      <c r="AS4029" s="78"/>
      <c r="AT4029" s="79"/>
      <c r="AU4029" s="79"/>
      <c r="AV4029" s="79"/>
      <c r="AW4029" s="79"/>
      <c r="AX4029" s="79"/>
      <c r="AZ4029" s="81"/>
      <c r="BB4029" s="5"/>
      <c r="BC4029" s="5"/>
      <c r="BD4029" s="5"/>
      <c r="BE4029" s="5"/>
      <c r="BF4029" s="5"/>
      <c r="BG4029" s="5"/>
      <c r="BH4029" s="5"/>
      <c r="BI4029" s="5"/>
      <c r="BJ4029" s="5"/>
      <c r="BK4029" s="5"/>
      <c r="BL4029" s="5"/>
      <c r="BM4029" s="5"/>
      <c r="BN4029" s="5"/>
      <c r="BO4029" s="5"/>
      <c r="BP4029" s="5"/>
    </row>
    <row r="4030" spans="35:68" x14ac:dyDescent="0.25">
      <c r="AI4030" s="49"/>
      <c r="AJ4030" s="78"/>
      <c r="AK4030" s="79"/>
      <c r="AL4030" s="79"/>
      <c r="AM4030" s="79"/>
      <c r="AN4030" s="79"/>
      <c r="AO4030" s="79"/>
      <c r="AP4030" s="79"/>
      <c r="AQ4030" s="79"/>
      <c r="AR4030" s="78"/>
      <c r="AS4030" s="78"/>
      <c r="AT4030" s="79"/>
      <c r="AU4030" s="79"/>
      <c r="AV4030" s="79"/>
      <c r="AW4030" s="79"/>
      <c r="AX4030" s="79"/>
      <c r="AZ4030" s="81"/>
      <c r="BB4030" s="5"/>
      <c r="BC4030" s="5"/>
      <c r="BD4030" s="5"/>
      <c r="BE4030" s="5"/>
      <c r="BF4030" s="5"/>
      <c r="BG4030" s="5"/>
      <c r="BH4030" s="5"/>
      <c r="BI4030" s="5"/>
      <c r="BJ4030" s="5"/>
      <c r="BK4030" s="5"/>
      <c r="BL4030" s="5"/>
      <c r="BM4030" s="5"/>
      <c r="BN4030" s="5"/>
      <c r="BO4030" s="5"/>
      <c r="BP4030" s="5"/>
    </row>
    <row r="4031" spans="35:68" x14ac:dyDescent="0.25">
      <c r="AI4031" s="49"/>
      <c r="AJ4031" s="78"/>
      <c r="AK4031" s="79"/>
      <c r="AL4031" s="79"/>
      <c r="AM4031" s="79"/>
      <c r="AN4031" s="79"/>
      <c r="AO4031" s="79"/>
      <c r="AP4031" s="79"/>
      <c r="AQ4031" s="79"/>
      <c r="AR4031" s="78"/>
      <c r="AS4031" s="78"/>
      <c r="AT4031" s="79"/>
      <c r="AU4031" s="79"/>
      <c r="AV4031" s="79"/>
      <c r="AW4031" s="79"/>
      <c r="AX4031" s="79"/>
      <c r="AZ4031" s="81"/>
      <c r="BB4031" s="5"/>
      <c r="BC4031" s="5"/>
      <c r="BD4031" s="5"/>
      <c r="BE4031" s="5"/>
      <c r="BF4031" s="5"/>
      <c r="BG4031" s="5"/>
      <c r="BH4031" s="5"/>
      <c r="BI4031" s="5"/>
      <c r="BJ4031" s="5"/>
      <c r="BK4031" s="5"/>
      <c r="BL4031" s="5"/>
      <c r="BM4031" s="5"/>
      <c r="BN4031" s="5"/>
      <c r="BO4031" s="5"/>
      <c r="BP4031" s="5"/>
    </row>
    <row r="4032" spans="35:68" x14ac:dyDescent="0.25">
      <c r="AI4032" s="49"/>
      <c r="AJ4032" s="78"/>
      <c r="AK4032" s="79"/>
      <c r="AL4032" s="79"/>
      <c r="AM4032" s="79"/>
      <c r="AN4032" s="79"/>
      <c r="AO4032" s="79"/>
      <c r="AP4032" s="79"/>
      <c r="AQ4032" s="79"/>
      <c r="AR4032" s="78"/>
      <c r="AS4032" s="78"/>
      <c r="AT4032" s="79"/>
      <c r="AU4032" s="79"/>
      <c r="AV4032" s="79"/>
      <c r="AW4032" s="79"/>
      <c r="AX4032" s="79"/>
      <c r="AZ4032" s="81"/>
      <c r="BB4032" s="5"/>
      <c r="BC4032" s="5"/>
      <c r="BD4032" s="5"/>
      <c r="BE4032" s="5"/>
      <c r="BF4032" s="5"/>
      <c r="BG4032" s="5"/>
      <c r="BH4032" s="5"/>
      <c r="BI4032" s="5"/>
      <c r="BJ4032" s="5"/>
      <c r="BK4032" s="5"/>
      <c r="BL4032" s="5"/>
      <c r="BM4032" s="5"/>
      <c r="BN4032" s="5"/>
      <c r="BO4032" s="5"/>
      <c r="BP4032" s="5"/>
    </row>
    <row r="4033" spans="35:68" x14ac:dyDescent="0.25">
      <c r="AI4033" s="49"/>
      <c r="AJ4033" s="78"/>
      <c r="AK4033" s="79"/>
      <c r="AL4033" s="79"/>
      <c r="AM4033" s="79"/>
      <c r="AN4033" s="79"/>
      <c r="AO4033" s="79"/>
      <c r="AP4033" s="79"/>
      <c r="AQ4033" s="79"/>
      <c r="AR4033" s="78"/>
      <c r="AS4033" s="78"/>
      <c r="AT4033" s="79"/>
      <c r="AU4033" s="79"/>
      <c r="AV4033" s="79"/>
      <c r="AW4033" s="79"/>
      <c r="AX4033" s="79"/>
      <c r="AZ4033" s="81"/>
      <c r="BB4033" s="5"/>
      <c r="BC4033" s="5"/>
      <c r="BD4033" s="5"/>
      <c r="BE4033" s="5"/>
      <c r="BF4033" s="5"/>
      <c r="BG4033" s="5"/>
      <c r="BH4033" s="5"/>
      <c r="BI4033" s="5"/>
      <c r="BJ4033" s="5"/>
      <c r="BK4033" s="5"/>
      <c r="BL4033" s="5"/>
      <c r="BM4033" s="5"/>
      <c r="BN4033" s="5"/>
      <c r="BO4033" s="5"/>
      <c r="BP4033" s="5"/>
    </row>
    <row r="4034" spans="35:68" x14ac:dyDescent="0.25">
      <c r="AI4034" s="49"/>
      <c r="AJ4034" s="78"/>
      <c r="AK4034" s="79"/>
      <c r="AL4034" s="79"/>
      <c r="AM4034" s="79"/>
      <c r="AN4034" s="79"/>
      <c r="AO4034" s="79"/>
      <c r="AP4034" s="79"/>
      <c r="AQ4034" s="79"/>
      <c r="AR4034" s="78"/>
      <c r="AS4034" s="78"/>
      <c r="AT4034" s="79"/>
      <c r="AU4034" s="79"/>
      <c r="AV4034" s="79"/>
      <c r="AW4034" s="79"/>
      <c r="AX4034" s="79"/>
      <c r="AZ4034" s="81"/>
      <c r="BB4034" s="5"/>
      <c r="BC4034" s="5"/>
      <c r="BD4034" s="5"/>
      <c r="BE4034" s="5"/>
      <c r="BF4034" s="5"/>
      <c r="BG4034" s="5"/>
      <c r="BH4034" s="5"/>
      <c r="BI4034" s="5"/>
      <c r="BJ4034" s="5"/>
      <c r="BK4034" s="5"/>
      <c r="BL4034" s="5"/>
      <c r="BM4034" s="5"/>
      <c r="BN4034" s="5"/>
      <c r="BO4034" s="5"/>
      <c r="BP4034" s="5"/>
    </row>
    <row r="4035" spans="35:68" x14ac:dyDescent="0.25">
      <c r="AI4035" s="49"/>
      <c r="AJ4035" s="78"/>
      <c r="AK4035" s="79"/>
      <c r="AL4035" s="79"/>
      <c r="AM4035" s="79"/>
      <c r="AN4035" s="79"/>
      <c r="AO4035" s="79"/>
      <c r="AP4035" s="79"/>
      <c r="AQ4035" s="79"/>
      <c r="AR4035" s="78"/>
      <c r="AS4035" s="78"/>
      <c r="AT4035" s="79"/>
      <c r="AU4035" s="79"/>
      <c r="AV4035" s="79"/>
      <c r="AW4035" s="79"/>
      <c r="AX4035" s="79"/>
      <c r="AZ4035" s="81"/>
      <c r="BB4035" s="5"/>
      <c r="BC4035" s="5"/>
      <c r="BD4035" s="5"/>
      <c r="BE4035" s="5"/>
      <c r="BF4035" s="5"/>
      <c r="BG4035" s="5"/>
      <c r="BH4035" s="5"/>
      <c r="BI4035" s="5"/>
      <c r="BJ4035" s="5"/>
      <c r="BK4035" s="5"/>
      <c r="BL4035" s="5"/>
      <c r="BM4035" s="5"/>
      <c r="BN4035" s="5"/>
      <c r="BO4035" s="5"/>
      <c r="BP4035" s="5"/>
    </row>
    <row r="4036" spans="35:68" x14ac:dyDescent="0.25">
      <c r="AI4036" s="49"/>
      <c r="AJ4036" s="78"/>
      <c r="AK4036" s="79"/>
      <c r="AL4036" s="79"/>
      <c r="AM4036" s="79"/>
      <c r="AN4036" s="79"/>
      <c r="AO4036" s="79"/>
      <c r="AP4036" s="79"/>
      <c r="AQ4036" s="79"/>
      <c r="AR4036" s="78"/>
      <c r="AS4036" s="78"/>
      <c r="AT4036" s="79"/>
      <c r="AU4036" s="79"/>
      <c r="AV4036" s="79"/>
      <c r="AW4036" s="79"/>
      <c r="AX4036" s="79"/>
      <c r="AZ4036" s="81"/>
      <c r="BB4036" s="5"/>
      <c r="BC4036" s="5"/>
      <c r="BD4036" s="5"/>
      <c r="BE4036" s="5"/>
      <c r="BF4036" s="5"/>
      <c r="BG4036" s="5"/>
      <c r="BH4036" s="5"/>
      <c r="BI4036" s="5"/>
      <c r="BJ4036" s="5"/>
      <c r="BK4036" s="5"/>
      <c r="BL4036" s="5"/>
      <c r="BM4036" s="5"/>
      <c r="BN4036" s="5"/>
      <c r="BO4036" s="5"/>
      <c r="BP4036" s="5"/>
    </row>
    <row r="4037" spans="35:68" x14ac:dyDescent="0.25">
      <c r="AI4037" s="49"/>
      <c r="AJ4037" s="78"/>
      <c r="AK4037" s="79"/>
      <c r="AL4037" s="79"/>
      <c r="AM4037" s="79"/>
      <c r="AN4037" s="79"/>
      <c r="AO4037" s="79"/>
      <c r="AP4037" s="79"/>
      <c r="AQ4037" s="79"/>
      <c r="AR4037" s="78"/>
      <c r="AS4037" s="78"/>
      <c r="AT4037" s="79"/>
      <c r="AU4037" s="79"/>
      <c r="AV4037" s="79"/>
      <c r="AW4037" s="79"/>
      <c r="AX4037" s="79"/>
      <c r="AZ4037" s="81"/>
      <c r="BB4037" s="5"/>
      <c r="BC4037" s="5"/>
      <c r="BD4037" s="5"/>
      <c r="BE4037" s="5"/>
      <c r="BF4037" s="5"/>
      <c r="BG4037" s="5"/>
      <c r="BH4037" s="5"/>
      <c r="BI4037" s="5"/>
      <c r="BJ4037" s="5"/>
      <c r="BK4037" s="5"/>
      <c r="BL4037" s="5"/>
      <c r="BM4037" s="5"/>
      <c r="BN4037" s="5"/>
      <c r="BO4037" s="5"/>
      <c r="BP4037" s="5"/>
    </row>
    <row r="4038" spans="35:68" x14ac:dyDescent="0.25">
      <c r="AI4038" s="49"/>
      <c r="AJ4038" s="78"/>
      <c r="AK4038" s="79"/>
      <c r="AL4038" s="79"/>
      <c r="AM4038" s="79"/>
      <c r="AN4038" s="79"/>
      <c r="AO4038" s="79"/>
      <c r="AP4038" s="79"/>
      <c r="AQ4038" s="79"/>
      <c r="AR4038" s="78"/>
      <c r="AS4038" s="78"/>
      <c r="AT4038" s="79"/>
      <c r="AU4038" s="79"/>
      <c r="AV4038" s="79"/>
      <c r="AW4038" s="79"/>
      <c r="AX4038" s="79"/>
      <c r="AZ4038" s="81"/>
      <c r="BB4038" s="5"/>
      <c r="BC4038" s="5"/>
      <c r="BD4038" s="5"/>
      <c r="BE4038" s="5"/>
      <c r="BF4038" s="5"/>
      <c r="BG4038" s="5"/>
      <c r="BH4038" s="5"/>
      <c r="BI4038" s="5"/>
      <c r="BJ4038" s="5"/>
      <c r="BK4038" s="5"/>
      <c r="BL4038" s="5"/>
      <c r="BM4038" s="5"/>
      <c r="BN4038" s="5"/>
      <c r="BO4038" s="5"/>
      <c r="BP4038" s="5"/>
    </row>
    <row r="4039" spans="35:68" x14ac:dyDescent="0.25">
      <c r="AI4039" s="49"/>
      <c r="AJ4039" s="78"/>
      <c r="AK4039" s="79"/>
      <c r="AL4039" s="79"/>
      <c r="AM4039" s="79"/>
      <c r="AN4039" s="79"/>
      <c r="AO4039" s="79"/>
      <c r="AP4039" s="79"/>
      <c r="AQ4039" s="79"/>
      <c r="AR4039" s="78"/>
      <c r="AS4039" s="78"/>
      <c r="AT4039" s="79"/>
      <c r="AU4039" s="79"/>
      <c r="AV4039" s="79"/>
      <c r="AW4039" s="79"/>
      <c r="AX4039" s="79"/>
      <c r="AZ4039" s="81"/>
      <c r="BB4039" s="5"/>
      <c r="BC4039" s="5"/>
      <c r="BD4039" s="5"/>
      <c r="BE4039" s="5"/>
      <c r="BF4039" s="5"/>
      <c r="BG4039" s="5"/>
      <c r="BH4039" s="5"/>
      <c r="BI4039" s="5"/>
      <c r="BJ4039" s="5"/>
      <c r="BK4039" s="5"/>
      <c r="BL4039" s="5"/>
      <c r="BM4039" s="5"/>
      <c r="BN4039" s="5"/>
      <c r="BO4039" s="5"/>
      <c r="BP4039" s="5"/>
    </row>
    <row r="4040" spans="35:68" x14ac:dyDescent="0.25">
      <c r="AI4040" s="49"/>
      <c r="AJ4040" s="78"/>
      <c r="AK4040" s="79"/>
      <c r="AL4040" s="79"/>
      <c r="AM4040" s="79"/>
      <c r="AN4040" s="79"/>
      <c r="AO4040" s="79"/>
      <c r="AP4040" s="79"/>
      <c r="AQ4040" s="79"/>
      <c r="AR4040" s="78"/>
      <c r="AS4040" s="78"/>
      <c r="AT4040" s="79"/>
      <c r="AU4040" s="79"/>
      <c r="AV4040" s="79"/>
      <c r="AW4040" s="79"/>
      <c r="AX4040" s="79"/>
      <c r="AZ4040" s="81"/>
      <c r="BB4040" s="5"/>
      <c r="BC4040" s="5"/>
      <c r="BD4040" s="5"/>
      <c r="BE4040" s="5"/>
      <c r="BF4040" s="5"/>
      <c r="BG4040" s="5"/>
      <c r="BH4040" s="5"/>
      <c r="BI4040" s="5"/>
      <c r="BJ4040" s="5"/>
      <c r="BK4040" s="5"/>
      <c r="BL4040" s="5"/>
      <c r="BM4040" s="5"/>
      <c r="BN4040" s="5"/>
      <c r="BO4040" s="5"/>
      <c r="BP4040" s="5"/>
    </row>
    <row r="4041" spans="35:68" x14ac:dyDescent="0.25">
      <c r="AI4041" s="49"/>
      <c r="AJ4041" s="78"/>
      <c r="AK4041" s="79"/>
      <c r="AL4041" s="79"/>
      <c r="AM4041" s="79"/>
      <c r="AN4041" s="79"/>
      <c r="AO4041" s="79"/>
      <c r="AP4041" s="79"/>
      <c r="AQ4041" s="79"/>
      <c r="AR4041" s="78"/>
      <c r="AS4041" s="78"/>
      <c r="AT4041" s="79"/>
      <c r="AU4041" s="79"/>
      <c r="AV4041" s="79"/>
      <c r="AW4041" s="79"/>
      <c r="AX4041" s="79"/>
      <c r="AZ4041" s="81"/>
      <c r="BB4041" s="5"/>
      <c r="BC4041" s="5"/>
      <c r="BD4041" s="5"/>
      <c r="BE4041" s="5"/>
      <c r="BF4041" s="5"/>
      <c r="BG4041" s="5"/>
      <c r="BH4041" s="5"/>
      <c r="BI4041" s="5"/>
      <c r="BJ4041" s="5"/>
      <c r="BK4041" s="5"/>
      <c r="BL4041" s="5"/>
      <c r="BM4041" s="5"/>
      <c r="BN4041" s="5"/>
      <c r="BO4041" s="5"/>
      <c r="BP4041" s="5"/>
    </row>
    <row r="4042" spans="35:68" x14ac:dyDescent="0.25">
      <c r="AI4042" s="49"/>
      <c r="AJ4042" s="78"/>
      <c r="AK4042" s="79"/>
      <c r="AL4042" s="79"/>
      <c r="AM4042" s="79"/>
      <c r="AN4042" s="79"/>
      <c r="AO4042" s="79"/>
      <c r="AP4042" s="79"/>
      <c r="AQ4042" s="79"/>
      <c r="AR4042" s="78"/>
      <c r="AS4042" s="78"/>
      <c r="AT4042" s="79"/>
      <c r="AU4042" s="79"/>
      <c r="AV4042" s="79"/>
      <c r="AW4042" s="79"/>
      <c r="AX4042" s="79"/>
      <c r="AZ4042" s="81"/>
      <c r="BB4042" s="5"/>
      <c r="BC4042" s="5"/>
      <c r="BD4042" s="5"/>
      <c r="BE4042" s="5"/>
      <c r="BF4042" s="5"/>
      <c r="BG4042" s="5"/>
      <c r="BH4042" s="5"/>
      <c r="BI4042" s="5"/>
      <c r="BJ4042" s="5"/>
      <c r="BK4042" s="5"/>
      <c r="BL4042" s="5"/>
      <c r="BM4042" s="5"/>
      <c r="BN4042" s="5"/>
      <c r="BO4042" s="5"/>
      <c r="BP4042" s="5"/>
    </row>
    <row r="4043" spans="35:68" x14ac:dyDescent="0.25">
      <c r="AI4043" s="49"/>
      <c r="AJ4043" s="78"/>
      <c r="AK4043" s="79"/>
      <c r="AL4043" s="79"/>
      <c r="AM4043" s="79"/>
      <c r="AN4043" s="79"/>
      <c r="AO4043" s="79"/>
      <c r="AP4043" s="79"/>
      <c r="AQ4043" s="79"/>
      <c r="AR4043" s="78"/>
      <c r="AS4043" s="78"/>
      <c r="AT4043" s="79"/>
      <c r="AU4043" s="79"/>
      <c r="AV4043" s="79"/>
      <c r="AW4043" s="79"/>
      <c r="AX4043" s="79"/>
      <c r="AZ4043" s="81"/>
      <c r="BB4043" s="5"/>
      <c r="BC4043" s="5"/>
      <c r="BD4043" s="5"/>
      <c r="BE4043" s="5"/>
      <c r="BF4043" s="5"/>
      <c r="BG4043" s="5"/>
      <c r="BH4043" s="5"/>
      <c r="BI4043" s="5"/>
      <c r="BJ4043" s="5"/>
      <c r="BK4043" s="5"/>
      <c r="BL4043" s="5"/>
      <c r="BM4043" s="5"/>
      <c r="BN4043" s="5"/>
      <c r="BO4043" s="5"/>
      <c r="BP4043" s="5"/>
    </row>
    <row r="4044" spans="35:68" x14ac:dyDescent="0.25">
      <c r="AI4044" s="49"/>
      <c r="AJ4044" s="78"/>
      <c r="AK4044" s="79"/>
      <c r="AL4044" s="79"/>
      <c r="AM4044" s="79"/>
      <c r="AN4044" s="79"/>
      <c r="AO4044" s="79"/>
      <c r="AP4044" s="79"/>
      <c r="AQ4044" s="79"/>
      <c r="AR4044" s="78"/>
      <c r="AS4044" s="78"/>
      <c r="AT4044" s="79"/>
      <c r="AU4044" s="79"/>
      <c r="AV4044" s="79"/>
      <c r="AW4044" s="79"/>
      <c r="AX4044" s="79"/>
      <c r="AZ4044" s="81"/>
      <c r="BB4044" s="5"/>
      <c r="BC4044" s="5"/>
      <c r="BD4044" s="5"/>
      <c r="BE4044" s="5"/>
      <c r="BF4044" s="5"/>
      <c r="BG4044" s="5"/>
      <c r="BH4044" s="5"/>
      <c r="BI4044" s="5"/>
      <c r="BJ4044" s="5"/>
      <c r="BK4044" s="5"/>
      <c r="BL4044" s="5"/>
      <c r="BM4044" s="5"/>
      <c r="BN4044" s="5"/>
      <c r="BO4044" s="5"/>
      <c r="BP4044" s="5"/>
    </row>
    <row r="4045" spans="35:68" x14ac:dyDescent="0.25">
      <c r="AI4045" s="49"/>
      <c r="AJ4045" s="78"/>
      <c r="AK4045" s="79"/>
      <c r="AL4045" s="79"/>
      <c r="AM4045" s="79"/>
      <c r="AN4045" s="79"/>
      <c r="AO4045" s="79"/>
      <c r="AP4045" s="79"/>
      <c r="AQ4045" s="79"/>
      <c r="AR4045" s="78"/>
      <c r="AS4045" s="78"/>
      <c r="AT4045" s="79"/>
      <c r="AU4045" s="79"/>
      <c r="AV4045" s="79"/>
      <c r="AW4045" s="79"/>
      <c r="AX4045" s="79"/>
      <c r="AZ4045" s="81"/>
      <c r="BB4045" s="5"/>
      <c r="BC4045" s="5"/>
      <c r="BD4045" s="5"/>
      <c r="BE4045" s="5"/>
      <c r="BF4045" s="5"/>
      <c r="BG4045" s="5"/>
      <c r="BH4045" s="5"/>
      <c r="BI4045" s="5"/>
      <c r="BJ4045" s="5"/>
      <c r="BK4045" s="5"/>
      <c r="BL4045" s="5"/>
      <c r="BM4045" s="5"/>
      <c r="BN4045" s="5"/>
      <c r="BO4045" s="5"/>
      <c r="BP4045" s="5"/>
    </row>
    <row r="4046" spans="35:68" x14ac:dyDescent="0.25">
      <c r="AI4046" s="49"/>
      <c r="AJ4046" s="78"/>
      <c r="AK4046" s="79"/>
      <c r="AL4046" s="79"/>
      <c r="AM4046" s="79"/>
      <c r="AN4046" s="79"/>
      <c r="AO4046" s="79"/>
      <c r="AP4046" s="79"/>
      <c r="AQ4046" s="79"/>
      <c r="AR4046" s="78"/>
      <c r="AS4046" s="78"/>
      <c r="AT4046" s="79"/>
      <c r="AU4046" s="79"/>
      <c r="AV4046" s="79"/>
      <c r="AW4046" s="79"/>
      <c r="AX4046" s="79"/>
      <c r="AZ4046" s="81"/>
      <c r="BB4046" s="5"/>
      <c r="BC4046" s="5"/>
      <c r="BD4046" s="5"/>
      <c r="BE4046" s="5"/>
      <c r="BF4046" s="5"/>
      <c r="BG4046" s="5"/>
      <c r="BH4046" s="5"/>
      <c r="BI4046" s="5"/>
      <c r="BJ4046" s="5"/>
      <c r="BK4046" s="5"/>
      <c r="BL4046" s="5"/>
      <c r="BM4046" s="5"/>
      <c r="BN4046" s="5"/>
      <c r="BO4046" s="5"/>
      <c r="BP4046" s="5"/>
    </row>
    <row r="4047" spans="35:68" x14ac:dyDescent="0.25">
      <c r="AI4047" s="49"/>
      <c r="AJ4047" s="78"/>
      <c r="AK4047" s="79"/>
      <c r="AL4047" s="79"/>
      <c r="AM4047" s="79"/>
      <c r="AN4047" s="79"/>
      <c r="AO4047" s="79"/>
      <c r="AP4047" s="79"/>
      <c r="AQ4047" s="79"/>
      <c r="AR4047" s="78"/>
      <c r="AS4047" s="78"/>
      <c r="AT4047" s="79"/>
      <c r="AU4047" s="79"/>
      <c r="AV4047" s="79"/>
      <c r="AW4047" s="79"/>
      <c r="AX4047" s="79"/>
      <c r="AZ4047" s="81"/>
      <c r="BB4047" s="5"/>
      <c r="BC4047" s="5"/>
      <c r="BD4047" s="5"/>
      <c r="BE4047" s="5"/>
      <c r="BF4047" s="5"/>
      <c r="BG4047" s="5"/>
      <c r="BH4047" s="5"/>
      <c r="BI4047" s="5"/>
      <c r="BJ4047" s="5"/>
      <c r="BK4047" s="5"/>
      <c r="BL4047" s="5"/>
      <c r="BM4047" s="5"/>
      <c r="BN4047" s="5"/>
      <c r="BO4047" s="5"/>
      <c r="BP4047" s="5"/>
    </row>
    <row r="4048" spans="35:68" x14ac:dyDescent="0.25">
      <c r="AI4048" s="49"/>
      <c r="AJ4048" s="78"/>
      <c r="AK4048" s="79"/>
      <c r="AL4048" s="79"/>
      <c r="AM4048" s="79"/>
      <c r="AN4048" s="79"/>
      <c r="AO4048" s="79"/>
      <c r="AP4048" s="79"/>
      <c r="AQ4048" s="79"/>
      <c r="AR4048" s="78"/>
      <c r="AS4048" s="78"/>
      <c r="AT4048" s="79"/>
      <c r="AU4048" s="79"/>
      <c r="AV4048" s="79"/>
      <c r="AW4048" s="79"/>
      <c r="AX4048" s="79"/>
      <c r="AZ4048" s="81"/>
      <c r="BB4048" s="5"/>
      <c r="BC4048" s="5"/>
      <c r="BD4048" s="5"/>
      <c r="BE4048" s="5"/>
      <c r="BF4048" s="5"/>
      <c r="BG4048" s="5"/>
      <c r="BH4048" s="5"/>
      <c r="BI4048" s="5"/>
      <c r="BJ4048" s="5"/>
      <c r="BK4048" s="5"/>
      <c r="BL4048" s="5"/>
      <c r="BM4048" s="5"/>
      <c r="BN4048" s="5"/>
      <c r="BO4048" s="5"/>
      <c r="BP4048" s="5"/>
    </row>
    <row r="4049" spans="35:68" x14ac:dyDescent="0.25">
      <c r="AI4049" s="49"/>
      <c r="AJ4049" s="78"/>
      <c r="AK4049" s="79"/>
      <c r="AL4049" s="79"/>
      <c r="AM4049" s="79"/>
      <c r="AN4049" s="79"/>
      <c r="AO4049" s="79"/>
      <c r="AP4049" s="79"/>
      <c r="AQ4049" s="79"/>
      <c r="AR4049" s="78"/>
      <c r="AS4049" s="78"/>
      <c r="AT4049" s="79"/>
      <c r="AU4049" s="79"/>
      <c r="AV4049" s="79"/>
      <c r="AW4049" s="79"/>
      <c r="AX4049" s="79"/>
      <c r="AZ4049" s="81"/>
      <c r="BB4049" s="5"/>
      <c r="BC4049" s="5"/>
      <c r="BD4049" s="5"/>
      <c r="BE4049" s="5"/>
      <c r="BF4049" s="5"/>
      <c r="BG4049" s="5"/>
      <c r="BH4049" s="5"/>
      <c r="BI4049" s="5"/>
      <c r="BJ4049" s="5"/>
      <c r="BK4049" s="5"/>
      <c r="BL4049" s="5"/>
      <c r="BM4049" s="5"/>
      <c r="BN4049" s="5"/>
      <c r="BO4049" s="5"/>
      <c r="BP4049" s="5"/>
    </row>
    <row r="4050" spans="35:68" x14ac:dyDescent="0.25">
      <c r="AI4050" s="49"/>
      <c r="AJ4050" s="78"/>
      <c r="AK4050" s="79"/>
      <c r="AL4050" s="79"/>
      <c r="AM4050" s="79"/>
      <c r="AN4050" s="79"/>
      <c r="AO4050" s="79"/>
      <c r="AP4050" s="79"/>
      <c r="AQ4050" s="79"/>
      <c r="AR4050" s="78"/>
      <c r="AS4050" s="78"/>
      <c r="AT4050" s="79"/>
      <c r="AU4050" s="79"/>
      <c r="AV4050" s="79"/>
      <c r="AW4050" s="79"/>
      <c r="AX4050" s="79"/>
      <c r="AZ4050" s="81"/>
      <c r="BB4050" s="5"/>
      <c r="BC4050" s="5"/>
      <c r="BD4050" s="5"/>
      <c r="BE4050" s="5"/>
      <c r="BF4050" s="5"/>
      <c r="BG4050" s="5"/>
      <c r="BH4050" s="5"/>
      <c r="BI4050" s="5"/>
      <c r="BJ4050" s="5"/>
      <c r="BK4050" s="5"/>
      <c r="BL4050" s="5"/>
      <c r="BM4050" s="5"/>
      <c r="BN4050" s="5"/>
      <c r="BO4050" s="5"/>
      <c r="BP4050" s="5"/>
    </row>
    <row r="4051" spans="35:68" x14ac:dyDescent="0.25">
      <c r="AI4051" s="49"/>
      <c r="AJ4051" s="78"/>
      <c r="AK4051" s="79"/>
      <c r="AL4051" s="79"/>
      <c r="AM4051" s="79"/>
      <c r="AN4051" s="79"/>
      <c r="AO4051" s="79"/>
      <c r="AP4051" s="79"/>
      <c r="AQ4051" s="79"/>
      <c r="AR4051" s="78"/>
      <c r="AS4051" s="78"/>
      <c r="AT4051" s="79"/>
      <c r="AU4051" s="79"/>
      <c r="AV4051" s="79"/>
      <c r="AW4051" s="79"/>
      <c r="AX4051" s="79"/>
      <c r="AZ4051" s="81"/>
      <c r="BB4051" s="5"/>
      <c r="BC4051" s="5"/>
      <c r="BD4051" s="5"/>
      <c r="BE4051" s="5"/>
      <c r="BF4051" s="5"/>
      <c r="BG4051" s="5"/>
      <c r="BH4051" s="5"/>
      <c r="BI4051" s="5"/>
      <c r="BJ4051" s="5"/>
      <c r="BK4051" s="5"/>
      <c r="BL4051" s="5"/>
      <c r="BM4051" s="5"/>
      <c r="BN4051" s="5"/>
      <c r="BO4051" s="5"/>
      <c r="BP4051" s="5"/>
    </row>
    <row r="4052" spans="35:68" x14ac:dyDescent="0.25">
      <c r="AI4052" s="49"/>
      <c r="AJ4052" s="78"/>
      <c r="AK4052" s="79"/>
      <c r="AL4052" s="79"/>
      <c r="AM4052" s="79"/>
      <c r="AN4052" s="79"/>
      <c r="AO4052" s="79"/>
      <c r="AP4052" s="79"/>
      <c r="AQ4052" s="79"/>
      <c r="AR4052" s="78"/>
      <c r="AS4052" s="78"/>
      <c r="AT4052" s="79"/>
      <c r="AU4052" s="79"/>
      <c r="AV4052" s="79"/>
      <c r="AW4052" s="79"/>
      <c r="AX4052" s="79"/>
      <c r="AZ4052" s="81"/>
      <c r="BB4052" s="5"/>
      <c r="BC4052" s="5"/>
      <c r="BD4052" s="5"/>
      <c r="BE4052" s="5"/>
      <c r="BF4052" s="5"/>
      <c r="BG4052" s="5"/>
      <c r="BH4052" s="5"/>
      <c r="BI4052" s="5"/>
      <c r="BJ4052" s="5"/>
      <c r="BK4052" s="5"/>
      <c r="BL4052" s="5"/>
      <c r="BM4052" s="5"/>
      <c r="BN4052" s="5"/>
      <c r="BO4052" s="5"/>
      <c r="BP4052" s="5"/>
    </row>
    <row r="4053" spans="35:68" x14ac:dyDescent="0.25">
      <c r="AI4053" s="49"/>
      <c r="AJ4053" s="78"/>
      <c r="AK4053" s="79"/>
      <c r="AL4053" s="79"/>
      <c r="AM4053" s="79"/>
      <c r="AN4053" s="79"/>
      <c r="AO4053" s="79"/>
      <c r="AP4053" s="79"/>
      <c r="AQ4053" s="79"/>
      <c r="AR4053" s="78"/>
      <c r="AS4053" s="78"/>
      <c r="AT4053" s="79"/>
      <c r="AU4053" s="79"/>
      <c r="AV4053" s="79"/>
      <c r="AW4053" s="79"/>
      <c r="AX4053" s="79"/>
      <c r="AZ4053" s="81"/>
      <c r="BB4053" s="5"/>
      <c r="BC4053" s="5"/>
      <c r="BD4053" s="5"/>
      <c r="BE4053" s="5"/>
      <c r="BF4053" s="5"/>
      <c r="BG4053" s="5"/>
      <c r="BH4053" s="5"/>
      <c r="BI4053" s="5"/>
      <c r="BJ4053" s="5"/>
      <c r="BK4053" s="5"/>
      <c r="BL4053" s="5"/>
      <c r="BM4053" s="5"/>
      <c r="BN4053" s="5"/>
      <c r="BO4053" s="5"/>
      <c r="BP4053" s="5"/>
    </row>
    <row r="4054" spans="35:68" x14ac:dyDescent="0.25">
      <c r="AI4054" s="49"/>
      <c r="AJ4054" s="78"/>
      <c r="AK4054" s="79"/>
      <c r="AL4054" s="79"/>
      <c r="AM4054" s="79"/>
      <c r="AN4054" s="79"/>
      <c r="AO4054" s="79"/>
      <c r="AP4054" s="79"/>
      <c r="AQ4054" s="79"/>
      <c r="AR4054" s="78"/>
      <c r="AS4054" s="78"/>
      <c r="AT4054" s="79"/>
      <c r="AU4054" s="79"/>
      <c r="AV4054" s="79"/>
      <c r="AW4054" s="79"/>
      <c r="AX4054" s="79"/>
      <c r="AZ4054" s="81"/>
      <c r="BB4054" s="5"/>
      <c r="BC4054" s="5"/>
      <c r="BD4054" s="5"/>
      <c r="BE4054" s="5"/>
      <c r="BF4054" s="5"/>
      <c r="BG4054" s="5"/>
      <c r="BH4054" s="5"/>
      <c r="BI4054" s="5"/>
      <c r="BJ4054" s="5"/>
      <c r="BK4054" s="5"/>
      <c r="BL4054" s="5"/>
      <c r="BM4054" s="5"/>
      <c r="BN4054" s="5"/>
      <c r="BO4054" s="5"/>
      <c r="BP4054" s="5"/>
    </row>
    <row r="4055" spans="35:68" x14ac:dyDescent="0.25">
      <c r="AI4055" s="49"/>
      <c r="AJ4055" s="78"/>
      <c r="AK4055" s="79"/>
      <c r="AL4055" s="79"/>
      <c r="AM4055" s="79"/>
      <c r="AN4055" s="79"/>
      <c r="AO4055" s="79"/>
      <c r="AP4055" s="79"/>
      <c r="AQ4055" s="79"/>
      <c r="AR4055" s="78"/>
      <c r="AS4055" s="78"/>
      <c r="AT4055" s="79"/>
      <c r="AU4055" s="79"/>
      <c r="AV4055" s="79"/>
      <c r="AW4055" s="79"/>
      <c r="AX4055" s="79"/>
      <c r="AZ4055" s="81"/>
      <c r="BB4055" s="5"/>
      <c r="BC4055" s="5"/>
      <c r="BD4055" s="5"/>
      <c r="BE4055" s="5"/>
      <c r="BF4055" s="5"/>
      <c r="BG4055" s="5"/>
      <c r="BH4055" s="5"/>
      <c r="BI4055" s="5"/>
      <c r="BJ4055" s="5"/>
      <c r="BK4055" s="5"/>
      <c r="BL4055" s="5"/>
      <c r="BM4055" s="5"/>
      <c r="BN4055" s="5"/>
      <c r="BO4055" s="5"/>
      <c r="BP4055" s="5"/>
    </row>
    <row r="4056" spans="35:68" x14ac:dyDescent="0.25">
      <c r="AI4056" s="49"/>
      <c r="AJ4056" s="78"/>
      <c r="AK4056" s="79"/>
      <c r="AL4056" s="79"/>
      <c r="AM4056" s="79"/>
      <c r="AN4056" s="79"/>
      <c r="AO4056" s="79"/>
      <c r="AP4056" s="79"/>
      <c r="AQ4056" s="79"/>
      <c r="AR4056" s="78"/>
      <c r="AS4056" s="78"/>
      <c r="AT4056" s="79"/>
      <c r="AU4056" s="79"/>
      <c r="AV4056" s="79"/>
      <c r="AW4056" s="79"/>
      <c r="AX4056" s="79"/>
      <c r="AZ4056" s="81"/>
      <c r="BB4056" s="5"/>
      <c r="BC4056" s="5"/>
      <c r="BD4056" s="5"/>
      <c r="BE4056" s="5"/>
      <c r="BF4056" s="5"/>
      <c r="BG4056" s="5"/>
      <c r="BH4056" s="5"/>
      <c r="BI4056" s="5"/>
      <c r="BJ4056" s="5"/>
      <c r="BK4056" s="5"/>
      <c r="BL4056" s="5"/>
      <c r="BM4056" s="5"/>
      <c r="BN4056" s="5"/>
      <c r="BO4056" s="5"/>
      <c r="BP4056" s="5"/>
    </row>
    <row r="4057" spans="35:68" x14ac:dyDescent="0.25">
      <c r="AI4057" s="49"/>
      <c r="AJ4057" s="78"/>
      <c r="AK4057" s="79"/>
      <c r="AL4057" s="79"/>
      <c r="AM4057" s="79"/>
      <c r="AN4057" s="79"/>
      <c r="AO4057" s="79"/>
      <c r="AP4057" s="79"/>
      <c r="AQ4057" s="79"/>
      <c r="AR4057" s="78"/>
      <c r="AS4057" s="78"/>
      <c r="AT4057" s="79"/>
      <c r="AU4057" s="79"/>
      <c r="AV4057" s="79"/>
      <c r="AW4057" s="79"/>
      <c r="AX4057" s="79"/>
      <c r="AZ4057" s="81"/>
      <c r="BB4057" s="5"/>
      <c r="BC4057" s="5"/>
      <c r="BD4057" s="5"/>
      <c r="BE4057" s="5"/>
      <c r="BF4057" s="5"/>
      <c r="BG4057" s="5"/>
      <c r="BH4057" s="5"/>
      <c r="BI4057" s="5"/>
      <c r="BJ4057" s="5"/>
      <c r="BK4057" s="5"/>
      <c r="BL4057" s="5"/>
      <c r="BM4057" s="5"/>
      <c r="BN4057" s="5"/>
      <c r="BO4057" s="5"/>
      <c r="BP4057" s="5"/>
    </row>
    <row r="4058" spans="35:68" x14ac:dyDescent="0.25">
      <c r="AI4058" s="49"/>
      <c r="AJ4058" s="78"/>
      <c r="AK4058" s="79"/>
      <c r="AL4058" s="79"/>
      <c r="AM4058" s="79"/>
      <c r="AN4058" s="79"/>
      <c r="AO4058" s="79"/>
      <c r="AP4058" s="79"/>
      <c r="AQ4058" s="79"/>
      <c r="AR4058" s="78"/>
      <c r="AS4058" s="78"/>
      <c r="AT4058" s="79"/>
      <c r="AU4058" s="79"/>
      <c r="AV4058" s="79"/>
      <c r="AW4058" s="79"/>
      <c r="AX4058" s="79"/>
      <c r="AZ4058" s="81"/>
      <c r="BB4058" s="5"/>
      <c r="BC4058" s="5"/>
      <c r="BD4058" s="5"/>
      <c r="BE4058" s="5"/>
      <c r="BF4058" s="5"/>
      <c r="BG4058" s="5"/>
      <c r="BH4058" s="5"/>
      <c r="BI4058" s="5"/>
      <c r="BJ4058" s="5"/>
      <c r="BK4058" s="5"/>
      <c r="BL4058" s="5"/>
      <c r="BM4058" s="5"/>
      <c r="BN4058" s="5"/>
      <c r="BO4058" s="5"/>
      <c r="BP4058" s="5"/>
    </row>
    <row r="4059" spans="35:68" x14ac:dyDescent="0.25">
      <c r="AI4059" s="49"/>
      <c r="AJ4059" s="78"/>
      <c r="AK4059" s="79"/>
      <c r="AL4059" s="79"/>
      <c r="AM4059" s="79"/>
      <c r="AN4059" s="79"/>
      <c r="AO4059" s="79"/>
      <c r="AP4059" s="79"/>
      <c r="AQ4059" s="79"/>
      <c r="AR4059" s="78"/>
      <c r="AS4059" s="78"/>
      <c r="AT4059" s="79"/>
      <c r="AU4059" s="79"/>
      <c r="AV4059" s="79"/>
      <c r="AW4059" s="79"/>
      <c r="AX4059" s="79"/>
      <c r="AZ4059" s="81"/>
      <c r="BB4059" s="5"/>
      <c r="BC4059" s="5"/>
      <c r="BD4059" s="5"/>
      <c r="BE4059" s="5"/>
      <c r="BF4059" s="5"/>
      <c r="BG4059" s="5"/>
      <c r="BH4059" s="5"/>
      <c r="BI4059" s="5"/>
      <c r="BJ4059" s="5"/>
      <c r="BK4059" s="5"/>
      <c r="BL4059" s="5"/>
      <c r="BM4059" s="5"/>
      <c r="BN4059" s="5"/>
      <c r="BO4059" s="5"/>
      <c r="BP4059" s="5"/>
    </row>
    <row r="4060" spans="35:68" x14ac:dyDescent="0.25">
      <c r="AI4060" s="49"/>
      <c r="AJ4060" s="78"/>
      <c r="AK4060" s="79"/>
      <c r="AL4060" s="79"/>
      <c r="AM4060" s="79"/>
      <c r="AN4060" s="79"/>
      <c r="AO4060" s="79"/>
      <c r="AP4060" s="79"/>
      <c r="AQ4060" s="79"/>
      <c r="AR4060" s="78"/>
      <c r="AS4060" s="78"/>
      <c r="AT4060" s="79"/>
      <c r="AU4060" s="79"/>
      <c r="AV4060" s="79"/>
      <c r="AW4060" s="79"/>
      <c r="AX4060" s="79"/>
      <c r="AZ4060" s="81"/>
      <c r="BB4060" s="5"/>
      <c r="BC4060" s="5"/>
      <c r="BD4060" s="5"/>
      <c r="BE4060" s="5"/>
      <c r="BF4060" s="5"/>
      <c r="BG4060" s="5"/>
      <c r="BH4060" s="5"/>
      <c r="BI4060" s="5"/>
      <c r="BJ4060" s="5"/>
      <c r="BK4060" s="5"/>
      <c r="BL4060" s="5"/>
      <c r="BM4060" s="5"/>
      <c r="BN4060" s="5"/>
      <c r="BO4060" s="5"/>
      <c r="BP4060" s="5"/>
    </row>
    <row r="4061" spans="35:68" x14ac:dyDescent="0.25">
      <c r="AI4061" s="49"/>
      <c r="AJ4061" s="78"/>
      <c r="AK4061" s="79"/>
      <c r="AL4061" s="79"/>
      <c r="AM4061" s="79"/>
      <c r="AN4061" s="79"/>
      <c r="AO4061" s="79"/>
      <c r="AP4061" s="79"/>
      <c r="AQ4061" s="79"/>
      <c r="AR4061" s="78"/>
      <c r="AS4061" s="78"/>
      <c r="AT4061" s="79"/>
      <c r="AU4061" s="79"/>
      <c r="AV4061" s="79"/>
      <c r="AW4061" s="79"/>
      <c r="AX4061" s="79"/>
      <c r="AZ4061" s="81"/>
      <c r="BB4061" s="5"/>
      <c r="BC4061" s="5"/>
      <c r="BD4061" s="5"/>
      <c r="BE4061" s="5"/>
      <c r="BF4061" s="5"/>
      <c r="BG4061" s="5"/>
      <c r="BH4061" s="5"/>
      <c r="BI4061" s="5"/>
      <c r="BJ4061" s="5"/>
      <c r="BK4061" s="5"/>
      <c r="BL4061" s="5"/>
      <c r="BM4061" s="5"/>
      <c r="BN4061" s="5"/>
      <c r="BO4061" s="5"/>
      <c r="BP4061" s="5"/>
    </row>
    <row r="4062" spans="35:68" x14ac:dyDescent="0.25">
      <c r="AI4062" s="49"/>
      <c r="AJ4062" s="78"/>
      <c r="AK4062" s="79"/>
      <c r="AL4062" s="79"/>
      <c r="AM4062" s="79"/>
      <c r="AN4062" s="79"/>
      <c r="AO4062" s="79"/>
      <c r="AP4062" s="79"/>
      <c r="AQ4062" s="79"/>
      <c r="AR4062" s="78"/>
      <c r="AS4062" s="78"/>
      <c r="AT4062" s="79"/>
      <c r="AU4062" s="79"/>
      <c r="AV4062" s="79"/>
      <c r="AW4062" s="79"/>
      <c r="AX4062" s="79"/>
      <c r="AZ4062" s="81"/>
      <c r="BB4062" s="5"/>
      <c r="BC4062" s="5"/>
      <c r="BD4062" s="5"/>
      <c r="BE4062" s="5"/>
      <c r="BF4062" s="5"/>
      <c r="BG4062" s="5"/>
      <c r="BH4062" s="5"/>
      <c r="BI4062" s="5"/>
      <c r="BJ4062" s="5"/>
      <c r="BK4062" s="5"/>
      <c r="BL4062" s="5"/>
      <c r="BM4062" s="5"/>
      <c r="BN4062" s="5"/>
      <c r="BO4062" s="5"/>
      <c r="BP4062" s="5"/>
    </row>
    <row r="4063" spans="35:68" x14ac:dyDescent="0.25">
      <c r="AI4063" s="49"/>
      <c r="AJ4063" s="78"/>
      <c r="AK4063" s="79"/>
      <c r="AL4063" s="79"/>
      <c r="AM4063" s="79"/>
      <c r="AN4063" s="79"/>
      <c r="AO4063" s="79"/>
      <c r="AP4063" s="79"/>
      <c r="AQ4063" s="79"/>
      <c r="AR4063" s="78"/>
      <c r="AS4063" s="78"/>
      <c r="AT4063" s="79"/>
      <c r="AU4063" s="79"/>
      <c r="AV4063" s="79"/>
      <c r="AW4063" s="79"/>
      <c r="AX4063" s="79"/>
      <c r="AZ4063" s="81"/>
      <c r="BB4063" s="5"/>
      <c r="BC4063" s="5"/>
      <c r="BD4063" s="5"/>
      <c r="BE4063" s="5"/>
      <c r="BF4063" s="5"/>
      <c r="BG4063" s="5"/>
      <c r="BH4063" s="5"/>
      <c r="BI4063" s="5"/>
      <c r="BJ4063" s="5"/>
      <c r="BK4063" s="5"/>
      <c r="BL4063" s="5"/>
      <c r="BM4063" s="5"/>
      <c r="BN4063" s="5"/>
      <c r="BO4063" s="5"/>
      <c r="BP4063" s="5"/>
    </row>
    <row r="4064" spans="35:68" x14ac:dyDescent="0.25">
      <c r="AI4064" s="49"/>
      <c r="AJ4064" s="78"/>
      <c r="AK4064" s="79"/>
      <c r="AL4064" s="79"/>
      <c r="AM4064" s="79"/>
      <c r="AN4064" s="79"/>
      <c r="AO4064" s="79"/>
      <c r="AP4064" s="79"/>
      <c r="AQ4064" s="79"/>
      <c r="AR4064" s="78"/>
      <c r="AS4064" s="78"/>
      <c r="AT4064" s="79"/>
      <c r="AU4064" s="79"/>
      <c r="AV4064" s="79"/>
      <c r="AW4064" s="79"/>
      <c r="AX4064" s="79"/>
      <c r="AZ4064" s="81"/>
      <c r="BB4064" s="5"/>
      <c r="BC4064" s="5"/>
      <c r="BD4064" s="5"/>
      <c r="BE4064" s="5"/>
      <c r="BF4064" s="5"/>
      <c r="BG4064" s="5"/>
      <c r="BH4064" s="5"/>
      <c r="BI4064" s="5"/>
      <c r="BJ4064" s="5"/>
      <c r="BK4064" s="5"/>
      <c r="BL4064" s="5"/>
      <c r="BM4064" s="5"/>
      <c r="BN4064" s="5"/>
      <c r="BO4064" s="5"/>
      <c r="BP4064" s="5"/>
    </row>
    <row r="4065" spans="35:68" x14ac:dyDescent="0.25">
      <c r="AI4065" s="49"/>
      <c r="AJ4065" s="78"/>
      <c r="AK4065" s="79"/>
      <c r="AL4065" s="79"/>
      <c r="AM4065" s="79"/>
      <c r="AN4065" s="79"/>
      <c r="AO4065" s="79"/>
      <c r="AP4065" s="79"/>
      <c r="AQ4065" s="79"/>
      <c r="AR4065" s="78"/>
      <c r="AS4065" s="78"/>
      <c r="AT4065" s="79"/>
      <c r="AU4065" s="79"/>
      <c r="AV4065" s="79"/>
      <c r="AW4065" s="79"/>
      <c r="AX4065" s="79"/>
      <c r="AZ4065" s="81"/>
      <c r="BB4065" s="5"/>
      <c r="BC4065" s="5"/>
      <c r="BD4065" s="5"/>
      <c r="BE4065" s="5"/>
      <c r="BF4065" s="5"/>
      <c r="BG4065" s="5"/>
      <c r="BH4065" s="5"/>
      <c r="BI4065" s="5"/>
      <c r="BJ4065" s="5"/>
      <c r="BK4065" s="5"/>
      <c r="BL4065" s="5"/>
      <c r="BM4065" s="5"/>
      <c r="BN4065" s="5"/>
      <c r="BO4065" s="5"/>
      <c r="BP4065" s="5"/>
    </row>
    <row r="4066" spans="35:68" x14ac:dyDescent="0.25">
      <c r="AI4066" s="49"/>
      <c r="AJ4066" s="78"/>
      <c r="AK4066" s="79"/>
      <c r="AL4066" s="79"/>
      <c r="AM4066" s="79"/>
      <c r="AN4066" s="79"/>
      <c r="AO4066" s="79"/>
      <c r="AP4066" s="79"/>
      <c r="AQ4066" s="79"/>
      <c r="AR4066" s="78"/>
      <c r="AS4066" s="78"/>
      <c r="AT4066" s="79"/>
      <c r="AU4066" s="79"/>
      <c r="AV4066" s="79"/>
      <c r="AW4066" s="79"/>
      <c r="AX4066" s="79"/>
      <c r="AZ4066" s="81"/>
      <c r="BB4066" s="5"/>
      <c r="BC4066" s="5"/>
      <c r="BD4066" s="5"/>
      <c r="BE4066" s="5"/>
      <c r="BF4066" s="5"/>
      <c r="BG4066" s="5"/>
      <c r="BH4066" s="5"/>
      <c r="BI4066" s="5"/>
      <c r="BJ4066" s="5"/>
      <c r="BK4066" s="5"/>
      <c r="BL4066" s="5"/>
      <c r="BM4066" s="5"/>
      <c r="BN4066" s="5"/>
      <c r="BO4066" s="5"/>
      <c r="BP4066" s="5"/>
    </row>
    <row r="4067" spans="35:68" x14ac:dyDescent="0.25">
      <c r="AI4067" s="49"/>
      <c r="AJ4067" s="78"/>
      <c r="AK4067" s="79"/>
      <c r="AL4067" s="79"/>
      <c r="AM4067" s="79"/>
      <c r="AN4067" s="79"/>
      <c r="AO4067" s="79"/>
      <c r="AP4067" s="79"/>
      <c r="AQ4067" s="79"/>
      <c r="AR4067" s="78"/>
      <c r="AS4067" s="78"/>
      <c r="AT4067" s="79"/>
      <c r="AU4067" s="79"/>
      <c r="AV4067" s="79"/>
      <c r="AW4067" s="79"/>
      <c r="AX4067" s="79"/>
      <c r="AZ4067" s="81"/>
      <c r="BB4067" s="5"/>
      <c r="BC4067" s="5"/>
      <c r="BD4067" s="5"/>
      <c r="BE4067" s="5"/>
      <c r="BF4067" s="5"/>
      <c r="BG4067" s="5"/>
      <c r="BH4067" s="5"/>
      <c r="BI4067" s="5"/>
      <c r="BJ4067" s="5"/>
      <c r="BK4067" s="5"/>
      <c r="BL4067" s="5"/>
      <c r="BM4067" s="5"/>
      <c r="BN4067" s="5"/>
      <c r="BO4067" s="5"/>
      <c r="BP4067" s="5"/>
    </row>
    <row r="4068" spans="35:68" x14ac:dyDescent="0.25">
      <c r="AI4068" s="49"/>
      <c r="AJ4068" s="78"/>
      <c r="AK4068" s="79"/>
      <c r="AL4068" s="79"/>
      <c r="AM4068" s="79"/>
      <c r="AN4068" s="79"/>
      <c r="AO4068" s="79"/>
      <c r="AP4068" s="79"/>
      <c r="AQ4068" s="79"/>
      <c r="AR4068" s="78"/>
      <c r="AS4068" s="78"/>
      <c r="AT4068" s="79"/>
      <c r="AU4068" s="79"/>
      <c r="AV4068" s="79"/>
      <c r="AW4068" s="79"/>
      <c r="AX4068" s="79"/>
      <c r="AZ4068" s="81"/>
      <c r="BB4068" s="5"/>
      <c r="BC4068" s="5"/>
      <c r="BD4068" s="5"/>
      <c r="BE4068" s="5"/>
      <c r="BF4068" s="5"/>
      <c r="BG4068" s="5"/>
      <c r="BH4068" s="5"/>
      <c r="BI4068" s="5"/>
      <c r="BJ4068" s="5"/>
      <c r="BK4068" s="5"/>
      <c r="BL4068" s="5"/>
      <c r="BM4068" s="5"/>
      <c r="BN4068" s="5"/>
      <c r="BO4068" s="5"/>
      <c r="BP4068" s="5"/>
    </row>
    <row r="4069" spans="35:68" x14ac:dyDescent="0.25">
      <c r="AI4069" s="49"/>
      <c r="AJ4069" s="78"/>
      <c r="AK4069" s="79"/>
      <c r="AL4069" s="79"/>
      <c r="AM4069" s="79"/>
      <c r="AN4069" s="79"/>
      <c r="AO4069" s="79"/>
      <c r="AP4069" s="79"/>
      <c r="AQ4069" s="79"/>
      <c r="AR4069" s="78"/>
      <c r="AS4069" s="78"/>
      <c r="AT4069" s="79"/>
      <c r="AU4069" s="79"/>
      <c r="AV4069" s="79"/>
      <c r="AW4069" s="79"/>
      <c r="AX4069" s="79"/>
      <c r="AZ4069" s="81"/>
      <c r="BB4069" s="5"/>
      <c r="BC4069" s="5"/>
      <c r="BD4069" s="5"/>
      <c r="BE4069" s="5"/>
      <c r="BF4069" s="5"/>
      <c r="BG4069" s="5"/>
      <c r="BH4069" s="5"/>
      <c r="BI4069" s="5"/>
      <c r="BJ4069" s="5"/>
      <c r="BK4069" s="5"/>
      <c r="BL4069" s="5"/>
      <c r="BM4069" s="5"/>
      <c r="BN4069" s="5"/>
      <c r="BO4069" s="5"/>
      <c r="BP4069" s="5"/>
    </row>
    <row r="4070" spans="35:68" x14ac:dyDescent="0.25">
      <c r="AI4070" s="49"/>
      <c r="AJ4070" s="78"/>
      <c r="AK4070" s="79"/>
      <c r="AL4070" s="79"/>
      <c r="AM4070" s="79"/>
      <c r="AN4070" s="79"/>
      <c r="AO4070" s="79"/>
      <c r="AP4070" s="79"/>
      <c r="AQ4070" s="79"/>
      <c r="AR4070" s="78"/>
      <c r="AS4070" s="78"/>
      <c r="AT4070" s="79"/>
      <c r="AU4070" s="79"/>
      <c r="AV4070" s="79"/>
      <c r="AW4070" s="79"/>
      <c r="AX4070" s="79"/>
      <c r="AZ4070" s="81"/>
      <c r="BB4070" s="5"/>
      <c r="BC4070" s="5"/>
      <c r="BD4070" s="5"/>
      <c r="BE4070" s="5"/>
      <c r="BF4070" s="5"/>
      <c r="BG4070" s="5"/>
      <c r="BH4070" s="5"/>
      <c r="BI4070" s="5"/>
      <c r="BJ4070" s="5"/>
      <c r="BK4070" s="5"/>
      <c r="BL4070" s="5"/>
      <c r="BM4070" s="5"/>
      <c r="BN4070" s="5"/>
      <c r="BO4070" s="5"/>
      <c r="BP4070" s="5"/>
    </row>
    <row r="4071" spans="35:68" x14ac:dyDescent="0.25">
      <c r="AI4071" s="49"/>
      <c r="AJ4071" s="78"/>
      <c r="AK4071" s="79"/>
      <c r="AL4071" s="79"/>
      <c r="AM4071" s="79"/>
      <c r="AN4071" s="79"/>
      <c r="AO4071" s="79"/>
      <c r="AP4071" s="79"/>
      <c r="AQ4071" s="79"/>
      <c r="AR4071" s="78"/>
      <c r="AS4071" s="78"/>
      <c r="AT4071" s="79"/>
      <c r="AU4071" s="79"/>
      <c r="AV4071" s="79"/>
      <c r="AW4071" s="79"/>
      <c r="AX4071" s="79"/>
      <c r="AZ4071" s="81"/>
      <c r="BB4071" s="5"/>
      <c r="BC4071" s="5"/>
      <c r="BD4071" s="5"/>
      <c r="BE4071" s="5"/>
      <c r="BF4071" s="5"/>
      <c r="BG4071" s="5"/>
      <c r="BH4071" s="5"/>
      <c r="BI4071" s="5"/>
      <c r="BJ4071" s="5"/>
      <c r="BK4071" s="5"/>
      <c r="BL4071" s="5"/>
      <c r="BM4071" s="5"/>
      <c r="BN4071" s="5"/>
      <c r="BO4071" s="5"/>
      <c r="BP4071" s="5"/>
    </row>
    <row r="4072" spans="35:68" x14ac:dyDescent="0.25">
      <c r="AI4072" s="49"/>
      <c r="AJ4072" s="78"/>
      <c r="AK4072" s="79"/>
      <c r="AL4072" s="79"/>
      <c r="AM4072" s="79"/>
      <c r="AN4072" s="79"/>
      <c r="AO4072" s="79"/>
      <c r="AP4072" s="79"/>
      <c r="AQ4072" s="79"/>
      <c r="AR4072" s="78"/>
      <c r="AS4072" s="78"/>
      <c r="AT4072" s="79"/>
      <c r="AU4072" s="79"/>
      <c r="AV4072" s="79"/>
      <c r="AW4072" s="79"/>
      <c r="AX4072" s="79"/>
      <c r="AZ4072" s="81"/>
      <c r="BB4072" s="5"/>
      <c r="BC4072" s="5"/>
      <c r="BD4072" s="5"/>
      <c r="BE4072" s="5"/>
      <c r="BF4072" s="5"/>
      <c r="BG4072" s="5"/>
      <c r="BH4072" s="5"/>
      <c r="BI4072" s="5"/>
      <c r="BJ4072" s="5"/>
      <c r="BK4072" s="5"/>
      <c r="BL4072" s="5"/>
      <c r="BM4072" s="5"/>
      <c r="BN4072" s="5"/>
      <c r="BO4072" s="5"/>
      <c r="BP4072" s="5"/>
    </row>
    <row r="4073" spans="35:68" x14ac:dyDescent="0.25">
      <c r="AI4073" s="49"/>
      <c r="AJ4073" s="78"/>
      <c r="AK4073" s="79"/>
      <c r="AL4073" s="79"/>
      <c r="AM4073" s="79"/>
      <c r="AN4073" s="79"/>
      <c r="AO4073" s="79"/>
      <c r="AP4073" s="79"/>
      <c r="AQ4073" s="79"/>
      <c r="AR4073" s="78"/>
      <c r="AS4073" s="78"/>
      <c r="AT4073" s="79"/>
      <c r="AU4073" s="79"/>
      <c r="AV4073" s="79"/>
      <c r="AW4073" s="79"/>
      <c r="AX4073" s="79"/>
      <c r="AZ4073" s="81"/>
      <c r="BB4073" s="5"/>
      <c r="BC4073" s="5"/>
      <c r="BD4073" s="5"/>
      <c r="BE4073" s="5"/>
      <c r="BF4073" s="5"/>
      <c r="BG4073" s="5"/>
      <c r="BH4073" s="5"/>
      <c r="BI4073" s="5"/>
      <c r="BJ4073" s="5"/>
      <c r="BK4073" s="5"/>
      <c r="BL4073" s="5"/>
      <c r="BM4073" s="5"/>
      <c r="BN4073" s="5"/>
      <c r="BO4073" s="5"/>
      <c r="BP4073" s="5"/>
    </row>
    <row r="4074" spans="35:68" x14ac:dyDescent="0.25">
      <c r="AI4074" s="49"/>
      <c r="AJ4074" s="78"/>
      <c r="AK4074" s="79"/>
      <c r="AL4074" s="79"/>
      <c r="AM4074" s="79"/>
      <c r="AN4074" s="79"/>
      <c r="AO4074" s="79"/>
      <c r="AP4074" s="79"/>
      <c r="AQ4074" s="79"/>
      <c r="AR4074" s="78"/>
      <c r="AS4074" s="78"/>
      <c r="AT4074" s="79"/>
      <c r="AU4074" s="79"/>
      <c r="AV4074" s="79"/>
      <c r="AW4074" s="79"/>
      <c r="AX4074" s="79"/>
      <c r="AZ4074" s="81"/>
      <c r="BB4074" s="5"/>
      <c r="BC4074" s="5"/>
      <c r="BD4074" s="5"/>
      <c r="BE4074" s="5"/>
      <c r="BF4074" s="5"/>
      <c r="BG4074" s="5"/>
      <c r="BH4074" s="5"/>
      <c r="BI4074" s="5"/>
      <c r="BJ4074" s="5"/>
      <c r="BK4074" s="5"/>
      <c r="BL4074" s="5"/>
      <c r="BM4074" s="5"/>
      <c r="BN4074" s="5"/>
      <c r="BO4074" s="5"/>
      <c r="BP4074" s="5"/>
    </row>
    <row r="4075" spans="35:68" x14ac:dyDescent="0.25">
      <c r="AI4075" s="49"/>
      <c r="AJ4075" s="78"/>
      <c r="AK4075" s="79"/>
      <c r="AL4075" s="79"/>
      <c r="AM4075" s="79"/>
      <c r="AN4075" s="79"/>
      <c r="AO4075" s="79"/>
      <c r="AP4075" s="79"/>
      <c r="AQ4075" s="79"/>
      <c r="AR4075" s="78"/>
      <c r="AS4075" s="78"/>
      <c r="AT4075" s="79"/>
      <c r="AU4075" s="79"/>
      <c r="AV4075" s="79"/>
      <c r="AW4075" s="79"/>
      <c r="AX4075" s="79"/>
      <c r="AZ4075" s="81"/>
      <c r="BB4075" s="5"/>
      <c r="BC4075" s="5"/>
      <c r="BD4075" s="5"/>
      <c r="BE4075" s="5"/>
      <c r="BF4075" s="5"/>
      <c r="BG4075" s="5"/>
      <c r="BH4075" s="5"/>
      <c r="BI4075" s="5"/>
      <c r="BJ4075" s="5"/>
      <c r="BK4075" s="5"/>
      <c r="BL4075" s="5"/>
      <c r="BM4075" s="5"/>
      <c r="BN4075" s="5"/>
      <c r="BO4075" s="5"/>
      <c r="BP4075" s="5"/>
    </row>
    <row r="4076" spans="35:68" x14ac:dyDescent="0.25">
      <c r="AI4076" s="49"/>
      <c r="AJ4076" s="78"/>
      <c r="AK4076" s="79"/>
      <c r="AL4076" s="79"/>
      <c r="AM4076" s="79"/>
      <c r="AN4076" s="79"/>
      <c r="AO4076" s="79"/>
      <c r="AP4076" s="79"/>
      <c r="AQ4076" s="79"/>
      <c r="AR4076" s="78"/>
      <c r="AS4076" s="78"/>
      <c r="AT4076" s="79"/>
      <c r="AU4076" s="79"/>
      <c r="AV4076" s="79"/>
      <c r="AW4076" s="79"/>
      <c r="AX4076" s="79"/>
      <c r="AZ4076" s="81"/>
      <c r="BB4076" s="5"/>
      <c r="BC4076" s="5"/>
      <c r="BD4076" s="5"/>
      <c r="BE4076" s="5"/>
      <c r="BF4076" s="5"/>
      <c r="BG4076" s="5"/>
      <c r="BH4076" s="5"/>
      <c r="BI4076" s="5"/>
      <c r="BJ4076" s="5"/>
      <c r="BK4076" s="5"/>
      <c r="BL4076" s="5"/>
      <c r="BM4076" s="5"/>
      <c r="BN4076" s="5"/>
      <c r="BO4076" s="5"/>
      <c r="BP4076" s="5"/>
    </row>
    <row r="4077" spans="35:68" x14ac:dyDescent="0.25">
      <c r="AI4077" s="49"/>
      <c r="AJ4077" s="78"/>
      <c r="AK4077" s="79"/>
      <c r="AL4077" s="79"/>
      <c r="AM4077" s="79"/>
      <c r="AN4077" s="79"/>
      <c r="AO4077" s="79"/>
      <c r="AP4077" s="79"/>
      <c r="AQ4077" s="79"/>
      <c r="AR4077" s="78"/>
      <c r="AS4077" s="78"/>
      <c r="AT4077" s="79"/>
      <c r="AU4077" s="79"/>
      <c r="AV4077" s="79"/>
      <c r="AW4077" s="79"/>
      <c r="AX4077" s="79"/>
      <c r="AZ4077" s="81"/>
      <c r="BB4077" s="5"/>
      <c r="BC4077" s="5"/>
      <c r="BD4077" s="5"/>
      <c r="BE4077" s="5"/>
      <c r="BF4077" s="5"/>
      <c r="BG4077" s="5"/>
      <c r="BH4077" s="5"/>
      <c r="BI4077" s="5"/>
      <c r="BJ4077" s="5"/>
      <c r="BK4077" s="5"/>
      <c r="BL4077" s="5"/>
      <c r="BM4077" s="5"/>
      <c r="BN4077" s="5"/>
      <c r="BO4077" s="5"/>
      <c r="BP4077" s="5"/>
    </row>
    <row r="4078" spans="35:68" x14ac:dyDescent="0.25">
      <c r="AI4078" s="49"/>
      <c r="AJ4078" s="78"/>
      <c r="AK4078" s="79"/>
      <c r="AL4078" s="79"/>
      <c r="AM4078" s="79"/>
      <c r="AN4078" s="79"/>
      <c r="AO4078" s="79"/>
      <c r="AP4078" s="79"/>
      <c r="AQ4078" s="79"/>
      <c r="AR4078" s="78"/>
      <c r="AS4078" s="78"/>
      <c r="AT4078" s="79"/>
      <c r="AU4078" s="79"/>
      <c r="AV4078" s="79"/>
      <c r="AW4078" s="79"/>
      <c r="AX4078" s="79"/>
      <c r="AZ4078" s="81"/>
      <c r="BB4078" s="5"/>
      <c r="BC4078" s="5"/>
      <c r="BD4078" s="5"/>
      <c r="BE4078" s="5"/>
      <c r="BF4078" s="5"/>
      <c r="BG4078" s="5"/>
      <c r="BH4078" s="5"/>
      <c r="BI4078" s="5"/>
      <c r="BJ4078" s="5"/>
      <c r="BK4078" s="5"/>
      <c r="BL4078" s="5"/>
      <c r="BM4078" s="5"/>
      <c r="BN4078" s="5"/>
      <c r="BO4078" s="5"/>
      <c r="BP4078" s="5"/>
    </row>
    <row r="4079" spans="35:68" x14ac:dyDescent="0.25">
      <c r="AI4079" s="49"/>
      <c r="AJ4079" s="78"/>
      <c r="AK4079" s="79"/>
      <c r="AL4079" s="79"/>
      <c r="AM4079" s="79"/>
      <c r="AN4079" s="79"/>
      <c r="AO4079" s="79"/>
      <c r="AP4079" s="79"/>
      <c r="AQ4079" s="79"/>
      <c r="AR4079" s="78"/>
      <c r="AS4079" s="78"/>
      <c r="AT4079" s="79"/>
      <c r="AU4079" s="79"/>
      <c r="AV4079" s="79"/>
      <c r="AW4079" s="79"/>
      <c r="AX4079" s="79"/>
      <c r="AZ4079" s="81"/>
      <c r="BB4079" s="5"/>
      <c r="BC4079" s="5"/>
      <c r="BD4079" s="5"/>
      <c r="BE4079" s="5"/>
      <c r="BF4079" s="5"/>
      <c r="BG4079" s="5"/>
      <c r="BH4079" s="5"/>
      <c r="BI4079" s="5"/>
      <c r="BJ4079" s="5"/>
      <c r="BK4079" s="5"/>
      <c r="BL4079" s="5"/>
      <c r="BM4079" s="5"/>
      <c r="BN4079" s="5"/>
      <c r="BO4079" s="5"/>
      <c r="BP4079" s="5"/>
    </row>
    <row r="4080" spans="35:68" x14ac:dyDescent="0.25">
      <c r="AI4080" s="49"/>
      <c r="AJ4080" s="78"/>
      <c r="AK4080" s="79"/>
      <c r="AL4080" s="79"/>
      <c r="AM4080" s="79"/>
      <c r="AN4080" s="79"/>
      <c r="AO4080" s="79"/>
      <c r="AP4080" s="79"/>
      <c r="AQ4080" s="79"/>
      <c r="AR4080" s="78"/>
      <c r="AS4080" s="78"/>
      <c r="AT4080" s="79"/>
      <c r="AU4080" s="79"/>
      <c r="AV4080" s="79"/>
      <c r="AW4080" s="79"/>
      <c r="AX4080" s="79"/>
      <c r="AZ4080" s="81"/>
      <c r="BB4080" s="5"/>
      <c r="BC4080" s="5"/>
      <c r="BD4080" s="5"/>
      <c r="BE4080" s="5"/>
      <c r="BF4080" s="5"/>
      <c r="BG4080" s="5"/>
      <c r="BH4080" s="5"/>
      <c r="BI4080" s="5"/>
      <c r="BJ4080" s="5"/>
      <c r="BK4080" s="5"/>
      <c r="BL4080" s="5"/>
      <c r="BM4080" s="5"/>
      <c r="BN4080" s="5"/>
      <c r="BO4080" s="5"/>
      <c r="BP4080" s="5"/>
    </row>
    <row r="4081" spans="35:68" x14ac:dyDescent="0.25">
      <c r="AI4081" s="49"/>
      <c r="AJ4081" s="78"/>
      <c r="AK4081" s="79"/>
      <c r="AL4081" s="79"/>
      <c r="AM4081" s="79"/>
      <c r="AN4081" s="79"/>
      <c r="AO4081" s="79"/>
      <c r="AP4081" s="79"/>
      <c r="AQ4081" s="79"/>
      <c r="AR4081" s="78"/>
      <c r="AS4081" s="78"/>
      <c r="AT4081" s="79"/>
      <c r="AU4081" s="79"/>
      <c r="AV4081" s="79"/>
      <c r="AW4081" s="79"/>
      <c r="AX4081" s="79"/>
      <c r="AZ4081" s="81"/>
      <c r="BB4081" s="5"/>
      <c r="BC4081" s="5"/>
      <c r="BD4081" s="5"/>
      <c r="BE4081" s="5"/>
      <c r="BF4081" s="5"/>
      <c r="BG4081" s="5"/>
      <c r="BH4081" s="5"/>
      <c r="BI4081" s="5"/>
      <c r="BJ4081" s="5"/>
      <c r="BK4081" s="5"/>
      <c r="BL4081" s="5"/>
      <c r="BM4081" s="5"/>
      <c r="BN4081" s="5"/>
      <c r="BO4081" s="5"/>
      <c r="BP4081" s="5"/>
    </row>
    <row r="4082" spans="35:68" x14ac:dyDescent="0.25">
      <c r="AI4082" s="49"/>
      <c r="AJ4082" s="78"/>
      <c r="AK4082" s="79"/>
      <c r="AL4082" s="79"/>
      <c r="AM4082" s="79"/>
      <c r="AN4082" s="79"/>
      <c r="AO4082" s="79"/>
      <c r="AP4082" s="79"/>
      <c r="AQ4082" s="79"/>
      <c r="AR4082" s="78"/>
      <c r="AS4082" s="78"/>
      <c r="AT4082" s="79"/>
      <c r="AU4082" s="79"/>
      <c r="AV4082" s="79"/>
      <c r="AW4082" s="79"/>
      <c r="AX4082" s="79"/>
      <c r="AZ4082" s="81"/>
      <c r="BB4082" s="5"/>
      <c r="BC4082" s="5"/>
      <c r="BD4082" s="5"/>
      <c r="BE4082" s="5"/>
      <c r="BF4082" s="5"/>
      <c r="BG4082" s="5"/>
      <c r="BH4082" s="5"/>
      <c r="BI4082" s="5"/>
      <c r="BJ4082" s="5"/>
      <c r="BK4082" s="5"/>
      <c r="BL4082" s="5"/>
      <c r="BM4082" s="5"/>
      <c r="BN4082" s="5"/>
      <c r="BO4082" s="5"/>
      <c r="BP4082" s="5"/>
    </row>
    <row r="4083" spans="35:68" x14ac:dyDescent="0.25">
      <c r="AI4083" s="49"/>
      <c r="AJ4083" s="78"/>
      <c r="AK4083" s="79"/>
      <c r="AL4083" s="79"/>
      <c r="AM4083" s="79"/>
      <c r="AN4083" s="79"/>
      <c r="AO4083" s="79"/>
      <c r="AP4083" s="79"/>
      <c r="AQ4083" s="79"/>
      <c r="AR4083" s="78"/>
      <c r="AS4083" s="78"/>
      <c r="AT4083" s="79"/>
      <c r="AU4083" s="79"/>
      <c r="AV4083" s="79"/>
      <c r="AW4083" s="79"/>
      <c r="AX4083" s="79"/>
      <c r="AZ4083" s="81"/>
      <c r="BB4083" s="5"/>
      <c r="BC4083" s="5"/>
      <c r="BD4083" s="5"/>
      <c r="BE4083" s="5"/>
      <c r="BF4083" s="5"/>
      <c r="BG4083" s="5"/>
      <c r="BH4083" s="5"/>
      <c r="BI4083" s="5"/>
      <c r="BJ4083" s="5"/>
      <c r="BK4083" s="5"/>
      <c r="BL4083" s="5"/>
      <c r="BM4083" s="5"/>
      <c r="BN4083" s="5"/>
      <c r="BO4083" s="5"/>
      <c r="BP4083" s="5"/>
    </row>
    <row r="4084" spans="35:68" x14ac:dyDescent="0.25">
      <c r="AI4084" s="49"/>
      <c r="AJ4084" s="78"/>
      <c r="AK4084" s="79"/>
      <c r="AL4084" s="79"/>
      <c r="AM4084" s="79"/>
      <c r="AN4084" s="79"/>
      <c r="AO4084" s="79"/>
      <c r="AP4084" s="79"/>
      <c r="AQ4084" s="79"/>
      <c r="AR4084" s="78"/>
      <c r="AS4084" s="78"/>
      <c r="AT4084" s="79"/>
      <c r="AU4084" s="79"/>
      <c r="AV4084" s="79"/>
      <c r="AW4084" s="79"/>
      <c r="AX4084" s="79"/>
      <c r="AZ4084" s="81"/>
      <c r="BB4084" s="5"/>
      <c r="BC4084" s="5"/>
      <c r="BD4084" s="5"/>
      <c r="BE4084" s="5"/>
      <c r="BF4084" s="5"/>
      <c r="BG4084" s="5"/>
      <c r="BH4084" s="5"/>
      <c r="BI4084" s="5"/>
      <c r="BJ4084" s="5"/>
      <c r="BK4084" s="5"/>
      <c r="BL4084" s="5"/>
      <c r="BM4084" s="5"/>
      <c r="BN4084" s="5"/>
      <c r="BO4084" s="5"/>
      <c r="BP4084" s="5"/>
    </row>
    <row r="4085" spans="35:68" x14ac:dyDescent="0.25">
      <c r="AI4085" s="49"/>
      <c r="AJ4085" s="78"/>
      <c r="AK4085" s="79"/>
      <c r="AL4085" s="79"/>
      <c r="AM4085" s="79"/>
      <c r="AN4085" s="79"/>
      <c r="AO4085" s="79"/>
      <c r="AP4085" s="79"/>
      <c r="AQ4085" s="79"/>
      <c r="AR4085" s="78"/>
      <c r="AS4085" s="78"/>
      <c r="AT4085" s="79"/>
      <c r="AU4085" s="79"/>
      <c r="AV4085" s="79"/>
      <c r="AW4085" s="79"/>
      <c r="AX4085" s="79"/>
      <c r="AZ4085" s="81"/>
      <c r="BB4085" s="5"/>
      <c r="BC4085" s="5"/>
      <c r="BD4085" s="5"/>
      <c r="BE4085" s="5"/>
      <c r="BF4085" s="5"/>
      <c r="BG4085" s="5"/>
      <c r="BH4085" s="5"/>
      <c r="BI4085" s="5"/>
      <c r="BJ4085" s="5"/>
      <c r="BK4085" s="5"/>
      <c r="BL4085" s="5"/>
      <c r="BM4085" s="5"/>
      <c r="BN4085" s="5"/>
      <c r="BO4085" s="5"/>
      <c r="BP4085" s="5"/>
    </row>
    <row r="4086" spans="35:68" x14ac:dyDescent="0.25">
      <c r="AI4086" s="49"/>
      <c r="AJ4086" s="78"/>
      <c r="AK4086" s="79"/>
      <c r="AL4086" s="79"/>
      <c r="AM4086" s="79"/>
      <c r="AN4086" s="79"/>
      <c r="AO4086" s="79"/>
      <c r="AP4086" s="79"/>
      <c r="AQ4086" s="79"/>
      <c r="AR4086" s="78"/>
      <c r="AS4086" s="78"/>
      <c r="AT4086" s="79"/>
      <c r="AU4086" s="79"/>
      <c r="AV4086" s="79"/>
      <c r="AW4086" s="79"/>
      <c r="AX4086" s="79"/>
      <c r="AZ4086" s="81"/>
      <c r="BB4086" s="5"/>
      <c r="BC4086" s="5"/>
      <c r="BD4086" s="5"/>
      <c r="BE4086" s="5"/>
      <c r="BF4086" s="5"/>
      <c r="BG4086" s="5"/>
      <c r="BH4086" s="5"/>
      <c r="BI4086" s="5"/>
      <c r="BJ4086" s="5"/>
      <c r="BK4086" s="5"/>
      <c r="BL4086" s="5"/>
      <c r="BM4086" s="5"/>
      <c r="BN4086" s="5"/>
      <c r="BO4086" s="5"/>
      <c r="BP4086" s="5"/>
    </row>
    <row r="4087" spans="35:68" x14ac:dyDescent="0.25">
      <c r="AI4087" s="49"/>
      <c r="AJ4087" s="78"/>
      <c r="AK4087" s="79"/>
      <c r="AL4087" s="79"/>
      <c r="AM4087" s="79"/>
      <c r="AN4087" s="79"/>
      <c r="AO4087" s="79"/>
      <c r="AP4087" s="79"/>
      <c r="AQ4087" s="79"/>
      <c r="AR4087" s="78"/>
      <c r="AS4087" s="78"/>
      <c r="AT4087" s="79"/>
      <c r="AU4087" s="79"/>
      <c r="AV4087" s="79"/>
      <c r="AW4087" s="79"/>
      <c r="AX4087" s="79"/>
      <c r="AZ4087" s="81"/>
      <c r="BB4087" s="5"/>
      <c r="BC4087" s="5"/>
      <c r="BD4087" s="5"/>
      <c r="BE4087" s="5"/>
      <c r="BF4087" s="5"/>
      <c r="BG4087" s="5"/>
      <c r="BH4087" s="5"/>
      <c r="BI4087" s="5"/>
      <c r="BJ4087" s="5"/>
      <c r="BK4087" s="5"/>
      <c r="BL4087" s="5"/>
      <c r="BM4087" s="5"/>
      <c r="BN4087" s="5"/>
      <c r="BO4087" s="5"/>
      <c r="BP4087" s="5"/>
    </row>
    <row r="4088" spans="35:68" x14ac:dyDescent="0.25">
      <c r="AI4088" s="49"/>
      <c r="AJ4088" s="78"/>
      <c r="AK4088" s="79"/>
      <c r="AL4088" s="79"/>
      <c r="AM4088" s="79"/>
      <c r="AN4088" s="79"/>
      <c r="AO4088" s="79"/>
      <c r="AP4088" s="79"/>
      <c r="AQ4088" s="79"/>
      <c r="AR4088" s="78"/>
      <c r="AS4088" s="78"/>
      <c r="AT4088" s="79"/>
      <c r="AU4088" s="79"/>
      <c r="AV4088" s="79"/>
      <c r="AW4088" s="79"/>
      <c r="AX4088" s="79"/>
      <c r="AZ4088" s="81"/>
      <c r="BB4088" s="5"/>
      <c r="BC4088" s="5"/>
      <c r="BD4088" s="5"/>
      <c r="BE4088" s="5"/>
      <c r="BF4088" s="5"/>
      <c r="BG4088" s="5"/>
      <c r="BH4088" s="5"/>
      <c r="BI4088" s="5"/>
      <c r="BJ4088" s="5"/>
      <c r="BK4088" s="5"/>
      <c r="BL4088" s="5"/>
      <c r="BM4088" s="5"/>
      <c r="BN4088" s="5"/>
      <c r="BO4088" s="5"/>
      <c r="BP4088" s="5"/>
    </row>
    <row r="4089" spans="35:68" x14ac:dyDescent="0.25">
      <c r="AI4089" s="49"/>
      <c r="AJ4089" s="78"/>
      <c r="AK4089" s="79"/>
      <c r="AL4089" s="79"/>
      <c r="AM4089" s="79"/>
      <c r="AN4089" s="79"/>
      <c r="AO4089" s="79"/>
      <c r="AP4089" s="79"/>
      <c r="AQ4089" s="79"/>
      <c r="AR4089" s="78"/>
      <c r="AS4089" s="78"/>
      <c r="AT4089" s="79"/>
      <c r="AU4089" s="79"/>
      <c r="AV4089" s="79"/>
      <c r="AW4089" s="79"/>
      <c r="AX4089" s="79"/>
      <c r="AZ4089" s="81"/>
      <c r="BB4089" s="5"/>
      <c r="BC4089" s="5"/>
      <c r="BD4089" s="5"/>
      <c r="BE4089" s="5"/>
      <c r="BF4089" s="5"/>
      <c r="BG4089" s="5"/>
      <c r="BH4089" s="5"/>
      <c r="BI4089" s="5"/>
      <c r="BJ4089" s="5"/>
      <c r="BK4089" s="5"/>
      <c r="BL4089" s="5"/>
      <c r="BM4089" s="5"/>
      <c r="BN4089" s="5"/>
      <c r="BO4089" s="5"/>
      <c r="BP4089" s="5"/>
    </row>
    <row r="4090" spans="35:68" x14ac:dyDescent="0.25">
      <c r="AI4090" s="49"/>
      <c r="AJ4090" s="78"/>
      <c r="AK4090" s="79"/>
      <c r="AL4090" s="79"/>
      <c r="AM4090" s="79"/>
      <c r="AN4090" s="79"/>
      <c r="AO4090" s="79"/>
      <c r="AP4090" s="79"/>
      <c r="AQ4090" s="79"/>
      <c r="AR4090" s="78"/>
      <c r="AS4090" s="78"/>
      <c r="AT4090" s="79"/>
      <c r="AU4090" s="79"/>
      <c r="AV4090" s="79"/>
      <c r="AW4090" s="79"/>
      <c r="AX4090" s="79"/>
      <c r="AZ4090" s="81"/>
      <c r="BB4090" s="5"/>
      <c r="BC4090" s="5"/>
      <c r="BD4090" s="5"/>
      <c r="BE4090" s="5"/>
      <c r="BF4090" s="5"/>
      <c r="BG4090" s="5"/>
      <c r="BH4090" s="5"/>
      <c r="BI4090" s="5"/>
      <c r="BJ4090" s="5"/>
      <c r="BK4090" s="5"/>
      <c r="BL4090" s="5"/>
      <c r="BM4090" s="5"/>
      <c r="BN4090" s="5"/>
      <c r="BO4090" s="5"/>
      <c r="BP4090" s="5"/>
    </row>
    <row r="4091" spans="35:68" x14ac:dyDescent="0.25">
      <c r="AI4091" s="49"/>
      <c r="AJ4091" s="78"/>
      <c r="AK4091" s="79"/>
      <c r="AL4091" s="79"/>
      <c r="AM4091" s="79"/>
      <c r="AN4091" s="79"/>
      <c r="AO4091" s="79"/>
      <c r="AP4091" s="79"/>
      <c r="AQ4091" s="79"/>
      <c r="AR4091" s="78"/>
      <c r="AS4091" s="78"/>
      <c r="AT4091" s="79"/>
      <c r="AU4091" s="79"/>
      <c r="AV4091" s="79"/>
      <c r="AW4091" s="79"/>
      <c r="AX4091" s="79"/>
      <c r="AZ4091" s="81"/>
      <c r="BB4091" s="5"/>
      <c r="BC4091" s="5"/>
      <c r="BD4091" s="5"/>
      <c r="BE4091" s="5"/>
      <c r="BF4091" s="5"/>
      <c r="BG4091" s="5"/>
      <c r="BH4091" s="5"/>
      <c r="BI4091" s="5"/>
      <c r="BJ4091" s="5"/>
      <c r="BK4091" s="5"/>
      <c r="BL4091" s="5"/>
      <c r="BM4091" s="5"/>
      <c r="BN4091" s="5"/>
      <c r="BO4091" s="5"/>
      <c r="BP4091" s="5"/>
    </row>
    <row r="4092" spans="35:68" x14ac:dyDescent="0.25">
      <c r="AI4092" s="49"/>
      <c r="AJ4092" s="78"/>
      <c r="AK4092" s="79"/>
      <c r="AL4092" s="79"/>
      <c r="AM4092" s="79"/>
      <c r="AN4092" s="79"/>
      <c r="AO4092" s="79"/>
      <c r="AP4092" s="79"/>
      <c r="AQ4092" s="79"/>
      <c r="AR4092" s="78"/>
      <c r="AS4092" s="78"/>
      <c r="AT4092" s="79"/>
      <c r="AU4092" s="79"/>
      <c r="AV4092" s="79"/>
      <c r="AW4092" s="79"/>
      <c r="AX4092" s="79"/>
      <c r="AZ4092" s="81"/>
      <c r="BB4092" s="5"/>
      <c r="BC4092" s="5"/>
      <c r="BD4092" s="5"/>
      <c r="BE4092" s="5"/>
      <c r="BF4092" s="5"/>
      <c r="BG4092" s="5"/>
      <c r="BH4092" s="5"/>
      <c r="BI4092" s="5"/>
      <c r="BJ4092" s="5"/>
      <c r="BK4092" s="5"/>
      <c r="BL4092" s="5"/>
      <c r="BM4092" s="5"/>
      <c r="BN4092" s="5"/>
      <c r="BO4092" s="5"/>
      <c r="BP4092" s="5"/>
    </row>
    <row r="4093" spans="35:68" x14ac:dyDescent="0.25">
      <c r="AI4093" s="49"/>
      <c r="AJ4093" s="78"/>
      <c r="AK4093" s="79"/>
      <c r="AL4093" s="79"/>
      <c r="AM4093" s="79"/>
      <c r="AN4093" s="79"/>
      <c r="AO4093" s="79"/>
      <c r="AP4093" s="79"/>
      <c r="AQ4093" s="79"/>
      <c r="AR4093" s="78"/>
      <c r="AS4093" s="78"/>
      <c r="AT4093" s="79"/>
      <c r="AU4093" s="79"/>
      <c r="AV4093" s="79"/>
      <c r="AW4093" s="79"/>
      <c r="AX4093" s="79"/>
      <c r="AZ4093" s="81"/>
      <c r="BB4093" s="5"/>
      <c r="BC4093" s="5"/>
      <c r="BD4093" s="5"/>
      <c r="BE4093" s="5"/>
      <c r="BF4093" s="5"/>
      <c r="BG4093" s="5"/>
      <c r="BH4093" s="5"/>
      <c r="BI4093" s="5"/>
      <c r="BJ4093" s="5"/>
      <c r="BK4093" s="5"/>
      <c r="BL4093" s="5"/>
      <c r="BM4093" s="5"/>
      <c r="BN4093" s="5"/>
      <c r="BO4093" s="5"/>
      <c r="BP4093" s="5"/>
    </row>
    <row r="4094" spans="35:68" x14ac:dyDescent="0.25">
      <c r="AI4094" s="49"/>
      <c r="AJ4094" s="78"/>
      <c r="AK4094" s="79"/>
      <c r="AL4094" s="79"/>
      <c r="AM4094" s="79"/>
      <c r="AN4094" s="79"/>
      <c r="AO4094" s="79"/>
      <c r="AP4094" s="79"/>
      <c r="AQ4094" s="79"/>
      <c r="AR4094" s="78"/>
      <c r="AS4094" s="78"/>
      <c r="AT4094" s="79"/>
      <c r="AU4094" s="79"/>
      <c r="AV4094" s="79"/>
      <c r="AW4094" s="79"/>
      <c r="AX4094" s="79"/>
      <c r="AZ4094" s="81"/>
      <c r="BB4094" s="5"/>
      <c r="BC4094" s="5"/>
      <c r="BD4094" s="5"/>
      <c r="BE4094" s="5"/>
      <c r="BF4094" s="5"/>
      <c r="BG4094" s="5"/>
      <c r="BH4094" s="5"/>
      <c r="BI4094" s="5"/>
      <c r="BJ4094" s="5"/>
      <c r="BK4094" s="5"/>
      <c r="BL4094" s="5"/>
      <c r="BM4094" s="5"/>
      <c r="BN4094" s="5"/>
      <c r="BO4094" s="5"/>
      <c r="BP4094" s="5"/>
    </row>
    <row r="4095" spans="35:68" x14ac:dyDescent="0.25">
      <c r="AI4095" s="49"/>
      <c r="AJ4095" s="78"/>
      <c r="AK4095" s="79"/>
      <c r="AL4095" s="79"/>
      <c r="AM4095" s="79"/>
      <c r="AN4095" s="79"/>
      <c r="AO4095" s="79"/>
      <c r="AP4095" s="79"/>
      <c r="AQ4095" s="79"/>
      <c r="AR4095" s="78"/>
      <c r="AS4095" s="78"/>
      <c r="AT4095" s="79"/>
      <c r="AU4095" s="79"/>
      <c r="AV4095" s="79"/>
      <c r="AW4095" s="79"/>
      <c r="AX4095" s="79"/>
      <c r="AZ4095" s="81"/>
      <c r="BB4095" s="5"/>
      <c r="BC4095" s="5"/>
      <c r="BD4095" s="5"/>
      <c r="BE4095" s="5"/>
      <c r="BF4095" s="5"/>
      <c r="BG4095" s="5"/>
      <c r="BH4095" s="5"/>
      <c r="BI4095" s="5"/>
      <c r="BJ4095" s="5"/>
      <c r="BK4095" s="5"/>
      <c r="BL4095" s="5"/>
      <c r="BM4095" s="5"/>
      <c r="BN4095" s="5"/>
      <c r="BO4095" s="5"/>
      <c r="BP4095" s="5"/>
    </row>
    <row r="4096" spans="35:68" x14ac:dyDescent="0.25">
      <c r="AI4096" s="49"/>
      <c r="AJ4096" s="78"/>
      <c r="AK4096" s="79"/>
      <c r="AL4096" s="79"/>
      <c r="AM4096" s="79"/>
      <c r="AN4096" s="79"/>
      <c r="AO4096" s="79"/>
      <c r="AP4096" s="79"/>
      <c r="AQ4096" s="79"/>
      <c r="AR4096" s="78"/>
      <c r="AS4096" s="78"/>
      <c r="AT4096" s="79"/>
      <c r="AU4096" s="79"/>
      <c r="AV4096" s="79"/>
      <c r="AW4096" s="79"/>
      <c r="AX4096" s="79"/>
      <c r="AZ4096" s="81"/>
      <c r="BB4096" s="5"/>
      <c r="BC4096" s="5"/>
      <c r="BD4096" s="5"/>
      <c r="BE4096" s="5"/>
      <c r="BF4096" s="5"/>
      <c r="BG4096" s="5"/>
      <c r="BH4096" s="5"/>
      <c r="BI4096" s="5"/>
      <c r="BJ4096" s="5"/>
      <c r="BK4096" s="5"/>
      <c r="BL4096" s="5"/>
      <c r="BM4096" s="5"/>
      <c r="BN4096" s="5"/>
      <c r="BO4096" s="5"/>
      <c r="BP4096" s="5"/>
    </row>
    <row r="4097" spans="35:68" x14ac:dyDescent="0.25">
      <c r="AI4097" s="49"/>
      <c r="AJ4097" s="78"/>
      <c r="AK4097" s="79"/>
      <c r="AL4097" s="79"/>
      <c r="AM4097" s="79"/>
      <c r="AN4097" s="79"/>
      <c r="AO4097" s="79"/>
      <c r="AP4097" s="79"/>
      <c r="AQ4097" s="79"/>
      <c r="AR4097" s="78"/>
      <c r="AS4097" s="78"/>
      <c r="AT4097" s="79"/>
      <c r="AU4097" s="79"/>
      <c r="AV4097" s="79"/>
      <c r="AW4097" s="79"/>
      <c r="AX4097" s="79"/>
      <c r="AZ4097" s="81"/>
      <c r="BB4097" s="5"/>
      <c r="BC4097" s="5"/>
      <c r="BD4097" s="5"/>
      <c r="BE4097" s="5"/>
      <c r="BF4097" s="5"/>
      <c r="BG4097" s="5"/>
      <c r="BH4097" s="5"/>
      <c r="BI4097" s="5"/>
      <c r="BJ4097" s="5"/>
      <c r="BK4097" s="5"/>
      <c r="BL4097" s="5"/>
      <c r="BM4097" s="5"/>
      <c r="BN4097" s="5"/>
      <c r="BO4097" s="5"/>
      <c r="BP4097" s="5"/>
    </row>
    <row r="4098" spans="35:68" x14ac:dyDescent="0.25">
      <c r="AI4098" s="49"/>
      <c r="AJ4098" s="78"/>
      <c r="AK4098" s="79"/>
      <c r="AL4098" s="79"/>
      <c r="AM4098" s="79"/>
      <c r="AN4098" s="79"/>
      <c r="AO4098" s="79"/>
      <c r="AP4098" s="79"/>
      <c r="AQ4098" s="79"/>
      <c r="AR4098" s="78"/>
      <c r="AS4098" s="78"/>
      <c r="AT4098" s="79"/>
      <c r="AU4098" s="79"/>
      <c r="AV4098" s="79"/>
      <c r="AW4098" s="79"/>
      <c r="AX4098" s="79"/>
      <c r="AZ4098" s="81"/>
      <c r="BB4098" s="5"/>
      <c r="BC4098" s="5"/>
      <c r="BD4098" s="5"/>
      <c r="BE4098" s="5"/>
      <c r="BF4098" s="5"/>
      <c r="BG4098" s="5"/>
      <c r="BH4098" s="5"/>
      <c r="BI4098" s="5"/>
      <c r="BJ4098" s="5"/>
      <c r="BK4098" s="5"/>
      <c r="BL4098" s="5"/>
      <c r="BM4098" s="5"/>
      <c r="BN4098" s="5"/>
      <c r="BO4098" s="5"/>
      <c r="BP4098" s="5"/>
    </row>
    <row r="4099" spans="35:68" x14ac:dyDescent="0.25">
      <c r="AI4099" s="49"/>
      <c r="AJ4099" s="78"/>
      <c r="AK4099" s="79"/>
      <c r="AL4099" s="79"/>
      <c r="AM4099" s="79"/>
      <c r="AN4099" s="79"/>
      <c r="AO4099" s="79"/>
      <c r="AP4099" s="79"/>
      <c r="AQ4099" s="79"/>
      <c r="AR4099" s="78"/>
      <c r="AS4099" s="78"/>
      <c r="AT4099" s="79"/>
      <c r="AU4099" s="79"/>
      <c r="AV4099" s="79"/>
      <c r="AW4099" s="79"/>
      <c r="AX4099" s="79"/>
      <c r="AZ4099" s="81"/>
      <c r="BB4099" s="5"/>
      <c r="BC4099" s="5"/>
      <c r="BD4099" s="5"/>
      <c r="BE4099" s="5"/>
      <c r="BF4099" s="5"/>
      <c r="BG4099" s="5"/>
      <c r="BH4099" s="5"/>
      <c r="BI4099" s="5"/>
      <c r="BJ4099" s="5"/>
      <c r="BK4099" s="5"/>
      <c r="BL4099" s="5"/>
      <c r="BM4099" s="5"/>
      <c r="BN4099" s="5"/>
      <c r="BO4099" s="5"/>
      <c r="BP4099" s="5"/>
    </row>
    <row r="4100" spans="35:68" x14ac:dyDescent="0.25">
      <c r="AI4100" s="49"/>
      <c r="AJ4100" s="78"/>
      <c r="AK4100" s="79"/>
      <c r="AL4100" s="79"/>
      <c r="AM4100" s="79"/>
      <c r="AN4100" s="79"/>
      <c r="AO4100" s="79"/>
      <c r="AP4100" s="79"/>
      <c r="AQ4100" s="79"/>
      <c r="AR4100" s="78"/>
      <c r="AS4100" s="78"/>
      <c r="AT4100" s="79"/>
      <c r="AU4100" s="79"/>
      <c r="AV4100" s="79"/>
      <c r="AW4100" s="79"/>
      <c r="AX4100" s="79"/>
      <c r="AZ4100" s="81"/>
      <c r="BB4100" s="5"/>
      <c r="BC4100" s="5"/>
      <c r="BD4100" s="5"/>
      <c r="BE4100" s="5"/>
      <c r="BF4100" s="5"/>
      <c r="BG4100" s="5"/>
      <c r="BH4100" s="5"/>
      <c r="BI4100" s="5"/>
      <c r="BJ4100" s="5"/>
      <c r="BK4100" s="5"/>
      <c r="BL4100" s="5"/>
      <c r="BM4100" s="5"/>
      <c r="BN4100" s="5"/>
      <c r="BO4100" s="5"/>
      <c r="BP4100" s="5"/>
    </row>
    <row r="4101" spans="35:68" x14ac:dyDescent="0.25">
      <c r="AI4101" s="49"/>
      <c r="AJ4101" s="78"/>
      <c r="AK4101" s="79"/>
      <c r="AL4101" s="79"/>
      <c r="AM4101" s="79"/>
      <c r="AN4101" s="79"/>
      <c r="AO4101" s="79"/>
      <c r="AP4101" s="79"/>
      <c r="AQ4101" s="79"/>
      <c r="AR4101" s="78"/>
      <c r="AS4101" s="78"/>
      <c r="AT4101" s="79"/>
      <c r="AU4101" s="79"/>
      <c r="AV4101" s="79"/>
      <c r="AW4101" s="79"/>
      <c r="AX4101" s="79"/>
      <c r="AZ4101" s="81"/>
      <c r="BB4101" s="5"/>
      <c r="BC4101" s="5"/>
      <c r="BD4101" s="5"/>
      <c r="BE4101" s="5"/>
      <c r="BF4101" s="5"/>
      <c r="BG4101" s="5"/>
      <c r="BH4101" s="5"/>
      <c r="BI4101" s="5"/>
      <c r="BJ4101" s="5"/>
      <c r="BK4101" s="5"/>
      <c r="BL4101" s="5"/>
      <c r="BM4101" s="5"/>
      <c r="BN4101" s="5"/>
      <c r="BO4101" s="5"/>
      <c r="BP4101" s="5"/>
    </row>
    <row r="4102" spans="35:68" x14ac:dyDescent="0.25">
      <c r="AI4102" s="49"/>
      <c r="AJ4102" s="78"/>
      <c r="AK4102" s="79"/>
      <c r="AL4102" s="79"/>
      <c r="AM4102" s="79"/>
      <c r="AN4102" s="79"/>
      <c r="AO4102" s="79"/>
      <c r="AP4102" s="79"/>
      <c r="AQ4102" s="79"/>
      <c r="AR4102" s="78"/>
      <c r="AS4102" s="78"/>
      <c r="AT4102" s="79"/>
      <c r="AU4102" s="79"/>
      <c r="AV4102" s="79"/>
      <c r="AW4102" s="79"/>
      <c r="AX4102" s="79"/>
      <c r="AZ4102" s="81"/>
      <c r="BB4102" s="5"/>
      <c r="BC4102" s="5"/>
      <c r="BD4102" s="5"/>
      <c r="BE4102" s="5"/>
      <c r="BF4102" s="5"/>
      <c r="BG4102" s="5"/>
      <c r="BH4102" s="5"/>
      <c r="BI4102" s="5"/>
      <c r="BJ4102" s="5"/>
      <c r="BK4102" s="5"/>
      <c r="BL4102" s="5"/>
      <c r="BM4102" s="5"/>
      <c r="BN4102" s="5"/>
      <c r="BO4102" s="5"/>
      <c r="BP4102" s="5"/>
    </row>
    <row r="4103" spans="35:68" x14ac:dyDescent="0.25">
      <c r="AI4103" s="49"/>
      <c r="AJ4103" s="78"/>
      <c r="AK4103" s="79"/>
      <c r="AL4103" s="79"/>
      <c r="AM4103" s="79"/>
      <c r="AN4103" s="79"/>
      <c r="AO4103" s="79"/>
      <c r="AP4103" s="79"/>
      <c r="AQ4103" s="79"/>
      <c r="AR4103" s="78"/>
      <c r="AS4103" s="78"/>
      <c r="AT4103" s="79"/>
      <c r="AU4103" s="79"/>
      <c r="AV4103" s="79"/>
      <c r="AW4103" s="79"/>
      <c r="AX4103" s="79"/>
      <c r="AZ4103" s="81"/>
      <c r="BB4103" s="5"/>
      <c r="BC4103" s="5"/>
      <c r="BD4103" s="5"/>
      <c r="BE4103" s="5"/>
      <c r="BF4103" s="5"/>
      <c r="BG4103" s="5"/>
      <c r="BH4103" s="5"/>
      <c r="BI4103" s="5"/>
      <c r="BJ4103" s="5"/>
      <c r="BK4103" s="5"/>
      <c r="BL4103" s="5"/>
      <c r="BM4103" s="5"/>
      <c r="BN4103" s="5"/>
      <c r="BO4103" s="5"/>
      <c r="BP4103" s="5"/>
    </row>
    <row r="4104" spans="35:68" x14ac:dyDescent="0.25">
      <c r="AI4104" s="49"/>
      <c r="AJ4104" s="78"/>
      <c r="AK4104" s="79"/>
      <c r="AL4104" s="79"/>
      <c r="AM4104" s="79"/>
      <c r="AN4104" s="79"/>
      <c r="AO4104" s="79"/>
      <c r="AP4104" s="79"/>
      <c r="AQ4104" s="79"/>
      <c r="AR4104" s="78"/>
      <c r="AS4104" s="78"/>
      <c r="AT4104" s="79"/>
      <c r="AU4104" s="79"/>
      <c r="AV4104" s="79"/>
      <c r="AW4104" s="79"/>
      <c r="AX4104" s="79"/>
      <c r="AZ4104" s="81"/>
      <c r="BB4104" s="5"/>
      <c r="BC4104" s="5"/>
      <c r="BD4104" s="5"/>
      <c r="BE4104" s="5"/>
      <c r="BF4104" s="5"/>
      <c r="BG4104" s="5"/>
      <c r="BH4104" s="5"/>
      <c r="BI4104" s="5"/>
      <c r="BJ4104" s="5"/>
      <c r="BK4104" s="5"/>
      <c r="BL4104" s="5"/>
      <c r="BM4104" s="5"/>
      <c r="BN4104" s="5"/>
      <c r="BO4104" s="5"/>
      <c r="BP4104" s="5"/>
    </row>
    <row r="4105" spans="35:68" x14ac:dyDescent="0.25">
      <c r="AI4105" s="49"/>
      <c r="AJ4105" s="78"/>
      <c r="AK4105" s="79"/>
      <c r="AL4105" s="79"/>
      <c r="AM4105" s="79"/>
      <c r="AN4105" s="79"/>
      <c r="AO4105" s="79"/>
      <c r="AP4105" s="79"/>
      <c r="AQ4105" s="79"/>
      <c r="AR4105" s="78"/>
      <c r="AS4105" s="78"/>
      <c r="AT4105" s="79"/>
      <c r="AU4105" s="79"/>
      <c r="AV4105" s="79"/>
      <c r="AW4105" s="79"/>
      <c r="AX4105" s="79"/>
      <c r="AZ4105" s="81"/>
      <c r="BB4105" s="5"/>
      <c r="BC4105" s="5"/>
      <c r="BD4105" s="5"/>
      <c r="BE4105" s="5"/>
      <c r="BF4105" s="5"/>
      <c r="BG4105" s="5"/>
      <c r="BH4105" s="5"/>
      <c r="BI4105" s="5"/>
      <c r="BJ4105" s="5"/>
      <c r="BK4105" s="5"/>
      <c r="BL4105" s="5"/>
      <c r="BM4105" s="5"/>
      <c r="BN4105" s="5"/>
      <c r="BO4105" s="5"/>
      <c r="BP4105" s="5"/>
    </row>
    <row r="4106" spans="35:68" x14ac:dyDescent="0.25">
      <c r="AI4106" s="49"/>
      <c r="AJ4106" s="78"/>
      <c r="AK4106" s="79"/>
      <c r="AL4106" s="79"/>
      <c r="AM4106" s="79"/>
      <c r="AN4106" s="79"/>
      <c r="AO4106" s="79"/>
      <c r="AP4106" s="79"/>
      <c r="AQ4106" s="79"/>
      <c r="AR4106" s="78"/>
      <c r="AS4106" s="78"/>
      <c r="AT4106" s="79"/>
      <c r="AU4106" s="79"/>
      <c r="AV4106" s="79"/>
      <c r="AW4106" s="79"/>
      <c r="AX4106" s="79"/>
      <c r="AZ4106" s="81"/>
      <c r="BB4106" s="5"/>
      <c r="BC4106" s="5"/>
      <c r="BD4106" s="5"/>
      <c r="BE4106" s="5"/>
      <c r="BF4106" s="5"/>
      <c r="BG4106" s="5"/>
      <c r="BH4106" s="5"/>
      <c r="BI4106" s="5"/>
      <c r="BJ4106" s="5"/>
      <c r="BK4106" s="5"/>
      <c r="BL4106" s="5"/>
      <c r="BM4106" s="5"/>
      <c r="BN4106" s="5"/>
      <c r="BO4106" s="5"/>
      <c r="BP4106" s="5"/>
    </row>
    <row r="4107" spans="35:68" x14ac:dyDescent="0.25">
      <c r="AI4107" s="49"/>
      <c r="AJ4107" s="78"/>
      <c r="AK4107" s="79"/>
      <c r="AL4107" s="79"/>
      <c r="AM4107" s="79"/>
      <c r="AN4107" s="79"/>
      <c r="AO4107" s="79"/>
      <c r="AP4107" s="79"/>
      <c r="AQ4107" s="79"/>
      <c r="AR4107" s="78"/>
      <c r="AS4107" s="78"/>
      <c r="AT4107" s="79"/>
      <c r="AU4107" s="79"/>
      <c r="AV4107" s="79"/>
      <c r="AW4107" s="79"/>
      <c r="AX4107" s="79"/>
      <c r="AZ4107" s="81"/>
      <c r="BB4107" s="5"/>
      <c r="BC4107" s="5"/>
      <c r="BD4107" s="5"/>
      <c r="BE4107" s="5"/>
      <c r="BF4107" s="5"/>
      <c r="BG4107" s="5"/>
      <c r="BH4107" s="5"/>
      <c r="BI4107" s="5"/>
      <c r="BJ4107" s="5"/>
      <c r="BK4107" s="5"/>
      <c r="BL4107" s="5"/>
      <c r="BM4107" s="5"/>
      <c r="BN4107" s="5"/>
      <c r="BO4107" s="5"/>
      <c r="BP4107" s="5"/>
    </row>
    <row r="4108" spans="35:68" x14ac:dyDescent="0.25">
      <c r="AI4108" s="49"/>
      <c r="AJ4108" s="78"/>
      <c r="AK4108" s="79"/>
      <c r="AL4108" s="79"/>
      <c r="AM4108" s="79"/>
      <c r="AN4108" s="79"/>
      <c r="AO4108" s="79"/>
      <c r="AP4108" s="79"/>
      <c r="AQ4108" s="79"/>
      <c r="AR4108" s="78"/>
      <c r="AS4108" s="78"/>
      <c r="AT4108" s="79"/>
      <c r="AU4108" s="79"/>
      <c r="AV4108" s="79"/>
      <c r="AW4108" s="79"/>
      <c r="AX4108" s="79"/>
      <c r="AZ4108" s="81"/>
      <c r="BB4108" s="5"/>
      <c r="BC4108" s="5"/>
      <c r="BD4108" s="5"/>
      <c r="BE4108" s="5"/>
      <c r="BF4108" s="5"/>
      <c r="BG4108" s="5"/>
      <c r="BH4108" s="5"/>
      <c r="BI4108" s="5"/>
      <c r="BJ4108" s="5"/>
      <c r="BK4108" s="5"/>
      <c r="BL4108" s="5"/>
      <c r="BM4108" s="5"/>
      <c r="BN4108" s="5"/>
      <c r="BO4108" s="5"/>
      <c r="BP4108" s="5"/>
    </row>
    <row r="4109" spans="35:68" x14ac:dyDescent="0.25">
      <c r="AI4109" s="49"/>
      <c r="AJ4109" s="78"/>
      <c r="AK4109" s="79"/>
      <c r="AL4109" s="79"/>
      <c r="AM4109" s="79"/>
      <c r="AN4109" s="79"/>
      <c r="AO4109" s="79"/>
      <c r="AP4109" s="79"/>
      <c r="AQ4109" s="79"/>
      <c r="AR4109" s="78"/>
      <c r="AS4109" s="78"/>
      <c r="AT4109" s="79"/>
      <c r="AU4109" s="79"/>
      <c r="AV4109" s="79"/>
      <c r="AW4109" s="79"/>
      <c r="AX4109" s="79"/>
      <c r="AZ4109" s="81"/>
      <c r="BB4109" s="5"/>
      <c r="BC4109" s="5"/>
      <c r="BD4109" s="5"/>
      <c r="BE4109" s="5"/>
      <c r="BF4109" s="5"/>
      <c r="BG4109" s="5"/>
      <c r="BH4109" s="5"/>
      <c r="BI4109" s="5"/>
      <c r="BJ4109" s="5"/>
      <c r="BK4109" s="5"/>
      <c r="BL4109" s="5"/>
      <c r="BM4109" s="5"/>
      <c r="BN4109" s="5"/>
      <c r="BO4109" s="5"/>
      <c r="BP4109" s="5"/>
    </row>
    <row r="4110" spans="35:68" x14ac:dyDescent="0.25">
      <c r="AI4110" s="49"/>
      <c r="AJ4110" s="78"/>
      <c r="AK4110" s="79"/>
      <c r="AL4110" s="79"/>
      <c r="AM4110" s="79"/>
      <c r="AN4110" s="79"/>
      <c r="AO4110" s="79"/>
      <c r="AP4110" s="79"/>
      <c r="AQ4110" s="79"/>
      <c r="AR4110" s="78"/>
      <c r="AS4110" s="78"/>
      <c r="AT4110" s="79"/>
      <c r="AU4110" s="79"/>
      <c r="AV4110" s="79"/>
      <c r="AW4110" s="79"/>
      <c r="AX4110" s="79"/>
      <c r="AZ4110" s="81"/>
      <c r="BB4110" s="5"/>
      <c r="BC4110" s="5"/>
      <c r="BD4110" s="5"/>
      <c r="BE4110" s="5"/>
      <c r="BF4110" s="5"/>
      <c r="BG4110" s="5"/>
      <c r="BH4110" s="5"/>
      <c r="BI4110" s="5"/>
      <c r="BJ4110" s="5"/>
      <c r="BK4110" s="5"/>
      <c r="BL4110" s="5"/>
      <c r="BM4110" s="5"/>
      <c r="BN4110" s="5"/>
      <c r="BO4110" s="5"/>
      <c r="BP4110" s="5"/>
    </row>
    <row r="4111" spans="35:68" x14ac:dyDescent="0.25">
      <c r="AI4111" s="49"/>
      <c r="AJ4111" s="78"/>
      <c r="AK4111" s="79"/>
      <c r="AL4111" s="79"/>
      <c r="AM4111" s="79"/>
      <c r="AN4111" s="79"/>
      <c r="AO4111" s="79"/>
      <c r="AP4111" s="79"/>
      <c r="AQ4111" s="79"/>
      <c r="AR4111" s="78"/>
      <c r="AS4111" s="78"/>
      <c r="AT4111" s="79"/>
      <c r="AU4111" s="79"/>
      <c r="AV4111" s="79"/>
      <c r="AW4111" s="79"/>
      <c r="AX4111" s="79"/>
      <c r="AZ4111" s="81"/>
      <c r="BB4111" s="5"/>
      <c r="BC4111" s="5"/>
      <c r="BD4111" s="5"/>
      <c r="BE4111" s="5"/>
      <c r="BF4111" s="5"/>
      <c r="BG4111" s="5"/>
      <c r="BH4111" s="5"/>
      <c r="BI4111" s="5"/>
      <c r="BJ4111" s="5"/>
      <c r="BK4111" s="5"/>
      <c r="BL4111" s="5"/>
      <c r="BM4111" s="5"/>
      <c r="BN4111" s="5"/>
      <c r="BO4111" s="5"/>
      <c r="BP4111" s="5"/>
    </row>
    <row r="4112" spans="35:68" x14ac:dyDescent="0.25">
      <c r="AI4112" s="49"/>
      <c r="AJ4112" s="78"/>
      <c r="AK4112" s="79"/>
      <c r="AL4112" s="79"/>
      <c r="AM4112" s="79"/>
      <c r="AN4112" s="79"/>
      <c r="AO4112" s="79"/>
      <c r="AP4112" s="79"/>
      <c r="AQ4112" s="79"/>
      <c r="AR4112" s="78"/>
      <c r="AS4112" s="78"/>
      <c r="AT4112" s="79"/>
      <c r="AU4112" s="79"/>
      <c r="AV4112" s="79"/>
      <c r="AW4112" s="79"/>
      <c r="AX4112" s="79"/>
      <c r="AZ4112" s="81"/>
      <c r="BB4112" s="5"/>
      <c r="BC4112" s="5"/>
      <c r="BD4112" s="5"/>
      <c r="BE4112" s="5"/>
      <c r="BF4112" s="5"/>
      <c r="BG4112" s="5"/>
      <c r="BH4112" s="5"/>
      <c r="BI4112" s="5"/>
      <c r="BJ4112" s="5"/>
      <c r="BK4112" s="5"/>
      <c r="BL4112" s="5"/>
      <c r="BM4112" s="5"/>
      <c r="BN4112" s="5"/>
      <c r="BO4112" s="5"/>
      <c r="BP4112" s="5"/>
    </row>
    <row r="4113" spans="35:68" x14ac:dyDescent="0.25">
      <c r="AI4113" s="49"/>
      <c r="AJ4113" s="78"/>
      <c r="AK4113" s="79"/>
      <c r="AL4113" s="79"/>
      <c r="AM4113" s="79"/>
      <c r="AN4113" s="79"/>
      <c r="AO4113" s="79"/>
      <c r="AP4113" s="79"/>
      <c r="AQ4113" s="79"/>
      <c r="AR4113" s="78"/>
      <c r="AS4113" s="78"/>
      <c r="AT4113" s="79"/>
      <c r="AU4113" s="79"/>
      <c r="AV4113" s="79"/>
      <c r="AW4113" s="79"/>
      <c r="AX4113" s="79"/>
      <c r="AZ4113" s="81"/>
      <c r="BB4113" s="5"/>
      <c r="BC4113" s="5"/>
      <c r="BD4113" s="5"/>
      <c r="BE4113" s="5"/>
      <c r="BF4113" s="5"/>
      <c r="BG4113" s="5"/>
      <c r="BH4113" s="5"/>
      <c r="BI4113" s="5"/>
      <c r="BJ4113" s="5"/>
      <c r="BK4113" s="5"/>
      <c r="BL4113" s="5"/>
      <c r="BM4113" s="5"/>
      <c r="BN4113" s="5"/>
      <c r="BO4113" s="5"/>
      <c r="BP4113" s="5"/>
    </row>
    <row r="4114" spans="35:68" x14ac:dyDescent="0.25">
      <c r="AI4114" s="49"/>
      <c r="AJ4114" s="78"/>
      <c r="AK4114" s="79"/>
      <c r="AL4114" s="79"/>
      <c r="AM4114" s="79"/>
      <c r="AN4114" s="79"/>
      <c r="AO4114" s="79"/>
      <c r="AP4114" s="79"/>
      <c r="AQ4114" s="79"/>
      <c r="AR4114" s="78"/>
      <c r="AS4114" s="78"/>
      <c r="AT4114" s="79"/>
      <c r="AU4114" s="79"/>
      <c r="AV4114" s="79"/>
      <c r="AW4114" s="79"/>
      <c r="AX4114" s="79"/>
      <c r="AZ4114" s="81"/>
      <c r="BB4114" s="5"/>
      <c r="BC4114" s="5"/>
      <c r="BD4114" s="5"/>
      <c r="BE4114" s="5"/>
      <c r="BF4114" s="5"/>
      <c r="BG4114" s="5"/>
      <c r="BH4114" s="5"/>
      <c r="BI4114" s="5"/>
      <c r="BJ4114" s="5"/>
      <c r="BK4114" s="5"/>
      <c r="BL4114" s="5"/>
      <c r="BM4114" s="5"/>
      <c r="BN4114" s="5"/>
      <c r="BO4114" s="5"/>
      <c r="BP4114" s="5"/>
    </row>
    <row r="4115" spans="35:68" x14ac:dyDescent="0.25">
      <c r="AI4115" s="49"/>
      <c r="AJ4115" s="78"/>
      <c r="AK4115" s="79"/>
      <c r="AL4115" s="79"/>
      <c r="AM4115" s="79"/>
      <c r="AN4115" s="79"/>
      <c r="AO4115" s="79"/>
      <c r="AP4115" s="79"/>
      <c r="AQ4115" s="79"/>
      <c r="AR4115" s="78"/>
      <c r="AS4115" s="78"/>
      <c r="AT4115" s="79"/>
      <c r="AU4115" s="79"/>
      <c r="AV4115" s="79"/>
      <c r="AW4115" s="79"/>
      <c r="AX4115" s="79"/>
      <c r="AZ4115" s="81"/>
      <c r="BB4115" s="5"/>
      <c r="BC4115" s="5"/>
      <c r="BD4115" s="5"/>
      <c r="BE4115" s="5"/>
      <c r="BF4115" s="5"/>
      <c r="BG4115" s="5"/>
      <c r="BH4115" s="5"/>
      <c r="BI4115" s="5"/>
      <c r="BJ4115" s="5"/>
      <c r="BK4115" s="5"/>
      <c r="BL4115" s="5"/>
      <c r="BM4115" s="5"/>
      <c r="BN4115" s="5"/>
      <c r="BO4115" s="5"/>
      <c r="BP4115" s="5"/>
    </row>
    <row r="4116" spans="35:68" x14ac:dyDescent="0.25">
      <c r="AI4116" s="49"/>
      <c r="AJ4116" s="78"/>
      <c r="AK4116" s="79"/>
      <c r="AL4116" s="79"/>
      <c r="AM4116" s="79"/>
      <c r="AN4116" s="79"/>
      <c r="AO4116" s="79"/>
      <c r="AP4116" s="79"/>
      <c r="AQ4116" s="79"/>
      <c r="AR4116" s="78"/>
      <c r="AS4116" s="78"/>
      <c r="AT4116" s="79"/>
      <c r="AU4116" s="79"/>
      <c r="AV4116" s="79"/>
      <c r="AW4116" s="79"/>
      <c r="AX4116" s="79"/>
      <c r="AZ4116" s="81"/>
      <c r="BB4116" s="5"/>
      <c r="BC4116" s="5"/>
      <c r="BD4116" s="5"/>
      <c r="BE4116" s="5"/>
      <c r="BF4116" s="5"/>
      <c r="BG4116" s="5"/>
      <c r="BH4116" s="5"/>
      <c r="BI4116" s="5"/>
      <c r="BJ4116" s="5"/>
      <c r="BK4116" s="5"/>
      <c r="BL4116" s="5"/>
      <c r="BM4116" s="5"/>
      <c r="BN4116" s="5"/>
      <c r="BO4116" s="5"/>
      <c r="BP4116" s="5"/>
    </row>
    <row r="4117" spans="35:68" x14ac:dyDescent="0.25">
      <c r="AI4117" s="49"/>
      <c r="AJ4117" s="78"/>
      <c r="AK4117" s="79"/>
      <c r="AL4117" s="79"/>
      <c r="AM4117" s="79"/>
      <c r="AN4117" s="79"/>
      <c r="AO4117" s="79"/>
      <c r="AP4117" s="79"/>
      <c r="AQ4117" s="79"/>
      <c r="AR4117" s="78"/>
      <c r="AS4117" s="78"/>
      <c r="AT4117" s="79"/>
      <c r="AU4117" s="79"/>
      <c r="AV4117" s="79"/>
      <c r="AW4117" s="79"/>
      <c r="AX4117" s="79"/>
      <c r="AZ4117" s="81"/>
      <c r="BB4117" s="5"/>
      <c r="BC4117" s="5"/>
      <c r="BD4117" s="5"/>
      <c r="BE4117" s="5"/>
      <c r="BF4117" s="5"/>
      <c r="BG4117" s="5"/>
      <c r="BH4117" s="5"/>
      <c r="BI4117" s="5"/>
      <c r="BJ4117" s="5"/>
      <c r="BK4117" s="5"/>
      <c r="BL4117" s="5"/>
      <c r="BM4117" s="5"/>
      <c r="BN4117" s="5"/>
      <c r="BO4117" s="5"/>
      <c r="BP4117" s="5"/>
    </row>
    <row r="4118" spans="35:68" x14ac:dyDescent="0.25">
      <c r="AI4118" s="49"/>
      <c r="AJ4118" s="78"/>
      <c r="AK4118" s="79"/>
      <c r="AL4118" s="79"/>
      <c r="AM4118" s="79"/>
      <c r="AN4118" s="79"/>
      <c r="AO4118" s="79"/>
      <c r="AP4118" s="79"/>
      <c r="AQ4118" s="79"/>
      <c r="AR4118" s="78"/>
      <c r="AS4118" s="78"/>
      <c r="AT4118" s="79"/>
      <c r="AU4118" s="79"/>
      <c r="AV4118" s="79"/>
      <c r="AW4118" s="79"/>
      <c r="AX4118" s="79"/>
      <c r="AZ4118" s="81"/>
      <c r="BB4118" s="5"/>
      <c r="BC4118" s="5"/>
      <c r="BD4118" s="5"/>
      <c r="BE4118" s="5"/>
      <c r="BF4118" s="5"/>
      <c r="BG4118" s="5"/>
      <c r="BH4118" s="5"/>
      <c r="BI4118" s="5"/>
      <c r="BJ4118" s="5"/>
      <c r="BK4118" s="5"/>
      <c r="BL4118" s="5"/>
      <c r="BM4118" s="5"/>
      <c r="BN4118" s="5"/>
      <c r="BO4118" s="5"/>
      <c r="BP4118" s="5"/>
    </row>
    <row r="4119" spans="35:68" x14ac:dyDescent="0.25">
      <c r="AI4119" s="49"/>
      <c r="AJ4119" s="78"/>
      <c r="AK4119" s="79"/>
      <c r="AL4119" s="79"/>
      <c r="AM4119" s="79"/>
      <c r="AN4119" s="79"/>
      <c r="AO4119" s="79"/>
      <c r="AP4119" s="79"/>
      <c r="AQ4119" s="79"/>
      <c r="AR4119" s="78"/>
      <c r="AS4119" s="78"/>
      <c r="AT4119" s="79"/>
      <c r="AU4119" s="79"/>
      <c r="AV4119" s="79"/>
      <c r="AW4119" s="79"/>
      <c r="AX4119" s="79"/>
      <c r="AZ4119" s="81"/>
      <c r="BB4119" s="5"/>
      <c r="BC4119" s="5"/>
      <c r="BD4119" s="5"/>
      <c r="BE4119" s="5"/>
      <c r="BF4119" s="5"/>
      <c r="BG4119" s="5"/>
      <c r="BH4119" s="5"/>
      <c r="BI4119" s="5"/>
      <c r="BJ4119" s="5"/>
      <c r="BK4119" s="5"/>
      <c r="BL4119" s="5"/>
      <c r="BM4119" s="5"/>
      <c r="BN4119" s="5"/>
      <c r="BO4119" s="5"/>
      <c r="BP4119" s="5"/>
    </row>
    <row r="4120" spans="35:68" x14ac:dyDescent="0.25">
      <c r="AI4120" s="49"/>
      <c r="AJ4120" s="78"/>
      <c r="AK4120" s="79"/>
      <c r="AL4120" s="79"/>
      <c r="AM4120" s="79"/>
      <c r="AN4120" s="79"/>
      <c r="AO4120" s="79"/>
      <c r="AP4120" s="79"/>
      <c r="AQ4120" s="79"/>
      <c r="AR4120" s="78"/>
      <c r="AS4120" s="78"/>
      <c r="AT4120" s="79"/>
      <c r="AU4120" s="79"/>
      <c r="AV4120" s="79"/>
      <c r="AW4120" s="79"/>
      <c r="AX4120" s="79"/>
      <c r="AZ4120" s="81"/>
      <c r="BB4120" s="5"/>
      <c r="BC4120" s="5"/>
      <c r="BD4120" s="5"/>
      <c r="BE4120" s="5"/>
      <c r="BF4120" s="5"/>
      <c r="BG4120" s="5"/>
      <c r="BH4120" s="5"/>
      <c r="BI4120" s="5"/>
      <c r="BJ4120" s="5"/>
      <c r="BK4120" s="5"/>
      <c r="BL4120" s="5"/>
      <c r="BM4120" s="5"/>
      <c r="BN4120" s="5"/>
      <c r="BO4120" s="5"/>
      <c r="BP4120" s="5"/>
    </row>
    <row r="4121" spans="35:68" x14ac:dyDescent="0.25">
      <c r="AI4121" s="49"/>
      <c r="AJ4121" s="78"/>
      <c r="AK4121" s="79"/>
      <c r="AL4121" s="79"/>
      <c r="AM4121" s="79"/>
      <c r="AN4121" s="79"/>
      <c r="AO4121" s="79"/>
      <c r="AP4121" s="79"/>
      <c r="AQ4121" s="79"/>
      <c r="AR4121" s="78"/>
      <c r="AS4121" s="78"/>
      <c r="AT4121" s="79"/>
      <c r="AU4121" s="79"/>
      <c r="AV4121" s="79"/>
      <c r="AW4121" s="79"/>
      <c r="AX4121" s="79"/>
      <c r="AZ4121" s="81"/>
      <c r="BB4121" s="5"/>
      <c r="BC4121" s="5"/>
      <c r="BD4121" s="5"/>
      <c r="BE4121" s="5"/>
      <c r="BF4121" s="5"/>
      <c r="BG4121" s="5"/>
      <c r="BH4121" s="5"/>
      <c r="BI4121" s="5"/>
      <c r="BJ4121" s="5"/>
      <c r="BK4121" s="5"/>
      <c r="BL4121" s="5"/>
      <c r="BM4121" s="5"/>
      <c r="BN4121" s="5"/>
      <c r="BO4121" s="5"/>
      <c r="BP4121" s="5"/>
    </row>
    <row r="4122" spans="35:68" x14ac:dyDescent="0.25">
      <c r="AI4122" s="49"/>
      <c r="AJ4122" s="78"/>
      <c r="AK4122" s="79"/>
      <c r="AL4122" s="79"/>
      <c r="AM4122" s="79"/>
      <c r="AN4122" s="79"/>
      <c r="AO4122" s="79"/>
      <c r="AP4122" s="79"/>
      <c r="AQ4122" s="79"/>
      <c r="AR4122" s="78"/>
      <c r="AS4122" s="78"/>
      <c r="AT4122" s="79"/>
      <c r="AU4122" s="79"/>
      <c r="AV4122" s="79"/>
      <c r="AW4122" s="79"/>
      <c r="AX4122" s="79"/>
      <c r="AZ4122" s="81"/>
      <c r="BB4122" s="5"/>
      <c r="BC4122" s="5"/>
      <c r="BD4122" s="5"/>
      <c r="BE4122" s="5"/>
      <c r="BF4122" s="5"/>
      <c r="BG4122" s="5"/>
      <c r="BH4122" s="5"/>
      <c r="BI4122" s="5"/>
      <c r="BJ4122" s="5"/>
      <c r="BK4122" s="5"/>
      <c r="BL4122" s="5"/>
      <c r="BM4122" s="5"/>
      <c r="BN4122" s="5"/>
      <c r="BO4122" s="5"/>
      <c r="BP4122" s="5"/>
    </row>
    <row r="4123" spans="35:68" x14ac:dyDescent="0.25">
      <c r="AI4123" s="49"/>
      <c r="AJ4123" s="78"/>
      <c r="AK4123" s="79"/>
      <c r="AL4123" s="79"/>
      <c r="AM4123" s="79"/>
      <c r="AN4123" s="79"/>
      <c r="AO4123" s="79"/>
      <c r="AP4123" s="79"/>
      <c r="AQ4123" s="79"/>
      <c r="AR4123" s="78"/>
      <c r="AS4123" s="78"/>
      <c r="AT4123" s="79"/>
      <c r="AU4123" s="79"/>
      <c r="AV4123" s="79"/>
      <c r="AW4123" s="79"/>
      <c r="AX4123" s="79"/>
      <c r="AZ4123" s="81"/>
      <c r="BB4123" s="5"/>
      <c r="BC4123" s="5"/>
      <c r="BD4123" s="5"/>
      <c r="BE4123" s="5"/>
      <c r="BF4123" s="5"/>
      <c r="BG4123" s="5"/>
      <c r="BH4123" s="5"/>
      <c r="BI4123" s="5"/>
      <c r="BJ4123" s="5"/>
      <c r="BK4123" s="5"/>
      <c r="BL4123" s="5"/>
      <c r="BM4123" s="5"/>
      <c r="BN4123" s="5"/>
      <c r="BO4123" s="5"/>
      <c r="BP4123" s="5"/>
    </row>
    <row r="4124" spans="35:68" x14ac:dyDescent="0.25">
      <c r="AI4124" s="49"/>
      <c r="AJ4124" s="78"/>
      <c r="AK4124" s="79"/>
      <c r="AL4124" s="79"/>
      <c r="AM4124" s="79"/>
      <c r="AN4124" s="79"/>
      <c r="AO4124" s="79"/>
      <c r="AP4124" s="79"/>
      <c r="AQ4124" s="79"/>
      <c r="AR4124" s="78"/>
      <c r="AS4124" s="78"/>
      <c r="AT4124" s="79"/>
      <c r="AU4124" s="79"/>
      <c r="AV4124" s="79"/>
      <c r="AW4124" s="79"/>
      <c r="AX4124" s="79"/>
      <c r="AZ4124" s="81"/>
      <c r="BB4124" s="5"/>
      <c r="BC4124" s="5"/>
      <c r="BD4124" s="5"/>
      <c r="BE4124" s="5"/>
      <c r="BF4124" s="5"/>
      <c r="BG4124" s="5"/>
      <c r="BH4124" s="5"/>
      <c r="BI4124" s="5"/>
      <c r="BJ4124" s="5"/>
      <c r="BK4124" s="5"/>
      <c r="BL4124" s="5"/>
      <c r="BM4124" s="5"/>
      <c r="BN4124" s="5"/>
      <c r="BO4124" s="5"/>
      <c r="BP4124" s="5"/>
    </row>
    <row r="4125" spans="35:68" x14ac:dyDescent="0.25">
      <c r="AI4125" s="49"/>
      <c r="AJ4125" s="78"/>
      <c r="AK4125" s="79"/>
      <c r="AL4125" s="79"/>
      <c r="AM4125" s="79"/>
      <c r="AN4125" s="79"/>
      <c r="AO4125" s="79"/>
      <c r="AP4125" s="79"/>
      <c r="AQ4125" s="79"/>
      <c r="AR4125" s="78"/>
      <c r="AS4125" s="78"/>
      <c r="AT4125" s="79"/>
      <c r="AU4125" s="79"/>
      <c r="AV4125" s="79"/>
      <c r="AW4125" s="79"/>
      <c r="AX4125" s="79"/>
      <c r="AZ4125" s="81"/>
      <c r="BB4125" s="5"/>
      <c r="BC4125" s="5"/>
      <c r="BD4125" s="5"/>
      <c r="BE4125" s="5"/>
      <c r="BF4125" s="5"/>
      <c r="BG4125" s="5"/>
      <c r="BH4125" s="5"/>
      <c r="BI4125" s="5"/>
      <c r="BJ4125" s="5"/>
      <c r="BK4125" s="5"/>
      <c r="BL4125" s="5"/>
      <c r="BM4125" s="5"/>
      <c r="BN4125" s="5"/>
      <c r="BO4125" s="5"/>
      <c r="BP4125" s="5"/>
    </row>
    <row r="4126" spans="35:68" x14ac:dyDescent="0.25">
      <c r="AI4126" s="49"/>
      <c r="AJ4126" s="78"/>
      <c r="AK4126" s="79"/>
      <c r="AL4126" s="79"/>
      <c r="AM4126" s="79"/>
      <c r="AN4126" s="79"/>
      <c r="AO4126" s="79"/>
      <c r="AP4126" s="79"/>
      <c r="AQ4126" s="79"/>
      <c r="AR4126" s="78"/>
      <c r="AS4126" s="78"/>
      <c r="AT4126" s="79"/>
      <c r="AU4126" s="79"/>
      <c r="AV4126" s="79"/>
      <c r="AW4126" s="79"/>
      <c r="AX4126" s="79"/>
      <c r="AZ4126" s="81"/>
      <c r="BB4126" s="5"/>
      <c r="BC4126" s="5"/>
      <c r="BD4126" s="5"/>
      <c r="BE4126" s="5"/>
      <c r="BF4126" s="5"/>
      <c r="BG4126" s="5"/>
      <c r="BH4126" s="5"/>
      <c r="BI4126" s="5"/>
      <c r="BJ4126" s="5"/>
      <c r="BK4126" s="5"/>
      <c r="BL4126" s="5"/>
      <c r="BM4126" s="5"/>
      <c r="BN4126" s="5"/>
      <c r="BO4126" s="5"/>
      <c r="BP4126" s="5"/>
    </row>
    <row r="4127" spans="35:68" x14ac:dyDescent="0.25">
      <c r="AI4127" s="49"/>
      <c r="AJ4127" s="78"/>
      <c r="AK4127" s="79"/>
      <c r="AL4127" s="79"/>
      <c r="AM4127" s="79"/>
      <c r="AN4127" s="79"/>
      <c r="AO4127" s="79"/>
      <c r="AP4127" s="79"/>
      <c r="AQ4127" s="79"/>
      <c r="AR4127" s="78"/>
      <c r="AS4127" s="78"/>
      <c r="AT4127" s="79"/>
      <c r="AU4127" s="79"/>
      <c r="AV4127" s="79"/>
      <c r="AW4127" s="79"/>
      <c r="AX4127" s="79"/>
      <c r="AZ4127" s="81"/>
      <c r="BB4127" s="5"/>
      <c r="BC4127" s="5"/>
      <c r="BD4127" s="5"/>
      <c r="BE4127" s="5"/>
      <c r="BF4127" s="5"/>
      <c r="BG4127" s="5"/>
      <c r="BH4127" s="5"/>
      <c r="BI4127" s="5"/>
      <c r="BJ4127" s="5"/>
      <c r="BK4127" s="5"/>
      <c r="BL4127" s="5"/>
      <c r="BM4127" s="5"/>
      <c r="BN4127" s="5"/>
      <c r="BO4127" s="5"/>
      <c r="BP4127" s="5"/>
    </row>
    <row r="4128" spans="35:68" x14ac:dyDescent="0.25">
      <c r="AI4128" s="49"/>
      <c r="AJ4128" s="78"/>
      <c r="AK4128" s="79"/>
      <c r="AL4128" s="79"/>
      <c r="AM4128" s="79"/>
      <c r="AN4128" s="79"/>
      <c r="AO4128" s="79"/>
      <c r="AP4128" s="79"/>
      <c r="AQ4128" s="79"/>
      <c r="AR4128" s="78"/>
      <c r="AS4128" s="78"/>
      <c r="AT4128" s="79"/>
      <c r="AU4128" s="79"/>
      <c r="AV4128" s="79"/>
      <c r="AW4128" s="79"/>
      <c r="AX4128" s="79"/>
      <c r="AZ4128" s="81"/>
      <c r="BB4128" s="5"/>
      <c r="BC4128" s="5"/>
      <c r="BD4128" s="5"/>
      <c r="BE4128" s="5"/>
      <c r="BF4128" s="5"/>
      <c r="BG4128" s="5"/>
      <c r="BH4128" s="5"/>
      <c r="BI4128" s="5"/>
      <c r="BJ4128" s="5"/>
      <c r="BK4128" s="5"/>
      <c r="BL4128" s="5"/>
      <c r="BM4128" s="5"/>
      <c r="BN4128" s="5"/>
      <c r="BO4128" s="5"/>
      <c r="BP4128" s="5"/>
    </row>
    <row r="4129" spans="35:68" x14ac:dyDescent="0.25">
      <c r="AI4129" s="49"/>
      <c r="AJ4129" s="78"/>
      <c r="AK4129" s="79"/>
      <c r="AL4129" s="79"/>
      <c r="AM4129" s="79"/>
      <c r="AN4129" s="79"/>
      <c r="AO4129" s="79"/>
      <c r="AP4129" s="79"/>
      <c r="AQ4129" s="79"/>
      <c r="AR4129" s="78"/>
      <c r="AS4129" s="78"/>
      <c r="AT4129" s="79"/>
      <c r="AU4129" s="79"/>
      <c r="AV4129" s="79"/>
      <c r="AW4129" s="79"/>
      <c r="AX4129" s="79"/>
      <c r="AZ4129" s="81"/>
      <c r="BB4129" s="5"/>
      <c r="BC4129" s="5"/>
      <c r="BD4129" s="5"/>
      <c r="BE4129" s="5"/>
      <c r="BF4129" s="5"/>
      <c r="BG4129" s="5"/>
      <c r="BH4129" s="5"/>
      <c r="BI4129" s="5"/>
      <c r="BJ4129" s="5"/>
      <c r="BK4129" s="5"/>
      <c r="BL4129" s="5"/>
      <c r="BM4129" s="5"/>
      <c r="BN4129" s="5"/>
      <c r="BO4129" s="5"/>
      <c r="BP4129" s="5"/>
    </row>
    <row r="4130" spans="35:68" x14ac:dyDescent="0.25">
      <c r="AI4130" s="49"/>
      <c r="AJ4130" s="78"/>
      <c r="AK4130" s="79"/>
      <c r="AL4130" s="79"/>
      <c r="AM4130" s="79"/>
      <c r="AN4130" s="79"/>
      <c r="AO4130" s="79"/>
      <c r="AP4130" s="79"/>
      <c r="AQ4130" s="79"/>
      <c r="AR4130" s="78"/>
      <c r="AS4130" s="78"/>
      <c r="AT4130" s="79"/>
      <c r="AU4130" s="79"/>
      <c r="AV4130" s="79"/>
      <c r="AW4130" s="79"/>
      <c r="AX4130" s="79"/>
      <c r="AZ4130" s="81"/>
      <c r="BB4130" s="5"/>
      <c r="BC4130" s="5"/>
      <c r="BD4130" s="5"/>
      <c r="BE4130" s="5"/>
      <c r="BF4130" s="5"/>
      <c r="BG4130" s="5"/>
      <c r="BH4130" s="5"/>
      <c r="BI4130" s="5"/>
      <c r="BJ4130" s="5"/>
      <c r="BK4130" s="5"/>
      <c r="BL4130" s="5"/>
      <c r="BM4130" s="5"/>
      <c r="BN4130" s="5"/>
      <c r="BO4130" s="5"/>
      <c r="BP4130" s="5"/>
    </row>
    <row r="4131" spans="35:68" x14ac:dyDescent="0.25">
      <c r="AI4131" s="49"/>
      <c r="AJ4131" s="78"/>
      <c r="AK4131" s="79"/>
      <c r="AL4131" s="79"/>
      <c r="AM4131" s="79"/>
      <c r="AN4131" s="79"/>
      <c r="AO4131" s="79"/>
      <c r="AP4131" s="79"/>
      <c r="AQ4131" s="79"/>
      <c r="AR4131" s="78"/>
      <c r="AS4131" s="78"/>
      <c r="AT4131" s="79"/>
      <c r="AU4131" s="79"/>
      <c r="AV4131" s="79"/>
      <c r="AW4131" s="79"/>
      <c r="AX4131" s="79"/>
      <c r="AZ4131" s="81"/>
      <c r="BB4131" s="5"/>
      <c r="BC4131" s="5"/>
      <c r="BD4131" s="5"/>
      <c r="BE4131" s="5"/>
      <c r="BF4131" s="5"/>
      <c r="BG4131" s="5"/>
      <c r="BH4131" s="5"/>
      <c r="BI4131" s="5"/>
      <c r="BJ4131" s="5"/>
      <c r="BK4131" s="5"/>
      <c r="BL4131" s="5"/>
      <c r="BM4131" s="5"/>
      <c r="BN4131" s="5"/>
      <c r="BO4131" s="5"/>
      <c r="BP4131" s="5"/>
    </row>
    <row r="4132" spans="35:68" x14ac:dyDescent="0.25">
      <c r="AI4132" s="49"/>
      <c r="AJ4132" s="78"/>
      <c r="AK4132" s="79"/>
      <c r="AL4132" s="79"/>
      <c r="AM4132" s="79"/>
      <c r="AN4132" s="79"/>
      <c r="AO4132" s="79"/>
      <c r="AP4132" s="79"/>
      <c r="AQ4132" s="79"/>
      <c r="AR4132" s="78"/>
      <c r="AS4132" s="78"/>
      <c r="AT4132" s="79"/>
      <c r="AU4132" s="79"/>
      <c r="AV4132" s="79"/>
      <c r="AW4132" s="79"/>
      <c r="AX4132" s="79"/>
      <c r="AZ4132" s="81"/>
      <c r="BB4132" s="5"/>
      <c r="BC4132" s="5"/>
      <c r="BD4132" s="5"/>
      <c r="BE4132" s="5"/>
      <c r="BF4132" s="5"/>
      <c r="BG4132" s="5"/>
      <c r="BH4132" s="5"/>
      <c r="BI4132" s="5"/>
      <c r="BJ4132" s="5"/>
      <c r="BK4132" s="5"/>
      <c r="BL4132" s="5"/>
      <c r="BM4132" s="5"/>
      <c r="BN4132" s="5"/>
      <c r="BO4132" s="5"/>
      <c r="BP4132" s="5"/>
    </row>
    <row r="4133" spans="35:68" x14ac:dyDescent="0.25">
      <c r="AI4133" s="49"/>
      <c r="AJ4133" s="78"/>
      <c r="AK4133" s="79"/>
      <c r="AL4133" s="79"/>
      <c r="AM4133" s="79"/>
      <c r="AN4133" s="79"/>
      <c r="AO4133" s="79"/>
      <c r="AP4133" s="79"/>
      <c r="AQ4133" s="79"/>
      <c r="AR4133" s="78"/>
      <c r="AS4133" s="78"/>
      <c r="AT4133" s="79"/>
      <c r="AU4133" s="79"/>
      <c r="AV4133" s="79"/>
      <c r="AW4133" s="79"/>
      <c r="AX4133" s="79"/>
      <c r="AZ4133" s="81"/>
      <c r="BB4133" s="5"/>
      <c r="BC4133" s="5"/>
      <c r="BD4133" s="5"/>
      <c r="BE4133" s="5"/>
      <c r="BF4133" s="5"/>
      <c r="BG4133" s="5"/>
      <c r="BH4133" s="5"/>
      <c r="BI4133" s="5"/>
      <c r="BJ4133" s="5"/>
      <c r="BK4133" s="5"/>
      <c r="BL4133" s="5"/>
      <c r="BM4133" s="5"/>
      <c r="BN4133" s="5"/>
      <c r="BO4133" s="5"/>
      <c r="BP4133" s="5"/>
    </row>
    <row r="4134" spans="35:68" x14ac:dyDescent="0.25">
      <c r="AI4134" s="49"/>
      <c r="AJ4134" s="78"/>
      <c r="AK4134" s="79"/>
      <c r="AL4134" s="79"/>
      <c r="AM4134" s="79"/>
      <c r="AN4134" s="79"/>
      <c r="AO4134" s="79"/>
      <c r="AP4134" s="79"/>
      <c r="AQ4134" s="79"/>
      <c r="AR4134" s="78"/>
      <c r="AS4134" s="78"/>
      <c r="AT4134" s="79"/>
      <c r="AU4134" s="79"/>
      <c r="AV4134" s="79"/>
      <c r="AW4134" s="79"/>
      <c r="AX4134" s="79"/>
      <c r="AZ4134" s="81"/>
      <c r="BB4134" s="5"/>
      <c r="BC4134" s="5"/>
      <c r="BD4134" s="5"/>
      <c r="BE4134" s="5"/>
      <c r="BF4134" s="5"/>
      <c r="BG4134" s="5"/>
      <c r="BH4134" s="5"/>
      <c r="BI4134" s="5"/>
      <c r="BJ4134" s="5"/>
      <c r="BK4134" s="5"/>
      <c r="BL4134" s="5"/>
      <c r="BM4134" s="5"/>
      <c r="BN4134" s="5"/>
      <c r="BO4134" s="5"/>
      <c r="BP4134" s="5"/>
    </row>
    <row r="4135" spans="35:68" x14ac:dyDescent="0.25">
      <c r="AI4135" s="49"/>
      <c r="AJ4135" s="78"/>
      <c r="AK4135" s="79"/>
      <c r="AL4135" s="79"/>
      <c r="AM4135" s="79"/>
      <c r="AN4135" s="79"/>
      <c r="AO4135" s="79"/>
      <c r="AP4135" s="79"/>
      <c r="AQ4135" s="79"/>
      <c r="AR4135" s="78"/>
      <c r="AS4135" s="78"/>
      <c r="AT4135" s="79"/>
      <c r="AU4135" s="79"/>
      <c r="AV4135" s="79"/>
      <c r="AW4135" s="79"/>
      <c r="AX4135" s="79"/>
      <c r="AZ4135" s="81"/>
      <c r="BB4135" s="5"/>
      <c r="BC4135" s="5"/>
      <c r="BD4135" s="5"/>
      <c r="BE4135" s="5"/>
      <c r="BF4135" s="5"/>
      <c r="BG4135" s="5"/>
      <c r="BH4135" s="5"/>
      <c r="BI4135" s="5"/>
      <c r="BJ4135" s="5"/>
      <c r="BK4135" s="5"/>
      <c r="BL4135" s="5"/>
      <c r="BM4135" s="5"/>
      <c r="BN4135" s="5"/>
      <c r="BO4135" s="5"/>
      <c r="BP4135" s="5"/>
    </row>
    <row r="4136" spans="35:68" x14ac:dyDescent="0.25">
      <c r="AI4136" s="49"/>
      <c r="AJ4136" s="78"/>
      <c r="AK4136" s="79"/>
      <c r="AL4136" s="79"/>
      <c r="AM4136" s="79"/>
      <c r="AN4136" s="79"/>
      <c r="AO4136" s="79"/>
      <c r="AP4136" s="79"/>
      <c r="AQ4136" s="79"/>
      <c r="AR4136" s="78"/>
      <c r="AS4136" s="78"/>
      <c r="AT4136" s="79"/>
      <c r="AU4136" s="79"/>
      <c r="AV4136" s="79"/>
      <c r="AW4136" s="79"/>
      <c r="AX4136" s="79"/>
      <c r="AZ4136" s="81"/>
      <c r="BB4136" s="5"/>
      <c r="BC4136" s="5"/>
      <c r="BD4136" s="5"/>
      <c r="BE4136" s="5"/>
      <c r="BF4136" s="5"/>
      <c r="BG4136" s="5"/>
      <c r="BH4136" s="5"/>
      <c r="BI4136" s="5"/>
      <c r="BJ4136" s="5"/>
      <c r="BK4136" s="5"/>
      <c r="BL4136" s="5"/>
      <c r="BM4136" s="5"/>
      <c r="BN4136" s="5"/>
      <c r="BO4136" s="5"/>
      <c r="BP4136" s="5"/>
    </row>
    <row r="4137" spans="35:68" x14ac:dyDescent="0.25">
      <c r="AI4137" s="49"/>
      <c r="AJ4137" s="78"/>
      <c r="AK4137" s="79"/>
      <c r="AL4137" s="79"/>
      <c r="AM4137" s="79"/>
      <c r="AN4137" s="79"/>
      <c r="AO4137" s="79"/>
      <c r="AP4137" s="79"/>
      <c r="AQ4137" s="79"/>
      <c r="AR4137" s="78"/>
      <c r="AS4137" s="78"/>
      <c r="AT4137" s="79"/>
      <c r="AU4137" s="79"/>
      <c r="AV4137" s="79"/>
      <c r="AW4137" s="79"/>
      <c r="AX4137" s="79"/>
      <c r="AZ4137" s="81"/>
      <c r="BB4137" s="5"/>
      <c r="BC4137" s="5"/>
      <c r="BD4137" s="5"/>
      <c r="BE4137" s="5"/>
      <c r="BF4137" s="5"/>
      <c r="BG4137" s="5"/>
      <c r="BH4137" s="5"/>
      <c r="BI4137" s="5"/>
      <c r="BJ4137" s="5"/>
      <c r="BK4137" s="5"/>
      <c r="BL4137" s="5"/>
      <c r="BM4137" s="5"/>
      <c r="BN4137" s="5"/>
      <c r="BO4137" s="5"/>
      <c r="BP4137" s="5"/>
    </row>
    <row r="4138" spans="35:68" x14ac:dyDescent="0.25">
      <c r="AI4138" s="49"/>
      <c r="AJ4138" s="78"/>
      <c r="AK4138" s="79"/>
      <c r="AL4138" s="79"/>
      <c r="AM4138" s="79"/>
      <c r="AN4138" s="79"/>
      <c r="AO4138" s="79"/>
      <c r="AP4138" s="79"/>
      <c r="AQ4138" s="79"/>
      <c r="AR4138" s="78"/>
      <c r="AS4138" s="78"/>
      <c r="AT4138" s="79"/>
      <c r="AU4138" s="79"/>
      <c r="AV4138" s="79"/>
      <c r="AW4138" s="79"/>
      <c r="AX4138" s="79"/>
      <c r="AZ4138" s="81"/>
      <c r="BB4138" s="5"/>
      <c r="BC4138" s="5"/>
      <c r="BD4138" s="5"/>
      <c r="BE4138" s="5"/>
      <c r="BF4138" s="5"/>
      <c r="BG4138" s="5"/>
      <c r="BH4138" s="5"/>
      <c r="BI4138" s="5"/>
      <c r="BJ4138" s="5"/>
      <c r="BK4138" s="5"/>
      <c r="BL4138" s="5"/>
      <c r="BM4138" s="5"/>
      <c r="BN4138" s="5"/>
      <c r="BO4138" s="5"/>
      <c r="BP4138" s="5"/>
    </row>
    <row r="4139" spans="35:68" x14ac:dyDescent="0.25">
      <c r="AI4139" s="49"/>
      <c r="AJ4139" s="78"/>
      <c r="AK4139" s="79"/>
      <c r="AL4139" s="79"/>
      <c r="AM4139" s="79"/>
      <c r="AN4139" s="79"/>
      <c r="AO4139" s="79"/>
      <c r="AP4139" s="79"/>
      <c r="AQ4139" s="79"/>
      <c r="AR4139" s="78"/>
      <c r="AS4139" s="78"/>
      <c r="AT4139" s="79"/>
      <c r="AU4139" s="79"/>
      <c r="AV4139" s="79"/>
      <c r="AW4139" s="79"/>
      <c r="AX4139" s="79"/>
      <c r="AZ4139" s="81"/>
      <c r="BB4139" s="5"/>
      <c r="BC4139" s="5"/>
      <c r="BD4139" s="5"/>
      <c r="BE4139" s="5"/>
      <c r="BF4139" s="5"/>
      <c r="BG4139" s="5"/>
      <c r="BH4139" s="5"/>
      <c r="BI4139" s="5"/>
      <c r="BJ4139" s="5"/>
      <c r="BK4139" s="5"/>
      <c r="BL4139" s="5"/>
      <c r="BM4139" s="5"/>
      <c r="BN4139" s="5"/>
      <c r="BO4139" s="5"/>
      <c r="BP4139" s="5"/>
    </row>
    <row r="4140" spans="35:68" x14ac:dyDescent="0.25">
      <c r="AI4140" s="49"/>
      <c r="AJ4140" s="78"/>
      <c r="AK4140" s="79"/>
      <c r="AL4140" s="79"/>
      <c r="AM4140" s="79"/>
      <c r="AN4140" s="79"/>
      <c r="AO4140" s="79"/>
      <c r="AP4140" s="79"/>
      <c r="AQ4140" s="79"/>
      <c r="AR4140" s="78"/>
      <c r="AS4140" s="78"/>
      <c r="AT4140" s="79"/>
      <c r="AU4140" s="79"/>
      <c r="AV4140" s="79"/>
      <c r="AW4140" s="79"/>
      <c r="AX4140" s="79"/>
      <c r="AZ4140" s="81"/>
      <c r="BB4140" s="5"/>
      <c r="BC4140" s="5"/>
      <c r="BD4140" s="5"/>
      <c r="BE4140" s="5"/>
      <c r="BF4140" s="5"/>
      <c r="BG4140" s="5"/>
      <c r="BH4140" s="5"/>
      <c r="BI4140" s="5"/>
      <c r="BJ4140" s="5"/>
      <c r="BK4140" s="5"/>
      <c r="BL4140" s="5"/>
      <c r="BM4140" s="5"/>
      <c r="BN4140" s="5"/>
      <c r="BO4140" s="5"/>
      <c r="BP4140" s="5"/>
    </row>
    <row r="4141" spans="35:68" x14ac:dyDescent="0.25">
      <c r="AI4141" s="49"/>
      <c r="AJ4141" s="78"/>
      <c r="AK4141" s="79"/>
      <c r="AL4141" s="79"/>
      <c r="AM4141" s="79"/>
      <c r="AN4141" s="79"/>
      <c r="AO4141" s="79"/>
      <c r="AP4141" s="79"/>
      <c r="AQ4141" s="79"/>
      <c r="AR4141" s="78"/>
      <c r="AS4141" s="78"/>
      <c r="AT4141" s="79"/>
      <c r="AU4141" s="79"/>
      <c r="AV4141" s="79"/>
      <c r="AW4141" s="79"/>
      <c r="AX4141" s="79"/>
      <c r="AZ4141" s="81"/>
      <c r="BB4141" s="5"/>
      <c r="BC4141" s="5"/>
      <c r="BD4141" s="5"/>
      <c r="BE4141" s="5"/>
      <c r="BF4141" s="5"/>
      <c r="BG4141" s="5"/>
      <c r="BH4141" s="5"/>
      <c r="BI4141" s="5"/>
      <c r="BJ4141" s="5"/>
      <c r="BK4141" s="5"/>
      <c r="BL4141" s="5"/>
      <c r="BM4141" s="5"/>
      <c r="BN4141" s="5"/>
      <c r="BO4141" s="5"/>
      <c r="BP4141" s="5"/>
    </row>
    <row r="4142" spans="35:68" x14ac:dyDescent="0.25">
      <c r="AI4142" s="49"/>
      <c r="AJ4142" s="78"/>
      <c r="AK4142" s="79"/>
      <c r="AL4142" s="79"/>
      <c r="AM4142" s="79"/>
      <c r="AN4142" s="79"/>
      <c r="AO4142" s="79"/>
      <c r="AP4142" s="79"/>
      <c r="AQ4142" s="79"/>
      <c r="AR4142" s="78"/>
      <c r="AS4142" s="78"/>
      <c r="AT4142" s="79"/>
      <c r="AU4142" s="79"/>
      <c r="AV4142" s="79"/>
      <c r="AW4142" s="79"/>
      <c r="AX4142" s="79"/>
      <c r="AZ4142" s="81"/>
      <c r="BB4142" s="5"/>
      <c r="BC4142" s="5"/>
      <c r="BD4142" s="5"/>
      <c r="BE4142" s="5"/>
      <c r="BF4142" s="5"/>
      <c r="BG4142" s="5"/>
      <c r="BH4142" s="5"/>
      <c r="BI4142" s="5"/>
      <c r="BJ4142" s="5"/>
      <c r="BK4142" s="5"/>
      <c r="BL4142" s="5"/>
      <c r="BM4142" s="5"/>
      <c r="BN4142" s="5"/>
      <c r="BO4142" s="5"/>
      <c r="BP4142" s="5"/>
    </row>
    <row r="4143" spans="35:68" x14ac:dyDescent="0.25">
      <c r="AI4143" s="49"/>
      <c r="AJ4143" s="78"/>
      <c r="AK4143" s="79"/>
      <c r="AL4143" s="79"/>
      <c r="AM4143" s="79"/>
      <c r="AN4143" s="79"/>
      <c r="AO4143" s="79"/>
      <c r="AP4143" s="79"/>
      <c r="AQ4143" s="79"/>
      <c r="AR4143" s="78"/>
      <c r="AS4143" s="78"/>
      <c r="AT4143" s="79"/>
      <c r="AU4143" s="79"/>
      <c r="AV4143" s="79"/>
      <c r="AW4143" s="79"/>
      <c r="AX4143" s="79"/>
      <c r="AZ4143" s="81"/>
      <c r="BB4143" s="5"/>
      <c r="BC4143" s="5"/>
      <c r="BD4143" s="5"/>
      <c r="BE4143" s="5"/>
      <c r="BF4143" s="5"/>
      <c r="BG4143" s="5"/>
      <c r="BH4143" s="5"/>
      <c r="BI4143" s="5"/>
      <c r="BJ4143" s="5"/>
      <c r="BK4143" s="5"/>
      <c r="BL4143" s="5"/>
      <c r="BM4143" s="5"/>
      <c r="BN4143" s="5"/>
      <c r="BO4143" s="5"/>
      <c r="BP4143" s="5"/>
    </row>
    <row r="4144" spans="35:68" x14ac:dyDescent="0.25">
      <c r="AI4144" s="49"/>
      <c r="AJ4144" s="78"/>
      <c r="AK4144" s="79"/>
      <c r="AL4144" s="79"/>
      <c r="AM4144" s="79"/>
      <c r="AN4144" s="79"/>
      <c r="AO4144" s="79"/>
      <c r="AP4144" s="79"/>
      <c r="AQ4144" s="79"/>
      <c r="AR4144" s="78"/>
      <c r="AS4144" s="78"/>
      <c r="AT4144" s="79"/>
      <c r="AU4144" s="79"/>
      <c r="AV4144" s="79"/>
      <c r="AW4144" s="79"/>
      <c r="AX4144" s="79"/>
      <c r="AZ4144" s="81"/>
      <c r="BB4144" s="5"/>
      <c r="BC4144" s="5"/>
      <c r="BD4144" s="5"/>
      <c r="BE4144" s="5"/>
      <c r="BF4144" s="5"/>
      <c r="BG4144" s="5"/>
      <c r="BH4144" s="5"/>
      <c r="BI4144" s="5"/>
      <c r="BJ4144" s="5"/>
      <c r="BK4144" s="5"/>
      <c r="BL4144" s="5"/>
      <c r="BM4144" s="5"/>
      <c r="BN4144" s="5"/>
      <c r="BO4144" s="5"/>
      <c r="BP4144" s="5"/>
    </row>
    <row r="4145" spans="35:68" x14ac:dyDescent="0.25">
      <c r="AI4145" s="49"/>
      <c r="AJ4145" s="78"/>
      <c r="AK4145" s="79"/>
      <c r="AL4145" s="79"/>
      <c r="AM4145" s="79"/>
      <c r="AN4145" s="79"/>
      <c r="AO4145" s="79"/>
      <c r="AP4145" s="79"/>
      <c r="AQ4145" s="79"/>
      <c r="AR4145" s="78"/>
      <c r="AS4145" s="78"/>
      <c r="AT4145" s="79"/>
      <c r="AU4145" s="79"/>
      <c r="AV4145" s="79"/>
      <c r="AW4145" s="79"/>
      <c r="AX4145" s="79"/>
      <c r="AZ4145" s="81"/>
      <c r="BB4145" s="5"/>
      <c r="BC4145" s="5"/>
      <c r="BD4145" s="5"/>
      <c r="BE4145" s="5"/>
      <c r="BF4145" s="5"/>
      <c r="BG4145" s="5"/>
      <c r="BH4145" s="5"/>
      <c r="BI4145" s="5"/>
      <c r="BJ4145" s="5"/>
      <c r="BK4145" s="5"/>
      <c r="BL4145" s="5"/>
      <c r="BM4145" s="5"/>
      <c r="BN4145" s="5"/>
      <c r="BO4145" s="5"/>
      <c r="BP4145" s="5"/>
    </row>
    <row r="4146" spans="35:68" x14ac:dyDescent="0.25">
      <c r="AI4146" s="49"/>
      <c r="AJ4146" s="78"/>
      <c r="AK4146" s="79"/>
      <c r="AL4146" s="79"/>
      <c r="AM4146" s="79"/>
      <c r="AN4146" s="79"/>
      <c r="AO4146" s="79"/>
      <c r="AP4146" s="79"/>
      <c r="AQ4146" s="79"/>
      <c r="AR4146" s="78"/>
      <c r="AS4146" s="78"/>
      <c r="AT4146" s="79"/>
      <c r="AU4146" s="79"/>
      <c r="AV4146" s="79"/>
      <c r="AW4146" s="79"/>
      <c r="AX4146" s="79"/>
      <c r="AZ4146" s="81"/>
      <c r="BB4146" s="5"/>
      <c r="BC4146" s="5"/>
      <c r="BD4146" s="5"/>
      <c r="BE4146" s="5"/>
      <c r="BF4146" s="5"/>
      <c r="BG4146" s="5"/>
      <c r="BH4146" s="5"/>
      <c r="BI4146" s="5"/>
      <c r="BJ4146" s="5"/>
      <c r="BK4146" s="5"/>
      <c r="BL4146" s="5"/>
      <c r="BM4146" s="5"/>
      <c r="BN4146" s="5"/>
      <c r="BO4146" s="5"/>
      <c r="BP4146" s="5"/>
    </row>
    <row r="4147" spans="35:68" x14ac:dyDescent="0.25">
      <c r="AI4147" s="49"/>
      <c r="AJ4147" s="78"/>
      <c r="AK4147" s="79"/>
      <c r="AL4147" s="79"/>
      <c r="AM4147" s="79"/>
      <c r="AN4147" s="79"/>
      <c r="AO4147" s="79"/>
      <c r="AP4147" s="79"/>
      <c r="AQ4147" s="79"/>
      <c r="AR4147" s="78"/>
      <c r="AS4147" s="78"/>
      <c r="AT4147" s="79"/>
      <c r="AU4147" s="79"/>
      <c r="AV4147" s="79"/>
      <c r="AW4147" s="79"/>
      <c r="AX4147" s="79"/>
      <c r="AZ4147" s="81"/>
      <c r="BB4147" s="5"/>
      <c r="BC4147" s="5"/>
      <c r="BD4147" s="5"/>
      <c r="BE4147" s="5"/>
      <c r="BF4147" s="5"/>
      <c r="BG4147" s="5"/>
      <c r="BH4147" s="5"/>
      <c r="BI4147" s="5"/>
      <c r="BJ4147" s="5"/>
      <c r="BK4147" s="5"/>
      <c r="BL4147" s="5"/>
      <c r="BM4147" s="5"/>
      <c r="BN4147" s="5"/>
      <c r="BO4147" s="5"/>
      <c r="BP4147" s="5"/>
    </row>
    <row r="4148" spans="35:68" x14ac:dyDescent="0.25">
      <c r="AI4148" s="49"/>
      <c r="AJ4148" s="78"/>
      <c r="AK4148" s="79"/>
      <c r="AL4148" s="79"/>
      <c r="AM4148" s="79"/>
      <c r="AN4148" s="79"/>
      <c r="AO4148" s="79"/>
      <c r="AP4148" s="79"/>
      <c r="AQ4148" s="79"/>
      <c r="AR4148" s="78"/>
      <c r="AS4148" s="78"/>
      <c r="AT4148" s="79"/>
      <c r="AU4148" s="79"/>
      <c r="AV4148" s="79"/>
      <c r="AW4148" s="79"/>
      <c r="AX4148" s="79"/>
      <c r="AZ4148" s="81"/>
      <c r="BB4148" s="5"/>
      <c r="BC4148" s="5"/>
      <c r="BD4148" s="5"/>
      <c r="BE4148" s="5"/>
      <c r="BF4148" s="5"/>
      <c r="BG4148" s="5"/>
      <c r="BH4148" s="5"/>
      <c r="BI4148" s="5"/>
      <c r="BJ4148" s="5"/>
      <c r="BK4148" s="5"/>
      <c r="BL4148" s="5"/>
      <c r="BM4148" s="5"/>
      <c r="BN4148" s="5"/>
      <c r="BO4148" s="5"/>
      <c r="BP4148" s="5"/>
    </row>
    <row r="4149" spans="35:68" x14ac:dyDescent="0.25">
      <c r="AI4149" s="49"/>
      <c r="AJ4149" s="78"/>
      <c r="AK4149" s="79"/>
      <c r="AL4149" s="79"/>
      <c r="AM4149" s="79"/>
      <c r="AN4149" s="79"/>
      <c r="AO4149" s="79"/>
      <c r="AP4149" s="79"/>
      <c r="AQ4149" s="79"/>
      <c r="AR4149" s="78"/>
      <c r="AS4149" s="78"/>
      <c r="AT4149" s="79"/>
      <c r="AU4149" s="79"/>
      <c r="AV4149" s="79"/>
      <c r="AW4149" s="79"/>
      <c r="AX4149" s="79"/>
      <c r="AZ4149" s="81"/>
      <c r="BB4149" s="5"/>
      <c r="BC4149" s="5"/>
      <c r="BD4149" s="5"/>
      <c r="BE4149" s="5"/>
      <c r="BF4149" s="5"/>
      <c r="BG4149" s="5"/>
      <c r="BH4149" s="5"/>
      <c r="BI4149" s="5"/>
      <c r="BJ4149" s="5"/>
      <c r="BK4149" s="5"/>
      <c r="BL4149" s="5"/>
      <c r="BM4149" s="5"/>
      <c r="BN4149" s="5"/>
      <c r="BO4149" s="5"/>
      <c r="BP4149" s="5"/>
    </row>
    <row r="4150" spans="35:68" x14ac:dyDescent="0.25">
      <c r="AI4150" s="49"/>
      <c r="AJ4150" s="78"/>
      <c r="AK4150" s="79"/>
      <c r="AL4150" s="79"/>
      <c r="AM4150" s="79"/>
      <c r="AN4150" s="79"/>
      <c r="AO4150" s="79"/>
      <c r="AP4150" s="79"/>
      <c r="AQ4150" s="79"/>
      <c r="AR4150" s="78"/>
      <c r="AS4150" s="78"/>
      <c r="AT4150" s="79"/>
      <c r="AU4150" s="79"/>
      <c r="AV4150" s="79"/>
      <c r="AW4150" s="79"/>
      <c r="AX4150" s="79"/>
      <c r="AZ4150" s="81"/>
      <c r="BB4150" s="5"/>
      <c r="BC4150" s="5"/>
      <c r="BD4150" s="5"/>
      <c r="BE4150" s="5"/>
      <c r="BF4150" s="5"/>
      <c r="BG4150" s="5"/>
      <c r="BH4150" s="5"/>
      <c r="BI4150" s="5"/>
      <c r="BJ4150" s="5"/>
      <c r="BK4150" s="5"/>
      <c r="BL4150" s="5"/>
      <c r="BM4150" s="5"/>
      <c r="BN4150" s="5"/>
      <c r="BO4150" s="5"/>
      <c r="BP4150" s="5"/>
    </row>
    <row r="4151" spans="35:68" x14ac:dyDescent="0.25">
      <c r="AI4151" s="49"/>
      <c r="AJ4151" s="78"/>
      <c r="AK4151" s="79"/>
      <c r="AL4151" s="79"/>
      <c r="AM4151" s="79"/>
      <c r="AN4151" s="79"/>
      <c r="AO4151" s="79"/>
      <c r="AP4151" s="79"/>
      <c r="AQ4151" s="79"/>
      <c r="AR4151" s="78"/>
      <c r="AS4151" s="78"/>
      <c r="AT4151" s="79"/>
      <c r="AU4151" s="79"/>
      <c r="AV4151" s="79"/>
      <c r="AW4151" s="79"/>
      <c r="AX4151" s="79"/>
      <c r="AZ4151" s="81"/>
      <c r="BB4151" s="5"/>
      <c r="BC4151" s="5"/>
      <c r="BD4151" s="5"/>
      <c r="BE4151" s="5"/>
      <c r="BF4151" s="5"/>
      <c r="BG4151" s="5"/>
      <c r="BH4151" s="5"/>
      <c r="BI4151" s="5"/>
      <c r="BJ4151" s="5"/>
      <c r="BK4151" s="5"/>
      <c r="BL4151" s="5"/>
      <c r="BM4151" s="5"/>
      <c r="BN4151" s="5"/>
      <c r="BO4151" s="5"/>
      <c r="BP4151" s="5"/>
    </row>
    <row r="4152" spans="35:68" x14ac:dyDescent="0.25">
      <c r="AI4152" s="49"/>
      <c r="AJ4152" s="78"/>
      <c r="AK4152" s="79"/>
      <c r="AL4152" s="79"/>
      <c r="AM4152" s="79"/>
      <c r="AN4152" s="79"/>
      <c r="AO4152" s="79"/>
      <c r="AP4152" s="79"/>
      <c r="AQ4152" s="79"/>
      <c r="AR4152" s="78"/>
      <c r="AS4152" s="78"/>
      <c r="AT4152" s="79"/>
      <c r="AU4152" s="79"/>
      <c r="AV4152" s="79"/>
      <c r="AW4152" s="79"/>
      <c r="AX4152" s="79"/>
      <c r="AZ4152" s="81"/>
      <c r="BB4152" s="5"/>
      <c r="BC4152" s="5"/>
      <c r="BD4152" s="5"/>
      <c r="BE4152" s="5"/>
      <c r="BF4152" s="5"/>
      <c r="BG4152" s="5"/>
      <c r="BH4152" s="5"/>
      <c r="BI4152" s="5"/>
      <c r="BJ4152" s="5"/>
      <c r="BK4152" s="5"/>
      <c r="BL4152" s="5"/>
      <c r="BM4152" s="5"/>
      <c r="BN4152" s="5"/>
      <c r="BO4152" s="5"/>
      <c r="BP4152" s="5"/>
    </row>
    <row r="4153" spans="35:68" x14ac:dyDescent="0.25">
      <c r="AI4153" s="49"/>
      <c r="AJ4153" s="78"/>
      <c r="AK4153" s="79"/>
      <c r="AL4153" s="79"/>
      <c r="AM4153" s="79"/>
      <c r="AN4153" s="79"/>
      <c r="AO4153" s="79"/>
      <c r="AP4153" s="79"/>
      <c r="AQ4153" s="79"/>
      <c r="AR4153" s="78"/>
      <c r="AS4153" s="78"/>
      <c r="AT4153" s="79"/>
      <c r="AU4153" s="79"/>
      <c r="AV4153" s="79"/>
      <c r="AW4153" s="79"/>
      <c r="AX4153" s="79"/>
      <c r="AZ4153" s="81"/>
      <c r="BB4153" s="5"/>
      <c r="BC4153" s="5"/>
      <c r="BD4153" s="5"/>
      <c r="BE4153" s="5"/>
      <c r="BF4153" s="5"/>
      <c r="BG4153" s="5"/>
      <c r="BH4153" s="5"/>
      <c r="BI4153" s="5"/>
      <c r="BJ4153" s="5"/>
      <c r="BK4153" s="5"/>
      <c r="BL4153" s="5"/>
      <c r="BM4153" s="5"/>
      <c r="BN4153" s="5"/>
      <c r="BO4153" s="5"/>
      <c r="BP4153" s="5"/>
    </row>
    <row r="4154" spans="35:68" x14ac:dyDescent="0.25">
      <c r="AI4154" s="49"/>
      <c r="AJ4154" s="78"/>
      <c r="AK4154" s="79"/>
      <c r="AL4154" s="79"/>
      <c r="AM4154" s="79"/>
      <c r="AN4154" s="79"/>
      <c r="AO4154" s="79"/>
      <c r="AP4154" s="79"/>
      <c r="AQ4154" s="79"/>
      <c r="AR4154" s="78"/>
      <c r="AS4154" s="78"/>
      <c r="AT4154" s="79"/>
      <c r="AU4154" s="79"/>
      <c r="AV4154" s="79"/>
      <c r="AW4154" s="79"/>
      <c r="AX4154" s="79"/>
      <c r="AZ4154" s="81"/>
      <c r="BB4154" s="5"/>
      <c r="BC4154" s="5"/>
      <c r="BD4154" s="5"/>
      <c r="BE4154" s="5"/>
      <c r="BF4154" s="5"/>
      <c r="BG4154" s="5"/>
      <c r="BH4154" s="5"/>
      <c r="BI4154" s="5"/>
      <c r="BJ4154" s="5"/>
      <c r="BK4154" s="5"/>
      <c r="BL4154" s="5"/>
      <c r="BM4154" s="5"/>
      <c r="BN4154" s="5"/>
      <c r="BO4154" s="5"/>
      <c r="BP4154" s="5"/>
    </row>
    <row r="4155" spans="35:68" x14ac:dyDescent="0.25">
      <c r="AI4155" s="49"/>
      <c r="AJ4155" s="78"/>
      <c r="AK4155" s="79"/>
      <c r="AL4155" s="79"/>
      <c r="AM4155" s="79"/>
      <c r="AN4155" s="79"/>
      <c r="AO4155" s="79"/>
      <c r="AP4155" s="79"/>
      <c r="AQ4155" s="79"/>
      <c r="AR4155" s="78"/>
      <c r="AS4155" s="78"/>
      <c r="AT4155" s="79"/>
      <c r="AU4155" s="79"/>
      <c r="AV4155" s="79"/>
      <c r="AW4155" s="79"/>
      <c r="AX4155" s="79"/>
      <c r="AZ4155" s="81"/>
      <c r="BB4155" s="5"/>
      <c r="BC4155" s="5"/>
      <c r="BD4155" s="5"/>
      <c r="BE4155" s="5"/>
      <c r="BF4155" s="5"/>
      <c r="BG4155" s="5"/>
      <c r="BH4155" s="5"/>
      <c r="BI4155" s="5"/>
      <c r="BJ4155" s="5"/>
      <c r="BK4155" s="5"/>
      <c r="BL4155" s="5"/>
      <c r="BM4155" s="5"/>
      <c r="BN4155" s="5"/>
      <c r="BO4155" s="5"/>
      <c r="BP4155" s="5"/>
    </row>
    <row r="4156" spans="35:68" x14ac:dyDescent="0.25">
      <c r="AI4156" s="49"/>
      <c r="AJ4156" s="78"/>
      <c r="AK4156" s="79"/>
      <c r="AL4156" s="79"/>
      <c r="AM4156" s="79"/>
      <c r="AN4156" s="79"/>
      <c r="AO4156" s="79"/>
      <c r="AP4156" s="79"/>
      <c r="AQ4156" s="79"/>
      <c r="AR4156" s="78"/>
      <c r="AS4156" s="78"/>
      <c r="AT4156" s="79"/>
      <c r="AU4156" s="79"/>
      <c r="AV4156" s="79"/>
      <c r="AW4156" s="79"/>
      <c r="AX4156" s="79"/>
      <c r="AZ4156" s="81"/>
      <c r="BB4156" s="5"/>
      <c r="BC4156" s="5"/>
      <c r="BD4156" s="5"/>
      <c r="BE4156" s="5"/>
      <c r="BF4156" s="5"/>
      <c r="BG4156" s="5"/>
      <c r="BH4156" s="5"/>
      <c r="BI4156" s="5"/>
      <c r="BJ4156" s="5"/>
      <c r="BK4156" s="5"/>
      <c r="BL4156" s="5"/>
      <c r="BM4156" s="5"/>
      <c r="BN4156" s="5"/>
      <c r="BO4156" s="5"/>
      <c r="BP4156" s="5"/>
    </row>
    <row r="4157" spans="35:68" x14ac:dyDescent="0.25">
      <c r="AI4157" s="49"/>
      <c r="AJ4157" s="78"/>
      <c r="AK4157" s="79"/>
      <c r="AL4157" s="79"/>
      <c r="AM4157" s="79"/>
      <c r="AN4157" s="79"/>
      <c r="AO4157" s="79"/>
      <c r="AP4157" s="79"/>
      <c r="AQ4157" s="79"/>
      <c r="AR4157" s="78"/>
      <c r="AS4157" s="78"/>
      <c r="AT4157" s="79"/>
      <c r="AU4157" s="79"/>
      <c r="AV4157" s="79"/>
      <c r="AW4157" s="79"/>
      <c r="AX4157" s="79"/>
      <c r="AZ4157" s="81"/>
      <c r="BB4157" s="5"/>
      <c r="BC4157" s="5"/>
      <c r="BD4157" s="5"/>
      <c r="BE4157" s="5"/>
      <c r="BF4157" s="5"/>
      <c r="BG4157" s="5"/>
      <c r="BH4157" s="5"/>
      <c r="BI4157" s="5"/>
      <c r="BJ4157" s="5"/>
      <c r="BK4157" s="5"/>
      <c r="BL4157" s="5"/>
      <c r="BM4157" s="5"/>
      <c r="BN4157" s="5"/>
      <c r="BO4157" s="5"/>
      <c r="BP4157" s="5"/>
    </row>
    <row r="4158" spans="35:68" x14ac:dyDescent="0.25">
      <c r="AI4158" s="49"/>
      <c r="AJ4158" s="78"/>
      <c r="AK4158" s="79"/>
      <c r="AL4158" s="79"/>
      <c r="AM4158" s="79"/>
      <c r="AN4158" s="79"/>
      <c r="AO4158" s="79"/>
      <c r="AP4158" s="79"/>
      <c r="AQ4158" s="79"/>
      <c r="AR4158" s="78"/>
      <c r="AS4158" s="78"/>
      <c r="AT4158" s="79"/>
      <c r="AU4158" s="79"/>
      <c r="AV4158" s="79"/>
      <c r="AW4158" s="79"/>
      <c r="AX4158" s="79"/>
      <c r="AZ4158" s="81"/>
      <c r="BB4158" s="5"/>
      <c r="BC4158" s="5"/>
      <c r="BD4158" s="5"/>
      <c r="BE4158" s="5"/>
      <c r="BF4158" s="5"/>
      <c r="BG4158" s="5"/>
      <c r="BH4158" s="5"/>
      <c r="BI4158" s="5"/>
      <c r="BJ4158" s="5"/>
      <c r="BK4158" s="5"/>
      <c r="BL4158" s="5"/>
      <c r="BM4158" s="5"/>
      <c r="BN4158" s="5"/>
      <c r="BO4158" s="5"/>
      <c r="BP4158" s="5"/>
    </row>
    <row r="4159" spans="35:68" x14ac:dyDescent="0.25">
      <c r="AI4159" s="49"/>
      <c r="AJ4159" s="78"/>
      <c r="AK4159" s="79"/>
      <c r="AL4159" s="79"/>
      <c r="AM4159" s="79"/>
      <c r="AN4159" s="79"/>
      <c r="AO4159" s="79"/>
      <c r="AP4159" s="79"/>
      <c r="AQ4159" s="79"/>
      <c r="AR4159" s="78"/>
      <c r="AS4159" s="78"/>
      <c r="AT4159" s="79"/>
      <c r="AU4159" s="79"/>
      <c r="AV4159" s="79"/>
      <c r="AW4159" s="79"/>
      <c r="AX4159" s="79"/>
      <c r="AZ4159" s="81"/>
      <c r="BB4159" s="5"/>
      <c r="BC4159" s="5"/>
      <c r="BD4159" s="5"/>
      <c r="BE4159" s="5"/>
      <c r="BF4159" s="5"/>
      <c r="BG4159" s="5"/>
      <c r="BH4159" s="5"/>
      <c r="BI4159" s="5"/>
      <c r="BJ4159" s="5"/>
      <c r="BK4159" s="5"/>
      <c r="BL4159" s="5"/>
      <c r="BM4159" s="5"/>
      <c r="BN4159" s="5"/>
      <c r="BO4159" s="5"/>
      <c r="BP4159" s="5"/>
    </row>
    <row r="4160" spans="35:68" x14ac:dyDescent="0.25">
      <c r="AI4160" s="49"/>
      <c r="AJ4160" s="78"/>
      <c r="AK4160" s="79"/>
      <c r="AL4160" s="79"/>
      <c r="AM4160" s="79"/>
      <c r="AN4160" s="79"/>
      <c r="AO4160" s="79"/>
      <c r="AP4160" s="79"/>
      <c r="AQ4160" s="79"/>
      <c r="AR4160" s="78"/>
      <c r="AS4160" s="78"/>
      <c r="AT4160" s="79"/>
      <c r="AU4160" s="79"/>
      <c r="AV4160" s="79"/>
      <c r="AW4160" s="79"/>
      <c r="AX4160" s="79"/>
      <c r="AZ4160" s="81"/>
      <c r="BB4160" s="5"/>
      <c r="BC4160" s="5"/>
      <c r="BD4160" s="5"/>
      <c r="BE4160" s="5"/>
      <c r="BF4160" s="5"/>
      <c r="BG4160" s="5"/>
      <c r="BH4160" s="5"/>
      <c r="BI4160" s="5"/>
      <c r="BJ4160" s="5"/>
      <c r="BK4160" s="5"/>
      <c r="BL4160" s="5"/>
      <c r="BM4160" s="5"/>
      <c r="BN4160" s="5"/>
      <c r="BO4160" s="5"/>
      <c r="BP4160" s="5"/>
    </row>
    <row r="4161" spans="35:68" x14ac:dyDescent="0.25">
      <c r="AI4161" s="49"/>
      <c r="AJ4161" s="78"/>
      <c r="AK4161" s="79"/>
      <c r="AL4161" s="79"/>
      <c r="AM4161" s="79"/>
      <c r="AN4161" s="79"/>
      <c r="AO4161" s="79"/>
      <c r="AP4161" s="79"/>
      <c r="AQ4161" s="79"/>
      <c r="AR4161" s="78"/>
      <c r="AS4161" s="78"/>
      <c r="AT4161" s="79"/>
      <c r="AU4161" s="79"/>
      <c r="AV4161" s="79"/>
      <c r="AW4161" s="79"/>
      <c r="AX4161" s="79"/>
      <c r="AZ4161" s="81"/>
      <c r="BB4161" s="5"/>
      <c r="BC4161" s="5"/>
      <c r="BD4161" s="5"/>
      <c r="BE4161" s="5"/>
      <c r="BF4161" s="5"/>
      <c r="BG4161" s="5"/>
      <c r="BH4161" s="5"/>
      <c r="BI4161" s="5"/>
      <c r="BJ4161" s="5"/>
      <c r="BK4161" s="5"/>
      <c r="BL4161" s="5"/>
      <c r="BM4161" s="5"/>
      <c r="BN4161" s="5"/>
      <c r="BO4161" s="5"/>
      <c r="BP4161" s="5"/>
    </row>
    <row r="4162" spans="35:68" x14ac:dyDescent="0.25">
      <c r="AI4162" s="49"/>
      <c r="AJ4162" s="78"/>
      <c r="AK4162" s="79"/>
      <c r="AL4162" s="79"/>
      <c r="AM4162" s="79"/>
      <c r="AN4162" s="79"/>
      <c r="AO4162" s="79"/>
      <c r="AP4162" s="79"/>
      <c r="AQ4162" s="79"/>
      <c r="AR4162" s="78"/>
      <c r="AS4162" s="78"/>
      <c r="AT4162" s="79"/>
      <c r="AU4162" s="79"/>
      <c r="AV4162" s="79"/>
      <c r="AW4162" s="79"/>
      <c r="AX4162" s="79"/>
      <c r="AZ4162" s="81"/>
      <c r="BB4162" s="5"/>
      <c r="BC4162" s="5"/>
      <c r="BD4162" s="5"/>
      <c r="BE4162" s="5"/>
      <c r="BF4162" s="5"/>
      <c r="BG4162" s="5"/>
      <c r="BH4162" s="5"/>
      <c r="BI4162" s="5"/>
      <c r="BJ4162" s="5"/>
      <c r="BK4162" s="5"/>
      <c r="BL4162" s="5"/>
      <c r="BM4162" s="5"/>
      <c r="BN4162" s="5"/>
      <c r="BO4162" s="5"/>
      <c r="BP4162" s="5"/>
    </row>
    <row r="4163" spans="35:68" x14ac:dyDescent="0.25">
      <c r="AI4163" s="49"/>
      <c r="AJ4163" s="78"/>
      <c r="AK4163" s="79"/>
      <c r="AL4163" s="79"/>
      <c r="AM4163" s="79"/>
      <c r="AN4163" s="79"/>
      <c r="AO4163" s="79"/>
      <c r="AP4163" s="79"/>
      <c r="AQ4163" s="79"/>
      <c r="AR4163" s="78"/>
      <c r="AS4163" s="78"/>
      <c r="AT4163" s="79"/>
      <c r="AU4163" s="79"/>
      <c r="AV4163" s="79"/>
      <c r="AW4163" s="79"/>
      <c r="AX4163" s="79"/>
      <c r="AZ4163" s="81"/>
      <c r="BB4163" s="5"/>
      <c r="BC4163" s="5"/>
      <c r="BD4163" s="5"/>
      <c r="BE4163" s="5"/>
      <c r="BF4163" s="5"/>
      <c r="BG4163" s="5"/>
      <c r="BH4163" s="5"/>
      <c r="BI4163" s="5"/>
      <c r="BJ4163" s="5"/>
      <c r="BK4163" s="5"/>
      <c r="BL4163" s="5"/>
      <c r="BM4163" s="5"/>
      <c r="BN4163" s="5"/>
      <c r="BO4163" s="5"/>
      <c r="BP4163" s="5"/>
    </row>
    <row r="4164" spans="35:68" x14ac:dyDescent="0.25">
      <c r="AI4164" s="49"/>
      <c r="AJ4164" s="78"/>
      <c r="AK4164" s="79"/>
      <c r="AL4164" s="79"/>
      <c r="AM4164" s="79"/>
      <c r="AN4164" s="79"/>
      <c r="AO4164" s="79"/>
      <c r="AP4164" s="79"/>
      <c r="AQ4164" s="79"/>
      <c r="AR4164" s="78"/>
      <c r="AS4164" s="78"/>
      <c r="AT4164" s="79"/>
      <c r="AU4164" s="79"/>
      <c r="AV4164" s="79"/>
      <c r="AW4164" s="79"/>
      <c r="AX4164" s="79"/>
      <c r="AZ4164" s="81"/>
      <c r="BB4164" s="5"/>
      <c r="BC4164" s="5"/>
      <c r="BD4164" s="5"/>
      <c r="BE4164" s="5"/>
      <c r="BF4164" s="5"/>
      <c r="BG4164" s="5"/>
      <c r="BH4164" s="5"/>
      <c r="BI4164" s="5"/>
      <c r="BJ4164" s="5"/>
      <c r="BK4164" s="5"/>
      <c r="BL4164" s="5"/>
      <c r="BM4164" s="5"/>
      <c r="BN4164" s="5"/>
      <c r="BO4164" s="5"/>
      <c r="BP4164" s="5"/>
    </row>
    <row r="4165" spans="35:68" x14ac:dyDescent="0.25">
      <c r="AI4165" s="49"/>
      <c r="AJ4165" s="78"/>
      <c r="AK4165" s="79"/>
      <c r="AL4165" s="79"/>
      <c r="AM4165" s="79"/>
      <c r="AN4165" s="79"/>
      <c r="AO4165" s="79"/>
      <c r="AP4165" s="79"/>
      <c r="AQ4165" s="79"/>
      <c r="AR4165" s="78"/>
      <c r="AS4165" s="78"/>
      <c r="AT4165" s="79"/>
      <c r="AU4165" s="79"/>
      <c r="AV4165" s="79"/>
      <c r="AW4165" s="79"/>
      <c r="AX4165" s="79"/>
      <c r="AZ4165" s="81"/>
      <c r="BB4165" s="5"/>
      <c r="BC4165" s="5"/>
      <c r="BD4165" s="5"/>
      <c r="BE4165" s="5"/>
      <c r="BF4165" s="5"/>
      <c r="BG4165" s="5"/>
      <c r="BH4165" s="5"/>
      <c r="BI4165" s="5"/>
      <c r="BJ4165" s="5"/>
      <c r="BK4165" s="5"/>
      <c r="BL4165" s="5"/>
      <c r="BM4165" s="5"/>
      <c r="BN4165" s="5"/>
      <c r="BO4165" s="5"/>
      <c r="BP4165" s="5"/>
    </row>
    <row r="4166" spans="35:68" x14ac:dyDescent="0.25">
      <c r="AI4166" s="49"/>
      <c r="AJ4166" s="78"/>
      <c r="AK4166" s="79"/>
      <c r="AL4166" s="79"/>
      <c r="AM4166" s="79"/>
      <c r="AN4166" s="79"/>
      <c r="AO4166" s="79"/>
      <c r="AP4166" s="79"/>
      <c r="AQ4166" s="79"/>
      <c r="AR4166" s="78"/>
      <c r="AS4166" s="78"/>
      <c r="AT4166" s="79"/>
      <c r="AU4166" s="79"/>
      <c r="AV4166" s="79"/>
      <c r="AW4166" s="79"/>
      <c r="AX4166" s="79"/>
      <c r="AZ4166" s="81"/>
      <c r="BB4166" s="5"/>
      <c r="BC4166" s="5"/>
      <c r="BD4166" s="5"/>
      <c r="BE4166" s="5"/>
      <c r="BF4166" s="5"/>
      <c r="BG4166" s="5"/>
      <c r="BH4166" s="5"/>
      <c r="BI4166" s="5"/>
      <c r="BJ4166" s="5"/>
      <c r="BK4166" s="5"/>
      <c r="BL4166" s="5"/>
      <c r="BM4166" s="5"/>
      <c r="BN4166" s="5"/>
      <c r="BO4166" s="5"/>
      <c r="BP4166" s="5"/>
    </row>
    <row r="4167" spans="35:68" x14ac:dyDescent="0.25">
      <c r="AI4167" s="49"/>
      <c r="AJ4167" s="78"/>
      <c r="AK4167" s="79"/>
      <c r="AL4167" s="79"/>
      <c r="AM4167" s="79"/>
      <c r="AN4167" s="79"/>
      <c r="AO4167" s="79"/>
      <c r="AP4167" s="79"/>
      <c r="AQ4167" s="79"/>
      <c r="AR4167" s="78"/>
      <c r="AS4167" s="78"/>
      <c r="AT4167" s="79"/>
      <c r="AU4167" s="79"/>
      <c r="AV4167" s="79"/>
      <c r="AW4167" s="79"/>
      <c r="AX4167" s="79"/>
      <c r="AZ4167" s="81"/>
      <c r="BB4167" s="5"/>
      <c r="BC4167" s="5"/>
      <c r="BD4167" s="5"/>
      <c r="BE4167" s="5"/>
      <c r="BF4167" s="5"/>
      <c r="BG4167" s="5"/>
      <c r="BH4167" s="5"/>
      <c r="BI4167" s="5"/>
      <c r="BJ4167" s="5"/>
      <c r="BK4167" s="5"/>
      <c r="BL4167" s="5"/>
      <c r="BM4167" s="5"/>
      <c r="BN4167" s="5"/>
      <c r="BO4167" s="5"/>
      <c r="BP4167" s="5"/>
    </row>
    <row r="4168" spans="35:68" x14ac:dyDescent="0.25">
      <c r="AI4168" s="49"/>
      <c r="AJ4168" s="78"/>
      <c r="AK4168" s="79"/>
      <c r="AL4168" s="79"/>
      <c r="AM4168" s="79"/>
      <c r="AN4168" s="79"/>
      <c r="AO4168" s="79"/>
      <c r="AP4168" s="79"/>
      <c r="AQ4168" s="79"/>
      <c r="AR4168" s="78"/>
      <c r="AS4168" s="78"/>
      <c r="AT4168" s="79"/>
      <c r="AU4168" s="79"/>
      <c r="AV4168" s="79"/>
      <c r="AW4168" s="79"/>
      <c r="AX4168" s="79"/>
      <c r="AZ4168" s="81"/>
      <c r="BB4168" s="5"/>
      <c r="BC4168" s="5"/>
      <c r="BD4168" s="5"/>
      <c r="BE4168" s="5"/>
      <c r="BF4168" s="5"/>
      <c r="BG4168" s="5"/>
      <c r="BH4168" s="5"/>
      <c r="BI4168" s="5"/>
      <c r="BJ4168" s="5"/>
      <c r="BK4168" s="5"/>
      <c r="BL4168" s="5"/>
      <c r="BM4168" s="5"/>
      <c r="BN4168" s="5"/>
      <c r="BO4168" s="5"/>
      <c r="BP4168" s="5"/>
    </row>
    <row r="4169" spans="35:68" x14ac:dyDescent="0.25">
      <c r="AI4169" s="49"/>
      <c r="AJ4169" s="78"/>
      <c r="AK4169" s="79"/>
      <c r="AL4169" s="79"/>
      <c r="AM4169" s="79"/>
      <c r="AN4169" s="79"/>
      <c r="AO4169" s="79"/>
      <c r="AP4169" s="79"/>
      <c r="AQ4169" s="79"/>
      <c r="AR4169" s="78"/>
      <c r="AS4169" s="78"/>
      <c r="AT4169" s="79"/>
      <c r="AU4169" s="79"/>
      <c r="AV4169" s="79"/>
      <c r="AW4169" s="79"/>
      <c r="AX4169" s="79"/>
      <c r="AZ4169" s="81"/>
      <c r="BB4169" s="5"/>
      <c r="BC4169" s="5"/>
      <c r="BD4169" s="5"/>
      <c r="BE4169" s="5"/>
      <c r="BF4169" s="5"/>
      <c r="BG4169" s="5"/>
      <c r="BH4169" s="5"/>
      <c r="BI4169" s="5"/>
      <c r="BJ4169" s="5"/>
      <c r="BK4169" s="5"/>
      <c r="BL4169" s="5"/>
      <c r="BM4169" s="5"/>
      <c r="BN4169" s="5"/>
      <c r="BO4169" s="5"/>
      <c r="BP4169" s="5"/>
    </row>
    <row r="4170" spans="35:68" x14ac:dyDescent="0.25">
      <c r="AI4170" s="49"/>
      <c r="AJ4170" s="78"/>
      <c r="AK4170" s="79"/>
      <c r="AL4170" s="79"/>
      <c r="AM4170" s="79"/>
      <c r="AN4170" s="79"/>
      <c r="AO4170" s="79"/>
      <c r="AP4170" s="79"/>
      <c r="AQ4170" s="79"/>
      <c r="AR4170" s="78"/>
      <c r="AS4170" s="78"/>
      <c r="AT4170" s="79"/>
      <c r="AU4170" s="79"/>
      <c r="AV4170" s="79"/>
      <c r="AW4170" s="79"/>
      <c r="AX4170" s="79"/>
      <c r="AZ4170" s="81"/>
      <c r="BB4170" s="5"/>
      <c r="BC4170" s="5"/>
      <c r="BD4170" s="5"/>
      <c r="BE4170" s="5"/>
      <c r="BF4170" s="5"/>
      <c r="BG4170" s="5"/>
      <c r="BH4170" s="5"/>
      <c r="BI4170" s="5"/>
      <c r="BJ4170" s="5"/>
      <c r="BK4170" s="5"/>
      <c r="BL4170" s="5"/>
      <c r="BM4170" s="5"/>
      <c r="BN4170" s="5"/>
      <c r="BO4170" s="5"/>
      <c r="BP4170" s="5"/>
    </row>
    <row r="4171" spans="35:68" x14ac:dyDescent="0.25">
      <c r="AI4171" s="49"/>
      <c r="AJ4171" s="78"/>
      <c r="AK4171" s="79"/>
      <c r="AL4171" s="79"/>
      <c r="AM4171" s="79"/>
      <c r="AN4171" s="79"/>
      <c r="AO4171" s="79"/>
      <c r="AP4171" s="79"/>
      <c r="AQ4171" s="79"/>
      <c r="AR4171" s="78"/>
      <c r="AS4171" s="78"/>
      <c r="AT4171" s="79"/>
      <c r="AU4171" s="79"/>
      <c r="AV4171" s="79"/>
      <c r="AW4171" s="79"/>
      <c r="AX4171" s="79"/>
      <c r="AZ4171" s="81"/>
      <c r="BB4171" s="5"/>
      <c r="BC4171" s="5"/>
      <c r="BD4171" s="5"/>
      <c r="BE4171" s="5"/>
      <c r="BF4171" s="5"/>
      <c r="BG4171" s="5"/>
      <c r="BH4171" s="5"/>
      <c r="BI4171" s="5"/>
      <c r="BJ4171" s="5"/>
      <c r="BK4171" s="5"/>
      <c r="BL4171" s="5"/>
      <c r="BM4171" s="5"/>
      <c r="BN4171" s="5"/>
      <c r="BO4171" s="5"/>
      <c r="BP4171" s="5"/>
    </row>
    <row r="4172" spans="35:68" x14ac:dyDescent="0.25">
      <c r="AI4172" s="49"/>
      <c r="AJ4172" s="78"/>
      <c r="AK4172" s="79"/>
      <c r="AL4172" s="79"/>
      <c r="AM4172" s="79"/>
      <c r="AN4172" s="79"/>
      <c r="AO4172" s="79"/>
      <c r="AP4172" s="79"/>
      <c r="AQ4172" s="79"/>
      <c r="AR4172" s="78"/>
      <c r="AS4172" s="78"/>
      <c r="AT4172" s="79"/>
      <c r="AU4172" s="79"/>
      <c r="AV4172" s="79"/>
      <c r="AW4172" s="79"/>
      <c r="AX4172" s="79"/>
      <c r="AZ4172" s="81"/>
      <c r="BB4172" s="5"/>
      <c r="BC4172" s="5"/>
      <c r="BD4172" s="5"/>
      <c r="BE4172" s="5"/>
      <c r="BF4172" s="5"/>
      <c r="BG4172" s="5"/>
      <c r="BH4172" s="5"/>
      <c r="BI4172" s="5"/>
      <c r="BJ4172" s="5"/>
      <c r="BK4172" s="5"/>
      <c r="BL4172" s="5"/>
      <c r="BM4172" s="5"/>
      <c r="BN4172" s="5"/>
      <c r="BO4172" s="5"/>
      <c r="BP4172" s="5"/>
    </row>
    <row r="4173" spans="35:68" x14ac:dyDescent="0.25">
      <c r="AI4173" s="49"/>
      <c r="AJ4173" s="78"/>
      <c r="AK4173" s="79"/>
      <c r="AL4173" s="79"/>
      <c r="AM4173" s="79"/>
      <c r="AN4173" s="79"/>
      <c r="AO4173" s="79"/>
      <c r="AP4173" s="79"/>
      <c r="AQ4173" s="79"/>
      <c r="AR4173" s="78"/>
      <c r="AS4173" s="78"/>
      <c r="AT4173" s="79"/>
      <c r="AU4173" s="79"/>
      <c r="AV4173" s="79"/>
      <c r="AW4173" s="79"/>
      <c r="AX4173" s="79"/>
      <c r="AZ4173" s="81"/>
      <c r="BB4173" s="5"/>
      <c r="BC4173" s="5"/>
      <c r="BD4173" s="5"/>
      <c r="BE4173" s="5"/>
      <c r="BF4173" s="5"/>
      <c r="BG4173" s="5"/>
      <c r="BH4173" s="5"/>
      <c r="BI4173" s="5"/>
      <c r="BJ4173" s="5"/>
      <c r="BK4173" s="5"/>
      <c r="BL4173" s="5"/>
      <c r="BM4173" s="5"/>
      <c r="BN4173" s="5"/>
      <c r="BO4173" s="5"/>
      <c r="BP4173" s="5"/>
    </row>
    <row r="4174" spans="35:68" x14ac:dyDescent="0.25">
      <c r="AI4174" s="49"/>
      <c r="AJ4174" s="78"/>
      <c r="AK4174" s="79"/>
      <c r="AL4174" s="79"/>
      <c r="AM4174" s="79"/>
      <c r="AN4174" s="79"/>
      <c r="AO4174" s="79"/>
      <c r="AP4174" s="79"/>
      <c r="AQ4174" s="79"/>
      <c r="AR4174" s="78"/>
      <c r="AS4174" s="78"/>
      <c r="AT4174" s="79"/>
      <c r="AU4174" s="79"/>
      <c r="AV4174" s="79"/>
      <c r="AW4174" s="79"/>
      <c r="AX4174" s="79"/>
      <c r="AZ4174" s="81"/>
      <c r="BB4174" s="5"/>
      <c r="BC4174" s="5"/>
      <c r="BD4174" s="5"/>
      <c r="BE4174" s="5"/>
      <c r="BF4174" s="5"/>
      <c r="BG4174" s="5"/>
      <c r="BH4174" s="5"/>
      <c r="BI4174" s="5"/>
      <c r="BJ4174" s="5"/>
      <c r="BK4174" s="5"/>
      <c r="BL4174" s="5"/>
      <c r="BM4174" s="5"/>
      <c r="BN4174" s="5"/>
      <c r="BO4174" s="5"/>
      <c r="BP4174" s="5"/>
    </row>
    <row r="4175" spans="35:68" x14ac:dyDescent="0.25">
      <c r="AI4175" s="49"/>
      <c r="AJ4175" s="78"/>
      <c r="AK4175" s="79"/>
      <c r="AL4175" s="79"/>
      <c r="AM4175" s="79"/>
      <c r="AN4175" s="79"/>
      <c r="AO4175" s="79"/>
      <c r="AP4175" s="79"/>
      <c r="AQ4175" s="79"/>
      <c r="AR4175" s="78"/>
      <c r="AS4175" s="78"/>
      <c r="AT4175" s="79"/>
      <c r="AU4175" s="79"/>
      <c r="AV4175" s="79"/>
      <c r="AW4175" s="79"/>
      <c r="AX4175" s="79"/>
      <c r="AZ4175" s="81"/>
      <c r="BB4175" s="5"/>
      <c r="BC4175" s="5"/>
      <c r="BD4175" s="5"/>
      <c r="BE4175" s="5"/>
      <c r="BF4175" s="5"/>
      <c r="BG4175" s="5"/>
      <c r="BH4175" s="5"/>
      <c r="BI4175" s="5"/>
      <c r="BJ4175" s="5"/>
      <c r="BK4175" s="5"/>
      <c r="BL4175" s="5"/>
      <c r="BM4175" s="5"/>
      <c r="BN4175" s="5"/>
      <c r="BO4175" s="5"/>
      <c r="BP4175" s="5"/>
    </row>
    <row r="4176" spans="35:68" x14ac:dyDescent="0.25">
      <c r="AI4176" s="49"/>
      <c r="AJ4176" s="78"/>
      <c r="AK4176" s="79"/>
      <c r="AL4176" s="79"/>
      <c r="AM4176" s="79"/>
      <c r="AN4176" s="79"/>
      <c r="AO4176" s="79"/>
      <c r="AP4176" s="79"/>
      <c r="AQ4176" s="79"/>
      <c r="AR4176" s="78"/>
      <c r="AS4176" s="78"/>
      <c r="AT4176" s="79"/>
      <c r="AU4176" s="79"/>
      <c r="AV4176" s="79"/>
      <c r="AW4176" s="79"/>
      <c r="AX4176" s="79"/>
      <c r="AZ4176" s="81"/>
      <c r="BB4176" s="5"/>
      <c r="BC4176" s="5"/>
      <c r="BD4176" s="5"/>
      <c r="BE4176" s="5"/>
      <c r="BF4176" s="5"/>
      <c r="BG4176" s="5"/>
      <c r="BH4176" s="5"/>
      <c r="BI4176" s="5"/>
      <c r="BJ4176" s="5"/>
      <c r="BK4176" s="5"/>
      <c r="BL4176" s="5"/>
      <c r="BM4176" s="5"/>
      <c r="BN4176" s="5"/>
      <c r="BO4176" s="5"/>
      <c r="BP4176" s="5"/>
    </row>
    <row r="4177" spans="35:68" x14ac:dyDescent="0.25">
      <c r="AI4177" s="49"/>
      <c r="AJ4177" s="78"/>
      <c r="AK4177" s="79"/>
      <c r="AL4177" s="79"/>
      <c r="AM4177" s="79"/>
      <c r="AN4177" s="79"/>
      <c r="AO4177" s="79"/>
      <c r="AP4177" s="79"/>
      <c r="AQ4177" s="79"/>
      <c r="AR4177" s="78"/>
      <c r="AS4177" s="78"/>
      <c r="AT4177" s="79"/>
      <c r="AU4177" s="79"/>
      <c r="AV4177" s="79"/>
      <c r="AW4177" s="79"/>
      <c r="AX4177" s="79"/>
      <c r="AZ4177" s="81"/>
      <c r="BB4177" s="5"/>
      <c r="BC4177" s="5"/>
      <c r="BD4177" s="5"/>
      <c r="BE4177" s="5"/>
      <c r="BF4177" s="5"/>
      <c r="BG4177" s="5"/>
      <c r="BH4177" s="5"/>
      <c r="BI4177" s="5"/>
      <c r="BJ4177" s="5"/>
      <c r="BK4177" s="5"/>
      <c r="BL4177" s="5"/>
      <c r="BM4177" s="5"/>
      <c r="BN4177" s="5"/>
      <c r="BO4177" s="5"/>
      <c r="BP4177" s="5"/>
    </row>
    <row r="4178" spans="35:68" x14ac:dyDescent="0.25">
      <c r="AI4178" s="49"/>
      <c r="AJ4178" s="78"/>
      <c r="AK4178" s="79"/>
      <c r="AL4178" s="79"/>
      <c r="AM4178" s="79"/>
      <c r="AN4178" s="79"/>
      <c r="AO4178" s="79"/>
      <c r="AP4178" s="79"/>
      <c r="AQ4178" s="79"/>
      <c r="AR4178" s="78"/>
      <c r="AS4178" s="78"/>
      <c r="AT4178" s="79"/>
      <c r="AU4178" s="79"/>
      <c r="AV4178" s="79"/>
      <c r="AW4178" s="79"/>
      <c r="AX4178" s="79"/>
      <c r="AZ4178" s="81"/>
      <c r="BB4178" s="5"/>
      <c r="BC4178" s="5"/>
      <c r="BD4178" s="5"/>
      <c r="BE4178" s="5"/>
      <c r="BF4178" s="5"/>
      <c r="BG4178" s="5"/>
      <c r="BH4178" s="5"/>
      <c r="BI4178" s="5"/>
      <c r="BJ4178" s="5"/>
      <c r="BK4178" s="5"/>
      <c r="BL4178" s="5"/>
      <c r="BM4178" s="5"/>
      <c r="BN4178" s="5"/>
      <c r="BO4178" s="5"/>
      <c r="BP4178" s="5"/>
    </row>
    <row r="4179" spans="35:68" x14ac:dyDescent="0.25">
      <c r="AI4179" s="49"/>
      <c r="AJ4179" s="78"/>
      <c r="AK4179" s="79"/>
      <c r="AL4179" s="79"/>
      <c r="AM4179" s="79"/>
      <c r="AN4179" s="79"/>
      <c r="AO4179" s="79"/>
      <c r="AP4179" s="79"/>
      <c r="AQ4179" s="79"/>
      <c r="AR4179" s="78"/>
      <c r="AS4179" s="78"/>
      <c r="AT4179" s="79"/>
      <c r="AU4179" s="79"/>
      <c r="AV4179" s="79"/>
      <c r="AW4179" s="79"/>
      <c r="AX4179" s="79"/>
      <c r="AZ4179" s="81"/>
      <c r="BB4179" s="5"/>
      <c r="BC4179" s="5"/>
      <c r="BD4179" s="5"/>
      <c r="BE4179" s="5"/>
      <c r="BF4179" s="5"/>
      <c r="BG4179" s="5"/>
      <c r="BH4179" s="5"/>
      <c r="BI4179" s="5"/>
      <c r="BJ4179" s="5"/>
      <c r="BK4179" s="5"/>
      <c r="BL4179" s="5"/>
      <c r="BM4179" s="5"/>
      <c r="BN4179" s="5"/>
      <c r="BO4179" s="5"/>
      <c r="BP4179" s="5"/>
    </row>
    <row r="4180" spans="35:68" x14ac:dyDescent="0.25">
      <c r="AI4180" s="49"/>
      <c r="AJ4180" s="78"/>
      <c r="AK4180" s="79"/>
      <c r="AL4180" s="79"/>
      <c r="AM4180" s="79"/>
      <c r="AN4180" s="79"/>
      <c r="AO4180" s="79"/>
      <c r="AP4180" s="79"/>
      <c r="AQ4180" s="79"/>
      <c r="AR4180" s="78"/>
      <c r="AS4180" s="78"/>
      <c r="AT4180" s="79"/>
      <c r="AU4180" s="79"/>
      <c r="AV4180" s="79"/>
      <c r="AW4180" s="79"/>
      <c r="AX4180" s="79"/>
      <c r="AZ4180" s="81"/>
      <c r="BB4180" s="5"/>
      <c r="BC4180" s="5"/>
      <c r="BD4180" s="5"/>
      <c r="BE4180" s="5"/>
      <c r="BF4180" s="5"/>
      <c r="BG4180" s="5"/>
      <c r="BH4180" s="5"/>
      <c r="BI4180" s="5"/>
      <c r="BJ4180" s="5"/>
      <c r="BK4180" s="5"/>
      <c r="BL4180" s="5"/>
      <c r="BM4180" s="5"/>
      <c r="BN4180" s="5"/>
      <c r="BO4180" s="5"/>
      <c r="BP4180" s="5"/>
    </row>
    <row r="4181" spans="35:68" x14ac:dyDescent="0.25">
      <c r="AI4181" s="49"/>
      <c r="AJ4181" s="78"/>
      <c r="AK4181" s="79"/>
      <c r="AL4181" s="79"/>
      <c r="AM4181" s="79"/>
      <c r="AN4181" s="79"/>
      <c r="AO4181" s="79"/>
      <c r="AP4181" s="79"/>
      <c r="AQ4181" s="79"/>
      <c r="AR4181" s="78"/>
      <c r="AS4181" s="78"/>
      <c r="AT4181" s="79"/>
      <c r="AU4181" s="79"/>
      <c r="AV4181" s="79"/>
      <c r="AW4181" s="79"/>
      <c r="AX4181" s="79"/>
      <c r="AZ4181" s="81"/>
      <c r="BB4181" s="5"/>
      <c r="BC4181" s="5"/>
      <c r="BD4181" s="5"/>
      <c r="BE4181" s="5"/>
      <c r="BF4181" s="5"/>
      <c r="BG4181" s="5"/>
      <c r="BH4181" s="5"/>
      <c r="BI4181" s="5"/>
      <c r="BJ4181" s="5"/>
      <c r="BK4181" s="5"/>
      <c r="BL4181" s="5"/>
      <c r="BM4181" s="5"/>
      <c r="BN4181" s="5"/>
      <c r="BO4181" s="5"/>
      <c r="BP4181" s="5"/>
    </row>
    <row r="4182" spans="35:68" x14ac:dyDescent="0.25">
      <c r="AI4182" s="49"/>
      <c r="AJ4182" s="78"/>
      <c r="AK4182" s="79"/>
      <c r="AL4182" s="79"/>
      <c r="AM4182" s="79"/>
      <c r="AN4182" s="79"/>
      <c r="AO4182" s="79"/>
      <c r="AP4182" s="79"/>
      <c r="AQ4182" s="79"/>
      <c r="AR4182" s="78"/>
      <c r="AS4182" s="78"/>
      <c r="AT4182" s="79"/>
      <c r="AU4182" s="79"/>
      <c r="AV4182" s="79"/>
      <c r="AW4182" s="79"/>
      <c r="AX4182" s="79"/>
      <c r="AZ4182" s="81"/>
      <c r="BB4182" s="5"/>
      <c r="BC4182" s="5"/>
      <c r="BD4182" s="5"/>
      <c r="BE4182" s="5"/>
      <c r="BF4182" s="5"/>
      <c r="BG4182" s="5"/>
      <c r="BH4182" s="5"/>
      <c r="BI4182" s="5"/>
      <c r="BJ4182" s="5"/>
      <c r="BK4182" s="5"/>
      <c r="BL4182" s="5"/>
      <c r="BM4182" s="5"/>
      <c r="BN4182" s="5"/>
      <c r="BO4182" s="5"/>
      <c r="BP4182" s="5"/>
    </row>
    <row r="4183" spans="35:68" x14ac:dyDescent="0.25">
      <c r="AI4183" s="49"/>
      <c r="AJ4183" s="78"/>
      <c r="AK4183" s="79"/>
      <c r="AL4183" s="79"/>
      <c r="AM4183" s="79"/>
      <c r="AN4183" s="79"/>
      <c r="AO4183" s="79"/>
      <c r="AP4183" s="79"/>
      <c r="AQ4183" s="79"/>
      <c r="AR4183" s="78"/>
      <c r="AS4183" s="78"/>
      <c r="AT4183" s="79"/>
      <c r="AU4183" s="79"/>
      <c r="AV4183" s="79"/>
      <c r="AW4183" s="79"/>
      <c r="AX4183" s="79"/>
      <c r="AZ4183" s="81"/>
      <c r="BB4183" s="5"/>
      <c r="BC4183" s="5"/>
      <c r="BD4183" s="5"/>
      <c r="BE4183" s="5"/>
      <c r="BF4183" s="5"/>
      <c r="BG4183" s="5"/>
      <c r="BH4183" s="5"/>
      <c r="BI4183" s="5"/>
      <c r="BJ4183" s="5"/>
      <c r="BK4183" s="5"/>
      <c r="BL4183" s="5"/>
      <c r="BM4183" s="5"/>
      <c r="BN4183" s="5"/>
      <c r="BO4183" s="5"/>
      <c r="BP4183" s="5"/>
    </row>
    <row r="4184" spans="35:68" x14ac:dyDescent="0.25">
      <c r="AI4184" s="49"/>
      <c r="AJ4184" s="78"/>
      <c r="AK4184" s="79"/>
      <c r="AL4184" s="79"/>
      <c r="AM4184" s="79"/>
      <c r="AN4184" s="79"/>
      <c r="AO4184" s="79"/>
      <c r="AP4184" s="79"/>
      <c r="AQ4184" s="79"/>
      <c r="AR4184" s="78"/>
      <c r="AS4184" s="78"/>
      <c r="AT4184" s="79"/>
      <c r="AU4184" s="79"/>
      <c r="AV4184" s="79"/>
      <c r="AW4184" s="79"/>
      <c r="AX4184" s="79"/>
      <c r="AZ4184" s="81"/>
      <c r="BB4184" s="5"/>
      <c r="BC4184" s="5"/>
      <c r="BD4184" s="5"/>
      <c r="BE4184" s="5"/>
      <c r="BF4184" s="5"/>
      <c r="BG4184" s="5"/>
      <c r="BH4184" s="5"/>
      <c r="BI4184" s="5"/>
      <c r="BJ4184" s="5"/>
      <c r="BK4184" s="5"/>
      <c r="BL4184" s="5"/>
      <c r="BM4184" s="5"/>
      <c r="BN4184" s="5"/>
      <c r="BO4184" s="5"/>
      <c r="BP4184" s="5"/>
    </row>
    <row r="4185" spans="35:68" x14ac:dyDescent="0.25">
      <c r="AI4185" s="49"/>
      <c r="AJ4185" s="78"/>
      <c r="AK4185" s="79"/>
      <c r="AL4185" s="79"/>
      <c r="AM4185" s="79"/>
      <c r="AN4185" s="79"/>
      <c r="AO4185" s="79"/>
      <c r="AP4185" s="79"/>
      <c r="AQ4185" s="79"/>
      <c r="AR4185" s="78"/>
      <c r="AS4185" s="78"/>
      <c r="AT4185" s="79"/>
      <c r="AU4185" s="79"/>
      <c r="AV4185" s="79"/>
      <c r="AW4185" s="79"/>
      <c r="AX4185" s="79"/>
      <c r="AZ4185" s="81"/>
      <c r="BB4185" s="5"/>
      <c r="BC4185" s="5"/>
      <c r="BD4185" s="5"/>
      <c r="BE4185" s="5"/>
      <c r="BF4185" s="5"/>
      <c r="BG4185" s="5"/>
      <c r="BH4185" s="5"/>
      <c r="BI4185" s="5"/>
      <c r="BJ4185" s="5"/>
      <c r="BK4185" s="5"/>
      <c r="BL4185" s="5"/>
      <c r="BM4185" s="5"/>
      <c r="BN4185" s="5"/>
      <c r="BO4185" s="5"/>
      <c r="BP4185" s="5"/>
    </row>
    <row r="4186" spans="35:68" x14ac:dyDescent="0.25">
      <c r="AI4186" s="49"/>
      <c r="AJ4186" s="78"/>
      <c r="AK4186" s="79"/>
      <c r="AL4186" s="79"/>
      <c r="AM4186" s="79"/>
      <c r="AN4186" s="79"/>
      <c r="AO4186" s="79"/>
      <c r="AP4186" s="79"/>
      <c r="AQ4186" s="79"/>
      <c r="AR4186" s="78"/>
      <c r="AS4186" s="78"/>
      <c r="AT4186" s="79"/>
      <c r="AU4186" s="79"/>
      <c r="AV4186" s="79"/>
      <c r="AW4186" s="79"/>
      <c r="AX4186" s="79"/>
      <c r="AZ4186" s="81"/>
      <c r="BB4186" s="5"/>
      <c r="BC4186" s="5"/>
      <c r="BD4186" s="5"/>
      <c r="BE4186" s="5"/>
      <c r="BF4186" s="5"/>
      <c r="BG4186" s="5"/>
      <c r="BH4186" s="5"/>
      <c r="BI4186" s="5"/>
      <c r="BJ4186" s="5"/>
      <c r="BK4186" s="5"/>
      <c r="BL4186" s="5"/>
      <c r="BM4186" s="5"/>
      <c r="BN4186" s="5"/>
      <c r="BO4186" s="5"/>
      <c r="BP4186" s="5"/>
    </row>
    <row r="4187" spans="35:68" x14ac:dyDescent="0.25">
      <c r="AI4187" s="49"/>
      <c r="AJ4187" s="78"/>
      <c r="AK4187" s="79"/>
      <c r="AL4187" s="79"/>
      <c r="AM4187" s="79"/>
      <c r="AN4187" s="79"/>
      <c r="AO4187" s="79"/>
      <c r="AP4187" s="79"/>
      <c r="AQ4187" s="79"/>
      <c r="AR4187" s="78"/>
      <c r="AS4187" s="78"/>
      <c r="AT4187" s="79"/>
      <c r="AU4187" s="79"/>
      <c r="AV4187" s="79"/>
      <c r="AW4187" s="79"/>
      <c r="AX4187" s="79"/>
      <c r="AZ4187" s="81"/>
      <c r="BB4187" s="5"/>
      <c r="BC4187" s="5"/>
      <c r="BD4187" s="5"/>
      <c r="BE4187" s="5"/>
      <c r="BF4187" s="5"/>
      <c r="BG4187" s="5"/>
      <c r="BH4187" s="5"/>
      <c r="BI4187" s="5"/>
      <c r="BJ4187" s="5"/>
      <c r="BK4187" s="5"/>
      <c r="BL4187" s="5"/>
      <c r="BM4187" s="5"/>
      <c r="BN4187" s="5"/>
      <c r="BO4187" s="5"/>
      <c r="BP4187" s="5"/>
    </row>
    <row r="4188" spans="35:68" x14ac:dyDescent="0.25">
      <c r="AI4188" s="49"/>
      <c r="AJ4188" s="78"/>
      <c r="AK4188" s="79"/>
      <c r="AL4188" s="79"/>
      <c r="AM4188" s="79"/>
      <c r="AN4188" s="79"/>
      <c r="AO4188" s="79"/>
      <c r="AP4188" s="79"/>
      <c r="AQ4188" s="79"/>
      <c r="AR4188" s="78"/>
      <c r="AS4188" s="78"/>
      <c r="AT4188" s="79"/>
      <c r="AU4188" s="79"/>
      <c r="AV4188" s="79"/>
      <c r="AW4188" s="79"/>
      <c r="AX4188" s="79"/>
      <c r="AZ4188" s="81"/>
      <c r="BB4188" s="5"/>
      <c r="BC4188" s="5"/>
      <c r="BD4188" s="5"/>
      <c r="BE4188" s="5"/>
      <c r="BF4188" s="5"/>
      <c r="BG4188" s="5"/>
      <c r="BH4188" s="5"/>
      <c r="BI4188" s="5"/>
      <c r="BJ4188" s="5"/>
      <c r="BK4188" s="5"/>
      <c r="BL4188" s="5"/>
      <c r="BM4188" s="5"/>
      <c r="BN4188" s="5"/>
      <c r="BO4188" s="5"/>
      <c r="BP4188" s="5"/>
    </row>
    <row r="4189" spans="35:68" x14ac:dyDescent="0.25">
      <c r="AI4189" s="49"/>
      <c r="AJ4189" s="78"/>
      <c r="AK4189" s="79"/>
      <c r="AL4189" s="79"/>
      <c r="AM4189" s="79"/>
      <c r="AN4189" s="79"/>
      <c r="AO4189" s="79"/>
      <c r="AP4189" s="79"/>
      <c r="AQ4189" s="79"/>
      <c r="AR4189" s="78"/>
      <c r="AS4189" s="78"/>
      <c r="AT4189" s="79"/>
      <c r="AU4189" s="79"/>
      <c r="AV4189" s="79"/>
      <c r="AW4189" s="79"/>
      <c r="AX4189" s="79"/>
      <c r="AZ4189" s="81"/>
      <c r="BB4189" s="5"/>
      <c r="BC4189" s="5"/>
      <c r="BD4189" s="5"/>
      <c r="BE4189" s="5"/>
      <c r="BF4189" s="5"/>
      <c r="BG4189" s="5"/>
      <c r="BH4189" s="5"/>
      <c r="BI4189" s="5"/>
      <c r="BJ4189" s="5"/>
      <c r="BK4189" s="5"/>
      <c r="BL4189" s="5"/>
      <c r="BM4189" s="5"/>
      <c r="BN4189" s="5"/>
      <c r="BO4189" s="5"/>
      <c r="BP4189" s="5"/>
    </row>
    <row r="4190" spans="35:68" x14ac:dyDescent="0.25">
      <c r="AI4190" s="49"/>
      <c r="AJ4190" s="78"/>
      <c r="AK4190" s="79"/>
      <c r="AL4190" s="79"/>
      <c r="AM4190" s="79"/>
      <c r="AN4190" s="79"/>
      <c r="AO4190" s="79"/>
      <c r="AP4190" s="79"/>
      <c r="AQ4190" s="79"/>
      <c r="AR4190" s="78"/>
      <c r="AS4190" s="78"/>
      <c r="AT4190" s="79"/>
      <c r="AU4190" s="79"/>
      <c r="AV4190" s="79"/>
      <c r="AW4190" s="79"/>
      <c r="AX4190" s="79"/>
      <c r="AZ4190" s="81"/>
      <c r="BB4190" s="5"/>
      <c r="BC4190" s="5"/>
      <c r="BD4190" s="5"/>
      <c r="BE4190" s="5"/>
      <c r="BF4190" s="5"/>
      <c r="BG4190" s="5"/>
      <c r="BH4190" s="5"/>
      <c r="BI4190" s="5"/>
      <c r="BJ4190" s="5"/>
      <c r="BK4190" s="5"/>
      <c r="BL4190" s="5"/>
      <c r="BM4190" s="5"/>
      <c r="BN4190" s="5"/>
      <c r="BO4190" s="5"/>
      <c r="BP4190" s="5"/>
    </row>
    <row r="4191" spans="35:68" x14ac:dyDescent="0.25">
      <c r="AI4191" s="49"/>
      <c r="AJ4191" s="78"/>
      <c r="AK4191" s="79"/>
      <c r="AL4191" s="79"/>
      <c r="AM4191" s="79"/>
      <c r="AN4191" s="79"/>
      <c r="AO4191" s="79"/>
      <c r="AP4191" s="79"/>
      <c r="AQ4191" s="79"/>
      <c r="AR4191" s="78"/>
      <c r="AS4191" s="78"/>
      <c r="AT4191" s="79"/>
      <c r="AU4191" s="79"/>
      <c r="AV4191" s="79"/>
      <c r="AW4191" s="79"/>
      <c r="AX4191" s="79"/>
      <c r="AZ4191" s="81"/>
      <c r="BB4191" s="5"/>
      <c r="BC4191" s="5"/>
      <c r="BD4191" s="5"/>
      <c r="BE4191" s="5"/>
      <c r="BF4191" s="5"/>
      <c r="BG4191" s="5"/>
      <c r="BH4191" s="5"/>
      <c r="BI4191" s="5"/>
      <c r="BJ4191" s="5"/>
      <c r="BK4191" s="5"/>
      <c r="BL4191" s="5"/>
      <c r="BM4191" s="5"/>
      <c r="BN4191" s="5"/>
      <c r="BO4191" s="5"/>
      <c r="BP4191" s="5"/>
    </row>
    <row r="4192" spans="35:68" x14ac:dyDescent="0.25">
      <c r="AI4192" s="49"/>
      <c r="AJ4192" s="78"/>
      <c r="AK4192" s="79"/>
      <c r="AL4192" s="79"/>
      <c r="AM4192" s="79"/>
      <c r="AN4192" s="79"/>
      <c r="AO4192" s="79"/>
      <c r="AP4192" s="79"/>
      <c r="AQ4192" s="79"/>
      <c r="AR4192" s="78"/>
      <c r="AS4192" s="78"/>
      <c r="AT4192" s="79"/>
      <c r="AU4192" s="79"/>
      <c r="AV4192" s="79"/>
      <c r="AW4192" s="79"/>
      <c r="AX4192" s="79"/>
      <c r="AZ4192" s="81"/>
      <c r="BB4192" s="5"/>
      <c r="BC4192" s="5"/>
      <c r="BD4192" s="5"/>
      <c r="BE4192" s="5"/>
      <c r="BF4192" s="5"/>
      <c r="BG4192" s="5"/>
      <c r="BH4192" s="5"/>
      <c r="BI4192" s="5"/>
      <c r="BJ4192" s="5"/>
      <c r="BK4192" s="5"/>
      <c r="BL4192" s="5"/>
      <c r="BM4192" s="5"/>
      <c r="BN4192" s="5"/>
      <c r="BO4192" s="5"/>
      <c r="BP4192" s="5"/>
    </row>
    <row r="4193" spans="35:68" x14ac:dyDescent="0.25">
      <c r="AI4193" s="49"/>
      <c r="AJ4193" s="78"/>
      <c r="AK4193" s="79"/>
      <c r="AL4193" s="79"/>
      <c r="AM4193" s="79"/>
      <c r="AN4193" s="79"/>
      <c r="AO4193" s="79"/>
      <c r="AP4193" s="79"/>
      <c r="AQ4193" s="79"/>
      <c r="AR4193" s="78"/>
      <c r="AS4193" s="78"/>
      <c r="AT4193" s="79"/>
      <c r="AU4193" s="79"/>
      <c r="AV4193" s="79"/>
      <c r="AW4193" s="79"/>
      <c r="AX4193" s="79"/>
      <c r="AZ4193" s="81"/>
      <c r="BB4193" s="5"/>
      <c r="BC4193" s="5"/>
      <c r="BD4193" s="5"/>
      <c r="BE4193" s="5"/>
      <c r="BF4193" s="5"/>
      <c r="BG4193" s="5"/>
      <c r="BH4193" s="5"/>
      <c r="BI4193" s="5"/>
      <c r="BJ4193" s="5"/>
      <c r="BK4193" s="5"/>
      <c r="BL4193" s="5"/>
      <c r="BM4193" s="5"/>
      <c r="BN4193" s="5"/>
      <c r="BO4193" s="5"/>
      <c r="BP4193" s="5"/>
    </row>
    <row r="4194" spans="35:68" x14ac:dyDescent="0.25">
      <c r="AI4194" s="49"/>
      <c r="AJ4194" s="78"/>
      <c r="AK4194" s="79"/>
      <c r="AL4194" s="79"/>
      <c r="AM4194" s="79"/>
      <c r="AN4194" s="79"/>
      <c r="AO4194" s="79"/>
      <c r="AP4194" s="79"/>
      <c r="AQ4194" s="79"/>
      <c r="AR4194" s="78"/>
      <c r="AS4194" s="78"/>
      <c r="AT4194" s="79"/>
      <c r="AU4194" s="79"/>
      <c r="AV4194" s="79"/>
      <c r="AW4194" s="79"/>
      <c r="AX4194" s="79"/>
      <c r="AZ4194" s="81"/>
      <c r="BB4194" s="5"/>
      <c r="BC4194" s="5"/>
      <c r="BD4194" s="5"/>
      <c r="BE4194" s="5"/>
      <c r="BF4194" s="5"/>
      <c r="BG4194" s="5"/>
      <c r="BH4194" s="5"/>
      <c r="BI4194" s="5"/>
      <c r="BJ4194" s="5"/>
      <c r="BK4194" s="5"/>
      <c r="BL4194" s="5"/>
      <c r="BM4194" s="5"/>
      <c r="BN4194" s="5"/>
      <c r="BO4194" s="5"/>
      <c r="BP4194" s="5"/>
    </row>
    <row r="4195" spans="35:68" x14ac:dyDescent="0.25">
      <c r="AI4195" s="49"/>
      <c r="AJ4195" s="78"/>
      <c r="AK4195" s="79"/>
      <c r="AL4195" s="79"/>
      <c r="AM4195" s="79"/>
      <c r="AN4195" s="79"/>
      <c r="AO4195" s="79"/>
      <c r="AP4195" s="79"/>
      <c r="AQ4195" s="79"/>
      <c r="AR4195" s="78"/>
      <c r="AS4195" s="78"/>
      <c r="AT4195" s="79"/>
      <c r="AU4195" s="79"/>
      <c r="AV4195" s="79"/>
      <c r="AW4195" s="79"/>
      <c r="AX4195" s="79"/>
      <c r="AZ4195" s="81"/>
      <c r="BB4195" s="5"/>
      <c r="BC4195" s="5"/>
      <c r="BD4195" s="5"/>
      <c r="BE4195" s="5"/>
      <c r="BF4195" s="5"/>
      <c r="BG4195" s="5"/>
      <c r="BH4195" s="5"/>
      <c r="BI4195" s="5"/>
      <c r="BJ4195" s="5"/>
      <c r="BK4195" s="5"/>
      <c r="BL4195" s="5"/>
      <c r="BM4195" s="5"/>
      <c r="BN4195" s="5"/>
      <c r="BO4195" s="5"/>
      <c r="BP4195" s="5"/>
    </row>
    <row r="4196" spans="35:68" x14ac:dyDescent="0.25">
      <c r="AI4196" s="49"/>
      <c r="AJ4196" s="78"/>
      <c r="AK4196" s="79"/>
      <c r="AL4196" s="79"/>
      <c r="AM4196" s="79"/>
      <c r="AN4196" s="79"/>
      <c r="AO4196" s="79"/>
      <c r="AP4196" s="79"/>
      <c r="AQ4196" s="79"/>
      <c r="AR4196" s="78"/>
      <c r="AS4196" s="78"/>
      <c r="AT4196" s="79"/>
      <c r="AU4196" s="79"/>
      <c r="AV4196" s="79"/>
      <c r="AW4196" s="79"/>
      <c r="AX4196" s="79"/>
      <c r="AZ4196" s="81"/>
      <c r="BB4196" s="5"/>
      <c r="BC4196" s="5"/>
      <c r="BD4196" s="5"/>
      <c r="BE4196" s="5"/>
      <c r="BF4196" s="5"/>
      <c r="BG4196" s="5"/>
      <c r="BH4196" s="5"/>
      <c r="BI4196" s="5"/>
      <c r="BJ4196" s="5"/>
      <c r="BK4196" s="5"/>
      <c r="BL4196" s="5"/>
      <c r="BM4196" s="5"/>
      <c r="BN4196" s="5"/>
      <c r="BO4196" s="5"/>
      <c r="BP4196" s="5"/>
    </row>
    <row r="4197" spans="35:68" x14ac:dyDescent="0.25">
      <c r="AI4197" s="49"/>
      <c r="AJ4197" s="78"/>
      <c r="AK4197" s="79"/>
      <c r="AL4197" s="79"/>
      <c r="AM4197" s="79"/>
      <c r="AN4197" s="79"/>
      <c r="AO4197" s="79"/>
      <c r="AP4197" s="79"/>
      <c r="AQ4197" s="79"/>
      <c r="AR4197" s="78"/>
      <c r="AS4197" s="78"/>
      <c r="AT4197" s="79"/>
      <c r="AU4197" s="79"/>
      <c r="AV4197" s="79"/>
      <c r="AW4197" s="79"/>
      <c r="AX4197" s="79"/>
      <c r="AZ4197" s="81"/>
      <c r="BB4197" s="5"/>
      <c r="BC4197" s="5"/>
      <c r="BD4197" s="5"/>
      <c r="BE4197" s="5"/>
      <c r="BF4197" s="5"/>
      <c r="BG4197" s="5"/>
      <c r="BH4197" s="5"/>
      <c r="BI4197" s="5"/>
      <c r="BJ4197" s="5"/>
      <c r="BK4197" s="5"/>
      <c r="BL4197" s="5"/>
      <c r="BM4197" s="5"/>
      <c r="BN4197" s="5"/>
      <c r="BO4197" s="5"/>
      <c r="BP4197" s="5"/>
    </row>
    <row r="4198" spans="35:68" x14ac:dyDescent="0.25">
      <c r="AI4198" s="49"/>
      <c r="AJ4198" s="78"/>
      <c r="AK4198" s="79"/>
      <c r="AL4198" s="79"/>
      <c r="AM4198" s="79"/>
      <c r="AN4198" s="79"/>
      <c r="AO4198" s="79"/>
      <c r="AP4198" s="79"/>
      <c r="AQ4198" s="79"/>
      <c r="AR4198" s="78"/>
      <c r="AS4198" s="78"/>
      <c r="AT4198" s="79"/>
      <c r="AU4198" s="79"/>
      <c r="AV4198" s="79"/>
      <c r="AW4198" s="79"/>
      <c r="AX4198" s="79"/>
      <c r="AZ4198" s="81"/>
      <c r="BB4198" s="5"/>
      <c r="BC4198" s="5"/>
      <c r="BD4198" s="5"/>
      <c r="BE4198" s="5"/>
      <c r="BF4198" s="5"/>
      <c r="BG4198" s="5"/>
      <c r="BH4198" s="5"/>
      <c r="BI4198" s="5"/>
      <c r="BJ4198" s="5"/>
      <c r="BK4198" s="5"/>
      <c r="BL4198" s="5"/>
      <c r="BM4198" s="5"/>
      <c r="BN4198" s="5"/>
      <c r="BO4198" s="5"/>
      <c r="BP4198" s="5"/>
    </row>
    <row r="4199" spans="35:68" x14ac:dyDescent="0.25">
      <c r="AI4199" s="49"/>
      <c r="AJ4199" s="78"/>
      <c r="AK4199" s="79"/>
      <c r="AL4199" s="79"/>
      <c r="AM4199" s="79"/>
      <c r="AN4199" s="79"/>
      <c r="AO4199" s="79"/>
      <c r="AP4199" s="79"/>
      <c r="AQ4199" s="79"/>
      <c r="AR4199" s="78"/>
      <c r="AS4199" s="78"/>
      <c r="AT4199" s="79"/>
      <c r="AU4199" s="79"/>
      <c r="AV4199" s="79"/>
      <c r="AW4199" s="79"/>
      <c r="AX4199" s="79"/>
      <c r="AZ4199" s="81"/>
      <c r="BB4199" s="5"/>
      <c r="BC4199" s="5"/>
      <c r="BD4199" s="5"/>
      <c r="BE4199" s="5"/>
      <c r="BF4199" s="5"/>
      <c r="BG4199" s="5"/>
      <c r="BH4199" s="5"/>
      <c r="BI4199" s="5"/>
      <c r="BJ4199" s="5"/>
      <c r="BK4199" s="5"/>
      <c r="BL4199" s="5"/>
      <c r="BM4199" s="5"/>
      <c r="BN4199" s="5"/>
      <c r="BO4199" s="5"/>
      <c r="BP4199" s="5"/>
    </row>
    <row r="4200" spans="35:68" x14ac:dyDescent="0.25">
      <c r="AI4200" s="49"/>
      <c r="AJ4200" s="78"/>
      <c r="AK4200" s="79"/>
      <c r="AL4200" s="79"/>
      <c r="AM4200" s="79"/>
      <c r="AN4200" s="79"/>
      <c r="AO4200" s="79"/>
      <c r="AP4200" s="79"/>
      <c r="AQ4200" s="79"/>
      <c r="AR4200" s="78"/>
      <c r="AS4200" s="78"/>
      <c r="AT4200" s="79"/>
      <c r="AU4200" s="79"/>
      <c r="AV4200" s="79"/>
      <c r="AW4200" s="79"/>
      <c r="AX4200" s="79"/>
      <c r="AZ4200" s="81"/>
      <c r="BB4200" s="5"/>
      <c r="BC4200" s="5"/>
      <c r="BD4200" s="5"/>
      <c r="BE4200" s="5"/>
      <c r="BF4200" s="5"/>
      <c r="BG4200" s="5"/>
      <c r="BH4200" s="5"/>
      <c r="BI4200" s="5"/>
      <c r="BJ4200" s="5"/>
      <c r="BK4200" s="5"/>
      <c r="BL4200" s="5"/>
      <c r="BM4200" s="5"/>
      <c r="BN4200" s="5"/>
      <c r="BO4200" s="5"/>
      <c r="BP4200" s="5"/>
    </row>
    <row r="4201" spans="35:68" x14ac:dyDescent="0.25">
      <c r="AI4201" s="49"/>
      <c r="AJ4201" s="78"/>
      <c r="AK4201" s="79"/>
      <c r="AL4201" s="79"/>
      <c r="AM4201" s="79"/>
      <c r="AN4201" s="79"/>
      <c r="AO4201" s="79"/>
      <c r="AP4201" s="79"/>
      <c r="AQ4201" s="79"/>
      <c r="AR4201" s="78"/>
      <c r="AS4201" s="78"/>
      <c r="AT4201" s="79"/>
      <c r="AU4201" s="79"/>
      <c r="AV4201" s="79"/>
      <c r="AW4201" s="79"/>
      <c r="AX4201" s="79"/>
      <c r="AZ4201" s="81"/>
      <c r="BB4201" s="5"/>
      <c r="BC4201" s="5"/>
      <c r="BD4201" s="5"/>
      <c r="BE4201" s="5"/>
      <c r="BF4201" s="5"/>
      <c r="BG4201" s="5"/>
      <c r="BH4201" s="5"/>
      <c r="BI4201" s="5"/>
      <c r="BJ4201" s="5"/>
      <c r="BK4201" s="5"/>
      <c r="BL4201" s="5"/>
      <c r="BM4201" s="5"/>
      <c r="BN4201" s="5"/>
      <c r="BO4201" s="5"/>
      <c r="BP4201" s="5"/>
    </row>
    <row r="4202" spans="35:68" x14ac:dyDescent="0.25">
      <c r="AI4202" s="49"/>
      <c r="AJ4202" s="78"/>
      <c r="AK4202" s="79"/>
      <c r="AL4202" s="79"/>
      <c r="AM4202" s="79"/>
      <c r="AN4202" s="79"/>
      <c r="AO4202" s="79"/>
      <c r="AP4202" s="79"/>
      <c r="AQ4202" s="79"/>
      <c r="AR4202" s="78"/>
      <c r="AS4202" s="78"/>
      <c r="AT4202" s="79"/>
      <c r="AU4202" s="79"/>
      <c r="AV4202" s="79"/>
      <c r="AW4202" s="79"/>
      <c r="AX4202" s="79"/>
      <c r="AZ4202" s="81"/>
      <c r="BB4202" s="5"/>
      <c r="BC4202" s="5"/>
      <c r="BD4202" s="5"/>
      <c r="BE4202" s="5"/>
      <c r="BF4202" s="5"/>
      <c r="BG4202" s="5"/>
      <c r="BH4202" s="5"/>
      <c r="BI4202" s="5"/>
      <c r="BJ4202" s="5"/>
      <c r="BK4202" s="5"/>
      <c r="BL4202" s="5"/>
      <c r="BM4202" s="5"/>
      <c r="BN4202" s="5"/>
      <c r="BO4202" s="5"/>
      <c r="BP4202" s="5"/>
    </row>
    <row r="4203" spans="35:68" x14ac:dyDescent="0.25">
      <c r="AI4203" s="49"/>
      <c r="AJ4203" s="78"/>
      <c r="AK4203" s="79"/>
      <c r="AL4203" s="79"/>
      <c r="AM4203" s="79"/>
      <c r="AN4203" s="79"/>
      <c r="AO4203" s="79"/>
      <c r="AP4203" s="79"/>
      <c r="AQ4203" s="79"/>
      <c r="AR4203" s="78"/>
      <c r="AS4203" s="78"/>
      <c r="AT4203" s="79"/>
      <c r="AU4203" s="79"/>
      <c r="AV4203" s="79"/>
      <c r="AW4203" s="79"/>
      <c r="AX4203" s="79"/>
      <c r="AZ4203" s="81"/>
      <c r="BB4203" s="5"/>
      <c r="BC4203" s="5"/>
      <c r="BD4203" s="5"/>
      <c r="BE4203" s="5"/>
      <c r="BF4203" s="5"/>
      <c r="BG4203" s="5"/>
      <c r="BH4203" s="5"/>
      <c r="BI4203" s="5"/>
      <c r="BJ4203" s="5"/>
      <c r="BK4203" s="5"/>
      <c r="BL4203" s="5"/>
      <c r="BM4203" s="5"/>
      <c r="BN4203" s="5"/>
      <c r="BO4203" s="5"/>
      <c r="BP4203" s="5"/>
    </row>
    <row r="4204" spans="35:68" x14ac:dyDescent="0.25">
      <c r="AI4204" s="49"/>
      <c r="AJ4204" s="78"/>
      <c r="AK4204" s="79"/>
      <c r="AL4204" s="79"/>
      <c r="AM4204" s="79"/>
      <c r="AN4204" s="79"/>
      <c r="AO4204" s="79"/>
      <c r="AP4204" s="79"/>
      <c r="AQ4204" s="79"/>
      <c r="AR4204" s="78"/>
      <c r="AS4204" s="78"/>
      <c r="AT4204" s="79"/>
      <c r="AU4204" s="79"/>
      <c r="AV4204" s="79"/>
      <c r="AW4204" s="79"/>
      <c r="AX4204" s="79"/>
      <c r="AZ4204" s="81"/>
      <c r="BB4204" s="5"/>
      <c r="BC4204" s="5"/>
      <c r="BD4204" s="5"/>
      <c r="BE4204" s="5"/>
      <c r="BF4204" s="5"/>
      <c r="BG4204" s="5"/>
      <c r="BH4204" s="5"/>
      <c r="BI4204" s="5"/>
      <c r="BJ4204" s="5"/>
      <c r="BK4204" s="5"/>
      <c r="BL4204" s="5"/>
      <c r="BM4204" s="5"/>
      <c r="BN4204" s="5"/>
      <c r="BO4204" s="5"/>
      <c r="BP4204" s="5"/>
    </row>
    <row r="4205" spans="35:68" x14ac:dyDescent="0.25">
      <c r="AI4205" s="49"/>
      <c r="AJ4205" s="78"/>
      <c r="AK4205" s="79"/>
      <c r="AL4205" s="79"/>
      <c r="AM4205" s="79"/>
      <c r="AN4205" s="79"/>
      <c r="AO4205" s="79"/>
      <c r="AP4205" s="79"/>
      <c r="AQ4205" s="79"/>
      <c r="AR4205" s="78"/>
      <c r="AS4205" s="78"/>
      <c r="AT4205" s="79"/>
      <c r="AU4205" s="79"/>
      <c r="AV4205" s="79"/>
      <c r="AW4205" s="79"/>
      <c r="AX4205" s="79"/>
      <c r="AZ4205" s="81"/>
      <c r="BB4205" s="5"/>
      <c r="BC4205" s="5"/>
      <c r="BD4205" s="5"/>
      <c r="BE4205" s="5"/>
      <c r="BF4205" s="5"/>
      <c r="BG4205" s="5"/>
      <c r="BH4205" s="5"/>
      <c r="BI4205" s="5"/>
      <c r="BJ4205" s="5"/>
      <c r="BK4205" s="5"/>
      <c r="BL4205" s="5"/>
      <c r="BM4205" s="5"/>
      <c r="BN4205" s="5"/>
      <c r="BO4205" s="5"/>
      <c r="BP4205" s="5"/>
    </row>
    <row r="4206" spans="35:68" x14ac:dyDescent="0.25">
      <c r="AI4206" s="49"/>
      <c r="AJ4206" s="78"/>
      <c r="AK4206" s="79"/>
      <c r="AL4206" s="79"/>
      <c r="AM4206" s="79"/>
      <c r="AN4206" s="79"/>
      <c r="AO4206" s="79"/>
      <c r="AP4206" s="79"/>
      <c r="AQ4206" s="79"/>
      <c r="AR4206" s="78"/>
      <c r="AS4206" s="78"/>
      <c r="AT4206" s="79"/>
      <c r="AU4206" s="79"/>
      <c r="AV4206" s="79"/>
      <c r="AW4206" s="79"/>
      <c r="AX4206" s="79"/>
      <c r="AZ4206" s="81"/>
      <c r="BB4206" s="5"/>
      <c r="BC4206" s="5"/>
      <c r="BD4206" s="5"/>
      <c r="BE4206" s="5"/>
      <c r="BF4206" s="5"/>
      <c r="BG4206" s="5"/>
      <c r="BH4206" s="5"/>
      <c r="BI4206" s="5"/>
      <c r="BJ4206" s="5"/>
      <c r="BK4206" s="5"/>
      <c r="BL4206" s="5"/>
      <c r="BM4206" s="5"/>
      <c r="BN4206" s="5"/>
      <c r="BO4206" s="5"/>
      <c r="BP4206" s="5"/>
    </row>
    <row r="4207" spans="35:68" x14ac:dyDescent="0.25">
      <c r="AI4207" s="49"/>
      <c r="AJ4207" s="78"/>
      <c r="AK4207" s="79"/>
      <c r="AL4207" s="79"/>
      <c r="AM4207" s="79"/>
      <c r="AN4207" s="79"/>
      <c r="AO4207" s="79"/>
      <c r="AP4207" s="79"/>
      <c r="AQ4207" s="79"/>
      <c r="AR4207" s="78"/>
      <c r="AS4207" s="78"/>
      <c r="AT4207" s="79"/>
      <c r="AU4207" s="79"/>
      <c r="AV4207" s="79"/>
      <c r="AW4207" s="79"/>
      <c r="AX4207" s="79"/>
      <c r="AZ4207" s="81"/>
      <c r="BB4207" s="5"/>
      <c r="BC4207" s="5"/>
      <c r="BD4207" s="5"/>
      <c r="BE4207" s="5"/>
      <c r="BF4207" s="5"/>
      <c r="BG4207" s="5"/>
      <c r="BH4207" s="5"/>
      <c r="BI4207" s="5"/>
      <c r="BJ4207" s="5"/>
      <c r="BK4207" s="5"/>
      <c r="BL4207" s="5"/>
      <c r="BM4207" s="5"/>
      <c r="BN4207" s="5"/>
      <c r="BO4207" s="5"/>
      <c r="BP4207" s="5"/>
    </row>
    <row r="4208" spans="35:68" x14ac:dyDescent="0.25">
      <c r="AI4208" s="49"/>
      <c r="AJ4208" s="78"/>
      <c r="AK4208" s="79"/>
      <c r="AL4208" s="79"/>
      <c r="AM4208" s="79"/>
      <c r="AN4208" s="79"/>
      <c r="AO4208" s="79"/>
      <c r="AP4208" s="79"/>
      <c r="AQ4208" s="79"/>
      <c r="AR4208" s="78"/>
      <c r="AS4208" s="78"/>
      <c r="AT4208" s="79"/>
      <c r="AU4208" s="79"/>
      <c r="AV4208" s="79"/>
      <c r="AW4208" s="79"/>
      <c r="AX4208" s="79"/>
      <c r="AZ4208" s="81"/>
      <c r="BB4208" s="5"/>
      <c r="BC4208" s="5"/>
      <c r="BD4208" s="5"/>
      <c r="BE4208" s="5"/>
      <c r="BF4208" s="5"/>
      <c r="BG4208" s="5"/>
      <c r="BH4208" s="5"/>
      <c r="BI4208" s="5"/>
      <c r="BJ4208" s="5"/>
      <c r="BK4208" s="5"/>
      <c r="BL4208" s="5"/>
      <c r="BM4208" s="5"/>
      <c r="BN4208" s="5"/>
      <c r="BO4208" s="5"/>
      <c r="BP4208" s="5"/>
    </row>
    <row r="4209" spans="35:68" x14ac:dyDescent="0.25">
      <c r="AI4209" s="49"/>
      <c r="AJ4209" s="78"/>
      <c r="AK4209" s="79"/>
      <c r="AL4209" s="79"/>
      <c r="AM4209" s="79"/>
      <c r="AN4209" s="79"/>
      <c r="AO4209" s="79"/>
      <c r="AP4209" s="79"/>
      <c r="AQ4209" s="79"/>
      <c r="AR4209" s="78"/>
      <c r="AS4209" s="78"/>
      <c r="AT4209" s="79"/>
      <c r="AU4209" s="79"/>
      <c r="AV4209" s="79"/>
      <c r="AW4209" s="79"/>
      <c r="AX4209" s="79"/>
      <c r="AZ4209" s="81"/>
      <c r="BB4209" s="5"/>
      <c r="BC4209" s="5"/>
      <c r="BD4209" s="5"/>
      <c r="BE4209" s="5"/>
      <c r="BF4209" s="5"/>
      <c r="BG4209" s="5"/>
      <c r="BH4209" s="5"/>
      <c r="BI4209" s="5"/>
      <c r="BJ4209" s="5"/>
      <c r="BK4209" s="5"/>
      <c r="BL4209" s="5"/>
      <c r="BM4209" s="5"/>
      <c r="BN4209" s="5"/>
      <c r="BO4209" s="5"/>
      <c r="BP4209" s="5"/>
    </row>
    <row r="4210" spans="35:68" x14ac:dyDescent="0.25">
      <c r="AI4210" s="49"/>
      <c r="AJ4210" s="78"/>
      <c r="AK4210" s="79"/>
      <c r="AL4210" s="79"/>
      <c r="AM4210" s="79"/>
      <c r="AN4210" s="79"/>
      <c r="AO4210" s="79"/>
      <c r="AP4210" s="79"/>
      <c r="AQ4210" s="79"/>
      <c r="AR4210" s="78"/>
      <c r="AS4210" s="78"/>
      <c r="AT4210" s="79"/>
      <c r="AU4210" s="79"/>
      <c r="AV4210" s="79"/>
      <c r="AW4210" s="79"/>
      <c r="AX4210" s="79"/>
      <c r="AZ4210" s="81"/>
      <c r="BB4210" s="5"/>
      <c r="BC4210" s="5"/>
      <c r="BD4210" s="5"/>
      <c r="BE4210" s="5"/>
      <c r="BF4210" s="5"/>
      <c r="BG4210" s="5"/>
      <c r="BH4210" s="5"/>
      <c r="BI4210" s="5"/>
      <c r="BJ4210" s="5"/>
      <c r="BK4210" s="5"/>
      <c r="BL4210" s="5"/>
      <c r="BM4210" s="5"/>
      <c r="BN4210" s="5"/>
      <c r="BO4210" s="5"/>
      <c r="BP4210" s="5"/>
    </row>
    <row r="4211" spans="35:68" x14ac:dyDescent="0.25">
      <c r="AI4211" s="49"/>
      <c r="AJ4211" s="78"/>
      <c r="AK4211" s="79"/>
      <c r="AL4211" s="79"/>
      <c r="AM4211" s="79"/>
      <c r="AN4211" s="79"/>
      <c r="AO4211" s="79"/>
      <c r="AP4211" s="79"/>
      <c r="AQ4211" s="79"/>
      <c r="AR4211" s="78"/>
      <c r="AS4211" s="78"/>
      <c r="AT4211" s="79"/>
      <c r="AU4211" s="79"/>
      <c r="AV4211" s="79"/>
      <c r="AW4211" s="79"/>
      <c r="AX4211" s="79"/>
      <c r="AZ4211" s="81"/>
      <c r="BB4211" s="5"/>
      <c r="BC4211" s="5"/>
      <c r="BD4211" s="5"/>
      <c r="BE4211" s="5"/>
      <c r="BF4211" s="5"/>
      <c r="BG4211" s="5"/>
      <c r="BH4211" s="5"/>
      <c r="BI4211" s="5"/>
      <c r="BJ4211" s="5"/>
      <c r="BK4211" s="5"/>
      <c r="BL4211" s="5"/>
      <c r="BM4211" s="5"/>
      <c r="BN4211" s="5"/>
      <c r="BO4211" s="5"/>
      <c r="BP4211" s="5"/>
    </row>
    <row r="4212" spans="35:68" x14ac:dyDescent="0.25">
      <c r="AI4212" s="49"/>
      <c r="AJ4212" s="78"/>
      <c r="AK4212" s="79"/>
      <c r="AL4212" s="79"/>
      <c r="AM4212" s="79"/>
      <c r="AN4212" s="79"/>
      <c r="AO4212" s="79"/>
      <c r="AP4212" s="79"/>
      <c r="AQ4212" s="79"/>
      <c r="AR4212" s="78"/>
      <c r="AS4212" s="78"/>
      <c r="AT4212" s="79"/>
      <c r="AU4212" s="79"/>
      <c r="AV4212" s="79"/>
      <c r="AW4212" s="79"/>
      <c r="AX4212" s="79"/>
      <c r="AZ4212" s="81"/>
      <c r="BB4212" s="5"/>
      <c r="BC4212" s="5"/>
      <c r="BD4212" s="5"/>
      <c r="BE4212" s="5"/>
      <c r="BF4212" s="5"/>
      <c r="BG4212" s="5"/>
      <c r="BH4212" s="5"/>
      <c r="BI4212" s="5"/>
      <c r="BJ4212" s="5"/>
      <c r="BK4212" s="5"/>
      <c r="BL4212" s="5"/>
      <c r="BM4212" s="5"/>
      <c r="BN4212" s="5"/>
      <c r="BO4212" s="5"/>
      <c r="BP4212" s="5"/>
    </row>
    <row r="4213" spans="35:68" x14ac:dyDescent="0.25">
      <c r="AI4213" s="49"/>
      <c r="AJ4213" s="78"/>
      <c r="AK4213" s="79"/>
      <c r="AL4213" s="79"/>
      <c r="AM4213" s="79"/>
      <c r="AN4213" s="79"/>
      <c r="AO4213" s="79"/>
      <c r="AP4213" s="79"/>
      <c r="AQ4213" s="79"/>
      <c r="AR4213" s="78"/>
      <c r="AS4213" s="78"/>
      <c r="AT4213" s="79"/>
      <c r="AU4213" s="79"/>
      <c r="AV4213" s="79"/>
      <c r="AW4213" s="79"/>
      <c r="AX4213" s="79"/>
      <c r="AZ4213" s="81"/>
      <c r="BB4213" s="5"/>
      <c r="BC4213" s="5"/>
      <c r="BD4213" s="5"/>
      <c r="BE4213" s="5"/>
      <c r="BF4213" s="5"/>
      <c r="BG4213" s="5"/>
      <c r="BH4213" s="5"/>
      <c r="BI4213" s="5"/>
      <c r="BJ4213" s="5"/>
      <c r="BK4213" s="5"/>
      <c r="BL4213" s="5"/>
      <c r="BM4213" s="5"/>
      <c r="BN4213" s="5"/>
      <c r="BO4213" s="5"/>
      <c r="BP4213" s="5"/>
    </row>
    <row r="4214" spans="35:68" x14ac:dyDescent="0.25">
      <c r="AI4214" s="49"/>
      <c r="AJ4214" s="78"/>
      <c r="AK4214" s="79"/>
      <c r="AL4214" s="79"/>
      <c r="AM4214" s="79"/>
      <c r="AN4214" s="79"/>
      <c r="AO4214" s="79"/>
      <c r="AP4214" s="79"/>
      <c r="AQ4214" s="79"/>
      <c r="AR4214" s="78"/>
      <c r="AS4214" s="78"/>
      <c r="AT4214" s="79"/>
      <c r="AU4214" s="79"/>
      <c r="AV4214" s="79"/>
      <c r="AW4214" s="79"/>
      <c r="AX4214" s="79"/>
      <c r="AZ4214" s="81"/>
      <c r="BB4214" s="5"/>
      <c r="BC4214" s="5"/>
      <c r="BD4214" s="5"/>
      <c r="BE4214" s="5"/>
      <c r="BF4214" s="5"/>
      <c r="BG4214" s="5"/>
      <c r="BH4214" s="5"/>
      <c r="BI4214" s="5"/>
      <c r="BJ4214" s="5"/>
      <c r="BK4214" s="5"/>
      <c r="BL4214" s="5"/>
      <c r="BM4214" s="5"/>
      <c r="BN4214" s="5"/>
      <c r="BO4214" s="5"/>
      <c r="BP4214" s="5"/>
    </row>
    <row r="4215" spans="35:68" x14ac:dyDescent="0.25">
      <c r="AI4215" s="49"/>
      <c r="AJ4215" s="78"/>
      <c r="AK4215" s="79"/>
      <c r="AL4215" s="79"/>
      <c r="AM4215" s="79"/>
      <c r="AN4215" s="79"/>
      <c r="AO4215" s="79"/>
      <c r="AP4215" s="79"/>
      <c r="AQ4215" s="79"/>
      <c r="AR4215" s="78"/>
      <c r="AS4215" s="78"/>
      <c r="AT4215" s="79"/>
      <c r="AU4215" s="79"/>
      <c r="AV4215" s="79"/>
      <c r="AW4215" s="79"/>
      <c r="AX4215" s="79"/>
      <c r="AZ4215" s="81"/>
      <c r="BB4215" s="5"/>
      <c r="BC4215" s="5"/>
      <c r="BD4215" s="5"/>
      <c r="BE4215" s="5"/>
      <c r="BF4215" s="5"/>
      <c r="BG4215" s="5"/>
      <c r="BH4215" s="5"/>
      <c r="BI4215" s="5"/>
      <c r="BJ4215" s="5"/>
      <c r="BK4215" s="5"/>
      <c r="BL4215" s="5"/>
      <c r="BM4215" s="5"/>
      <c r="BN4215" s="5"/>
      <c r="BO4215" s="5"/>
      <c r="BP4215" s="5"/>
    </row>
    <row r="4216" spans="35:68" x14ac:dyDescent="0.25">
      <c r="AI4216" s="49"/>
      <c r="AJ4216" s="78"/>
      <c r="AK4216" s="79"/>
      <c r="AL4216" s="79"/>
      <c r="AM4216" s="79"/>
      <c r="AN4216" s="79"/>
      <c r="AO4216" s="79"/>
      <c r="AP4216" s="79"/>
      <c r="AQ4216" s="79"/>
      <c r="AR4216" s="78"/>
      <c r="AS4216" s="78"/>
      <c r="AT4216" s="79"/>
      <c r="AU4216" s="79"/>
      <c r="AV4216" s="79"/>
      <c r="AW4216" s="79"/>
      <c r="AX4216" s="79"/>
      <c r="AZ4216" s="81"/>
      <c r="BB4216" s="5"/>
      <c r="BC4216" s="5"/>
      <c r="BD4216" s="5"/>
      <c r="BE4216" s="5"/>
      <c r="BF4216" s="5"/>
      <c r="BG4216" s="5"/>
      <c r="BH4216" s="5"/>
      <c r="BI4216" s="5"/>
      <c r="BJ4216" s="5"/>
      <c r="BK4216" s="5"/>
      <c r="BL4216" s="5"/>
      <c r="BM4216" s="5"/>
      <c r="BN4216" s="5"/>
      <c r="BO4216" s="5"/>
      <c r="BP4216" s="5"/>
    </row>
    <row r="4217" spans="35:68" x14ac:dyDescent="0.25">
      <c r="AI4217" s="49"/>
      <c r="AJ4217" s="78"/>
      <c r="AK4217" s="79"/>
      <c r="AL4217" s="79"/>
      <c r="AM4217" s="79"/>
      <c r="AN4217" s="79"/>
      <c r="AO4217" s="79"/>
      <c r="AP4217" s="79"/>
      <c r="AQ4217" s="79"/>
      <c r="AR4217" s="78"/>
      <c r="AS4217" s="78"/>
      <c r="AT4217" s="79"/>
      <c r="AU4217" s="79"/>
      <c r="AV4217" s="79"/>
      <c r="AW4217" s="79"/>
      <c r="AX4217" s="79"/>
      <c r="AZ4217" s="81"/>
      <c r="BB4217" s="5"/>
      <c r="BC4217" s="5"/>
      <c r="BD4217" s="5"/>
      <c r="BE4217" s="5"/>
      <c r="BF4217" s="5"/>
      <c r="BG4217" s="5"/>
      <c r="BH4217" s="5"/>
      <c r="BI4217" s="5"/>
      <c r="BJ4217" s="5"/>
      <c r="BK4217" s="5"/>
      <c r="BL4217" s="5"/>
      <c r="BM4217" s="5"/>
      <c r="BN4217" s="5"/>
      <c r="BO4217" s="5"/>
      <c r="BP4217" s="5"/>
    </row>
    <row r="4218" spans="35:68" x14ac:dyDescent="0.25">
      <c r="AI4218" s="49"/>
      <c r="AJ4218" s="78"/>
      <c r="AK4218" s="79"/>
      <c r="AL4218" s="79"/>
      <c r="AM4218" s="79"/>
      <c r="AN4218" s="79"/>
      <c r="AO4218" s="79"/>
      <c r="AP4218" s="79"/>
      <c r="AQ4218" s="79"/>
      <c r="AR4218" s="78"/>
      <c r="AS4218" s="78"/>
      <c r="AT4218" s="79"/>
      <c r="AU4218" s="79"/>
      <c r="AV4218" s="79"/>
      <c r="AW4218" s="79"/>
      <c r="AX4218" s="79"/>
      <c r="AZ4218" s="81"/>
      <c r="BB4218" s="5"/>
      <c r="BC4218" s="5"/>
      <c r="BD4218" s="5"/>
      <c r="BE4218" s="5"/>
      <c r="BF4218" s="5"/>
      <c r="BG4218" s="5"/>
      <c r="BH4218" s="5"/>
      <c r="BI4218" s="5"/>
      <c r="BJ4218" s="5"/>
      <c r="BK4218" s="5"/>
      <c r="BL4218" s="5"/>
      <c r="BM4218" s="5"/>
      <c r="BN4218" s="5"/>
      <c r="BO4218" s="5"/>
      <c r="BP4218" s="5"/>
    </row>
    <row r="4219" spans="35:68" x14ac:dyDescent="0.25">
      <c r="AI4219" s="49"/>
      <c r="AJ4219" s="78"/>
      <c r="AK4219" s="79"/>
      <c r="AL4219" s="79"/>
      <c r="AM4219" s="79"/>
      <c r="AN4219" s="79"/>
      <c r="AO4219" s="79"/>
      <c r="AP4219" s="79"/>
      <c r="AQ4219" s="79"/>
      <c r="AR4219" s="78"/>
      <c r="AS4219" s="78"/>
      <c r="AT4219" s="79"/>
      <c r="AU4219" s="79"/>
      <c r="AV4219" s="79"/>
      <c r="AW4219" s="79"/>
      <c r="AX4219" s="79"/>
      <c r="AZ4219" s="81"/>
      <c r="BB4219" s="5"/>
      <c r="BC4219" s="5"/>
      <c r="BD4219" s="5"/>
      <c r="BE4219" s="5"/>
      <c r="BF4219" s="5"/>
      <c r="BG4219" s="5"/>
      <c r="BH4219" s="5"/>
      <c r="BI4219" s="5"/>
      <c r="BJ4219" s="5"/>
      <c r="BK4219" s="5"/>
      <c r="BL4219" s="5"/>
      <c r="BM4219" s="5"/>
      <c r="BN4219" s="5"/>
      <c r="BO4219" s="5"/>
      <c r="BP4219" s="5"/>
    </row>
    <row r="4220" spans="35:68" x14ac:dyDescent="0.25">
      <c r="AI4220" s="49"/>
      <c r="AJ4220" s="78"/>
      <c r="AK4220" s="79"/>
      <c r="AL4220" s="79"/>
      <c r="AM4220" s="79"/>
      <c r="AN4220" s="79"/>
      <c r="AO4220" s="79"/>
      <c r="AP4220" s="79"/>
      <c r="AQ4220" s="79"/>
      <c r="AR4220" s="78"/>
      <c r="AS4220" s="78"/>
      <c r="AT4220" s="79"/>
      <c r="AU4220" s="79"/>
      <c r="AV4220" s="79"/>
      <c r="AW4220" s="79"/>
      <c r="AX4220" s="79"/>
      <c r="AZ4220" s="81"/>
      <c r="BB4220" s="5"/>
      <c r="BC4220" s="5"/>
      <c r="BD4220" s="5"/>
      <c r="BE4220" s="5"/>
      <c r="BF4220" s="5"/>
      <c r="BG4220" s="5"/>
      <c r="BH4220" s="5"/>
      <c r="BI4220" s="5"/>
      <c r="BJ4220" s="5"/>
      <c r="BK4220" s="5"/>
      <c r="BL4220" s="5"/>
      <c r="BM4220" s="5"/>
      <c r="BN4220" s="5"/>
      <c r="BO4220" s="5"/>
      <c r="BP4220" s="5"/>
    </row>
    <row r="4221" spans="35:68" x14ac:dyDescent="0.25">
      <c r="AI4221" s="49"/>
      <c r="AJ4221" s="78"/>
      <c r="AK4221" s="79"/>
      <c r="AL4221" s="79"/>
      <c r="AM4221" s="79"/>
      <c r="AN4221" s="79"/>
      <c r="AO4221" s="79"/>
      <c r="AP4221" s="79"/>
      <c r="AQ4221" s="79"/>
      <c r="AR4221" s="78"/>
      <c r="AS4221" s="78"/>
      <c r="AT4221" s="79"/>
      <c r="AU4221" s="79"/>
      <c r="AV4221" s="79"/>
      <c r="AW4221" s="79"/>
      <c r="AX4221" s="79"/>
      <c r="AZ4221" s="81"/>
      <c r="BB4221" s="5"/>
      <c r="BC4221" s="5"/>
      <c r="BD4221" s="5"/>
      <c r="BE4221" s="5"/>
      <c r="BF4221" s="5"/>
      <c r="BG4221" s="5"/>
      <c r="BH4221" s="5"/>
      <c r="BI4221" s="5"/>
      <c r="BJ4221" s="5"/>
      <c r="BK4221" s="5"/>
      <c r="BL4221" s="5"/>
      <c r="BM4221" s="5"/>
      <c r="BN4221" s="5"/>
      <c r="BO4221" s="5"/>
      <c r="BP4221" s="5"/>
    </row>
    <row r="4222" spans="35:68" x14ac:dyDescent="0.25">
      <c r="AI4222" s="49"/>
      <c r="AJ4222" s="78"/>
      <c r="AK4222" s="79"/>
      <c r="AL4222" s="79"/>
      <c r="AM4222" s="79"/>
      <c r="AN4222" s="79"/>
      <c r="AO4222" s="79"/>
      <c r="AP4222" s="79"/>
      <c r="AQ4222" s="79"/>
      <c r="AR4222" s="78"/>
      <c r="AS4222" s="78"/>
      <c r="AT4222" s="79"/>
      <c r="AU4222" s="79"/>
      <c r="AV4222" s="79"/>
      <c r="AW4222" s="79"/>
      <c r="AX4222" s="79"/>
      <c r="AZ4222" s="81"/>
      <c r="BB4222" s="5"/>
      <c r="BC4222" s="5"/>
      <c r="BD4222" s="5"/>
      <c r="BE4222" s="5"/>
      <c r="BF4222" s="5"/>
      <c r="BG4222" s="5"/>
      <c r="BH4222" s="5"/>
      <c r="BI4222" s="5"/>
      <c r="BJ4222" s="5"/>
      <c r="BK4222" s="5"/>
      <c r="BL4222" s="5"/>
      <c r="BM4222" s="5"/>
      <c r="BN4222" s="5"/>
      <c r="BO4222" s="5"/>
      <c r="BP4222" s="5"/>
    </row>
    <row r="4223" spans="35:68" x14ac:dyDescent="0.25">
      <c r="AI4223" s="49"/>
      <c r="AJ4223" s="78"/>
      <c r="AK4223" s="79"/>
      <c r="AL4223" s="79"/>
      <c r="AM4223" s="79"/>
      <c r="AN4223" s="79"/>
      <c r="AO4223" s="79"/>
      <c r="AP4223" s="79"/>
      <c r="AQ4223" s="79"/>
      <c r="AR4223" s="78"/>
      <c r="AS4223" s="78"/>
      <c r="AT4223" s="79"/>
      <c r="AU4223" s="79"/>
      <c r="AV4223" s="79"/>
      <c r="AW4223" s="79"/>
      <c r="AX4223" s="79"/>
      <c r="AZ4223" s="81"/>
      <c r="BB4223" s="5"/>
      <c r="BC4223" s="5"/>
      <c r="BD4223" s="5"/>
      <c r="BE4223" s="5"/>
      <c r="BF4223" s="5"/>
      <c r="BG4223" s="5"/>
      <c r="BH4223" s="5"/>
      <c r="BI4223" s="5"/>
      <c r="BJ4223" s="5"/>
      <c r="BK4223" s="5"/>
      <c r="BL4223" s="5"/>
      <c r="BM4223" s="5"/>
      <c r="BN4223" s="5"/>
      <c r="BO4223" s="5"/>
      <c r="BP4223" s="5"/>
    </row>
    <row r="4224" spans="35:68" x14ac:dyDescent="0.25">
      <c r="AI4224" s="49"/>
      <c r="AJ4224" s="78"/>
      <c r="AK4224" s="79"/>
      <c r="AL4224" s="79"/>
      <c r="AM4224" s="79"/>
      <c r="AN4224" s="79"/>
      <c r="AO4224" s="79"/>
      <c r="AP4224" s="79"/>
      <c r="AQ4224" s="79"/>
      <c r="AR4224" s="78"/>
      <c r="AS4224" s="78"/>
      <c r="AT4224" s="79"/>
      <c r="AU4224" s="79"/>
      <c r="AV4224" s="79"/>
      <c r="AW4224" s="79"/>
      <c r="AX4224" s="79"/>
      <c r="AZ4224" s="81"/>
      <c r="BB4224" s="5"/>
      <c r="BC4224" s="5"/>
      <c r="BD4224" s="5"/>
      <c r="BE4224" s="5"/>
      <c r="BF4224" s="5"/>
      <c r="BG4224" s="5"/>
      <c r="BH4224" s="5"/>
      <c r="BI4224" s="5"/>
      <c r="BJ4224" s="5"/>
      <c r="BK4224" s="5"/>
      <c r="BL4224" s="5"/>
      <c r="BM4224" s="5"/>
      <c r="BN4224" s="5"/>
      <c r="BO4224" s="5"/>
      <c r="BP4224" s="5"/>
    </row>
    <row r="4225" spans="35:68" x14ac:dyDescent="0.25">
      <c r="AI4225" s="49"/>
      <c r="AJ4225" s="78"/>
      <c r="AK4225" s="79"/>
      <c r="AL4225" s="79"/>
      <c r="AM4225" s="79"/>
      <c r="AN4225" s="79"/>
      <c r="AO4225" s="79"/>
      <c r="AP4225" s="79"/>
      <c r="AQ4225" s="79"/>
      <c r="AR4225" s="78"/>
      <c r="AS4225" s="78"/>
      <c r="AT4225" s="79"/>
      <c r="AU4225" s="79"/>
      <c r="AV4225" s="79"/>
      <c r="AW4225" s="79"/>
      <c r="AX4225" s="79"/>
      <c r="AZ4225" s="81"/>
      <c r="BB4225" s="5"/>
      <c r="BC4225" s="5"/>
      <c r="BD4225" s="5"/>
      <c r="BE4225" s="5"/>
      <c r="BF4225" s="5"/>
      <c r="BG4225" s="5"/>
      <c r="BH4225" s="5"/>
      <c r="BI4225" s="5"/>
      <c r="BJ4225" s="5"/>
      <c r="BK4225" s="5"/>
      <c r="BL4225" s="5"/>
      <c r="BM4225" s="5"/>
      <c r="BN4225" s="5"/>
      <c r="BO4225" s="5"/>
      <c r="BP4225" s="5"/>
    </row>
    <row r="4226" spans="35:68" x14ac:dyDescent="0.25">
      <c r="AI4226" s="49"/>
      <c r="AJ4226" s="78"/>
      <c r="AK4226" s="79"/>
      <c r="AL4226" s="79"/>
      <c r="AM4226" s="79"/>
      <c r="AN4226" s="79"/>
      <c r="AO4226" s="79"/>
      <c r="AP4226" s="79"/>
      <c r="AQ4226" s="79"/>
      <c r="AR4226" s="78"/>
      <c r="AS4226" s="78"/>
      <c r="AT4226" s="79"/>
      <c r="AU4226" s="79"/>
      <c r="AV4226" s="79"/>
      <c r="AW4226" s="79"/>
      <c r="AX4226" s="79"/>
      <c r="AZ4226" s="81"/>
      <c r="BB4226" s="5"/>
      <c r="BC4226" s="5"/>
      <c r="BD4226" s="5"/>
      <c r="BE4226" s="5"/>
      <c r="BF4226" s="5"/>
      <c r="BG4226" s="5"/>
      <c r="BH4226" s="5"/>
      <c r="BI4226" s="5"/>
      <c r="BJ4226" s="5"/>
      <c r="BK4226" s="5"/>
      <c r="BL4226" s="5"/>
      <c r="BM4226" s="5"/>
      <c r="BN4226" s="5"/>
      <c r="BO4226" s="5"/>
      <c r="BP4226" s="5"/>
    </row>
    <row r="4227" spans="35:68" x14ac:dyDescent="0.25">
      <c r="AI4227" s="49"/>
      <c r="AJ4227" s="78"/>
      <c r="AK4227" s="79"/>
      <c r="AL4227" s="79"/>
      <c r="AM4227" s="79"/>
      <c r="AN4227" s="79"/>
      <c r="AO4227" s="79"/>
      <c r="AP4227" s="79"/>
      <c r="AQ4227" s="79"/>
      <c r="AR4227" s="78"/>
      <c r="AS4227" s="78"/>
      <c r="AT4227" s="79"/>
      <c r="AU4227" s="79"/>
      <c r="AV4227" s="79"/>
      <c r="AW4227" s="79"/>
      <c r="AX4227" s="79"/>
      <c r="AZ4227" s="81"/>
      <c r="BB4227" s="5"/>
      <c r="BC4227" s="5"/>
      <c r="BD4227" s="5"/>
      <c r="BE4227" s="5"/>
      <c r="BF4227" s="5"/>
      <c r="BG4227" s="5"/>
      <c r="BH4227" s="5"/>
      <c r="BI4227" s="5"/>
      <c r="BJ4227" s="5"/>
      <c r="BK4227" s="5"/>
      <c r="BL4227" s="5"/>
      <c r="BM4227" s="5"/>
      <c r="BN4227" s="5"/>
      <c r="BO4227" s="5"/>
      <c r="BP4227" s="5"/>
    </row>
    <row r="4228" spans="35:68" x14ac:dyDescent="0.25">
      <c r="AI4228" s="49"/>
      <c r="AJ4228" s="78"/>
      <c r="AK4228" s="79"/>
      <c r="AL4228" s="79"/>
      <c r="AM4228" s="79"/>
      <c r="AN4228" s="79"/>
      <c r="AO4228" s="79"/>
      <c r="AP4228" s="79"/>
      <c r="AQ4228" s="79"/>
      <c r="AR4228" s="78"/>
      <c r="AS4228" s="78"/>
      <c r="AT4228" s="79"/>
      <c r="AU4228" s="79"/>
      <c r="AV4228" s="79"/>
      <c r="AW4228" s="79"/>
      <c r="AX4228" s="79"/>
      <c r="AZ4228" s="81"/>
      <c r="BB4228" s="5"/>
      <c r="BC4228" s="5"/>
      <c r="BD4228" s="5"/>
      <c r="BE4228" s="5"/>
      <c r="BF4228" s="5"/>
      <c r="BG4228" s="5"/>
      <c r="BH4228" s="5"/>
      <c r="BI4228" s="5"/>
      <c r="BJ4228" s="5"/>
      <c r="BK4228" s="5"/>
      <c r="BL4228" s="5"/>
      <c r="BM4228" s="5"/>
      <c r="BN4228" s="5"/>
      <c r="BO4228" s="5"/>
      <c r="BP4228" s="5"/>
    </row>
    <row r="4229" spans="35:68" x14ac:dyDescent="0.25">
      <c r="AI4229" s="49"/>
      <c r="AJ4229" s="78"/>
      <c r="AK4229" s="79"/>
      <c r="AL4229" s="79"/>
      <c r="AM4229" s="79"/>
      <c r="AN4229" s="79"/>
      <c r="AO4229" s="79"/>
      <c r="AP4229" s="79"/>
      <c r="AQ4229" s="79"/>
      <c r="AR4229" s="78"/>
      <c r="AS4229" s="78"/>
      <c r="AT4229" s="79"/>
      <c r="AU4229" s="79"/>
      <c r="AV4229" s="79"/>
      <c r="AW4229" s="79"/>
      <c r="AX4229" s="79"/>
      <c r="AZ4229" s="81"/>
      <c r="BB4229" s="5"/>
      <c r="BC4229" s="5"/>
      <c r="BD4229" s="5"/>
      <c r="BE4229" s="5"/>
      <c r="BF4229" s="5"/>
      <c r="BG4229" s="5"/>
      <c r="BH4229" s="5"/>
      <c r="BI4229" s="5"/>
      <c r="BJ4229" s="5"/>
      <c r="BK4229" s="5"/>
      <c r="BL4229" s="5"/>
      <c r="BM4229" s="5"/>
      <c r="BN4229" s="5"/>
      <c r="BO4229" s="5"/>
      <c r="BP4229" s="5"/>
    </row>
    <row r="4230" spans="35:68" x14ac:dyDescent="0.25">
      <c r="AI4230" s="49"/>
      <c r="AJ4230" s="78"/>
      <c r="AK4230" s="79"/>
      <c r="AL4230" s="79"/>
      <c r="AM4230" s="79"/>
      <c r="AN4230" s="79"/>
      <c r="AO4230" s="79"/>
      <c r="AP4230" s="79"/>
      <c r="AQ4230" s="79"/>
      <c r="AR4230" s="78"/>
      <c r="AS4230" s="78"/>
      <c r="AT4230" s="79"/>
      <c r="AU4230" s="79"/>
      <c r="AV4230" s="79"/>
      <c r="AW4230" s="79"/>
      <c r="AX4230" s="79"/>
      <c r="AZ4230" s="81"/>
      <c r="BB4230" s="5"/>
      <c r="BC4230" s="5"/>
      <c r="BD4230" s="5"/>
      <c r="BE4230" s="5"/>
      <c r="BF4230" s="5"/>
      <c r="BG4230" s="5"/>
      <c r="BH4230" s="5"/>
      <c r="BI4230" s="5"/>
      <c r="BJ4230" s="5"/>
      <c r="BK4230" s="5"/>
      <c r="BL4230" s="5"/>
      <c r="BM4230" s="5"/>
      <c r="BN4230" s="5"/>
      <c r="BO4230" s="5"/>
      <c r="BP4230" s="5"/>
    </row>
    <row r="4231" spans="35:68" x14ac:dyDescent="0.25">
      <c r="AI4231" s="49"/>
      <c r="AJ4231" s="78"/>
      <c r="AK4231" s="79"/>
      <c r="AL4231" s="79"/>
      <c r="AM4231" s="79"/>
      <c r="AN4231" s="79"/>
      <c r="AO4231" s="79"/>
      <c r="AP4231" s="79"/>
      <c r="AQ4231" s="79"/>
      <c r="AR4231" s="78"/>
      <c r="AS4231" s="78"/>
      <c r="AT4231" s="79"/>
      <c r="AU4231" s="79"/>
      <c r="AV4231" s="79"/>
      <c r="AW4231" s="79"/>
      <c r="AX4231" s="79"/>
      <c r="AZ4231" s="81"/>
      <c r="BB4231" s="5"/>
      <c r="BC4231" s="5"/>
      <c r="BD4231" s="5"/>
      <c r="BE4231" s="5"/>
      <c r="BF4231" s="5"/>
      <c r="BG4231" s="5"/>
      <c r="BH4231" s="5"/>
      <c r="BI4231" s="5"/>
      <c r="BJ4231" s="5"/>
      <c r="BK4231" s="5"/>
      <c r="BL4231" s="5"/>
      <c r="BM4231" s="5"/>
      <c r="BN4231" s="5"/>
      <c r="BO4231" s="5"/>
      <c r="BP4231" s="5"/>
    </row>
    <row r="4232" spans="35:68" x14ac:dyDescent="0.25">
      <c r="AI4232" s="49"/>
      <c r="AJ4232" s="78"/>
      <c r="AK4232" s="79"/>
      <c r="AL4232" s="79"/>
      <c r="AM4232" s="79"/>
      <c r="AN4232" s="79"/>
      <c r="AO4232" s="79"/>
      <c r="AP4232" s="79"/>
      <c r="AQ4232" s="79"/>
      <c r="AR4232" s="78"/>
      <c r="AS4232" s="78"/>
      <c r="AT4232" s="79"/>
      <c r="AU4232" s="79"/>
      <c r="AV4232" s="79"/>
      <c r="AW4232" s="79"/>
      <c r="AX4232" s="79"/>
      <c r="AZ4232" s="81"/>
      <c r="BB4232" s="5"/>
      <c r="BC4232" s="5"/>
      <c r="BD4232" s="5"/>
      <c r="BE4232" s="5"/>
      <c r="BF4232" s="5"/>
      <c r="BG4232" s="5"/>
      <c r="BH4232" s="5"/>
      <c r="BI4232" s="5"/>
      <c r="BJ4232" s="5"/>
      <c r="BK4232" s="5"/>
      <c r="BL4232" s="5"/>
      <c r="BM4232" s="5"/>
      <c r="BN4232" s="5"/>
      <c r="BO4232" s="5"/>
      <c r="BP4232" s="5"/>
    </row>
    <row r="4233" spans="35:68" x14ac:dyDescent="0.25">
      <c r="AI4233" s="49"/>
      <c r="AJ4233" s="78"/>
      <c r="AK4233" s="79"/>
      <c r="AL4233" s="79"/>
      <c r="AM4233" s="79"/>
      <c r="AN4233" s="79"/>
      <c r="AO4233" s="79"/>
      <c r="AP4233" s="79"/>
      <c r="AQ4233" s="79"/>
      <c r="AR4233" s="78"/>
      <c r="AS4233" s="78"/>
      <c r="AT4233" s="79"/>
      <c r="AU4233" s="79"/>
      <c r="AV4233" s="79"/>
      <c r="AW4233" s="79"/>
      <c r="AX4233" s="79"/>
      <c r="AZ4233" s="81"/>
      <c r="BB4233" s="5"/>
      <c r="BC4233" s="5"/>
      <c r="BD4233" s="5"/>
      <c r="BE4233" s="5"/>
      <c r="BF4233" s="5"/>
      <c r="BG4233" s="5"/>
      <c r="BH4233" s="5"/>
      <c r="BI4233" s="5"/>
      <c r="BJ4233" s="5"/>
      <c r="BK4233" s="5"/>
      <c r="BL4233" s="5"/>
      <c r="BM4233" s="5"/>
      <c r="BN4233" s="5"/>
      <c r="BO4233" s="5"/>
      <c r="BP4233" s="5"/>
    </row>
    <row r="4234" spans="35:68" x14ac:dyDescent="0.25">
      <c r="AI4234" s="49"/>
      <c r="AJ4234" s="78"/>
      <c r="AK4234" s="79"/>
      <c r="AL4234" s="79"/>
      <c r="AM4234" s="79"/>
      <c r="AN4234" s="79"/>
      <c r="AO4234" s="79"/>
      <c r="AP4234" s="79"/>
      <c r="AQ4234" s="79"/>
      <c r="AR4234" s="78"/>
      <c r="AS4234" s="78"/>
      <c r="AT4234" s="79"/>
      <c r="AU4234" s="79"/>
      <c r="AV4234" s="79"/>
      <c r="AW4234" s="79"/>
      <c r="AX4234" s="79"/>
      <c r="AZ4234" s="81"/>
      <c r="BB4234" s="5"/>
      <c r="BC4234" s="5"/>
      <c r="BD4234" s="5"/>
      <c r="BE4234" s="5"/>
      <c r="BF4234" s="5"/>
      <c r="BG4234" s="5"/>
      <c r="BH4234" s="5"/>
      <c r="BI4234" s="5"/>
      <c r="BJ4234" s="5"/>
      <c r="BK4234" s="5"/>
      <c r="BL4234" s="5"/>
      <c r="BM4234" s="5"/>
      <c r="BN4234" s="5"/>
      <c r="BO4234" s="5"/>
      <c r="BP4234" s="5"/>
    </row>
    <row r="4235" spans="35:68" x14ac:dyDescent="0.25">
      <c r="AI4235" s="49"/>
      <c r="AJ4235" s="78"/>
      <c r="AK4235" s="79"/>
      <c r="AL4235" s="79"/>
      <c r="AM4235" s="79"/>
      <c r="AN4235" s="79"/>
      <c r="AO4235" s="79"/>
      <c r="AP4235" s="79"/>
      <c r="AQ4235" s="79"/>
      <c r="AR4235" s="78"/>
      <c r="AS4235" s="78"/>
      <c r="AT4235" s="79"/>
      <c r="AU4235" s="79"/>
      <c r="AV4235" s="79"/>
      <c r="AW4235" s="79"/>
      <c r="AX4235" s="79"/>
      <c r="AZ4235" s="81"/>
      <c r="BB4235" s="5"/>
      <c r="BC4235" s="5"/>
      <c r="BD4235" s="5"/>
      <c r="BE4235" s="5"/>
      <c r="BF4235" s="5"/>
      <c r="BG4235" s="5"/>
      <c r="BH4235" s="5"/>
      <c r="BI4235" s="5"/>
      <c r="BJ4235" s="5"/>
      <c r="BK4235" s="5"/>
      <c r="BL4235" s="5"/>
      <c r="BM4235" s="5"/>
      <c r="BN4235" s="5"/>
      <c r="BO4235" s="5"/>
      <c r="BP4235" s="5"/>
    </row>
    <row r="4236" spans="35:68" x14ac:dyDescent="0.25">
      <c r="AI4236" s="49"/>
      <c r="AJ4236" s="78"/>
      <c r="AK4236" s="79"/>
      <c r="AL4236" s="79"/>
      <c r="AM4236" s="79"/>
      <c r="AN4236" s="79"/>
      <c r="AO4236" s="79"/>
      <c r="AP4236" s="79"/>
      <c r="AQ4236" s="79"/>
      <c r="AR4236" s="78"/>
      <c r="AS4236" s="78"/>
      <c r="AT4236" s="79"/>
      <c r="AU4236" s="79"/>
      <c r="AV4236" s="79"/>
      <c r="AW4236" s="79"/>
      <c r="AX4236" s="79"/>
      <c r="AZ4236" s="81"/>
      <c r="BB4236" s="5"/>
      <c r="BC4236" s="5"/>
      <c r="BD4236" s="5"/>
      <c r="BE4236" s="5"/>
      <c r="BF4236" s="5"/>
      <c r="BG4236" s="5"/>
      <c r="BH4236" s="5"/>
      <c r="BI4236" s="5"/>
      <c r="BJ4236" s="5"/>
      <c r="BK4236" s="5"/>
      <c r="BL4236" s="5"/>
      <c r="BM4236" s="5"/>
      <c r="BN4236" s="5"/>
      <c r="BO4236" s="5"/>
      <c r="BP4236" s="5"/>
    </row>
    <row r="4237" spans="35:68" x14ac:dyDescent="0.25">
      <c r="AI4237" s="49"/>
      <c r="AJ4237" s="78"/>
      <c r="AK4237" s="79"/>
      <c r="AL4237" s="79"/>
      <c r="AM4237" s="79"/>
      <c r="AN4237" s="79"/>
      <c r="AO4237" s="79"/>
      <c r="AP4237" s="79"/>
      <c r="AQ4237" s="79"/>
      <c r="AR4237" s="78"/>
      <c r="AS4237" s="78"/>
      <c r="AT4237" s="79"/>
      <c r="AU4237" s="79"/>
      <c r="AV4237" s="79"/>
      <c r="AW4237" s="79"/>
      <c r="AX4237" s="79"/>
      <c r="AZ4237" s="81"/>
      <c r="BB4237" s="5"/>
      <c r="BC4237" s="5"/>
      <c r="BD4237" s="5"/>
      <c r="BE4237" s="5"/>
      <c r="BF4237" s="5"/>
      <c r="BG4237" s="5"/>
      <c r="BH4237" s="5"/>
      <c r="BI4237" s="5"/>
      <c r="BJ4237" s="5"/>
      <c r="BK4237" s="5"/>
      <c r="BL4237" s="5"/>
      <c r="BM4237" s="5"/>
      <c r="BN4237" s="5"/>
      <c r="BO4237" s="5"/>
      <c r="BP4237" s="5"/>
    </row>
    <row r="4238" spans="35:68" x14ac:dyDescent="0.25">
      <c r="AI4238" s="49"/>
      <c r="AJ4238" s="78"/>
      <c r="AK4238" s="79"/>
      <c r="AL4238" s="79"/>
      <c r="AM4238" s="79"/>
      <c r="AN4238" s="79"/>
      <c r="AO4238" s="79"/>
      <c r="AP4238" s="79"/>
      <c r="AQ4238" s="79"/>
      <c r="AR4238" s="78"/>
      <c r="AS4238" s="78"/>
      <c r="AT4238" s="79"/>
      <c r="AU4238" s="79"/>
      <c r="AV4238" s="79"/>
      <c r="AW4238" s="79"/>
      <c r="AX4238" s="79"/>
      <c r="AZ4238" s="81"/>
      <c r="BB4238" s="5"/>
      <c r="BC4238" s="5"/>
      <c r="BD4238" s="5"/>
      <c r="BE4238" s="5"/>
      <c r="BF4238" s="5"/>
      <c r="BG4238" s="5"/>
      <c r="BH4238" s="5"/>
      <c r="BI4238" s="5"/>
      <c r="BJ4238" s="5"/>
      <c r="BK4238" s="5"/>
      <c r="BL4238" s="5"/>
      <c r="BM4238" s="5"/>
      <c r="BN4238" s="5"/>
      <c r="BO4238" s="5"/>
      <c r="BP4238" s="5"/>
    </row>
    <row r="4239" spans="35:68" x14ac:dyDescent="0.25">
      <c r="AI4239" s="49"/>
      <c r="AJ4239" s="78"/>
      <c r="AK4239" s="79"/>
      <c r="AL4239" s="79"/>
      <c r="AM4239" s="79"/>
      <c r="AN4239" s="79"/>
      <c r="AO4239" s="79"/>
      <c r="AP4239" s="79"/>
      <c r="AQ4239" s="79"/>
      <c r="AR4239" s="78"/>
      <c r="AS4239" s="78"/>
      <c r="AT4239" s="79"/>
      <c r="AU4239" s="79"/>
      <c r="AV4239" s="79"/>
      <c r="AW4239" s="79"/>
      <c r="AX4239" s="79"/>
      <c r="AZ4239" s="81"/>
      <c r="BB4239" s="5"/>
      <c r="BC4239" s="5"/>
      <c r="BD4239" s="5"/>
      <c r="BE4239" s="5"/>
      <c r="BF4239" s="5"/>
      <c r="BG4239" s="5"/>
      <c r="BH4239" s="5"/>
      <c r="BI4239" s="5"/>
      <c r="BJ4239" s="5"/>
      <c r="BK4239" s="5"/>
      <c r="BL4239" s="5"/>
      <c r="BM4239" s="5"/>
      <c r="BN4239" s="5"/>
      <c r="BO4239" s="5"/>
      <c r="BP4239" s="5"/>
    </row>
    <row r="4240" spans="35:68" x14ac:dyDescent="0.25">
      <c r="AI4240" s="49"/>
      <c r="AJ4240" s="78"/>
      <c r="AK4240" s="79"/>
      <c r="AL4240" s="79"/>
      <c r="AM4240" s="79"/>
      <c r="AN4240" s="79"/>
      <c r="AO4240" s="79"/>
      <c r="AP4240" s="79"/>
      <c r="AQ4240" s="79"/>
      <c r="AR4240" s="78"/>
      <c r="AS4240" s="78"/>
      <c r="AT4240" s="79"/>
      <c r="AU4240" s="79"/>
      <c r="AV4240" s="79"/>
      <c r="AW4240" s="79"/>
      <c r="AX4240" s="79"/>
      <c r="AZ4240" s="81"/>
      <c r="BB4240" s="5"/>
      <c r="BC4240" s="5"/>
      <c r="BD4240" s="5"/>
      <c r="BE4240" s="5"/>
      <c r="BF4240" s="5"/>
      <c r="BG4240" s="5"/>
      <c r="BH4240" s="5"/>
      <c r="BI4240" s="5"/>
      <c r="BJ4240" s="5"/>
      <c r="BK4240" s="5"/>
      <c r="BL4240" s="5"/>
      <c r="BM4240" s="5"/>
      <c r="BN4240" s="5"/>
      <c r="BO4240" s="5"/>
      <c r="BP4240" s="5"/>
    </row>
    <row r="4241" spans="35:68" x14ac:dyDescent="0.25">
      <c r="AI4241" s="49"/>
      <c r="AJ4241" s="78"/>
      <c r="AK4241" s="79"/>
      <c r="AL4241" s="79"/>
      <c r="AM4241" s="79"/>
      <c r="AN4241" s="79"/>
      <c r="AO4241" s="79"/>
      <c r="AP4241" s="79"/>
      <c r="AQ4241" s="79"/>
      <c r="AR4241" s="78"/>
      <c r="AS4241" s="78"/>
      <c r="AT4241" s="79"/>
      <c r="AU4241" s="79"/>
      <c r="AV4241" s="79"/>
      <c r="AW4241" s="79"/>
      <c r="AX4241" s="79"/>
      <c r="AZ4241" s="81"/>
      <c r="BB4241" s="5"/>
      <c r="BC4241" s="5"/>
      <c r="BD4241" s="5"/>
      <c r="BE4241" s="5"/>
      <c r="BF4241" s="5"/>
      <c r="BG4241" s="5"/>
      <c r="BH4241" s="5"/>
      <c r="BI4241" s="5"/>
      <c r="BJ4241" s="5"/>
      <c r="BK4241" s="5"/>
      <c r="BL4241" s="5"/>
      <c r="BM4241" s="5"/>
      <c r="BN4241" s="5"/>
      <c r="BO4241" s="5"/>
      <c r="BP4241" s="5"/>
    </row>
    <row r="4242" spans="35:68" x14ac:dyDescent="0.25">
      <c r="AI4242" s="49"/>
      <c r="AJ4242" s="78"/>
      <c r="AK4242" s="79"/>
      <c r="AL4242" s="79"/>
      <c r="AM4242" s="79"/>
      <c r="AN4242" s="79"/>
      <c r="AO4242" s="79"/>
      <c r="AP4242" s="79"/>
      <c r="AQ4242" s="79"/>
      <c r="AR4242" s="78"/>
      <c r="AS4242" s="78"/>
      <c r="AT4242" s="79"/>
      <c r="AU4242" s="79"/>
      <c r="AV4242" s="79"/>
      <c r="AW4242" s="79"/>
      <c r="AX4242" s="79"/>
      <c r="AZ4242" s="81"/>
      <c r="BB4242" s="5"/>
      <c r="BC4242" s="5"/>
      <c r="BD4242" s="5"/>
      <c r="BE4242" s="5"/>
      <c r="BF4242" s="5"/>
      <c r="BG4242" s="5"/>
      <c r="BH4242" s="5"/>
      <c r="BI4242" s="5"/>
      <c r="BJ4242" s="5"/>
      <c r="BK4242" s="5"/>
      <c r="BL4242" s="5"/>
      <c r="BM4242" s="5"/>
      <c r="BN4242" s="5"/>
      <c r="BO4242" s="5"/>
      <c r="BP4242" s="5"/>
    </row>
    <row r="4243" spans="35:68" x14ac:dyDescent="0.25">
      <c r="AI4243" s="49"/>
      <c r="AJ4243" s="78"/>
      <c r="AK4243" s="79"/>
      <c r="AL4243" s="79"/>
      <c r="AM4243" s="79"/>
      <c r="AN4243" s="79"/>
      <c r="AO4243" s="79"/>
      <c r="AP4243" s="79"/>
      <c r="AQ4243" s="79"/>
      <c r="AR4243" s="78"/>
      <c r="AS4243" s="78"/>
      <c r="AT4243" s="79"/>
      <c r="AU4243" s="79"/>
      <c r="AV4243" s="79"/>
      <c r="AW4243" s="79"/>
      <c r="AX4243" s="79"/>
      <c r="AZ4243" s="81"/>
      <c r="BB4243" s="5"/>
      <c r="BC4243" s="5"/>
      <c r="BD4243" s="5"/>
      <c r="BE4243" s="5"/>
      <c r="BF4243" s="5"/>
      <c r="BG4243" s="5"/>
      <c r="BH4243" s="5"/>
      <c r="BI4243" s="5"/>
      <c r="BJ4243" s="5"/>
      <c r="BK4243" s="5"/>
      <c r="BL4243" s="5"/>
      <c r="BM4243" s="5"/>
      <c r="BN4243" s="5"/>
      <c r="BO4243" s="5"/>
      <c r="BP4243" s="5"/>
    </row>
    <row r="4244" spans="35:68" x14ac:dyDescent="0.25">
      <c r="AI4244" s="49"/>
      <c r="AJ4244" s="78"/>
      <c r="AK4244" s="79"/>
      <c r="AL4244" s="79"/>
      <c r="AM4244" s="79"/>
      <c r="AN4244" s="79"/>
      <c r="AO4244" s="79"/>
      <c r="AP4244" s="79"/>
      <c r="AQ4244" s="79"/>
      <c r="AR4244" s="78"/>
      <c r="AS4244" s="78"/>
      <c r="AT4244" s="79"/>
      <c r="AU4244" s="79"/>
      <c r="AV4244" s="79"/>
      <c r="AW4244" s="79"/>
      <c r="AX4244" s="79"/>
      <c r="AZ4244" s="81"/>
      <c r="BB4244" s="5"/>
      <c r="BC4244" s="5"/>
      <c r="BD4244" s="5"/>
      <c r="BE4244" s="5"/>
      <c r="BF4244" s="5"/>
      <c r="BG4244" s="5"/>
      <c r="BH4244" s="5"/>
      <c r="BI4244" s="5"/>
      <c r="BJ4244" s="5"/>
      <c r="BK4244" s="5"/>
      <c r="BL4244" s="5"/>
      <c r="BM4244" s="5"/>
      <c r="BN4244" s="5"/>
      <c r="BO4244" s="5"/>
      <c r="BP4244" s="5"/>
    </row>
    <row r="4245" spans="35:68" x14ac:dyDescent="0.25">
      <c r="AI4245" s="49"/>
      <c r="AJ4245" s="78"/>
      <c r="AK4245" s="79"/>
      <c r="AL4245" s="79"/>
      <c r="AM4245" s="79"/>
      <c r="AN4245" s="79"/>
      <c r="AO4245" s="79"/>
      <c r="AP4245" s="79"/>
      <c r="AQ4245" s="79"/>
      <c r="AR4245" s="78"/>
      <c r="AS4245" s="78"/>
      <c r="AT4245" s="79"/>
      <c r="AU4245" s="79"/>
      <c r="AV4245" s="79"/>
      <c r="AW4245" s="79"/>
      <c r="AX4245" s="79"/>
      <c r="AZ4245" s="81"/>
      <c r="BB4245" s="5"/>
      <c r="BC4245" s="5"/>
      <c r="BD4245" s="5"/>
      <c r="BE4245" s="5"/>
      <c r="BF4245" s="5"/>
      <c r="BG4245" s="5"/>
      <c r="BH4245" s="5"/>
      <c r="BI4245" s="5"/>
      <c r="BJ4245" s="5"/>
      <c r="BK4245" s="5"/>
      <c r="BL4245" s="5"/>
      <c r="BM4245" s="5"/>
      <c r="BN4245" s="5"/>
      <c r="BO4245" s="5"/>
      <c r="BP4245" s="5"/>
    </row>
    <row r="4246" spans="35:68" x14ac:dyDescent="0.25">
      <c r="AI4246" s="49"/>
      <c r="AJ4246" s="78"/>
      <c r="AK4246" s="79"/>
      <c r="AL4246" s="79"/>
      <c r="AM4246" s="79"/>
      <c r="AN4246" s="79"/>
      <c r="AO4246" s="79"/>
      <c r="AP4246" s="79"/>
      <c r="AQ4246" s="79"/>
      <c r="AR4246" s="78"/>
      <c r="AS4246" s="78"/>
      <c r="AT4246" s="79"/>
      <c r="AU4246" s="79"/>
      <c r="AV4246" s="79"/>
      <c r="AW4246" s="79"/>
      <c r="AX4246" s="79"/>
      <c r="AZ4246" s="81"/>
      <c r="BB4246" s="5"/>
      <c r="BC4246" s="5"/>
      <c r="BD4246" s="5"/>
      <c r="BE4246" s="5"/>
      <c r="BF4246" s="5"/>
      <c r="BG4246" s="5"/>
      <c r="BH4246" s="5"/>
      <c r="BI4246" s="5"/>
      <c r="BJ4246" s="5"/>
      <c r="BK4246" s="5"/>
      <c r="BL4246" s="5"/>
      <c r="BM4246" s="5"/>
      <c r="BN4246" s="5"/>
      <c r="BO4246" s="5"/>
      <c r="BP4246" s="5"/>
    </row>
    <row r="4247" spans="35:68" x14ac:dyDescent="0.25">
      <c r="AI4247" s="49"/>
      <c r="AJ4247" s="78"/>
      <c r="AK4247" s="79"/>
      <c r="AL4247" s="79"/>
      <c r="AM4247" s="79"/>
      <c r="AN4247" s="79"/>
      <c r="AO4247" s="79"/>
      <c r="AP4247" s="79"/>
      <c r="AQ4247" s="79"/>
      <c r="AR4247" s="78"/>
      <c r="AS4247" s="78"/>
      <c r="AT4247" s="79"/>
      <c r="AU4247" s="79"/>
      <c r="AV4247" s="79"/>
      <c r="AW4247" s="79"/>
      <c r="AX4247" s="79"/>
      <c r="AZ4247" s="81"/>
      <c r="BB4247" s="5"/>
      <c r="BC4247" s="5"/>
      <c r="BD4247" s="5"/>
      <c r="BE4247" s="5"/>
      <c r="BF4247" s="5"/>
      <c r="BG4247" s="5"/>
      <c r="BH4247" s="5"/>
      <c r="BI4247" s="5"/>
      <c r="BJ4247" s="5"/>
      <c r="BK4247" s="5"/>
      <c r="BL4247" s="5"/>
      <c r="BM4247" s="5"/>
      <c r="BN4247" s="5"/>
      <c r="BO4247" s="5"/>
      <c r="BP4247" s="5"/>
    </row>
    <row r="4248" spans="35:68" x14ac:dyDescent="0.25">
      <c r="AI4248" s="49"/>
      <c r="AJ4248" s="78"/>
      <c r="AK4248" s="79"/>
      <c r="AL4248" s="79"/>
      <c r="AM4248" s="79"/>
      <c r="AN4248" s="79"/>
      <c r="AO4248" s="79"/>
      <c r="AP4248" s="79"/>
      <c r="AQ4248" s="79"/>
      <c r="AR4248" s="78"/>
      <c r="AS4248" s="78"/>
      <c r="AT4248" s="79"/>
      <c r="AU4248" s="79"/>
      <c r="AV4248" s="79"/>
      <c r="AW4248" s="79"/>
      <c r="AX4248" s="79"/>
      <c r="AZ4248" s="81"/>
      <c r="BB4248" s="5"/>
      <c r="BC4248" s="5"/>
      <c r="BD4248" s="5"/>
      <c r="BE4248" s="5"/>
      <c r="BF4248" s="5"/>
      <c r="BG4248" s="5"/>
      <c r="BH4248" s="5"/>
      <c r="BI4248" s="5"/>
      <c r="BJ4248" s="5"/>
      <c r="BK4248" s="5"/>
      <c r="BL4248" s="5"/>
      <c r="BM4248" s="5"/>
      <c r="BN4248" s="5"/>
      <c r="BO4248" s="5"/>
      <c r="BP4248" s="5"/>
    </row>
    <row r="4249" spans="35:68" x14ac:dyDescent="0.25">
      <c r="AI4249" s="49"/>
      <c r="AJ4249" s="78"/>
      <c r="AK4249" s="79"/>
      <c r="AL4249" s="79"/>
      <c r="AM4249" s="79"/>
      <c r="AN4249" s="79"/>
      <c r="AO4249" s="79"/>
      <c r="AP4249" s="79"/>
      <c r="AQ4249" s="79"/>
      <c r="AR4249" s="78"/>
      <c r="AS4249" s="78"/>
      <c r="AT4249" s="79"/>
      <c r="AU4249" s="79"/>
      <c r="AV4249" s="79"/>
      <c r="AW4249" s="79"/>
      <c r="AX4249" s="79"/>
      <c r="AZ4249" s="81"/>
      <c r="BB4249" s="5"/>
      <c r="BC4249" s="5"/>
      <c r="BD4249" s="5"/>
      <c r="BE4249" s="5"/>
      <c r="BF4249" s="5"/>
      <c r="BG4249" s="5"/>
      <c r="BH4249" s="5"/>
      <c r="BI4249" s="5"/>
      <c r="BJ4249" s="5"/>
      <c r="BK4249" s="5"/>
      <c r="BL4249" s="5"/>
      <c r="BM4249" s="5"/>
      <c r="BN4249" s="5"/>
      <c r="BO4249" s="5"/>
      <c r="BP4249" s="5"/>
    </row>
    <row r="4250" spans="35:68" x14ac:dyDescent="0.25">
      <c r="AI4250" s="49"/>
      <c r="AJ4250" s="78"/>
      <c r="AK4250" s="79"/>
      <c r="AL4250" s="79"/>
      <c r="AM4250" s="79"/>
      <c r="AN4250" s="79"/>
      <c r="AO4250" s="79"/>
      <c r="AP4250" s="79"/>
      <c r="AQ4250" s="79"/>
      <c r="AR4250" s="78"/>
      <c r="AS4250" s="78"/>
      <c r="AT4250" s="79"/>
      <c r="AU4250" s="79"/>
      <c r="AV4250" s="79"/>
      <c r="AW4250" s="79"/>
      <c r="AX4250" s="79"/>
      <c r="AZ4250" s="81"/>
      <c r="BB4250" s="5"/>
      <c r="BC4250" s="5"/>
      <c r="BD4250" s="5"/>
      <c r="BE4250" s="5"/>
      <c r="BF4250" s="5"/>
      <c r="BG4250" s="5"/>
      <c r="BH4250" s="5"/>
      <c r="BI4250" s="5"/>
      <c r="BJ4250" s="5"/>
      <c r="BK4250" s="5"/>
      <c r="BL4250" s="5"/>
      <c r="BM4250" s="5"/>
      <c r="BN4250" s="5"/>
      <c r="BO4250" s="5"/>
      <c r="BP4250" s="5"/>
    </row>
    <row r="4251" spans="35:68" x14ac:dyDescent="0.25">
      <c r="AI4251" s="49"/>
      <c r="AJ4251" s="78"/>
      <c r="AK4251" s="79"/>
      <c r="AL4251" s="79"/>
      <c r="AM4251" s="79"/>
      <c r="AN4251" s="79"/>
      <c r="AO4251" s="79"/>
      <c r="AP4251" s="79"/>
      <c r="AQ4251" s="79"/>
      <c r="AR4251" s="78"/>
      <c r="AS4251" s="78"/>
      <c r="AT4251" s="79"/>
      <c r="AU4251" s="79"/>
      <c r="AV4251" s="79"/>
      <c r="AW4251" s="79"/>
      <c r="AX4251" s="79"/>
      <c r="AZ4251" s="81"/>
      <c r="BB4251" s="5"/>
      <c r="BC4251" s="5"/>
      <c r="BD4251" s="5"/>
      <c r="BE4251" s="5"/>
      <c r="BF4251" s="5"/>
      <c r="BG4251" s="5"/>
      <c r="BH4251" s="5"/>
      <c r="BI4251" s="5"/>
      <c r="BJ4251" s="5"/>
      <c r="BK4251" s="5"/>
      <c r="BL4251" s="5"/>
      <c r="BM4251" s="5"/>
      <c r="BN4251" s="5"/>
      <c r="BO4251" s="5"/>
      <c r="BP4251" s="5"/>
    </row>
    <row r="4252" spans="35:68" x14ac:dyDescent="0.25">
      <c r="AI4252" s="49"/>
      <c r="AJ4252" s="78"/>
      <c r="AK4252" s="79"/>
      <c r="AL4252" s="79"/>
      <c r="AM4252" s="79"/>
      <c r="AN4252" s="79"/>
      <c r="AO4252" s="79"/>
      <c r="AP4252" s="79"/>
      <c r="AQ4252" s="79"/>
      <c r="AR4252" s="78"/>
      <c r="AS4252" s="78"/>
      <c r="AT4252" s="79"/>
      <c r="AU4252" s="79"/>
      <c r="AV4252" s="79"/>
      <c r="AW4252" s="79"/>
      <c r="AX4252" s="79"/>
      <c r="AZ4252" s="81"/>
      <c r="BB4252" s="5"/>
      <c r="BC4252" s="5"/>
      <c r="BD4252" s="5"/>
      <c r="BE4252" s="5"/>
      <c r="BF4252" s="5"/>
      <c r="BG4252" s="5"/>
      <c r="BH4252" s="5"/>
      <c r="BI4252" s="5"/>
      <c r="BJ4252" s="5"/>
      <c r="BK4252" s="5"/>
      <c r="BL4252" s="5"/>
      <c r="BM4252" s="5"/>
      <c r="BN4252" s="5"/>
      <c r="BO4252" s="5"/>
      <c r="BP4252" s="5"/>
    </row>
    <row r="4253" spans="35:68" x14ac:dyDescent="0.25">
      <c r="AI4253" s="49"/>
      <c r="AJ4253" s="78"/>
      <c r="AK4253" s="79"/>
      <c r="AL4253" s="79"/>
      <c r="AM4253" s="79"/>
      <c r="AN4253" s="79"/>
      <c r="AO4253" s="79"/>
      <c r="AP4253" s="79"/>
      <c r="AQ4253" s="79"/>
      <c r="AR4253" s="78"/>
      <c r="AS4253" s="78"/>
      <c r="AT4253" s="79"/>
      <c r="AU4253" s="79"/>
      <c r="AV4253" s="79"/>
      <c r="AW4253" s="79"/>
      <c r="AX4253" s="79"/>
      <c r="AZ4253" s="81"/>
      <c r="BB4253" s="5"/>
      <c r="BC4253" s="5"/>
      <c r="BD4253" s="5"/>
      <c r="BE4253" s="5"/>
      <c r="BF4253" s="5"/>
      <c r="BG4253" s="5"/>
      <c r="BH4253" s="5"/>
      <c r="BI4253" s="5"/>
      <c r="BJ4253" s="5"/>
      <c r="BK4253" s="5"/>
      <c r="BL4253" s="5"/>
      <c r="BM4253" s="5"/>
      <c r="BN4253" s="5"/>
      <c r="BO4253" s="5"/>
      <c r="BP4253" s="5"/>
    </row>
    <row r="4254" spans="35:68" x14ac:dyDescent="0.25">
      <c r="AI4254" s="49"/>
      <c r="AJ4254" s="78"/>
      <c r="AK4254" s="79"/>
      <c r="AL4254" s="79"/>
      <c r="AM4254" s="79"/>
      <c r="AN4254" s="79"/>
      <c r="AO4254" s="79"/>
      <c r="AP4254" s="79"/>
      <c r="AQ4254" s="79"/>
      <c r="AR4254" s="78"/>
      <c r="AS4254" s="78"/>
      <c r="AT4254" s="79"/>
      <c r="AU4254" s="79"/>
      <c r="AV4254" s="79"/>
      <c r="AW4254" s="79"/>
      <c r="AX4254" s="79"/>
      <c r="AZ4254" s="81"/>
      <c r="BB4254" s="5"/>
      <c r="BC4254" s="5"/>
      <c r="BD4254" s="5"/>
      <c r="BE4254" s="5"/>
      <c r="BF4254" s="5"/>
      <c r="BG4254" s="5"/>
      <c r="BH4254" s="5"/>
      <c r="BI4254" s="5"/>
      <c r="BJ4254" s="5"/>
      <c r="BK4254" s="5"/>
      <c r="BL4254" s="5"/>
      <c r="BM4254" s="5"/>
      <c r="BN4254" s="5"/>
      <c r="BO4254" s="5"/>
      <c r="BP4254" s="5"/>
    </row>
    <row r="4255" spans="35:68" x14ac:dyDescent="0.25">
      <c r="AI4255" s="49"/>
      <c r="AJ4255" s="78"/>
      <c r="AK4255" s="79"/>
      <c r="AL4255" s="79"/>
      <c r="AM4255" s="79"/>
      <c r="AN4255" s="79"/>
      <c r="AO4255" s="79"/>
      <c r="AP4255" s="79"/>
      <c r="AQ4255" s="79"/>
      <c r="AR4255" s="78"/>
      <c r="AS4255" s="78"/>
      <c r="AT4255" s="79"/>
      <c r="AU4255" s="79"/>
      <c r="AV4255" s="79"/>
      <c r="AW4255" s="79"/>
      <c r="AX4255" s="79"/>
      <c r="AZ4255" s="81"/>
      <c r="BB4255" s="5"/>
      <c r="BC4255" s="5"/>
      <c r="BD4255" s="5"/>
      <c r="BE4255" s="5"/>
      <c r="BF4255" s="5"/>
      <c r="BG4255" s="5"/>
      <c r="BH4255" s="5"/>
      <c r="BI4255" s="5"/>
      <c r="BJ4255" s="5"/>
      <c r="BK4255" s="5"/>
      <c r="BL4255" s="5"/>
      <c r="BM4255" s="5"/>
      <c r="BN4255" s="5"/>
      <c r="BO4255" s="5"/>
      <c r="BP4255" s="5"/>
    </row>
    <row r="4256" spans="35:68" x14ac:dyDescent="0.25">
      <c r="AI4256" s="49"/>
      <c r="AJ4256" s="78"/>
      <c r="AK4256" s="79"/>
      <c r="AL4256" s="79"/>
      <c r="AM4256" s="79"/>
      <c r="AN4256" s="79"/>
      <c r="AO4256" s="79"/>
      <c r="AP4256" s="79"/>
      <c r="AQ4256" s="79"/>
      <c r="AR4256" s="78"/>
      <c r="AS4256" s="78"/>
      <c r="AT4256" s="79"/>
      <c r="AU4256" s="79"/>
      <c r="AV4256" s="79"/>
      <c r="AW4256" s="79"/>
      <c r="AX4256" s="79"/>
      <c r="AZ4256" s="81"/>
      <c r="BB4256" s="5"/>
      <c r="BC4256" s="5"/>
      <c r="BD4256" s="5"/>
      <c r="BE4256" s="5"/>
      <c r="BF4256" s="5"/>
      <c r="BG4256" s="5"/>
      <c r="BH4256" s="5"/>
      <c r="BI4256" s="5"/>
      <c r="BJ4256" s="5"/>
      <c r="BK4256" s="5"/>
      <c r="BL4256" s="5"/>
      <c r="BM4256" s="5"/>
      <c r="BN4256" s="5"/>
      <c r="BO4256" s="5"/>
      <c r="BP4256" s="5"/>
    </row>
    <row r="4257" spans="35:68" x14ac:dyDescent="0.25">
      <c r="AI4257" s="49"/>
      <c r="AJ4257" s="78"/>
      <c r="AK4257" s="79"/>
      <c r="AL4257" s="79"/>
      <c r="AM4257" s="79"/>
      <c r="AN4257" s="79"/>
      <c r="AO4257" s="79"/>
      <c r="AP4257" s="79"/>
      <c r="AQ4257" s="79"/>
      <c r="AR4257" s="78"/>
      <c r="AS4257" s="78"/>
      <c r="AT4257" s="79"/>
      <c r="AU4257" s="79"/>
      <c r="AV4257" s="79"/>
      <c r="AW4257" s="79"/>
      <c r="AX4257" s="79"/>
      <c r="AZ4257" s="81"/>
      <c r="BB4257" s="5"/>
      <c r="BC4257" s="5"/>
      <c r="BD4257" s="5"/>
      <c r="BE4257" s="5"/>
      <c r="BF4257" s="5"/>
      <c r="BG4257" s="5"/>
      <c r="BH4257" s="5"/>
      <c r="BI4257" s="5"/>
      <c r="BJ4257" s="5"/>
      <c r="BK4257" s="5"/>
      <c r="BL4257" s="5"/>
      <c r="BM4257" s="5"/>
      <c r="BN4257" s="5"/>
      <c r="BO4257" s="5"/>
      <c r="BP4257" s="5"/>
    </row>
    <row r="4258" spans="35:68" x14ac:dyDescent="0.25">
      <c r="AI4258" s="49"/>
      <c r="AJ4258" s="78"/>
      <c r="AK4258" s="79"/>
      <c r="AL4258" s="79"/>
      <c r="AM4258" s="79"/>
      <c r="AN4258" s="79"/>
      <c r="AO4258" s="79"/>
      <c r="AP4258" s="79"/>
      <c r="AQ4258" s="79"/>
      <c r="AR4258" s="78"/>
      <c r="AS4258" s="78"/>
      <c r="AT4258" s="79"/>
      <c r="AU4258" s="79"/>
      <c r="AV4258" s="79"/>
      <c r="AW4258" s="79"/>
      <c r="AX4258" s="79"/>
      <c r="AZ4258" s="81"/>
      <c r="BB4258" s="5"/>
      <c r="BC4258" s="5"/>
      <c r="BD4258" s="5"/>
      <c r="BE4258" s="5"/>
      <c r="BF4258" s="5"/>
      <c r="BG4258" s="5"/>
      <c r="BH4258" s="5"/>
      <c r="BI4258" s="5"/>
      <c r="BJ4258" s="5"/>
      <c r="BK4258" s="5"/>
      <c r="BL4258" s="5"/>
      <c r="BM4258" s="5"/>
      <c r="BN4258" s="5"/>
      <c r="BO4258" s="5"/>
      <c r="BP4258" s="5"/>
    </row>
    <row r="4259" spans="35:68" x14ac:dyDescent="0.25">
      <c r="AI4259" s="49"/>
      <c r="AJ4259" s="78"/>
      <c r="AK4259" s="79"/>
      <c r="AL4259" s="79"/>
      <c r="AM4259" s="79"/>
      <c r="AN4259" s="79"/>
      <c r="AO4259" s="79"/>
      <c r="AP4259" s="79"/>
      <c r="AQ4259" s="79"/>
      <c r="AR4259" s="78"/>
      <c r="AS4259" s="78"/>
      <c r="AT4259" s="79"/>
      <c r="AU4259" s="79"/>
      <c r="AV4259" s="79"/>
      <c r="AW4259" s="79"/>
      <c r="AX4259" s="79"/>
      <c r="AZ4259" s="81"/>
      <c r="BB4259" s="5"/>
      <c r="BC4259" s="5"/>
      <c r="BD4259" s="5"/>
      <c r="BE4259" s="5"/>
      <c r="BF4259" s="5"/>
      <c r="BG4259" s="5"/>
      <c r="BH4259" s="5"/>
      <c r="BI4259" s="5"/>
      <c r="BJ4259" s="5"/>
      <c r="BK4259" s="5"/>
      <c r="BL4259" s="5"/>
      <c r="BM4259" s="5"/>
      <c r="BN4259" s="5"/>
      <c r="BO4259" s="5"/>
      <c r="BP4259" s="5"/>
    </row>
    <row r="4260" spans="35:68" x14ac:dyDescent="0.25">
      <c r="AI4260" s="49"/>
      <c r="AJ4260" s="78"/>
      <c r="AK4260" s="79"/>
      <c r="AL4260" s="79"/>
      <c r="AM4260" s="79"/>
      <c r="AN4260" s="79"/>
      <c r="AO4260" s="79"/>
      <c r="AP4260" s="79"/>
      <c r="AQ4260" s="79"/>
      <c r="AR4260" s="78"/>
      <c r="AS4260" s="78"/>
      <c r="AT4260" s="79"/>
      <c r="AU4260" s="79"/>
      <c r="AV4260" s="79"/>
      <c r="AW4260" s="79"/>
      <c r="AX4260" s="79"/>
      <c r="AZ4260" s="81"/>
      <c r="BB4260" s="5"/>
      <c r="BC4260" s="5"/>
      <c r="BD4260" s="5"/>
      <c r="BE4260" s="5"/>
      <c r="BF4260" s="5"/>
      <c r="BG4260" s="5"/>
      <c r="BH4260" s="5"/>
      <c r="BI4260" s="5"/>
      <c r="BJ4260" s="5"/>
      <c r="BK4260" s="5"/>
      <c r="BL4260" s="5"/>
      <c r="BM4260" s="5"/>
      <c r="BN4260" s="5"/>
      <c r="BO4260" s="5"/>
      <c r="BP4260" s="5"/>
    </row>
    <row r="4261" spans="35:68" x14ac:dyDescent="0.25">
      <c r="AI4261" s="49"/>
      <c r="AJ4261" s="78"/>
      <c r="AK4261" s="79"/>
      <c r="AL4261" s="79"/>
      <c r="AM4261" s="79"/>
      <c r="AN4261" s="79"/>
      <c r="AO4261" s="79"/>
      <c r="AP4261" s="79"/>
      <c r="AQ4261" s="79"/>
      <c r="AR4261" s="78"/>
      <c r="AS4261" s="78"/>
      <c r="AT4261" s="79"/>
      <c r="AU4261" s="79"/>
      <c r="AV4261" s="79"/>
      <c r="AW4261" s="79"/>
      <c r="AX4261" s="79"/>
      <c r="AZ4261" s="81"/>
      <c r="BB4261" s="5"/>
      <c r="BC4261" s="5"/>
      <c r="BD4261" s="5"/>
      <c r="BE4261" s="5"/>
      <c r="BF4261" s="5"/>
      <c r="BG4261" s="5"/>
      <c r="BH4261" s="5"/>
      <c r="BI4261" s="5"/>
      <c r="BJ4261" s="5"/>
      <c r="BK4261" s="5"/>
      <c r="BL4261" s="5"/>
      <c r="BM4261" s="5"/>
      <c r="BN4261" s="5"/>
      <c r="BO4261" s="5"/>
      <c r="BP4261" s="5"/>
    </row>
    <row r="4262" spans="35:68" x14ac:dyDescent="0.25">
      <c r="AI4262" s="49"/>
      <c r="AJ4262" s="78"/>
      <c r="AK4262" s="79"/>
      <c r="AL4262" s="79"/>
      <c r="AM4262" s="79"/>
      <c r="AN4262" s="79"/>
      <c r="AO4262" s="79"/>
      <c r="AP4262" s="79"/>
      <c r="AQ4262" s="79"/>
      <c r="AR4262" s="78"/>
      <c r="AS4262" s="78"/>
      <c r="AT4262" s="79"/>
      <c r="AU4262" s="79"/>
      <c r="AV4262" s="79"/>
      <c r="AW4262" s="79"/>
      <c r="AX4262" s="79"/>
      <c r="AZ4262" s="81"/>
      <c r="BB4262" s="5"/>
      <c r="BC4262" s="5"/>
      <c r="BD4262" s="5"/>
      <c r="BE4262" s="5"/>
      <c r="BF4262" s="5"/>
      <c r="BG4262" s="5"/>
      <c r="BH4262" s="5"/>
      <c r="BI4262" s="5"/>
      <c r="BJ4262" s="5"/>
      <c r="BK4262" s="5"/>
      <c r="BL4262" s="5"/>
      <c r="BM4262" s="5"/>
      <c r="BN4262" s="5"/>
      <c r="BO4262" s="5"/>
      <c r="BP4262" s="5"/>
    </row>
    <row r="4263" spans="35:68" x14ac:dyDescent="0.25">
      <c r="AI4263" s="49"/>
      <c r="AJ4263" s="78"/>
      <c r="AK4263" s="79"/>
      <c r="AL4263" s="79"/>
      <c r="AM4263" s="79"/>
      <c r="AN4263" s="79"/>
      <c r="AO4263" s="79"/>
      <c r="AP4263" s="79"/>
      <c r="AQ4263" s="79"/>
      <c r="AR4263" s="78"/>
      <c r="AS4263" s="78"/>
      <c r="AT4263" s="79"/>
      <c r="AU4263" s="79"/>
      <c r="AV4263" s="79"/>
      <c r="AW4263" s="79"/>
      <c r="AX4263" s="79"/>
      <c r="AZ4263" s="81"/>
      <c r="BB4263" s="5"/>
      <c r="BC4263" s="5"/>
      <c r="BD4263" s="5"/>
      <c r="BE4263" s="5"/>
      <c r="BF4263" s="5"/>
      <c r="BG4263" s="5"/>
      <c r="BH4263" s="5"/>
      <c r="BI4263" s="5"/>
      <c r="BJ4263" s="5"/>
      <c r="BK4263" s="5"/>
      <c r="BL4263" s="5"/>
      <c r="BM4263" s="5"/>
      <c r="BN4263" s="5"/>
      <c r="BO4263" s="5"/>
      <c r="BP4263" s="5"/>
    </row>
    <row r="4264" spans="35:68" x14ac:dyDescent="0.25">
      <c r="AI4264" s="49"/>
      <c r="AJ4264" s="78"/>
      <c r="AK4264" s="79"/>
      <c r="AL4264" s="79"/>
      <c r="AM4264" s="79"/>
      <c r="AN4264" s="79"/>
      <c r="AO4264" s="79"/>
      <c r="AP4264" s="79"/>
      <c r="AQ4264" s="79"/>
      <c r="AR4264" s="78"/>
      <c r="AS4264" s="78"/>
      <c r="AT4264" s="79"/>
      <c r="AU4264" s="79"/>
      <c r="AV4264" s="79"/>
      <c r="AW4264" s="79"/>
      <c r="AX4264" s="79"/>
      <c r="AZ4264" s="81"/>
      <c r="BB4264" s="5"/>
      <c r="BC4264" s="5"/>
      <c r="BD4264" s="5"/>
      <c r="BE4264" s="5"/>
      <c r="BF4264" s="5"/>
      <c r="BG4264" s="5"/>
      <c r="BH4264" s="5"/>
      <c r="BI4264" s="5"/>
      <c r="BJ4264" s="5"/>
      <c r="BK4264" s="5"/>
      <c r="BL4264" s="5"/>
      <c r="BM4264" s="5"/>
      <c r="BN4264" s="5"/>
      <c r="BO4264" s="5"/>
      <c r="BP4264" s="5"/>
    </row>
    <row r="4265" spans="35:68" x14ac:dyDescent="0.25">
      <c r="AI4265" s="49"/>
      <c r="AJ4265" s="78"/>
      <c r="AK4265" s="79"/>
      <c r="AL4265" s="79"/>
      <c r="AM4265" s="79"/>
      <c r="AN4265" s="79"/>
      <c r="AO4265" s="79"/>
      <c r="AP4265" s="79"/>
      <c r="AQ4265" s="79"/>
      <c r="AR4265" s="78"/>
      <c r="AS4265" s="78"/>
      <c r="AT4265" s="79"/>
      <c r="AU4265" s="79"/>
      <c r="AV4265" s="79"/>
      <c r="AW4265" s="79"/>
      <c r="AX4265" s="79"/>
      <c r="AZ4265" s="81"/>
      <c r="BB4265" s="5"/>
      <c r="BC4265" s="5"/>
      <c r="BD4265" s="5"/>
      <c r="BE4265" s="5"/>
      <c r="BF4265" s="5"/>
      <c r="BG4265" s="5"/>
      <c r="BH4265" s="5"/>
      <c r="BI4265" s="5"/>
      <c r="BJ4265" s="5"/>
      <c r="BK4265" s="5"/>
      <c r="BL4265" s="5"/>
      <c r="BM4265" s="5"/>
      <c r="BN4265" s="5"/>
      <c r="BO4265" s="5"/>
      <c r="BP4265" s="5"/>
    </row>
    <row r="4266" spans="35:68" x14ac:dyDescent="0.25">
      <c r="AI4266" s="49"/>
      <c r="AJ4266" s="78"/>
      <c r="AK4266" s="79"/>
      <c r="AL4266" s="79"/>
      <c r="AM4266" s="79"/>
      <c r="AN4266" s="79"/>
      <c r="AO4266" s="79"/>
      <c r="AP4266" s="79"/>
      <c r="AQ4266" s="79"/>
      <c r="AR4266" s="78"/>
      <c r="AS4266" s="78"/>
      <c r="AT4266" s="79"/>
      <c r="AU4266" s="79"/>
      <c r="AV4266" s="79"/>
      <c r="AW4266" s="79"/>
      <c r="AX4266" s="79"/>
      <c r="AZ4266" s="81"/>
      <c r="BB4266" s="5"/>
      <c r="BC4266" s="5"/>
      <c r="BD4266" s="5"/>
      <c r="BE4266" s="5"/>
      <c r="BF4266" s="5"/>
      <c r="BG4266" s="5"/>
      <c r="BH4266" s="5"/>
      <c r="BI4266" s="5"/>
      <c r="BJ4266" s="5"/>
      <c r="BK4266" s="5"/>
      <c r="BL4266" s="5"/>
      <c r="BM4266" s="5"/>
      <c r="BN4266" s="5"/>
      <c r="BO4266" s="5"/>
      <c r="BP4266" s="5"/>
    </row>
    <row r="4267" spans="35:68" x14ac:dyDescent="0.25">
      <c r="AI4267" s="49"/>
      <c r="AJ4267" s="78"/>
      <c r="AK4267" s="79"/>
      <c r="AL4267" s="79"/>
      <c r="AM4267" s="79"/>
      <c r="AN4267" s="79"/>
      <c r="AO4267" s="79"/>
      <c r="AP4267" s="79"/>
      <c r="AQ4267" s="79"/>
      <c r="AR4267" s="78"/>
      <c r="AS4267" s="78"/>
      <c r="AT4267" s="79"/>
      <c r="AU4267" s="79"/>
      <c r="AV4267" s="79"/>
      <c r="AW4267" s="79"/>
      <c r="AX4267" s="79"/>
      <c r="AZ4267" s="81"/>
      <c r="BB4267" s="5"/>
      <c r="BC4267" s="5"/>
      <c r="BD4267" s="5"/>
      <c r="BE4267" s="5"/>
      <c r="BF4267" s="5"/>
      <c r="BG4267" s="5"/>
      <c r="BH4267" s="5"/>
      <c r="BI4267" s="5"/>
      <c r="BJ4267" s="5"/>
      <c r="BK4267" s="5"/>
      <c r="BL4267" s="5"/>
      <c r="BM4267" s="5"/>
      <c r="BN4267" s="5"/>
      <c r="BO4267" s="5"/>
      <c r="BP4267" s="5"/>
    </row>
    <row r="4268" spans="35:68" x14ac:dyDescent="0.25">
      <c r="AI4268" s="49"/>
      <c r="AJ4268" s="78"/>
      <c r="AK4268" s="79"/>
      <c r="AL4268" s="79"/>
      <c r="AM4268" s="79"/>
      <c r="AN4268" s="79"/>
      <c r="AO4268" s="79"/>
      <c r="AP4268" s="79"/>
      <c r="AQ4268" s="79"/>
      <c r="AR4268" s="78"/>
      <c r="AS4268" s="78"/>
      <c r="AT4268" s="79"/>
      <c r="AU4268" s="79"/>
      <c r="AV4268" s="79"/>
      <c r="AW4268" s="79"/>
      <c r="AX4268" s="79"/>
      <c r="AZ4268" s="81"/>
      <c r="BB4268" s="5"/>
      <c r="BC4268" s="5"/>
      <c r="BD4268" s="5"/>
      <c r="BE4268" s="5"/>
      <c r="BF4268" s="5"/>
      <c r="BG4268" s="5"/>
      <c r="BH4268" s="5"/>
      <c r="BI4268" s="5"/>
      <c r="BJ4268" s="5"/>
      <c r="BK4268" s="5"/>
      <c r="BL4268" s="5"/>
      <c r="BM4268" s="5"/>
      <c r="BN4268" s="5"/>
      <c r="BO4268" s="5"/>
      <c r="BP4268" s="5"/>
    </row>
    <row r="4269" spans="35:68" x14ac:dyDescent="0.25">
      <c r="AI4269" s="49"/>
      <c r="AJ4269" s="78"/>
      <c r="AK4269" s="79"/>
      <c r="AL4269" s="79"/>
      <c r="AM4269" s="79"/>
      <c r="AN4269" s="79"/>
      <c r="AO4269" s="79"/>
      <c r="AP4269" s="79"/>
      <c r="AQ4269" s="79"/>
      <c r="AR4269" s="78"/>
      <c r="AS4269" s="78"/>
      <c r="AT4269" s="79"/>
      <c r="AU4269" s="79"/>
      <c r="AV4269" s="79"/>
      <c r="AW4269" s="79"/>
      <c r="AX4269" s="79"/>
      <c r="AZ4269" s="81"/>
      <c r="BB4269" s="5"/>
      <c r="BC4269" s="5"/>
      <c r="BD4269" s="5"/>
      <c r="BE4269" s="5"/>
      <c r="BF4269" s="5"/>
      <c r="BG4269" s="5"/>
      <c r="BH4269" s="5"/>
      <c r="BI4269" s="5"/>
      <c r="BJ4269" s="5"/>
      <c r="BK4269" s="5"/>
      <c r="BL4269" s="5"/>
      <c r="BM4269" s="5"/>
      <c r="BN4269" s="5"/>
      <c r="BO4269" s="5"/>
      <c r="BP4269" s="5"/>
    </row>
    <row r="4270" spans="35:68" x14ac:dyDescent="0.25">
      <c r="AI4270" s="49"/>
      <c r="AJ4270" s="78"/>
      <c r="AK4270" s="79"/>
      <c r="AL4270" s="79"/>
      <c r="AM4270" s="79"/>
      <c r="AN4270" s="79"/>
      <c r="AO4270" s="79"/>
      <c r="AP4270" s="79"/>
      <c r="AQ4270" s="79"/>
      <c r="AR4270" s="78"/>
      <c r="AS4270" s="78"/>
      <c r="AT4270" s="79"/>
      <c r="AU4270" s="79"/>
      <c r="AV4270" s="79"/>
      <c r="AW4270" s="79"/>
      <c r="AX4270" s="79"/>
      <c r="AZ4270" s="81"/>
      <c r="BB4270" s="5"/>
      <c r="BC4270" s="5"/>
      <c r="BD4270" s="5"/>
      <c r="BE4270" s="5"/>
      <c r="BF4270" s="5"/>
      <c r="BG4270" s="5"/>
      <c r="BH4270" s="5"/>
      <c r="BI4270" s="5"/>
      <c r="BJ4270" s="5"/>
      <c r="BK4270" s="5"/>
      <c r="BL4270" s="5"/>
      <c r="BM4270" s="5"/>
      <c r="BN4270" s="5"/>
      <c r="BO4270" s="5"/>
      <c r="BP4270" s="5"/>
    </row>
    <row r="4271" spans="35:68" x14ac:dyDescent="0.25">
      <c r="AI4271" s="49"/>
      <c r="AJ4271" s="78"/>
      <c r="AK4271" s="79"/>
      <c r="AL4271" s="79"/>
      <c r="AM4271" s="79"/>
      <c r="AN4271" s="79"/>
      <c r="AO4271" s="79"/>
      <c r="AP4271" s="79"/>
      <c r="AQ4271" s="79"/>
      <c r="AR4271" s="78"/>
      <c r="AS4271" s="78"/>
      <c r="AT4271" s="79"/>
      <c r="AU4271" s="79"/>
      <c r="AV4271" s="79"/>
      <c r="AW4271" s="79"/>
      <c r="AX4271" s="79"/>
      <c r="AZ4271" s="81"/>
      <c r="BB4271" s="5"/>
      <c r="BC4271" s="5"/>
      <c r="BD4271" s="5"/>
      <c r="BE4271" s="5"/>
      <c r="BF4271" s="5"/>
      <c r="BG4271" s="5"/>
      <c r="BH4271" s="5"/>
      <c r="BI4271" s="5"/>
      <c r="BJ4271" s="5"/>
      <c r="BK4271" s="5"/>
      <c r="BL4271" s="5"/>
      <c r="BM4271" s="5"/>
      <c r="BN4271" s="5"/>
      <c r="BO4271" s="5"/>
      <c r="BP4271" s="5"/>
    </row>
    <row r="4272" spans="35:68" x14ac:dyDescent="0.25">
      <c r="AI4272" s="49"/>
      <c r="AJ4272" s="78"/>
      <c r="AK4272" s="79"/>
      <c r="AL4272" s="79"/>
      <c r="AM4272" s="79"/>
      <c r="AN4272" s="79"/>
      <c r="AO4272" s="79"/>
      <c r="AP4272" s="79"/>
      <c r="AQ4272" s="79"/>
      <c r="AR4272" s="78"/>
      <c r="AS4272" s="78"/>
      <c r="AT4272" s="79"/>
      <c r="AU4272" s="79"/>
      <c r="AV4272" s="79"/>
      <c r="AW4272" s="79"/>
      <c r="AX4272" s="79"/>
      <c r="AZ4272" s="81"/>
      <c r="BB4272" s="5"/>
      <c r="BC4272" s="5"/>
      <c r="BD4272" s="5"/>
      <c r="BE4272" s="5"/>
      <c r="BF4272" s="5"/>
      <c r="BG4272" s="5"/>
      <c r="BH4272" s="5"/>
      <c r="BI4272" s="5"/>
      <c r="BJ4272" s="5"/>
      <c r="BK4272" s="5"/>
      <c r="BL4272" s="5"/>
      <c r="BM4272" s="5"/>
      <c r="BN4272" s="5"/>
      <c r="BO4272" s="5"/>
      <c r="BP4272" s="5"/>
    </row>
    <row r="4273" spans="35:68" x14ac:dyDescent="0.25">
      <c r="AI4273" s="49"/>
      <c r="AJ4273" s="78"/>
      <c r="AK4273" s="79"/>
      <c r="AL4273" s="79"/>
      <c r="AM4273" s="79"/>
      <c r="AN4273" s="79"/>
      <c r="AO4273" s="79"/>
      <c r="AP4273" s="79"/>
      <c r="AQ4273" s="79"/>
      <c r="AR4273" s="78"/>
      <c r="AS4273" s="78"/>
      <c r="AT4273" s="79"/>
      <c r="AU4273" s="79"/>
      <c r="AV4273" s="79"/>
      <c r="AW4273" s="79"/>
      <c r="AX4273" s="79"/>
      <c r="AZ4273" s="81"/>
      <c r="BB4273" s="5"/>
      <c r="BC4273" s="5"/>
      <c r="BD4273" s="5"/>
      <c r="BE4273" s="5"/>
      <c r="BF4273" s="5"/>
      <c r="BG4273" s="5"/>
      <c r="BH4273" s="5"/>
      <c r="BI4273" s="5"/>
      <c r="BJ4273" s="5"/>
      <c r="BK4273" s="5"/>
      <c r="BL4273" s="5"/>
      <c r="BM4273" s="5"/>
      <c r="BN4273" s="5"/>
      <c r="BO4273" s="5"/>
      <c r="BP4273" s="5"/>
    </row>
    <row r="4274" spans="35:68" x14ac:dyDescent="0.25">
      <c r="AI4274" s="49"/>
      <c r="AJ4274" s="78"/>
      <c r="AK4274" s="79"/>
      <c r="AL4274" s="79"/>
      <c r="AM4274" s="79"/>
      <c r="AN4274" s="79"/>
      <c r="AO4274" s="79"/>
      <c r="AP4274" s="79"/>
      <c r="AQ4274" s="79"/>
      <c r="AR4274" s="78"/>
      <c r="AS4274" s="78"/>
      <c r="AT4274" s="79"/>
      <c r="AU4274" s="79"/>
      <c r="AV4274" s="79"/>
      <c r="AW4274" s="79"/>
      <c r="AX4274" s="79"/>
      <c r="AZ4274" s="81"/>
      <c r="BB4274" s="5"/>
      <c r="BC4274" s="5"/>
      <c r="BD4274" s="5"/>
      <c r="BE4274" s="5"/>
      <c r="BF4274" s="5"/>
      <c r="BG4274" s="5"/>
      <c r="BH4274" s="5"/>
      <c r="BI4274" s="5"/>
      <c r="BJ4274" s="5"/>
      <c r="BK4274" s="5"/>
      <c r="BL4274" s="5"/>
      <c r="BM4274" s="5"/>
      <c r="BN4274" s="5"/>
      <c r="BO4274" s="5"/>
      <c r="BP4274" s="5"/>
    </row>
    <row r="4275" spans="35:68" x14ac:dyDescent="0.25">
      <c r="AI4275" s="49"/>
      <c r="AJ4275" s="78"/>
      <c r="AK4275" s="79"/>
      <c r="AL4275" s="79"/>
      <c r="AM4275" s="79"/>
      <c r="AN4275" s="79"/>
      <c r="AO4275" s="79"/>
      <c r="AP4275" s="79"/>
      <c r="AQ4275" s="79"/>
      <c r="AR4275" s="78"/>
      <c r="AS4275" s="78"/>
      <c r="AT4275" s="79"/>
      <c r="AU4275" s="79"/>
      <c r="AV4275" s="79"/>
      <c r="AW4275" s="79"/>
      <c r="AX4275" s="79"/>
      <c r="AZ4275" s="81"/>
      <c r="BB4275" s="5"/>
      <c r="BC4275" s="5"/>
      <c r="BD4275" s="5"/>
      <c r="BE4275" s="5"/>
      <c r="BF4275" s="5"/>
      <c r="BG4275" s="5"/>
      <c r="BH4275" s="5"/>
      <c r="BI4275" s="5"/>
      <c r="BJ4275" s="5"/>
      <c r="BK4275" s="5"/>
      <c r="BL4275" s="5"/>
      <c r="BM4275" s="5"/>
      <c r="BN4275" s="5"/>
      <c r="BO4275" s="5"/>
      <c r="BP4275" s="5"/>
    </row>
    <row r="4276" spans="35:68" x14ac:dyDescent="0.25">
      <c r="AI4276" s="49"/>
      <c r="AJ4276" s="78"/>
      <c r="AK4276" s="79"/>
      <c r="AL4276" s="79"/>
      <c r="AM4276" s="79"/>
      <c r="AN4276" s="79"/>
      <c r="AO4276" s="79"/>
      <c r="AP4276" s="79"/>
      <c r="AQ4276" s="79"/>
      <c r="AR4276" s="78"/>
      <c r="AS4276" s="78"/>
      <c r="AT4276" s="79"/>
      <c r="AU4276" s="79"/>
      <c r="AV4276" s="79"/>
      <c r="AW4276" s="79"/>
      <c r="AX4276" s="79"/>
      <c r="AZ4276" s="81"/>
      <c r="BB4276" s="5"/>
      <c r="BC4276" s="5"/>
      <c r="BD4276" s="5"/>
      <c r="BE4276" s="5"/>
      <c r="BF4276" s="5"/>
      <c r="BG4276" s="5"/>
      <c r="BH4276" s="5"/>
      <c r="BI4276" s="5"/>
      <c r="BJ4276" s="5"/>
      <c r="BK4276" s="5"/>
      <c r="BL4276" s="5"/>
      <c r="BM4276" s="5"/>
      <c r="BN4276" s="5"/>
      <c r="BO4276" s="5"/>
      <c r="BP4276" s="5"/>
    </row>
    <row r="4277" spans="35:68" x14ac:dyDescent="0.25">
      <c r="AI4277" s="49"/>
      <c r="AJ4277" s="78"/>
      <c r="AK4277" s="79"/>
      <c r="AL4277" s="79"/>
      <c r="AM4277" s="79"/>
      <c r="AN4277" s="79"/>
      <c r="AO4277" s="79"/>
      <c r="AP4277" s="79"/>
      <c r="AQ4277" s="79"/>
      <c r="AR4277" s="78"/>
      <c r="AS4277" s="78"/>
      <c r="AT4277" s="79"/>
      <c r="AU4277" s="79"/>
      <c r="AV4277" s="79"/>
      <c r="AW4277" s="79"/>
      <c r="AX4277" s="79"/>
      <c r="AZ4277" s="81"/>
      <c r="BB4277" s="5"/>
      <c r="BC4277" s="5"/>
      <c r="BD4277" s="5"/>
      <c r="BE4277" s="5"/>
      <c r="BF4277" s="5"/>
      <c r="BG4277" s="5"/>
      <c r="BH4277" s="5"/>
      <c r="BI4277" s="5"/>
      <c r="BJ4277" s="5"/>
      <c r="BK4277" s="5"/>
      <c r="BL4277" s="5"/>
      <c r="BM4277" s="5"/>
      <c r="BN4277" s="5"/>
      <c r="BO4277" s="5"/>
      <c r="BP4277" s="5"/>
    </row>
    <row r="4278" spans="35:68" x14ac:dyDescent="0.25">
      <c r="AI4278" s="49"/>
      <c r="AJ4278" s="78"/>
      <c r="AK4278" s="79"/>
      <c r="AL4278" s="79"/>
      <c r="AM4278" s="79"/>
      <c r="AN4278" s="79"/>
      <c r="AO4278" s="79"/>
      <c r="AP4278" s="79"/>
      <c r="AQ4278" s="79"/>
      <c r="AR4278" s="78"/>
      <c r="AS4278" s="78"/>
      <c r="AT4278" s="79"/>
      <c r="AU4278" s="79"/>
      <c r="AV4278" s="79"/>
      <c r="AW4278" s="79"/>
      <c r="AX4278" s="79"/>
      <c r="AZ4278" s="81"/>
      <c r="BB4278" s="5"/>
      <c r="BC4278" s="5"/>
      <c r="BD4278" s="5"/>
      <c r="BE4278" s="5"/>
      <c r="BF4278" s="5"/>
      <c r="BG4278" s="5"/>
      <c r="BH4278" s="5"/>
      <c r="BI4278" s="5"/>
      <c r="BJ4278" s="5"/>
      <c r="BK4278" s="5"/>
      <c r="BL4278" s="5"/>
      <c r="BM4278" s="5"/>
      <c r="BN4278" s="5"/>
      <c r="BO4278" s="5"/>
      <c r="BP4278" s="5"/>
    </row>
    <row r="4279" spans="35:68" x14ac:dyDescent="0.25">
      <c r="AI4279" s="49"/>
      <c r="AJ4279" s="78"/>
      <c r="AK4279" s="79"/>
      <c r="AL4279" s="79"/>
      <c r="AM4279" s="79"/>
      <c r="AN4279" s="79"/>
      <c r="AO4279" s="79"/>
      <c r="AP4279" s="79"/>
      <c r="AQ4279" s="79"/>
      <c r="AR4279" s="78"/>
      <c r="AS4279" s="78"/>
      <c r="AT4279" s="79"/>
      <c r="AU4279" s="79"/>
      <c r="AV4279" s="79"/>
      <c r="AW4279" s="79"/>
      <c r="AX4279" s="79"/>
      <c r="AZ4279" s="81"/>
      <c r="BB4279" s="5"/>
      <c r="BC4279" s="5"/>
      <c r="BD4279" s="5"/>
      <c r="BE4279" s="5"/>
      <c r="BF4279" s="5"/>
      <c r="BG4279" s="5"/>
      <c r="BH4279" s="5"/>
      <c r="BI4279" s="5"/>
      <c r="BJ4279" s="5"/>
      <c r="BK4279" s="5"/>
      <c r="BL4279" s="5"/>
      <c r="BM4279" s="5"/>
      <c r="BN4279" s="5"/>
      <c r="BO4279" s="5"/>
      <c r="BP4279" s="5"/>
    </row>
    <row r="4280" spans="35:68" x14ac:dyDescent="0.25">
      <c r="AI4280" s="49"/>
      <c r="AJ4280" s="78"/>
      <c r="AK4280" s="79"/>
      <c r="AL4280" s="79"/>
      <c r="AM4280" s="79"/>
      <c r="AN4280" s="79"/>
      <c r="AO4280" s="79"/>
      <c r="AP4280" s="79"/>
      <c r="AQ4280" s="79"/>
      <c r="AR4280" s="78"/>
      <c r="AS4280" s="78"/>
      <c r="AT4280" s="79"/>
      <c r="AU4280" s="79"/>
      <c r="AV4280" s="79"/>
      <c r="AW4280" s="79"/>
      <c r="AX4280" s="79"/>
      <c r="AZ4280" s="81"/>
      <c r="BB4280" s="5"/>
      <c r="BC4280" s="5"/>
      <c r="BD4280" s="5"/>
      <c r="BE4280" s="5"/>
      <c r="BF4280" s="5"/>
      <c r="BG4280" s="5"/>
      <c r="BH4280" s="5"/>
      <c r="BI4280" s="5"/>
      <c r="BJ4280" s="5"/>
      <c r="BK4280" s="5"/>
      <c r="BL4280" s="5"/>
      <c r="BM4280" s="5"/>
      <c r="BN4280" s="5"/>
      <c r="BO4280" s="5"/>
      <c r="BP4280" s="5"/>
    </row>
    <row r="4281" spans="35:68" x14ac:dyDescent="0.25">
      <c r="AI4281" s="49"/>
      <c r="AJ4281" s="78"/>
      <c r="AK4281" s="79"/>
      <c r="AL4281" s="79"/>
      <c r="AM4281" s="79"/>
      <c r="AN4281" s="79"/>
      <c r="AO4281" s="79"/>
      <c r="AP4281" s="79"/>
      <c r="AQ4281" s="79"/>
      <c r="AR4281" s="78"/>
      <c r="AS4281" s="78"/>
      <c r="AT4281" s="79"/>
      <c r="AU4281" s="79"/>
      <c r="AV4281" s="79"/>
      <c r="AW4281" s="79"/>
      <c r="AX4281" s="79"/>
      <c r="AZ4281" s="81"/>
      <c r="BB4281" s="5"/>
      <c r="BC4281" s="5"/>
      <c r="BD4281" s="5"/>
      <c r="BE4281" s="5"/>
      <c r="BF4281" s="5"/>
      <c r="BG4281" s="5"/>
      <c r="BH4281" s="5"/>
      <c r="BI4281" s="5"/>
      <c r="BJ4281" s="5"/>
      <c r="BK4281" s="5"/>
      <c r="BL4281" s="5"/>
      <c r="BM4281" s="5"/>
      <c r="BN4281" s="5"/>
      <c r="BO4281" s="5"/>
      <c r="BP4281" s="5"/>
    </row>
    <row r="4282" spans="35:68" x14ac:dyDescent="0.25">
      <c r="AI4282" s="49"/>
      <c r="AJ4282" s="78"/>
      <c r="AK4282" s="79"/>
      <c r="AL4282" s="79"/>
      <c r="AM4282" s="79"/>
      <c r="AN4282" s="79"/>
      <c r="AO4282" s="79"/>
      <c r="AP4282" s="79"/>
      <c r="AQ4282" s="79"/>
      <c r="AR4282" s="78"/>
      <c r="AS4282" s="78"/>
      <c r="AT4282" s="79"/>
      <c r="AU4282" s="79"/>
      <c r="AV4282" s="79"/>
      <c r="AW4282" s="79"/>
      <c r="AX4282" s="79"/>
      <c r="AZ4282" s="81"/>
      <c r="BB4282" s="5"/>
      <c r="BC4282" s="5"/>
      <c r="BD4282" s="5"/>
      <c r="BE4282" s="5"/>
      <c r="BF4282" s="5"/>
      <c r="BG4282" s="5"/>
      <c r="BH4282" s="5"/>
      <c r="BI4282" s="5"/>
      <c r="BJ4282" s="5"/>
      <c r="BK4282" s="5"/>
      <c r="BL4282" s="5"/>
      <c r="BM4282" s="5"/>
      <c r="BN4282" s="5"/>
      <c r="BO4282" s="5"/>
      <c r="BP4282" s="5"/>
    </row>
    <row r="4283" spans="35:68" x14ac:dyDescent="0.25">
      <c r="AI4283" s="49"/>
      <c r="AJ4283" s="78"/>
      <c r="AK4283" s="79"/>
      <c r="AL4283" s="79"/>
      <c r="AM4283" s="79"/>
      <c r="AN4283" s="79"/>
      <c r="AO4283" s="79"/>
      <c r="AP4283" s="79"/>
      <c r="AQ4283" s="79"/>
      <c r="AR4283" s="78"/>
      <c r="AS4283" s="78"/>
      <c r="AT4283" s="79"/>
      <c r="AU4283" s="79"/>
      <c r="AV4283" s="79"/>
      <c r="AW4283" s="79"/>
      <c r="AX4283" s="79"/>
      <c r="AZ4283" s="81"/>
      <c r="BB4283" s="5"/>
      <c r="BC4283" s="5"/>
      <c r="BD4283" s="5"/>
      <c r="BE4283" s="5"/>
      <c r="BF4283" s="5"/>
      <c r="BG4283" s="5"/>
      <c r="BH4283" s="5"/>
      <c r="BI4283" s="5"/>
      <c r="BJ4283" s="5"/>
      <c r="BK4283" s="5"/>
      <c r="BL4283" s="5"/>
      <c r="BM4283" s="5"/>
      <c r="BN4283" s="5"/>
      <c r="BO4283" s="5"/>
      <c r="BP4283" s="5"/>
    </row>
    <row r="4284" spans="35:68" x14ac:dyDescent="0.25">
      <c r="AI4284" s="49"/>
      <c r="AJ4284" s="78"/>
      <c r="AK4284" s="79"/>
      <c r="AL4284" s="79"/>
      <c r="AM4284" s="79"/>
      <c r="AN4284" s="79"/>
      <c r="AO4284" s="79"/>
      <c r="AP4284" s="79"/>
      <c r="AQ4284" s="79"/>
      <c r="AR4284" s="78"/>
      <c r="AS4284" s="78"/>
      <c r="AT4284" s="79"/>
      <c r="AU4284" s="79"/>
      <c r="AV4284" s="79"/>
      <c r="AW4284" s="79"/>
      <c r="AX4284" s="79"/>
      <c r="AZ4284" s="81"/>
      <c r="BB4284" s="5"/>
      <c r="BC4284" s="5"/>
      <c r="BD4284" s="5"/>
      <c r="BE4284" s="5"/>
      <c r="BF4284" s="5"/>
      <c r="BG4284" s="5"/>
      <c r="BH4284" s="5"/>
      <c r="BI4284" s="5"/>
      <c r="BJ4284" s="5"/>
      <c r="BK4284" s="5"/>
      <c r="BL4284" s="5"/>
      <c r="BM4284" s="5"/>
      <c r="BN4284" s="5"/>
      <c r="BO4284" s="5"/>
      <c r="BP4284" s="5"/>
    </row>
    <row r="4285" spans="35:68" x14ac:dyDescent="0.25">
      <c r="AI4285" s="49"/>
      <c r="AJ4285" s="78"/>
      <c r="AK4285" s="79"/>
      <c r="AL4285" s="79"/>
      <c r="AM4285" s="79"/>
      <c r="AN4285" s="79"/>
      <c r="AO4285" s="79"/>
      <c r="AP4285" s="79"/>
      <c r="AQ4285" s="79"/>
      <c r="AR4285" s="78"/>
      <c r="AS4285" s="78"/>
      <c r="AT4285" s="79"/>
      <c r="AU4285" s="79"/>
      <c r="AV4285" s="79"/>
      <c r="AW4285" s="79"/>
      <c r="AX4285" s="79"/>
      <c r="AZ4285" s="81"/>
      <c r="BB4285" s="5"/>
      <c r="BC4285" s="5"/>
      <c r="BD4285" s="5"/>
      <c r="BE4285" s="5"/>
      <c r="BF4285" s="5"/>
      <c r="BG4285" s="5"/>
      <c r="BH4285" s="5"/>
      <c r="BI4285" s="5"/>
      <c r="BJ4285" s="5"/>
      <c r="BK4285" s="5"/>
      <c r="BL4285" s="5"/>
      <c r="BM4285" s="5"/>
      <c r="BN4285" s="5"/>
      <c r="BO4285" s="5"/>
      <c r="BP4285" s="5"/>
    </row>
    <row r="4286" spans="35:68" x14ac:dyDescent="0.25">
      <c r="AI4286" s="49"/>
      <c r="AJ4286" s="78"/>
      <c r="AK4286" s="79"/>
      <c r="AL4286" s="79"/>
      <c r="AM4286" s="79"/>
      <c r="AN4286" s="79"/>
      <c r="AO4286" s="79"/>
      <c r="AP4286" s="79"/>
      <c r="AQ4286" s="79"/>
      <c r="AR4286" s="78"/>
      <c r="AS4286" s="78"/>
      <c r="AT4286" s="79"/>
      <c r="AU4286" s="79"/>
      <c r="AV4286" s="79"/>
      <c r="AW4286" s="79"/>
      <c r="AX4286" s="79"/>
      <c r="AZ4286" s="81"/>
      <c r="BB4286" s="5"/>
      <c r="BC4286" s="5"/>
      <c r="BD4286" s="5"/>
      <c r="BE4286" s="5"/>
      <c r="BF4286" s="5"/>
      <c r="BG4286" s="5"/>
      <c r="BH4286" s="5"/>
      <c r="BI4286" s="5"/>
      <c r="BJ4286" s="5"/>
      <c r="BK4286" s="5"/>
      <c r="BL4286" s="5"/>
      <c r="BM4286" s="5"/>
      <c r="BN4286" s="5"/>
      <c r="BO4286" s="5"/>
      <c r="BP4286" s="5"/>
    </row>
    <row r="4287" spans="35:68" x14ac:dyDescent="0.25">
      <c r="AI4287" s="49"/>
      <c r="AJ4287" s="78"/>
      <c r="AK4287" s="79"/>
      <c r="AL4287" s="79"/>
      <c r="AM4287" s="79"/>
      <c r="AN4287" s="79"/>
      <c r="AO4287" s="79"/>
      <c r="AP4287" s="79"/>
      <c r="AQ4287" s="79"/>
      <c r="AR4287" s="78"/>
      <c r="AS4287" s="78"/>
      <c r="AT4287" s="79"/>
      <c r="AU4287" s="79"/>
      <c r="AV4287" s="79"/>
      <c r="AW4287" s="79"/>
      <c r="AX4287" s="79"/>
      <c r="AZ4287" s="81"/>
      <c r="BB4287" s="5"/>
      <c r="BC4287" s="5"/>
      <c r="BD4287" s="5"/>
      <c r="BE4287" s="5"/>
      <c r="BF4287" s="5"/>
      <c r="BG4287" s="5"/>
      <c r="BH4287" s="5"/>
      <c r="BI4287" s="5"/>
      <c r="BJ4287" s="5"/>
      <c r="BK4287" s="5"/>
      <c r="BL4287" s="5"/>
      <c r="BM4287" s="5"/>
      <c r="BN4287" s="5"/>
      <c r="BO4287" s="5"/>
      <c r="BP4287" s="5"/>
    </row>
    <row r="4288" spans="35:68" x14ac:dyDescent="0.25">
      <c r="AI4288" s="49"/>
      <c r="AJ4288" s="78"/>
      <c r="AK4288" s="79"/>
      <c r="AL4288" s="79"/>
      <c r="AM4288" s="79"/>
      <c r="AN4288" s="79"/>
      <c r="AO4288" s="79"/>
      <c r="AP4288" s="79"/>
      <c r="AQ4288" s="79"/>
      <c r="AR4288" s="78"/>
      <c r="AS4288" s="78"/>
      <c r="AT4288" s="79"/>
      <c r="AU4288" s="79"/>
      <c r="AV4288" s="79"/>
      <c r="AW4288" s="79"/>
      <c r="AX4288" s="79"/>
      <c r="AZ4288" s="81"/>
      <c r="BB4288" s="5"/>
      <c r="BC4288" s="5"/>
      <c r="BD4288" s="5"/>
      <c r="BE4288" s="5"/>
      <c r="BF4288" s="5"/>
      <c r="BG4288" s="5"/>
      <c r="BH4288" s="5"/>
      <c r="BI4288" s="5"/>
      <c r="BJ4288" s="5"/>
      <c r="BK4288" s="5"/>
      <c r="BL4288" s="5"/>
      <c r="BM4288" s="5"/>
      <c r="BN4288" s="5"/>
      <c r="BO4288" s="5"/>
      <c r="BP4288" s="5"/>
    </row>
    <row r="4289" spans="35:68" x14ac:dyDescent="0.25">
      <c r="AI4289" s="49"/>
      <c r="AJ4289" s="78"/>
      <c r="AK4289" s="79"/>
      <c r="AL4289" s="79"/>
      <c r="AM4289" s="79"/>
      <c r="AN4289" s="79"/>
      <c r="AO4289" s="79"/>
      <c r="AP4289" s="79"/>
      <c r="AQ4289" s="79"/>
      <c r="AR4289" s="78"/>
      <c r="AS4289" s="78"/>
      <c r="AT4289" s="79"/>
      <c r="AU4289" s="79"/>
      <c r="AV4289" s="79"/>
      <c r="AW4289" s="79"/>
      <c r="AX4289" s="79"/>
      <c r="AZ4289" s="81"/>
      <c r="BB4289" s="5"/>
      <c r="BC4289" s="5"/>
      <c r="BD4289" s="5"/>
      <c r="BE4289" s="5"/>
      <c r="BF4289" s="5"/>
      <c r="BG4289" s="5"/>
      <c r="BH4289" s="5"/>
      <c r="BI4289" s="5"/>
      <c r="BJ4289" s="5"/>
      <c r="BK4289" s="5"/>
      <c r="BL4289" s="5"/>
      <c r="BM4289" s="5"/>
      <c r="BN4289" s="5"/>
      <c r="BO4289" s="5"/>
      <c r="BP4289" s="5"/>
    </row>
    <row r="4290" spans="35:68" x14ac:dyDescent="0.25">
      <c r="AI4290" s="49"/>
      <c r="AJ4290" s="78"/>
      <c r="AK4290" s="79"/>
      <c r="AL4290" s="79"/>
      <c r="AM4290" s="79"/>
      <c r="AN4290" s="79"/>
      <c r="AO4290" s="79"/>
      <c r="AP4290" s="79"/>
      <c r="AQ4290" s="79"/>
      <c r="AR4290" s="78"/>
      <c r="AS4290" s="78"/>
      <c r="AT4290" s="79"/>
      <c r="AU4290" s="79"/>
      <c r="AV4290" s="79"/>
      <c r="AW4290" s="79"/>
      <c r="AX4290" s="79"/>
      <c r="AZ4290" s="81"/>
      <c r="BB4290" s="5"/>
      <c r="BC4290" s="5"/>
      <c r="BD4290" s="5"/>
      <c r="BE4290" s="5"/>
      <c r="BF4290" s="5"/>
      <c r="BG4290" s="5"/>
      <c r="BH4290" s="5"/>
      <c r="BI4290" s="5"/>
      <c r="BJ4290" s="5"/>
      <c r="BK4290" s="5"/>
      <c r="BL4290" s="5"/>
      <c r="BM4290" s="5"/>
      <c r="BN4290" s="5"/>
      <c r="BO4290" s="5"/>
      <c r="BP4290" s="5"/>
    </row>
    <row r="4291" spans="35:68" x14ac:dyDescent="0.25">
      <c r="AI4291" s="49"/>
      <c r="AJ4291" s="78"/>
      <c r="AK4291" s="79"/>
      <c r="AL4291" s="79"/>
      <c r="AM4291" s="79"/>
      <c r="AN4291" s="79"/>
      <c r="AO4291" s="79"/>
      <c r="AP4291" s="79"/>
      <c r="AQ4291" s="79"/>
      <c r="AR4291" s="78"/>
      <c r="AS4291" s="78"/>
      <c r="AT4291" s="79"/>
      <c r="AU4291" s="79"/>
      <c r="AV4291" s="79"/>
      <c r="AW4291" s="79"/>
      <c r="AX4291" s="79"/>
      <c r="AZ4291" s="81"/>
      <c r="BB4291" s="5"/>
      <c r="BC4291" s="5"/>
      <c r="BD4291" s="5"/>
      <c r="BE4291" s="5"/>
      <c r="BF4291" s="5"/>
      <c r="BG4291" s="5"/>
      <c r="BH4291" s="5"/>
      <c r="BI4291" s="5"/>
      <c r="BJ4291" s="5"/>
      <c r="BK4291" s="5"/>
      <c r="BL4291" s="5"/>
      <c r="BM4291" s="5"/>
      <c r="BN4291" s="5"/>
      <c r="BO4291" s="5"/>
      <c r="BP4291" s="5"/>
    </row>
    <row r="4292" spans="35:68" x14ac:dyDescent="0.25">
      <c r="AI4292" s="49"/>
      <c r="AJ4292" s="78"/>
      <c r="AK4292" s="79"/>
      <c r="AL4292" s="79"/>
      <c r="AM4292" s="79"/>
      <c r="AN4292" s="79"/>
      <c r="AO4292" s="79"/>
      <c r="AP4292" s="79"/>
      <c r="AQ4292" s="79"/>
      <c r="AR4292" s="78"/>
      <c r="AS4292" s="78"/>
      <c r="AT4292" s="79"/>
      <c r="AU4292" s="79"/>
      <c r="AV4292" s="79"/>
      <c r="AW4292" s="79"/>
      <c r="AX4292" s="79"/>
      <c r="AZ4292" s="81"/>
      <c r="BB4292" s="5"/>
      <c r="BC4292" s="5"/>
      <c r="BD4292" s="5"/>
      <c r="BE4292" s="5"/>
      <c r="BF4292" s="5"/>
      <c r="BG4292" s="5"/>
      <c r="BH4292" s="5"/>
      <c r="BI4292" s="5"/>
      <c r="BJ4292" s="5"/>
      <c r="BK4292" s="5"/>
      <c r="BL4292" s="5"/>
      <c r="BM4292" s="5"/>
      <c r="BN4292" s="5"/>
      <c r="BO4292" s="5"/>
      <c r="BP4292" s="5"/>
    </row>
    <row r="4293" spans="35:68" x14ac:dyDescent="0.25">
      <c r="AI4293" s="49"/>
      <c r="AJ4293" s="78"/>
      <c r="AK4293" s="79"/>
      <c r="AL4293" s="79"/>
      <c r="AM4293" s="79"/>
      <c r="AN4293" s="79"/>
      <c r="AO4293" s="79"/>
      <c r="AP4293" s="79"/>
      <c r="AQ4293" s="79"/>
      <c r="AR4293" s="78"/>
      <c r="AS4293" s="78"/>
      <c r="AT4293" s="79"/>
      <c r="AU4293" s="79"/>
      <c r="AV4293" s="79"/>
      <c r="AW4293" s="79"/>
      <c r="AX4293" s="79"/>
      <c r="AZ4293" s="81"/>
      <c r="BB4293" s="5"/>
      <c r="BC4293" s="5"/>
      <c r="BD4293" s="5"/>
      <c r="BE4293" s="5"/>
      <c r="BF4293" s="5"/>
      <c r="BG4293" s="5"/>
      <c r="BH4293" s="5"/>
      <c r="BI4293" s="5"/>
      <c r="BJ4293" s="5"/>
      <c r="BK4293" s="5"/>
      <c r="BL4293" s="5"/>
      <c r="BM4293" s="5"/>
      <c r="BN4293" s="5"/>
      <c r="BO4293" s="5"/>
      <c r="BP4293" s="5"/>
    </row>
    <row r="4294" spans="35:68" x14ac:dyDescent="0.25">
      <c r="AI4294" s="49"/>
      <c r="AJ4294" s="78"/>
      <c r="AK4294" s="79"/>
      <c r="AL4294" s="79"/>
      <c r="AM4294" s="79"/>
      <c r="AN4294" s="79"/>
      <c r="AO4294" s="79"/>
      <c r="AP4294" s="79"/>
      <c r="AQ4294" s="79"/>
      <c r="AR4294" s="78"/>
      <c r="AS4294" s="78"/>
      <c r="AT4294" s="79"/>
      <c r="AU4294" s="79"/>
      <c r="AV4294" s="79"/>
      <c r="AW4294" s="79"/>
      <c r="AX4294" s="79"/>
      <c r="AZ4294" s="81"/>
      <c r="BB4294" s="5"/>
      <c r="BC4294" s="5"/>
      <c r="BD4294" s="5"/>
      <c r="BE4294" s="5"/>
      <c r="BF4294" s="5"/>
      <c r="BG4294" s="5"/>
      <c r="BH4294" s="5"/>
      <c r="BI4294" s="5"/>
      <c r="BJ4294" s="5"/>
      <c r="BK4294" s="5"/>
      <c r="BL4294" s="5"/>
      <c r="BM4294" s="5"/>
      <c r="BN4294" s="5"/>
      <c r="BO4294" s="5"/>
      <c r="BP4294" s="5"/>
    </row>
    <row r="4295" spans="35:68" x14ac:dyDescent="0.25">
      <c r="AI4295" s="49"/>
      <c r="AJ4295" s="78"/>
      <c r="AK4295" s="79"/>
      <c r="AL4295" s="79"/>
      <c r="AM4295" s="79"/>
      <c r="AN4295" s="79"/>
      <c r="AO4295" s="79"/>
      <c r="AP4295" s="79"/>
      <c r="AQ4295" s="79"/>
      <c r="AR4295" s="78"/>
      <c r="AS4295" s="78"/>
      <c r="AT4295" s="79"/>
      <c r="AU4295" s="79"/>
      <c r="AV4295" s="79"/>
      <c r="AW4295" s="79"/>
      <c r="AX4295" s="79"/>
      <c r="AZ4295" s="81"/>
      <c r="BB4295" s="5"/>
      <c r="BC4295" s="5"/>
      <c r="BD4295" s="5"/>
      <c r="BE4295" s="5"/>
      <c r="BF4295" s="5"/>
      <c r="BG4295" s="5"/>
      <c r="BH4295" s="5"/>
      <c r="BI4295" s="5"/>
      <c r="BJ4295" s="5"/>
      <c r="BK4295" s="5"/>
      <c r="BL4295" s="5"/>
      <c r="BM4295" s="5"/>
      <c r="BN4295" s="5"/>
      <c r="BO4295" s="5"/>
      <c r="BP4295" s="5"/>
    </row>
    <row r="4296" spans="35:68" x14ac:dyDescent="0.25">
      <c r="AI4296" s="49"/>
      <c r="AJ4296" s="78"/>
      <c r="AK4296" s="79"/>
      <c r="AL4296" s="79"/>
      <c r="AM4296" s="79"/>
      <c r="AN4296" s="79"/>
      <c r="AO4296" s="79"/>
      <c r="AP4296" s="79"/>
      <c r="AQ4296" s="79"/>
      <c r="AR4296" s="78"/>
      <c r="AS4296" s="78"/>
      <c r="AT4296" s="79"/>
      <c r="AU4296" s="79"/>
      <c r="AV4296" s="79"/>
      <c r="AW4296" s="79"/>
      <c r="AX4296" s="79"/>
      <c r="AZ4296" s="81"/>
      <c r="BB4296" s="5"/>
      <c r="BC4296" s="5"/>
      <c r="BD4296" s="5"/>
      <c r="BE4296" s="5"/>
      <c r="BF4296" s="5"/>
      <c r="BG4296" s="5"/>
      <c r="BH4296" s="5"/>
      <c r="BI4296" s="5"/>
      <c r="BJ4296" s="5"/>
      <c r="BK4296" s="5"/>
      <c r="BL4296" s="5"/>
      <c r="BM4296" s="5"/>
      <c r="BN4296" s="5"/>
      <c r="BO4296" s="5"/>
      <c r="BP4296" s="5"/>
    </row>
    <row r="4297" spans="35:68" x14ac:dyDescent="0.25">
      <c r="AI4297" s="49"/>
      <c r="AJ4297" s="78"/>
      <c r="AK4297" s="79"/>
      <c r="AL4297" s="79"/>
      <c r="AM4297" s="79"/>
      <c r="AN4297" s="79"/>
      <c r="AO4297" s="79"/>
      <c r="AP4297" s="79"/>
      <c r="AQ4297" s="79"/>
      <c r="AR4297" s="78"/>
      <c r="AS4297" s="78"/>
      <c r="AT4297" s="79"/>
      <c r="AU4297" s="79"/>
      <c r="AV4297" s="79"/>
      <c r="AW4297" s="79"/>
      <c r="AX4297" s="79"/>
      <c r="AZ4297" s="81"/>
      <c r="BB4297" s="5"/>
      <c r="BC4297" s="5"/>
      <c r="BD4297" s="5"/>
      <c r="BE4297" s="5"/>
      <c r="BF4297" s="5"/>
      <c r="BG4297" s="5"/>
      <c r="BH4297" s="5"/>
      <c r="BI4297" s="5"/>
      <c r="BJ4297" s="5"/>
      <c r="BK4297" s="5"/>
      <c r="BL4297" s="5"/>
      <c r="BM4297" s="5"/>
      <c r="BN4297" s="5"/>
      <c r="BO4297" s="5"/>
      <c r="BP4297" s="5"/>
    </row>
    <row r="4298" spans="35:68" x14ac:dyDescent="0.25">
      <c r="AI4298" s="49"/>
      <c r="AJ4298" s="78"/>
      <c r="AK4298" s="79"/>
      <c r="AL4298" s="79"/>
      <c r="AM4298" s="79"/>
      <c r="AN4298" s="79"/>
      <c r="AO4298" s="79"/>
      <c r="AP4298" s="79"/>
      <c r="AQ4298" s="79"/>
      <c r="AR4298" s="78"/>
      <c r="AS4298" s="78"/>
      <c r="AT4298" s="79"/>
      <c r="AU4298" s="79"/>
      <c r="AV4298" s="79"/>
      <c r="AW4298" s="79"/>
      <c r="AX4298" s="79"/>
      <c r="AZ4298" s="81"/>
      <c r="BB4298" s="5"/>
      <c r="BC4298" s="5"/>
      <c r="BD4298" s="5"/>
      <c r="BE4298" s="5"/>
      <c r="BF4298" s="5"/>
      <c r="BG4298" s="5"/>
      <c r="BH4298" s="5"/>
      <c r="BI4298" s="5"/>
      <c r="BJ4298" s="5"/>
      <c r="BK4298" s="5"/>
      <c r="BL4298" s="5"/>
      <c r="BM4298" s="5"/>
      <c r="BN4298" s="5"/>
      <c r="BO4298" s="5"/>
      <c r="BP4298" s="5"/>
    </row>
    <row r="4299" spans="35:68" x14ac:dyDescent="0.25">
      <c r="AI4299" s="49"/>
      <c r="AJ4299" s="78"/>
      <c r="AK4299" s="79"/>
      <c r="AL4299" s="79"/>
      <c r="AM4299" s="79"/>
      <c r="AN4299" s="79"/>
      <c r="AO4299" s="79"/>
      <c r="AP4299" s="79"/>
      <c r="AQ4299" s="79"/>
      <c r="AR4299" s="78"/>
      <c r="AS4299" s="78"/>
      <c r="AT4299" s="79"/>
      <c r="AU4299" s="79"/>
      <c r="AV4299" s="79"/>
      <c r="AW4299" s="79"/>
      <c r="AX4299" s="79"/>
      <c r="AZ4299" s="81"/>
      <c r="BB4299" s="5"/>
      <c r="BC4299" s="5"/>
      <c r="BD4299" s="5"/>
      <c r="BE4299" s="5"/>
      <c r="BF4299" s="5"/>
      <c r="BG4299" s="5"/>
      <c r="BH4299" s="5"/>
      <c r="BI4299" s="5"/>
      <c r="BJ4299" s="5"/>
      <c r="BK4299" s="5"/>
      <c r="BL4299" s="5"/>
      <c r="BM4299" s="5"/>
      <c r="BN4299" s="5"/>
      <c r="BO4299" s="5"/>
      <c r="BP4299" s="5"/>
    </row>
    <row r="4300" spans="35:68" x14ac:dyDescent="0.25">
      <c r="AI4300" s="49"/>
      <c r="AJ4300" s="78"/>
      <c r="AK4300" s="79"/>
      <c r="AL4300" s="79"/>
      <c r="AM4300" s="79"/>
      <c r="AN4300" s="79"/>
      <c r="AO4300" s="79"/>
      <c r="AP4300" s="79"/>
      <c r="AQ4300" s="79"/>
      <c r="AR4300" s="78"/>
      <c r="AS4300" s="78"/>
      <c r="AT4300" s="79"/>
      <c r="AU4300" s="79"/>
      <c r="AV4300" s="79"/>
      <c r="AW4300" s="79"/>
      <c r="AX4300" s="79"/>
      <c r="AZ4300" s="81"/>
      <c r="BB4300" s="5"/>
      <c r="BC4300" s="5"/>
      <c r="BD4300" s="5"/>
      <c r="BE4300" s="5"/>
      <c r="BF4300" s="5"/>
      <c r="BG4300" s="5"/>
      <c r="BH4300" s="5"/>
      <c r="BI4300" s="5"/>
      <c r="BJ4300" s="5"/>
      <c r="BK4300" s="5"/>
      <c r="BL4300" s="5"/>
      <c r="BM4300" s="5"/>
      <c r="BN4300" s="5"/>
      <c r="BO4300" s="5"/>
      <c r="BP4300" s="5"/>
    </row>
    <row r="4301" spans="35:68" x14ac:dyDescent="0.25">
      <c r="AI4301" s="49"/>
      <c r="AJ4301" s="78"/>
      <c r="AK4301" s="79"/>
      <c r="AL4301" s="79"/>
      <c r="AM4301" s="79"/>
      <c r="AN4301" s="79"/>
      <c r="AO4301" s="79"/>
      <c r="AP4301" s="79"/>
      <c r="AQ4301" s="79"/>
      <c r="AR4301" s="78"/>
      <c r="AS4301" s="78"/>
      <c r="AT4301" s="79"/>
      <c r="AU4301" s="79"/>
      <c r="AV4301" s="79"/>
      <c r="AW4301" s="79"/>
      <c r="AX4301" s="79"/>
      <c r="AZ4301" s="81"/>
      <c r="BB4301" s="5"/>
      <c r="BC4301" s="5"/>
      <c r="BD4301" s="5"/>
      <c r="BE4301" s="5"/>
      <c r="BF4301" s="5"/>
      <c r="BG4301" s="5"/>
      <c r="BH4301" s="5"/>
      <c r="BI4301" s="5"/>
      <c r="BJ4301" s="5"/>
      <c r="BK4301" s="5"/>
      <c r="BL4301" s="5"/>
      <c r="BM4301" s="5"/>
      <c r="BN4301" s="5"/>
      <c r="BO4301" s="5"/>
      <c r="BP4301" s="5"/>
    </row>
    <row r="4302" spans="35:68" x14ac:dyDescent="0.25">
      <c r="AI4302" s="49"/>
      <c r="AJ4302" s="78"/>
      <c r="AK4302" s="79"/>
      <c r="AL4302" s="79"/>
      <c r="AM4302" s="79"/>
      <c r="AN4302" s="79"/>
      <c r="AO4302" s="79"/>
      <c r="AP4302" s="79"/>
      <c r="AQ4302" s="79"/>
      <c r="AR4302" s="78"/>
      <c r="AS4302" s="78"/>
      <c r="AT4302" s="79"/>
      <c r="AU4302" s="79"/>
      <c r="AV4302" s="79"/>
      <c r="AW4302" s="79"/>
      <c r="AX4302" s="79"/>
      <c r="AZ4302" s="81"/>
      <c r="BB4302" s="5"/>
      <c r="BC4302" s="5"/>
      <c r="BD4302" s="5"/>
      <c r="BE4302" s="5"/>
      <c r="BF4302" s="5"/>
      <c r="BG4302" s="5"/>
      <c r="BH4302" s="5"/>
      <c r="BI4302" s="5"/>
      <c r="BJ4302" s="5"/>
      <c r="BK4302" s="5"/>
      <c r="BL4302" s="5"/>
      <c r="BM4302" s="5"/>
      <c r="BN4302" s="5"/>
      <c r="BO4302" s="5"/>
      <c r="BP4302" s="5"/>
    </row>
    <row r="4303" spans="35:68" x14ac:dyDescent="0.25">
      <c r="AI4303" s="49"/>
      <c r="AJ4303" s="78"/>
      <c r="AK4303" s="79"/>
      <c r="AL4303" s="79"/>
      <c r="AM4303" s="79"/>
      <c r="AN4303" s="79"/>
      <c r="AO4303" s="79"/>
      <c r="AP4303" s="79"/>
      <c r="AQ4303" s="79"/>
      <c r="AR4303" s="78"/>
      <c r="AS4303" s="78"/>
      <c r="AT4303" s="79"/>
      <c r="AU4303" s="79"/>
      <c r="AV4303" s="79"/>
      <c r="AW4303" s="79"/>
      <c r="AX4303" s="79"/>
      <c r="AZ4303" s="81"/>
      <c r="BB4303" s="5"/>
      <c r="BC4303" s="5"/>
      <c r="BD4303" s="5"/>
      <c r="BE4303" s="5"/>
      <c r="BF4303" s="5"/>
      <c r="BG4303" s="5"/>
      <c r="BH4303" s="5"/>
      <c r="BI4303" s="5"/>
      <c r="BJ4303" s="5"/>
      <c r="BK4303" s="5"/>
      <c r="BL4303" s="5"/>
      <c r="BM4303" s="5"/>
      <c r="BN4303" s="5"/>
      <c r="BO4303" s="5"/>
      <c r="BP4303" s="5"/>
    </row>
    <row r="4304" spans="35:68" x14ac:dyDescent="0.25">
      <c r="AI4304" s="49"/>
      <c r="AJ4304" s="78"/>
      <c r="AK4304" s="79"/>
      <c r="AL4304" s="79"/>
      <c r="AM4304" s="79"/>
      <c r="AN4304" s="79"/>
      <c r="AO4304" s="79"/>
      <c r="AP4304" s="79"/>
      <c r="AQ4304" s="79"/>
      <c r="AR4304" s="78"/>
      <c r="AS4304" s="78"/>
      <c r="AT4304" s="79"/>
      <c r="AU4304" s="79"/>
      <c r="AV4304" s="79"/>
      <c r="AW4304" s="79"/>
      <c r="AX4304" s="79"/>
      <c r="AZ4304" s="81"/>
      <c r="BB4304" s="5"/>
      <c r="BC4304" s="5"/>
      <c r="BD4304" s="5"/>
      <c r="BE4304" s="5"/>
      <c r="BF4304" s="5"/>
      <c r="BG4304" s="5"/>
      <c r="BH4304" s="5"/>
      <c r="BI4304" s="5"/>
      <c r="BJ4304" s="5"/>
      <c r="BK4304" s="5"/>
      <c r="BL4304" s="5"/>
      <c r="BM4304" s="5"/>
      <c r="BN4304" s="5"/>
      <c r="BO4304" s="5"/>
      <c r="BP4304" s="5"/>
    </row>
    <row r="4305" spans="35:68" x14ac:dyDescent="0.25">
      <c r="AI4305" s="49"/>
      <c r="AJ4305" s="78"/>
      <c r="AK4305" s="79"/>
      <c r="AL4305" s="79"/>
      <c r="AM4305" s="79"/>
      <c r="AN4305" s="79"/>
      <c r="AO4305" s="79"/>
      <c r="AP4305" s="79"/>
      <c r="AQ4305" s="79"/>
      <c r="AR4305" s="78"/>
      <c r="AS4305" s="78"/>
      <c r="AT4305" s="79"/>
      <c r="AU4305" s="79"/>
      <c r="AV4305" s="79"/>
      <c r="AW4305" s="79"/>
      <c r="AX4305" s="79"/>
      <c r="AZ4305" s="81"/>
      <c r="BB4305" s="5"/>
      <c r="BC4305" s="5"/>
      <c r="BD4305" s="5"/>
      <c r="BE4305" s="5"/>
      <c r="BF4305" s="5"/>
      <c r="BG4305" s="5"/>
      <c r="BH4305" s="5"/>
      <c r="BI4305" s="5"/>
      <c r="BJ4305" s="5"/>
      <c r="BK4305" s="5"/>
      <c r="BL4305" s="5"/>
      <c r="BM4305" s="5"/>
      <c r="BN4305" s="5"/>
      <c r="BO4305" s="5"/>
      <c r="BP4305" s="5"/>
    </row>
    <row r="4306" spans="35:68" x14ac:dyDescent="0.25">
      <c r="AI4306" s="49"/>
      <c r="AJ4306" s="78"/>
      <c r="AK4306" s="79"/>
      <c r="AL4306" s="79"/>
      <c r="AM4306" s="79"/>
      <c r="AN4306" s="79"/>
      <c r="AO4306" s="79"/>
      <c r="AP4306" s="79"/>
      <c r="AQ4306" s="79"/>
      <c r="AR4306" s="78"/>
      <c r="AS4306" s="78"/>
      <c r="AT4306" s="79"/>
      <c r="AU4306" s="79"/>
      <c r="AV4306" s="79"/>
      <c r="AW4306" s="79"/>
      <c r="AX4306" s="79"/>
      <c r="AZ4306" s="81"/>
      <c r="BB4306" s="5"/>
      <c r="BC4306" s="5"/>
      <c r="BD4306" s="5"/>
      <c r="BE4306" s="5"/>
      <c r="BF4306" s="5"/>
      <c r="BG4306" s="5"/>
      <c r="BH4306" s="5"/>
      <c r="BI4306" s="5"/>
      <c r="BJ4306" s="5"/>
      <c r="BK4306" s="5"/>
      <c r="BL4306" s="5"/>
      <c r="BM4306" s="5"/>
      <c r="BN4306" s="5"/>
      <c r="BO4306" s="5"/>
      <c r="BP4306" s="5"/>
    </row>
    <row r="4307" spans="35:68" x14ac:dyDescent="0.25">
      <c r="AI4307" s="49"/>
      <c r="AJ4307" s="78"/>
      <c r="AK4307" s="79"/>
      <c r="AL4307" s="79"/>
      <c r="AM4307" s="79"/>
      <c r="AN4307" s="79"/>
      <c r="AO4307" s="79"/>
      <c r="AP4307" s="79"/>
      <c r="AQ4307" s="79"/>
      <c r="AR4307" s="78"/>
      <c r="AS4307" s="78"/>
      <c r="AT4307" s="79"/>
      <c r="AU4307" s="79"/>
      <c r="AV4307" s="79"/>
      <c r="AW4307" s="79"/>
      <c r="AX4307" s="79"/>
      <c r="AZ4307" s="81"/>
      <c r="BB4307" s="5"/>
      <c r="BC4307" s="5"/>
      <c r="BD4307" s="5"/>
      <c r="BE4307" s="5"/>
      <c r="BF4307" s="5"/>
      <c r="BG4307" s="5"/>
      <c r="BH4307" s="5"/>
      <c r="BI4307" s="5"/>
      <c r="BJ4307" s="5"/>
      <c r="BK4307" s="5"/>
      <c r="BL4307" s="5"/>
      <c r="BM4307" s="5"/>
      <c r="BN4307" s="5"/>
      <c r="BO4307" s="5"/>
      <c r="BP4307" s="5"/>
    </row>
    <row r="4308" spans="35:68" x14ac:dyDescent="0.25">
      <c r="AI4308" s="49"/>
      <c r="AJ4308" s="78"/>
      <c r="AK4308" s="79"/>
      <c r="AL4308" s="79"/>
      <c r="AM4308" s="79"/>
      <c r="AN4308" s="79"/>
      <c r="AO4308" s="79"/>
      <c r="AP4308" s="79"/>
      <c r="AQ4308" s="79"/>
      <c r="AR4308" s="78"/>
      <c r="AS4308" s="78"/>
      <c r="AT4308" s="79"/>
      <c r="AU4308" s="79"/>
      <c r="AV4308" s="79"/>
      <c r="AW4308" s="79"/>
      <c r="AX4308" s="79"/>
      <c r="AZ4308" s="81"/>
      <c r="BB4308" s="5"/>
      <c r="BC4308" s="5"/>
      <c r="BD4308" s="5"/>
      <c r="BE4308" s="5"/>
      <c r="BF4308" s="5"/>
      <c r="BG4308" s="5"/>
      <c r="BH4308" s="5"/>
      <c r="BI4308" s="5"/>
      <c r="BJ4308" s="5"/>
      <c r="BK4308" s="5"/>
      <c r="BL4308" s="5"/>
      <c r="BM4308" s="5"/>
      <c r="BN4308" s="5"/>
      <c r="BO4308" s="5"/>
      <c r="BP4308" s="5"/>
    </row>
    <row r="4309" spans="35:68" x14ac:dyDescent="0.25">
      <c r="AI4309" s="49"/>
      <c r="AJ4309" s="78"/>
      <c r="AK4309" s="79"/>
      <c r="AL4309" s="79"/>
      <c r="AM4309" s="79"/>
      <c r="AN4309" s="79"/>
      <c r="AO4309" s="79"/>
      <c r="AP4309" s="79"/>
      <c r="AQ4309" s="79"/>
      <c r="AR4309" s="78"/>
      <c r="AS4309" s="78"/>
      <c r="AT4309" s="79"/>
      <c r="AU4309" s="79"/>
      <c r="AV4309" s="79"/>
      <c r="AW4309" s="79"/>
      <c r="AX4309" s="79"/>
      <c r="AZ4309" s="81"/>
      <c r="BB4309" s="5"/>
      <c r="BC4309" s="5"/>
      <c r="BD4309" s="5"/>
      <c r="BE4309" s="5"/>
      <c r="BF4309" s="5"/>
      <c r="BG4309" s="5"/>
      <c r="BH4309" s="5"/>
      <c r="BI4309" s="5"/>
      <c r="BJ4309" s="5"/>
      <c r="BK4309" s="5"/>
      <c r="BL4309" s="5"/>
      <c r="BM4309" s="5"/>
      <c r="BN4309" s="5"/>
      <c r="BO4309" s="5"/>
      <c r="BP4309" s="5"/>
    </row>
    <row r="4310" spans="35:68" x14ac:dyDescent="0.25">
      <c r="AI4310" s="49"/>
      <c r="AJ4310" s="78"/>
      <c r="AK4310" s="79"/>
      <c r="AL4310" s="79"/>
      <c r="AM4310" s="79"/>
      <c r="AN4310" s="79"/>
      <c r="AO4310" s="79"/>
      <c r="AP4310" s="79"/>
      <c r="AQ4310" s="79"/>
      <c r="AR4310" s="78"/>
      <c r="AS4310" s="78"/>
      <c r="AT4310" s="79"/>
      <c r="AU4310" s="79"/>
      <c r="AV4310" s="79"/>
      <c r="AW4310" s="79"/>
      <c r="AX4310" s="79"/>
      <c r="AZ4310" s="81"/>
      <c r="BB4310" s="5"/>
      <c r="BC4310" s="5"/>
      <c r="BD4310" s="5"/>
      <c r="BE4310" s="5"/>
      <c r="BF4310" s="5"/>
      <c r="BG4310" s="5"/>
      <c r="BH4310" s="5"/>
      <c r="BI4310" s="5"/>
      <c r="BJ4310" s="5"/>
      <c r="BK4310" s="5"/>
      <c r="BL4310" s="5"/>
      <c r="BM4310" s="5"/>
      <c r="BN4310" s="5"/>
      <c r="BO4310" s="5"/>
      <c r="BP4310" s="5"/>
    </row>
    <row r="4311" spans="35:68" x14ac:dyDescent="0.25">
      <c r="AI4311" s="49"/>
      <c r="AJ4311" s="78"/>
      <c r="AK4311" s="79"/>
      <c r="AL4311" s="79"/>
      <c r="AM4311" s="79"/>
      <c r="AN4311" s="79"/>
      <c r="AO4311" s="79"/>
      <c r="AP4311" s="79"/>
      <c r="AQ4311" s="79"/>
      <c r="AR4311" s="78"/>
      <c r="AS4311" s="78"/>
      <c r="AT4311" s="79"/>
      <c r="AU4311" s="79"/>
      <c r="AV4311" s="79"/>
      <c r="AW4311" s="79"/>
      <c r="AX4311" s="79"/>
      <c r="AZ4311" s="81"/>
      <c r="BB4311" s="5"/>
      <c r="BC4311" s="5"/>
      <c r="BD4311" s="5"/>
      <c r="BE4311" s="5"/>
      <c r="BF4311" s="5"/>
      <c r="BG4311" s="5"/>
      <c r="BH4311" s="5"/>
      <c r="BI4311" s="5"/>
      <c r="BJ4311" s="5"/>
      <c r="BK4311" s="5"/>
      <c r="BL4311" s="5"/>
      <c r="BM4311" s="5"/>
      <c r="BN4311" s="5"/>
      <c r="BO4311" s="5"/>
      <c r="BP4311" s="5"/>
    </row>
    <row r="4312" spans="35:68" x14ac:dyDescent="0.25">
      <c r="AI4312" s="49"/>
      <c r="AJ4312" s="78"/>
      <c r="AK4312" s="79"/>
      <c r="AL4312" s="79"/>
      <c r="AM4312" s="79"/>
      <c r="AN4312" s="79"/>
      <c r="AO4312" s="79"/>
      <c r="AP4312" s="79"/>
      <c r="AQ4312" s="79"/>
      <c r="AR4312" s="78"/>
      <c r="AS4312" s="78"/>
      <c r="AT4312" s="79"/>
      <c r="AU4312" s="79"/>
      <c r="AV4312" s="79"/>
      <c r="AW4312" s="79"/>
      <c r="AX4312" s="79"/>
      <c r="AZ4312" s="81"/>
      <c r="BB4312" s="5"/>
      <c r="BC4312" s="5"/>
      <c r="BD4312" s="5"/>
      <c r="BE4312" s="5"/>
      <c r="BF4312" s="5"/>
      <c r="BG4312" s="5"/>
      <c r="BH4312" s="5"/>
      <c r="BI4312" s="5"/>
      <c r="BJ4312" s="5"/>
      <c r="BK4312" s="5"/>
      <c r="BL4312" s="5"/>
      <c r="BM4312" s="5"/>
      <c r="BN4312" s="5"/>
      <c r="BO4312" s="5"/>
      <c r="BP4312" s="5"/>
    </row>
    <row r="4313" spans="35:68" x14ac:dyDescent="0.25">
      <c r="AI4313" s="49"/>
      <c r="AJ4313" s="78"/>
      <c r="AK4313" s="79"/>
      <c r="AL4313" s="79"/>
      <c r="AM4313" s="79"/>
      <c r="AN4313" s="79"/>
      <c r="AO4313" s="79"/>
      <c r="AP4313" s="79"/>
      <c r="AQ4313" s="79"/>
      <c r="AR4313" s="78"/>
      <c r="AS4313" s="78"/>
      <c r="AT4313" s="79"/>
      <c r="AU4313" s="79"/>
      <c r="AV4313" s="79"/>
      <c r="AW4313" s="79"/>
      <c r="AX4313" s="79"/>
      <c r="AZ4313" s="81"/>
      <c r="BB4313" s="5"/>
      <c r="BC4313" s="5"/>
      <c r="BD4313" s="5"/>
      <c r="BE4313" s="5"/>
      <c r="BF4313" s="5"/>
      <c r="BG4313" s="5"/>
      <c r="BH4313" s="5"/>
      <c r="BI4313" s="5"/>
      <c r="BJ4313" s="5"/>
      <c r="BK4313" s="5"/>
      <c r="BL4313" s="5"/>
      <c r="BM4313" s="5"/>
      <c r="BN4313" s="5"/>
      <c r="BO4313" s="5"/>
      <c r="BP4313" s="5"/>
    </row>
    <row r="4314" spans="35:68" x14ac:dyDescent="0.25">
      <c r="AI4314" s="49"/>
      <c r="AJ4314" s="78"/>
      <c r="AK4314" s="79"/>
      <c r="AL4314" s="79"/>
      <c r="AM4314" s="79"/>
      <c r="AN4314" s="79"/>
      <c r="AO4314" s="79"/>
      <c r="AP4314" s="79"/>
      <c r="AQ4314" s="79"/>
      <c r="AR4314" s="78"/>
      <c r="AS4314" s="78"/>
      <c r="AT4314" s="79"/>
      <c r="AU4314" s="79"/>
      <c r="AV4314" s="79"/>
      <c r="AW4314" s="79"/>
      <c r="AX4314" s="79"/>
      <c r="AZ4314" s="81"/>
      <c r="BB4314" s="5"/>
      <c r="BC4314" s="5"/>
      <c r="BD4314" s="5"/>
      <c r="BE4314" s="5"/>
      <c r="BF4314" s="5"/>
      <c r="BG4314" s="5"/>
      <c r="BH4314" s="5"/>
      <c r="BI4314" s="5"/>
      <c r="BJ4314" s="5"/>
      <c r="BK4314" s="5"/>
      <c r="BL4314" s="5"/>
      <c r="BM4314" s="5"/>
      <c r="BN4314" s="5"/>
      <c r="BO4314" s="5"/>
      <c r="BP4314" s="5"/>
    </row>
    <row r="4315" spans="35:68" x14ac:dyDescent="0.25">
      <c r="AI4315" s="49"/>
      <c r="AJ4315" s="78"/>
      <c r="AK4315" s="79"/>
      <c r="AL4315" s="79"/>
      <c r="AM4315" s="79"/>
      <c r="AN4315" s="79"/>
      <c r="AO4315" s="79"/>
      <c r="AP4315" s="79"/>
      <c r="AQ4315" s="79"/>
      <c r="AR4315" s="78"/>
      <c r="AS4315" s="78"/>
      <c r="AT4315" s="79"/>
      <c r="AU4315" s="79"/>
      <c r="AV4315" s="79"/>
      <c r="AW4315" s="79"/>
      <c r="AX4315" s="79"/>
      <c r="AZ4315" s="81"/>
      <c r="BB4315" s="5"/>
      <c r="BC4315" s="5"/>
      <c r="BD4315" s="5"/>
      <c r="BE4315" s="5"/>
      <c r="BF4315" s="5"/>
      <c r="BG4315" s="5"/>
      <c r="BH4315" s="5"/>
      <c r="BI4315" s="5"/>
      <c r="BJ4315" s="5"/>
      <c r="BK4315" s="5"/>
      <c r="BL4315" s="5"/>
      <c r="BM4315" s="5"/>
      <c r="BN4315" s="5"/>
      <c r="BO4315" s="5"/>
      <c r="BP4315" s="5"/>
    </row>
    <row r="4316" spans="35:68" x14ac:dyDescent="0.25">
      <c r="AI4316" s="49"/>
      <c r="AJ4316" s="78"/>
      <c r="AK4316" s="79"/>
      <c r="AL4316" s="79"/>
      <c r="AM4316" s="79"/>
      <c r="AN4316" s="79"/>
      <c r="AO4316" s="79"/>
      <c r="AP4316" s="79"/>
      <c r="AQ4316" s="79"/>
      <c r="AR4316" s="78"/>
      <c r="AS4316" s="78"/>
      <c r="AT4316" s="79"/>
      <c r="AU4316" s="79"/>
      <c r="AV4316" s="79"/>
      <c r="AW4316" s="79"/>
      <c r="AX4316" s="79"/>
      <c r="AZ4316" s="81"/>
      <c r="BB4316" s="5"/>
      <c r="BC4316" s="5"/>
      <c r="BD4316" s="5"/>
      <c r="BE4316" s="5"/>
      <c r="BF4316" s="5"/>
      <c r="BG4316" s="5"/>
      <c r="BH4316" s="5"/>
      <c r="BI4316" s="5"/>
      <c r="BJ4316" s="5"/>
      <c r="BK4316" s="5"/>
      <c r="BL4316" s="5"/>
      <c r="BM4316" s="5"/>
      <c r="BN4316" s="5"/>
      <c r="BO4316" s="5"/>
      <c r="BP4316" s="5"/>
    </row>
    <row r="4317" spans="35:68" x14ac:dyDescent="0.25">
      <c r="AI4317" s="49"/>
      <c r="AJ4317" s="78"/>
      <c r="AK4317" s="79"/>
      <c r="AL4317" s="79"/>
      <c r="AM4317" s="79"/>
      <c r="AN4317" s="79"/>
      <c r="AO4317" s="79"/>
      <c r="AP4317" s="79"/>
      <c r="AQ4317" s="79"/>
      <c r="AR4317" s="78"/>
      <c r="AS4317" s="78"/>
      <c r="AT4317" s="79"/>
      <c r="AU4317" s="79"/>
      <c r="AV4317" s="79"/>
      <c r="AW4317" s="79"/>
      <c r="AX4317" s="79"/>
      <c r="AZ4317" s="81"/>
      <c r="BB4317" s="5"/>
      <c r="BC4317" s="5"/>
      <c r="BD4317" s="5"/>
      <c r="BE4317" s="5"/>
      <c r="BF4317" s="5"/>
      <c r="BG4317" s="5"/>
      <c r="BH4317" s="5"/>
      <c r="BI4317" s="5"/>
      <c r="BJ4317" s="5"/>
      <c r="BK4317" s="5"/>
      <c r="BL4317" s="5"/>
      <c r="BM4317" s="5"/>
      <c r="BN4317" s="5"/>
      <c r="BO4317" s="5"/>
      <c r="BP4317" s="5"/>
    </row>
    <row r="4318" spans="35:68" x14ac:dyDescent="0.25">
      <c r="AI4318" s="49"/>
      <c r="AJ4318" s="78"/>
      <c r="AK4318" s="79"/>
      <c r="AL4318" s="79"/>
      <c r="AM4318" s="79"/>
      <c r="AN4318" s="79"/>
      <c r="AO4318" s="79"/>
      <c r="AP4318" s="79"/>
      <c r="AQ4318" s="79"/>
      <c r="AR4318" s="78"/>
      <c r="AS4318" s="78"/>
      <c r="AT4318" s="79"/>
      <c r="AU4318" s="79"/>
      <c r="AV4318" s="79"/>
      <c r="AW4318" s="79"/>
      <c r="AX4318" s="79"/>
      <c r="AZ4318" s="81"/>
      <c r="BB4318" s="5"/>
      <c r="BC4318" s="5"/>
      <c r="BD4318" s="5"/>
      <c r="BE4318" s="5"/>
      <c r="BF4318" s="5"/>
      <c r="BG4318" s="5"/>
      <c r="BH4318" s="5"/>
      <c r="BI4318" s="5"/>
      <c r="BJ4318" s="5"/>
      <c r="BK4318" s="5"/>
      <c r="BL4318" s="5"/>
      <c r="BM4318" s="5"/>
      <c r="BN4318" s="5"/>
      <c r="BO4318" s="5"/>
      <c r="BP4318" s="5"/>
    </row>
    <row r="4319" spans="35:68" x14ac:dyDescent="0.25">
      <c r="AI4319" s="49"/>
      <c r="AJ4319" s="78"/>
      <c r="AK4319" s="79"/>
      <c r="AL4319" s="79"/>
      <c r="AM4319" s="79"/>
      <c r="AN4319" s="79"/>
      <c r="AO4319" s="79"/>
      <c r="AP4319" s="79"/>
      <c r="AQ4319" s="79"/>
      <c r="AR4319" s="78"/>
      <c r="AS4319" s="78"/>
      <c r="AT4319" s="79"/>
      <c r="AU4319" s="79"/>
      <c r="AV4319" s="79"/>
      <c r="AW4319" s="79"/>
      <c r="AX4319" s="79"/>
      <c r="AZ4319" s="81"/>
      <c r="BB4319" s="5"/>
      <c r="BC4319" s="5"/>
      <c r="BD4319" s="5"/>
      <c r="BE4319" s="5"/>
      <c r="BF4319" s="5"/>
      <c r="BG4319" s="5"/>
      <c r="BH4319" s="5"/>
      <c r="BI4319" s="5"/>
      <c r="BJ4319" s="5"/>
      <c r="BK4319" s="5"/>
      <c r="BL4319" s="5"/>
      <c r="BM4319" s="5"/>
      <c r="BN4319" s="5"/>
      <c r="BO4319" s="5"/>
      <c r="BP4319" s="5"/>
    </row>
    <row r="4320" spans="35:68" x14ac:dyDescent="0.25">
      <c r="AI4320" s="49"/>
      <c r="AJ4320" s="78"/>
      <c r="AK4320" s="79"/>
      <c r="AL4320" s="79"/>
      <c r="AM4320" s="79"/>
      <c r="AN4320" s="79"/>
      <c r="AO4320" s="79"/>
      <c r="AP4320" s="79"/>
      <c r="AQ4320" s="79"/>
      <c r="AR4320" s="78"/>
      <c r="AS4320" s="78"/>
      <c r="AT4320" s="79"/>
      <c r="AU4320" s="79"/>
      <c r="AV4320" s="79"/>
      <c r="AW4320" s="79"/>
      <c r="AX4320" s="79"/>
      <c r="AZ4320" s="81"/>
      <c r="BB4320" s="5"/>
      <c r="BC4320" s="5"/>
      <c r="BD4320" s="5"/>
      <c r="BE4320" s="5"/>
      <c r="BF4320" s="5"/>
      <c r="BG4320" s="5"/>
      <c r="BH4320" s="5"/>
      <c r="BI4320" s="5"/>
      <c r="BJ4320" s="5"/>
      <c r="BK4320" s="5"/>
      <c r="BL4320" s="5"/>
      <c r="BM4320" s="5"/>
      <c r="BN4320" s="5"/>
      <c r="BO4320" s="5"/>
      <c r="BP4320" s="5"/>
    </row>
    <row r="4321" spans="35:68" x14ac:dyDescent="0.25">
      <c r="AI4321" s="49"/>
      <c r="AJ4321" s="78"/>
      <c r="AK4321" s="79"/>
      <c r="AL4321" s="79"/>
      <c r="AM4321" s="79"/>
      <c r="AN4321" s="79"/>
      <c r="AO4321" s="79"/>
      <c r="AP4321" s="79"/>
      <c r="AQ4321" s="79"/>
      <c r="AR4321" s="78"/>
      <c r="AS4321" s="78"/>
      <c r="AT4321" s="79"/>
      <c r="AU4321" s="79"/>
      <c r="AV4321" s="79"/>
      <c r="AW4321" s="79"/>
      <c r="AX4321" s="79"/>
      <c r="AZ4321" s="81"/>
      <c r="BB4321" s="5"/>
      <c r="BC4321" s="5"/>
      <c r="BD4321" s="5"/>
      <c r="BE4321" s="5"/>
      <c r="BF4321" s="5"/>
      <c r="BG4321" s="5"/>
      <c r="BH4321" s="5"/>
      <c r="BI4321" s="5"/>
      <c r="BJ4321" s="5"/>
      <c r="BK4321" s="5"/>
      <c r="BL4321" s="5"/>
      <c r="BM4321" s="5"/>
      <c r="BN4321" s="5"/>
      <c r="BO4321" s="5"/>
      <c r="BP4321" s="5"/>
    </row>
    <row r="4322" spans="35:68" x14ac:dyDescent="0.25">
      <c r="AI4322" s="49"/>
      <c r="AJ4322" s="78"/>
      <c r="AK4322" s="79"/>
      <c r="AL4322" s="79"/>
      <c r="AM4322" s="79"/>
      <c r="AN4322" s="79"/>
      <c r="AO4322" s="79"/>
      <c r="AP4322" s="79"/>
      <c r="AQ4322" s="79"/>
      <c r="AR4322" s="78"/>
      <c r="AS4322" s="78"/>
      <c r="AT4322" s="79"/>
      <c r="AU4322" s="79"/>
      <c r="AV4322" s="79"/>
      <c r="AW4322" s="79"/>
      <c r="AX4322" s="79"/>
      <c r="AZ4322" s="81"/>
      <c r="BB4322" s="5"/>
      <c r="BC4322" s="5"/>
      <c r="BD4322" s="5"/>
      <c r="BE4322" s="5"/>
      <c r="BF4322" s="5"/>
      <c r="BG4322" s="5"/>
      <c r="BH4322" s="5"/>
      <c r="BI4322" s="5"/>
      <c r="BJ4322" s="5"/>
      <c r="BK4322" s="5"/>
      <c r="BL4322" s="5"/>
      <c r="BM4322" s="5"/>
      <c r="BN4322" s="5"/>
      <c r="BO4322" s="5"/>
      <c r="BP4322" s="5"/>
    </row>
    <row r="4323" spans="35:68" x14ac:dyDescent="0.25">
      <c r="AI4323" s="49"/>
      <c r="AJ4323" s="78"/>
      <c r="AK4323" s="79"/>
      <c r="AL4323" s="79"/>
      <c r="AM4323" s="79"/>
      <c r="AN4323" s="79"/>
      <c r="AO4323" s="79"/>
      <c r="AP4323" s="79"/>
      <c r="AQ4323" s="79"/>
      <c r="AR4323" s="78"/>
      <c r="AS4323" s="78"/>
      <c r="AT4323" s="79"/>
      <c r="AU4323" s="79"/>
      <c r="AV4323" s="79"/>
      <c r="AW4323" s="79"/>
      <c r="AX4323" s="79"/>
      <c r="AZ4323" s="81"/>
      <c r="BB4323" s="5"/>
      <c r="BC4323" s="5"/>
      <c r="BD4323" s="5"/>
      <c r="BE4323" s="5"/>
      <c r="BF4323" s="5"/>
      <c r="BG4323" s="5"/>
      <c r="BH4323" s="5"/>
      <c r="BI4323" s="5"/>
      <c r="BJ4323" s="5"/>
      <c r="BK4323" s="5"/>
      <c r="BL4323" s="5"/>
      <c r="BM4323" s="5"/>
      <c r="BN4323" s="5"/>
      <c r="BO4323" s="5"/>
      <c r="BP4323" s="5"/>
    </row>
    <row r="4324" spans="35:68" x14ac:dyDescent="0.25">
      <c r="AI4324" s="49"/>
      <c r="AJ4324" s="78"/>
      <c r="AK4324" s="79"/>
      <c r="AL4324" s="79"/>
      <c r="AM4324" s="79"/>
      <c r="AN4324" s="79"/>
      <c r="AO4324" s="79"/>
      <c r="AP4324" s="79"/>
      <c r="AQ4324" s="79"/>
      <c r="AR4324" s="78"/>
      <c r="AS4324" s="78"/>
      <c r="AT4324" s="79"/>
      <c r="AU4324" s="79"/>
      <c r="AV4324" s="79"/>
      <c r="AW4324" s="79"/>
      <c r="AX4324" s="79"/>
      <c r="AZ4324" s="81"/>
      <c r="BB4324" s="5"/>
      <c r="BC4324" s="5"/>
      <c r="BD4324" s="5"/>
      <c r="BE4324" s="5"/>
      <c r="BF4324" s="5"/>
      <c r="BG4324" s="5"/>
      <c r="BH4324" s="5"/>
      <c r="BI4324" s="5"/>
      <c r="BJ4324" s="5"/>
      <c r="BK4324" s="5"/>
      <c r="BL4324" s="5"/>
      <c r="BM4324" s="5"/>
      <c r="BN4324" s="5"/>
      <c r="BO4324" s="5"/>
      <c r="BP4324" s="5"/>
    </row>
    <row r="4325" spans="35:68" x14ac:dyDescent="0.25">
      <c r="AI4325" s="49"/>
      <c r="AJ4325" s="78"/>
      <c r="AK4325" s="79"/>
      <c r="AL4325" s="79"/>
      <c r="AM4325" s="79"/>
      <c r="AN4325" s="79"/>
      <c r="AO4325" s="79"/>
      <c r="AP4325" s="79"/>
      <c r="AQ4325" s="79"/>
      <c r="AR4325" s="78"/>
      <c r="AS4325" s="78"/>
      <c r="AT4325" s="79"/>
      <c r="AU4325" s="79"/>
      <c r="AV4325" s="79"/>
      <c r="AW4325" s="79"/>
      <c r="AX4325" s="79"/>
      <c r="AZ4325" s="81"/>
      <c r="BB4325" s="5"/>
      <c r="BC4325" s="5"/>
      <c r="BD4325" s="5"/>
      <c r="BE4325" s="5"/>
      <c r="BF4325" s="5"/>
      <c r="BG4325" s="5"/>
      <c r="BH4325" s="5"/>
      <c r="BI4325" s="5"/>
      <c r="BJ4325" s="5"/>
      <c r="BK4325" s="5"/>
      <c r="BL4325" s="5"/>
      <c r="BM4325" s="5"/>
      <c r="BN4325" s="5"/>
      <c r="BO4325" s="5"/>
      <c r="BP4325" s="5"/>
    </row>
    <row r="4326" spans="35:68" x14ac:dyDescent="0.25">
      <c r="AI4326" s="49"/>
      <c r="AJ4326" s="78"/>
      <c r="AK4326" s="79"/>
      <c r="AL4326" s="79"/>
      <c r="AM4326" s="79"/>
      <c r="AN4326" s="79"/>
      <c r="AO4326" s="79"/>
      <c r="AP4326" s="79"/>
      <c r="AQ4326" s="79"/>
      <c r="AR4326" s="78"/>
      <c r="AS4326" s="78"/>
      <c r="AT4326" s="79"/>
      <c r="AU4326" s="79"/>
      <c r="AV4326" s="79"/>
      <c r="AW4326" s="79"/>
      <c r="AX4326" s="79"/>
      <c r="AZ4326" s="81"/>
      <c r="BB4326" s="5"/>
      <c r="BC4326" s="5"/>
      <c r="BD4326" s="5"/>
      <c r="BE4326" s="5"/>
      <c r="BF4326" s="5"/>
      <c r="BG4326" s="5"/>
      <c r="BH4326" s="5"/>
      <c r="BI4326" s="5"/>
      <c r="BJ4326" s="5"/>
      <c r="BK4326" s="5"/>
      <c r="BL4326" s="5"/>
      <c r="BM4326" s="5"/>
      <c r="BN4326" s="5"/>
      <c r="BO4326" s="5"/>
      <c r="BP4326" s="5"/>
    </row>
    <row r="4327" spans="35:68" x14ac:dyDescent="0.25">
      <c r="AI4327" s="49"/>
      <c r="AJ4327" s="78"/>
      <c r="AK4327" s="79"/>
      <c r="AL4327" s="79"/>
      <c r="AM4327" s="79"/>
      <c r="AN4327" s="79"/>
      <c r="AO4327" s="79"/>
      <c r="AP4327" s="79"/>
      <c r="AQ4327" s="79"/>
      <c r="AR4327" s="78"/>
      <c r="AS4327" s="78"/>
      <c r="AT4327" s="79"/>
      <c r="AU4327" s="79"/>
      <c r="AV4327" s="79"/>
      <c r="AW4327" s="79"/>
      <c r="AX4327" s="79"/>
      <c r="AZ4327" s="81"/>
      <c r="BB4327" s="5"/>
      <c r="BC4327" s="5"/>
      <c r="BD4327" s="5"/>
      <c r="BE4327" s="5"/>
      <c r="BF4327" s="5"/>
      <c r="BG4327" s="5"/>
      <c r="BH4327" s="5"/>
      <c r="BI4327" s="5"/>
      <c r="BJ4327" s="5"/>
      <c r="BK4327" s="5"/>
      <c r="BL4327" s="5"/>
      <c r="BM4327" s="5"/>
      <c r="BN4327" s="5"/>
      <c r="BO4327" s="5"/>
      <c r="BP4327" s="5"/>
    </row>
    <row r="4328" spans="35:68" x14ac:dyDescent="0.25">
      <c r="AI4328" s="49"/>
      <c r="AJ4328" s="78"/>
      <c r="AK4328" s="79"/>
      <c r="AL4328" s="79"/>
      <c r="AM4328" s="79"/>
      <c r="AN4328" s="79"/>
      <c r="AO4328" s="79"/>
      <c r="AP4328" s="79"/>
      <c r="AQ4328" s="79"/>
      <c r="AR4328" s="78"/>
      <c r="AS4328" s="78"/>
      <c r="AT4328" s="79"/>
      <c r="AU4328" s="79"/>
      <c r="AV4328" s="79"/>
      <c r="AW4328" s="79"/>
      <c r="AX4328" s="79"/>
      <c r="AZ4328" s="81"/>
      <c r="BB4328" s="5"/>
      <c r="BC4328" s="5"/>
      <c r="BD4328" s="5"/>
      <c r="BE4328" s="5"/>
      <c r="BF4328" s="5"/>
      <c r="BG4328" s="5"/>
      <c r="BH4328" s="5"/>
      <c r="BI4328" s="5"/>
      <c r="BJ4328" s="5"/>
      <c r="BK4328" s="5"/>
      <c r="BL4328" s="5"/>
      <c r="BM4328" s="5"/>
      <c r="BN4328" s="5"/>
      <c r="BO4328" s="5"/>
      <c r="BP4328" s="5"/>
    </row>
    <row r="4329" spans="35:68" x14ac:dyDescent="0.25">
      <c r="AI4329" s="49"/>
      <c r="AJ4329" s="78"/>
      <c r="AK4329" s="79"/>
      <c r="AL4329" s="79"/>
      <c r="AM4329" s="79"/>
      <c r="AN4329" s="79"/>
      <c r="AO4329" s="79"/>
      <c r="AP4329" s="79"/>
      <c r="AQ4329" s="79"/>
      <c r="AR4329" s="78"/>
      <c r="AS4329" s="78"/>
      <c r="AT4329" s="79"/>
      <c r="AU4329" s="79"/>
      <c r="AV4329" s="79"/>
      <c r="AW4329" s="79"/>
      <c r="AX4329" s="79"/>
      <c r="AZ4329" s="81"/>
      <c r="BB4329" s="5"/>
      <c r="BC4329" s="5"/>
      <c r="BD4329" s="5"/>
      <c r="BE4329" s="5"/>
      <c r="BF4329" s="5"/>
      <c r="BG4329" s="5"/>
      <c r="BH4329" s="5"/>
      <c r="BI4329" s="5"/>
      <c r="BJ4329" s="5"/>
      <c r="BK4329" s="5"/>
      <c r="BL4329" s="5"/>
      <c r="BM4329" s="5"/>
      <c r="BN4329" s="5"/>
      <c r="BO4329" s="5"/>
      <c r="BP4329" s="5"/>
    </row>
    <row r="4330" spans="35:68" x14ac:dyDescent="0.25">
      <c r="AI4330" s="49"/>
      <c r="AJ4330" s="78"/>
      <c r="AK4330" s="79"/>
      <c r="AL4330" s="79"/>
      <c r="AM4330" s="79"/>
      <c r="AN4330" s="79"/>
      <c r="AO4330" s="79"/>
      <c r="AP4330" s="79"/>
      <c r="AQ4330" s="79"/>
      <c r="AR4330" s="78"/>
      <c r="AS4330" s="78"/>
      <c r="AT4330" s="79"/>
      <c r="AU4330" s="79"/>
      <c r="AV4330" s="79"/>
      <c r="AW4330" s="79"/>
      <c r="AX4330" s="79"/>
      <c r="AZ4330" s="81"/>
      <c r="BB4330" s="5"/>
      <c r="BC4330" s="5"/>
      <c r="BD4330" s="5"/>
      <c r="BE4330" s="5"/>
      <c r="BF4330" s="5"/>
      <c r="BG4330" s="5"/>
      <c r="BH4330" s="5"/>
      <c r="BI4330" s="5"/>
      <c r="BJ4330" s="5"/>
      <c r="BK4330" s="5"/>
      <c r="BL4330" s="5"/>
      <c r="BM4330" s="5"/>
      <c r="BN4330" s="5"/>
      <c r="BO4330" s="5"/>
      <c r="BP4330" s="5"/>
    </row>
    <row r="4331" spans="35:68" x14ac:dyDescent="0.25">
      <c r="AI4331" s="49"/>
      <c r="AJ4331" s="78"/>
      <c r="AK4331" s="79"/>
      <c r="AL4331" s="79"/>
      <c r="AM4331" s="79"/>
      <c r="AN4331" s="79"/>
      <c r="AO4331" s="79"/>
      <c r="AP4331" s="79"/>
      <c r="AQ4331" s="79"/>
      <c r="AR4331" s="78"/>
      <c r="AS4331" s="78"/>
      <c r="AT4331" s="79"/>
      <c r="AU4331" s="79"/>
      <c r="AV4331" s="79"/>
      <c r="AW4331" s="79"/>
      <c r="AX4331" s="79"/>
      <c r="AZ4331" s="81"/>
      <c r="BB4331" s="5"/>
      <c r="BC4331" s="5"/>
      <c r="BD4331" s="5"/>
      <c r="BE4331" s="5"/>
      <c r="BF4331" s="5"/>
      <c r="BG4331" s="5"/>
      <c r="BH4331" s="5"/>
      <c r="BI4331" s="5"/>
      <c r="BJ4331" s="5"/>
      <c r="BK4331" s="5"/>
      <c r="BL4331" s="5"/>
      <c r="BM4331" s="5"/>
      <c r="BN4331" s="5"/>
      <c r="BO4331" s="5"/>
      <c r="BP4331" s="5"/>
    </row>
    <row r="4332" spans="35:68" x14ac:dyDescent="0.25">
      <c r="AI4332" s="49"/>
      <c r="AJ4332" s="78"/>
      <c r="AK4332" s="79"/>
      <c r="AL4332" s="79"/>
      <c r="AM4332" s="79"/>
      <c r="AN4332" s="79"/>
      <c r="AO4332" s="79"/>
      <c r="AP4332" s="79"/>
      <c r="AQ4332" s="79"/>
      <c r="AR4332" s="78"/>
      <c r="AS4332" s="78"/>
      <c r="AT4332" s="79"/>
      <c r="AU4332" s="79"/>
      <c r="AV4332" s="79"/>
      <c r="AW4332" s="79"/>
      <c r="AX4332" s="79"/>
      <c r="AZ4332" s="81"/>
      <c r="BB4332" s="5"/>
      <c r="BC4332" s="5"/>
      <c r="BD4332" s="5"/>
      <c r="BE4332" s="5"/>
      <c r="BF4332" s="5"/>
      <c r="BG4332" s="5"/>
      <c r="BH4332" s="5"/>
      <c r="BI4332" s="5"/>
      <c r="BJ4332" s="5"/>
      <c r="BK4332" s="5"/>
      <c r="BL4332" s="5"/>
      <c r="BM4332" s="5"/>
      <c r="BN4332" s="5"/>
      <c r="BO4332" s="5"/>
      <c r="BP4332" s="5"/>
    </row>
    <row r="4333" spans="35:68" x14ac:dyDescent="0.25">
      <c r="AI4333" s="49"/>
      <c r="AJ4333" s="78"/>
      <c r="AK4333" s="79"/>
      <c r="AL4333" s="79"/>
      <c r="AM4333" s="79"/>
      <c r="AN4333" s="79"/>
      <c r="AO4333" s="79"/>
      <c r="AP4333" s="79"/>
      <c r="AQ4333" s="79"/>
      <c r="AR4333" s="78"/>
      <c r="AS4333" s="78"/>
      <c r="AT4333" s="79"/>
      <c r="AU4333" s="79"/>
      <c r="AV4333" s="79"/>
      <c r="AW4333" s="79"/>
      <c r="AX4333" s="79"/>
      <c r="AZ4333" s="81"/>
      <c r="BB4333" s="5"/>
      <c r="BC4333" s="5"/>
      <c r="BD4333" s="5"/>
      <c r="BE4333" s="5"/>
      <c r="BF4333" s="5"/>
      <c r="BG4333" s="5"/>
      <c r="BH4333" s="5"/>
      <c r="BI4333" s="5"/>
      <c r="BJ4333" s="5"/>
      <c r="BK4333" s="5"/>
      <c r="BL4333" s="5"/>
      <c r="BM4333" s="5"/>
      <c r="BN4333" s="5"/>
      <c r="BO4333" s="5"/>
      <c r="BP4333" s="5"/>
    </row>
    <row r="4334" spans="35:68" x14ac:dyDescent="0.25">
      <c r="AI4334" s="49"/>
      <c r="AJ4334" s="78"/>
      <c r="AK4334" s="79"/>
      <c r="AL4334" s="79"/>
      <c r="AM4334" s="79"/>
      <c r="AN4334" s="79"/>
      <c r="AO4334" s="79"/>
      <c r="AP4334" s="79"/>
      <c r="AQ4334" s="79"/>
      <c r="AR4334" s="78"/>
      <c r="AS4334" s="78"/>
      <c r="AT4334" s="79"/>
      <c r="AU4334" s="79"/>
      <c r="AV4334" s="79"/>
      <c r="AW4334" s="79"/>
      <c r="AX4334" s="79"/>
      <c r="AZ4334" s="81"/>
      <c r="BB4334" s="5"/>
      <c r="BC4334" s="5"/>
      <c r="BD4334" s="5"/>
      <c r="BE4334" s="5"/>
      <c r="BF4334" s="5"/>
      <c r="BG4334" s="5"/>
      <c r="BH4334" s="5"/>
      <c r="BI4334" s="5"/>
      <c r="BJ4334" s="5"/>
      <c r="BK4334" s="5"/>
      <c r="BL4334" s="5"/>
      <c r="BM4334" s="5"/>
      <c r="BN4334" s="5"/>
      <c r="BO4334" s="5"/>
      <c r="BP4334" s="5"/>
    </row>
    <row r="4335" spans="35:68" x14ac:dyDescent="0.25">
      <c r="AI4335" s="49"/>
      <c r="AJ4335" s="78"/>
      <c r="AK4335" s="79"/>
      <c r="AL4335" s="79"/>
      <c r="AM4335" s="79"/>
      <c r="AN4335" s="79"/>
      <c r="AO4335" s="79"/>
      <c r="AP4335" s="79"/>
      <c r="AQ4335" s="79"/>
      <c r="AR4335" s="78"/>
      <c r="AS4335" s="78"/>
      <c r="AT4335" s="79"/>
      <c r="AU4335" s="79"/>
      <c r="AV4335" s="79"/>
      <c r="AW4335" s="79"/>
      <c r="AX4335" s="79"/>
      <c r="AZ4335" s="81"/>
      <c r="BB4335" s="5"/>
      <c r="BC4335" s="5"/>
      <c r="BD4335" s="5"/>
      <c r="BE4335" s="5"/>
      <c r="BF4335" s="5"/>
      <c r="BG4335" s="5"/>
      <c r="BH4335" s="5"/>
      <c r="BI4335" s="5"/>
      <c r="BJ4335" s="5"/>
      <c r="BK4335" s="5"/>
      <c r="BL4335" s="5"/>
      <c r="BM4335" s="5"/>
      <c r="BN4335" s="5"/>
      <c r="BO4335" s="5"/>
      <c r="BP4335" s="5"/>
    </row>
    <row r="4336" spans="35:68" x14ac:dyDescent="0.25">
      <c r="AI4336" s="49"/>
      <c r="AJ4336" s="78"/>
      <c r="AK4336" s="79"/>
      <c r="AL4336" s="79"/>
      <c r="AM4336" s="79"/>
      <c r="AN4336" s="79"/>
      <c r="AO4336" s="79"/>
      <c r="AP4336" s="79"/>
      <c r="AQ4336" s="79"/>
      <c r="AR4336" s="78"/>
      <c r="AS4336" s="78"/>
      <c r="AT4336" s="79"/>
      <c r="AU4336" s="79"/>
      <c r="AV4336" s="79"/>
      <c r="AW4336" s="79"/>
      <c r="AX4336" s="79"/>
      <c r="AZ4336" s="81"/>
      <c r="BB4336" s="5"/>
      <c r="BC4336" s="5"/>
      <c r="BD4336" s="5"/>
      <c r="BE4336" s="5"/>
      <c r="BF4336" s="5"/>
      <c r="BG4336" s="5"/>
      <c r="BH4336" s="5"/>
      <c r="BI4336" s="5"/>
      <c r="BJ4336" s="5"/>
      <c r="BK4336" s="5"/>
      <c r="BL4336" s="5"/>
      <c r="BM4336" s="5"/>
      <c r="BN4336" s="5"/>
      <c r="BO4336" s="5"/>
      <c r="BP4336" s="5"/>
    </row>
    <row r="4337" spans="35:68" x14ac:dyDescent="0.25">
      <c r="AI4337" s="49"/>
      <c r="AJ4337" s="78"/>
      <c r="AK4337" s="79"/>
      <c r="AL4337" s="79"/>
      <c r="AM4337" s="79"/>
      <c r="AN4337" s="79"/>
      <c r="AO4337" s="79"/>
      <c r="AP4337" s="79"/>
      <c r="AQ4337" s="79"/>
      <c r="AR4337" s="78"/>
      <c r="AS4337" s="78"/>
      <c r="AT4337" s="79"/>
      <c r="AU4337" s="79"/>
      <c r="AV4337" s="79"/>
      <c r="AW4337" s="79"/>
      <c r="AX4337" s="79"/>
      <c r="AZ4337" s="81"/>
      <c r="BB4337" s="5"/>
      <c r="BC4337" s="5"/>
      <c r="BD4337" s="5"/>
      <c r="BE4337" s="5"/>
      <c r="BF4337" s="5"/>
      <c r="BG4337" s="5"/>
      <c r="BH4337" s="5"/>
      <c r="BI4337" s="5"/>
      <c r="BJ4337" s="5"/>
      <c r="BK4337" s="5"/>
      <c r="BL4337" s="5"/>
      <c r="BM4337" s="5"/>
      <c r="BN4337" s="5"/>
      <c r="BO4337" s="5"/>
      <c r="BP4337" s="5"/>
    </row>
    <row r="4338" spans="35:68" x14ac:dyDescent="0.25">
      <c r="AI4338" s="49"/>
      <c r="AJ4338" s="78"/>
      <c r="AK4338" s="79"/>
      <c r="AL4338" s="79"/>
      <c r="AM4338" s="79"/>
      <c r="AN4338" s="79"/>
      <c r="AO4338" s="79"/>
      <c r="AP4338" s="79"/>
      <c r="AQ4338" s="79"/>
      <c r="AR4338" s="78"/>
      <c r="AS4338" s="78"/>
      <c r="AT4338" s="79"/>
      <c r="AU4338" s="79"/>
      <c r="AV4338" s="79"/>
      <c r="AW4338" s="79"/>
      <c r="AX4338" s="79"/>
      <c r="AZ4338" s="81"/>
      <c r="BB4338" s="5"/>
      <c r="BC4338" s="5"/>
      <c r="BD4338" s="5"/>
      <c r="BE4338" s="5"/>
      <c r="BF4338" s="5"/>
      <c r="BG4338" s="5"/>
      <c r="BH4338" s="5"/>
      <c r="BI4338" s="5"/>
      <c r="BJ4338" s="5"/>
      <c r="BK4338" s="5"/>
      <c r="BL4338" s="5"/>
      <c r="BM4338" s="5"/>
      <c r="BN4338" s="5"/>
      <c r="BO4338" s="5"/>
      <c r="BP4338" s="5"/>
    </row>
    <row r="4339" spans="35:68" x14ac:dyDescent="0.25">
      <c r="AI4339" s="49"/>
      <c r="AJ4339" s="78"/>
      <c r="AK4339" s="79"/>
      <c r="AL4339" s="79"/>
      <c r="AM4339" s="79"/>
      <c r="AN4339" s="79"/>
      <c r="AO4339" s="79"/>
      <c r="AP4339" s="79"/>
      <c r="AQ4339" s="79"/>
      <c r="AR4339" s="78"/>
      <c r="AS4339" s="78"/>
      <c r="AT4339" s="79"/>
      <c r="AU4339" s="79"/>
      <c r="AV4339" s="79"/>
      <c r="AW4339" s="79"/>
      <c r="AX4339" s="79"/>
      <c r="AZ4339" s="81"/>
      <c r="BB4339" s="5"/>
      <c r="BC4339" s="5"/>
      <c r="BD4339" s="5"/>
      <c r="BE4339" s="5"/>
      <c r="BF4339" s="5"/>
      <c r="BG4339" s="5"/>
      <c r="BH4339" s="5"/>
      <c r="BI4339" s="5"/>
      <c r="BJ4339" s="5"/>
      <c r="BK4339" s="5"/>
      <c r="BL4339" s="5"/>
      <c r="BM4339" s="5"/>
      <c r="BN4339" s="5"/>
      <c r="BO4339" s="5"/>
      <c r="BP4339" s="5"/>
    </row>
    <row r="4340" spans="35:68" x14ac:dyDescent="0.25">
      <c r="AI4340" s="49"/>
      <c r="AJ4340" s="78"/>
      <c r="AK4340" s="79"/>
      <c r="AL4340" s="79"/>
      <c r="AM4340" s="79"/>
      <c r="AN4340" s="79"/>
      <c r="AO4340" s="79"/>
      <c r="AP4340" s="79"/>
      <c r="AQ4340" s="79"/>
      <c r="AR4340" s="78"/>
      <c r="AS4340" s="78"/>
      <c r="AT4340" s="79"/>
      <c r="AU4340" s="79"/>
      <c r="AV4340" s="79"/>
      <c r="AW4340" s="79"/>
      <c r="AX4340" s="79"/>
      <c r="AZ4340" s="81"/>
      <c r="BB4340" s="5"/>
      <c r="BC4340" s="5"/>
      <c r="BD4340" s="5"/>
      <c r="BE4340" s="5"/>
      <c r="BF4340" s="5"/>
      <c r="BG4340" s="5"/>
      <c r="BH4340" s="5"/>
      <c r="BI4340" s="5"/>
      <c r="BJ4340" s="5"/>
      <c r="BK4340" s="5"/>
      <c r="BL4340" s="5"/>
      <c r="BM4340" s="5"/>
      <c r="BN4340" s="5"/>
      <c r="BO4340" s="5"/>
      <c r="BP4340" s="5"/>
    </row>
    <row r="4341" spans="35:68" x14ac:dyDescent="0.25">
      <c r="AI4341" s="49"/>
      <c r="AJ4341" s="78"/>
      <c r="AK4341" s="79"/>
      <c r="AL4341" s="79"/>
      <c r="AM4341" s="79"/>
      <c r="AN4341" s="79"/>
      <c r="AO4341" s="79"/>
      <c r="AP4341" s="79"/>
      <c r="AQ4341" s="79"/>
      <c r="AR4341" s="78"/>
      <c r="AS4341" s="78"/>
      <c r="AT4341" s="79"/>
      <c r="AU4341" s="79"/>
      <c r="AV4341" s="79"/>
      <c r="AW4341" s="79"/>
      <c r="AX4341" s="79"/>
      <c r="AZ4341" s="81"/>
      <c r="BB4341" s="5"/>
      <c r="BC4341" s="5"/>
      <c r="BD4341" s="5"/>
      <c r="BE4341" s="5"/>
      <c r="BF4341" s="5"/>
      <c r="BG4341" s="5"/>
      <c r="BH4341" s="5"/>
      <c r="BI4341" s="5"/>
      <c r="BJ4341" s="5"/>
      <c r="BK4341" s="5"/>
      <c r="BL4341" s="5"/>
      <c r="BM4341" s="5"/>
      <c r="BN4341" s="5"/>
      <c r="BO4341" s="5"/>
      <c r="BP4341" s="5"/>
    </row>
    <row r="4342" spans="35:68" x14ac:dyDescent="0.25">
      <c r="AI4342" s="49"/>
      <c r="AJ4342" s="78"/>
      <c r="AK4342" s="79"/>
      <c r="AL4342" s="79"/>
      <c r="AM4342" s="79"/>
      <c r="AN4342" s="79"/>
      <c r="AO4342" s="79"/>
      <c r="AP4342" s="79"/>
      <c r="AQ4342" s="79"/>
      <c r="AR4342" s="78"/>
      <c r="AS4342" s="78"/>
      <c r="AT4342" s="79"/>
      <c r="AU4342" s="79"/>
      <c r="AV4342" s="79"/>
      <c r="AW4342" s="79"/>
      <c r="AX4342" s="79"/>
      <c r="AZ4342" s="81"/>
      <c r="BB4342" s="5"/>
      <c r="BC4342" s="5"/>
      <c r="BD4342" s="5"/>
      <c r="BE4342" s="5"/>
      <c r="BF4342" s="5"/>
      <c r="BG4342" s="5"/>
      <c r="BH4342" s="5"/>
      <c r="BI4342" s="5"/>
      <c r="BJ4342" s="5"/>
      <c r="BK4342" s="5"/>
      <c r="BL4342" s="5"/>
      <c r="BM4342" s="5"/>
      <c r="BN4342" s="5"/>
      <c r="BO4342" s="5"/>
      <c r="BP4342" s="5"/>
    </row>
    <row r="4343" spans="35:68" x14ac:dyDescent="0.25">
      <c r="AI4343" s="49"/>
      <c r="AJ4343" s="78"/>
      <c r="AK4343" s="79"/>
      <c r="AL4343" s="79"/>
      <c r="AM4343" s="79"/>
      <c r="AN4343" s="79"/>
      <c r="AO4343" s="79"/>
      <c r="AP4343" s="79"/>
      <c r="AQ4343" s="79"/>
      <c r="AR4343" s="78"/>
      <c r="AS4343" s="78"/>
      <c r="AT4343" s="79"/>
      <c r="AU4343" s="79"/>
      <c r="AV4343" s="79"/>
      <c r="AW4343" s="79"/>
      <c r="AX4343" s="79"/>
      <c r="AZ4343" s="81"/>
      <c r="BB4343" s="5"/>
      <c r="BC4343" s="5"/>
      <c r="BD4343" s="5"/>
      <c r="BE4343" s="5"/>
      <c r="BF4343" s="5"/>
      <c r="BG4343" s="5"/>
      <c r="BH4343" s="5"/>
      <c r="BI4343" s="5"/>
      <c r="BJ4343" s="5"/>
      <c r="BK4343" s="5"/>
      <c r="BL4343" s="5"/>
      <c r="BM4343" s="5"/>
      <c r="BN4343" s="5"/>
      <c r="BO4343" s="5"/>
      <c r="BP4343" s="5"/>
    </row>
    <row r="4344" spans="35:68" x14ac:dyDescent="0.25">
      <c r="AI4344" s="49"/>
      <c r="AJ4344" s="78"/>
      <c r="AK4344" s="79"/>
      <c r="AL4344" s="79"/>
      <c r="AM4344" s="79"/>
      <c r="AN4344" s="79"/>
      <c r="AO4344" s="79"/>
      <c r="AP4344" s="79"/>
      <c r="AQ4344" s="79"/>
      <c r="AR4344" s="78"/>
      <c r="AS4344" s="78"/>
      <c r="AT4344" s="79"/>
      <c r="AU4344" s="79"/>
      <c r="AV4344" s="79"/>
      <c r="AW4344" s="79"/>
      <c r="AX4344" s="79"/>
      <c r="AZ4344" s="81"/>
      <c r="BB4344" s="5"/>
      <c r="BC4344" s="5"/>
      <c r="BD4344" s="5"/>
      <c r="BE4344" s="5"/>
      <c r="BF4344" s="5"/>
      <c r="BG4344" s="5"/>
      <c r="BH4344" s="5"/>
      <c r="BI4344" s="5"/>
      <c r="BJ4344" s="5"/>
      <c r="BK4344" s="5"/>
      <c r="BL4344" s="5"/>
      <c r="BM4344" s="5"/>
      <c r="BN4344" s="5"/>
      <c r="BO4344" s="5"/>
      <c r="BP4344" s="5"/>
    </row>
    <row r="4345" spans="35:68" x14ac:dyDescent="0.25">
      <c r="AI4345" s="49"/>
      <c r="AJ4345" s="78"/>
      <c r="AK4345" s="79"/>
      <c r="AL4345" s="79"/>
      <c r="AM4345" s="79"/>
      <c r="AN4345" s="79"/>
      <c r="AO4345" s="79"/>
      <c r="AP4345" s="79"/>
      <c r="AQ4345" s="79"/>
      <c r="AR4345" s="78"/>
      <c r="AS4345" s="78"/>
      <c r="AT4345" s="79"/>
      <c r="AU4345" s="79"/>
      <c r="AV4345" s="79"/>
      <c r="AW4345" s="79"/>
      <c r="AX4345" s="79"/>
      <c r="AZ4345" s="81"/>
      <c r="BB4345" s="5"/>
      <c r="BC4345" s="5"/>
      <c r="BD4345" s="5"/>
      <c r="BE4345" s="5"/>
      <c r="BF4345" s="5"/>
      <c r="BG4345" s="5"/>
      <c r="BH4345" s="5"/>
      <c r="BI4345" s="5"/>
      <c r="BJ4345" s="5"/>
      <c r="BK4345" s="5"/>
      <c r="BL4345" s="5"/>
      <c r="BM4345" s="5"/>
      <c r="BN4345" s="5"/>
      <c r="BO4345" s="5"/>
      <c r="BP4345" s="5"/>
    </row>
    <row r="4346" spans="35:68" x14ac:dyDescent="0.25">
      <c r="AI4346" s="49"/>
      <c r="AJ4346" s="78"/>
      <c r="AK4346" s="79"/>
      <c r="AL4346" s="79"/>
      <c r="AM4346" s="79"/>
      <c r="AN4346" s="79"/>
      <c r="AO4346" s="79"/>
      <c r="AP4346" s="79"/>
      <c r="AQ4346" s="79"/>
      <c r="AR4346" s="78"/>
      <c r="AS4346" s="78"/>
      <c r="AT4346" s="79"/>
      <c r="AU4346" s="79"/>
      <c r="AV4346" s="79"/>
      <c r="AW4346" s="79"/>
      <c r="AX4346" s="79"/>
      <c r="AZ4346" s="81"/>
      <c r="BB4346" s="5"/>
      <c r="BC4346" s="5"/>
      <c r="BD4346" s="5"/>
      <c r="BE4346" s="5"/>
      <c r="BF4346" s="5"/>
      <c r="BG4346" s="5"/>
      <c r="BH4346" s="5"/>
      <c r="BI4346" s="5"/>
      <c r="BJ4346" s="5"/>
      <c r="BK4346" s="5"/>
      <c r="BL4346" s="5"/>
      <c r="BM4346" s="5"/>
      <c r="BN4346" s="5"/>
      <c r="BO4346" s="5"/>
      <c r="BP4346" s="5"/>
    </row>
    <row r="4347" spans="35:68" x14ac:dyDescent="0.25">
      <c r="AI4347" s="49"/>
      <c r="AJ4347" s="78"/>
      <c r="AK4347" s="79"/>
      <c r="AL4347" s="79"/>
      <c r="AM4347" s="79"/>
      <c r="AN4347" s="79"/>
      <c r="AO4347" s="79"/>
      <c r="AP4347" s="79"/>
      <c r="AQ4347" s="79"/>
      <c r="AR4347" s="78"/>
      <c r="AS4347" s="78"/>
      <c r="AT4347" s="79"/>
      <c r="AU4347" s="79"/>
      <c r="AV4347" s="79"/>
      <c r="AW4347" s="79"/>
      <c r="AX4347" s="79"/>
      <c r="AZ4347" s="81"/>
      <c r="BB4347" s="5"/>
      <c r="BC4347" s="5"/>
      <c r="BD4347" s="5"/>
      <c r="BE4347" s="5"/>
      <c r="BF4347" s="5"/>
      <c r="BG4347" s="5"/>
      <c r="BH4347" s="5"/>
      <c r="BI4347" s="5"/>
      <c r="BJ4347" s="5"/>
      <c r="BK4347" s="5"/>
      <c r="BL4347" s="5"/>
      <c r="BM4347" s="5"/>
      <c r="BN4347" s="5"/>
      <c r="BO4347" s="5"/>
      <c r="BP4347" s="5"/>
    </row>
    <row r="4348" spans="35:68" x14ac:dyDescent="0.25">
      <c r="AI4348" s="49"/>
      <c r="AJ4348" s="78"/>
      <c r="AK4348" s="79"/>
      <c r="AL4348" s="79"/>
      <c r="AM4348" s="79"/>
      <c r="AN4348" s="79"/>
      <c r="AO4348" s="79"/>
      <c r="AP4348" s="79"/>
      <c r="AQ4348" s="79"/>
      <c r="AR4348" s="78"/>
      <c r="AS4348" s="78"/>
      <c r="AT4348" s="79"/>
      <c r="AU4348" s="79"/>
      <c r="AV4348" s="79"/>
      <c r="AW4348" s="79"/>
      <c r="AX4348" s="79"/>
      <c r="AZ4348" s="81"/>
      <c r="BB4348" s="5"/>
      <c r="BC4348" s="5"/>
      <c r="BD4348" s="5"/>
      <c r="BE4348" s="5"/>
      <c r="BF4348" s="5"/>
      <c r="BG4348" s="5"/>
      <c r="BH4348" s="5"/>
      <c r="BI4348" s="5"/>
      <c r="BJ4348" s="5"/>
      <c r="BK4348" s="5"/>
      <c r="BL4348" s="5"/>
      <c r="BM4348" s="5"/>
      <c r="BN4348" s="5"/>
      <c r="BO4348" s="5"/>
      <c r="BP4348" s="5"/>
    </row>
    <row r="4349" spans="35:68" x14ac:dyDescent="0.25">
      <c r="AI4349" s="49"/>
      <c r="AJ4349" s="78"/>
      <c r="AK4349" s="79"/>
      <c r="AL4349" s="79"/>
      <c r="AM4349" s="79"/>
      <c r="AN4349" s="79"/>
      <c r="AO4349" s="79"/>
      <c r="AP4349" s="79"/>
      <c r="AQ4349" s="79"/>
      <c r="AR4349" s="78"/>
      <c r="AS4349" s="78"/>
      <c r="AT4349" s="79"/>
      <c r="AU4349" s="79"/>
      <c r="AV4349" s="79"/>
      <c r="AW4349" s="79"/>
      <c r="AX4349" s="79"/>
      <c r="AZ4349" s="81"/>
      <c r="BB4349" s="5"/>
      <c r="BC4349" s="5"/>
      <c r="BD4349" s="5"/>
      <c r="BE4349" s="5"/>
      <c r="BF4349" s="5"/>
      <c r="BG4349" s="5"/>
      <c r="BH4349" s="5"/>
      <c r="BI4349" s="5"/>
      <c r="BJ4349" s="5"/>
      <c r="BK4349" s="5"/>
      <c r="BL4349" s="5"/>
      <c r="BM4349" s="5"/>
      <c r="BN4349" s="5"/>
      <c r="BO4349" s="5"/>
      <c r="BP4349" s="5"/>
    </row>
    <row r="4350" spans="35:68" x14ac:dyDescent="0.25">
      <c r="AI4350" s="49"/>
      <c r="AJ4350" s="78"/>
      <c r="AK4350" s="79"/>
      <c r="AL4350" s="79"/>
      <c r="AM4350" s="79"/>
      <c r="AN4350" s="79"/>
      <c r="AO4350" s="79"/>
      <c r="AP4350" s="79"/>
      <c r="AQ4350" s="79"/>
      <c r="AR4350" s="78"/>
      <c r="AS4350" s="78"/>
      <c r="AT4350" s="79"/>
      <c r="AU4350" s="79"/>
      <c r="AV4350" s="79"/>
      <c r="AW4350" s="79"/>
      <c r="AX4350" s="79"/>
      <c r="AZ4350" s="81"/>
      <c r="BB4350" s="5"/>
      <c r="BC4350" s="5"/>
      <c r="BD4350" s="5"/>
      <c r="BE4350" s="5"/>
      <c r="BF4350" s="5"/>
      <c r="BG4350" s="5"/>
      <c r="BH4350" s="5"/>
      <c r="BI4350" s="5"/>
      <c r="BJ4350" s="5"/>
      <c r="BK4350" s="5"/>
      <c r="BL4350" s="5"/>
      <c r="BM4350" s="5"/>
      <c r="BN4350" s="5"/>
      <c r="BO4350" s="5"/>
      <c r="BP4350" s="5"/>
    </row>
    <row r="4351" spans="35:68" x14ac:dyDescent="0.25">
      <c r="AI4351" s="49"/>
      <c r="AJ4351" s="78"/>
      <c r="AK4351" s="79"/>
      <c r="AL4351" s="79"/>
      <c r="AM4351" s="79"/>
      <c r="AN4351" s="79"/>
      <c r="AO4351" s="79"/>
      <c r="AP4351" s="79"/>
      <c r="AQ4351" s="79"/>
      <c r="AR4351" s="78"/>
      <c r="AS4351" s="78"/>
      <c r="AT4351" s="79"/>
      <c r="AU4351" s="79"/>
      <c r="AV4351" s="79"/>
      <c r="AW4351" s="79"/>
      <c r="AX4351" s="79"/>
      <c r="AZ4351" s="81"/>
      <c r="BB4351" s="5"/>
      <c r="BC4351" s="5"/>
      <c r="BD4351" s="5"/>
      <c r="BE4351" s="5"/>
      <c r="BF4351" s="5"/>
      <c r="BG4351" s="5"/>
      <c r="BH4351" s="5"/>
      <c r="BI4351" s="5"/>
      <c r="BJ4351" s="5"/>
      <c r="BK4351" s="5"/>
      <c r="BL4351" s="5"/>
      <c r="BM4351" s="5"/>
      <c r="BN4351" s="5"/>
      <c r="BO4351" s="5"/>
      <c r="BP4351" s="5"/>
    </row>
    <row r="4352" spans="35:68" x14ac:dyDescent="0.25">
      <c r="AI4352" s="49"/>
      <c r="AJ4352" s="78"/>
      <c r="AK4352" s="79"/>
      <c r="AL4352" s="79"/>
      <c r="AM4352" s="79"/>
      <c r="AN4352" s="79"/>
      <c r="AO4352" s="79"/>
      <c r="AP4352" s="79"/>
      <c r="AQ4352" s="79"/>
      <c r="AR4352" s="78"/>
      <c r="AS4352" s="78"/>
      <c r="AT4352" s="79"/>
      <c r="AU4352" s="79"/>
      <c r="AV4352" s="79"/>
      <c r="AW4352" s="79"/>
      <c r="AX4352" s="79"/>
      <c r="AZ4352" s="81"/>
      <c r="BB4352" s="5"/>
      <c r="BC4352" s="5"/>
      <c r="BD4352" s="5"/>
      <c r="BE4352" s="5"/>
      <c r="BF4352" s="5"/>
      <c r="BG4352" s="5"/>
      <c r="BH4352" s="5"/>
      <c r="BI4352" s="5"/>
      <c r="BJ4352" s="5"/>
      <c r="BK4352" s="5"/>
      <c r="BL4352" s="5"/>
      <c r="BM4352" s="5"/>
      <c r="BN4352" s="5"/>
      <c r="BO4352" s="5"/>
      <c r="BP4352" s="5"/>
    </row>
    <row r="4353" spans="35:68" x14ac:dyDescent="0.25">
      <c r="AI4353" s="49"/>
      <c r="AJ4353" s="78"/>
      <c r="AK4353" s="79"/>
      <c r="AL4353" s="79"/>
      <c r="AM4353" s="79"/>
      <c r="AN4353" s="79"/>
      <c r="AO4353" s="79"/>
      <c r="AP4353" s="79"/>
      <c r="AQ4353" s="79"/>
      <c r="AR4353" s="78"/>
      <c r="AS4353" s="78"/>
      <c r="AT4353" s="79"/>
      <c r="AU4353" s="79"/>
      <c r="AV4353" s="79"/>
      <c r="AW4353" s="79"/>
      <c r="AX4353" s="79"/>
      <c r="AZ4353" s="81"/>
      <c r="BB4353" s="5"/>
      <c r="BC4353" s="5"/>
      <c r="BD4353" s="5"/>
      <c r="BE4353" s="5"/>
      <c r="BF4353" s="5"/>
      <c r="BG4353" s="5"/>
      <c r="BH4353" s="5"/>
      <c r="BI4353" s="5"/>
      <c r="BJ4353" s="5"/>
      <c r="BK4353" s="5"/>
      <c r="BL4353" s="5"/>
      <c r="BM4353" s="5"/>
      <c r="BN4353" s="5"/>
      <c r="BO4353" s="5"/>
      <c r="BP4353" s="5"/>
    </row>
    <row r="4354" spans="35:68" x14ac:dyDescent="0.25">
      <c r="AI4354" s="49"/>
      <c r="AJ4354" s="78"/>
      <c r="AK4354" s="79"/>
      <c r="AL4354" s="79"/>
      <c r="AM4354" s="79"/>
      <c r="AN4354" s="79"/>
      <c r="AO4354" s="79"/>
      <c r="AP4354" s="79"/>
      <c r="AQ4354" s="79"/>
      <c r="AR4354" s="78"/>
      <c r="AS4354" s="78"/>
      <c r="AT4354" s="79"/>
      <c r="AU4354" s="79"/>
      <c r="AV4354" s="79"/>
      <c r="AW4354" s="79"/>
      <c r="AX4354" s="79"/>
      <c r="AZ4354" s="81"/>
      <c r="BB4354" s="5"/>
      <c r="BC4354" s="5"/>
      <c r="BD4354" s="5"/>
      <c r="BE4354" s="5"/>
      <c r="BF4354" s="5"/>
      <c r="BG4354" s="5"/>
      <c r="BH4354" s="5"/>
      <c r="BI4354" s="5"/>
      <c r="BJ4354" s="5"/>
      <c r="BK4354" s="5"/>
      <c r="BL4354" s="5"/>
      <c r="BM4354" s="5"/>
      <c r="BN4354" s="5"/>
      <c r="BO4354" s="5"/>
      <c r="BP4354" s="5"/>
    </row>
    <row r="4355" spans="35:68" x14ac:dyDescent="0.25">
      <c r="AI4355" s="49"/>
      <c r="AJ4355" s="78"/>
      <c r="AK4355" s="79"/>
      <c r="AL4355" s="79"/>
      <c r="AM4355" s="79"/>
      <c r="AN4355" s="79"/>
      <c r="AO4355" s="79"/>
      <c r="AP4355" s="79"/>
      <c r="AQ4355" s="79"/>
      <c r="AR4355" s="78"/>
      <c r="AS4355" s="78"/>
      <c r="AT4355" s="79"/>
      <c r="AU4355" s="79"/>
      <c r="AV4355" s="79"/>
      <c r="AW4355" s="79"/>
      <c r="AX4355" s="79"/>
      <c r="AZ4355" s="81"/>
      <c r="BB4355" s="5"/>
      <c r="BC4355" s="5"/>
      <c r="BD4355" s="5"/>
      <c r="BE4355" s="5"/>
      <c r="BF4355" s="5"/>
      <c r="BG4355" s="5"/>
      <c r="BH4355" s="5"/>
      <c r="BI4355" s="5"/>
      <c r="BJ4355" s="5"/>
      <c r="BK4355" s="5"/>
      <c r="BL4355" s="5"/>
      <c r="BM4355" s="5"/>
      <c r="BN4355" s="5"/>
      <c r="BO4355" s="5"/>
      <c r="BP4355" s="5"/>
    </row>
    <row r="4356" spans="35:68" x14ac:dyDescent="0.25">
      <c r="AI4356" s="49"/>
      <c r="AJ4356" s="78"/>
      <c r="AK4356" s="79"/>
      <c r="AL4356" s="79"/>
      <c r="AM4356" s="79"/>
      <c r="AN4356" s="79"/>
      <c r="AO4356" s="79"/>
      <c r="AP4356" s="79"/>
      <c r="AQ4356" s="79"/>
      <c r="AR4356" s="78"/>
      <c r="AS4356" s="78"/>
      <c r="AT4356" s="79"/>
      <c r="AU4356" s="79"/>
      <c r="AV4356" s="79"/>
      <c r="AW4356" s="79"/>
      <c r="AX4356" s="79"/>
      <c r="AZ4356" s="81"/>
      <c r="BB4356" s="5"/>
      <c r="BC4356" s="5"/>
      <c r="BD4356" s="5"/>
      <c r="BE4356" s="5"/>
      <c r="BF4356" s="5"/>
      <c r="BG4356" s="5"/>
      <c r="BH4356" s="5"/>
      <c r="BI4356" s="5"/>
      <c r="BJ4356" s="5"/>
      <c r="BK4356" s="5"/>
      <c r="BL4356" s="5"/>
      <c r="BM4356" s="5"/>
      <c r="BN4356" s="5"/>
      <c r="BO4356" s="5"/>
      <c r="BP4356" s="5"/>
    </row>
    <row r="4357" spans="35:68" x14ac:dyDescent="0.25">
      <c r="AI4357" s="49"/>
      <c r="AJ4357" s="78"/>
      <c r="AK4357" s="79"/>
      <c r="AL4357" s="79"/>
      <c r="AM4357" s="79"/>
      <c r="AN4357" s="79"/>
      <c r="AO4357" s="79"/>
      <c r="AP4357" s="79"/>
      <c r="AQ4357" s="79"/>
      <c r="AR4357" s="78"/>
      <c r="AS4357" s="78"/>
      <c r="AT4357" s="79"/>
      <c r="AU4357" s="79"/>
      <c r="AV4357" s="79"/>
      <c r="AW4357" s="79"/>
      <c r="AX4357" s="79"/>
      <c r="AZ4357" s="81"/>
      <c r="BB4357" s="5"/>
      <c r="BC4357" s="5"/>
      <c r="BD4357" s="5"/>
      <c r="BE4357" s="5"/>
      <c r="BF4357" s="5"/>
      <c r="BG4357" s="5"/>
      <c r="BH4357" s="5"/>
      <c r="BI4357" s="5"/>
      <c r="BJ4357" s="5"/>
      <c r="BK4357" s="5"/>
      <c r="BL4357" s="5"/>
      <c r="BM4357" s="5"/>
      <c r="BN4357" s="5"/>
      <c r="BO4357" s="5"/>
      <c r="BP4357" s="5"/>
    </row>
    <row r="4358" spans="35:68" x14ac:dyDescent="0.25">
      <c r="AI4358" s="49"/>
      <c r="AJ4358" s="78"/>
      <c r="AK4358" s="79"/>
      <c r="AL4358" s="79"/>
      <c r="AM4358" s="79"/>
      <c r="AN4358" s="79"/>
      <c r="AO4358" s="79"/>
      <c r="AP4358" s="79"/>
      <c r="AQ4358" s="79"/>
      <c r="AR4358" s="78"/>
      <c r="AS4358" s="78"/>
      <c r="AT4358" s="79"/>
      <c r="AU4358" s="79"/>
      <c r="AV4358" s="79"/>
      <c r="AW4358" s="79"/>
      <c r="AX4358" s="79"/>
      <c r="AZ4358" s="81"/>
      <c r="BB4358" s="5"/>
      <c r="BC4358" s="5"/>
      <c r="BD4358" s="5"/>
      <c r="BE4358" s="5"/>
      <c r="BF4358" s="5"/>
      <c r="BG4358" s="5"/>
      <c r="BH4358" s="5"/>
      <c r="BI4358" s="5"/>
      <c r="BJ4358" s="5"/>
      <c r="BK4358" s="5"/>
      <c r="BL4358" s="5"/>
      <c r="BM4358" s="5"/>
      <c r="BN4358" s="5"/>
      <c r="BO4358" s="5"/>
      <c r="BP4358" s="5"/>
    </row>
    <row r="4359" spans="35:68" x14ac:dyDescent="0.25">
      <c r="AI4359" s="49"/>
      <c r="AJ4359" s="78"/>
      <c r="AK4359" s="79"/>
      <c r="AL4359" s="79"/>
      <c r="AM4359" s="79"/>
      <c r="AN4359" s="79"/>
      <c r="AO4359" s="79"/>
      <c r="AP4359" s="79"/>
      <c r="AQ4359" s="79"/>
      <c r="AR4359" s="78"/>
      <c r="AS4359" s="78"/>
      <c r="AT4359" s="79"/>
      <c r="AU4359" s="79"/>
      <c r="AV4359" s="79"/>
      <c r="AW4359" s="79"/>
      <c r="AX4359" s="79"/>
      <c r="AZ4359" s="81"/>
      <c r="BB4359" s="5"/>
      <c r="BC4359" s="5"/>
      <c r="BD4359" s="5"/>
      <c r="BE4359" s="5"/>
      <c r="BF4359" s="5"/>
      <c r="BG4359" s="5"/>
      <c r="BH4359" s="5"/>
      <c r="BI4359" s="5"/>
      <c r="BJ4359" s="5"/>
      <c r="BK4359" s="5"/>
      <c r="BL4359" s="5"/>
      <c r="BM4359" s="5"/>
      <c r="BN4359" s="5"/>
      <c r="BO4359" s="5"/>
      <c r="BP4359" s="5"/>
    </row>
    <row r="4360" spans="35:68" x14ac:dyDescent="0.25">
      <c r="AI4360" s="49"/>
      <c r="AJ4360" s="78"/>
      <c r="AK4360" s="79"/>
      <c r="AL4360" s="79"/>
      <c r="AM4360" s="79"/>
      <c r="AN4360" s="79"/>
      <c r="AO4360" s="79"/>
      <c r="AP4360" s="79"/>
      <c r="AQ4360" s="79"/>
      <c r="AR4360" s="78"/>
      <c r="AS4360" s="78"/>
      <c r="AT4360" s="79"/>
      <c r="AU4360" s="79"/>
      <c r="AV4360" s="79"/>
      <c r="AW4360" s="79"/>
      <c r="AX4360" s="79"/>
      <c r="AZ4360" s="81"/>
      <c r="BB4360" s="5"/>
      <c r="BC4360" s="5"/>
      <c r="BD4360" s="5"/>
      <c r="BE4360" s="5"/>
      <c r="BF4360" s="5"/>
      <c r="BG4360" s="5"/>
      <c r="BH4360" s="5"/>
      <c r="BI4360" s="5"/>
      <c r="BJ4360" s="5"/>
      <c r="BK4360" s="5"/>
      <c r="BL4360" s="5"/>
      <c r="BM4360" s="5"/>
      <c r="BN4360" s="5"/>
      <c r="BO4360" s="5"/>
      <c r="BP4360" s="5"/>
    </row>
    <row r="4361" spans="35:68" x14ac:dyDescent="0.25">
      <c r="AI4361" s="49"/>
      <c r="AJ4361" s="78"/>
      <c r="AK4361" s="79"/>
      <c r="AL4361" s="79"/>
      <c r="AM4361" s="79"/>
      <c r="AN4361" s="79"/>
      <c r="AO4361" s="79"/>
      <c r="AP4361" s="79"/>
      <c r="AQ4361" s="79"/>
      <c r="AR4361" s="78"/>
      <c r="AS4361" s="78"/>
      <c r="AT4361" s="79"/>
      <c r="AU4361" s="79"/>
      <c r="AV4361" s="79"/>
      <c r="AW4361" s="79"/>
      <c r="AX4361" s="79"/>
      <c r="AZ4361" s="81"/>
      <c r="BB4361" s="5"/>
      <c r="BC4361" s="5"/>
      <c r="BD4361" s="5"/>
      <c r="BE4361" s="5"/>
      <c r="BF4361" s="5"/>
      <c r="BG4361" s="5"/>
      <c r="BH4361" s="5"/>
      <c r="BI4361" s="5"/>
      <c r="BJ4361" s="5"/>
      <c r="BK4361" s="5"/>
      <c r="BL4361" s="5"/>
      <c r="BM4361" s="5"/>
      <c r="BN4361" s="5"/>
      <c r="BO4361" s="5"/>
      <c r="BP4361" s="5"/>
    </row>
    <row r="4362" spans="35:68" x14ac:dyDescent="0.25">
      <c r="AI4362" s="49"/>
      <c r="AJ4362" s="78"/>
      <c r="AK4362" s="79"/>
      <c r="AL4362" s="79"/>
      <c r="AM4362" s="79"/>
      <c r="AN4362" s="79"/>
      <c r="AO4362" s="79"/>
      <c r="AP4362" s="79"/>
      <c r="AQ4362" s="79"/>
      <c r="AR4362" s="78"/>
      <c r="AS4362" s="78"/>
      <c r="AT4362" s="79"/>
      <c r="AU4362" s="79"/>
      <c r="AV4362" s="79"/>
      <c r="AW4362" s="79"/>
      <c r="AX4362" s="79"/>
      <c r="AZ4362" s="81"/>
      <c r="BB4362" s="5"/>
      <c r="BC4362" s="5"/>
      <c r="BD4362" s="5"/>
      <c r="BE4362" s="5"/>
      <c r="BF4362" s="5"/>
      <c r="BG4362" s="5"/>
      <c r="BH4362" s="5"/>
      <c r="BI4362" s="5"/>
      <c r="BJ4362" s="5"/>
      <c r="BK4362" s="5"/>
      <c r="BL4362" s="5"/>
      <c r="BM4362" s="5"/>
      <c r="BN4362" s="5"/>
      <c r="BO4362" s="5"/>
      <c r="BP4362" s="5"/>
    </row>
    <row r="4363" spans="35:68" x14ac:dyDescent="0.25">
      <c r="AI4363" s="49"/>
      <c r="AJ4363" s="78"/>
      <c r="AK4363" s="79"/>
      <c r="AL4363" s="79"/>
      <c r="AM4363" s="79"/>
      <c r="AN4363" s="79"/>
      <c r="AO4363" s="79"/>
      <c r="AP4363" s="79"/>
      <c r="AQ4363" s="79"/>
      <c r="AR4363" s="78"/>
      <c r="AS4363" s="78"/>
      <c r="AT4363" s="79"/>
      <c r="AU4363" s="79"/>
      <c r="AV4363" s="79"/>
      <c r="AW4363" s="79"/>
      <c r="AX4363" s="79"/>
      <c r="AZ4363" s="81"/>
      <c r="BB4363" s="5"/>
      <c r="BC4363" s="5"/>
      <c r="BD4363" s="5"/>
      <c r="BE4363" s="5"/>
      <c r="BF4363" s="5"/>
      <c r="BG4363" s="5"/>
      <c r="BH4363" s="5"/>
      <c r="BI4363" s="5"/>
      <c r="BJ4363" s="5"/>
      <c r="BK4363" s="5"/>
      <c r="BL4363" s="5"/>
      <c r="BM4363" s="5"/>
      <c r="BN4363" s="5"/>
      <c r="BO4363" s="5"/>
      <c r="BP4363" s="5"/>
    </row>
    <row r="4364" spans="35:68" x14ac:dyDescent="0.25">
      <c r="AI4364" s="49"/>
      <c r="AJ4364" s="78"/>
      <c r="AK4364" s="79"/>
      <c r="AL4364" s="79"/>
      <c r="AM4364" s="79"/>
      <c r="AN4364" s="79"/>
      <c r="AO4364" s="79"/>
      <c r="AP4364" s="79"/>
      <c r="AQ4364" s="79"/>
      <c r="AR4364" s="78"/>
      <c r="AS4364" s="78"/>
      <c r="AT4364" s="79"/>
      <c r="AU4364" s="79"/>
      <c r="AV4364" s="79"/>
      <c r="AW4364" s="79"/>
      <c r="AX4364" s="79"/>
      <c r="AZ4364" s="81"/>
      <c r="BB4364" s="5"/>
      <c r="BC4364" s="5"/>
      <c r="BD4364" s="5"/>
      <c r="BE4364" s="5"/>
      <c r="BF4364" s="5"/>
      <c r="BG4364" s="5"/>
      <c r="BH4364" s="5"/>
      <c r="BI4364" s="5"/>
      <c r="BJ4364" s="5"/>
      <c r="BK4364" s="5"/>
      <c r="BL4364" s="5"/>
      <c r="BM4364" s="5"/>
      <c r="BN4364" s="5"/>
      <c r="BO4364" s="5"/>
      <c r="BP4364" s="5"/>
    </row>
    <row r="4365" spans="35:68" x14ac:dyDescent="0.25">
      <c r="AI4365" s="49"/>
      <c r="AJ4365" s="78"/>
      <c r="AK4365" s="79"/>
      <c r="AL4365" s="79"/>
      <c r="AM4365" s="79"/>
      <c r="AN4365" s="79"/>
      <c r="AO4365" s="79"/>
      <c r="AP4365" s="79"/>
      <c r="AQ4365" s="79"/>
      <c r="AR4365" s="78"/>
      <c r="AS4365" s="78"/>
      <c r="AT4365" s="79"/>
      <c r="AU4365" s="79"/>
      <c r="AV4365" s="79"/>
      <c r="AW4365" s="79"/>
      <c r="AX4365" s="79"/>
      <c r="AZ4365" s="81"/>
      <c r="BB4365" s="5"/>
      <c r="BC4365" s="5"/>
      <c r="BD4365" s="5"/>
      <c r="BE4365" s="5"/>
      <c r="BF4365" s="5"/>
      <c r="BG4365" s="5"/>
      <c r="BH4365" s="5"/>
      <c r="BI4365" s="5"/>
      <c r="BJ4365" s="5"/>
      <c r="BK4365" s="5"/>
      <c r="BL4365" s="5"/>
      <c r="BM4365" s="5"/>
      <c r="BN4365" s="5"/>
      <c r="BO4365" s="5"/>
      <c r="BP4365" s="5"/>
    </row>
    <row r="4366" spans="35:68" x14ac:dyDescent="0.25">
      <c r="AI4366" s="49"/>
      <c r="AJ4366" s="78"/>
      <c r="AK4366" s="79"/>
      <c r="AL4366" s="79"/>
      <c r="AM4366" s="79"/>
      <c r="AN4366" s="79"/>
      <c r="AO4366" s="79"/>
      <c r="AP4366" s="79"/>
      <c r="AQ4366" s="79"/>
      <c r="AR4366" s="78"/>
      <c r="AS4366" s="78"/>
      <c r="AT4366" s="79"/>
      <c r="AU4366" s="79"/>
      <c r="AV4366" s="79"/>
      <c r="AW4366" s="79"/>
      <c r="AX4366" s="79"/>
      <c r="AZ4366" s="81"/>
      <c r="BB4366" s="5"/>
      <c r="BC4366" s="5"/>
      <c r="BD4366" s="5"/>
      <c r="BE4366" s="5"/>
      <c r="BF4366" s="5"/>
      <c r="BG4366" s="5"/>
      <c r="BH4366" s="5"/>
      <c r="BI4366" s="5"/>
      <c r="BJ4366" s="5"/>
      <c r="BK4366" s="5"/>
      <c r="BL4366" s="5"/>
      <c r="BM4366" s="5"/>
      <c r="BN4366" s="5"/>
      <c r="BO4366" s="5"/>
      <c r="BP4366" s="5"/>
    </row>
    <row r="4367" spans="35:68" x14ac:dyDescent="0.25">
      <c r="AI4367" s="49"/>
      <c r="AJ4367" s="78"/>
      <c r="AK4367" s="79"/>
      <c r="AL4367" s="79"/>
      <c r="AM4367" s="79"/>
      <c r="AN4367" s="79"/>
      <c r="AO4367" s="79"/>
      <c r="AP4367" s="79"/>
      <c r="AQ4367" s="79"/>
      <c r="AR4367" s="78"/>
      <c r="AS4367" s="78"/>
      <c r="AT4367" s="79"/>
      <c r="AU4367" s="79"/>
      <c r="AV4367" s="79"/>
      <c r="AW4367" s="79"/>
      <c r="AX4367" s="79"/>
      <c r="AZ4367" s="81"/>
      <c r="BB4367" s="5"/>
      <c r="BC4367" s="5"/>
      <c r="BD4367" s="5"/>
      <c r="BE4367" s="5"/>
      <c r="BF4367" s="5"/>
      <c r="BG4367" s="5"/>
      <c r="BH4367" s="5"/>
      <c r="BI4367" s="5"/>
      <c r="BJ4367" s="5"/>
      <c r="BK4367" s="5"/>
      <c r="BL4367" s="5"/>
      <c r="BM4367" s="5"/>
      <c r="BN4367" s="5"/>
      <c r="BO4367" s="5"/>
      <c r="BP4367" s="5"/>
    </row>
    <row r="4368" spans="35:68" x14ac:dyDescent="0.25">
      <c r="AI4368" s="49"/>
      <c r="AJ4368" s="78"/>
      <c r="AK4368" s="79"/>
      <c r="AL4368" s="79"/>
      <c r="AM4368" s="79"/>
      <c r="AN4368" s="79"/>
      <c r="AO4368" s="79"/>
      <c r="AP4368" s="79"/>
      <c r="AQ4368" s="79"/>
      <c r="AR4368" s="78"/>
      <c r="AS4368" s="78"/>
      <c r="AT4368" s="79"/>
      <c r="AU4368" s="79"/>
      <c r="AV4368" s="79"/>
      <c r="AW4368" s="79"/>
      <c r="AX4368" s="79"/>
      <c r="AZ4368" s="81"/>
      <c r="BB4368" s="5"/>
      <c r="BC4368" s="5"/>
      <c r="BD4368" s="5"/>
      <c r="BE4368" s="5"/>
      <c r="BF4368" s="5"/>
      <c r="BG4368" s="5"/>
      <c r="BH4368" s="5"/>
      <c r="BI4368" s="5"/>
      <c r="BJ4368" s="5"/>
      <c r="BK4368" s="5"/>
      <c r="BL4368" s="5"/>
      <c r="BM4368" s="5"/>
      <c r="BN4368" s="5"/>
      <c r="BO4368" s="5"/>
      <c r="BP4368" s="5"/>
    </row>
    <row r="4369" spans="35:68" x14ac:dyDescent="0.25">
      <c r="AI4369" s="49"/>
      <c r="AJ4369" s="78"/>
      <c r="AK4369" s="79"/>
      <c r="AL4369" s="79"/>
      <c r="AM4369" s="79"/>
      <c r="AN4369" s="79"/>
      <c r="AO4369" s="79"/>
      <c r="AP4369" s="79"/>
      <c r="AQ4369" s="79"/>
      <c r="AR4369" s="78"/>
      <c r="AS4369" s="78"/>
      <c r="AT4369" s="79"/>
      <c r="AU4369" s="79"/>
      <c r="AV4369" s="79"/>
      <c r="AW4369" s="79"/>
      <c r="AX4369" s="79"/>
      <c r="AZ4369" s="81"/>
      <c r="BB4369" s="5"/>
      <c r="BC4369" s="5"/>
      <c r="BD4369" s="5"/>
      <c r="BE4369" s="5"/>
      <c r="BF4369" s="5"/>
      <c r="BG4369" s="5"/>
      <c r="BH4369" s="5"/>
      <c r="BI4369" s="5"/>
      <c r="BJ4369" s="5"/>
      <c r="BK4369" s="5"/>
      <c r="BL4369" s="5"/>
      <c r="BM4369" s="5"/>
      <c r="BN4369" s="5"/>
      <c r="BO4369" s="5"/>
      <c r="BP4369" s="5"/>
    </row>
    <row r="4370" spans="35:68" x14ac:dyDescent="0.25">
      <c r="AI4370" s="49"/>
      <c r="AJ4370" s="78"/>
      <c r="AK4370" s="79"/>
      <c r="AL4370" s="79"/>
      <c r="AM4370" s="79"/>
      <c r="AN4370" s="79"/>
      <c r="AO4370" s="79"/>
      <c r="AP4370" s="79"/>
      <c r="AQ4370" s="79"/>
      <c r="AR4370" s="78"/>
      <c r="AS4370" s="78"/>
      <c r="AT4370" s="79"/>
      <c r="AU4370" s="79"/>
      <c r="AV4370" s="79"/>
      <c r="AW4370" s="79"/>
      <c r="AX4370" s="79"/>
      <c r="AZ4370" s="81"/>
      <c r="BB4370" s="5"/>
      <c r="BC4370" s="5"/>
      <c r="BD4370" s="5"/>
      <c r="BE4370" s="5"/>
      <c r="BF4370" s="5"/>
      <c r="BG4370" s="5"/>
      <c r="BH4370" s="5"/>
      <c r="BI4370" s="5"/>
      <c r="BJ4370" s="5"/>
      <c r="BK4370" s="5"/>
      <c r="BL4370" s="5"/>
      <c r="BM4370" s="5"/>
      <c r="BN4370" s="5"/>
      <c r="BO4370" s="5"/>
      <c r="BP4370" s="5"/>
    </row>
    <row r="4371" spans="35:68" x14ac:dyDescent="0.25">
      <c r="AI4371" s="49"/>
      <c r="AJ4371" s="78"/>
      <c r="AK4371" s="79"/>
      <c r="AL4371" s="79"/>
      <c r="AM4371" s="79"/>
      <c r="AN4371" s="79"/>
      <c r="AO4371" s="79"/>
      <c r="AP4371" s="79"/>
      <c r="AQ4371" s="79"/>
      <c r="AR4371" s="78"/>
      <c r="AS4371" s="78"/>
      <c r="AT4371" s="79"/>
      <c r="AU4371" s="79"/>
      <c r="AV4371" s="79"/>
      <c r="AW4371" s="79"/>
      <c r="AX4371" s="79"/>
      <c r="AZ4371" s="81"/>
      <c r="BB4371" s="5"/>
      <c r="BC4371" s="5"/>
      <c r="BD4371" s="5"/>
      <c r="BE4371" s="5"/>
      <c r="BF4371" s="5"/>
      <c r="BG4371" s="5"/>
      <c r="BH4371" s="5"/>
      <c r="BI4371" s="5"/>
      <c r="BJ4371" s="5"/>
      <c r="BK4371" s="5"/>
      <c r="BL4371" s="5"/>
      <c r="BM4371" s="5"/>
      <c r="BN4371" s="5"/>
      <c r="BO4371" s="5"/>
      <c r="BP4371" s="5"/>
    </row>
    <row r="4372" spans="35:68" x14ac:dyDescent="0.25">
      <c r="AI4372" s="49"/>
      <c r="AJ4372" s="78"/>
      <c r="AK4372" s="79"/>
      <c r="AL4372" s="79"/>
      <c r="AM4372" s="79"/>
      <c r="AN4372" s="79"/>
      <c r="AO4372" s="79"/>
      <c r="AP4372" s="79"/>
      <c r="AQ4372" s="79"/>
      <c r="AR4372" s="78"/>
      <c r="AS4372" s="78"/>
      <c r="AT4372" s="79"/>
      <c r="AU4372" s="79"/>
      <c r="AV4372" s="79"/>
      <c r="AW4372" s="79"/>
      <c r="AX4372" s="79"/>
      <c r="AZ4372" s="81"/>
      <c r="BB4372" s="5"/>
      <c r="BC4372" s="5"/>
      <c r="BD4372" s="5"/>
      <c r="BE4372" s="5"/>
      <c r="BF4372" s="5"/>
      <c r="BG4372" s="5"/>
      <c r="BH4372" s="5"/>
      <c r="BI4372" s="5"/>
      <c r="BJ4372" s="5"/>
      <c r="BK4372" s="5"/>
      <c r="BL4372" s="5"/>
      <c r="BM4372" s="5"/>
      <c r="BN4372" s="5"/>
      <c r="BO4372" s="5"/>
      <c r="BP4372" s="5"/>
    </row>
    <row r="4373" spans="35:68" x14ac:dyDescent="0.25">
      <c r="AI4373" s="49"/>
      <c r="AJ4373" s="78"/>
      <c r="AK4373" s="79"/>
      <c r="AL4373" s="79"/>
      <c r="AM4373" s="79"/>
      <c r="AN4373" s="79"/>
      <c r="AO4373" s="79"/>
      <c r="AP4373" s="79"/>
      <c r="AQ4373" s="79"/>
      <c r="AR4373" s="78"/>
      <c r="AS4373" s="78"/>
      <c r="AT4373" s="79"/>
      <c r="AU4373" s="79"/>
      <c r="AV4373" s="79"/>
      <c r="AW4373" s="79"/>
      <c r="AX4373" s="79"/>
      <c r="AZ4373" s="81"/>
      <c r="BB4373" s="5"/>
      <c r="BC4373" s="5"/>
      <c r="BD4373" s="5"/>
      <c r="BE4373" s="5"/>
      <c r="BF4373" s="5"/>
      <c r="BG4373" s="5"/>
      <c r="BH4373" s="5"/>
      <c r="BI4373" s="5"/>
      <c r="BJ4373" s="5"/>
      <c r="BK4373" s="5"/>
      <c r="BL4373" s="5"/>
      <c r="BM4373" s="5"/>
      <c r="BN4373" s="5"/>
      <c r="BO4373" s="5"/>
      <c r="BP4373" s="5"/>
    </row>
    <row r="4374" spans="35:68" x14ac:dyDescent="0.25">
      <c r="AI4374" s="49"/>
      <c r="AJ4374" s="78"/>
      <c r="AK4374" s="79"/>
      <c r="AL4374" s="79"/>
      <c r="AM4374" s="79"/>
      <c r="AN4374" s="79"/>
      <c r="AO4374" s="79"/>
      <c r="AP4374" s="79"/>
      <c r="AQ4374" s="79"/>
      <c r="AR4374" s="78"/>
      <c r="AS4374" s="78"/>
      <c r="AT4374" s="79"/>
      <c r="AU4374" s="79"/>
      <c r="AV4374" s="79"/>
      <c r="AW4374" s="79"/>
      <c r="AX4374" s="79"/>
      <c r="AZ4374" s="81"/>
      <c r="BB4374" s="5"/>
      <c r="BC4374" s="5"/>
      <c r="BD4374" s="5"/>
      <c r="BE4374" s="5"/>
      <c r="BF4374" s="5"/>
      <c r="BG4374" s="5"/>
      <c r="BH4374" s="5"/>
      <c r="BI4374" s="5"/>
      <c r="BJ4374" s="5"/>
      <c r="BK4374" s="5"/>
      <c r="BL4374" s="5"/>
      <c r="BM4374" s="5"/>
      <c r="BN4374" s="5"/>
      <c r="BO4374" s="5"/>
      <c r="BP4374" s="5"/>
    </row>
    <row r="4375" spans="35:68" x14ac:dyDescent="0.25">
      <c r="AI4375" s="49"/>
      <c r="AJ4375" s="78"/>
      <c r="AK4375" s="79"/>
      <c r="AL4375" s="79"/>
      <c r="AM4375" s="79"/>
      <c r="AN4375" s="79"/>
      <c r="AO4375" s="79"/>
      <c r="AP4375" s="79"/>
      <c r="AQ4375" s="79"/>
      <c r="AR4375" s="78"/>
      <c r="AS4375" s="78"/>
      <c r="AT4375" s="79"/>
      <c r="AU4375" s="79"/>
      <c r="AV4375" s="79"/>
      <c r="AW4375" s="79"/>
      <c r="AX4375" s="79"/>
      <c r="AZ4375" s="81"/>
      <c r="BB4375" s="5"/>
      <c r="BC4375" s="5"/>
      <c r="BD4375" s="5"/>
      <c r="BE4375" s="5"/>
      <c r="BF4375" s="5"/>
      <c r="BG4375" s="5"/>
      <c r="BH4375" s="5"/>
      <c r="BI4375" s="5"/>
      <c r="BJ4375" s="5"/>
      <c r="BK4375" s="5"/>
      <c r="BL4375" s="5"/>
      <c r="BM4375" s="5"/>
      <c r="BN4375" s="5"/>
      <c r="BO4375" s="5"/>
      <c r="BP4375" s="5"/>
    </row>
    <row r="4376" spans="35:68" x14ac:dyDescent="0.25">
      <c r="AI4376" s="49"/>
      <c r="AJ4376" s="78"/>
      <c r="AK4376" s="79"/>
      <c r="AL4376" s="79"/>
      <c r="AM4376" s="79"/>
      <c r="AN4376" s="79"/>
      <c r="AO4376" s="79"/>
      <c r="AP4376" s="79"/>
      <c r="AQ4376" s="79"/>
      <c r="AR4376" s="78"/>
      <c r="AS4376" s="78"/>
      <c r="AT4376" s="79"/>
      <c r="AU4376" s="79"/>
      <c r="AV4376" s="79"/>
      <c r="AW4376" s="79"/>
      <c r="AX4376" s="79"/>
      <c r="AZ4376" s="81"/>
      <c r="BB4376" s="5"/>
      <c r="BC4376" s="5"/>
      <c r="BD4376" s="5"/>
      <c r="BE4376" s="5"/>
      <c r="BF4376" s="5"/>
      <c r="BG4376" s="5"/>
      <c r="BH4376" s="5"/>
      <c r="BI4376" s="5"/>
      <c r="BJ4376" s="5"/>
      <c r="BK4376" s="5"/>
      <c r="BL4376" s="5"/>
      <c r="BM4376" s="5"/>
      <c r="BN4376" s="5"/>
      <c r="BO4376" s="5"/>
      <c r="BP4376" s="5"/>
    </row>
    <row r="4377" spans="35:68" x14ac:dyDescent="0.25">
      <c r="AI4377" s="49"/>
      <c r="AJ4377" s="78"/>
      <c r="AK4377" s="79"/>
      <c r="AL4377" s="79"/>
      <c r="AM4377" s="79"/>
      <c r="AN4377" s="79"/>
      <c r="AO4377" s="79"/>
      <c r="AP4377" s="79"/>
      <c r="AQ4377" s="79"/>
      <c r="AR4377" s="78"/>
      <c r="AS4377" s="78"/>
      <c r="AT4377" s="79"/>
      <c r="AU4377" s="79"/>
      <c r="AV4377" s="79"/>
      <c r="AW4377" s="79"/>
      <c r="AX4377" s="79"/>
      <c r="AZ4377" s="81"/>
      <c r="BB4377" s="5"/>
      <c r="BC4377" s="5"/>
      <c r="BD4377" s="5"/>
      <c r="BE4377" s="5"/>
      <c r="BF4377" s="5"/>
      <c r="BG4377" s="5"/>
      <c r="BH4377" s="5"/>
      <c r="BI4377" s="5"/>
      <c r="BJ4377" s="5"/>
      <c r="BK4377" s="5"/>
      <c r="BL4377" s="5"/>
      <c r="BM4377" s="5"/>
      <c r="BN4377" s="5"/>
      <c r="BO4377" s="5"/>
      <c r="BP4377" s="5"/>
    </row>
    <row r="4378" spans="35:68" x14ac:dyDescent="0.25">
      <c r="AI4378" s="49"/>
      <c r="AJ4378" s="78"/>
      <c r="AK4378" s="79"/>
      <c r="AL4378" s="79"/>
      <c r="AM4378" s="79"/>
      <c r="AN4378" s="79"/>
      <c r="AO4378" s="79"/>
      <c r="AP4378" s="79"/>
      <c r="AQ4378" s="79"/>
      <c r="AR4378" s="78"/>
      <c r="AS4378" s="78"/>
      <c r="AT4378" s="79"/>
      <c r="AU4378" s="79"/>
      <c r="AV4378" s="79"/>
      <c r="AW4378" s="79"/>
      <c r="AX4378" s="79"/>
      <c r="AZ4378" s="81"/>
      <c r="BB4378" s="5"/>
      <c r="BC4378" s="5"/>
      <c r="BD4378" s="5"/>
      <c r="BE4378" s="5"/>
      <c r="BF4378" s="5"/>
      <c r="BG4378" s="5"/>
      <c r="BH4378" s="5"/>
      <c r="BI4378" s="5"/>
      <c r="BJ4378" s="5"/>
      <c r="BK4378" s="5"/>
      <c r="BL4378" s="5"/>
      <c r="BM4378" s="5"/>
      <c r="BN4378" s="5"/>
      <c r="BO4378" s="5"/>
      <c r="BP4378" s="5"/>
    </row>
    <row r="4379" spans="35:68" x14ac:dyDescent="0.25">
      <c r="AI4379" s="49"/>
      <c r="AJ4379" s="78"/>
      <c r="AK4379" s="79"/>
      <c r="AL4379" s="79"/>
      <c r="AM4379" s="79"/>
      <c r="AN4379" s="79"/>
      <c r="AO4379" s="79"/>
      <c r="AP4379" s="79"/>
      <c r="AQ4379" s="79"/>
      <c r="AR4379" s="78"/>
      <c r="AS4379" s="78"/>
      <c r="AT4379" s="79"/>
      <c r="AU4379" s="79"/>
      <c r="AV4379" s="79"/>
      <c r="AW4379" s="79"/>
      <c r="AX4379" s="79"/>
      <c r="AZ4379" s="81"/>
      <c r="BB4379" s="5"/>
      <c r="BC4379" s="5"/>
      <c r="BD4379" s="5"/>
      <c r="BE4379" s="5"/>
      <c r="BF4379" s="5"/>
      <c r="BG4379" s="5"/>
      <c r="BH4379" s="5"/>
      <c r="BI4379" s="5"/>
      <c r="BJ4379" s="5"/>
      <c r="BK4379" s="5"/>
      <c r="BL4379" s="5"/>
      <c r="BM4379" s="5"/>
      <c r="BN4379" s="5"/>
      <c r="BO4379" s="5"/>
      <c r="BP4379" s="5"/>
    </row>
    <row r="4380" spans="35:68" x14ac:dyDescent="0.25">
      <c r="AI4380" s="49"/>
      <c r="AJ4380" s="78"/>
      <c r="AK4380" s="79"/>
      <c r="AL4380" s="79"/>
      <c r="AM4380" s="79"/>
      <c r="AN4380" s="79"/>
      <c r="AO4380" s="79"/>
      <c r="AP4380" s="79"/>
      <c r="AQ4380" s="79"/>
      <c r="AR4380" s="78"/>
      <c r="AS4380" s="78"/>
      <c r="AT4380" s="79"/>
      <c r="AU4380" s="79"/>
      <c r="AV4380" s="79"/>
      <c r="AW4380" s="79"/>
      <c r="AX4380" s="79"/>
      <c r="AZ4380" s="81"/>
      <c r="BB4380" s="5"/>
      <c r="BC4380" s="5"/>
      <c r="BD4380" s="5"/>
      <c r="BE4380" s="5"/>
      <c r="BF4380" s="5"/>
      <c r="BG4380" s="5"/>
      <c r="BH4380" s="5"/>
      <c r="BI4380" s="5"/>
      <c r="BJ4380" s="5"/>
      <c r="BK4380" s="5"/>
      <c r="BL4380" s="5"/>
      <c r="BM4380" s="5"/>
      <c r="BN4380" s="5"/>
      <c r="BO4380" s="5"/>
      <c r="BP4380" s="5"/>
    </row>
    <row r="4381" spans="35:68" x14ac:dyDescent="0.25">
      <c r="AI4381" s="49"/>
      <c r="AJ4381" s="78"/>
      <c r="AK4381" s="79"/>
      <c r="AL4381" s="79"/>
      <c r="AM4381" s="79"/>
      <c r="AN4381" s="79"/>
      <c r="AO4381" s="79"/>
      <c r="AP4381" s="79"/>
      <c r="AQ4381" s="79"/>
      <c r="AR4381" s="78"/>
      <c r="AS4381" s="78"/>
      <c r="AT4381" s="79"/>
      <c r="AU4381" s="79"/>
      <c r="AV4381" s="79"/>
      <c r="AW4381" s="79"/>
      <c r="AX4381" s="79"/>
      <c r="AZ4381" s="81"/>
      <c r="BB4381" s="5"/>
      <c r="BC4381" s="5"/>
      <c r="BD4381" s="5"/>
      <c r="BE4381" s="5"/>
      <c r="BF4381" s="5"/>
      <c r="BG4381" s="5"/>
      <c r="BH4381" s="5"/>
      <c r="BI4381" s="5"/>
      <c r="BJ4381" s="5"/>
      <c r="BK4381" s="5"/>
      <c r="BL4381" s="5"/>
      <c r="BM4381" s="5"/>
      <c r="BN4381" s="5"/>
      <c r="BO4381" s="5"/>
      <c r="BP4381" s="5"/>
    </row>
    <row r="4382" spans="35:68" x14ac:dyDescent="0.25">
      <c r="AI4382" s="49"/>
      <c r="AJ4382" s="78"/>
      <c r="AK4382" s="79"/>
      <c r="AL4382" s="79"/>
      <c r="AM4382" s="79"/>
      <c r="AN4382" s="79"/>
      <c r="AO4382" s="79"/>
      <c r="AP4382" s="79"/>
      <c r="AQ4382" s="79"/>
      <c r="AR4382" s="78"/>
      <c r="AS4382" s="78"/>
      <c r="AT4382" s="79"/>
      <c r="AU4382" s="79"/>
      <c r="AV4382" s="79"/>
      <c r="AW4382" s="79"/>
      <c r="AX4382" s="79"/>
      <c r="AZ4382" s="81"/>
      <c r="BB4382" s="5"/>
      <c r="BC4382" s="5"/>
      <c r="BD4382" s="5"/>
      <c r="BE4382" s="5"/>
      <c r="BF4382" s="5"/>
      <c r="BG4382" s="5"/>
      <c r="BH4382" s="5"/>
      <c r="BI4382" s="5"/>
      <c r="BJ4382" s="5"/>
      <c r="BK4382" s="5"/>
      <c r="BL4382" s="5"/>
      <c r="BM4382" s="5"/>
      <c r="BN4382" s="5"/>
      <c r="BO4382" s="5"/>
      <c r="BP4382" s="5"/>
    </row>
    <row r="4383" spans="35:68" x14ac:dyDescent="0.25">
      <c r="AI4383" s="49"/>
      <c r="AJ4383" s="78"/>
      <c r="AK4383" s="79"/>
      <c r="AL4383" s="79"/>
      <c r="AM4383" s="79"/>
      <c r="AN4383" s="79"/>
      <c r="AO4383" s="79"/>
      <c r="AP4383" s="79"/>
      <c r="AQ4383" s="79"/>
      <c r="AR4383" s="78"/>
      <c r="AS4383" s="78"/>
      <c r="AT4383" s="79"/>
      <c r="AU4383" s="79"/>
      <c r="AV4383" s="79"/>
      <c r="AW4383" s="79"/>
      <c r="AX4383" s="79"/>
      <c r="AZ4383" s="81"/>
      <c r="BB4383" s="5"/>
      <c r="BC4383" s="5"/>
      <c r="BD4383" s="5"/>
      <c r="BE4383" s="5"/>
      <c r="BF4383" s="5"/>
      <c r="BG4383" s="5"/>
      <c r="BH4383" s="5"/>
      <c r="BI4383" s="5"/>
      <c r="BJ4383" s="5"/>
      <c r="BK4383" s="5"/>
      <c r="BL4383" s="5"/>
      <c r="BM4383" s="5"/>
      <c r="BN4383" s="5"/>
      <c r="BO4383" s="5"/>
      <c r="BP4383" s="5"/>
    </row>
    <row r="4384" spans="35:68" x14ac:dyDescent="0.25">
      <c r="AI4384" s="49"/>
      <c r="AJ4384" s="78"/>
      <c r="AK4384" s="79"/>
      <c r="AL4384" s="79"/>
      <c r="AM4384" s="79"/>
      <c r="AN4384" s="79"/>
      <c r="AO4384" s="79"/>
      <c r="AP4384" s="79"/>
      <c r="AQ4384" s="79"/>
      <c r="AR4384" s="78"/>
      <c r="AS4384" s="78"/>
      <c r="AT4384" s="79"/>
      <c r="AU4384" s="79"/>
      <c r="AV4384" s="79"/>
      <c r="AW4384" s="79"/>
      <c r="AX4384" s="79"/>
      <c r="AZ4384" s="81"/>
      <c r="BB4384" s="5"/>
      <c r="BC4384" s="5"/>
      <c r="BD4384" s="5"/>
      <c r="BE4384" s="5"/>
      <c r="BF4384" s="5"/>
      <c r="BG4384" s="5"/>
      <c r="BH4384" s="5"/>
      <c r="BI4384" s="5"/>
      <c r="BJ4384" s="5"/>
      <c r="BK4384" s="5"/>
      <c r="BL4384" s="5"/>
      <c r="BM4384" s="5"/>
      <c r="BN4384" s="5"/>
      <c r="BO4384" s="5"/>
      <c r="BP4384" s="5"/>
    </row>
    <row r="4385" spans="35:68" x14ac:dyDescent="0.25">
      <c r="AI4385" s="49"/>
      <c r="AJ4385" s="78"/>
      <c r="AK4385" s="79"/>
      <c r="AL4385" s="79"/>
      <c r="AM4385" s="79"/>
      <c r="AN4385" s="79"/>
      <c r="AO4385" s="79"/>
      <c r="AP4385" s="79"/>
      <c r="AQ4385" s="79"/>
      <c r="AR4385" s="78"/>
      <c r="AS4385" s="78"/>
      <c r="AT4385" s="79"/>
      <c r="AU4385" s="79"/>
      <c r="AV4385" s="79"/>
      <c r="AW4385" s="79"/>
      <c r="AX4385" s="79"/>
      <c r="AZ4385" s="81"/>
      <c r="BB4385" s="5"/>
      <c r="BC4385" s="5"/>
      <c r="BD4385" s="5"/>
      <c r="BE4385" s="5"/>
      <c r="BF4385" s="5"/>
      <c r="BG4385" s="5"/>
      <c r="BH4385" s="5"/>
      <c r="BI4385" s="5"/>
      <c r="BJ4385" s="5"/>
      <c r="BK4385" s="5"/>
      <c r="BL4385" s="5"/>
      <c r="BM4385" s="5"/>
      <c r="BN4385" s="5"/>
      <c r="BO4385" s="5"/>
      <c r="BP4385" s="5"/>
    </row>
    <row r="4386" spans="35:68" x14ac:dyDescent="0.25">
      <c r="AI4386" s="49"/>
      <c r="AJ4386" s="78"/>
      <c r="AK4386" s="79"/>
      <c r="AL4386" s="79"/>
      <c r="AM4386" s="79"/>
      <c r="AN4386" s="79"/>
      <c r="AO4386" s="79"/>
      <c r="AP4386" s="79"/>
      <c r="AQ4386" s="79"/>
      <c r="AR4386" s="78"/>
      <c r="AS4386" s="78"/>
      <c r="AT4386" s="79"/>
      <c r="AU4386" s="79"/>
      <c r="AV4386" s="79"/>
      <c r="AW4386" s="79"/>
      <c r="AX4386" s="79"/>
      <c r="AZ4386" s="81"/>
      <c r="BB4386" s="5"/>
      <c r="BC4386" s="5"/>
      <c r="BD4386" s="5"/>
      <c r="BE4386" s="5"/>
      <c r="BF4386" s="5"/>
      <c r="BG4386" s="5"/>
      <c r="BH4386" s="5"/>
      <c r="BI4386" s="5"/>
      <c r="BJ4386" s="5"/>
      <c r="BK4386" s="5"/>
      <c r="BL4386" s="5"/>
      <c r="BM4386" s="5"/>
      <c r="BN4386" s="5"/>
      <c r="BO4386" s="5"/>
      <c r="BP4386" s="5"/>
    </row>
    <row r="4387" spans="35:68" x14ac:dyDescent="0.25">
      <c r="AI4387" s="49"/>
      <c r="AJ4387" s="78"/>
      <c r="AK4387" s="79"/>
      <c r="AL4387" s="79"/>
      <c r="AM4387" s="79"/>
      <c r="AN4387" s="79"/>
      <c r="AO4387" s="79"/>
      <c r="AP4387" s="79"/>
      <c r="AQ4387" s="79"/>
      <c r="AR4387" s="78"/>
      <c r="AS4387" s="78"/>
      <c r="AT4387" s="79"/>
      <c r="AU4387" s="79"/>
      <c r="AV4387" s="79"/>
      <c r="AW4387" s="79"/>
      <c r="AX4387" s="79"/>
      <c r="AZ4387" s="81"/>
      <c r="BB4387" s="5"/>
      <c r="BC4387" s="5"/>
      <c r="BD4387" s="5"/>
      <c r="BE4387" s="5"/>
      <c r="BF4387" s="5"/>
      <c r="BG4387" s="5"/>
      <c r="BH4387" s="5"/>
      <c r="BI4387" s="5"/>
      <c r="BJ4387" s="5"/>
      <c r="BK4387" s="5"/>
      <c r="BL4387" s="5"/>
      <c r="BM4387" s="5"/>
      <c r="BN4387" s="5"/>
      <c r="BO4387" s="5"/>
      <c r="BP4387" s="5"/>
    </row>
    <row r="4388" spans="35:68" x14ac:dyDescent="0.25">
      <c r="AI4388" s="49"/>
      <c r="AJ4388" s="78"/>
      <c r="AK4388" s="79"/>
      <c r="AL4388" s="79"/>
      <c r="AM4388" s="79"/>
      <c r="AN4388" s="79"/>
      <c r="AO4388" s="79"/>
      <c r="AP4388" s="79"/>
      <c r="AQ4388" s="79"/>
      <c r="AR4388" s="78"/>
      <c r="AS4388" s="78"/>
      <c r="AT4388" s="79"/>
      <c r="AU4388" s="79"/>
      <c r="AV4388" s="79"/>
      <c r="AW4388" s="79"/>
      <c r="AX4388" s="79"/>
      <c r="AZ4388" s="81"/>
      <c r="BB4388" s="5"/>
      <c r="BC4388" s="5"/>
      <c r="BD4388" s="5"/>
      <c r="BE4388" s="5"/>
      <c r="BF4388" s="5"/>
      <c r="BG4388" s="5"/>
      <c r="BH4388" s="5"/>
      <c r="BI4388" s="5"/>
      <c r="BJ4388" s="5"/>
      <c r="BK4388" s="5"/>
      <c r="BL4388" s="5"/>
      <c r="BM4388" s="5"/>
      <c r="BN4388" s="5"/>
      <c r="BO4388" s="5"/>
      <c r="BP4388" s="5"/>
    </row>
    <row r="4389" spans="35:68" x14ac:dyDescent="0.25">
      <c r="AI4389" s="49"/>
      <c r="AJ4389" s="78"/>
      <c r="AK4389" s="79"/>
      <c r="AL4389" s="79"/>
      <c r="AM4389" s="79"/>
      <c r="AN4389" s="79"/>
      <c r="AO4389" s="79"/>
      <c r="AP4389" s="79"/>
      <c r="AQ4389" s="79"/>
      <c r="AR4389" s="78"/>
      <c r="AS4389" s="78"/>
      <c r="AT4389" s="79"/>
      <c r="AU4389" s="79"/>
      <c r="AV4389" s="79"/>
      <c r="AW4389" s="79"/>
      <c r="AX4389" s="79"/>
      <c r="AZ4389" s="81"/>
      <c r="BB4389" s="5"/>
      <c r="BC4389" s="5"/>
      <c r="BD4389" s="5"/>
      <c r="BE4389" s="5"/>
      <c r="BF4389" s="5"/>
      <c r="BG4389" s="5"/>
      <c r="BH4389" s="5"/>
      <c r="BI4389" s="5"/>
      <c r="BJ4389" s="5"/>
      <c r="BK4389" s="5"/>
      <c r="BL4389" s="5"/>
      <c r="BM4389" s="5"/>
      <c r="BN4389" s="5"/>
      <c r="BO4389" s="5"/>
      <c r="BP4389" s="5"/>
    </row>
    <row r="4390" spans="35:68" x14ac:dyDescent="0.25">
      <c r="AI4390" s="49"/>
      <c r="AJ4390" s="78"/>
      <c r="AK4390" s="79"/>
      <c r="AL4390" s="79"/>
      <c r="AM4390" s="79"/>
      <c r="AN4390" s="79"/>
      <c r="AO4390" s="79"/>
      <c r="AP4390" s="79"/>
      <c r="AQ4390" s="79"/>
      <c r="AR4390" s="78"/>
      <c r="AS4390" s="78"/>
      <c r="AT4390" s="79"/>
      <c r="AU4390" s="79"/>
      <c r="AV4390" s="79"/>
      <c r="AW4390" s="79"/>
      <c r="AX4390" s="79"/>
      <c r="AZ4390" s="81"/>
      <c r="BB4390" s="5"/>
      <c r="BC4390" s="5"/>
      <c r="BD4390" s="5"/>
      <c r="BE4390" s="5"/>
      <c r="BF4390" s="5"/>
      <c r="BG4390" s="5"/>
      <c r="BH4390" s="5"/>
      <c r="BI4390" s="5"/>
      <c r="BJ4390" s="5"/>
      <c r="BK4390" s="5"/>
      <c r="BL4390" s="5"/>
      <c r="BM4390" s="5"/>
      <c r="BN4390" s="5"/>
      <c r="BO4390" s="5"/>
      <c r="BP4390" s="5"/>
    </row>
    <row r="4391" spans="35:68" x14ac:dyDescent="0.25">
      <c r="AI4391" s="49"/>
      <c r="AJ4391" s="78"/>
      <c r="AK4391" s="79"/>
      <c r="AL4391" s="79"/>
      <c r="AM4391" s="79"/>
      <c r="AN4391" s="79"/>
      <c r="AO4391" s="79"/>
      <c r="AP4391" s="79"/>
      <c r="AQ4391" s="79"/>
      <c r="AR4391" s="78"/>
      <c r="AS4391" s="78"/>
      <c r="AT4391" s="79"/>
      <c r="AU4391" s="79"/>
      <c r="AV4391" s="79"/>
      <c r="AW4391" s="79"/>
      <c r="AX4391" s="79"/>
      <c r="AZ4391" s="81"/>
      <c r="BB4391" s="5"/>
      <c r="BC4391" s="5"/>
      <c r="BD4391" s="5"/>
      <c r="BE4391" s="5"/>
      <c r="BF4391" s="5"/>
      <c r="BG4391" s="5"/>
      <c r="BH4391" s="5"/>
      <c r="BI4391" s="5"/>
      <c r="BJ4391" s="5"/>
      <c r="BK4391" s="5"/>
      <c r="BL4391" s="5"/>
      <c r="BM4391" s="5"/>
      <c r="BN4391" s="5"/>
      <c r="BO4391" s="5"/>
      <c r="BP4391" s="5"/>
    </row>
    <row r="4392" spans="35:68" x14ac:dyDescent="0.25">
      <c r="AI4392" s="49"/>
      <c r="AJ4392" s="78"/>
      <c r="AK4392" s="79"/>
      <c r="AL4392" s="79"/>
      <c r="AM4392" s="79"/>
      <c r="AN4392" s="79"/>
      <c r="AO4392" s="79"/>
      <c r="AP4392" s="79"/>
      <c r="AQ4392" s="79"/>
      <c r="AR4392" s="78"/>
      <c r="AS4392" s="78"/>
      <c r="AT4392" s="79"/>
      <c r="AU4392" s="79"/>
      <c r="AV4392" s="79"/>
      <c r="AW4392" s="79"/>
      <c r="AX4392" s="79"/>
      <c r="AZ4392" s="81"/>
      <c r="BB4392" s="5"/>
      <c r="BC4392" s="5"/>
      <c r="BD4392" s="5"/>
      <c r="BE4392" s="5"/>
      <c r="BF4392" s="5"/>
      <c r="BG4392" s="5"/>
      <c r="BH4392" s="5"/>
      <c r="BI4392" s="5"/>
      <c r="BJ4392" s="5"/>
      <c r="BK4392" s="5"/>
      <c r="BL4392" s="5"/>
      <c r="BM4392" s="5"/>
      <c r="BN4392" s="5"/>
      <c r="BO4392" s="5"/>
      <c r="BP4392" s="5"/>
    </row>
    <row r="4393" spans="35:68" x14ac:dyDescent="0.25">
      <c r="AI4393" s="49"/>
      <c r="AJ4393" s="78"/>
      <c r="AK4393" s="79"/>
      <c r="AL4393" s="79"/>
      <c r="AM4393" s="79"/>
      <c r="AN4393" s="79"/>
      <c r="AO4393" s="79"/>
      <c r="AP4393" s="79"/>
      <c r="AQ4393" s="79"/>
      <c r="AR4393" s="78"/>
      <c r="AS4393" s="78"/>
      <c r="AT4393" s="79"/>
      <c r="AU4393" s="79"/>
      <c r="AV4393" s="79"/>
      <c r="AW4393" s="79"/>
      <c r="AX4393" s="79"/>
      <c r="AZ4393" s="81"/>
      <c r="BB4393" s="5"/>
      <c r="BC4393" s="5"/>
      <c r="BD4393" s="5"/>
      <c r="BE4393" s="5"/>
      <c r="BF4393" s="5"/>
      <c r="BG4393" s="5"/>
      <c r="BH4393" s="5"/>
      <c r="BI4393" s="5"/>
      <c r="BJ4393" s="5"/>
      <c r="BK4393" s="5"/>
      <c r="BL4393" s="5"/>
      <c r="BM4393" s="5"/>
      <c r="BN4393" s="5"/>
      <c r="BO4393" s="5"/>
      <c r="BP4393" s="5"/>
    </row>
    <row r="4394" spans="35:68" x14ac:dyDescent="0.25">
      <c r="AI4394" s="49"/>
      <c r="AJ4394" s="78"/>
      <c r="AK4394" s="79"/>
      <c r="AL4394" s="79"/>
      <c r="AM4394" s="79"/>
      <c r="AN4394" s="79"/>
      <c r="AO4394" s="79"/>
      <c r="AP4394" s="79"/>
      <c r="AQ4394" s="79"/>
      <c r="AR4394" s="78"/>
      <c r="AS4394" s="78"/>
      <c r="AT4394" s="79"/>
      <c r="AU4394" s="79"/>
      <c r="AV4394" s="79"/>
      <c r="AW4394" s="79"/>
      <c r="AX4394" s="79"/>
      <c r="AZ4394" s="81"/>
      <c r="BB4394" s="5"/>
      <c r="BC4394" s="5"/>
      <c r="BD4394" s="5"/>
      <c r="BE4394" s="5"/>
      <c r="BF4394" s="5"/>
      <c r="BG4394" s="5"/>
      <c r="BH4394" s="5"/>
      <c r="BI4394" s="5"/>
      <c r="BJ4394" s="5"/>
      <c r="BK4394" s="5"/>
      <c r="BL4394" s="5"/>
      <c r="BM4394" s="5"/>
      <c r="BN4394" s="5"/>
      <c r="BO4394" s="5"/>
      <c r="BP4394" s="5"/>
    </row>
    <row r="4395" spans="35:68" x14ac:dyDescent="0.25">
      <c r="AI4395" s="49"/>
      <c r="AJ4395" s="78"/>
      <c r="AK4395" s="79"/>
      <c r="AL4395" s="79"/>
      <c r="AM4395" s="79"/>
      <c r="AN4395" s="79"/>
      <c r="AO4395" s="79"/>
      <c r="AP4395" s="79"/>
      <c r="AQ4395" s="79"/>
      <c r="AR4395" s="78"/>
      <c r="AS4395" s="78"/>
      <c r="AT4395" s="79"/>
      <c r="AU4395" s="79"/>
      <c r="AV4395" s="79"/>
      <c r="AW4395" s="79"/>
      <c r="AX4395" s="79"/>
      <c r="AZ4395" s="81"/>
      <c r="BB4395" s="5"/>
      <c r="BC4395" s="5"/>
      <c r="BD4395" s="5"/>
      <c r="BE4395" s="5"/>
      <c r="BF4395" s="5"/>
      <c r="BG4395" s="5"/>
      <c r="BH4395" s="5"/>
      <c r="BI4395" s="5"/>
      <c r="BJ4395" s="5"/>
      <c r="BK4395" s="5"/>
      <c r="BL4395" s="5"/>
      <c r="BM4395" s="5"/>
      <c r="BN4395" s="5"/>
      <c r="BO4395" s="5"/>
      <c r="BP4395" s="5"/>
    </row>
    <row r="4396" spans="35:68" x14ac:dyDescent="0.25">
      <c r="AI4396" s="49"/>
      <c r="AJ4396" s="78"/>
      <c r="AK4396" s="79"/>
      <c r="AL4396" s="79"/>
      <c r="AM4396" s="79"/>
      <c r="AN4396" s="79"/>
      <c r="AO4396" s="79"/>
      <c r="AP4396" s="79"/>
      <c r="AQ4396" s="79"/>
      <c r="AR4396" s="78"/>
      <c r="AS4396" s="78"/>
      <c r="AT4396" s="79"/>
      <c r="AU4396" s="79"/>
      <c r="AV4396" s="79"/>
      <c r="AW4396" s="79"/>
      <c r="AX4396" s="79"/>
      <c r="AZ4396" s="81"/>
      <c r="BB4396" s="5"/>
      <c r="BC4396" s="5"/>
      <c r="BD4396" s="5"/>
      <c r="BE4396" s="5"/>
      <c r="BF4396" s="5"/>
      <c r="BG4396" s="5"/>
      <c r="BH4396" s="5"/>
      <c r="BI4396" s="5"/>
      <c r="BJ4396" s="5"/>
      <c r="BK4396" s="5"/>
      <c r="BL4396" s="5"/>
      <c r="BM4396" s="5"/>
      <c r="BN4396" s="5"/>
      <c r="BO4396" s="5"/>
      <c r="BP4396" s="5"/>
    </row>
    <row r="4397" spans="35:68" x14ac:dyDescent="0.25">
      <c r="AI4397" s="49"/>
      <c r="AJ4397" s="78"/>
      <c r="AK4397" s="79"/>
      <c r="AL4397" s="79"/>
      <c r="AM4397" s="79"/>
      <c r="AN4397" s="79"/>
      <c r="AO4397" s="79"/>
      <c r="AP4397" s="79"/>
      <c r="AQ4397" s="79"/>
      <c r="AR4397" s="78"/>
      <c r="AS4397" s="78"/>
      <c r="AT4397" s="79"/>
      <c r="AU4397" s="79"/>
      <c r="AV4397" s="79"/>
      <c r="AW4397" s="79"/>
      <c r="AX4397" s="79"/>
      <c r="AZ4397" s="81"/>
      <c r="BB4397" s="5"/>
      <c r="BC4397" s="5"/>
      <c r="BD4397" s="5"/>
      <c r="BE4397" s="5"/>
      <c r="BF4397" s="5"/>
      <c r="BG4397" s="5"/>
      <c r="BH4397" s="5"/>
      <c r="BI4397" s="5"/>
      <c r="BJ4397" s="5"/>
      <c r="BK4397" s="5"/>
      <c r="BL4397" s="5"/>
      <c r="BM4397" s="5"/>
      <c r="BN4397" s="5"/>
      <c r="BO4397" s="5"/>
      <c r="BP4397" s="5"/>
    </row>
    <row r="4398" spans="35:68" x14ac:dyDescent="0.25">
      <c r="AI4398" s="49"/>
      <c r="AJ4398" s="78"/>
      <c r="AK4398" s="79"/>
      <c r="AL4398" s="79"/>
      <c r="AM4398" s="79"/>
      <c r="AN4398" s="79"/>
      <c r="AO4398" s="79"/>
      <c r="AP4398" s="79"/>
      <c r="AQ4398" s="79"/>
      <c r="AR4398" s="78"/>
      <c r="AS4398" s="78"/>
      <c r="AT4398" s="79"/>
      <c r="AU4398" s="79"/>
      <c r="AV4398" s="79"/>
      <c r="AW4398" s="79"/>
      <c r="AX4398" s="79"/>
      <c r="AZ4398" s="81"/>
      <c r="BB4398" s="5"/>
      <c r="BC4398" s="5"/>
      <c r="BD4398" s="5"/>
      <c r="BE4398" s="5"/>
      <c r="BF4398" s="5"/>
      <c r="BG4398" s="5"/>
      <c r="BH4398" s="5"/>
      <c r="BI4398" s="5"/>
      <c r="BJ4398" s="5"/>
      <c r="BK4398" s="5"/>
      <c r="BL4398" s="5"/>
      <c r="BM4398" s="5"/>
      <c r="BN4398" s="5"/>
      <c r="BO4398" s="5"/>
      <c r="BP4398" s="5"/>
    </row>
    <row r="4399" spans="35:68" x14ac:dyDescent="0.25">
      <c r="AI4399" s="49"/>
      <c r="AJ4399" s="78"/>
      <c r="AK4399" s="79"/>
      <c r="AL4399" s="79"/>
      <c r="AM4399" s="79"/>
      <c r="AN4399" s="79"/>
      <c r="AO4399" s="79"/>
      <c r="AP4399" s="79"/>
      <c r="AQ4399" s="79"/>
      <c r="AR4399" s="78"/>
      <c r="AS4399" s="78"/>
      <c r="AT4399" s="79"/>
      <c r="AU4399" s="79"/>
      <c r="AV4399" s="79"/>
      <c r="AW4399" s="79"/>
      <c r="AX4399" s="79"/>
      <c r="AZ4399" s="81"/>
      <c r="BB4399" s="5"/>
      <c r="BC4399" s="5"/>
      <c r="BD4399" s="5"/>
      <c r="BE4399" s="5"/>
      <c r="BF4399" s="5"/>
      <c r="BG4399" s="5"/>
      <c r="BH4399" s="5"/>
      <c r="BI4399" s="5"/>
      <c r="BJ4399" s="5"/>
      <c r="BK4399" s="5"/>
      <c r="BL4399" s="5"/>
      <c r="BM4399" s="5"/>
      <c r="BN4399" s="5"/>
      <c r="BO4399" s="5"/>
      <c r="BP4399" s="5"/>
    </row>
    <row r="4400" spans="35:68" x14ac:dyDescent="0.25">
      <c r="AI4400" s="49"/>
      <c r="AJ4400" s="78"/>
      <c r="AK4400" s="79"/>
      <c r="AL4400" s="79"/>
      <c r="AM4400" s="79"/>
      <c r="AN4400" s="79"/>
      <c r="AO4400" s="79"/>
      <c r="AP4400" s="79"/>
      <c r="AQ4400" s="79"/>
      <c r="AR4400" s="78"/>
      <c r="AS4400" s="78"/>
      <c r="AT4400" s="79"/>
      <c r="AU4400" s="79"/>
      <c r="AV4400" s="79"/>
      <c r="AW4400" s="79"/>
      <c r="AX4400" s="79"/>
      <c r="AZ4400" s="81"/>
      <c r="BB4400" s="5"/>
      <c r="BC4400" s="5"/>
      <c r="BD4400" s="5"/>
      <c r="BE4400" s="5"/>
      <c r="BF4400" s="5"/>
      <c r="BG4400" s="5"/>
      <c r="BH4400" s="5"/>
      <c r="BI4400" s="5"/>
      <c r="BJ4400" s="5"/>
      <c r="BK4400" s="5"/>
      <c r="BL4400" s="5"/>
      <c r="BM4400" s="5"/>
      <c r="BN4400" s="5"/>
      <c r="BO4400" s="5"/>
      <c r="BP4400" s="5"/>
    </row>
    <row r="4401" spans="35:68" x14ac:dyDescent="0.25">
      <c r="AI4401" s="49"/>
      <c r="AJ4401" s="78"/>
      <c r="AK4401" s="79"/>
      <c r="AL4401" s="79"/>
      <c r="AM4401" s="79"/>
      <c r="AN4401" s="79"/>
      <c r="AO4401" s="79"/>
      <c r="AP4401" s="79"/>
      <c r="AQ4401" s="79"/>
      <c r="AR4401" s="78"/>
      <c r="AS4401" s="78"/>
      <c r="AT4401" s="79"/>
      <c r="AU4401" s="79"/>
      <c r="AV4401" s="79"/>
      <c r="AW4401" s="79"/>
      <c r="AX4401" s="79"/>
      <c r="AZ4401" s="81"/>
      <c r="BB4401" s="5"/>
      <c r="BC4401" s="5"/>
      <c r="BD4401" s="5"/>
      <c r="BE4401" s="5"/>
      <c r="BF4401" s="5"/>
      <c r="BG4401" s="5"/>
      <c r="BH4401" s="5"/>
      <c r="BI4401" s="5"/>
      <c r="BJ4401" s="5"/>
      <c r="BK4401" s="5"/>
      <c r="BL4401" s="5"/>
      <c r="BM4401" s="5"/>
      <c r="BN4401" s="5"/>
      <c r="BO4401" s="5"/>
      <c r="BP4401" s="5"/>
    </row>
    <row r="4402" spans="35:68" x14ac:dyDescent="0.25">
      <c r="AI4402" s="49"/>
      <c r="AJ4402" s="78"/>
      <c r="AK4402" s="79"/>
      <c r="AL4402" s="79"/>
      <c r="AM4402" s="79"/>
      <c r="AN4402" s="79"/>
      <c r="AO4402" s="79"/>
      <c r="AP4402" s="79"/>
      <c r="AQ4402" s="79"/>
      <c r="AR4402" s="78"/>
      <c r="AS4402" s="78"/>
      <c r="AT4402" s="79"/>
      <c r="AU4402" s="79"/>
      <c r="AV4402" s="79"/>
      <c r="AW4402" s="79"/>
      <c r="AX4402" s="79"/>
      <c r="AZ4402" s="81"/>
      <c r="BB4402" s="5"/>
      <c r="BC4402" s="5"/>
      <c r="BD4402" s="5"/>
      <c r="BE4402" s="5"/>
      <c r="BF4402" s="5"/>
      <c r="BG4402" s="5"/>
      <c r="BH4402" s="5"/>
      <c r="BI4402" s="5"/>
      <c r="BJ4402" s="5"/>
      <c r="BK4402" s="5"/>
      <c r="BL4402" s="5"/>
      <c r="BM4402" s="5"/>
      <c r="BN4402" s="5"/>
      <c r="BO4402" s="5"/>
      <c r="BP4402" s="5"/>
    </row>
    <row r="4403" spans="35:68" x14ac:dyDescent="0.25">
      <c r="AI4403" s="49"/>
      <c r="AJ4403" s="78"/>
      <c r="AK4403" s="79"/>
      <c r="AL4403" s="79"/>
      <c r="AM4403" s="79"/>
      <c r="AN4403" s="79"/>
      <c r="AO4403" s="79"/>
      <c r="AP4403" s="79"/>
      <c r="AQ4403" s="79"/>
      <c r="AR4403" s="78"/>
      <c r="AS4403" s="78"/>
      <c r="AT4403" s="79"/>
      <c r="AU4403" s="79"/>
      <c r="AV4403" s="79"/>
      <c r="AW4403" s="79"/>
      <c r="AX4403" s="79"/>
      <c r="AZ4403" s="81"/>
      <c r="BB4403" s="5"/>
      <c r="BC4403" s="5"/>
      <c r="BD4403" s="5"/>
      <c r="BE4403" s="5"/>
      <c r="BF4403" s="5"/>
      <c r="BG4403" s="5"/>
      <c r="BH4403" s="5"/>
      <c r="BI4403" s="5"/>
      <c r="BJ4403" s="5"/>
      <c r="BK4403" s="5"/>
      <c r="BL4403" s="5"/>
      <c r="BM4403" s="5"/>
      <c r="BN4403" s="5"/>
      <c r="BO4403" s="5"/>
      <c r="BP4403" s="5"/>
    </row>
    <row r="4404" spans="35:68" x14ac:dyDescent="0.25">
      <c r="AI4404" s="49"/>
      <c r="AJ4404" s="78"/>
      <c r="AK4404" s="79"/>
      <c r="AL4404" s="79"/>
      <c r="AM4404" s="79"/>
      <c r="AN4404" s="79"/>
      <c r="AO4404" s="79"/>
      <c r="AP4404" s="79"/>
      <c r="AQ4404" s="79"/>
      <c r="AR4404" s="78"/>
      <c r="AS4404" s="78"/>
      <c r="AT4404" s="79"/>
      <c r="AU4404" s="79"/>
      <c r="AV4404" s="79"/>
      <c r="AW4404" s="79"/>
      <c r="AX4404" s="79"/>
      <c r="AZ4404" s="81"/>
      <c r="BB4404" s="5"/>
      <c r="BC4404" s="5"/>
      <c r="BD4404" s="5"/>
      <c r="BE4404" s="5"/>
      <c r="BF4404" s="5"/>
      <c r="BG4404" s="5"/>
      <c r="BH4404" s="5"/>
      <c r="BI4404" s="5"/>
      <c r="BJ4404" s="5"/>
      <c r="BK4404" s="5"/>
      <c r="BL4404" s="5"/>
      <c r="BM4404" s="5"/>
      <c r="BN4404" s="5"/>
      <c r="BO4404" s="5"/>
      <c r="BP4404" s="5"/>
    </row>
    <row r="4405" spans="35:68" x14ac:dyDescent="0.25">
      <c r="AI4405" s="49"/>
      <c r="AJ4405" s="78"/>
      <c r="AK4405" s="79"/>
      <c r="AL4405" s="79"/>
      <c r="AM4405" s="79"/>
      <c r="AN4405" s="79"/>
      <c r="AO4405" s="79"/>
      <c r="AP4405" s="79"/>
      <c r="AQ4405" s="79"/>
      <c r="AR4405" s="78"/>
      <c r="AS4405" s="78"/>
      <c r="AT4405" s="79"/>
      <c r="AU4405" s="79"/>
      <c r="AV4405" s="79"/>
      <c r="AW4405" s="79"/>
      <c r="AX4405" s="79"/>
      <c r="AZ4405" s="81"/>
      <c r="BB4405" s="5"/>
      <c r="BC4405" s="5"/>
      <c r="BD4405" s="5"/>
      <c r="BE4405" s="5"/>
      <c r="BF4405" s="5"/>
      <c r="BG4405" s="5"/>
      <c r="BH4405" s="5"/>
      <c r="BI4405" s="5"/>
      <c r="BJ4405" s="5"/>
      <c r="BK4405" s="5"/>
      <c r="BL4405" s="5"/>
      <c r="BM4405" s="5"/>
      <c r="BN4405" s="5"/>
      <c r="BO4405" s="5"/>
      <c r="BP4405" s="5"/>
    </row>
    <row r="4406" spans="35:68" x14ac:dyDescent="0.25">
      <c r="AI4406" s="49"/>
      <c r="AJ4406" s="78"/>
      <c r="AK4406" s="79"/>
      <c r="AL4406" s="79"/>
      <c r="AM4406" s="79"/>
      <c r="AN4406" s="79"/>
      <c r="AO4406" s="79"/>
      <c r="AP4406" s="79"/>
      <c r="AQ4406" s="79"/>
      <c r="AR4406" s="78"/>
      <c r="AS4406" s="78"/>
      <c r="AT4406" s="79"/>
      <c r="AU4406" s="79"/>
      <c r="AV4406" s="79"/>
      <c r="AW4406" s="79"/>
      <c r="AX4406" s="79"/>
      <c r="AZ4406" s="81"/>
      <c r="BB4406" s="5"/>
      <c r="BC4406" s="5"/>
      <c r="BD4406" s="5"/>
      <c r="BE4406" s="5"/>
      <c r="BF4406" s="5"/>
      <c r="BG4406" s="5"/>
      <c r="BH4406" s="5"/>
      <c r="BI4406" s="5"/>
      <c r="BJ4406" s="5"/>
      <c r="BK4406" s="5"/>
      <c r="BL4406" s="5"/>
      <c r="BM4406" s="5"/>
      <c r="BN4406" s="5"/>
      <c r="BO4406" s="5"/>
      <c r="BP4406" s="5"/>
    </row>
    <row r="4407" spans="35:68" x14ac:dyDescent="0.25">
      <c r="AI4407" s="49"/>
      <c r="AJ4407" s="78"/>
      <c r="AK4407" s="79"/>
      <c r="AL4407" s="79"/>
      <c r="AM4407" s="79"/>
      <c r="AN4407" s="79"/>
      <c r="AO4407" s="79"/>
      <c r="AP4407" s="79"/>
      <c r="AQ4407" s="79"/>
      <c r="AR4407" s="78"/>
      <c r="AS4407" s="78"/>
      <c r="AT4407" s="79"/>
      <c r="AU4407" s="79"/>
      <c r="AV4407" s="79"/>
      <c r="AW4407" s="79"/>
      <c r="AX4407" s="79"/>
      <c r="AZ4407" s="81"/>
      <c r="BB4407" s="5"/>
      <c r="BC4407" s="5"/>
      <c r="BD4407" s="5"/>
      <c r="BE4407" s="5"/>
      <c r="BF4407" s="5"/>
      <c r="BG4407" s="5"/>
      <c r="BH4407" s="5"/>
      <c r="BI4407" s="5"/>
      <c r="BJ4407" s="5"/>
      <c r="BK4407" s="5"/>
      <c r="BL4407" s="5"/>
      <c r="BM4407" s="5"/>
      <c r="BN4407" s="5"/>
      <c r="BO4407" s="5"/>
      <c r="BP4407" s="5"/>
    </row>
    <row r="4408" spans="35:68" x14ac:dyDescent="0.25">
      <c r="AI4408" s="49"/>
      <c r="AJ4408" s="78"/>
      <c r="AK4408" s="79"/>
      <c r="AL4408" s="79"/>
      <c r="AM4408" s="79"/>
      <c r="AN4408" s="79"/>
      <c r="AO4408" s="79"/>
      <c r="AP4408" s="79"/>
      <c r="AQ4408" s="79"/>
      <c r="AR4408" s="78"/>
      <c r="AS4408" s="78"/>
      <c r="AT4408" s="79"/>
      <c r="AU4408" s="79"/>
      <c r="AV4408" s="79"/>
      <c r="AW4408" s="79"/>
      <c r="AX4408" s="79"/>
      <c r="AZ4408" s="81"/>
      <c r="BB4408" s="5"/>
      <c r="BC4408" s="5"/>
      <c r="BD4408" s="5"/>
      <c r="BE4408" s="5"/>
      <c r="BF4408" s="5"/>
      <c r="BG4408" s="5"/>
      <c r="BH4408" s="5"/>
      <c r="BI4408" s="5"/>
      <c r="BJ4408" s="5"/>
      <c r="BK4408" s="5"/>
      <c r="BL4408" s="5"/>
      <c r="BM4408" s="5"/>
      <c r="BN4408" s="5"/>
      <c r="BO4408" s="5"/>
      <c r="BP4408" s="5"/>
    </row>
    <row r="4409" spans="35:68" x14ac:dyDescent="0.25">
      <c r="AI4409" s="49"/>
      <c r="AJ4409" s="78"/>
      <c r="AK4409" s="79"/>
      <c r="AL4409" s="79"/>
      <c r="AM4409" s="79"/>
      <c r="AN4409" s="79"/>
      <c r="AO4409" s="79"/>
      <c r="AP4409" s="79"/>
      <c r="AQ4409" s="79"/>
      <c r="AR4409" s="78"/>
      <c r="AS4409" s="78"/>
      <c r="AT4409" s="79"/>
      <c r="AU4409" s="79"/>
      <c r="AV4409" s="79"/>
      <c r="AW4409" s="79"/>
      <c r="AX4409" s="79"/>
      <c r="AZ4409" s="81"/>
      <c r="BB4409" s="5"/>
      <c r="BC4409" s="5"/>
      <c r="BD4409" s="5"/>
      <c r="BE4409" s="5"/>
      <c r="BF4409" s="5"/>
      <c r="BG4409" s="5"/>
      <c r="BH4409" s="5"/>
      <c r="BI4409" s="5"/>
      <c r="BJ4409" s="5"/>
      <c r="BK4409" s="5"/>
      <c r="BL4409" s="5"/>
      <c r="BM4409" s="5"/>
      <c r="BN4409" s="5"/>
      <c r="BO4409" s="5"/>
      <c r="BP4409" s="5"/>
    </row>
    <row r="4410" spans="35:68" x14ac:dyDescent="0.25">
      <c r="AI4410" s="49"/>
      <c r="AJ4410" s="78"/>
      <c r="AK4410" s="79"/>
      <c r="AL4410" s="79"/>
      <c r="AM4410" s="79"/>
      <c r="AN4410" s="79"/>
      <c r="AO4410" s="79"/>
      <c r="AP4410" s="79"/>
      <c r="AQ4410" s="79"/>
      <c r="AR4410" s="78"/>
      <c r="AS4410" s="78"/>
      <c r="AT4410" s="79"/>
      <c r="AU4410" s="79"/>
      <c r="AV4410" s="79"/>
      <c r="AW4410" s="79"/>
      <c r="AX4410" s="79"/>
      <c r="AZ4410" s="81"/>
      <c r="BB4410" s="5"/>
      <c r="BC4410" s="5"/>
      <c r="BD4410" s="5"/>
      <c r="BE4410" s="5"/>
      <c r="BF4410" s="5"/>
      <c r="BG4410" s="5"/>
      <c r="BH4410" s="5"/>
      <c r="BI4410" s="5"/>
      <c r="BJ4410" s="5"/>
      <c r="BK4410" s="5"/>
      <c r="BL4410" s="5"/>
      <c r="BM4410" s="5"/>
      <c r="BN4410" s="5"/>
      <c r="BO4410" s="5"/>
      <c r="BP4410" s="5"/>
    </row>
    <row r="4411" spans="35:68" x14ac:dyDescent="0.25">
      <c r="AI4411" s="49"/>
      <c r="AJ4411" s="78"/>
      <c r="AK4411" s="79"/>
      <c r="AL4411" s="79"/>
      <c r="AM4411" s="79"/>
      <c r="AN4411" s="79"/>
      <c r="AO4411" s="79"/>
      <c r="AP4411" s="79"/>
      <c r="AQ4411" s="79"/>
      <c r="AR4411" s="78"/>
      <c r="AS4411" s="78"/>
      <c r="AT4411" s="79"/>
      <c r="AU4411" s="79"/>
      <c r="AV4411" s="79"/>
      <c r="AW4411" s="79"/>
      <c r="AX4411" s="79"/>
      <c r="AZ4411" s="81"/>
      <c r="BB4411" s="5"/>
      <c r="BC4411" s="5"/>
      <c r="BD4411" s="5"/>
      <c r="BE4411" s="5"/>
      <c r="BF4411" s="5"/>
      <c r="BG4411" s="5"/>
      <c r="BH4411" s="5"/>
      <c r="BI4411" s="5"/>
      <c r="BJ4411" s="5"/>
      <c r="BK4411" s="5"/>
      <c r="BL4411" s="5"/>
      <c r="BM4411" s="5"/>
      <c r="BN4411" s="5"/>
      <c r="BO4411" s="5"/>
      <c r="BP4411" s="5"/>
    </row>
    <row r="4412" spans="35:68" x14ac:dyDescent="0.25">
      <c r="AI4412" s="49"/>
      <c r="AJ4412" s="78"/>
      <c r="AK4412" s="79"/>
      <c r="AL4412" s="79"/>
      <c r="AM4412" s="79"/>
      <c r="AN4412" s="79"/>
      <c r="AO4412" s="79"/>
      <c r="AP4412" s="79"/>
      <c r="AQ4412" s="79"/>
      <c r="AR4412" s="78"/>
      <c r="AS4412" s="78"/>
      <c r="AT4412" s="79"/>
      <c r="AU4412" s="79"/>
      <c r="AV4412" s="79"/>
      <c r="AW4412" s="79"/>
      <c r="AX4412" s="79"/>
      <c r="AZ4412" s="81"/>
      <c r="BB4412" s="5"/>
      <c r="BC4412" s="5"/>
      <c r="BD4412" s="5"/>
      <c r="BE4412" s="5"/>
      <c r="BF4412" s="5"/>
      <c r="BG4412" s="5"/>
      <c r="BH4412" s="5"/>
      <c r="BI4412" s="5"/>
      <c r="BJ4412" s="5"/>
      <c r="BK4412" s="5"/>
      <c r="BL4412" s="5"/>
      <c r="BM4412" s="5"/>
      <c r="BN4412" s="5"/>
      <c r="BO4412" s="5"/>
      <c r="BP4412" s="5"/>
    </row>
    <row r="4413" spans="35:68" x14ac:dyDescent="0.25">
      <c r="AI4413" s="49"/>
      <c r="AJ4413" s="78"/>
      <c r="AK4413" s="79"/>
      <c r="AL4413" s="79"/>
      <c r="AM4413" s="79"/>
      <c r="AN4413" s="79"/>
      <c r="AO4413" s="79"/>
      <c r="AP4413" s="79"/>
      <c r="AQ4413" s="79"/>
      <c r="AR4413" s="78"/>
      <c r="AS4413" s="78"/>
      <c r="AT4413" s="79"/>
      <c r="AU4413" s="79"/>
      <c r="AV4413" s="79"/>
      <c r="AW4413" s="79"/>
      <c r="AX4413" s="79"/>
      <c r="AZ4413" s="81"/>
      <c r="BB4413" s="5"/>
      <c r="BC4413" s="5"/>
      <c r="BD4413" s="5"/>
      <c r="BE4413" s="5"/>
      <c r="BF4413" s="5"/>
      <c r="BG4413" s="5"/>
      <c r="BH4413" s="5"/>
      <c r="BI4413" s="5"/>
      <c r="BJ4413" s="5"/>
      <c r="BK4413" s="5"/>
      <c r="BL4413" s="5"/>
      <c r="BM4413" s="5"/>
      <c r="BN4413" s="5"/>
      <c r="BO4413" s="5"/>
      <c r="BP4413" s="5"/>
    </row>
    <row r="4414" spans="35:68" x14ac:dyDescent="0.25">
      <c r="AI4414" s="49"/>
      <c r="AJ4414" s="78"/>
      <c r="AK4414" s="79"/>
      <c r="AL4414" s="79"/>
      <c r="AM4414" s="79"/>
      <c r="AN4414" s="79"/>
      <c r="AO4414" s="79"/>
      <c r="AP4414" s="79"/>
      <c r="AQ4414" s="79"/>
      <c r="AR4414" s="78"/>
      <c r="AS4414" s="78"/>
      <c r="AT4414" s="79"/>
      <c r="AU4414" s="79"/>
      <c r="AV4414" s="79"/>
      <c r="AW4414" s="79"/>
      <c r="AX4414" s="79"/>
      <c r="AZ4414" s="81"/>
      <c r="BB4414" s="5"/>
      <c r="BC4414" s="5"/>
      <c r="BD4414" s="5"/>
      <c r="BE4414" s="5"/>
      <c r="BF4414" s="5"/>
      <c r="BG4414" s="5"/>
      <c r="BH4414" s="5"/>
      <c r="BI4414" s="5"/>
      <c r="BJ4414" s="5"/>
      <c r="BK4414" s="5"/>
      <c r="BL4414" s="5"/>
      <c r="BM4414" s="5"/>
      <c r="BN4414" s="5"/>
      <c r="BO4414" s="5"/>
      <c r="BP4414" s="5"/>
    </row>
    <row r="4415" spans="35:68" x14ac:dyDescent="0.25">
      <c r="AI4415" s="49"/>
      <c r="AJ4415" s="78"/>
      <c r="AK4415" s="79"/>
      <c r="AL4415" s="79"/>
      <c r="AM4415" s="79"/>
      <c r="AN4415" s="79"/>
      <c r="AO4415" s="79"/>
      <c r="AP4415" s="79"/>
      <c r="AQ4415" s="79"/>
      <c r="AR4415" s="78"/>
      <c r="AS4415" s="78"/>
      <c r="AT4415" s="79"/>
      <c r="AU4415" s="79"/>
      <c r="AV4415" s="79"/>
      <c r="AW4415" s="79"/>
      <c r="AX4415" s="79"/>
      <c r="AZ4415" s="81"/>
      <c r="BB4415" s="5"/>
      <c r="BC4415" s="5"/>
      <c r="BD4415" s="5"/>
      <c r="BE4415" s="5"/>
      <c r="BF4415" s="5"/>
      <c r="BG4415" s="5"/>
      <c r="BH4415" s="5"/>
      <c r="BI4415" s="5"/>
      <c r="BJ4415" s="5"/>
      <c r="BK4415" s="5"/>
      <c r="BL4415" s="5"/>
      <c r="BM4415" s="5"/>
      <c r="BN4415" s="5"/>
      <c r="BO4415" s="5"/>
      <c r="BP4415" s="5"/>
    </row>
    <row r="4416" spans="35:68" x14ac:dyDescent="0.25">
      <c r="AI4416" s="49"/>
      <c r="AJ4416" s="78"/>
      <c r="AK4416" s="79"/>
      <c r="AL4416" s="79"/>
      <c r="AM4416" s="79"/>
      <c r="AN4416" s="79"/>
      <c r="AO4416" s="79"/>
      <c r="AP4416" s="79"/>
      <c r="AQ4416" s="79"/>
      <c r="AR4416" s="78"/>
      <c r="AS4416" s="78"/>
      <c r="AT4416" s="79"/>
      <c r="AU4416" s="79"/>
      <c r="AV4416" s="79"/>
      <c r="AW4416" s="79"/>
      <c r="AX4416" s="79"/>
      <c r="AZ4416" s="81"/>
      <c r="BB4416" s="5"/>
      <c r="BC4416" s="5"/>
      <c r="BD4416" s="5"/>
      <c r="BE4416" s="5"/>
      <c r="BF4416" s="5"/>
      <c r="BG4416" s="5"/>
      <c r="BH4416" s="5"/>
      <c r="BI4416" s="5"/>
      <c r="BJ4416" s="5"/>
      <c r="BK4416" s="5"/>
      <c r="BL4416" s="5"/>
      <c r="BM4416" s="5"/>
      <c r="BN4416" s="5"/>
      <c r="BO4416" s="5"/>
      <c r="BP4416" s="5"/>
    </row>
    <row r="4417" spans="35:68" x14ac:dyDescent="0.25">
      <c r="AI4417" s="49"/>
      <c r="AJ4417" s="78"/>
      <c r="AK4417" s="79"/>
      <c r="AL4417" s="79"/>
      <c r="AM4417" s="79"/>
      <c r="AN4417" s="79"/>
      <c r="AO4417" s="79"/>
      <c r="AP4417" s="79"/>
      <c r="AQ4417" s="79"/>
      <c r="AR4417" s="78"/>
      <c r="AS4417" s="78"/>
      <c r="AT4417" s="79"/>
      <c r="AU4417" s="79"/>
      <c r="AV4417" s="79"/>
      <c r="AW4417" s="79"/>
      <c r="AX4417" s="79"/>
      <c r="AZ4417" s="81"/>
      <c r="BB4417" s="5"/>
      <c r="BC4417" s="5"/>
      <c r="BD4417" s="5"/>
      <c r="BE4417" s="5"/>
      <c r="BF4417" s="5"/>
      <c r="BG4417" s="5"/>
      <c r="BH4417" s="5"/>
      <c r="BI4417" s="5"/>
      <c r="BJ4417" s="5"/>
      <c r="BK4417" s="5"/>
      <c r="BL4417" s="5"/>
      <c r="BM4417" s="5"/>
      <c r="BN4417" s="5"/>
      <c r="BO4417" s="5"/>
      <c r="BP4417" s="5"/>
    </row>
    <row r="4418" spans="35:68" x14ac:dyDescent="0.25">
      <c r="AI4418" s="49"/>
      <c r="AJ4418" s="78"/>
      <c r="AK4418" s="79"/>
      <c r="AL4418" s="79"/>
      <c r="AM4418" s="79"/>
      <c r="AN4418" s="79"/>
      <c r="AO4418" s="79"/>
      <c r="AP4418" s="79"/>
      <c r="AQ4418" s="79"/>
      <c r="AR4418" s="78"/>
      <c r="AS4418" s="78"/>
      <c r="AT4418" s="79"/>
      <c r="AU4418" s="79"/>
      <c r="AV4418" s="79"/>
      <c r="AW4418" s="79"/>
      <c r="AX4418" s="79"/>
      <c r="AZ4418" s="81"/>
      <c r="BB4418" s="5"/>
      <c r="BC4418" s="5"/>
      <c r="BD4418" s="5"/>
      <c r="BE4418" s="5"/>
      <c r="BF4418" s="5"/>
      <c r="BG4418" s="5"/>
      <c r="BH4418" s="5"/>
      <c r="BI4418" s="5"/>
      <c r="BJ4418" s="5"/>
      <c r="BK4418" s="5"/>
      <c r="BL4418" s="5"/>
      <c r="BM4418" s="5"/>
      <c r="BN4418" s="5"/>
      <c r="BO4418" s="5"/>
      <c r="BP4418" s="5"/>
    </row>
    <row r="4419" spans="35:68" x14ac:dyDescent="0.25">
      <c r="AI4419" s="49"/>
      <c r="AJ4419" s="78"/>
      <c r="AK4419" s="79"/>
      <c r="AL4419" s="79"/>
      <c r="AM4419" s="79"/>
      <c r="AN4419" s="79"/>
      <c r="AO4419" s="79"/>
      <c r="AP4419" s="79"/>
      <c r="AQ4419" s="79"/>
      <c r="AR4419" s="78"/>
      <c r="AS4419" s="78"/>
      <c r="AT4419" s="79"/>
      <c r="AU4419" s="79"/>
      <c r="AV4419" s="79"/>
      <c r="AW4419" s="79"/>
      <c r="AX4419" s="79"/>
      <c r="AZ4419" s="81"/>
      <c r="BB4419" s="5"/>
      <c r="BC4419" s="5"/>
      <c r="BD4419" s="5"/>
      <c r="BE4419" s="5"/>
      <c r="BF4419" s="5"/>
      <c r="BG4419" s="5"/>
      <c r="BH4419" s="5"/>
      <c r="BI4419" s="5"/>
      <c r="BJ4419" s="5"/>
      <c r="BK4419" s="5"/>
      <c r="BL4419" s="5"/>
      <c r="BM4419" s="5"/>
      <c r="BN4419" s="5"/>
      <c r="BO4419" s="5"/>
      <c r="BP4419" s="5"/>
    </row>
    <row r="4420" spans="35:68" x14ac:dyDescent="0.25">
      <c r="AI4420" s="49"/>
      <c r="AJ4420" s="78"/>
      <c r="AK4420" s="79"/>
      <c r="AL4420" s="79"/>
      <c r="AM4420" s="79"/>
      <c r="AN4420" s="79"/>
      <c r="AO4420" s="79"/>
      <c r="AP4420" s="79"/>
      <c r="AQ4420" s="79"/>
      <c r="AR4420" s="78"/>
      <c r="AS4420" s="78"/>
      <c r="AT4420" s="79"/>
      <c r="AU4420" s="79"/>
      <c r="AV4420" s="79"/>
      <c r="AW4420" s="79"/>
      <c r="AX4420" s="79"/>
      <c r="AZ4420" s="81"/>
      <c r="BB4420" s="5"/>
      <c r="BC4420" s="5"/>
      <c r="BD4420" s="5"/>
      <c r="BE4420" s="5"/>
      <c r="BF4420" s="5"/>
      <c r="BG4420" s="5"/>
      <c r="BH4420" s="5"/>
      <c r="BI4420" s="5"/>
      <c r="BJ4420" s="5"/>
      <c r="BK4420" s="5"/>
      <c r="BL4420" s="5"/>
      <c r="BM4420" s="5"/>
      <c r="BN4420" s="5"/>
      <c r="BO4420" s="5"/>
      <c r="BP4420" s="5"/>
    </row>
    <row r="4421" spans="35:68" x14ac:dyDescent="0.25">
      <c r="AI4421" s="49"/>
      <c r="AJ4421" s="78"/>
      <c r="AK4421" s="79"/>
      <c r="AL4421" s="79"/>
      <c r="AM4421" s="79"/>
      <c r="AN4421" s="79"/>
      <c r="AO4421" s="79"/>
      <c r="AP4421" s="79"/>
      <c r="AQ4421" s="79"/>
      <c r="AR4421" s="78"/>
      <c r="AS4421" s="78"/>
      <c r="AT4421" s="79"/>
      <c r="AU4421" s="79"/>
      <c r="AV4421" s="79"/>
      <c r="AW4421" s="79"/>
      <c r="AX4421" s="79"/>
      <c r="AZ4421" s="81"/>
      <c r="BB4421" s="5"/>
      <c r="BC4421" s="5"/>
      <c r="BD4421" s="5"/>
      <c r="BE4421" s="5"/>
      <c r="BF4421" s="5"/>
      <c r="BG4421" s="5"/>
      <c r="BH4421" s="5"/>
      <c r="BI4421" s="5"/>
      <c r="BJ4421" s="5"/>
      <c r="BK4421" s="5"/>
      <c r="BL4421" s="5"/>
      <c r="BM4421" s="5"/>
      <c r="BN4421" s="5"/>
      <c r="BO4421" s="5"/>
      <c r="BP4421" s="5"/>
    </row>
    <row r="4422" spans="35:68" x14ac:dyDescent="0.25">
      <c r="AI4422" s="49"/>
      <c r="AJ4422" s="78"/>
      <c r="AK4422" s="79"/>
      <c r="AL4422" s="79"/>
      <c r="AM4422" s="79"/>
      <c r="AN4422" s="79"/>
      <c r="AO4422" s="79"/>
      <c r="AP4422" s="79"/>
      <c r="AQ4422" s="79"/>
      <c r="AR4422" s="78"/>
      <c r="AS4422" s="78"/>
      <c r="AT4422" s="79"/>
      <c r="AU4422" s="79"/>
      <c r="AV4422" s="79"/>
      <c r="AW4422" s="79"/>
      <c r="AX4422" s="79"/>
      <c r="AZ4422" s="81"/>
      <c r="BB4422" s="5"/>
      <c r="BC4422" s="5"/>
      <c r="BD4422" s="5"/>
      <c r="BE4422" s="5"/>
      <c r="BF4422" s="5"/>
      <c r="BG4422" s="5"/>
      <c r="BH4422" s="5"/>
      <c r="BI4422" s="5"/>
      <c r="BJ4422" s="5"/>
      <c r="BK4422" s="5"/>
      <c r="BL4422" s="5"/>
      <c r="BM4422" s="5"/>
      <c r="BN4422" s="5"/>
      <c r="BO4422" s="5"/>
      <c r="BP4422" s="5"/>
    </row>
    <row r="4423" spans="35:68" x14ac:dyDescent="0.25">
      <c r="AI4423" s="49"/>
      <c r="AJ4423" s="78"/>
      <c r="AK4423" s="79"/>
      <c r="AL4423" s="79"/>
      <c r="AM4423" s="79"/>
      <c r="AN4423" s="79"/>
      <c r="AO4423" s="79"/>
      <c r="AP4423" s="79"/>
      <c r="AQ4423" s="79"/>
      <c r="AR4423" s="78"/>
      <c r="AS4423" s="78"/>
      <c r="AT4423" s="79"/>
      <c r="AU4423" s="79"/>
      <c r="AV4423" s="79"/>
      <c r="AW4423" s="79"/>
      <c r="AX4423" s="79"/>
      <c r="AZ4423" s="81"/>
      <c r="BB4423" s="5"/>
      <c r="BC4423" s="5"/>
      <c r="BD4423" s="5"/>
      <c r="BE4423" s="5"/>
      <c r="BF4423" s="5"/>
      <c r="BG4423" s="5"/>
      <c r="BH4423" s="5"/>
      <c r="BI4423" s="5"/>
      <c r="BJ4423" s="5"/>
      <c r="BK4423" s="5"/>
      <c r="BL4423" s="5"/>
      <c r="BM4423" s="5"/>
      <c r="BN4423" s="5"/>
      <c r="BO4423" s="5"/>
      <c r="BP4423" s="5"/>
    </row>
    <row r="4424" spans="35:68" x14ac:dyDescent="0.25">
      <c r="AI4424" s="49"/>
      <c r="AJ4424" s="78"/>
      <c r="AK4424" s="79"/>
      <c r="AL4424" s="79"/>
      <c r="AM4424" s="79"/>
      <c r="AN4424" s="79"/>
      <c r="AO4424" s="79"/>
      <c r="AP4424" s="79"/>
      <c r="AQ4424" s="79"/>
      <c r="AR4424" s="78"/>
      <c r="AS4424" s="78"/>
      <c r="AT4424" s="79"/>
      <c r="AU4424" s="79"/>
      <c r="AV4424" s="79"/>
      <c r="AW4424" s="79"/>
      <c r="AX4424" s="79"/>
      <c r="AZ4424" s="81"/>
      <c r="BB4424" s="5"/>
      <c r="BC4424" s="5"/>
      <c r="BD4424" s="5"/>
      <c r="BE4424" s="5"/>
      <c r="BF4424" s="5"/>
      <c r="BG4424" s="5"/>
      <c r="BH4424" s="5"/>
      <c r="BI4424" s="5"/>
      <c r="BJ4424" s="5"/>
      <c r="BK4424" s="5"/>
      <c r="BL4424" s="5"/>
      <c r="BM4424" s="5"/>
      <c r="BN4424" s="5"/>
      <c r="BO4424" s="5"/>
      <c r="BP4424" s="5"/>
    </row>
    <row r="4425" spans="35:68" x14ac:dyDescent="0.25">
      <c r="AI4425" s="49"/>
      <c r="AJ4425" s="78"/>
      <c r="AK4425" s="79"/>
      <c r="AL4425" s="79"/>
      <c r="AM4425" s="79"/>
      <c r="AN4425" s="79"/>
      <c r="AO4425" s="79"/>
      <c r="AP4425" s="79"/>
      <c r="AQ4425" s="79"/>
      <c r="AR4425" s="78"/>
      <c r="AS4425" s="78"/>
      <c r="AT4425" s="79"/>
      <c r="AU4425" s="79"/>
      <c r="AV4425" s="79"/>
      <c r="AW4425" s="79"/>
      <c r="AX4425" s="79"/>
      <c r="AZ4425" s="81"/>
      <c r="BB4425" s="5"/>
      <c r="BC4425" s="5"/>
      <c r="BD4425" s="5"/>
      <c r="BE4425" s="5"/>
      <c r="BF4425" s="5"/>
      <c r="BG4425" s="5"/>
      <c r="BH4425" s="5"/>
      <c r="BI4425" s="5"/>
      <c r="BJ4425" s="5"/>
      <c r="BK4425" s="5"/>
      <c r="BL4425" s="5"/>
      <c r="BM4425" s="5"/>
      <c r="BN4425" s="5"/>
      <c r="BO4425" s="5"/>
      <c r="BP4425" s="5"/>
    </row>
    <row r="4426" spans="35:68" x14ac:dyDescent="0.25">
      <c r="AI4426" s="49"/>
      <c r="AJ4426" s="78"/>
      <c r="AK4426" s="79"/>
      <c r="AL4426" s="79"/>
      <c r="AM4426" s="79"/>
      <c r="AN4426" s="79"/>
      <c r="AO4426" s="79"/>
      <c r="AP4426" s="79"/>
      <c r="AQ4426" s="79"/>
      <c r="AR4426" s="78"/>
      <c r="AS4426" s="78"/>
      <c r="AT4426" s="79"/>
      <c r="AU4426" s="79"/>
      <c r="AV4426" s="79"/>
      <c r="AW4426" s="79"/>
      <c r="AX4426" s="79"/>
      <c r="AZ4426" s="81"/>
      <c r="BB4426" s="5"/>
      <c r="BC4426" s="5"/>
      <c r="BD4426" s="5"/>
      <c r="BE4426" s="5"/>
      <c r="BF4426" s="5"/>
      <c r="BG4426" s="5"/>
      <c r="BH4426" s="5"/>
      <c r="BI4426" s="5"/>
      <c r="BJ4426" s="5"/>
      <c r="BK4426" s="5"/>
      <c r="BL4426" s="5"/>
      <c r="BM4426" s="5"/>
      <c r="BN4426" s="5"/>
      <c r="BO4426" s="5"/>
      <c r="BP4426" s="5"/>
    </row>
    <row r="4427" spans="35:68" x14ac:dyDescent="0.25">
      <c r="AI4427" s="49"/>
      <c r="AJ4427" s="78"/>
      <c r="AK4427" s="79"/>
      <c r="AL4427" s="79"/>
      <c r="AM4427" s="79"/>
      <c r="AN4427" s="79"/>
      <c r="AO4427" s="79"/>
      <c r="AP4427" s="79"/>
      <c r="AQ4427" s="79"/>
      <c r="AR4427" s="78"/>
      <c r="AS4427" s="78"/>
      <c r="AT4427" s="79"/>
      <c r="AU4427" s="79"/>
      <c r="AV4427" s="79"/>
      <c r="AW4427" s="79"/>
      <c r="AX4427" s="79"/>
      <c r="AZ4427" s="81"/>
      <c r="BB4427" s="5"/>
      <c r="BC4427" s="5"/>
      <c r="BD4427" s="5"/>
      <c r="BE4427" s="5"/>
      <c r="BF4427" s="5"/>
      <c r="BG4427" s="5"/>
      <c r="BH4427" s="5"/>
      <c r="BI4427" s="5"/>
      <c r="BJ4427" s="5"/>
      <c r="BK4427" s="5"/>
      <c r="BL4427" s="5"/>
      <c r="BM4427" s="5"/>
      <c r="BN4427" s="5"/>
      <c r="BO4427" s="5"/>
      <c r="BP4427" s="5"/>
    </row>
    <row r="4428" spans="35:68" x14ac:dyDescent="0.25">
      <c r="AI4428" s="49"/>
      <c r="AJ4428" s="78"/>
      <c r="AK4428" s="79"/>
      <c r="AL4428" s="79"/>
      <c r="AM4428" s="79"/>
      <c r="AN4428" s="79"/>
      <c r="AO4428" s="79"/>
      <c r="AP4428" s="79"/>
      <c r="AQ4428" s="79"/>
      <c r="AR4428" s="78"/>
      <c r="AS4428" s="78"/>
      <c r="AT4428" s="79"/>
      <c r="AU4428" s="79"/>
      <c r="AV4428" s="79"/>
      <c r="AW4428" s="79"/>
      <c r="AX4428" s="79"/>
      <c r="AZ4428" s="81"/>
      <c r="BB4428" s="5"/>
      <c r="BC4428" s="5"/>
      <c r="BD4428" s="5"/>
      <c r="BE4428" s="5"/>
      <c r="BF4428" s="5"/>
      <c r="BG4428" s="5"/>
      <c r="BH4428" s="5"/>
      <c r="BI4428" s="5"/>
      <c r="BJ4428" s="5"/>
      <c r="BK4428" s="5"/>
      <c r="BL4428" s="5"/>
      <c r="BM4428" s="5"/>
      <c r="BN4428" s="5"/>
      <c r="BO4428" s="5"/>
      <c r="BP4428" s="5"/>
    </row>
    <row r="4429" spans="35:68" x14ac:dyDescent="0.25">
      <c r="AI4429" s="49"/>
      <c r="AJ4429" s="78"/>
      <c r="AK4429" s="79"/>
      <c r="AL4429" s="79"/>
      <c r="AM4429" s="79"/>
      <c r="AN4429" s="79"/>
      <c r="AO4429" s="79"/>
      <c r="AP4429" s="79"/>
      <c r="AQ4429" s="79"/>
      <c r="AR4429" s="78"/>
      <c r="AS4429" s="78"/>
      <c r="AT4429" s="79"/>
      <c r="AU4429" s="79"/>
      <c r="AV4429" s="79"/>
      <c r="AW4429" s="79"/>
      <c r="AX4429" s="79"/>
      <c r="AZ4429" s="81"/>
      <c r="BB4429" s="5"/>
      <c r="BC4429" s="5"/>
      <c r="BD4429" s="5"/>
      <c r="BE4429" s="5"/>
      <c r="BF4429" s="5"/>
      <c r="BG4429" s="5"/>
      <c r="BH4429" s="5"/>
      <c r="BI4429" s="5"/>
      <c r="BJ4429" s="5"/>
      <c r="BK4429" s="5"/>
      <c r="BL4429" s="5"/>
      <c r="BM4429" s="5"/>
      <c r="BN4429" s="5"/>
      <c r="BO4429" s="5"/>
      <c r="BP4429" s="5"/>
    </row>
    <row r="4430" spans="35:68" x14ac:dyDescent="0.25">
      <c r="AI4430" s="49"/>
      <c r="AJ4430" s="78"/>
      <c r="AK4430" s="79"/>
      <c r="AL4430" s="79"/>
      <c r="AM4430" s="79"/>
      <c r="AN4430" s="79"/>
      <c r="AO4430" s="79"/>
      <c r="AP4430" s="79"/>
      <c r="AQ4430" s="79"/>
      <c r="AR4430" s="78"/>
      <c r="AS4430" s="78"/>
      <c r="AT4430" s="79"/>
      <c r="AU4430" s="79"/>
      <c r="AV4430" s="79"/>
      <c r="AW4430" s="79"/>
      <c r="AX4430" s="79"/>
      <c r="AZ4430" s="81"/>
      <c r="BB4430" s="5"/>
      <c r="BC4430" s="5"/>
      <c r="BD4430" s="5"/>
      <c r="BE4430" s="5"/>
      <c r="BF4430" s="5"/>
      <c r="BG4430" s="5"/>
      <c r="BH4430" s="5"/>
      <c r="BI4430" s="5"/>
      <c r="BJ4430" s="5"/>
      <c r="BK4430" s="5"/>
      <c r="BL4430" s="5"/>
      <c r="BM4430" s="5"/>
      <c r="BN4430" s="5"/>
      <c r="BO4430" s="5"/>
      <c r="BP4430" s="5"/>
    </row>
    <row r="4431" spans="35:68" x14ac:dyDescent="0.25">
      <c r="AI4431" s="49"/>
      <c r="AJ4431" s="78"/>
      <c r="AK4431" s="79"/>
      <c r="AL4431" s="79"/>
      <c r="AM4431" s="79"/>
      <c r="AN4431" s="79"/>
      <c r="AO4431" s="79"/>
      <c r="AP4431" s="79"/>
      <c r="AQ4431" s="79"/>
      <c r="AR4431" s="78"/>
      <c r="AS4431" s="78"/>
      <c r="AT4431" s="79"/>
      <c r="AU4431" s="79"/>
      <c r="AV4431" s="79"/>
      <c r="AW4431" s="79"/>
      <c r="AX4431" s="79"/>
      <c r="AZ4431" s="81"/>
      <c r="BB4431" s="5"/>
      <c r="BC4431" s="5"/>
      <c r="BD4431" s="5"/>
      <c r="BE4431" s="5"/>
      <c r="BF4431" s="5"/>
      <c r="BG4431" s="5"/>
      <c r="BH4431" s="5"/>
      <c r="BI4431" s="5"/>
      <c r="BJ4431" s="5"/>
      <c r="BK4431" s="5"/>
      <c r="BL4431" s="5"/>
      <c r="BM4431" s="5"/>
      <c r="BN4431" s="5"/>
      <c r="BO4431" s="5"/>
      <c r="BP4431" s="5"/>
    </row>
    <row r="4432" spans="35:68" x14ac:dyDescent="0.25">
      <c r="AI4432" s="49"/>
      <c r="AJ4432" s="78"/>
      <c r="AK4432" s="79"/>
      <c r="AL4432" s="79"/>
      <c r="AM4432" s="79"/>
      <c r="AN4432" s="79"/>
      <c r="AO4432" s="79"/>
      <c r="AP4432" s="79"/>
      <c r="AQ4432" s="79"/>
      <c r="AR4432" s="78"/>
      <c r="AS4432" s="78"/>
      <c r="AT4432" s="79"/>
      <c r="AU4432" s="79"/>
      <c r="AV4432" s="79"/>
      <c r="AW4432" s="79"/>
      <c r="AX4432" s="79"/>
      <c r="AZ4432" s="81"/>
      <c r="BB4432" s="5"/>
      <c r="BC4432" s="5"/>
      <c r="BD4432" s="5"/>
      <c r="BE4432" s="5"/>
      <c r="BF4432" s="5"/>
      <c r="BG4432" s="5"/>
      <c r="BH4432" s="5"/>
      <c r="BI4432" s="5"/>
      <c r="BJ4432" s="5"/>
      <c r="BK4432" s="5"/>
      <c r="BL4432" s="5"/>
      <c r="BM4432" s="5"/>
      <c r="BN4432" s="5"/>
      <c r="BO4432" s="5"/>
      <c r="BP4432" s="5"/>
    </row>
    <row r="4433" spans="35:68" x14ac:dyDescent="0.25">
      <c r="AI4433" s="49"/>
      <c r="AJ4433" s="78"/>
      <c r="AK4433" s="79"/>
      <c r="AL4433" s="79"/>
      <c r="AM4433" s="79"/>
      <c r="AN4433" s="79"/>
      <c r="AO4433" s="79"/>
      <c r="AP4433" s="79"/>
      <c r="AQ4433" s="79"/>
      <c r="AR4433" s="78"/>
      <c r="AS4433" s="78"/>
      <c r="AT4433" s="79"/>
      <c r="AU4433" s="79"/>
      <c r="AV4433" s="79"/>
      <c r="AW4433" s="79"/>
      <c r="AX4433" s="79"/>
      <c r="AZ4433" s="81"/>
      <c r="BB4433" s="5"/>
      <c r="BC4433" s="5"/>
      <c r="BD4433" s="5"/>
      <c r="BE4433" s="5"/>
      <c r="BF4433" s="5"/>
      <c r="BG4433" s="5"/>
      <c r="BH4433" s="5"/>
      <c r="BI4433" s="5"/>
      <c r="BJ4433" s="5"/>
      <c r="BK4433" s="5"/>
      <c r="BL4433" s="5"/>
      <c r="BM4433" s="5"/>
      <c r="BN4433" s="5"/>
      <c r="BO4433" s="5"/>
      <c r="BP4433" s="5"/>
    </row>
    <row r="4434" spans="35:68" x14ac:dyDescent="0.25">
      <c r="AI4434" s="49"/>
      <c r="AJ4434" s="78"/>
      <c r="AK4434" s="79"/>
      <c r="AL4434" s="79"/>
      <c r="AM4434" s="79"/>
      <c r="AN4434" s="79"/>
      <c r="AO4434" s="79"/>
      <c r="AP4434" s="79"/>
      <c r="AQ4434" s="79"/>
      <c r="AR4434" s="78"/>
      <c r="AS4434" s="78"/>
      <c r="AT4434" s="79"/>
      <c r="AU4434" s="79"/>
      <c r="AV4434" s="79"/>
      <c r="AW4434" s="79"/>
      <c r="AX4434" s="79"/>
      <c r="AZ4434" s="81"/>
      <c r="BB4434" s="5"/>
      <c r="BC4434" s="5"/>
      <c r="BD4434" s="5"/>
      <c r="BE4434" s="5"/>
      <c r="BF4434" s="5"/>
      <c r="BG4434" s="5"/>
      <c r="BH4434" s="5"/>
      <c r="BI4434" s="5"/>
      <c r="BJ4434" s="5"/>
      <c r="BK4434" s="5"/>
      <c r="BL4434" s="5"/>
      <c r="BM4434" s="5"/>
      <c r="BN4434" s="5"/>
      <c r="BO4434" s="5"/>
      <c r="BP4434" s="5"/>
    </row>
    <row r="4435" spans="35:68" x14ac:dyDescent="0.25">
      <c r="AI4435" s="49"/>
      <c r="AJ4435" s="78"/>
      <c r="AK4435" s="79"/>
      <c r="AL4435" s="79"/>
      <c r="AM4435" s="79"/>
      <c r="AN4435" s="79"/>
      <c r="AO4435" s="79"/>
      <c r="AP4435" s="79"/>
      <c r="AQ4435" s="79"/>
      <c r="AR4435" s="78"/>
      <c r="AS4435" s="78"/>
      <c r="AT4435" s="79"/>
      <c r="AU4435" s="79"/>
      <c r="AV4435" s="79"/>
      <c r="AW4435" s="79"/>
      <c r="AX4435" s="79"/>
      <c r="AZ4435" s="81"/>
      <c r="BB4435" s="5"/>
      <c r="BC4435" s="5"/>
      <c r="BD4435" s="5"/>
      <c r="BE4435" s="5"/>
      <c r="BF4435" s="5"/>
      <c r="BG4435" s="5"/>
      <c r="BH4435" s="5"/>
      <c r="BI4435" s="5"/>
      <c r="BJ4435" s="5"/>
      <c r="BK4435" s="5"/>
      <c r="BL4435" s="5"/>
      <c r="BM4435" s="5"/>
      <c r="BN4435" s="5"/>
      <c r="BO4435" s="5"/>
      <c r="BP4435" s="5"/>
    </row>
    <row r="4436" spans="35:68" x14ac:dyDescent="0.25">
      <c r="AI4436" s="49"/>
      <c r="AJ4436" s="78"/>
      <c r="AK4436" s="79"/>
      <c r="AL4436" s="79"/>
      <c r="AM4436" s="79"/>
      <c r="AN4436" s="79"/>
      <c r="AO4436" s="79"/>
      <c r="AP4436" s="79"/>
      <c r="AQ4436" s="79"/>
      <c r="AR4436" s="78"/>
      <c r="AS4436" s="78"/>
      <c r="AT4436" s="79"/>
      <c r="AU4436" s="79"/>
      <c r="AV4436" s="79"/>
      <c r="AW4436" s="79"/>
      <c r="AX4436" s="79"/>
      <c r="AZ4436" s="81"/>
      <c r="BB4436" s="5"/>
      <c r="BC4436" s="5"/>
      <c r="BD4436" s="5"/>
      <c r="BE4436" s="5"/>
      <c r="BF4436" s="5"/>
      <c r="BG4436" s="5"/>
      <c r="BH4436" s="5"/>
      <c r="BI4436" s="5"/>
      <c r="BJ4436" s="5"/>
      <c r="BK4436" s="5"/>
      <c r="BL4436" s="5"/>
      <c r="BM4436" s="5"/>
      <c r="BN4436" s="5"/>
      <c r="BO4436" s="5"/>
      <c r="BP4436" s="5"/>
    </row>
    <row r="4437" spans="35:68" x14ac:dyDescent="0.25">
      <c r="AI4437" s="49"/>
      <c r="AJ4437" s="78"/>
      <c r="AK4437" s="79"/>
      <c r="AL4437" s="79"/>
      <c r="AM4437" s="79"/>
      <c r="AN4437" s="79"/>
      <c r="AO4437" s="79"/>
      <c r="AP4437" s="79"/>
      <c r="AQ4437" s="79"/>
      <c r="AR4437" s="78"/>
      <c r="AS4437" s="78"/>
      <c r="AT4437" s="79"/>
      <c r="AU4437" s="79"/>
      <c r="AV4437" s="79"/>
      <c r="AW4437" s="79"/>
      <c r="AX4437" s="79"/>
      <c r="AZ4437" s="81"/>
      <c r="BB4437" s="5"/>
      <c r="BC4437" s="5"/>
      <c r="BD4437" s="5"/>
      <c r="BE4437" s="5"/>
      <c r="BF4437" s="5"/>
      <c r="BG4437" s="5"/>
      <c r="BH4437" s="5"/>
      <c r="BI4437" s="5"/>
      <c r="BJ4437" s="5"/>
      <c r="BK4437" s="5"/>
      <c r="BL4437" s="5"/>
      <c r="BM4437" s="5"/>
      <c r="BN4437" s="5"/>
      <c r="BO4437" s="5"/>
      <c r="BP4437" s="5"/>
    </row>
    <row r="4438" spans="35:68" x14ac:dyDescent="0.25">
      <c r="AI4438" s="49"/>
      <c r="AJ4438" s="78"/>
      <c r="AK4438" s="79"/>
      <c r="AL4438" s="79"/>
      <c r="AM4438" s="79"/>
      <c r="AN4438" s="79"/>
      <c r="AO4438" s="79"/>
      <c r="AP4438" s="79"/>
      <c r="AQ4438" s="79"/>
      <c r="AR4438" s="78"/>
      <c r="AS4438" s="78"/>
      <c r="AT4438" s="79"/>
      <c r="AU4438" s="79"/>
      <c r="AV4438" s="79"/>
      <c r="AW4438" s="79"/>
      <c r="AX4438" s="79"/>
      <c r="AZ4438" s="81"/>
      <c r="BB4438" s="5"/>
      <c r="BC4438" s="5"/>
      <c r="BD4438" s="5"/>
      <c r="BE4438" s="5"/>
      <c r="BF4438" s="5"/>
      <c r="BG4438" s="5"/>
      <c r="BH4438" s="5"/>
      <c r="BI4438" s="5"/>
      <c r="BJ4438" s="5"/>
      <c r="BK4438" s="5"/>
      <c r="BL4438" s="5"/>
      <c r="BM4438" s="5"/>
      <c r="BN4438" s="5"/>
      <c r="BO4438" s="5"/>
      <c r="BP4438" s="5"/>
    </row>
    <row r="4439" spans="35:68" x14ac:dyDescent="0.25">
      <c r="AI4439" s="49"/>
      <c r="AJ4439" s="78"/>
      <c r="AK4439" s="79"/>
      <c r="AL4439" s="79"/>
      <c r="AM4439" s="79"/>
      <c r="AN4439" s="79"/>
      <c r="AO4439" s="79"/>
      <c r="AP4439" s="79"/>
      <c r="AQ4439" s="79"/>
      <c r="AR4439" s="78"/>
      <c r="AS4439" s="78"/>
      <c r="AT4439" s="79"/>
      <c r="AU4439" s="79"/>
      <c r="AV4439" s="79"/>
      <c r="AW4439" s="79"/>
      <c r="AX4439" s="79"/>
      <c r="AZ4439" s="81"/>
      <c r="BB4439" s="5"/>
      <c r="BC4439" s="5"/>
      <c r="BD4439" s="5"/>
      <c r="BE4439" s="5"/>
      <c r="BF4439" s="5"/>
      <c r="BG4439" s="5"/>
      <c r="BH4439" s="5"/>
      <c r="BI4439" s="5"/>
      <c r="BJ4439" s="5"/>
      <c r="BK4439" s="5"/>
      <c r="BL4439" s="5"/>
      <c r="BM4439" s="5"/>
      <c r="BN4439" s="5"/>
      <c r="BO4439" s="5"/>
      <c r="BP4439" s="5"/>
    </row>
    <row r="4440" spans="35:68" x14ac:dyDescent="0.25">
      <c r="AI4440" s="49"/>
      <c r="AJ4440" s="78"/>
      <c r="AK4440" s="79"/>
      <c r="AL4440" s="79"/>
      <c r="AM4440" s="79"/>
      <c r="AN4440" s="79"/>
      <c r="AO4440" s="79"/>
      <c r="AP4440" s="79"/>
      <c r="AQ4440" s="79"/>
      <c r="AR4440" s="78"/>
      <c r="AS4440" s="78"/>
      <c r="AT4440" s="79"/>
      <c r="AU4440" s="79"/>
      <c r="AV4440" s="79"/>
      <c r="AW4440" s="79"/>
      <c r="AX4440" s="79"/>
      <c r="AZ4440" s="81"/>
      <c r="BB4440" s="5"/>
      <c r="BC4440" s="5"/>
      <c r="BD4440" s="5"/>
      <c r="BE4440" s="5"/>
      <c r="BF4440" s="5"/>
      <c r="BG4440" s="5"/>
      <c r="BH4440" s="5"/>
      <c r="BI4440" s="5"/>
      <c r="BJ4440" s="5"/>
      <c r="BK4440" s="5"/>
      <c r="BL4440" s="5"/>
      <c r="BM4440" s="5"/>
      <c r="BN4440" s="5"/>
      <c r="BO4440" s="5"/>
      <c r="BP4440" s="5"/>
    </row>
    <row r="4441" spans="35:68" x14ac:dyDescent="0.25">
      <c r="AI4441" s="49"/>
      <c r="AJ4441" s="78"/>
      <c r="AK4441" s="79"/>
      <c r="AL4441" s="79"/>
      <c r="AM4441" s="79"/>
      <c r="AN4441" s="79"/>
      <c r="AO4441" s="79"/>
      <c r="AP4441" s="79"/>
      <c r="AQ4441" s="79"/>
      <c r="AR4441" s="78"/>
      <c r="AS4441" s="78"/>
      <c r="AT4441" s="79"/>
      <c r="AU4441" s="79"/>
      <c r="AV4441" s="79"/>
      <c r="AW4441" s="79"/>
      <c r="AX4441" s="79"/>
      <c r="AZ4441" s="81"/>
      <c r="BB4441" s="5"/>
      <c r="BC4441" s="5"/>
      <c r="BD4441" s="5"/>
      <c r="BE4441" s="5"/>
      <c r="BF4441" s="5"/>
      <c r="BG4441" s="5"/>
      <c r="BH4441" s="5"/>
      <c r="BI4441" s="5"/>
      <c r="BJ4441" s="5"/>
      <c r="BK4441" s="5"/>
      <c r="BL4441" s="5"/>
      <c r="BM4441" s="5"/>
      <c r="BN4441" s="5"/>
      <c r="BO4441" s="5"/>
      <c r="BP4441" s="5"/>
    </row>
    <row r="4442" spans="35:68" x14ac:dyDescent="0.25">
      <c r="AI4442" s="49"/>
      <c r="AJ4442" s="78"/>
      <c r="AK4442" s="79"/>
      <c r="AL4442" s="79"/>
      <c r="AM4442" s="79"/>
      <c r="AN4442" s="79"/>
      <c r="AO4442" s="79"/>
      <c r="AP4442" s="79"/>
      <c r="AQ4442" s="79"/>
      <c r="AR4442" s="78"/>
      <c r="AS4442" s="78"/>
      <c r="AT4442" s="79"/>
      <c r="AU4442" s="79"/>
      <c r="AV4442" s="79"/>
      <c r="AW4442" s="79"/>
      <c r="AX4442" s="79"/>
      <c r="AZ4442" s="81"/>
      <c r="BB4442" s="5"/>
      <c r="BC4442" s="5"/>
      <c r="BD4442" s="5"/>
      <c r="BE4442" s="5"/>
      <c r="BF4442" s="5"/>
      <c r="BG4442" s="5"/>
      <c r="BH4442" s="5"/>
      <c r="BI4442" s="5"/>
      <c r="BJ4442" s="5"/>
      <c r="BK4442" s="5"/>
      <c r="BL4442" s="5"/>
      <c r="BM4442" s="5"/>
      <c r="BN4442" s="5"/>
      <c r="BO4442" s="5"/>
      <c r="BP4442" s="5"/>
    </row>
    <row r="4443" spans="35:68" x14ac:dyDescent="0.25">
      <c r="AI4443" s="49"/>
      <c r="AJ4443" s="78"/>
      <c r="AK4443" s="79"/>
      <c r="AL4443" s="79"/>
      <c r="AM4443" s="79"/>
      <c r="AN4443" s="79"/>
      <c r="AO4443" s="79"/>
      <c r="AP4443" s="79"/>
      <c r="AQ4443" s="79"/>
      <c r="AR4443" s="78"/>
      <c r="AS4443" s="78"/>
      <c r="AT4443" s="79"/>
      <c r="AU4443" s="79"/>
      <c r="AV4443" s="79"/>
      <c r="AW4443" s="79"/>
      <c r="AX4443" s="79"/>
      <c r="AZ4443" s="81"/>
      <c r="BB4443" s="5"/>
      <c r="BC4443" s="5"/>
      <c r="BD4443" s="5"/>
      <c r="BE4443" s="5"/>
      <c r="BF4443" s="5"/>
      <c r="BG4443" s="5"/>
      <c r="BH4443" s="5"/>
      <c r="BI4443" s="5"/>
      <c r="BJ4443" s="5"/>
      <c r="BK4443" s="5"/>
      <c r="BL4443" s="5"/>
      <c r="BM4443" s="5"/>
      <c r="BN4443" s="5"/>
      <c r="BO4443" s="5"/>
      <c r="BP4443" s="5"/>
    </row>
    <row r="4444" spans="35:68" x14ac:dyDescent="0.25">
      <c r="AI4444" s="49"/>
      <c r="AJ4444" s="78"/>
      <c r="AK4444" s="79"/>
      <c r="AL4444" s="79"/>
      <c r="AM4444" s="79"/>
      <c r="AN4444" s="79"/>
      <c r="AO4444" s="79"/>
      <c r="AP4444" s="79"/>
      <c r="AQ4444" s="79"/>
      <c r="AR4444" s="78"/>
      <c r="AS4444" s="78"/>
      <c r="AT4444" s="79"/>
      <c r="AU4444" s="79"/>
      <c r="AV4444" s="79"/>
      <c r="AW4444" s="79"/>
      <c r="AX4444" s="79"/>
      <c r="AZ4444" s="81"/>
      <c r="BB4444" s="5"/>
      <c r="BC4444" s="5"/>
      <c r="BD4444" s="5"/>
      <c r="BE4444" s="5"/>
      <c r="BF4444" s="5"/>
      <c r="BG4444" s="5"/>
      <c r="BH4444" s="5"/>
      <c r="BI4444" s="5"/>
      <c r="BJ4444" s="5"/>
      <c r="BK4444" s="5"/>
      <c r="BL4444" s="5"/>
      <c r="BM4444" s="5"/>
      <c r="BN4444" s="5"/>
      <c r="BO4444" s="5"/>
      <c r="BP4444" s="5"/>
    </row>
    <row r="4445" spans="35:68" x14ac:dyDescent="0.25">
      <c r="AI4445" s="49"/>
      <c r="AJ4445" s="78"/>
      <c r="AK4445" s="79"/>
      <c r="AL4445" s="79"/>
      <c r="AM4445" s="79"/>
      <c r="AN4445" s="79"/>
      <c r="AO4445" s="79"/>
      <c r="AP4445" s="79"/>
      <c r="AQ4445" s="79"/>
      <c r="AR4445" s="78"/>
      <c r="AS4445" s="78"/>
      <c r="AT4445" s="79"/>
      <c r="AU4445" s="79"/>
      <c r="AV4445" s="79"/>
      <c r="AW4445" s="79"/>
      <c r="AX4445" s="79"/>
      <c r="AZ4445" s="81"/>
      <c r="BB4445" s="5"/>
      <c r="BC4445" s="5"/>
      <c r="BD4445" s="5"/>
      <c r="BE4445" s="5"/>
      <c r="BF4445" s="5"/>
      <c r="BG4445" s="5"/>
      <c r="BH4445" s="5"/>
      <c r="BI4445" s="5"/>
      <c r="BJ4445" s="5"/>
      <c r="BK4445" s="5"/>
      <c r="BL4445" s="5"/>
      <c r="BM4445" s="5"/>
      <c r="BN4445" s="5"/>
      <c r="BO4445" s="5"/>
      <c r="BP4445" s="5"/>
    </row>
    <row r="4446" spans="35:68" x14ac:dyDescent="0.25">
      <c r="AI4446" s="49"/>
      <c r="AJ4446" s="78"/>
      <c r="AK4446" s="79"/>
      <c r="AL4446" s="79"/>
      <c r="AM4446" s="79"/>
      <c r="AN4446" s="79"/>
      <c r="AO4446" s="79"/>
      <c r="AP4446" s="79"/>
      <c r="AQ4446" s="79"/>
      <c r="AR4446" s="78"/>
      <c r="AS4446" s="78"/>
      <c r="AT4446" s="79"/>
      <c r="AU4446" s="79"/>
      <c r="AV4446" s="79"/>
      <c r="AW4446" s="79"/>
      <c r="AX4446" s="79"/>
      <c r="AZ4446" s="81"/>
      <c r="BB4446" s="5"/>
      <c r="BC4446" s="5"/>
      <c r="BD4446" s="5"/>
      <c r="BE4446" s="5"/>
      <c r="BF4446" s="5"/>
      <c r="BG4446" s="5"/>
      <c r="BH4446" s="5"/>
      <c r="BI4446" s="5"/>
      <c r="BJ4446" s="5"/>
      <c r="BK4446" s="5"/>
      <c r="BL4446" s="5"/>
      <c r="BM4446" s="5"/>
      <c r="BN4446" s="5"/>
      <c r="BO4446" s="5"/>
      <c r="BP4446" s="5"/>
    </row>
    <row r="4447" spans="35:68" x14ac:dyDescent="0.25">
      <c r="AI4447" s="49"/>
      <c r="AJ4447" s="78"/>
      <c r="AK4447" s="79"/>
      <c r="AL4447" s="79"/>
      <c r="AM4447" s="79"/>
      <c r="AN4447" s="79"/>
      <c r="AO4447" s="79"/>
      <c r="AP4447" s="79"/>
      <c r="AQ4447" s="79"/>
      <c r="AR4447" s="78"/>
      <c r="AS4447" s="78"/>
      <c r="AT4447" s="79"/>
      <c r="AU4447" s="79"/>
      <c r="AV4447" s="79"/>
      <c r="AW4447" s="79"/>
      <c r="AX4447" s="79"/>
      <c r="AZ4447" s="81"/>
      <c r="BB4447" s="5"/>
      <c r="BC4447" s="5"/>
      <c r="BD4447" s="5"/>
      <c r="BE4447" s="5"/>
      <c r="BF4447" s="5"/>
      <c r="BG4447" s="5"/>
      <c r="BH4447" s="5"/>
      <c r="BI4447" s="5"/>
      <c r="BJ4447" s="5"/>
      <c r="BK4447" s="5"/>
      <c r="BL4447" s="5"/>
      <c r="BM4447" s="5"/>
      <c r="BN4447" s="5"/>
      <c r="BO4447" s="5"/>
      <c r="BP4447" s="5"/>
    </row>
    <row r="4448" spans="35:68" x14ac:dyDescent="0.25">
      <c r="AI4448" s="49"/>
      <c r="AJ4448" s="78"/>
      <c r="AK4448" s="79"/>
      <c r="AL4448" s="79"/>
      <c r="AM4448" s="79"/>
      <c r="AN4448" s="79"/>
      <c r="AO4448" s="79"/>
      <c r="AP4448" s="79"/>
      <c r="AQ4448" s="79"/>
      <c r="AR4448" s="78"/>
      <c r="AS4448" s="78"/>
      <c r="AT4448" s="79"/>
      <c r="AU4448" s="79"/>
      <c r="AV4448" s="79"/>
      <c r="AW4448" s="79"/>
      <c r="AX4448" s="79"/>
      <c r="AZ4448" s="81"/>
      <c r="BB4448" s="5"/>
      <c r="BC4448" s="5"/>
      <c r="BD4448" s="5"/>
      <c r="BE4448" s="5"/>
      <c r="BF4448" s="5"/>
      <c r="BG4448" s="5"/>
      <c r="BH4448" s="5"/>
      <c r="BI4448" s="5"/>
      <c r="BJ4448" s="5"/>
      <c r="BK4448" s="5"/>
      <c r="BL4448" s="5"/>
      <c r="BM4448" s="5"/>
      <c r="BN4448" s="5"/>
      <c r="BO4448" s="5"/>
      <c r="BP4448" s="5"/>
    </row>
    <row r="4449" spans="35:68" x14ac:dyDescent="0.25">
      <c r="AI4449" s="49"/>
      <c r="AJ4449" s="78"/>
      <c r="AK4449" s="79"/>
      <c r="AL4449" s="79"/>
      <c r="AM4449" s="79"/>
      <c r="AN4449" s="79"/>
      <c r="AO4449" s="79"/>
      <c r="AP4449" s="79"/>
      <c r="AQ4449" s="79"/>
      <c r="AR4449" s="78"/>
      <c r="AS4449" s="78"/>
      <c r="AT4449" s="79"/>
      <c r="AU4449" s="79"/>
      <c r="AV4449" s="79"/>
      <c r="AW4449" s="79"/>
      <c r="AX4449" s="79"/>
      <c r="AZ4449" s="81"/>
      <c r="BB4449" s="5"/>
      <c r="BC4449" s="5"/>
      <c r="BD4449" s="5"/>
      <c r="BE4449" s="5"/>
      <c r="BF4449" s="5"/>
      <c r="BG4449" s="5"/>
      <c r="BH4449" s="5"/>
      <c r="BI4449" s="5"/>
      <c r="BJ4449" s="5"/>
      <c r="BK4449" s="5"/>
      <c r="BL4449" s="5"/>
      <c r="BM4449" s="5"/>
      <c r="BN4449" s="5"/>
      <c r="BO4449" s="5"/>
      <c r="BP4449" s="5"/>
    </row>
    <row r="4450" spans="35:68" x14ac:dyDescent="0.25">
      <c r="AI4450" s="49"/>
      <c r="AJ4450" s="78"/>
      <c r="AK4450" s="79"/>
      <c r="AL4450" s="79"/>
      <c r="AM4450" s="79"/>
      <c r="AN4450" s="79"/>
      <c r="AO4450" s="79"/>
      <c r="AP4450" s="79"/>
      <c r="AQ4450" s="79"/>
      <c r="AR4450" s="78"/>
      <c r="AS4450" s="78"/>
      <c r="AT4450" s="79"/>
      <c r="AU4450" s="79"/>
      <c r="AV4450" s="79"/>
      <c r="AW4450" s="79"/>
      <c r="AX4450" s="79"/>
      <c r="AZ4450" s="81"/>
      <c r="BB4450" s="5"/>
      <c r="BC4450" s="5"/>
      <c r="BD4450" s="5"/>
      <c r="BE4450" s="5"/>
      <c r="BF4450" s="5"/>
      <c r="BG4450" s="5"/>
      <c r="BH4450" s="5"/>
      <c r="BI4450" s="5"/>
      <c r="BJ4450" s="5"/>
      <c r="BK4450" s="5"/>
      <c r="BL4450" s="5"/>
      <c r="BM4450" s="5"/>
      <c r="BN4450" s="5"/>
      <c r="BO4450" s="5"/>
      <c r="BP4450" s="5"/>
    </row>
    <row r="4451" spans="35:68" x14ac:dyDescent="0.25">
      <c r="AI4451" s="49"/>
      <c r="AJ4451" s="78"/>
      <c r="AK4451" s="79"/>
      <c r="AL4451" s="79"/>
      <c r="AM4451" s="79"/>
      <c r="AN4451" s="79"/>
      <c r="AO4451" s="79"/>
      <c r="AP4451" s="79"/>
      <c r="AQ4451" s="79"/>
      <c r="AR4451" s="78"/>
      <c r="AS4451" s="78"/>
      <c r="AT4451" s="79"/>
      <c r="AU4451" s="79"/>
      <c r="AV4451" s="79"/>
      <c r="AW4451" s="79"/>
      <c r="AX4451" s="79"/>
      <c r="AZ4451" s="81"/>
      <c r="BB4451" s="5"/>
      <c r="BC4451" s="5"/>
      <c r="BD4451" s="5"/>
      <c r="BE4451" s="5"/>
      <c r="BF4451" s="5"/>
      <c r="BG4451" s="5"/>
      <c r="BH4451" s="5"/>
      <c r="BI4451" s="5"/>
      <c r="BJ4451" s="5"/>
      <c r="BK4451" s="5"/>
      <c r="BL4451" s="5"/>
      <c r="BM4451" s="5"/>
      <c r="BN4451" s="5"/>
      <c r="BO4451" s="5"/>
      <c r="BP4451" s="5"/>
    </row>
    <row r="4452" spans="35:68" x14ac:dyDescent="0.25">
      <c r="AI4452" s="49"/>
      <c r="AJ4452" s="78"/>
      <c r="AK4452" s="79"/>
      <c r="AL4452" s="79"/>
      <c r="AM4452" s="79"/>
      <c r="AN4452" s="79"/>
      <c r="AO4452" s="79"/>
      <c r="AP4452" s="79"/>
      <c r="AQ4452" s="79"/>
      <c r="AR4452" s="78"/>
      <c r="AS4452" s="78"/>
      <c r="AT4452" s="79"/>
      <c r="AU4452" s="79"/>
      <c r="AV4452" s="79"/>
      <c r="AW4452" s="79"/>
      <c r="AX4452" s="79"/>
      <c r="AZ4452" s="81"/>
      <c r="BB4452" s="5"/>
      <c r="BC4452" s="5"/>
      <c r="BD4452" s="5"/>
      <c r="BE4452" s="5"/>
      <c r="BF4452" s="5"/>
      <c r="BG4452" s="5"/>
      <c r="BH4452" s="5"/>
      <c r="BI4452" s="5"/>
      <c r="BJ4452" s="5"/>
      <c r="BK4452" s="5"/>
      <c r="BL4452" s="5"/>
      <c r="BM4452" s="5"/>
      <c r="BN4452" s="5"/>
      <c r="BO4452" s="5"/>
      <c r="BP4452" s="5"/>
    </row>
    <row r="4453" spans="35:68" x14ac:dyDescent="0.25">
      <c r="AI4453" s="49"/>
      <c r="AJ4453" s="78"/>
      <c r="AK4453" s="79"/>
      <c r="AL4453" s="79"/>
      <c r="AM4453" s="79"/>
      <c r="AN4453" s="79"/>
      <c r="AO4453" s="79"/>
      <c r="AP4453" s="79"/>
      <c r="AQ4453" s="79"/>
      <c r="AR4453" s="78"/>
      <c r="AS4453" s="78"/>
      <c r="AT4453" s="79"/>
      <c r="AU4453" s="79"/>
      <c r="AV4453" s="79"/>
      <c r="AW4453" s="79"/>
      <c r="AX4453" s="79"/>
      <c r="AZ4453" s="81"/>
      <c r="BB4453" s="5"/>
      <c r="BC4453" s="5"/>
      <c r="BD4453" s="5"/>
      <c r="BE4453" s="5"/>
      <c r="BF4453" s="5"/>
      <c r="BG4453" s="5"/>
      <c r="BH4453" s="5"/>
      <c r="BI4453" s="5"/>
      <c r="BJ4453" s="5"/>
      <c r="BK4453" s="5"/>
      <c r="BL4453" s="5"/>
      <c r="BM4453" s="5"/>
      <c r="BN4453" s="5"/>
      <c r="BO4453" s="5"/>
      <c r="BP4453" s="5"/>
    </row>
    <row r="4454" spans="35:68" x14ac:dyDescent="0.25">
      <c r="AI4454" s="49"/>
      <c r="AJ4454" s="78"/>
      <c r="AK4454" s="79"/>
      <c r="AL4454" s="79"/>
      <c r="AM4454" s="79"/>
      <c r="AN4454" s="79"/>
      <c r="AO4454" s="79"/>
      <c r="AP4454" s="79"/>
      <c r="AQ4454" s="79"/>
      <c r="AR4454" s="78"/>
      <c r="AS4454" s="78"/>
      <c r="AT4454" s="79"/>
      <c r="AU4454" s="79"/>
      <c r="AV4454" s="79"/>
      <c r="AW4454" s="79"/>
      <c r="AX4454" s="79"/>
      <c r="AZ4454" s="81"/>
      <c r="BB4454" s="5"/>
      <c r="BC4454" s="5"/>
      <c r="BD4454" s="5"/>
      <c r="BE4454" s="5"/>
      <c r="BF4454" s="5"/>
      <c r="BG4454" s="5"/>
      <c r="BH4454" s="5"/>
      <c r="BI4454" s="5"/>
      <c r="BJ4454" s="5"/>
      <c r="BK4454" s="5"/>
      <c r="BL4454" s="5"/>
      <c r="BM4454" s="5"/>
      <c r="BN4454" s="5"/>
      <c r="BO4454" s="5"/>
      <c r="BP4454" s="5"/>
    </row>
    <row r="4455" spans="35:68" x14ac:dyDescent="0.25">
      <c r="AI4455" s="49"/>
      <c r="AJ4455" s="78"/>
      <c r="AK4455" s="79"/>
      <c r="AL4455" s="79"/>
      <c r="AM4455" s="79"/>
      <c r="AN4455" s="79"/>
      <c r="AO4455" s="79"/>
      <c r="AP4455" s="79"/>
      <c r="AQ4455" s="79"/>
      <c r="AR4455" s="78"/>
      <c r="AS4455" s="78"/>
      <c r="AT4455" s="79"/>
      <c r="AU4455" s="79"/>
      <c r="AV4455" s="79"/>
      <c r="AW4455" s="79"/>
      <c r="AX4455" s="79"/>
      <c r="AZ4455" s="81"/>
      <c r="BB4455" s="5"/>
      <c r="BC4455" s="5"/>
      <c r="BD4455" s="5"/>
      <c r="BE4455" s="5"/>
      <c r="BF4455" s="5"/>
      <c r="BG4455" s="5"/>
      <c r="BH4455" s="5"/>
      <c r="BI4455" s="5"/>
      <c r="BJ4455" s="5"/>
      <c r="BK4455" s="5"/>
      <c r="BL4455" s="5"/>
      <c r="BM4455" s="5"/>
      <c r="BN4455" s="5"/>
      <c r="BO4455" s="5"/>
      <c r="BP4455" s="5"/>
    </row>
    <row r="4456" spans="35:68" x14ac:dyDescent="0.25">
      <c r="AI4456" s="49"/>
      <c r="AJ4456" s="78"/>
      <c r="AK4456" s="79"/>
      <c r="AL4456" s="79"/>
      <c r="AM4456" s="79"/>
      <c r="AN4456" s="79"/>
      <c r="AO4456" s="79"/>
      <c r="AP4456" s="79"/>
      <c r="AQ4456" s="79"/>
      <c r="AR4456" s="78"/>
      <c r="AS4456" s="78"/>
      <c r="AT4456" s="79"/>
      <c r="AU4456" s="79"/>
      <c r="AV4456" s="79"/>
      <c r="AW4456" s="79"/>
      <c r="AX4456" s="79"/>
      <c r="AZ4456" s="81"/>
      <c r="BB4456" s="5"/>
      <c r="BC4456" s="5"/>
      <c r="BD4456" s="5"/>
      <c r="BE4456" s="5"/>
      <c r="BF4456" s="5"/>
      <c r="BG4456" s="5"/>
      <c r="BH4456" s="5"/>
      <c r="BI4456" s="5"/>
      <c r="BJ4456" s="5"/>
      <c r="BK4456" s="5"/>
      <c r="BL4456" s="5"/>
      <c r="BM4456" s="5"/>
      <c r="BN4456" s="5"/>
      <c r="BO4456" s="5"/>
      <c r="BP4456" s="5"/>
    </row>
    <row r="4457" spans="35:68" x14ac:dyDescent="0.25">
      <c r="AI4457" s="49"/>
      <c r="AJ4457" s="78"/>
      <c r="AK4457" s="79"/>
      <c r="AL4457" s="79"/>
      <c r="AM4457" s="79"/>
      <c r="AN4457" s="79"/>
      <c r="AO4457" s="79"/>
      <c r="AP4457" s="79"/>
      <c r="AQ4457" s="79"/>
      <c r="AR4457" s="78"/>
      <c r="AS4457" s="78"/>
      <c r="AT4457" s="79"/>
      <c r="AU4457" s="79"/>
      <c r="AV4457" s="79"/>
      <c r="AW4457" s="79"/>
      <c r="AX4457" s="79"/>
      <c r="AZ4457" s="81"/>
      <c r="BB4457" s="5"/>
      <c r="BC4457" s="5"/>
      <c r="BD4457" s="5"/>
      <c r="BE4457" s="5"/>
      <c r="BF4457" s="5"/>
      <c r="BG4457" s="5"/>
      <c r="BH4457" s="5"/>
      <c r="BI4457" s="5"/>
      <c r="BJ4457" s="5"/>
      <c r="BK4457" s="5"/>
      <c r="BL4457" s="5"/>
      <c r="BM4457" s="5"/>
      <c r="BN4457" s="5"/>
      <c r="BO4457" s="5"/>
      <c r="BP4457" s="5"/>
    </row>
    <row r="4458" spans="35:68" x14ac:dyDescent="0.25">
      <c r="AI4458" s="49"/>
      <c r="AJ4458" s="78"/>
      <c r="AK4458" s="79"/>
      <c r="AL4458" s="79"/>
      <c r="AM4458" s="79"/>
      <c r="AN4458" s="79"/>
      <c r="AO4458" s="79"/>
      <c r="AP4458" s="79"/>
      <c r="AQ4458" s="79"/>
      <c r="AR4458" s="78"/>
      <c r="AS4458" s="78"/>
      <c r="AT4458" s="79"/>
      <c r="AU4458" s="79"/>
      <c r="AV4458" s="79"/>
      <c r="AW4458" s="79"/>
      <c r="AX4458" s="79"/>
      <c r="AZ4458" s="81"/>
      <c r="BB4458" s="5"/>
      <c r="BC4458" s="5"/>
      <c r="BD4458" s="5"/>
      <c r="BE4458" s="5"/>
      <c r="BF4458" s="5"/>
      <c r="BG4458" s="5"/>
      <c r="BH4458" s="5"/>
      <c r="BI4458" s="5"/>
      <c r="BJ4458" s="5"/>
      <c r="BK4458" s="5"/>
      <c r="BL4458" s="5"/>
      <c r="BM4458" s="5"/>
      <c r="BN4458" s="5"/>
      <c r="BO4458" s="5"/>
      <c r="BP4458" s="5"/>
    </row>
    <row r="4459" spans="35:68" x14ac:dyDescent="0.25">
      <c r="AI4459" s="49"/>
      <c r="AJ4459" s="78"/>
      <c r="AK4459" s="79"/>
      <c r="AL4459" s="79"/>
      <c r="AM4459" s="79"/>
      <c r="AN4459" s="79"/>
      <c r="AO4459" s="79"/>
      <c r="AP4459" s="79"/>
      <c r="AQ4459" s="79"/>
      <c r="AR4459" s="78"/>
      <c r="AS4459" s="78"/>
      <c r="AT4459" s="79"/>
      <c r="AU4459" s="79"/>
      <c r="AV4459" s="79"/>
      <c r="AW4459" s="79"/>
      <c r="AX4459" s="79"/>
      <c r="AZ4459" s="81"/>
      <c r="BB4459" s="5"/>
      <c r="BC4459" s="5"/>
      <c r="BD4459" s="5"/>
      <c r="BE4459" s="5"/>
      <c r="BF4459" s="5"/>
      <c r="BG4459" s="5"/>
      <c r="BH4459" s="5"/>
      <c r="BI4459" s="5"/>
      <c r="BJ4459" s="5"/>
      <c r="BK4459" s="5"/>
      <c r="BL4459" s="5"/>
      <c r="BM4459" s="5"/>
      <c r="BN4459" s="5"/>
      <c r="BO4459" s="5"/>
      <c r="BP4459" s="5"/>
    </row>
    <row r="4460" spans="35:68" x14ac:dyDescent="0.25">
      <c r="AI4460" s="49"/>
      <c r="AJ4460" s="78"/>
      <c r="AK4460" s="79"/>
      <c r="AL4460" s="79"/>
      <c r="AM4460" s="79"/>
      <c r="AN4460" s="79"/>
      <c r="AO4460" s="79"/>
      <c r="AP4460" s="79"/>
      <c r="AQ4460" s="79"/>
      <c r="AR4460" s="78"/>
      <c r="AS4460" s="78"/>
      <c r="AT4460" s="79"/>
      <c r="AU4460" s="79"/>
      <c r="AV4460" s="79"/>
      <c r="AW4460" s="79"/>
      <c r="AX4460" s="79"/>
      <c r="AZ4460" s="81"/>
      <c r="BB4460" s="5"/>
      <c r="BC4460" s="5"/>
      <c r="BD4460" s="5"/>
      <c r="BE4460" s="5"/>
      <c r="BF4460" s="5"/>
      <c r="BG4460" s="5"/>
      <c r="BH4460" s="5"/>
      <c r="BI4460" s="5"/>
      <c r="BJ4460" s="5"/>
      <c r="BK4460" s="5"/>
      <c r="BL4460" s="5"/>
      <c r="BM4460" s="5"/>
      <c r="BN4460" s="5"/>
      <c r="BO4460" s="5"/>
      <c r="BP4460" s="5"/>
    </row>
    <row r="4461" spans="35:68" x14ac:dyDescent="0.25">
      <c r="AI4461" s="49"/>
      <c r="AJ4461" s="78"/>
      <c r="AK4461" s="79"/>
      <c r="AL4461" s="79"/>
      <c r="AM4461" s="79"/>
      <c r="AN4461" s="79"/>
      <c r="AO4461" s="79"/>
      <c r="AP4461" s="79"/>
      <c r="AQ4461" s="79"/>
      <c r="AR4461" s="78"/>
      <c r="AS4461" s="78"/>
      <c r="AT4461" s="79"/>
      <c r="AU4461" s="79"/>
      <c r="AV4461" s="79"/>
      <c r="AW4461" s="79"/>
      <c r="AX4461" s="79"/>
      <c r="AZ4461" s="81"/>
      <c r="BB4461" s="5"/>
      <c r="BC4461" s="5"/>
      <c r="BD4461" s="5"/>
      <c r="BE4461" s="5"/>
      <c r="BF4461" s="5"/>
      <c r="BG4461" s="5"/>
      <c r="BH4461" s="5"/>
      <c r="BI4461" s="5"/>
      <c r="BJ4461" s="5"/>
      <c r="BK4461" s="5"/>
      <c r="BL4461" s="5"/>
      <c r="BM4461" s="5"/>
      <c r="BN4461" s="5"/>
      <c r="BO4461" s="5"/>
      <c r="BP4461" s="5"/>
    </row>
    <row r="4462" spans="35:68" x14ac:dyDescent="0.25">
      <c r="AI4462" s="49"/>
      <c r="AJ4462" s="78"/>
      <c r="AK4462" s="79"/>
      <c r="AL4462" s="79"/>
      <c r="AM4462" s="79"/>
      <c r="AN4462" s="79"/>
      <c r="AO4462" s="79"/>
      <c r="AP4462" s="79"/>
      <c r="AQ4462" s="79"/>
      <c r="AR4462" s="78"/>
      <c r="AS4462" s="78"/>
      <c r="AT4462" s="79"/>
      <c r="AU4462" s="79"/>
      <c r="AV4462" s="79"/>
      <c r="AW4462" s="79"/>
      <c r="AX4462" s="79"/>
      <c r="AZ4462" s="81"/>
      <c r="BB4462" s="5"/>
      <c r="BC4462" s="5"/>
      <c r="BD4462" s="5"/>
      <c r="BE4462" s="5"/>
      <c r="BF4462" s="5"/>
      <c r="BG4462" s="5"/>
      <c r="BH4462" s="5"/>
      <c r="BI4462" s="5"/>
      <c r="BJ4462" s="5"/>
      <c r="BK4462" s="5"/>
      <c r="BL4462" s="5"/>
      <c r="BM4462" s="5"/>
      <c r="BN4462" s="5"/>
      <c r="BO4462" s="5"/>
      <c r="BP4462" s="5"/>
    </row>
    <row r="4463" spans="35:68" x14ac:dyDescent="0.25">
      <c r="AI4463" s="49"/>
      <c r="AJ4463" s="78"/>
      <c r="AK4463" s="79"/>
      <c r="AL4463" s="79"/>
      <c r="AM4463" s="79"/>
      <c r="AN4463" s="79"/>
      <c r="AO4463" s="79"/>
      <c r="AP4463" s="79"/>
      <c r="AQ4463" s="79"/>
      <c r="AR4463" s="78"/>
      <c r="AS4463" s="78"/>
      <c r="AT4463" s="79"/>
      <c r="AU4463" s="79"/>
      <c r="AV4463" s="79"/>
      <c r="AW4463" s="79"/>
      <c r="AX4463" s="79"/>
      <c r="AZ4463" s="81"/>
      <c r="BB4463" s="5"/>
      <c r="BC4463" s="5"/>
      <c r="BD4463" s="5"/>
      <c r="BE4463" s="5"/>
      <c r="BF4463" s="5"/>
      <c r="BG4463" s="5"/>
      <c r="BH4463" s="5"/>
      <c r="BI4463" s="5"/>
      <c r="BJ4463" s="5"/>
      <c r="BK4463" s="5"/>
      <c r="BL4463" s="5"/>
      <c r="BM4463" s="5"/>
      <c r="BN4463" s="5"/>
      <c r="BO4463" s="5"/>
      <c r="BP4463" s="5"/>
    </row>
    <row r="4464" spans="35:68" x14ac:dyDescent="0.25">
      <c r="AI4464" s="49"/>
      <c r="AJ4464" s="78"/>
      <c r="AK4464" s="79"/>
      <c r="AL4464" s="79"/>
      <c r="AM4464" s="79"/>
      <c r="AN4464" s="79"/>
      <c r="AO4464" s="79"/>
      <c r="AP4464" s="79"/>
      <c r="AQ4464" s="79"/>
      <c r="AR4464" s="78"/>
      <c r="AS4464" s="78"/>
      <c r="AT4464" s="79"/>
      <c r="AU4464" s="79"/>
      <c r="AV4464" s="79"/>
      <c r="AW4464" s="79"/>
      <c r="AX4464" s="79"/>
      <c r="AZ4464" s="81"/>
      <c r="BB4464" s="5"/>
      <c r="BC4464" s="5"/>
      <c r="BD4464" s="5"/>
      <c r="BE4464" s="5"/>
      <c r="BF4464" s="5"/>
      <c r="BG4464" s="5"/>
      <c r="BH4464" s="5"/>
      <c r="BI4464" s="5"/>
      <c r="BJ4464" s="5"/>
      <c r="BK4464" s="5"/>
      <c r="BL4464" s="5"/>
      <c r="BM4464" s="5"/>
      <c r="BN4464" s="5"/>
      <c r="BO4464" s="5"/>
      <c r="BP4464" s="5"/>
    </row>
    <row r="4465" spans="35:68" x14ac:dyDescent="0.25">
      <c r="AI4465" s="49"/>
      <c r="AJ4465" s="78"/>
      <c r="AK4465" s="79"/>
      <c r="AL4465" s="79"/>
      <c r="AM4465" s="79"/>
      <c r="AN4465" s="79"/>
      <c r="AO4465" s="79"/>
      <c r="AP4465" s="79"/>
      <c r="AQ4465" s="79"/>
      <c r="AR4465" s="78"/>
      <c r="AS4465" s="78"/>
      <c r="AT4465" s="79"/>
      <c r="AU4465" s="79"/>
      <c r="AV4465" s="79"/>
      <c r="AW4465" s="79"/>
      <c r="AX4465" s="79"/>
      <c r="AZ4465" s="81"/>
      <c r="BB4465" s="5"/>
      <c r="BC4465" s="5"/>
      <c r="BD4465" s="5"/>
      <c r="BE4465" s="5"/>
      <c r="BF4465" s="5"/>
      <c r="BG4465" s="5"/>
      <c r="BH4465" s="5"/>
      <c r="BI4465" s="5"/>
      <c r="BJ4465" s="5"/>
      <c r="BK4465" s="5"/>
      <c r="BL4465" s="5"/>
      <c r="BM4465" s="5"/>
      <c r="BN4465" s="5"/>
      <c r="BO4465" s="5"/>
      <c r="BP4465" s="5"/>
    </row>
    <row r="4466" spans="35:68" x14ac:dyDescent="0.25">
      <c r="AI4466" s="49"/>
      <c r="AJ4466" s="78"/>
      <c r="AK4466" s="79"/>
      <c r="AL4466" s="79"/>
      <c r="AM4466" s="79"/>
      <c r="AN4466" s="79"/>
      <c r="AO4466" s="79"/>
      <c r="AP4466" s="79"/>
      <c r="AQ4466" s="79"/>
      <c r="AR4466" s="78"/>
      <c r="AS4466" s="78"/>
      <c r="AT4466" s="79"/>
      <c r="AU4466" s="79"/>
      <c r="AV4466" s="79"/>
      <c r="AW4466" s="79"/>
      <c r="AX4466" s="79"/>
      <c r="AZ4466" s="81"/>
      <c r="BB4466" s="5"/>
      <c r="BC4466" s="5"/>
      <c r="BD4466" s="5"/>
      <c r="BE4466" s="5"/>
      <c r="BF4466" s="5"/>
      <c r="BG4466" s="5"/>
      <c r="BH4466" s="5"/>
      <c r="BI4466" s="5"/>
      <c r="BJ4466" s="5"/>
      <c r="BK4466" s="5"/>
      <c r="BL4466" s="5"/>
      <c r="BM4466" s="5"/>
      <c r="BN4466" s="5"/>
      <c r="BO4466" s="5"/>
      <c r="BP4466" s="5"/>
    </row>
    <row r="4467" spans="35:68" x14ac:dyDescent="0.25">
      <c r="AI4467" s="49"/>
      <c r="AJ4467" s="78"/>
      <c r="AK4467" s="79"/>
      <c r="AL4467" s="79"/>
      <c r="AM4467" s="79"/>
      <c r="AN4467" s="79"/>
      <c r="AO4467" s="79"/>
      <c r="AP4467" s="79"/>
      <c r="AQ4467" s="79"/>
      <c r="AR4467" s="78"/>
      <c r="AS4467" s="78"/>
      <c r="AT4467" s="79"/>
      <c r="AU4467" s="79"/>
      <c r="AV4467" s="79"/>
      <c r="AW4467" s="79"/>
      <c r="AX4467" s="79"/>
      <c r="AZ4467" s="81"/>
      <c r="BB4467" s="5"/>
      <c r="BC4467" s="5"/>
      <c r="BD4467" s="5"/>
      <c r="BE4467" s="5"/>
      <c r="BF4467" s="5"/>
      <c r="BG4467" s="5"/>
      <c r="BH4467" s="5"/>
      <c r="BI4467" s="5"/>
      <c r="BJ4467" s="5"/>
      <c r="BK4467" s="5"/>
      <c r="BL4467" s="5"/>
      <c r="BM4467" s="5"/>
      <c r="BN4467" s="5"/>
      <c r="BO4467" s="5"/>
      <c r="BP4467" s="5"/>
    </row>
    <row r="4468" spans="35:68" x14ac:dyDescent="0.25">
      <c r="AI4468" s="49"/>
      <c r="AJ4468" s="78"/>
      <c r="AK4468" s="79"/>
      <c r="AL4468" s="79"/>
      <c r="AM4468" s="79"/>
      <c r="AN4468" s="79"/>
      <c r="AO4468" s="79"/>
      <c r="AP4468" s="79"/>
      <c r="AQ4468" s="79"/>
      <c r="AR4468" s="78"/>
      <c r="AS4468" s="78"/>
      <c r="AT4468" s="79"/>
      <c r="AU4468" s="79"/>
      <c r="AV4468" s="79"/>
      <c r="AW4468" s="79"/>
      <c r="AX4468" s="79"/>
      <c r="AZ4468" s="81"/>
      <c r="BB4468" s="5"/>
      <c r="BC4468" s="5"/>
      <c r="BD4468" s="5"/>
      <c r="BE4468" s="5"/>
      <c r="BF4468" s="5"/>
      <c r="BG4468" s="5"/>
      <c r="BH4468" s="5"/>
      <c r="BI4468" s="5"/>
      <c r="BJ4468" s="5"/>
      <c r="BK4468" s="5"/>
      <c r="BL4468" s="5"/>
      <c r="BM4468" s="5"/>
      <c r="BN4468" s="5"/>
      <c r="BO4468" s="5"/>
      <c r="BP4468" s="5"/>
    </row>
    <row r="4469" spans="35:68" x14ac:dyDescent="0.25">
      <c r="AI4469" s="49"/>
      <c r="AJ4469" s="78"/>
      <c r="AK4469" s="79"/>
      <c r="AL4469" s="79"/>
      <c r="AM4469" s="79"/>
      <c r="AN4469" s="79"/>
      <c r="AO4469" s="79"/>
      <c r="AP4469" s="79"/>
      <c r="AQ4469" s="79"/>
      <c r="AR4469" s="78"/>
      <c r="AS4469" s="78"/>
      <c r="AT4469" s="79"/>
      <c r="AU4469" s="79"/>
      <c r="AV4469" s="79"/>
      <c r="AW4469" s="79"/>
      <c r="AX4469" s="79"/>
      <c r="AZ4469" s="81"/>
      <c r="BB4469" s="5"/>
      <c r="BC4469" s="5"/>
      <c r="BD4469" s="5"/>
      <c r="BE4469" s="5"/>
      <c r="BF4469" s="5"/>
      <c r="BG4469" s="5"/>
      <c r="BH4469" s="5"/>
      <c r="BI4469" s="5"/>
      <c r="BJ4469" s="5"/>
      <c r="BK4469" s="5"/>
      <c r="BL4469" s="5"/>
      <c r="BM4469" s="5"/>
      <c r="BN4469" s="5"/>
      <c r="BO4469" s="5"/>
      <c r="BP4469" s="5"/>
    </row>
    <row r="4470" spans="35:68" x14ac:dyDescent="0.25">
      <c r="AI4470" s="49"/>
      <c r="AJ4470" s="78"/>
      <c r="AK4470" s="79"/>
      <c r="AL4470" s="79"/>
      <c r="AM4470" s="79"/>
      <c r="AN4470" s="79"/>
      <c r="AO4470" s="79"/>
      <c r="AP4470" s="79"/>
      <c r="AQ4470" s="79"/>
      <c r="AR4470" s="78"/>
      <c r="AS4470" s="78"/>
      <c r="AT4470" s="79"/>
      <c r="AU4470" s="79"/>
      <c r="AV4470" s="79"/>
      <c r="AW4470" s="79"/>
      <c r="AX4470" s="79"/>
      <c r="AZ4470" s="81"/>
      <c r="BB4470" s="5"/>
      <c r="BC4470" s="5"/>
      <c r="BD4470" s="5"/>
      <c r="BE4470" s="5"/>
      <c r="BF4470" s="5"/>
      <c r="BG4470" s="5"/>
      <c r="BH4470" s="5"/>
      <c r="BI4470" s="5"/>
      <c r="BJ4470" s="5"/>
      <c r="BK4470" s="5"/>
      <c r="BL4470" s="5"/>
      <c r="BM4470" s="5"/>
      <c r="BN4470" s="5"/>
      <c r="BO4470" s="5"/>
      <c r="BP4470" s="5"/>
    </row>
    <row r="4471" spans="35:68" x14ac:dyDescent="0.25">
      <c r="AI4471" s="49"/>
      <c r="AJ4471" s="78"/>
      <c r="AK4471" s="79"/>
      <c r="AL4471" s="79"/>
      <c r="AM4471" s="79"/>
      <c r="AN4471" s="79"/>
      <c r="AO4471" s="79"/>
      <c r="AP4471" s="79"/>
      <c r="AQ4471" s="79"/>
      <c r="AR4471" s="78"/>
      <c r="AS4471" s="78"/>
      <c r="AT4471" s="79"/>
      <c r="AU4471" s="79"/>
      <c r="AV4471" s="79"/>
      <c r="AW4471" s="79"/>
      <c r="AX4471" s="79"/>
      <c r="AZ4471" s="81"/>
      <c r="BB4471" s="5"/>
      <c r="BC4471" s="5"/>
      <c r="BD4471" s="5"/>
      <c r="BE4471" s="5"/>
      <c r="BF4471" s="5"/>
      <c r="BG4471" s="5"/>
      <c r="BH4471" s="5"/>
      <c r="BI4471" s="5"/>
      <c r="BJ4471" s="5"/>
      <c r="BK4471" s="5"/>
      <c r="BL4471" s="5"/>
      <c r="BM4471" s="5"/>
      <c r="BN4471" s="5"/>
      <c r="BO4471" s="5"/>
      <c r="BP4471" s="5"/>
    </row>
    <row r="4472" spans="35:68" x14ac:dyDescent="0.25">
      <c r="AI4472" s="49"/>
      <c r="AJ4472" s="78"/>
      <c r="AK4472" s="79"/>
      <c r="AL4472" s="79"/>
      <c r="AM4472" s="79"/>
      <c r="AN4472" s="79"/>
      <c r="AO4472" s="79"/>
      <c r="AP4472" s="79"/>
      <c r="AQ4472" s="79"/>
      <c r="AR4472" s="78"/>
      <c r="AS4472" s="78"/>
      <c r="AT4472" s="79"/>
      <c r="AU4472" s="79"/>
      <c r="AV4472" s="79"/>
      <c r="AW4472" s="79"/>
      <c r="AX4472" s="79"/>
      <c r="AZ4472" s="81"/>
      <c r="BB4472" s="5"/>
      <c r="BC4472" s="5"/>
      <c r="BD4472" s="5"/>
      <c r="BE4472" s="5"/>
      <c r="BF4472" s="5"/>
      <c r="BG4472" s="5"/>
      <c r="BH4472" s="5"/>
      <c r="BI4472" s="5"/>
      <c r="BJ4472" s="5"/>
      <c r="BK4472" s="5"/>
      <c r="BL4472" s="5"/>
      <c r="BM4472" s="5"/>
      <c r="BN4472" s="5"/>
      <c r="BO4472" s="5"/>
      <c r="BP4472" s="5"/>
    </row>
    <row r="4473" spans="35:68" x14ac:dyDescent="0.25">
      <c r="AI4473" s="49"/>
      <c r="AJ4473" s="78"/>
      <c r="AK4473" s="79"/>
      <c r="AL4473" s="79"/>
      <c r="AM4473" s="79"/>
      <c r="AN4473" s="79"/>
      <c r="AO4473" s="79"/>
      <c r="AP4473" s="79"/>
      <c r="AQ4473" s="79"/>
      <c r="AR4473" s="78"/>
      <c r="AS4473" s="78"/>
      <c r="AT4473" s="79"/>
      <c r="AU4473" s="79"/>
      <c r="AV4473" s="79"/>
      <c r="AW4473" s="79"/>
      <c r="AX4473" s="79"/>
      <c r="AZ4473" s="81"/>
      <c r="BB4473" s="5"/>
      <c r="BC4473" s="5"/>
      <c r="BD4473" s="5"/>
      <c r="BE4473" s="5"/>
      <c r="BF4473" s="5"/>
      <c r="BG4473" s="5"/>
      <c r="BH4473" s="5"/>
      <c r="BI4473" s="5"/>
      <c r="BJ4473" s="5"/>
      <c r="BK4473" s="5"/>
      <c r="BL4473" s="5"/>
      <c r="BM4473" s="5"/>
      <c r="BN4473" s="5"/>
      <c r="BO4473" s="5"/>
      <c r="BP4473" s="5"/>
    </row>
    <row r="4474" spans="35:68" x14ac:dyDescent="0.25">
      <c r="AI4474" s="49"/>
      <c r="AJ4474" s="78"/>
      <c r="AK4474" s="79"/>
      <c r="AL4474" s="79"/>
      <c r="AM4474" s="79"/>
      <c r="AN4474" s="79"/>
      <c r="AO4474" s="79"/>
      <c r="AP4474" s="79"/>
      <c r="AQ4474" s="79"/>
      <c r="AR4474" s="78"/>
      <c r="AS4474" s="78"/>
      <c r="AT4474" s="79"/>
      <c r="AU4474" s="79"/>
      <c r="AV4474" s="79"/>
      <c r="AW4474" s="79"/>
      <c r="AX4474" s="79"/>
      <c r="AZ4474" s="81"/>
      <c r="BB4474" s="5"/>
      <c r="BC4474" s="5"/>
      <c r="BD4474" s="5"/>
      <c r="BE4474" s="5"/>
      <c r="BF4474" s="5"/>
      <c r="BG4474" s="5"/>
      <c r="BH4474" s="5"/>
      <c r="BI4474" s="5"/>
      <c r="BJ4474" s="5"/>
      <c r="BK4474" s="5"/>
      <c r="BL4474" s="5"/>
      <c r="BM4474" s="5"/>
      <c r="BN4474" s="5"/>
      <c r="BO4474" s="5"/>
      <c r="BP4474" s="5"/>
    </row>
    <row r="4475" spans="35:68" x14ac:dyDescent="0.25">
      <c r="AI4475" s="49"/>
      <c r="AJ4475" s="78"/>
      <c r="AK4475" s="79"/>
      <c r="AL4475" s="79"/>
      <c r="AM4475" s="79"/>
      <c r="AN4475" s="79"/>
      <c r="AO4475" s="79"/>
      <c r="AP4475" s="79"/>
      <c r="AQ4475" s="79"/>
      <c r="AR4475" s="78"/>
      <c r="AS4475" s="78"/>
      <c r="AT4475" s="79"/>
      <c r="AU4475" s="79"/>
      <c r="AV4475" s="79"/>
      <c r="AW4475" s="79"/>
      <c r="AX4475" s="79"/>
      <c r="AZ4475" s="81"/>
      <c r="BB4475" s="5"/>
      <c r="BC4475" s="5"/>
      <c r="BD4475" s="5"/>
      <c r="BE4475" s="5"/>
      <c r="BF4475" s="5"/>
      <c r="BG4475" s="5"/>
      <c r="BH4475" s="5"/>
      <c r="BI4475" s="5"/>
      <c r="BJ4475" s="5"/>
      <c r="BK4475" s="5"/>
      <c r="BL4475" s="5"/>
      <c r="BM4475" s="5"/>
      <c r="BN4475" s="5"/>
      <c r="BO4475" s="5"/>
      <c r="BP4475" s="5"/>
    </row>
    <row r="4476" spans="35:68" x14ac:dyDescent="0.25">
      <c r="AI4476" s="49"/>
      <c r="AJ4476" s="78"/>
      <c r="AK4476" s="79"/>
      <c r="AL4476" s="79"/>
      <c r="AM4476" s="79"/>
      <c r="AN4476" s="79"/>
      <c r="AO4476" s="79"/>
      <c r="AP4476" s="79"/>
      <c r="AQ4476" s="79"/>
      <c r="AR4476" s="78"/>
      <c r="AS4476" s="78"/>
      <c r="AT4476" s="79"/>
      <c r="AU4476" s="79"/>
      <c r="AV4476" s="79"/>
      <c r="AW4476" s="79"/>
      <c r="AX4476" s="79"/>
      <c r="AZ4476" s="81"/>
      <c r="BB4476" s="5"/>
      <c r="BC4476" s="5"/>
      <c r="BD4476" s="5"/>
      <c r="BE4476" s="5"/>
      <c r="BF4476" s="5"/>
      <c r="BG4476" s="5"/>
      <c r="BH4476" s="5"/>
      <c r="BI4476" s="5"/>
      <c r="BJ4476" s="5"/>
      <c r="BK4476" s="5"/>
      <c r="BL4476" s="5"/>
      <c r="BM4476" s="5"/>
      <c r="BN4476" s="5"/>
      <c r="BO4476" s="5"/>
      <c r="BP4476" s="5"/>
    </row>
    <row r="4477" spans="35:68" x14ac:dyDescent="0.25">
      <c r="AI4477" s="49"/>
      <c r="AJ4477" s="78"/>
      <c r="AK4477" s="79"/>
      <c r="AL4477" s="79"/>
      <c r="AM4477" s="79"/>
      <c r="AN4477" s="79"/>
      <c r="AO4477" s="79"/>
      <c r="AP4477" s="79"/>
      <c r="AQ4477" s="79"/>
      <c r="AR4477" s="78"/>
      <c r="AS4477" s="78"/>
      <c r="AT4477" s="79"/>
      <c r="AU4477" s="79"/>
      <c r="AV4477" s="79"/>
      <c r="AW4477" s="79"/>
      <c r="AX4477" s="79"/>
      <c r="AZ4477" s="81"/>
      <c r="BB4477" s="5"/>
      <c r="BC4477" s="5"/>
      <c r="BD4477" s="5"/>
      <c r="BE4477" s="5"/>
      <c r="BF4477" s="5"/>
      <c r="BG4477" s="5"/>
      <c r="BH4477" s="5"/>
      <c r="BI4477" s="5"/>
      <c r="BJ4477" s="5"/>
      <c r="BK4477" s="5"/>
      <c r="BL4477" s="5"/>
      <c r="BM4477" s="5"/>
      <c r="BN4477" s="5"/>
      <c r="BO4477" s="5"/>
      <c r="BP4477" s="5"/>
    </row>
    <row r="4478" spans="35:68" x14ac:dyDescent="0.25">
      <c r="AI4478" s="49"/>
      <c r="AJ4478" s="78"/>
      <c r="AK4478" s="79"/>
      <c r="AL4478" s="79"/>
      <c r="AM4478" s="79"/>
      <c r="AN4478" s="79"/>
      <c r="AO4478" s="79"/>
      <c r="AP4478" s="79"/>
      <c r="AQ4478" s="79"/>
      <c r="AR4478" s="78"/>
      <c r="AS4478" s="78"/>
      <c r="AT4478" s="79"/>
      <c r="AU4478" s="79"/>
      <c r="AV4478" s="79"/>
      <c r="AW4478" s="79"/>
      <c r="AX4478" s="79"/>
      <c r="AZ4478" s="81"/>
      <c r="BB4478" s="5"/>
      <c r="BC4478" s="5"/>
      <c r="BD4478" s="5"/>
      <c r="BE4478" s="5"/>
      <c r="BF4478" s="5"/>
      <c r="BG4478" s="5"/>
      <c r="BH4478" s="5"/>
      <c r="BI4478" s="5"/>
      <c r="BJ4478" s="5"/>
      <c r="BK4478" s="5"/>
      <c r="BL4478" s="5"/>
      <c r="BM4478" s="5"/>
      <c r="BN4478" s="5"/>
      <c r="BO4478" s="5"/>
      <c r="BP4478" s="5"/>
    </row>
    <row r="4479" spans="35:68" x14ac:dyDescent="0.25">
      <c r="AI4479" s="49"/>
      <c r="AJ4479" s="78"/>
      <c r="AK4479" s="79"/>
      <c r="AL4479" s="79"/>
      <c r="AM4479" s="79"/>
      <c r="AN4479" s="79"/>
      <c r="AO4479" s="79"/>
      <c r="AP4479" s="79"/>
      <c r="AQ4479" s="79"/>
      <c r="AR4479" s="78"/>
      <c r="AS4479" s="78"/>
      <c r="AT4479" s="79"/>
      <c r="AU4479" s="79"/>
      <c r="AV4479" s="79"/>
      <c r="AW4479" s="79"/>
      <c r="AX4479" s="79"/>
      <c r="AZ4479" s="81"/>
      <c r="BB4479" s="5"/>
      <c r="BC4479" s="5"/>
      <c r="BD4479" s="5"/>
      <c r="BE4479" s="5"/>
      <c r="BF4479" s="5"/>
      <c r="BG4479" s="5"/>
      <c r="BH4479" s="5"/>
      <c r="BI4479" s="5"/>
      <c r="BJ4479" s="5"/>
      <c r="BK4479" s="5"/>
      <c r="BL4479" s="5"/>
      <c r="BM4479" s="5"/>
      <c r="BN4479" s="5"/>
      <c r="BO4479" s="5"/>
      <c r="BP4479" s="5"/>
    </row>
    <row r="4480" spans="35:68" x14ac:dyDescent="0.25">
      <c r="AI4480" s="49"/>
      <c r="AJ4480" s="78"/>
      <c r="AK4480" s="79"/>
      <c r="AL4480" s="79"/>
      <c r="AM4480" s="79"/>
      <c r="AN4480" s="79"/>
      <c r="AO4480" s="79"/>
      <c r="AP4480" s="79"/>
      <c r="AQ4480" s="79"/>
      <c r="AR4480" s="78"/>
      <c r="AS4480" s="78"/>
      <c r="AT4480" s="79"/>
      <c r="AU4480" s="79"/>
      <c r="AV4480" s="79"/>
      <c r="AW4480" s="79"/>
      <c r="AX4480" s="79"/>
      <c r="AZ4480" s="81"/>
      <c r="BB4480" s="5"/>
      <c r="BC4480" s="5"/>
      <c r="BD4480" s="5"/>
      <c r="BE4480" s="5"/>
      <c r="BF4480" s="5"/>
      <c r="BG4480" s="5"/>
      <c r="BH4480" s="5"/>
      <c r="BI4480" s="5"/>
      <c r="BJ4480" s="5"/>
      <c r="BK4480" s="5"/>
      <c r="BL4480" s="5"/>
      <c r="BM4480" s="5"/>
      <c r="BN4480" s="5"/>
      <c r="BO4480" s="5"/>
      <c r="BP4480" s="5"/>
    </row>
    <row r="4481" spans="35:68" x14ac:dyDescent="0.25">
      <c r="AI4481" s="49"/>
      <c r="AJ4481" s="78"/>
      <c r="AK4481" s="79"/>
      <c r="AL4481" s="79"/>
      <c r="AM4481" s="79"/>
      <c r="AN4481" s="79"/>
      <c r="AO4481" s="79"/>
      <c r="AP4481" s="79"/>
      <c r="AQ4481" s="79"/>
      <c r="AR4481" s="78"/>
      <c r="AS4481" s="78"/>
      <c r="AT4481" s="79"/>
      <c r="AU4481" s="79"/>
      <c r="AV4481" s="79"/>
      <c r="AW4481" s="79"/>
      <c r="AX4481" s="79"/>
      <c r="AZ4481" s="81"/>
      <c r="BB4481" s="5"/>
      <c r="BC4481" s="5"/>
      <c r="BD4481" s="5"/>
      <c r="BE4481" s="5"/>
      <c r="BF4481" s="5"/>
      <c r="BG4481" s="5"/>
      <c r="BH4481" s="5"/>
      <c r="BI4481" s="5"/>
      <c r="BJ4481" s="5"/>
      <c r="BK4481" s="5"/>
      <c r="BL4481" s="5"/>
      <c r="BM4481" s="5"/>
      <c r="BN4481" s="5"/>
      <c r="BO4481" s="5"/>
      <c r="BP4481" s="5"/>
    </row>
    <row r="4482" spans="35:68" x14ac:dyDescent="0.25">
      <c r="AI4482" s="49"/>
      <c r="AJ4482" s="78"/>
      <c r="AK4482" s="79"/>
      <c r="AL4482" s="79"/>
      <c r="AM4482" s="79"/>
      <c r="AN4482" s="79"/>
      <c r="AO4482" s="79"/>
      <c r="AP4482" s="79"/>
      <c r="AQ4482" s="79"/>
      <c r="AR4482" s="78"/>
      <c r="AS4482" s="78"/>
      <c r="AT4482" s="79"/>
      <c r="AU4482" s="79"/>
      <c r="AV4482" s="79"/>
      <c r="AW4482" s="79"/>
      <c r="AX4482" s="79"/>
      <c r="AZ4482" s="81"/>
      <c r="BB4482" s="5"/>
      <c r="BC4482" s="5"/>
      <c r="BD4482" s="5"/>
      <c r="BE4482" s="5"/>
      <c r="BF4482" s="5"/>
      <c r="BG4482" s="5"/>
      <c r="BH4482" s="5"/>
      <c r="BI4482" s="5"/>
      <c r="BJ4482" s="5"/>
      <c r="BK4482" s="5"/>
      <c r="BL4482" s="5"/>
      <c r="BM4482" s="5"/>
      <c r="BN4482" s="5"/>
      <c r="BO4482" s="5"/>
      <c r="BP4482" s="5"/>
    </row>
    <row r="4483" spans="35:68" x14ac:dyDescent="0.25">
      <c r="AI4483" s="49"/>
      <c r="AJ4483" s="78"/>
      <c r="AK4483" s="79"/>
      <c r="AL4483" s="79"/>
      <c r="AM4483" s="79"/>
      <c r="AN4483" s="79"/>
      <c r="AO4483" s="79"/>
      <c r="AP4483" s="79"/>
      <c r="AQ4483" s="79"/>
      <c r="AR4483" s="78"/>
      <c r="AS4483" s="78"/>
      <c r="AT4483" s="79"/>
      <c r="AU4483" s="79"/>
      <c r="AV4483" s="79"/>
      <c r="AW4483" s="79"/>
      <c r="AX4483" s="79"/>
      <c r="AZ4483" s="81"/>
      <c r="BB4483" s="5"/>
      <c r="BC4483" s="5"/>
      <c r="BD4483" s="5"/>
      <c r="BE4483" s="5"/>
      <c r="BF4483" s="5"/>
      <c r="BG4483" s="5"/>
      <c r="BH4483" s="5"/>
      <c r="BI4483" s="5"/>
      <c r="BJ4483" s="5"/>
      <c r="BK4483" s="5"/>
      <c r="BL4483" s="5"/>
      <c r="BM4483" s="5"/>
      <c r="BN4483" s="5"/>
      <c r="BO4483" s="5"/>
      <c r="BP4483" s="5"/>
    </row>
    <row r="4484" spans="35:68" x14ac:dyDescent="0.25">
      <c r="AI4484" s="49"/>
      <c r="AJ4484" s="78"/>
      <c r="AK4484" s="79"/>
      <c r="AL4484" s="79"/>
      <c r="AM4484" s="79"/>
      <c r="AN4484" s="79"/>
      <c r="AO4484" s="79"/>
      <c r="AP4484" s="79"/>
      <c r="AQ4484" s="79"/>
      <c r="AR4484" s="78"/>
      <c r="AS4484" s="78"/>
      <c r="AT4484" s="79"/>
      <c r="AU4484" s="79"/>
      <c r="AV4484" s="79"/>
      <c r="AW4484" s="79"/>
      <c r="AX4484" s="79"/>
      <c r="AZ4484" s="81"/>
      <c r="BB4484" s="5"/>
      <c r="BC4484" s="5"/>
      <c r="BD4484" s="5"/>
      <c r="BE4484" s="5"/>
      <c r="BF4484" s="5"/>
      <c r="BG4484" s="5"/>
      <c r="BH4484" s="5"/>
      <c r="BI4484" s="5"/>
      <c r="BJ4484" s="5"/>
      <c r="BK4484" s="5"/>
      <c r="BL4484" s="5"/>
      <c r="BM4484" s="5"/>
      <c r="BN4484" s="5"/>
      <c r="BO4484" s="5"/>
      <c r="BP4484" s="5"/>
    </row>
    <row r="4485" spans="35:68" x14ac:dyDescent="0.25">
      <c r="AI4485" s="49"/>
      <c r="AJ4485" s="78"/>
      <c r="AK4485" s="79"/>
      <c r="AL4485" s="79"/>
      <c r="AM4485" s="79"/>
      <c r="AN4485" s="79"/>
      <c r="AO4485" s="79"/>
      <c r="AP4485" s="79"/>
      <c r="AQ4485" s="79"/>
      <c r="AR4485" s="78"/>
      <c r="AS4485" s="78"/>
      <c r="AT4485" s="79"/>
      <c r="AU4485" s="79"/>
      <c r="AV4485" s="79"/>
      <c r="AW4485" s="79"/>
      <c r="AX4485" s="79"/>
      <c r="AZ4485" s="81"/>
      <c r="BB4485" s="5"/>
      <c r="BC4485" s="5"/>
      <c r="BD4485" s="5"/>
      <c r="BE4485" s="5"/>
      <c r="BF4485" s="5"/>
      <c r="BG4485" s="5"/>
      <c r="BH4485" s="5"/>
      <c r="BI4485" s="5"/>
      <c r="BJ4485" s="5"/>
      <c r="BK4485" s="5"/>
      <c r="BL4485" s="5"/>
      <c r="BM4485" s="5"/>
      <c r="BN4485" s="5"/>
      <c r="BO4485" s="5"/>
      <c r="BP4485" s="5"/>
    </row>
    <row r="4486" spans="35:68" x14ac:dyDescent="0.25">
      <c r="AI4486" s="49"/>
      <c r="AJ4486" s="78"/>
      <c r="AK4486" s="79"/>
      <c r="AL4486" s="79"/>
      <c r="AM4486" s="79"/>
      <c r="AN4486" s="79"/>
      <c r="AO4486" s="79"/>
      <c r="AP4486" s="79"/>
      <c r="AQ4486" s="79"/>
      <c r="AR4486" s="78"/>
      <c r="AS4486" s="78"/>
      <c r="AT4486" s="79"/>
      <c r="AU4486" s="79"/>
      <c r="AV4486" s="79"/>
      <c r="AW4486" s="79"/>
      <c r="AX4486" s="79"/>
      <c r="AZ4486" s="81"/>
      <c r="BB4486" s="5"/>
      <c r="BC4486" s="5"/>
      <c r="BD4486" s="5"/>
      <c r="BE4486" s="5"/>
      <c r="BF4486" s="5"/>
      <c r="BG4486" s="5"/>
      <c r="BH4486" s="5"/>
      <c r="BI4486" s="5"/>
      <c r="BJ4486" s="5"/>
      <c r="BK4486" s="5"/>
      <c r="BL4486" s="5"/>
      <c r="BM4486" s="5"/>
      <c r="BN4486" s="5"/>
      <c r="BO4486" s="5"/>
      <c r="BP4486" s="5"/>
    </row>
    <row r="4487" spans="35:68" x14ac:dyDescent="0.25">
      <c r="AI4487" s="49"/>
      <c r="AJ4487" s="78"/>
      <c r="AK4487" s="79"/>
      <c r="AL4487" s="79"/>
      <c r="AM4487" s="79"/>
      <c r="AN4487" s="79"/>
      <c r="AO4487" s="79"/>
      <c r="AP4487" s="79"/>
      <c r="AQ4487" s="79"/>
      <c r="AR4487" s="78"/>
      <c r="AS4487" s="78"/>
      <c r="AT4487" s="79"/>
      <c r="AU4487" s="79"/>
      <c r="AV4487" s="79"/>
      <c r="AW4487" s="79"/>
      <c r="AX4487" s="79"/>
      <c r="AZ4487" s="81"/>
      <c r="BB4487" s="5"/>
      <c r="BC4487" s="5"/>
      <c r="BD4487" s="5"/>
      <c r="BE4487" s="5"/>
      <c r="BF4487" s="5"/>
      <c r="BG4487" s="5"/>
      <c r="BH4487" s="5"/>
      <c r="BI4487" s="5"/>
      <c r="BJ4487" s="5"/>
      <c r="BK4487" s="5"/>
      <c r="BL4487" s="5"/>
      <c r="BM4487" s="5"/>
      <c r="BN4487" s="5"/>
      <c r="BO4487" s="5"/>
      <c r="BP4487" s="5"/>
    </row>
    <row r="4488" spans="35:68" x14ac:dyDescent="0.25">
      <c r="AI4488" s="49"/>
      <c r="AJ4488" s="78"/>
      <c r="AK4488" s="79"/>
      <c r="AL4488" s="79"/>
      <c r="AM4488" s="79"/>
      <c r="AN4488" s="79"/>
      <c r="AO4488" s="79"/>
      <c r="AP4488" s="79"/>
      <c r="AQ4488" s="79"/>
      <c r="AR4488" s="78"/>
      <c r="AS4488" s="78"/>
      <c r="AT4488" s="79"/>
      <c r="AU4488" s="79"/>
      <c r="AV4488" s="79"/>
      <c r="AW4488" s="79"/>
      <c r="AX4488" s="79"/>
      <c r="AZ4488" s="81"/>
      <c r="BB4488" s="5"/>
      <c r="BC4488" s="5"/>
      <c r="BD4488" s="5"/>
      <c r="BE4488" s="5"/>
      <c r="BF4488" s="5"/>
      <c r="BG4488" s="5"/>
      <c r="BH4488" s="5"/>
      <c r="BI4488" s="5"/>
      <c r="BJ4488" s="5"/>
      <c r="BK4488" s="5"/>
      <c r="BL4488" s="5"/>
      <c r="BM4488" s="5"/>
      <c r="BN4488" s="5"/>
      <c r="BO4488" s="5"/>
      <c r="BP4488" s="5"/>
    </row>
    <row r="4489" spans="35:68" x14ac:dyDescent="0.25">
      <c r="AI4489" s="49"/>
      <c r="AJ4489" s="78"/>
      <c r="AK4489" s="79"/>
      <c r="AL4489" s="79"/>
      <c r="AM4489" s="79"/>
      <c r="AN4489" s="79"/>
      <c r="AO4489" s="79"/>
      <c r="AP4489" s="79"/>
      <c r="AQ4489" s="79"/>
      <c r="AR4489" s="78"/>
      <c r="AS4489" s="78"/>
      <c r="AT4489" s="79"/>
      <c r="AU4489" s="79"/>
      <c r="AV4489" s="79"/>
      <c r="AW4489" s="79"/>
      <c r="AX4489" s="79"/>
      <c r="AZ4489" s="81"/>
      <c r="BB4489" s="5"/>
      <c r="BC4489" s="5"/>
      <c r="BD4489" s="5"/>
      <c r="BE4489" s="5"/>
      <c r="BF4489" s="5"/>
      <c r="BG4489" s="5"/>
      <c r="BH4489" s="5"/>
      <c r="BI4489" s="5"/>
      <c r="BJ4489" s="5"/>
      <c r="BK4489" s="5"/>
      <c r="BL4489" s="5"/>
      <c r="BM4489" s="5"/>
      <c r="BN4489" s="5"/>
      <c r="BO4489" s="5"/>
      <c r="BP4489" s="5"/>
    </row>
    <row r="4490" spans="35:68" x14ac:dyDescent="0.25">
      <c r="AI4490" s="49"/>
      <c r="AJ4490" s="78"/>
      <c r="AK4490" s="79"/>
      <c r="AL4490" s="79"/>
      <c r="AM4490" s="79"/>
      <c r="AN4490" s="79"/>
      <c r="AO4490" s="79"/>
      <c r="AP4490" s="79"/>
      <c r="AQ4490" s="79"/>
      <c r="AR4490" s="78"/>
      <c r="AS4490" s="78"/>
      <c r="AT4490" s="79"/>
      <c r="AU4490" s="79"/>
      <c r="AV4490" s="79"/>
      <c r="AW4490" s="79"/>
      <c r="AX4490" s="79"/>
      <c r="AZ4490" s="81"/>
      <c r="BB4490" s="5"/>
      <c r="BC4490" s="5"/>
      <c r="BD4490" s="5"/>
      <c r="BE4490" s="5"/>
      <c r="BF4490" s="5"/>
      <c r="BG4490" s="5"/>
      <c r="BH4490" s="5"/>
      <c r="BI4490" s="5"/>
      <c r="BJ4490" s="5"/>
      <c r="BK4490" s="5"/>
      <c r="BL4490" s="5"/>
      <c r="BM4490" s="5"/>
      <c r="BN4490" s="5"/>
      <c r="BO4490" s="5"/>
      <c r="BP4490" s="5"/>
    </row>
    <row r="4491" spans="35:68" x14ac:dyDescent="0.25">
      <c r="AI4491" s="49"/>
      <c r="AJ4491" s="78"/>
      <c r="AK4491" s="79"/>
      <c r="AL4491" s="79"/>
      <c r="AM4491" s="79"/>
      <c r="AN4491" s="79"/>
      <c r="AO4491" s="79"/>
      <c r="AP4491" s="79"/>
      <c r="AQ4491" s="79"/>
      <c r="AR4491" s="78"/>
      <c r="AS4491" s="78"/>
      <c r="AT4491" s="79"/>
      <c r="AU4491" s="79"/>
      <c r="AV4491" s="79"/>
      <c r="AW4491" s="79"/>
      <c r="AX4491" s="79"/>
      <c r="AZ4491" s="81"/>
      <c r="BB4491" s="5"/>
      <c r="BC4491" s="5"/>
      <c r="BD4491" s="5"/>
      <c r="BE4491" s="5"/>
      <c r="BF4491" s="5"/>
      <c r="BG4491" s="5"/>
      <c r="BH4491" s="5"/>
      <c r="BI4491" s="5"/>
      <c r="BJ4491" s="5"/>
      <c r="BK4491" s="5"/>
      <c r="BL4491" s="5"/>
      <c r="BM4491" s="5"/>
      <c r="BN4491" s="5"/>
      <c r="BO4491" s="5"/>
      <c r="BP4491" s="5"/>
    </row>
    <row r="4492" spans="35:68" x14ac:dyDescent="0.25">
      <c r="AI4492" s="49"/>
      <c r="AJ4492" s="78"/>
      <c r="AK4492" s="79"/>
      <c r="AL4492" s="79"/>
      <c r="AM4492" s="79"/>
      <c r="AN4492" s="79"/>
      <c r="AO4492" s="79"/>
      <c r="AP4492" s="79"/>
      <c r="AQ4492" s="79"/>
      <c r="AR4492" s="78"/>
      <c r="AS4492" s="78"/>
      <c r="AT4492" s="79"/>
      <c r="AU4492" s="79"/>
      <c r="AV4492" s="79"/>
      <c r="AW4492" s="79"/>
      <c r="AX4492" s="79"/>
      <c r="AZ4492" s="81"/>
      <c r="BB4492" s="5"/>
      <c r="BC4492" s="5"/>
      <c r="BD4492" s="5"/>
      <c r="BE4492" s="5"/>
      <c r="BF4492" s="5"/>
      <c r="BG4492" s="5"/>
      <c r="BH4492" s="5"/>
      <c r="BI4492" s="5"/>
      <c r="BJ4492" s="5"/>
      <c r="BK4492" s="5"/>
      <c r="BL4492" s="5"/>
      <c r="BM4492" s="5"/>
      <c r="BN4492" s="5"/>
      <c r="BO4492" s="5"/>
      <c r="BP4492" s="5"/>
    </row>
    <row r="4493" spans="35:68" x14ac:dyDescent="0.25">
      <c r="AI4493" s="49"/>
      <c r="AJ4493" s="78"/>
      <c r="AK4493" s="79"/>
      <c r="AL4493" s="79"/>
      <c r="AM4493" s="79"/>
      <c r="AN4493" s="79"/>
      <c r="AO4493" s="79"/>
      <c r="AP4493" s="79"/>
      <c r="AQ4493" s="79"/>
      <c r="AR4493" s="78"/>
      <c r="AS4493" s="78"/>
      <c r="AT4493" s="79"/>
      <c r="AU4493" s="79"/>
      <c r="AV4493" s="79"/>
      <c r="AW4493" s="79"/>
      <c r="AX4493" s="79"/>
      <c r="AZ4493" s="81"/>
      <c r="BB4493" s="5"/>
      <c r="BC4493" s="5"/>
      <c r="BD4493" s="5"/>
      <c r="BE4493" s="5"/>
      <c r="BF4493" s="5"/>
      <c r="BG4493" s="5"/>
      <c r="BH4493" s="5"/>
      <c r="BI4493" s="5"/>
      <c r="BJ4493" s="5"/>
      <c r="BK4493" s="5"/>
      <c r="BL4493" s="5"/>
      <c r="BM4493" s="5"/>
      <c r="BN4493" s="5"/>
      <c r="BO4493" s="5"/>
      <c r="BP4493" s="5"/>
    </row>
    <row r="4494" spans="35:68" x14ac:dyDescent="0.25">
      <c r="AI4494" s="49"/>
      <c r="AJ4494" s="78"/>
      <c r="AK4494" s="79"/>
      <c r="AL4494" s="79"/>
      <c r="AM4494" s="79"/>
      <c r="AN4494" s="79"/>
      <c r="AO4494" s="79"/>
      <c r="AP4494" s="79"/>
      <c r="AQ4494" s="79"/>
      <c r="AR4494" s="78"/>
      <c r="AS4494" s="78"/>
      <c r="AT4494" s="79"/>
      <c r="AU4494" s="79"/>
      <c r="AV4494" s="79"/>
      <c r="AW4494" s="79"/>
      <c r="AX4494" s="79"/>
      <c r="AZ4494" s="81"/>
      <c r="BB4494" s="5"/>
      <c r="BC4494" s="5"/>
      <c r="BD4494" s="5"/>
      <c r="BE4494" s="5"/>
      <c r="BF4494" s="5"/>
      <c r="BG4494" s="5"/>
      <c r="BH4494" s="5"/>
      <c r="BI4494" s="5"/>
      <c r="BJ4494" s="5"/>
      <c r="BK4494" s="5"/>
      <c r="BL4494" s="5"/>
      <c r="BM4494" s="5"/>
      <c r="BN4494" s="5"/>
      <c r="BO4494" s="5"/>
      <c r="BP4494" s="5"/>
    </row>
    <row r="4495" spans="35:68" x14ac:dyDescent="0.25">
      <c r="AI4495" s="49"/>
      <c r="AJ4495" s="78"/>
      <c r="AK4495" s="79"/>
      <c r="AL4495" s="79"/>
      <c r="AM4495" s="79"/>
      <c r="AN4495" s="79"/>
      <c r="AO4495" s="79"/>
      <c r="AP4495" s="79"/>
      <c r="AQ4495" s="79"/>
      <c r="AR4495" s="78"/>
      <c r="AS4495" s="78"/>
      <c r="AT4495" s="79"/>
      <c r="AU4495" s="79"/>
      <c r="AV4495" s="79"/>
      <c r="AW4495" s="79"/>
      <c r="AX4495" s="79"/>
      <c r="AZ4495" s="81"/>
      <c r="BB4495" s="5"/>
      <c r="BC4495" s="5"/>
      <c r="BD4495" s="5"/>
      <c r="BE4495" s="5"/>
      <c r="BF4495" s="5"/>
      <c r="BG4495" s="5"/>
      <c r="BH4495" s="5"/>
      <c r="BI4495" s="5"/>
      <c r="BJ4495" s="5"/>
      <c r="BK4495" s="5"/>
      <c r="BL4495" s="5"/>
      <c r="BM4495" s="5"/>
      <c r="BN4495" s="5"/>
      <c r="BO4495" s="5"/>
      <c r="BP4495" s="5"/>
    </row>
    <row r="4496" spans="35:68" x14ac:dyDescent="0.25">
      <c r="AI4496" s="49"/>
      <c r="AJ4496" s="78"/>
      <c r="AK4496" s="79"/>
      <c r="AL4496" s="79"/>
      <c r="AM4496" s="79"/>
      <c r="AN4496" s="79"/>
      <c r="AO4496" s="79"/>
      <c r="AP4496" s="79"/>
      <c r="AQ4496" s="79"/>
      <c r="AR4496" s="78"/>
      <c r="AS4496" s="78"/>
      <c r="AT4496" s="79"/>
      <c r="AU4496" s="79"/>
      <c r="AV4496" s="79"/>
      <c r="AW4496" s="79"/>
      <c r="AX4496" s="79"/>
      <c r="AZ4496" s="81"/>
      <c r="BB4496" s="5"/>
      <c r="BC4496" s="5"/>
      <c r="BD4496" s="5"/>
      <c r="BE4496" s="5"/>
      <c r="BF4496" s="5"/>
      <c r="BG4496" s="5"/>
      <c r="BH4496" s="5"/>
      <c r="BI4496" s="5"/>
      <c r="BJ4496" s="5"/>
      <c r="BK4496" s="5"/>
      <c r="BL4496" s="5"/>
      <c r="BM4496" s="5"/>
      <c r="BN4496" s="5"/>
      <c r="BO4496" s="5"/>
      <c r="BP4496" s="5"/>
    </row>
    <row r="4497" spans="35:68" x14ac:dyDescent="0.25">
      <c r="AI4497" s="49"/>
      <c r="AJ4497" s="78"/>
      <c r="AK4497" s="79"/>
      <c r="AL4497" s="79"/>
      <c r="AM4497" s="79"/>
      <c r="AN4497" s="79"/>
      <c r="AO4497" s="79"/>
      <c r="AP4497" s="79"/>
      <c r="AQ4497" s="79"/>
      <c r="AR4497" s="78"/>
      <c r="AS4497" s="78"/>
      <c r="AT4497" s="79"/>
      <c r="AU4497" s="79"/>
      <c r="AV4497" s="79"/>
      <c r="AW4497" s="79"/>
      <c r="AX4497" s="79"/>
      <c r="AZ4497" s="81"/>
      <c r="BB4497" s="5"/>
      <c r="BC4497" s="5"/>
      <c r="BD4497" s="5"/>
      <c r="BE4497" s="5"/>
      <c r="BF4497" s="5"/>
      <c r="BG4497" s="5"/>
      <c r="BH4497" s="5"/>
      <c r="BI4497" s="5"/>
      <c r="BJ4497" s="5"/>
      <c r="BK4497" s="5"/>
      <c r="BL4497" s="5"/>
      <c r="BM4497" s="5"/>
      <c r="BN4497" s="5"/>
      <c r="BO4497" s="5"/>
      <c r="BP4497" s="5"/>
    </row>
    <row r="4498" spans="35:68" x14ac:dyDescent="0.25">
      <c r="AI4498" s="49"/>
      <c r="AJ4498" s="78"/>
      <c r="AK4498" s="79"/>
      <c r="AL4498" s="79"/>
      <c r="AM4498" s="79"/>
      <c r="AN4498" s="79"/>
      <c r="AO4498" s="79"/>
      <c r="AP4498" s="79"/>
      <c r="AQ4498" s="79"/>
      <c r="AR4498" s="78"/>
      <c r="AS4498" s="78"/>
      <c r="AT4498" s="79"/>
      <c r="AU4498" s="79"/>
      <c r="AV4498" s="79"/>
      <c r="AW4498" s="79"/>
      <c r="AX4498" s="79"/>
      <c r="AZ4498" s="81"/>
      <c r="BB4498" s="5"/>
      <c r="BC4498" s="5"/>
      <c r="BD4498" s="5"/>
      <c r="BE4498" s="5"/>
      <c r="BF4498" s="5"/>
      <c r="BG4498" s="5"/>
      <c r="BH4498" s="5"/>
      <c r="BI4498" s="5"/>
      <c r="BJ4498" s="5"/>
      <c r="BK4498" s="5"/>
      <c r="BL4498" s="5"/>
      <c r="BM4498" s="5"/>
      <c r="BN4498" s="5"/>
      <c r="BO4498" s="5"/>
      <c r="BP4498" s="5"/>
    </row>
    <row r="4499" spans="35:68" x14ac:dyDescent="0.25">
      <c r="AI4499" s="49"/>
      <c r="AJ4499" s="78"/>
      <c r="AK4499" s="79"/>
      <c r="AL4499" s="79"/>
      <c r="AM4499" s="79"/>
      <c r="AN4499" s="79"/>
      <c r="AO4499" s="79"/>
      <c r="AP4499" s="79"/>
      <c r="AQ4499" s="79"/>
      <c r="AR4499" s="78"/>
      <c r="AS4499" s="78"/>
      <c r="AT4499" s="79"/>
      <c r="AU4499" s="79"/>
      <c r="AV4499" s="79"/>
      <c r="AW4499" s="79"/>
      <c r="AX4499" s="79"/>
      <c r="AZ4499" s="81"/>
      <c r="BB4499" s="5"/>
      <c r="BC4499" s="5"/>
      <c r="BD4499" s="5"/>
      <c r="BE4499" s="5"/>
      <c r="BF4499" s="5"/>
      <c r="BG4499" s="5"/>
      <c r="BH4499" s="5"/>
      <c r="BI4499" s="5"/>
      <c r="BJ4499" s="5"/>
      <c r="BK4499" s="5"/>
      <c r="BL4499" s="5"/>
      <c r="BM4499" s="5"/>
      <c r="BN4499" s="5"/>
      <c r="BO4499" s="5"/>
      <c r="BP4499" s="5"/>
    </row>
    <row r="4500" spans="35:68" x14ac:dyDescent="0.25">
      <c r="AI4500" s="49"/>
      <c r="AJ4500" s="78"/>
      <c r="AK4500" s="79"/>
      <c r="AL4500" s="79"/>
      <c r="AM4500" s="79"/>
      <c r="AN4500" s="79"/>
      <c r="AO4500" s="79"/>
      <c r="AP4500" s="79"/>
      <c r="AQ4500" s="79"/>
      <c r="AR4500" s="78"/>
      <c r="AS4500" s="78"/>
      <c r="AT4500" s="79"/>
      <c r="AU4500" s="79"/>
      <c r="AV4500" s="79"/>
      <c r="AW4500" s="79"/>
      <c r="AX4500" s="79"/>
      <c r="AZ4500" s="81"/>
      <c r="BB4500" s="5"/>
      <c r="BC4500" s="5"/>
      <c r="BD4500" s="5"/>
      <c r="BE4500" s="5"/>
      <c r="BF4500" s="5"/>
      <c r="BG4500" s="5"/>
      <c r="BH4500" s="5"/>
      <c r="BI4500" s="5"/>
      <c r="BJ4500" s="5"/>
      <c r="BK4500" s="5"/>
      <c r="BL4500" s="5"/>
      <c r="BM4500" s="5"/>
      <c r="BN4500" s="5"/>
      <c r="BO4500" s="5"/>
      <c r="BP4500" s="5"/>
    </row>
    <row r="4501" spans="35:68" x14ac:dyDescent="0.25">
      <c r="AI4501" s="49"/>
      <c r="AJ4501" s="78"/>
      <c r="AK4501" s="79"/>
      <c r="AL4501" s="79"/>
      <c r="AM4501" s="79"/>
      <c r="AN4501" s="79"/>
      <c r="AO4501" s="79"/>
      <c r="AP4501" s="79"/>
      <c r="AQ4501" s="79"/>
      <c r="AR4501" s="78"/>
      <c r="AS4501" s="78"/>
      <c r="AT4501" s="79"/>
      <c r="AU4501" s="79"/>
      <c r="AV4501" s="79"/>
      <c r="AW4501" s="79"/>
      <c r="AX4501" s="79"/>
      <c r="AZ4501" s="81"/>
      <c r="BB4501" s="5"/>
      <c r="BC4501" s="5"/>
      <c r="BD4501" s="5"/>
      <c r="BE4501" s="5"/>
      <c r="BF4501" s="5"/>
      <c r="BG4501" s="5"/>
      <c r="BH4501" s="5"/>
      <c r="BI4501" s="5"/>
      <c r="BJ4501" s="5"/>
      <c r="BK4501" s="5"/>
      <c r="BL4501" s="5"/>
      <c r="BM4501" s="5"/>
      <c r="BN4501" s="5"/>
      <c r="BO4501" s="5"/>
      <c r="BP4501" s="5"/>
    </row>
    <row r="4502" spans="35:68" x14ac:dyDescent="0.25">
      <c r="AI4502" s="49"/>
      <c r="AJ4502" s="78"/>
      <c r="AK4502" s="79"/>
      <c r="AL4502" s="79"/>
      <c r="AM4502" s="79"/>
      <c r="AN4502" s="79"/>
      <c r="AO4502" s="79"/>
      <c r="AP4502" s="79"/>
      <c r="AQ4502" s="79"/>
      <c r="AR4502" s="78"/>
      <c r="AS4502" s="78"/>
      <c r="AT4502" s="79"/>
      <c r="AU4502" s="79"/>
      <c r="AV4502" s="79"/>
      <c r="AW4502" s="79"/>
      <c r="AX4502" s="79"/>
      <c r="AZ4502" s="81"/>
      <c r="BB4502" s="5"/>
      <c r="BC4502" s="5"/>
      <c r="BD4502" s="5"/>
      <c r="BE4502" s="5"/>
      <c r="BF4502" s="5"/>
      <c r="BG4502" s="5"/>
      <c r="BH4502" s="5"/>
      <c r="BI4502" s="5"/>
      <c r="BJ4502" s="5"/>
      <c r="BK4502" s="5"/>
      <c r="BL4502" s="5"/>
      <c r="BM4502" s="5"/>
      <c r="BN4502" s="5"/>
      <c r="BO4502" s="5"/>
      <c r="BP4502" s="5"/>
    </row>
    <row r="4503" spans="35:68" x14ac:dyDescent="0.25">
      <c r="AI4503" s="49"/>
      <c r="AJ4503" s="78"/>
      <c r="AK4503" s="79"/>
      <c r="AL4503" s="79"/>
      <c r="AM4503" s="79"/>
      <c r="AN4503" s="79"/>
      <c r="AO4503" s="79"/>
      <c r="AP4503" s="79"/>
      <c r="AQ4503" s="79"/>
      <c r="AR4503" s="78"/>
      <c r="AS4503" s="78"/>
      <c r="AT4503" s="79"/>
      <c r="AU4503" s="79"/>
      <c r="AV4503" s="79"/>
      <c r="AW4503" s="79"/>
      <c r="AX4503" s="79"/>
      <c r="AZ4503" s="81"/>
      <c r="BB4503" s="5"/>
      <c r="BC4503" s="5"/>
      <c r="BD4503" s="5"/>
      <c r="BE4503" s="5"/>
      <c r="BF4503" s="5"/>
      <c r="BG4503" s="5"/>
      <c r="BH4503" s="5"/>
      <c r="BI4503" s="5"/>
      <c r="BJ4503" s="5"/>
      <c r="BK4503" s="5"/>
      <c r="BL4503" s="5"/>
      <c r="BM4503" s="5"/>
      <c r="BN4503" s="5"/>
      <c r="BO4503" s="5"/>
      <c r="BP4503" s="5"/>
    </row>
    <row r="4504" spans="35:68" x14ac:dyDescent="0.25">
      <c r="AI4504" s="49"/>
      <c r="AJ4504" s="78"/>
      <c r="AK4504" s="79"/>
      <c r="AL4504" s="79"/>
      <c r="AM4504" s="79"/>
      <c r="AN4504" s="79"/>
      <c r="AO4504" s="79"/>
      <c r="AP4504" s="79"/>
      <c r="AQ4504" s="79"/>
      <c r="AR4504" s="78"/>
      <c r="AS4504" s="78"/>
      <c r="AT4504" s="79"/>
      <c r="AU4504" s="79"/>
      <c r="AV4504" s="79"/>
      <c r="AW4504" s="79"/>
      <c r="AX4504" s="79"/>
      <c r="AZ4504" s="81"/>
      <c r="BB4504" s="5"/>
      <c r="BC4504" s="5"/>
      <c r="BD4504" s="5"/>
      <c r="BE4504" s="5"/>
      <c r="BF4504" s="5"/>
      <c r="BG4504" s="5"/>
      <c r="BH4504" s="5"/>
      <c r="BI4504" s="5"/>
      <c r="BJ4504" s="5"/>
      <c r="BK4504" s="5"/>
      <c r="BL4504" s="5"/>
      <c r="BM4504" s="5"/>
      <c r="BN4504" s="5"/>
      <c r="BO4504" s="5"/>
      <c r="BP4504" s="5"/>
    </row>
    <row r="4505" spans="35:68" x14ac:dyDescent="0.25">
      <c r="AI4505" s="49"/>
      <c r="AJ4505" s="78"/>
      <c r="AK4505" s="79"/>
      <c r="AL4505" s="79"/>
      <c r="AM4505" s="79"/>
      <c r="AN4505" s="79"/>
      <c r="AO4505" s="79"/>
      <c r="AP4505" s="79"/>
      <c r="AQ4505" s="79"/>
      <c r="AR4505" s="78"/>
      <c r="AS4505" s="78"/>
      <c r="AT4505" s="79"/>
      <c r="AU4505" s="79"/>
      <c r="AV4505" s="79"/>
      <c r="AW4505" s="79"/>
      <c r="AX4505" s="79"/>
      <c r="AZ4505" s="81"/>
      <c r="BB4505" s="5"/>
      <c r="BC4505" s="5"/>
      <c r="BD4505" s="5"/>
      <c r="BE4505" s="5"/>
      <c r="BF4505" s="5"/>
      <c r="BG4505" s="5"/>
      <c r="BH4505" s="5"/>
      <c r="BI4505" s="5"/>
      <c r="BJ4505" s="5"/>
      <c r="BK4505" s="5"/>
      <c r="BL4505" s="5"/>
      <c r="BM4505" s="5"/>
      <c r="BN4505" s="5"/>
      <c r="BO4505" s="5"/>
      <c r="BP4505" s="5"/>
    </row>
    <row r="4506" spans="35:68" x14ac:dyDescent="0.25">
      <c r="AI4506" s="49"/>
      <c r="AJ4506" s="78"/>
      <c r="AK4506" s="79"/>
      <c r="AL4506" s="79"/>
      <c r="AM4506" s="79"/>
      <c r="AN4506" s="79"/>
      <c r="AO4506" s="79"/>
      <c r="AP4506" s="79"/>
      <c r="AQ4506" s="79"/>
      <c r="AR4506" s="78"/>
      <c r="AS4506" s="78"/>
      <c r="AT4506" s="79"/>
      <c r="AU4506" s="79"/>
      <c r="AV4506" s="79"/>
      <c r="AW4506" s="79"/>
      <c r="AX4506" s="79"/>
      <c r="AZ4506" s="81"/>
      <c r="BB4506" s="5"/>
      <c r="BC4506" s="5"/>
      <c r="BD4506" s="5"/>
      <c r="BE4506" s="5"/>
      <c r="BF4506" s="5"/>
      <c r="BG4506" s="5"/>
      <c r="BH4506" s="5"/>
      <c r="BI4506" s="5"/>
      <c r="BJ4506" s="5"/>
      <c r="BK4506" s="5"/>
      <c r="BL4506" s="5"/>
      <c r="BM4506" s="5"/>
      <c r="BN4506" s="5"/>
      <c r="BO4506" s="5"/>
      <c r="BP4506" s="5"/>
    </row>
    <row r="4507" spans="35:68" x14ac:dyDescent="0.25">
      <c r="AI4507" s="49"/>
      <c r="AJ4507" s="78"/>
      <c r="AK4507" s="79"/>
      <c r="AL4507" s="79"/>
      <c r="AM4507" s="79"/>
      <c r="AN4507" s="79"/>
      <c r="AO4507" s="79"/>
      <c r="AP4507" s="79"/>
      <c r="AQ4507" s="79"/>
      <c r="AR4507" s="78"/>
      <c r="AS4507" s="78"/>
      <c r="AT4507" s="79"/>
      <c r="AU4507" s="79"/>
      <c r="AV4507" s="79"/>
      <c r="AW4507" s="79"/>
      <c r="AX4507" s="79"/>
      <c r="AZ4507" s="81"/>
      <c r="BB4507" s="5"/>
      <c r="BC4507" s="5"/>
      <c r="BD4507" s="5"/>
      <c r="BE4507" s="5"/>
      <c r="BF4507" s="5"/>
      <c r="BG4507" s="5"/>
      <c r="BH4507" s="5"/>
      <c r="BI4507" s="5"/>
      <c r="BJ4507" s="5"/>
      <c r="BK4507" s="5"/>
      <c r="BL4507" s="5"/>
      <c r="BM4507" s="5"/>
      <c r="BN4507" s="5"/>
      <c r="BO4507" s="5"/>
      <c r="BP4507" s="5"/>
    </row>
    <row r="4508" spans="35:68" x14ac:dyDescent="0.25">
      <c r="AI4508" s="49"/>
      <c r="AJ4508" s="78"/>
      <c r="AK4508" s="79"/>
      <c r="AL4508" s="79"/>
      <c r="AM4508" s="79"/>
      <c r="AN4508" s="79"/>
      <c r="AO4508" s="79"/>
      <c r="AP4508" s="79"/>
      <c r="AQ4508" s="79"/>
      <c r="AR4508" s="78"/>
      <c r="AS4508" s="78"/>
      <c r="AT4508" s="79"/>
      <c r="AU4508" s="79"/>
      <c r="AV4508" s="79"/>
      <c r="AW4508" s="79"/>
      <c r="AX4508" s="79"/>
      <c r="AZ4508" s="81"/>
      <c r="BB4508" s="5"/>
      <c r="BC4508" s="5"/>
      <c r="BD4508" s="5"/>
      <c r="BE4508" s="5"/>
      <c r="BF4508" s="5"/>
      <c r="BG4508" s="5"/>
      <c r="BH4508" s="5"/>
      <c r="BI4508" s="5"/>
      <c r="BJ4508" s="5"/>
      <c r="BK4508" s="5"/>
      <c r="BL4508" s="5"/>
      <c r="BM4508" s="5"/>
      <c r="BN4508" s="5"/>
      <c r="BO4508" s="5"/>
      <c r="BP4508" s="5"/>
    </row>
    <row r="4509" spans="35:68" x14ac:dyDescent="0.25">
      <c r="AI4509" s="49"/>
      <c r="AJ4509" s="78"/>
      <c r="AK4509" s="79"/>
      <c r="AL4509" s="79"/>
      <c r="AM4509" s="79"/>
      <c r="AN4509" s="79"/>
      <c r="AO4509" s="79"/>
      <c r="AP4509" s="79"/>
      <c r="AQ4509" s="79"/>
      <c r="AR4509" s="78"/>
      <c r="AS4509" s="78"/>
      <c r="AT4509" s="79"/>
      <c r="AU4509" s="79"/>
      <c r="AV4509" s="79"/>
      <c r="AW4509" s="79"/>
      <c r="AX4509" s="79"/>
      <c r="AZ4509" s="81"/>
      <c r="BB4509" s="5"/>
      <c r="BC4509" s="5"/>
      <c r="BD4509" s="5"/>
      <c r="BE4509" s="5"/>
      <c r="BF4509" s="5"/>
      <c r="BG4509" s="5"/>
      <c r="BH4509" s="5"/>
      <c r="BI4509" s="5"/>
      <c r="BJ4509" s="5"/>
      <c r="BK4509" s="5"/>
      <c r="BL4509" s="5"/>
      <c r="BM4509" s="5"/>
      <c r="BN4509" s="5"/>
      <c r="BO4509" s="5"/>
      <c r="BP4509" s="5"/>
    </row>
    <row r="4510" spans="35:68" x14ac:dyDescent="0.25">
      <c r="AI4510" s="49"/>
      <c r="AJ4510" s="78"/>
      <c r="AK4510" s="79"/>
      <c r="AL4510" s="79"/>
      <c r="AM4510" s="79"/>
      <c r="AN4510" s="79"/>
      <c r="AO4510" s="79"/>
      <c r="AP4510" s="79"/>
      <c r="AQ4510" s="79"/>
      <c r="AR4510" s="78"/>
      <c r="AS4510" s="78"/>
      <c r="AT4510" s="79"/>
      <c r="AU4510" s="79"/>
      <c r="AV4510" s="79"/>
      <c r="AW4510" s="79"/>
      <c r="AX4510" s="79"/>
      <c r="AZ4510" s="81"/>
      <c r="BB4510" s="5"/>
      <c r="BC4510" s="5"/>
      <c r="BD4510" s="5"/>
      <c r="BE4510" s="5"/>
      <c r="BF4510" s="5"/>
      <c r="BG4510" s="5"/>
      <c r="BH4510" s="5"/>
      <c r="BI4510" s="5"/>
      <c r="BJ4510" s="5"/>
      <c r="BK4510" s="5"/>
      <c r="BL4510" s="5"/>
      <c r="BM4510" s="5"/>
      <c r="BN4510" s="5"/>
      <c r="BO4510" s="5"/>
      <c r="BP4510" s="5"/>
    </row>
    <row r="4511" spans="35:68" x14ac:dyDescent="0.25">
      <c r="AI4511" s="49"/>
      <c r="AJ4511" s="78"/>
      <c r="AK4511" s="79"/>
      <c r="AL4511" s="79"/>
      <c r="AM4511" s="79"/>
      <c r="AN4511" s="79"/>
      <c r="AO4511" s="79"/>
      <c r="AP4511" s="79"/>
      <c r="AQ4511" s="79"/>
      <c r="AR4511" s="78"/>
      <c r="AS4511" s="78"/>
      <c r="AT4511" s="79"/>
      <c r="AU4511" s="79"/>
      <c r="AV4511" s="79"/>
      <c r="AW4511" s="79"/>
      <c r="AX4511" s="79"/>
      <c r="AZ4511" s="81"/>
      <c r="BB4511" s="5"/>
      <c r="BC4511" s="5"/>
      <c r="BD4511" s="5"/>
      <c r="BE4511" s="5"/>
      <c r="BF4511" s="5"/>
      <c r="BG4511" s="5"/>
      <c r="BH4511" s="5"/>
      <c r="BI4511" s="5"/>
      <c r="BJ4511" s="5"/>
      <c r="BK4511" s="5"/>
      <c r="BL4511" s="5"/>
      <c r="BM4511" s="5"/>
      <c r="BN4511" s="5"/>
      <c r="BO4511" s="5"/>
      <c r="BP4511" s="5"/>
    </row>
    <row r="4512" spans="35:68" x14ac:dyDescent="0.25">
      <c r="AI4512" s="49"/>
      <c r="AJ4512" s="78"/>
      <c r="AK4512" s="79"/>
      <c r="AL4512" s="79"/>
      <c r="AM4512" s="79"/>
      <c r="AN4512" s="79"/>
      <c r="AO4512" s="79"/>
      <c r="AP4512" s="79"/>
      <c r="AQ4512" s="79"/>
      <c r="AR4512" s="78"/>
      <c r="AS4512" s="78"/>
      <c r="AT4512" s="79"/>
      <c r="AU4512" s="79"/>
      <c r="AV4512" s="79"/>
      <c r="AW4512" s="79"/>
      <c r="AX4512" s="79"/>
      <c r="AZ4512" s="81"/>
      <c r="BB4512" s="5"/>
      <c r="BC4512" s="5"/>
      <c r="BD4512" s="5"/>
      <c r="BE4512" s="5"/>
      <c r="BF4512" s="5"/>
      <c r="BG4512" s="5"/>
      <c r="BH4512" s="5"/>
      <c r="BI4512" s="5"/>
      <c r="BJ4512" s="5"/>
      <c r="BK4512" s="5"/>
      <c r="BL4512" s="5"/>
      <c r="BM4512" s="5"/>
      <c r="BN4512" s="5"/>
      <c r="BO4512" s="5"/>
      <c r="BP4512" s="5"/>
    </row>
    <row r="4513" spans="35:68" x14ac:dyDescent="0.25">
      <c r="AI4513" s="49"/>
      <c r="AJ4513" s="78"/>
      <c r="AK4513" s="79"/>
      <c r="AL4513" s="79"/>
      <c r="AM4513" s="79"/>
      <c r="AN4513" s="79"/>
      <c r="AO4513" s="79"/>
      <c r="AP4513" s="79"/>
      <c r="AQ4513" s="79"/>
      <c r="AR4513" s="78"/>
      <c r="AS4513" s="78"/>
      <c r="AT4513" s="79"/>
      <c r="AU4513" s="79"/>
      <c r="AV4513" s="79"/>
      <c r="AW4513" s="79"/>
      <c r="AX4513" s="79"/>
      <c r="AZ4513" s="81"/>
      <c r="BB4513" s="5"/>
      <c r="BC4513" s="5"/>
      <c r="BD4513" s="5"/>
      <c r="BE4513" s="5"/>
      <c r="BF4513" s="5"/>
      <c r="BG4513" s="5"/>
      <c r="BH4513" s="5"/>
      <c r="BI4513" s="5"/>
      <c r="BJ4513" s="5"/>
      <c r="BK4513" s="5"/>
      <c r="BL4513" s="5"/>
      <c r="BM4513" s="5"/>
      <c r="BN4513" s="5"/>
      <c r="BO4513" s="5"/>
      <c r="BP4513" s="5"/>
    </row>
    <row r="4514" spans="35:68" x14ac:dyDescent="0.25">
      <c r="AI4514" s="49"/>
      <c r="AJ4514" s="78"/>
      <c r="AK4514" s="79"/>
      <c r="AL4514" s="79"/>
      <c r="AM4514" s="79"/>
      <c r="AN4514" s="79"/>
      <c r="AO4514" s="79"/>
      <c r="AP4514" s="79"/>
      <c r="AQ4514" s="79"/>
      <c r="AR4514" s="78"/>
      <c r="AS4514" s="78"/>
      <c r="AT4514" s="79"/>
      <c r="AU4514" s="79"/>
      <c r="AV4514" s="79"/>
      <c r="AW4514" s="79"/>
      <c r="AX4514" s="79"/>
      <c r="AZ4514" s="81"/>
      <c r="BB4514" s="5"/>
      <c r="BC4514" s="5"/>
      <c r="BD4514" s="5"/>
      <c r="BE4514" s="5"/>
      <c r="BF4514" s="5"/>
      <c r="BG4514" s="5"/>
      <c r="BH4514" s="5"/>
      <c r="BI4514" s="5"/>
      <c r="BJ4514" s="5"/>
      <c r="BK4514" s="5"/>
      <c r="BL4514" s="5"/>
      <c r="BM4514" s="5"/>
      <c r="BN4514" s="5"/>
      <c r="BO4514" s="5"/>
      <c r="BP4514" s="5"/>
    </row>
    <row r="4515" spans="35:68" x14ac:dyDescent="0.25">
      <c r="AI4515" s="49"/>
      <c r="AJ4515" s="78"/>
      <c r="AK4515" s="79"/>
      <c r="AL4515" s="79"/>
      <c r="AM4515" s="79"/>
      <c r="AN4515" s="79"/>
      <c r="AO4515" s="79"/>
      <c r="AP4515" s="79"/>
      <c r="AQ4515" s="79"/>
      <c r="AR4515" s="78"/>
      <c r="AS4515" s="78"/>
      <c r="AT4515" s="79"/>
      <c r="AU4515" s="79"/>
      <c r="AV4515" s="79"/>
      <c r="AW4515" s="79"/>
      <c r="AX4515" s="79"/>
      <c r="AZ4515" s="81"/>
      <c r="BB4515" s="5"/>
      <c r="BC4515" s="5"/>
      <c r="BD4515" s="5"/>
      <c r="BE4515" s="5"/>
      <c r="BF4515" s="5"/>
      <c r="BG4515" s="5"/>
      <c r="BH4515" s="5"/>
      <c r="BI4515" s="5"/>
      <c r="BJ4515" s="5"/>
      <c r="BK4515" s="5"/>
      <c r="BL4515" s="5"/>
      <c r="BM4515" s="5"/>
      <c r="BN4515" s="5"/>
      <c r="BO4515" s="5"/>
      <c r="BP4515" s="5"/>
    </row>
    <row r="4516" spans="35:68" x14ac:dyDescent="0.25">
      <c r="AI4516" s="49"/>
      <c r="AJ4516" s="78"/>
      <c r="AK4516" s="79"/>
      <c r="AL4516" s="79"/>
      <c r="AM4516" s="79"/>
      <c r="AN4516" s="79"/>
      <c r="AO4516" s="79"/>
      <c r="AP4516" s="79"/>
      <c r="AQ4516" s="79"/>
      <c r="AR4516" s="78"/>
      <c r="AS4516" s="78"/>
      <c r="AT4516" s="79"/>
      <c r="AU4516" s="79"/>
      <c r="AV4516" s="79"/>
      <c r="AW4516" s="79"/>
      <c r="AX4516" s="79"/>
      <c r="AZ4516" s="81"/>
      <c r="BB4516" s="5"/>
      <c r="BC4516" s="5"/>
      <c r="BD4516" s="5"/>
      <c r="BE4516" s="5"/>
      <c r="BF4516" s="5"/>
      <c r="BG4516" s="5"/>
      <c r="BH4516" s="5"/>
      <c r="BI4516" s="5"/>
      <c r="BJ4516" s="5"/>
      <c r="BK4516" s="5"/>
      <c r="BL4516" s="5"/>
      <c r="BM4516" s="5"/>
      <c r="BN4516" s="5"/>
      <c r="BO4516" s="5"/>
      <c r="BP4516" s="5"/>
    </row>
    <row r="4517" spans="35:68" x14ac:dyDescent="0.25">
      <c r="AI4517" s="49"/>
      <c r="AJ4517" s="78"/>
      <c r="AK4517" s="79"/>
      <c r="AL4517" s="79"/>
      <c r="AM4517" s="79"/>
      <c r="AN4517" s="79"/>
      <c r="AO4517" s="79"/>
      <c r="AP4517" s="79"/>
      <c r="AQ4517" s="79"/>
      <c r="AR4517" s="78"/>
      <c r="AS4517" s="78"/>
      <c r="AT4517" s="79"/>
      <c r="AU4517" s="79"/>
      <c r="AV4517" s="79"/>
      <c r="AW4517" s="79"/>
      <c r="AX4517" s="79"/>
      <c r="AZ4517" s="81"/>
      <c r="BB4517" s="5"/>
      <c r="BC4517" s="5"/>
      <c r="BD4517" s="5"/>
      <c r="BE4517" s="5"/>
      <c r="BF4517" s="5"/>
      <c r="BG4517" s="5"/>
      <c r="BH4517" s="5"/>
      <c r="BI4517" s="5"/>
      <c r="BJ4517" s="5"/>
      <c r="BK4517" s="5"/>
      <c r="BL4517" s="5"/>
      <c r="BM4517" s="5"/>
      <c r="BN4517" s="5"/>
      <c r="BO4517" s="5"/>
      <c r="BP4517" s="5"/>
    </row>
    <row r="4518" spans="35:68" x14ac:dyDescent="0.25">
      <c r="AI4518" s="49"/>
      <c r="AJ4518" s="78"/>
      <c r="AK4518" s="79"/>
      <c r="AL4518" s="79"/>
      <c r="AM4518" s="79"/>
      <c r="AN4518" s="79"/>
      <c r="AO4518" s="79"/>
      <c r="AP4518" s="79"/>
      <c r="AQ4518" s="79"/>
      <c r="AR4518" s="78"/>
      <c r="AS4518" s="78"/>
      <c r="AT4518" s="79"/>
      <c r="AU4518" s="79"/>
      <c r="AV4518" s="79"/>
      <c r="AW4518" s="79"/>
      <c r="AX4518" s="79"/>
      <c r="AZ4518" s="81"/>
      <c r="BB4518" s="5"/>
      <c r="BC4518" s="5"/>
      <c r="BD4518" s="5"/>
      <c r="BE4518" s="5"/>
      <c r="BF4518" s="5"/>
      <c r="BG4518" s="5"/>
      <c r="BH4518" s="5"/>
      <c r="BI4518" s="5"/>
      <c r="BJ4518" s="5"/>
      <c r="BK4518" s="5"/>
      <c r="BL4518" s="5"/>
      <c r="BM4518" s="5"/>
      <c r="BN4518" s="5"/>
      <c r="BO4518" s="5"/>
      <c r="BP4518" s="5"/>
    </row>
    <row r="4519" spans="35:68" x14ac:dyDescent="0.25">
      <c r="AI4519" s="49"/>
      <c r="AJ4519" s="78"/>
      <c r="AK4519" s="79"/>
      <c r="AL4519" s="79"/>
      <c r="AM4519" s="79"/>
      <c r="AN4519" s="79"/>
      <c r="AO4519" s="79"/>
      <c r="AP4519" s="79"/>
      <c r="AQ4519" s="79"/>
      <c r="AR4519" s="78"/>
      <c r="AS4519" s="78"/>
      <c r="AT4519" s="79"/>
      <c r="AU4519" s="79"/>
      <c r="AV4519" s="79"/>
      <c r="AW4519" s="79"/>
      <c r="AX4519" s="79"/>
      <c r="AZ4519" s="81"/>
      <c r="BB4519" s="5"/>
      <c r="BC4519" s="5"/>
      <c r="BD4519" s="5"/>
      <c r="BE4519" s="5"/>
      <c r="BF4519" s="5"/>
      <c r="BG4519" s="5"/>
      <c r="BH4519" s="5"/>
      <c r="BI4519" s="5"/>
      <c r="BJ4519" s="5"/>
      <c r="BK4519" s="5"/>
      <c r="BL4519" s="5"/>
      <c r="BM4519" s="5"/>
      <c r="BN4519" s="5"/>
      <c r="BO4519" s="5"/>
      <c r="BP4519" s="5"/>
    </row>
    <row r="4520" spans="35:68" x14ac:dyDescent="0.25">
      <c r="AI4520" s="49"/>
      <c r="AJ4520" s="78"/>
      <c r="AK4520" s="79"/>
      <c r="AL4520" s="79"/>
      <c r="AM4520" s="79"/>
      <c r="AN4520" s="79"/>
      <c r="AO4520" s="79"/>
      <c r="AP4520" s="79"/>
      <c r="AQ4520" s="79"/>
      <c r="AR4520" s="78"/>
      <c r="AS4520" s="78"/>
      <c r="AT4520" s="79"/>
      <c r="AU4520" s="79"/>
      <c r="AV4520" s="79"/>
      <c r="AW4520" s="79"/>
      <c r="AX4520" s="79"/>
      <c r="AZ4520" s="81"/>
      <c r="BB4520" s="5"/>
      <c r="BC4520" s="5"/>
      <c r="BD4520" s="5"/>
      <c r="BE4520" s="5"/>
      <c r="BF4520" s="5"/>
      <c r="BG4520" s="5"/>
      <c r="BH4520" s="5"/>
      <c r="BI4520" s="5"/>
      <c r="BJ4520" s="5"/>
      <c r="BK4520" s="5"/>
      <c r="BL4520" s="5"/>
      <c r="BM4520" s="5"/>
      <c r="BN4520" s="5"/>
      <c r="BO4520" s="5"/>
      <c r="BP4520" s="5"/>
    </row>
    <row r="4521" spans="35:68" x14ac:dyDescent="0.25">
      <c r="AI4521" s="49"/>
      <c r="AJ4521" s="78"/>
      <c r="AK4521" s="79"/>
      <c r="AL4521" s="79"/>
      <c r="AM4521" s="79"/>
      <c r="AN4521" s="79"/>
      <c r="AO4521" s="79"/>
      <c r="AP4521" s="79"/>
      <c r="AQ4521" s="79"/>
      <c r="AR4521" s="78"/>
      <c r="AS4521" s="78"/>
      <c r="AT4521" s="79"/>
      <c r="AU4521" s="79"/>
      <c r="AV4521" s="79"/>
      <c r="AW4521" s="79"/>
      <c r="AX4521" s="79"/>
      <c r="AZ4521" s="81"/>
      <c r="BB4521" s="5"/>
      <c r="BC4521" s="5"/>
      <c r="BD4521" s="5"/>
      <c r="BE4521" s="5"/>
      <c r="BF4521" s="5"/>
      <c r="BG4521" s="5"/>
      <c r="BH4521" s="5"/>
      <c r="BI4521" s="5"/>
      <c r="BJ4521" s="5"/>
      <c r="BK4521" s="5"/>
      <c r="BL4521" s="5"/>
      <c r="BM4521" s="5"/>
      <c r="BN4521" s="5"/>
      <c r="BO4521" s="5"/>
      <c r="BP4521" s="5"/>
    </row>
    <row r="4522" spans="35:68" x14ac:dyDescent="0.25">
      <c r="AI4522" s="49"/>
      <c r="AJ4522" s="78"/>
      <c r="AK4522" s="79"/>
      <c r="AL4522" s="79"/>
      <c r="AM4522" s="79"/>
      <c r="AN4522" s="79"/>
      <c r="AO4522" s="79"/>
      <c r="AP4522" s="79"/>
      <c r="AQ4522" s="79"/>
      <c r="AR4522" s="78"/>
      <c r="AS4522" s="78"/>
      <c r="AT4522" s="79"/>
      <c r="AU4522" s="79"/>
      <c r="AV4522" s="79"/>
      <c r="AW4522" s="79"/>
      <c r="AX4522" s="79"/>
      <c r="AZ4522" s="81"/>
      <c r="BB4522" s="5"/>
      <c r="BC4522" s="5"/>
      <c r="BD4522" s="5"/>
      <c r="BE4522" s="5"/>
      <c r="BF4522" s="5"/>
      <c r="BG4522" s="5"/>
      <c r="BH4522" s="5"/>
      <c r="BI4522" s="5"/>
      <c r="BJ4522" s="5"/>
      <c r="BK4522" s="5"/>
      <c r="BL4522" s="5"/>
      <c r="BM4522" s="5"/>
      <c r="BN4522" s="5"/>
      <c r="BO4522" s="5"/>
      <c r="BP4522" s="5"/>
    </row>
    <row r="4523" spans="35:68" x14ac:dyDescent="0.25">
      <c r="AI4523" s="49"/>
      <c r="AJ4523" s="78"/>
      <c r="AK4523" s="79"/>
      <c r="AL4523" s="79"/>
      <c r="AM4523" s="79"/>
      <c r="AN4523" s="79"/>
      <c r="AO4523" s="79"/>
      <c r="AP4523" s="79"/>
      <c r="AQ4523" s="79"/>
      <c r="AR4523" s="78"/>
      <c r="AS4523" s="78"/>
      <c r="AT4523" s="79"/>
      <c r="AU4523" s="79"/>
      <c r="AV4523" s="79"/>
      <c r="AW4523" s="79"/>
      <c r="AX4523" s="79"/>
      <c r="AZ4523" s="81"/>
      <c r="BB4523" s="5"/>
      <c r="BC4523" s="5"/>
      <c r="BD4523" s="5"/>
      <c r="BE4523" s="5"/>
      <c r="BF4523" s="5"/>
      <c r="BG4523" s="5"/>
      <c r="BH4523" s="5"/>
      <c r="BI4523" s="5"/>
      <c r="BJ4523" s="5"/>
      <c r="BK4523" s="5"/>
      <c r="BL4523" s="5"/>
      <c r="BM4523" s="5"/>
      <c r="BN4523" s="5"/>
      <c r="BO4523" s="5"/>
      <c r="BP4523" s="5"/>
    </row>
    <row r="4524" spans="35:68" x14ac:dyDescent="0.25">
      <c r="AI4524" s="49"/>
      <c r="AJ4524" s="78"/>
      <c r="AK4524" s="79"/>
      <c r="AL4524" s="79"/>
      <c r="AM4524" s="79"/>
      <c r="AN4524" s="79"/>
      <c r="AO4524" s="79"/>
      <c r="AP4524" s="79"/>
      <c r="AQ4524" s="79"/>
      <c r="AR4524" s="78"/>
      <c r="AS4524" s="78"/>
      <c r="AT4524" s="79"/>
      <c r="AU4524" s="79"/>
      <c r="AV4524" s="79"/>
      <c r="AW4524" s="79"/>
      <c r="AX4524" s="79"/>
      <c r="AZ4524" s="81"/>
      <c r="BB4524" s="5"/>
      <c r="BC4524" s="5"/>
      <c r="BD4524" s="5"/>
      <c r="BE4524" s="5"/>
      <c r="BF4524" s="5"/>
      <c r="BG4524" s="5"/>
      <c r="BH4524" s="5"/>
      <c r="BI4524" s="5"/>
      <c r="BJ4524" s="5"/>
      <c r="BK4524" s="5"/>
      <c r="BL4524" s="5"/>
      <c r="BM4524" s="5"/>
      <c r="BN4524" s="5"/>
      <c r="BO4524" s="5"/>
      <c r="BP4524" s="5"/>
    </row>
    <row r="4525" spans="35:68" x14ac:dyDescent="0.25">
      <c r="AI4525" s="49"/>
      <c r="AJ4525" s="78"/>
      <c r="AK4525" s="79"/>
      <c r="AL4525" s="79"/>
      <c r="AM4525" s="79"/>
      <c r="AN4525" s="79"/>
      <c r="AO4525" s="79"/>
      <c r="AP4525" s="79"/>
      <c r="AQ4525" s="79"/>
      <c r="AR4525" s="78"/>
      <c r="AS4525" s="78"/>
      <c r="AT4525" s="79"/>
      <c r="AU4525" s="79"/>
      <c r="AV4525" s="79"/>
      <c r="AW4525" s="79"/>
      <c r="AX4525" s="79"/>
      <c r="AZ4525" s="81"/>
      <c r="BB4525" s="5"/>
      <c r="BC4525" s="5"/>
      <c r="BD4525" s="5"/>
      <c r="BE4525" s="5"/>
      <c r="BF4525" s="5"/>
      <c r="BG4525" s="5"/>
      <c r="BH4525" s="5"/>
      <c r="BI4525" s="5"/>
      <c r="BJ4525" s="5"/>
      <c r="BK4525" s="5"/>
      <c r="BL4525" s="5"/>
      <c r="BM4525" s="5"/>
      <c r="BN4525" s="5"/>
      <c r="BO4525" s="5"/>
      <c r="BP4525" s="5"/>
    </row>
    <row r="4526" spans="35:68" x14ac:dyDescent="0.25">
      <c r="AI4526" s="49"/>
      <c r="AJ4526" s="78"/>
      <c r="AK4526" s="79"/>
      <c r="AL4526" s="79"/>
      <c r="AM4526" s="79"/>
      <c r="AN4526" s="79"/>
      <c r="AO4526" s="79"/>
      <c r="AP4526" s="79"/>
      <c r="AQ4526" s="79"/>
      <c r="AR4526" s="78"/>
      <c r="AS4526" s="78"/>
      <c r="AT4526" s="79"/>
      <c r="AU4526" s="79"/>
      <c r="AV4526" s="79"/>
      <c r="AW4526" s="79"/>
      <c r="AX4526" s="79"/>
      <c r="AZ4526" s="81"/>
      <c r="BB4526" s="5"/>
      <c r="BC4526" s="5"/>
      <c r="BD4526" s="5"/>
      <c r="BE4526" s="5"/>
      <c r="BF4526" s="5"/>
      <c r="BG4526" s="5"/>
      <c r="BH4526" s="5"/>
      <c r="BI4526" s="5"/>
      <c r="BJ4526" s="5"/>
      <c r="BK4526" s="5"/>
      <c r="BL4526" s="5"/>
      <c r="BM4526" s="5"/>
      <c r="BN4526" s="5"/>
      <c r="BO4526" s="5"/>
      <c r="BP4526" s="5"/>
    </row>
    <row r="4527" spans="35:68" x14ac:dyDescent="0.25">
      <c r="AI4527" s="49"/>
      <c r="AJ4527" s="78"/>
      <c r="AK4527" s="79"/>
      <c r="AL4527" s="79"/>
      <c r="AM4527" s="79"/>
      <c r="AN4527" s="79"/>
      <c r="AO4527" s="79"/>
      <c r="AP4527" s="79"/>
      <c r="AQ4527" s="79"/>
      <c r="AR4527" s="78"/>
      <c r="AS4527" s="78"/>
      <c r="AT4527" s="79"/>
      <c r="AU4527" s="79"/>
      <c r="AV4527" s="79"/>
      <c r="AW4527" s="79"/>
      <c r="AX4527" s="79"/>
      <c r="AZ4527" s="81"/>
      <c r="BB4527" s="5"/>
      <c r="BC4527" s="5"/>
      <c r="BD4527" s="5"/>
      <c r="BE4527" s="5"/>
      <c r="BF4527" s="5"/>
      <c r="BG4527" s="5"/>
      <c r="BH4527" s="5"/>
      <c r="BI4527" s="5"/>
      <c r="BJ4527" s="5"/>
      <c r="BK4527" s="5"/>
      <c r="BL4527" s="5"/>
      <c r="BM4527" s="5"/>
      <c r="BN4527" s="5"/>
      <c r="BO4527" s="5"/>
      <c r="BP4527" s="5"/>
    </row>
    <row r="4528" spans="35:68" x14ac:dyDescent="0.25">
      <c r="AI4528" s="49"/>
      <c r="AJ4528" s="78"/>
      <c r="AK4528" s="79"/>
      <c r="AL4528" s="79"/>
      <c r="AM4528" s="79"/>
      <c r="AN4528" s="79"/>
      <c r="AO4528" s="79"/>
      <c r="AP4528" s="79"/>
      <c r="AQ4528" s="79"/>
      <c r="AR4528" s="78"/>
      <c r="AS4528" s="78"/>
      <c r="AT4528" s="79"/>
      <c r="AU4528" s="79"/>
      <c r="AV4528" s="79"/>
      <c r="AW4528" s="79"/>
      <c r="AX4528" s="79"/>
      <c r="AZ4528" s="81"/>
      <c r="BB4528" s="5"/>
      <c r="BC4528" s="5"/>
      <c r="BD4528" s="5"/>
      <c r="BE4528" s="5"/>
      <c r="BF4528" s="5"/>
      <c r="BG4528" s="5"/>
      <c r="BH4528" s="5"/>
      <c r="BI4528" s="5"/>
      <c r="BJ4528" s="5"/>
      <c r="BK4528" s="5"/>
      <c r="BL4528" s="5"/>
      <c r="BM4528" s="5"/>
      <c r="BN4528" s="5"/>
      <c r="BO4528" s="5"/>
      <c r="BP4528" s="5"/>
    </row>
    <row r="4529" spans="35:68" x14ac:dyDescent="0.25">
      <c r="AI4529" s="49"/>
      <c r="AJ4529" s="78"/>
      <c r="AK4529" s="79"/>
      <c r="AL4529" s="79"/>
      <c r="AM4529" s="79"/>
      <c r="AN4529" s="79"/>
      <c r="AO4529" s="79"/>
      <c r="AP4529" s="79"/>
      <c r="AQ4529" s="79"/>
      <c r="AR4529" s="78"/>
      <c r="AS4529" s="78"/>
      <c r="AT4529" s="79"/>
      <c r="AU4529" s="79"/>
      <c r="AV4529" s="79"/>
      <c r="AW4529" s="79"/>
      <c r="AX4529" s="79"/>
      <c r="AZ4529" s="81"/>
      <c r="BB4529" s="5"/>
      <c r="BC4529" s="5"/>
      <c r="BD4529" s="5"/>
      <c r="BE4529" s="5"/>
      <c r="BF4529" s="5"/>
      <c r="BG4529" s="5"/>
      <c r="BH4529" s="5"/>
      <c r="BI4529" s="5"/>
      <c r="BJ4529" s="5"/>
      <c r="BK4529" s="5"/>
      <c r="BL4529" s="5"/>
      <c r="BM4529" s="5"/>
      <c r="BN4529" s="5"/>
      <c r="BO4529" s="5"/>
      <c r="BP4529" s="5"/>
    </row>
    <row r="4530" spans="35:68" x14ac:dyDescent="0.25">
      <c r="AI4530" s="49"/>
      <c r="AJ4530" s="78"/>
      <c r="AK4530" s="79"/>
      <c r="AL4530" s="79"/>
      <c r="AM4530" s="79"/>
      <c r="AN4530" s="79"/>
      <c r="AO4530" s="79"/>
      <c r="AP4530" s="79"/>
      <c r="AQ4530" s="79"/>
      <c r="AR4530" s="78"/>
      <c r="AS4530" s="78"/>
      <c r="AT4530" s="79"/>
      <c r="AU4530" s="79"/>
      <c r="AV4530" s="79"/>
      <c r="AW4530" s="79"/>
      <c r="AX4530" s="79"/>
      <c r="AZ4530" s="81"/>
      <c r="BB4530" s="5"/>
      <c r="BC4530" s="5"/>
      <c r="BD4530" s="5"/>
      <c r="BE4530" s="5"/>
      <c r="BF4530" s="5"/>
      <c r="BG4530" s="5"/>
      <c r="BH4530" s="5"/>
      <c r="BI4530" s="5"/>
      <c r="BJ4530" s="5"/>
      <c r="BK4530" s="5"/>
      <c r="BL4530" s="5"/>
      <c r="BM4530" s="5"/>
      <c r="BN4530" s="5"/>
      <c r="BO4530" s="5"/>
      <c r="BP4530" s="5"/>
    </row>
    <row r="4531" spans="35:68" x14ac:dyDescent="0.25">
      <c r="AI4531" s="49"/>
      <c r="AJ4531" s="78"/>
      <c r="AK4531" s="79"/>
      <c r="AL4531" s="79"/>
      <c r="AM4531" s="79"/>
      <c r="AN4531" s="79"/>
      <c r="AO4531" s="79"/>
      <c r="AP4531" s="79"/>
      <c r="AQ4531" s="79"/>
      <c r="AR4531" s="78"/>
      <c r="AS4531" s="78"/>
      <c r="AT4531" s="79"/>
      <c r="AU4531" s="79"/>
      <c r="AV4531" s="79"/>
      <c r="AW4531" s="79"/>
      <c r="AX4531" s="79"/>
      <c r="AZ4531" s="81"/>
      <c r="BB4531" s="5"/>
      <c r="BC4531" s="5"/>
      <c r="BD4531" s="5"/>
      <c r="BE4531" s="5"/>
      <c r="BF4531" s="5"/>
      <c r="BG4531" s="5"/>
      <c r="BH4531" s="5"/>
      <c r="BI4531" s="5"/>
      <c r="BJ4531" s="5"/>
      <c r="BK4531" s="5"/>
      <c r="BL4531" s="5"/>
      <c r="BM4531" s="5"/>
      <c r="BN4531" s="5"/>
      <c r="BO4531" s="5"/>
      <c r="BP4531" s="5"/>
    </row>
    <row r="4532" spans="35:68" x14ac:dyDescent="0.25">
      <c r="AI4532" s="49"/>
      <c r="AJ4532" s="78"/>
      <c r="AK4532" s="79"/>
      <c r="AL4532" s="79"/>
      <c r="AM4532" s="79"/>
      <c r="AN4532" s="79"/>
      <c r="AO4532" s="79"/>
      <c r="AP4532" s="79"/>
      <c r="AQ4532" s="79"/>
      <c r="AR4532" s="78"/>
      <c r="AS4532" s="78"/>
      <c r="AT4532" s="79"/>
      <c r="AU4532" s="79"/>
      <c r="AV4532" s="79"/>
      <c r="AW4532" s="79"/>
      <c r="AX4532" s="79"/>
      <c r="AZ4532" s="81"/>
      <c r="BB4532" s="5"/>
      <c r="BC4532" s="5"/>
      <c r="BD4532" s="5"/>
      <c r="BE4532" s="5"/>
      <c r="BF4532" s="5"/>
      <c r="BG4532" s="5"/>
      <c r="BH4532" s="5"/>
      <c r="BI4532" s="5"/>
      <c r="BJ4532" s="5"/>
      <c r="BK4532" s="5"/>
      <c r="BL4532" s="5"/>
      <c r="BM4532" s="5"/>
      <c r="BN4532" s="5"/>
      <c r="BO4532" s="5"/>
      <c r="BP4532" s="5"/>
    </row>
    <row r="4533" spans="35:68" x14ac:dyDescent="0.25">
      <c r="AI4533" s="49"/>
      <c r="AJ4533" s="78"/>
      <c r="AK4533" s="79"/>
      <c r="AL4533" s="79"/>
      <c r="AM4533" s="79"/>
      <c r="AN4533" s="79"/>
      <c r="AO4533" s="79"/>
      <c r="AP4533" s="79"/>
      <c r="AQ4533" s="79"/>
      <c r="AR4533" s="78"/>
      <c r="AS4533" s="78"/>
      <c r="AT4533" s="79"/>
      <c r="AU4533" s="79"/>
      <c r="AV4533" s="79"/>
      <c r="AW4533" s="79"/>
      <c r="AX4533" s="79"/>
      <c r="AZ4533" s="81"/>
      <c r="BB4533" s="5"/>
      <c r="BC4533" s="5"/>
      <c r="BD4533" s="5"/>
      <c r="BE4533" s="5"/>
      <c r="BF4533" s="5"/>
      <c r="BG4533" s="5"/>
      <c r="BH4533" s="5"/>
      <c r="BI4533" s="5"/>
      <c r="BJ4533" s="5"/>
      <c r="BK4533" s="5"/>
      <c r="BL4533" s="5"/>
      <c r="BM4533" s="5"/>
      <c r="BN4533" s="5"/>
      <c r="BO4533" s="5"/>
      <c r="BP4533" s="5"/>
    </row>
    <row r="4534" spans="35:68" x14ac:dyDescent="0.25">
      <c r="AI4534" s="49"/>
      <c r="AJ4534" s="78"/>
      <c r="AK4534" s="79"/>
      <c r="AL4534" s="79"/>
      <c r="AM4534" s="79"/>
      <c r="AN4534" s="79"/>
      <c r="AO4534" s="79"/>
      <c r="AP4534" s="79"/>
      <c r="AQ4534" s="79"/>
      <c r="AR4534" s="78"/>
      <c r="AS4534" s="78"/>
      <c r="AT4534" s="79"/>
      <c r="AU4534" s="79"/>
      <c r="AV4534" s="79"/>
      <c r="AW4534" s="79"/>
      <c r="AX4534" s="79"/>
      <c r="AZ4534" s="81"/>
      <c r="BB4534" s="5"/>
      <c r="BC4534" s="5"/>
      <c r="BD4534" s="5"/>
      <c r="BE4534" s="5"/>
      <c r="BF4534" s="5"/>
      <c r="BG4534" s="5"/>
      <c r="BH4534" s="5"/>
      <c r="BI4534" s="5"/>
      <c r="BJ4534" s="5"/>
      <c r="BK4534" s="5"/>
      <c r="BL4534" s="5"/>
      <c r="BM4534" s="5"/>
      <c r="BN4534" s="5"/>
      <c r="BO4534" s="5"/>
      <c r="BP4534" s="5"/>
    </row>
    <row r="4535" spans="35:68" x14ac:dyDescent="0.25">
      <c r="AI4535" s="49"/>
      <c r="AJ4535" s="78"/>
      <c r="AK4535" s="79"/>
      <c r="AL4535" s="79"/>
      <c r="AM4535" s="79"/>
      <c r="AN4535" s="79"/>
      <c r="AO4535" s="79"/>
      <c r="AP4535" s="79"/>
      <c r="AQ4535" s="79"/>
      <c r="AR4535" s="78"/>
      <c r="AS4535" s="78"/>
      <c r="AT4535" s="79"/>
      <c r="AU4535" s="79"/>
      <c r="AV4535" s="79"/>
      <c r="AW4535" s="79"/>
      <c r="AX4535" s="79"/>
      <c r="AZ4535" s="81"/>
      <c r="BB4535" s="5"/>
      <c r="BC4535" s="5"/>
      <c r="BD4535" s="5"/>
      <c r="BE4535" s="5"/>
      <c r="BF4535" s="5"/>
      <c r="BG4535" s="5"/>
      <c r="BH4535" s="5"/>
      <c r="BI4535" s="5"/>
      <c r="BJ4535" s="5"/>
      <c r="BK4535" s="5"/>
      <c r="BL4535" s="5"/>
      <c r="BM4535" s="5"/>
      <c r="BN4535" s="5"/>
      <c r="BO4535" s="5"/>
      <c r="BP4535" s="5"/>
    </row>
    <row r="4536" spans="35:68" x14ac:dyDescent="0.25">
      <c r="AI4536" s="49"/>
      <c r="AJ4536" s="78"/>
      <c r="AK4536" s="79"/>
      <c r="AL4536" s="79"/>
      <c r="AM4536" s="79"/>
      <c r="AN4536" s="79"/>
      <c r="AO4536" s="79"/>
      <c r="AP4536" s="79"/>
      <c r="AQ4536" s="79"/>
      <c r="AR4536" s="78"/>
      <c r="AS4536" s="78"/>
      <c r="AT4536" s="79"/>
      <c r="AU4536" s="79"/>
      <c r="AV4536" s="79"/>
      <c r="AW4536" s="79"/>
      <c r="AX4536" s="79"/>
      <c r="AZ4536" s="81"/>
      <c r="BB4536" s="5"/>
      <c r="BC4536" s="5"/>
      <c r="BD4536" s="5"/>
      <c r="BE4536" s="5"/>
      <c r="BF4536" s="5"/>
      <c r="BG4536" s="5"/>
      <c r="BH4536" s="5"/>
      <c r="BI4536" s="5"/>
      <c r="BJ4536" s="5"/>
      <c r="BK4536" s="5"/>
      <c r="BL4536" s="5"/>
      <c r="BM4536" s="5"/>
      <c r="BN4536" s="5"/>
      <c r="BO4536" s="5"/>
      <c r="BP4536" s="5"/>
    </row>
    <row r="4537" spans="35:68" x14ac:dyDescent="0.25">
      <c r="AI4537" s="49"/>
      <c r="AJ4537" s="78"/>
      <c r="AK4537" s="79"/>
      <c r="AL4537" s="79"/>
      <c r="AM4537" s="79"/>
      <c r="AN4537" s="79"/>
      <c r="AO4537" s="79"/>
      <c r="AP4537" s="79"/>
      <c r="AQ4537" s="79"/>
      <c r="AR4537" s="78"/>
      <c r="AS4537" s="78"/>
      <c r="AT4537" s="79"/>
      <c r="AU4537" s="79"/>
      <c r="AV4537" s="79"/>
      <c r="AW4537" s="79"/>
      <c r="AX4537" s="79"/>
      <c r="AZ4537" s="81"/>
      <c r="BB4537" s="5"/>
      <c r="BC4537" s="5"/>
      <c r="BD4537" s="5"/>
      <c r="BE4537" s="5"/>
      <c r="BF4537" s="5"/>
      <c r="BG4537" s="5"/>
      <c r="BH4537" s="5"/>
      <c r="BI4537" s="5"/>
      <c r="BJ4537" s="5"/>
      <c r="BK4537" s="5"/>
      <c r="BL4537" s="5"/>
      <c r="BM4537" s="5"/>
      <c r="BN4537" s="5"/>
      <c r="BO4537" s="5"/>
      <c r="BP4537" s="5"/>
    </row>
    <row r="4538" spans="35:68" x14ac:dyDescent="0.25">
      <c r="AI4538" s="49"/>
      <c r="AJ4538" s="78"/>
      <c r="AK4538" s="79"/>
      <c r="AL4538" s="79"/>
      <c r="AM4538" s="79"/>
      <c r="AN4538" s="79"/>
      <c r="AO4538" s="79"/>
      <c r="AP4538" s="79"/>
      <c r="AQ4538" s="79"/>
      <c r="AR4538" s="78"/>
      <c r="AS4538" s="78"/>
      <c r="AT4538" s="79"/>
      <c r="AU4538" s="79"/>
      <c r="AV4538" s="79"/>
      <c r="AW4538" s="79"/>
      <c r="AX4538" s="79"/>
      <c r="AZ4538" s="81"/>
      <c r="BB4538" s="5"/>
      <c r="BC4538" s="5"/>
      <c r="BD4538" s="5"/>
      <c r="BE4538" s="5"/>
      <c r="BF4538" s="5"/>
      <c r="BG4538" s="5"/>
      <c r="BH4538" s="5"/>
      <c r="BI4538" s="5"/>
      <c r="BJ4538" s="5"/>
      <c r="BK4538" s="5"/>
      <c r="BL4538" s="5"/>
      <c r="BM4538" s="5"/>
      <c r="BN4538" s="5"/>
      <c r="BO4538" s="5"/>
      <c r="BP4538" s="5"/>
    </row>
    <row r="4539" spans="35:68" x14ac:dyDescent="0.25">
      <c r="AI4539" s="49"/>
      <c r="AJ4539" s="78"/>
      <c r="AK4539" s="79"/>
      <c r="AL4539" s="79"/>
      <c r="AM4539" s="79"/>
      <c r="AN4539" s="79"/>
      <c r="AO4539" s="79"/>
      <c r="AP4539" s="79"/>
      <c r="AQ4539" s="79"/>
      <c r="AR4539" s="78"/>
      <c r="AS4539" s="78"/>
      <c r="AT4539" s="79"/>
      <c r="AU4539" s="79"/>
      <c r="AV4539" s="79"/>
      <c r="AW4539" s="79"/>
      <c r="AX4539" s="79"/>
      <c r="AZ4539" s="81"/>
      <c r="BB4539" s="5"/>
      <c r="BC4539" s="5"/>
      <c r="BD4539" s="5"/>
      <c r="BE4539" s="5"/>
      <c r="BF4539" s="5"/>
      <c r="BG4539" s="5"/>
      <c r="BH4539" s="5"/>
      <c r="BI4539" s="5"/>
      <c r="BJ4539" s="5"/>
      <c r="BK4539" s="5"/>
      <c r="BL4539" s="5"/>
      <c r="BM4539" s="5"/>
      <c r="BN4539" s="5"/>
      <c r="BO4539" s="5"/>
      <c r="BP4539" s="5"/>
    </row>
    <row r="4540" spans="35:68" x14ac:dyDescent="0.25">
      <c r="AI4540" s="49"/>
      <c r="AJ4540" s="78"/>
      <c r="AK4540" s="79"/>
      <c r="AL4540" s="79"/>
      <c r="AM4540" s="79"/>
      <c r="AN4540" s="79"/>
      <c r="AO4540" s="79"/>
      <c r="AP4540" s="79"/>
      <c r="AQ4540" s="79"/>
      <c r="AR4540" s="78"/>
      <c r="AS4540" s="78"/>
      <c r="AT4540" s="79"/>
      <c r="AU4540" s="79"/>
      <c r="AV4540" s="79"/>
      <c r="AW4540" s="79"/>
      <c r="AX4540" s="79"/>
      <c r="AZ4540" s="81"/>
      <c r="BB4540" s="5"/>
      <c r="BC4540" s="5"/>
      <c r="BD4540" s="5"/>
      <c r="BE4540" s="5"/>
      <c r="BF4540" s="5"/>
      <c r="BG4540" s="5"/>
      <c r="BH4540" s="5"/>
      <c r="BI4540" s="5"/>
      <c r="BJ4540" s="5"/>
      <c r="BK4540" s="5"/>
      <c r="BL4540" s="5"/>
      <c r="BM4540" s="5"/>
      <c r="BN4540" s="5"/>
      <c r="BO4540" s="5"/>
      <c r="BP4540" s="5"/>
    </row>
    <row r="4541" spans="35:68" x14ac:dyDescent="0.25">
      <c r="AI4541" s="49"/>
      <c r="AJ4541" s="78"/>
      <c r="AK4541" s="79"/>
      <c r="AL4541" s="79"/>
      <c r="AM4541" s="79"/>
      <c r="AN4541" s="79"/>
      <c r="AO4541" s="79"/>
      <c r="AP4541" s="79"/>
      <c r="AQ4541" s="79"/>
      <c r="AR4541" s="78"/>
      <c r="AS4541" s="78"/>
      <c r="AT4541" s="79"/>
      <c r="AU4541" s="79"/>
      <c r="AV4541" s="79"/>
      <c r="AW4541" s="79"/>
      <c r="AX4541" s="79"/>
      <c r="AZ4541" s="81"/>
      <c r="BB4541" s="5"/>
      <c r="BC4541" s="5"/>
      <c r="BD4541" s="5"/>
      <c r="BE4541" s="5"/>
      <c r="BF4541" s="5"/>
      <c r="BG4541" s="5"/>
      <c r="BH4541" s="5"/>
      <c r="BI4541" s="5"/>
      <c r="BJ4541" s="5"/>
      <c r="BK4541" s="5"/>
      <c r="BL4541" s="5"/>
      <c r="BM4541" s="5"/>
      <c r="BN4541" s="5"/>
      <c r="BO4541" s="5"/>
      <c r="BP4541" s="5"/>
    </row>
    <row r="4542" spans="35:68" x14ac:dyDescent="0.25">
      <c r="AI4542" s="49"/>
      <c r="AJ4542" s="78"/>
      <c r="AK4542" s="79"/>
      <c r="AL4542" s="79"/>
      <c r="AM4542" s="79"/>
      <c r="AN4542" s="79"/>
      <c r="AO4542" s="79"/>
      <c r="AP4542" s="79"/>
      <c r="AQ4542" s="79"/>
      <c r="AR4542" s="78"/>
      <c r="AS4542" s="78"/>
      <c r="AT4542" s="79"/>
      <c r="AU4542" s="79"/>
      <c r="AV4542" s="79"/>
      <c r="AW4542" s="79"/>
      <c r="AX4542" s="79"/>
      <c r="AZ4542" s="81"/>
      <c r="BB4542" s="5"/>
      <c r="BC4542" s="5"/>
      <c r="BD4542" s="5"/>
      <c r="BE4542" s="5"/>
      <c r="BF4542" s="5"/>
      <c r="BG4542" s="5"/>
      <c r="BH4542" s="5"/>
      <c r="BI4542" s="5"/>
      <c r="BJ4542" s="5"/>
      <c r="BK4542" s="5"/>
      <c r="BL4542" s="5"/>
      <c r="BM4542" s="5"/>
      <c r="BN4542" s="5"/>
      <c r="BO4542" s="5"/>
      <c r="BP4542" s="5"/>
    </row>
    <row r="4543" spans="35:68" x14ac:dyDescent="0.25">
      <c r="AI4543" s="49"/>
      <c r="AJ4543" s="78"/>
      <c r="AK4543" s="79"/>
      <c r="AL4543" s="79"/>
      <c r="AM4543" s="79"/>
      <c r="AN4543" s="79"/>
      <c r="AO4543" s="79"/>
      <c r="AP4543" s="79"/>
      <c r="AQ4543" s="79"/>
      <c r="AR4543" s="78"/>
      <c r="AS4543" s="78"/>
      <c r="AT4543" s="79"/>
      <c r="AU4543" s="79"/>
      <c r="AV4543" s="79"/>
      <c r="AW4543" s="79"/>
      <c r="AX4543" s="79"/>
      <c r="AZ4543" s="81"/>
      <c r="BB4543" s="5"/>
      <c r="BC4543" s="5"/>
      <c r="BD4543" s="5"/>
      <c r="BE4543" s="5"/>
      <c r="BF4543" s="5"/>
      <c r="BG4543" s="5"/>
      <c r="BH4543" s="5"/>
      <c r="BI4543" s="5"/>
      <c r="BJ4543" s="5"/>
      <c r="BK4543" s="5"/>
      <c r="BL4543" s="5"/>
      <c r="BM4543" s="5"/>
      <c r="BN4543" s="5"/>
      <c r="BO4543" s="5"/>
      <c r="BP4543" s="5"/>
    </row>
    <row r="4544" spans="35:68" x14ac:dyDescent="0.25">
      <c r="AI4544" s="49"/>
      <c r="AJ4544" s="78"/>
      <c r="AK4544" s="79"/>
      <c r="AL4544" s="79"/>
      <c r="AM4544" s="79"/>
      <c r="AN4544" s="79"/>
      <c r="AO4544" s="79"/>
      <c r="AP4544" s="79"/>
      <c r="AQ4544" s="79"/>
      <c r="AR4544" s="78"/>
      <c r="AS4544" s="78"/>
      <c r="AT4544" s="79"/>
      <c r="AU4544" s="79"/>
      <c r="AV4544" s="79"/>
      <c r="AW4544" s="79"/>
      <c r="AX4544" s="79"/>
      <c r="AZ4544" s="81"/>
      <c r="BB4544" s="5"/>
      <c r="BC4544" s="5"/>
      <c r="BD4544" s="5"/>
      <c r="BE4544" s="5"/>
      <c r="BF4544" s="5"/>
      <c r="BG4544" s="5"/>
      <c r="BH4544" s="5"/>
      <c r="BI4544" s="5"/>
      <c r="BJ4544" s="5"/>
      <c r="BK4544" s="5"/>
      <c r="BL4544" s="5"/>
      <c r="BM4544" s="5"/>
      <c r="BN4544" s="5"/>
      <c r="BO4544" s="5"/>
      <c r="BP4544" s="5"/>
    </row>
    <row r="4545" spans="35:68" x14ac:dyDescent="0.25">
      <c r="AI4545" s="49"/>
      <c r="AJ4545" s="78"/>
      <c r="AK4545" s="79"/>
      <c r="AL4545" s="79"/>
      <c r="AM4545" s="79"/>
      <c r="AN4545" s="79"/>
      <c r="AO4545" s="79"/>
      <c r="AP4545" s="79"/>
      <c r="AQ4545" s="79"/>
      <c r="AR4545" s="78"/>
      <c r="AS4545" s="78"/>
      <c r="AT4545" s="79"/>
      <c r="AU4545" s="79"/>
      <c r="AV4545" s="79"/>
      <c r="AW4545" s="79"/>
      <c r="AX4545" s="79"/>
      <c r="AZ4545" s="81"/>
      <c r="BB4545" s="5"/>
      <c r="BC4545" s="5"/>
      <c r="BD4545" s="5"/>
      <c r="BE4545" s="5"/>
      <c r="BF4545" s="5"/>
      <c r="BG4545" s="5"/>
      <c r="BH4545" s="5"/>
      <c r="BI4545" s="5"/>
      <c r="BJ4545" s="5"/>
      <c r="BK4545" s="5"/>
      <c r="BL4545" s="5"/>
      <c r="BM4545" s="5"/>
      <c r="BN4545" s="5"/>
      <c r="BO4545" s="5"/>
      <c r="BP4545" s="5"/>
    </row>
    <row r="4546" spans="35:68" x14ac:dyDescent="0.25">
      <c r="AI4546" s="49"/>
      <c r="AJ4546" s="78"/>
      <c r="AK4546" s="79"/>
      <c r="AL4546" s="79"/>
      <c r="AM4546" s="79"/>
      <c r="AN4546" s="79"/>
      <c r="AO4546" s="79"/>
      <c r="AP4546" s="79"/>
      <c r="AQ4546" s="79"/>
      <c r="AR4546" s="78"/>
      <c r="AS4546" s="78"/>
      <c r="AT4546" s="79"/>
      <c r="AU4546" s="79"/>
      <c r="AV4546" s="79"/>
      <c r="AW4546" s="79"/>
      <c r="AX4546" s="79"/>
      <c r="AZ4546" s="81"/>
      <c r="BB4546" s="5"/>
      <c r="BC4546" s="5"/>
      <c r="BD4546" s="5"/>
      <c r="BE4546" s="5"/>
      <c r="BF4546" s="5"/>
      <c r="BG4546" s="5"/>
      <c r="BH4546" s="5"/>
      <c r="BI4546" s="5"/>
      <c r="BJ4546" s="5"/>
      <c r="BK4546" s="5"/>
      <c r="BL4546" s="5"/>
      <c r="BM4546" s="5"/>
      <c r="BN4546" s="5"/>
      <c r="BO4546" s="5"/>
      <c r="BP4546" s="5"/>
    </row>
    <row r="4547" spans="35:68" x14ac:dyDescent="0.25">
      <c r="AI4547" s="49"/>
      <c r="AJ4547" s="78"/>
      <c r="AK4547" s="79"/>
      <c r="AL4547" s="79"/>
      <c r="AM4547" s="79"/>
      <c r="AN4547" s="79"/>
      <c r="AO4547" s="79"/>
      <c r="AP4547" s="79"/>
      <c r="AQ4547" s="79"/>
      <c r="AR4547" s="78"/>
      <c r="AS4547" s="78"/>
      <c r="AT4547" s="79"/>
      <c r="AU4547" s="79"/>
      <c r="AV4547" s="79"/>
      <c r="AW4547" s="79"/>
      <c r="AX4547" s="79"/>
      <c r="AZ4547" s="81"/>
      <c r="BB4547" s="5"/>
      <c r="BC4547" s="5"/>
      <c r="BD4547" s="5"/>
      <c r="BE4547" s="5"/>
      <c r="BF4547" s="5"/>
      <c r="BG4547" s="5"/>
      <c r="BH4547" s="5"/>
      <c r="BI4547" s="5"/>
      <c r="BJ4547" s="5"/>
      <c r="BK4547" s="5"/>
      <c r="BL4547" s="5"/>
      <c r="BM4547" s="5"/>
      <c r="BN4547" s="5"/>
      <c r="BO4547" s="5"/>
      <c r="BP4547" s="5"/>
    </row>
    <row r="4548" spans="35:68" x14ac:dyDescent="0.25">
      <c r="AI4548" s="49"/>
      <c r="AJ4548" s="78"/>
      <c r="AK4548" s="79"/>
      <c r="AL4548" s="79"/>
      <c r="AM4548" s="79"/>
      <c r="AN4548" s="79"/>
      <c r="AO4548" s="79"/>
      <c r="AP4548" s="79"/>
      <c r="AQ4548" s="79"/>
      <c r="AR4548" s="78"/>
      <c r="AS4548" s="78"/>
      <c r="AT4548" s="79"/>
      <c r="AU4548" s="79"/>
      <c r="AV4548" s="79"/>
      <c r="AW4548" s="79"/>
      <c r="AX4548" s="79"/>
      <c r="AZ4548" s="81"/>
      <c r="BB4548" s="5"/>
      <c r="BC4548" s="5"/>
      <c r="BD4548" s="5"/>
      <c r="BE4548" s="5"/>
      <c r="BF4548" s="5"/>
      <c r="BG4548" s="5"/>
      <c r="BH4548" s="5"/>
      <c r="BI4548" s="5"/>
      <c r="BJ4548" s="5"/>
      <c r="BK4548" s="5"/>
      <c r="BL4548" s="5"/>
      <c r="BM4548" s="5"/>
      <c r="BN4548" s="5"/>
      <c r="BO4548" s="5"/>
      <c r="BP4548" s="5"/>
    </row>
    <row r="4549" spans="35:68" x14ac:dyDescent="0.25">
      <c r="AI4549" s="49"/>
      <c r="AJ4549" s="78"/>
      <c r="AK4549" s="79"/>
      <c r="AL4549" s="79"/>
      <c r="AM4549" s="79"/>
      <c r="AN4549" s="79"/>
      <c r="AO4549" s="79"/>
      <c r="AP4549" s="79"/>
      <c r="AQ4549" s="79"/>
      <c r="AR4549" s="78"/>
      <c r="AS4549" s="78"/>
      <c r="AT4549" s="79"/>
      <c r="AU4549" s="79"/>
      <c r="AV4549" s="79"/>
      <c r="AW4549" s="79"/>
      <c r="AX4549" s="79"/>
      <c r="AZ4549" s="81"/>
      <c r="BB4549" s="5"/>
      <c r="BC4549" s="5"/>
      <c r="BD4549" s="5"/>
      <c r="BE4549" s="5"/>
      <c r="BF4549" s="5"/>
      <c r="BG4549" s="5"/>
      <c r="BH4549" s="5"/>
      <c r="BI4549" s="5"/>
      <c r="BJ4549" s="5"/>
      <c r="BK4549" s="5"/>
      <c r="BL4549" s="5"/>
      <c r="BM4549" s="5"/>
      <c r="BN4549" s="5"/>
      <c r="BO4549" s="5"/>
      <c r="BP4549" s="5"/>
    </row>
    <row r="4550" spans="35:68" x14ac:dyDescent="0.25">
      <c r="AI4550" s="49"/>
      <c r="AJ4550" s="78"/>
      <c r="AK4550" s="79"/>
      <c r="AL4550" s="79"/>
      <c r="AM4550" s="79"/>
      <c r="AN4550" s="79"/>
      <c r="AO4550" s="79"/>
      <c r="AP4550" s="79"/>
      <c r="AQ4550" s="79"/>
      <c r="AR4550" s="78"/>
      <c r="AS4550" s="78"/>
      <c r="AT4550" s="79"/>
      <c r="AU4550" s="79"/>
      <c r="AV4550" s="79"/>
      <c r="AW4550" s="79"/>
      <c r="AX4550" s="79"/>
      <c r="AZ4550" s="81"/>
      <c r="BB4550" s="5"/>
      <c r="BC4550" s="5"/>
      <c r="BD4550" s="5"/>
      <c r="BE4550" s="5"/>
      <c r="BF4550" s="5"/>
      <c r="BG4550" s="5"/>
      <c r="BH4550" s="5"/>
      <c r="BI4550" s="5"/>
      <c r="BJ4550" s="5"/>
      <c r="BK4550" s="5"/>
      <c r="BL4550" s="5"/>
      <c r="BM4550" s="5"/>
      <c r="BN4550" s="5"/>
      <c r="BO4550" s="5"/>
      <c r="BP4550" s="5"/>
    </row>
    <row r="4551" spans="35:68" x14ac:dyDescent="0.25">
      <c r="AI4551" s="49"/>
      <c r="AJ4551" s="78"/>
      <c r="AK4551" s="79"/>
      <c r="AL4551" s="79"/>
      <c r="AM4551" s="79"/>
      <c r="AN4551" s="79"/>
      <c r="AO4551" s="79"/>
      <c r="AP4551" s="79"/>
      <c r="AQ4551" s="79"/>
      <c r="AR4551" s="78"/>
      <c r="AS4551" s="78"/>
      <c r="AT4551" s="79"/>
      <c r="AU4551" s="79"/>
      <c r="AV4551" s="79"/>
      <c r="AW4551" s="79"/>
      <c r="AX4551" s="79"/>
      <c r="AZ4551" s="81"/>
      <c r="BB4551" s="5"/>
      <c r="BC4551" s="5"/>
      <c r="BD4551" s="5"/>
      <c r="BE4551" s="5"/>
      <c r="BF4551" s="5"/>
      <c r="BG4551" s="5"/>
      <c r="BH4551" s="5"/>
      <c r="BI4551" s="5"/>
      <c r="BJ4551" s="5"/>
      <c r="BK4551" s="5"/>
      <c r="BL4551" s="5"/>
      <c r="BM4551" s="5"/>
      <c r="BN4551" s="5"/>
      <c r="BO4551" s="5"/>
      <c r="BP4551" s="5"/>
    </row>
    <row r="4552" spans="35:68" x14ac:dyDescent="0.25">
      <c r="AI4552" s="49"/>
      <c r="AJ4552" s="78"/>
      <c r="AK4552" s="79"/>
      <c r="AL4552" s="79"/>
      <c r="AM4552" s="79"/>
      <c r="AN4552" s="79"/>
      <c r="AO4552" s="79"/>
      <c r="AP4552" s="79"/>
      <c r="AQ4552" s="79"/>
      <c r="AR4552" s="78"/>
      <c r="AS4552" s="78"/>
      <c r="AT4552" s="79"/>
      <c r="AU4552" s="79"/>
      <c r="AV4552" s="79"/>
      <c r="AW4552" s="79"/>
      <c r="AX4552" s="79"/>
      <c r="AZ4552" s="81"/>
      <c r="BB4552" s="5"/>
      <c r="BC4552" s="5"/>
      <c r="BD4552" s="5"/>
      <c r="BE4552" s="5"/>
      <c r="BF4552" s="5"/>
      <c r="BG4552" s="5"/>
      <c r="BH4552" s="5"/>
      <c r="BI4552" s="5"/>
      <c r="BJ4552" s="5"/>
      <c r="BK4552" s="5"/>
      <c r="BL4552" s="5"/>
      <c r="BM4552" s="5"/>
      <c r="BN4552" s="5"/>
      <c r="BO4552" s="5"/>
      <c r="BP4552" s="5"/>
    </row>
    <row r="4553" spans="35:68" x14ac:dyDescent="0.25">
      <c r="AI4553" s="49"/>
      <c r="AJ4553" s="78"/>
      <c r="AK4553" s="79"/>
      <c r="AL4553" s="79"/>
      <c r="AM4553" s="79"/>
      <c r="AN4553" s="79"/>
      <c r="AO4553" s="79"/>
      <c r="AP4553" s="79"/>
      <c r="AQ4553" s="79"/>
      <c r="AR4553" s="78"/>
      <c r="AS4553" s="78"/>
      <c r="AT4553" s="79"/>
      <c r="AU4553" s="79"/>
      <c r="AV4553" s="79"/>
      <c r="AW4553" s="79"/>
      <c r="AX4553" s="79"/>
      <c r="AZ4553" s="81"/>
      <c r="BB4553" s="5"/>
      <c r="BC4553" s="5"/>
      <c r="BD4553" s="5"/>
      <c r="BE4553" s="5"/>
      <c r="BF4553" s="5"/>
      <c r="BG4553" s="5"/>
      <c r="BH4553" s="5"/>
      <c r="BI4553" s="5"/>
      <c r="BJ4553" s="5"/>
      <c r="BK4553" s="5"/>
      <c r="BL4553" s="5"/>
      <c r="BM4553" s="5"/>
      <c r="BN4553" s="5"/>
      <c r="BO4553" s="5"/>
      <c r="BP4553" s="5"/>
    </row>
    <row r="4554" spans="35:68" x14ac:dyDescent="0.25">
      <c r="AI4554" s="49"/>
      <c r="AJ4554" s="78"/>
      <c r="AK4554" s="79"/>
      <c r="AL4554" s="79"/>
      <c r="AM4554" s="79"/>
      <c r="AN4554" s="79"/>
      <c r="AO4554" s="79"/>
      <c r="AP4554" s="79"/>
      <c r="AQ4554" s="79"/>
      <c r="AR4554" s="78"/>
      <c r="AS4554" s="78"/>
      <c r="AT4554" s="79"/>
      <c r="AU4554" s="79"/>
      <c r="AV4554" s="79"/>
      <c r="AW4554" s="79"/>
      <c r="AX4554" s="79"/>
      <c r="AZ4554" s="81"/>
      <c r="BB4554" s="5"/>
      <c r="BC4554" s="5"/>
      <c r="BD4554" s="5"/>
      <c r="BE4554" s="5"/>
      <c r="BF4554" s="5"/>
      <c r="BG4554" s="5"/>
      <c r="BH4554" s="5"/>
      <c r="BI4554" s="5"/>
      <c r="BJ4554" s="5"/>
      <c r="BK4554" s="5"/>
      <c r="BL4554" s="5"/>
      <c r="BM4554" s="5"/>
      <c r="BN4554" s="5"/>
      <c r="BO4554" s="5"/>
      <c r="BP4554" s="5"/>
    </row>
    <row r="4555" spans="35:68" x14ac:dyDescent="0.25">
      <c r="AI4555" s="49"/>
      <c r="AJ4555" s="78"/>
      <c r="AK4555" s="79"/>
      <c r="AL4555" s="79"/>
      <c r="AM4555" s="79"/>
      <c r="AN4555" s="79"/>
      <c r="AO4555" s="79"/>
      <c r="AP4555" s="79"/>
      <c r="AQ4555" s="79"/>
      <c r="AR4555" s="78"/>
      <c r="AS4555" s="78"/>
      <c r="AT4555" s="79"/>
      <c r="AU4555" s="79"/>
      <c r="AV4555" s="79"/>
      <c r="AW4555" s="79"/>
      <c r="AX4555" s="79"/>
      <c r="AZ4555" s="81"/>
      <c r="BB4555" s="5"/>
      <c r="BC4555" s="5"/>
      <c r="BD4555" s="5"/>
      <c r="BE4555" s="5"/>
      <c r="BF4555" s="5"/>
      <c r="BG4555" s="5"/>
      <c r="BH4555" s="5"/>
      <c r="BI4555" s="5"/>
      <c r="BJ4555" s="5"/>
      <c r="BK4555" s="5"/>
      <c r="BL4555" s="5"/>
      <c r="BM4555" s="5"/>
      <c r="BN4555" s="5"/>
      <c r="BO4555" s="5"/>
      <c r="BP4555" s="5"/>
    </row>
    <row r="4556" spans="35:68" x14ac:dyDescent="0.25">
      <c r="AI4556" s="49"/>
      <c r="AJ4556" s="78"/>
      <c r="AK4556" s="79"/>
      <c r="AL4556" s="79"/>
      <c r="AM4556" s="79"/>
      <c r="AN4556" s="79"/>
      <c r="AO4556" s="79"/>
      <c r="AP4556" s="79"/>
      <c r="AQ4556" s="79"/>
      <c r="AR4556" s="78"/>
      <c r="AS4556" s="78"/>
      <c r="AT4556" s="79"/>
      <c r="AU4556" s="79"/>
      <c r="AV4556" s="79"/>
      <c r="AW4556" s="79"/>
      <c r="AX4556" s="79"/>
      <c r="AZ4556" s="81"/>
      <c r="BB4556" s="5"/>
      <c r="BC4556" s="5"/>
      <c r="BD4556" s="5"/>
      <c r="BE4556" s="5"/>
      <c r="BF4556" s="5"/>
      <c r="BG4556" s="5"/>
      <c r="BH4556" s="5"/>
      <c r="BI4556" s="5"/>
      <c r="BJ4556" s="5"/>
      <c r="BK4556" s="5"/>
      <c r="BL4556" s="5"/>
      <c r="BM4556" s="5"/>
      <c r="BN4556" s="5"/>
      <c r="BO4556" s="5"/>
      <c r="BP4556" s="5"/>
    </row>
    <row r="4557" spans="35:68" x14ac:dyDescent="0.25">
      <c r="AI4557" s="49"/>
      <c r="AJ4557" s="78"/>
      <c r="AK4557" s="79"/>
      <c r="AL4557" s="79"/>
      <c r="AM4557" s="79"/>
      <c r="AN4557" s="79"/>
      <c r="AO4557" s="79"/>
      <c r="AP4557" s="79"/>
      <c r="AQ4557" s="79"/>
      <c r="AR4557" s="78"/>
      <c r="AS4557" s="78"/>
      <c r="AT4557" s="79"/>
      <c r="AU4557" s="79"/>
      <c r="AV4557" s="79"/>
      <c r="AW4557" s="79"/>
      <c r="AX4557" s="79"/>
      <c r="AZ4557" s="81"/>
      <c r="BB4557" s="5"/>
      <c r="BC4557" s="5"/>
      <c r="BD4557" s="5"/>
      <c r="BE4557" s="5"/>
      <c r="BF4557" s="5"/>
      <c r="BG4557" s="5"/>
      <c r="BH4557" s="5"/>
      <c r="BI4557" s="5"/>
      <c r="BJ4557" s="5"/>
      <c r="BK4557" s="5"/>
      <c r="BL4557" s="5"/>
      <c r="BM4557" s="5"/>
      <c r="BN4557" s="5"/>
      <c r="BO4557" s="5"/>
      <c r="BP4557" s="5"/>
    </row>
    <row r="4558" spans="35:68" x14ac:dyDescent="0.25">
      <c r="AI4558" s="49"/>
      <c r="AJ4558" s="78"/>
      <c r="AK4558" s="79"/>
      <c r="AL4558" s="79"/>
      <c r="AM4558" s="79"/>
      <c r="AN4558" s="79"/>
      <c r="AO4558" s="79"/>
      <c r="AP4558" s="79"/>
      <c r="AQ4558" s="79"/>
      <c r="AR4558" s="78"/>
      <c r="AS4558" s="78"/>
      <c r="AT4558" s="79"/>
      <c r="AU4558" s="79"/>
      <c r="AV4558" s="79"/>
      <c r="AW4558" s="79"/>
      <c r="AX4558" s="79"/>
      <c r="AZ4558" s="81"/>
      <c r="BB4558" s="5"/>
      <c r="BC4558" s="5"/>
      <c r="BD4558" s="5"/>
      <c r="BE4558" s="5"/>
      <c r="BF4558" s="5"/>
      <c r="BG4558" s="5"/>
      <c r="BH4558" s="5"/>
      <c r="BI4558" s="5"/>
      <c r="BJ4558" s="5"/>
      <c r="BK4558" s="5"/>
      <c r="BL4558" s="5"/>
      <c r="BM4558" s="5"/>
      <c r="BN4558" s="5"/>
      <c r="BO4558" s="5"/>
      <c r="BP4558" s="5"/>
    </row>
    <row r="4559" spans="35:68" x14ac:dyDescent="0.25">
      <c r="AI4559" s="49"/>
      <c r="AJ4559" s="78"/>
      <c r="AK4559" s="79"/>
      <c r="AL4559" s="79"/>
      <c r="AM4559" s="79"/>
      <c r="AN4559" s="79"/>
      <c r="AO4559" s="79"/>
      <c r="AP4559" s="79"/>
      <c r="AQ4559" s="79"/>
      <c r="AR4559" s="78"/>
      <c r="AS4559" s="78"/>
      <c r="AT4559" s="79"/>
      <c r="AU4559" s="79"/>
      <c r="AV4559" s="79"/>
      <c r="AW4559" s="79"/>
      <c r="AX4559" s="79"/>
      <c r="AZ4559" s="81"/>
      <c r="BB4559" s="5"/>
      <c r="BC4559" s="5"/>
      <c r="BD4559" s="5"/>
      <c r="BE4559" s="5"/>
      <c r="BF4559" s="5"/>
      <c r="BG4559" s="5"/>
      <c r="BH4559" s="5"/>
      <c r="BI4559" s="5"/>
      <c r="BJ4559" s="5"/>
      <c r="BK4559" s="5"/>
      <c r="BL4559" s="5"/>
      <c r="BM4559" s="5"/>
      <c r="BN4559" s="5"/>
      <c r="BO4559" s="5"/>
      <c r="BP4559" s="5"/>
    </row>
    <row r="4560" spans="35:68" x14ac:dyDescent="0.25">
      <c r="AI4560" s="49"/>
      <c r="AJ4560" s="78"/>
      <c r="AK4560" s="79"/>
      <c r="AL4560" s="79"/>
      <c r="AM4560" s="79"/>
      <c r="AN4560" s="79"/>
      <c r="AO4560" s="79"/>
      <c r="AP4560" s="79"/>
      <c r="AQ4560" s="79"/>
      <c r="AR4560" s="78"/>
      <c r="AS4560" s="78"/>
      <c r="AT4560" s="79"/>
      <c r="AU4560" s="79"/>
      <c r="AV4560" s="79"/>
      <c r="AW4560" s="79"/>
      <c r="AX4560" s="79"/>
      <c r="AZ4560" s="81"/>
      <c r="BB4560" s="5"/>
      <c r="BC4560" s="5"/>
      <c r="BD4560" s="5"/>
      <c r="BE4560" s="5"/>
      <c r="BF4560" s="5"/>
      <c r="BG4560" s="5"/>
      <c r="BH4560" s="5"/>
      <c r="BI4560" s="5"/>
      <c r="BJ4560" s="5"/>
      <c r="BK4560" s="5"/>
      <c r="BL4560" s="5"/>
      <c r="BM4560" s="5"/>
      <c r="BN4560" s="5"/>
      <c r="BO4560" s="5"/>
      <c r="BP4560" s="5"/>
    </row>
    <row r="4561" spans="35:68" x14ac:dyDescent="0.25">
      <c r="AI4561" s="49"/>
      <c r="AJ4561" s="78"/>
      <c r="AK4561" s="79"/>
      <c r="AL4561" s="79"/>
      <c r="AM4561" s="79"/>
      <c r="AN4561" s="79"/>
      <c r="AO4561" s="79"/>
      <c r="AP4561" s="79"/>
      <c r="AQ4561" s="79"/>
      <c r="AR4561" s="78"/>
      <c r="AS4561" s="78"/>
      <c r="AT4561" s="79"/>
      <c r="AU4561" s="79"/>
      <c r="AV4561" s="79"/>
      <c r="AW4561" s="79"/>
      <c r="AX4561" s="79"/>
      <c r="AZ4561" s="81"/>
      <c r="BB4561" s="5"/>
      <c r="BC4561" s="5"/>
      <c r="BD4561" s="5"/>
      <c r="BE4561" s="5"/>
      <c r="BF4561" s="5"/>
      <c r="BG4561" s="5"/>
      <c r="BH4561" s="5"/>
      <c r="BI4561" s="5"/>
      <c r="BJ4561" s="5"/>
      <c r="BK4561" s="5"/>
      <c r="BL4561" s="5"/>
      <c r="BM4561" s="5"/>
      <c r="BN4561" s="5"/>
      <c r="BO4561" s="5"/>
      <c r="BP4561" s="5"/>
    </row>
    <row r="4562" spans="35:68" x14ac:dyDescent="0.25">
      <c r="AI4562" s="49"/>
      <c r="AJ4562" s="78"/>
      <c r="AK4562" s="79"/>
      <c r="AL4562" s="79"/>
      <c r="AM4562" s="79"/>
      <c r="AN4562" s="79"/>
      <c r="AO4562" s="79"/>
      <c r="AP4562" s="79"/>
      <c r="AQ4562" s="79"/>
      <c r="AR4562" s="78"/>
      <c r="AS4562" s="78"/>
      <c r="AT4562" s="79"/>
      <c r="AU4562" s="79"/>
      <c r="AV4562" s="79"/>
      <c r="AW4562" s="79"/>
      <c r="AX4562" s="79"/>
      <c r="AZ4562" s="81"/>
      <c r="BB4562" s="5"/>
      <c r="BC4562" s="5"/>
      <c r="BD4562" s="5"/>
      <c r="BE4562" s="5"/>
      <c r="BF4562" s="5"/>
      <c r="BG4562" s="5"/>
      <c r="BH4562" s="5"/>
      <c r="BI4562" s="5"/>
      <c r="BJ4562" s="5"/>
      <c r="BK4562" s="5"/>
      <c r="BL4562" s="5"/>
      <c r="BM4562" s="5"/>
      <c r="BN4562" s="5"/>
      <c r="BO4562" s="5"/>
      <c r="BP4562" s="5"/>
    </row>
    <row r="4563" spans="35:68" x14ac:dyDescent="0.25">
      <c r="AI4563" s="49"/>
      <c r="AJ4563" s="78"/>
      <c r="AK4563" s="79"/>
      <c r="AL4563" s="79"/>
      <c r="AM4563" s="79"/>
      <c r="AN4563" s="79"/>
      <c r="AO4563" s="79"/>
      <c r="AP4563" s="79"/>
      <c r="AQ4563" s="79"/>
      <c r="AR4563" s="78"/>
      <c r="AS4563" s="78"/>
      <c r="AT4563" s="79"/>
      <c r="AU4563" s="79"/>
      <c r="AV4563" s="79"/>
      <c r="AW4563" s="79"/>
      <c r="AX4563" s="79"/>
      <c r="AZ4563" s="81"/>
      <c r="BB4563" s="5"/>
      <c r="BC4563" s="5"/>
      <c r="BD4563" s="5"/>
      <c r="BE4563" s="5"/>
      <c r="BF4563" s="5"/>
      <c r="BG4563" s="5"/>
      <c r="BH4563" s="5"/>
      <c r="BI4563" s="5"/>
      <c r="BJ4563" s="5"/>
      <c r="BK4563" s="5"/>
      <c r="BL4563" s="5"/>
      <c r="BM4563" s="5"/>
      <c r="BN4563" s="5"/>
      <c r="BO4563" s="5"/>
      <c r="BP4563" s="5"/>
    </row>
    <row r="4564" spans="35:68" x14ac:dyDescent="0.25">
      <c r="AI4564" s="49"/>
      <c r="AJ4564" s="78"/>
      <c r="AK4564" s="79"/>
      <c r="AL4564" s="79"/>
      <c r="AM4564" s="79"/>
      <c r="AN4564" s="79"/>
      <c r="AO4564" s="79"/>
      <c r="AP4564" s="79"/>
      <c r="AQ4564" s="79"/>
      <c r="AR4564" s="78"/>
      <c r="AS4564" s="78"/>
      <c r="AT4564" s="79"/>
      <c r="AU4564" s="79"/>
      <c r="AV4564" s="79"/>
      <c r="AW4564" s="79"/>
      <c r="AX4564" s="79"/>
      <c r="AZ4564" s="81"/>
      <c r="BB4564" s="5"/>
      <c r="BC4564" s="5"/>
      <c r="BD4564" s="5"/>
      <c r="BE4564" s="5"/>
      <c r="BF4564" s="5"/>
      <c r="BG4564" s="5"/>
      <c r="BH4564" s="5"/>
      <c r="BI4564" s="5"/>
      <c r="BJ4564" s="5"/>
      <c r="BK4564" s="5"/>
      <c r="BL4564" s="5"/>
      <c r="BM4564" s="5"/>
      <c r="BN4564" s="5"/>
      <c r="BO4564" s="5"/>
      <c r="BP4564" s="5"/>
    </row>
    <row r="4565" spans="35:68" x14ac:dyDescent="0.25">
      <c r="AI4565" s="49"/>
      <c r="AJ4565" s="78"/>
      <c r="AK4565" s="79"/>
      <c r="AL4565" s="79"/>
      <c r="AM4565" s="79"/>
      <c r="AN4565" s="79"/>
      <c r="AO4565" s="79"/>
      <c r="AP4565" s="79"/>
      <c r="AQ4565" s="79"/>
      <c r="AR4565" s="78"/>
      <c r="AS4565" s="78"/>
      <c r="AT4565" s="79"/>
      <c r="AU4565" s="79"/>
      <c r="AV4565" s="79"/>
      <c r="AW4565" s="79"/>
      <c r="AX4565" s="79"/>
      <c r="AZ4565" s="81"/>
      <c r="BB4565" s="5"/>
      <c r="BC4565" s="5"/>
      <c r="BD4565" s="5"/>
      <c r="BE4565" s="5"/>
      <c r="BF4565" s="5"/>
      <c r="BG4565" s="5"/>
      <c r="BH4565" s="5"/>
      <c r="BI4565" s="5"/>
      <c r="BJ4565" s="5"/>
      <c r="BK4565" s="5"/>
      <c r="BL4565" s="5"/>
      <c r="BM4565" s="5"/>
      <c r="BN4565" s="5"/>
      <c r="BO4565" s="5"/>
      <c r="BP4565" s="5"/>
    </row>
    <row r="4566" spans="35:68" x14ac:dyDescent="0.25">
      <c r="AI4566" s="49"/>
      <c r="AJ4566" s="78"/>
      <c r="AK4566" s="79"/>
      <c r="AL4566" s="79"/>
      <c r="AM4566" s="79"/>
      <c r="AN4566" s="79"/>
      <c r="AO4566" s="79"/>
      <c r="AP4566" s="79"/>
      <c r="AQ4566" s="79"/>
      <c r="AR4566" s="78"/>
      <c r="AS4566" s="78"/>
      <c r="AT4566" s="79"/>
      <c r="AU4566" s="79"/>
      <c r="AV4566" s="79"/>
      <c r="AW4566" s="79"/>
      <c r="AX4566" s="79"/>
      <c r="AZ4566" s="81"/>
      <c r="BB4566" s="5"/>
      <c r="BC4566" s="5"/>
      <c r="BD4566" s="5"/>
      <c r="BE4566" s="5"/>
      <c r="BF4566" s="5"/>
      <c r="BG4566" s="5"/>
      <c r="BH4566" s="5"/>
      <c r="BI4566" s="5"/>
      <c r="BJ4566" s="5"/>
      <c r="BK4566" s="5"/>
      <c r="BL4566" s="5"/>
      <c r="BM4566" s="5"/>
      <c r="BN4566" s="5"/>
      <c r="BO4566" s="5"/>
      <c r="BP4566" s="5"/>
    </row>
    <row r="4567" spans="35:68" x14ac:dyDescent="0.25">
      <c r="AI4567" s="49"/>
      <c r="AJ4567" s="78"/>
      <c r="AK4567" s="79"/>
      <c r="AL4567" s="79"/>
      <c r="AM4567" s="79"/>
      <c r="AN4567" s="79"/>
      <c r="AO4567" s="79"/>
      <c r="AP4567" s="79"/>
      <c r="AQ4567" s="79"/>
      <c r="AR4567" s="78"/>
      <c r="AS4567" s="78"/>
      <c r="AT4567" s="79"/>
      <c r="AU4567" s="79"/>
      <c r="AV4567" s="79"/>
      <c r="AW4567" s="79"/>
      <c r="AX4567" s="79"/>
      <c r="AZ4567" s="81"/>
      <c r="BB4567" s="5"/>
      <c r="BC4567" s="5"/>
      <c r="BD4567" s="5"/>
      <c r="BE4567" s="5"/>
      <c r="BF4567" s="5"/>
      <c r="BG4567" s="5"/>
      <c r="BH4567" s="5"/>
      <c r="BI4567" s="5"/>
      <c r="BJ4567" s="5"/>
      <c r="BK4567" s="5"/>
      <c r="BL4567" s="5"/>
      <c r="BM4567" s="5"/>
      <c r="BN4567" s="5"/>
      <c r="BO4567" s="5"/>
      <c r="BP4567" s="5"/>
    </row>
    <row r="4568" spans="35:68" x14ac:dyDescent="0.25">
      <c r="AI4568" s="49"/>
      <c r="AJ4568" s="78"/>
      <c r="AK4568" s="79"/>
      <c r="AL4568" s="79"/>
      <c r="AM4568" s="79"/>
      <c r="AN4568" s="79"/>
      <c r="AO4568" s="79"/>
      <c r="AP4568" s="79"/>
      <c r="AQ4568" s="79"/>
      <c r="AR4568" s="78"/>
      <c r="AS4568" s="78"/>
      <c r="AT4568" s="79"/>
      <c r="AU4568" s="79"/>
      <c r="AV4568" s="79"/>
      <c r="AW4568" s="79"/>
      <c r="AX4568" s="79"/>
      <c r="AZ4568" s="81"/>
      <c r="BB4568" s="5"/>
      <c r="BC4568" s="5"/>
      <c r="BD4568" s="5"/>
      <c r="BE4568" s="5"/>
      <c r="BF4568" s="5"/>
      <c r="BG4568" s="5"/>
      <c r="BH4568" s="5"/>
      <c r="BI4568" s="5"/>
      <c r="BJ4568" s="5"/>
      <c r="BK4568" s="5"/>
      <c r="BL4568" s="5"/>
      <c r="BM4568" s="5"/>
      <c r="BN4568" s="5"/>
      <c r="BO4568" s="5"/>
      <c r="BP4568" s="5"/>
    </row>
    <row r="4569" spans="35:68" x14ac:dyDescent="0.25">
      <c r="AI4569" s="49"/>
      <c r="AJ4569" s="78"/>
      <c r="AK4569" s="79"/>
      <c r="AL4569" s="79"/>
      <c r="AM4569" s="79"/>
      <c r="AN4569" s="79"/>
      <c r="AO4569" s="79"/>
      <c r="AP4569" s="79"/>
      <c r="AQ4569" s="79"/>
      <c r="AR4569" s="78"/>
      <c r="AS4569" s="78"/>
      <c r="AT4569" s="79"/>
      <c r="AU4569" s="79"/>
      <c r="AV4569" s="79"/>
      <c r="AW4569" s="79"/>
      <c r="AX4569" s="79"/>
      <c r="AZ4569" s="81"/>
      <c r="BB4569" s="5"/>
      <c r="BC4569" s="5"/>
      <c r="BD4569" s="5"/>
      <c r="BE4569" s="5"/>
      <c r="BF4569" s="5"/>
      <c r="BG4569" s="5"/>
      <c r="BH4569" s="5"/>
      <c r="BI4569" s="5"/>
      <c r="BJ4569" s="5"/>
      <c r="BK4569" s="5"/>
      <c r="BL4569" s="5"/>
      <c r="BM4569" s="5"/>
      <c r="BN4569" s="5"/>
      <c r="BO4569" s="5"/>
      <c r="BP4569" s="5"/>
    </row>
    <row r="4570" spans="35:68" x14ac:dyDescent="0.25">
      <c r="AI4570" s="49"/>
      <c r="AJ4570" s="78"/>
      <c r="AK4570" s="79"/>
      <c r="AL4570" s="79"/>
      <c r="AM4570" s="79"/>
      <c r="AN4570" s="79"/>
      <c r="AO4570" s="79"/>
      <c r="AP4570" s="79"/>
      <c r="AQ4570" s="79"/>
      <c r="AR4570" s="78"/>
      <c r="AS4570" s="78"/>
      <c r="AT4570" s="79"/>
      <c r="AU4570" s="79"/>
      <c r="AV4570" s="79"/>
      <c r="AW4570" s="79"/>
      <c r="AX4570" s="79"/>
      <c r="AZ4570" s="81"/>
      <c r="BB4570" s="5"/>
      <c r="BC4570" s="5"/>
      <c r="BD4570" s="5"/>
      <c r="BE4570" s="5"/>
      <c r="BF4570" s="5"/>
      <c r="BG4570" s="5"/>
      <c r="BH4570" s="5"/>
      <c r="BI4570" s="5"/>
      <c r="BJ4570" s="5"/>
      <c r="BK4570" s="5"/>
      <c r="BL4570" s="5"/>
      <c r="BM4570" s="5"/>
      <c r="BN4570" s="5"/>
      <c r="BO4570" s="5"/>
      <c r="BP4570" s="5"/>
    </row>
    <row r="4571" spans="35:68" x14ac:dyDescent="0.25">
      <c r="AI4571" s="49"/>
      <c r="AJ4571" s="78"/>
      <c r="AK4571" s="79"/>
      <c r="AL4571" s="79"/>
      <c r="AM4571" s="79"/>
      <c r="AN4571" s="79"/>
      <c r="AO4571" s="79"/>
      <c r="AP4571" s="79"/>
      <c r="AQ4571" s="79"/>
      <c r="AR4571" s="78"/>
      <c r="AS4571" s="78"/>
      <c r="AT4571" s="79"/>
      <c r="AU4571" s="79"/>
      <c r="AV4571" s="79"/>
      <c r="AW4571" s="79"/>
      <c r="AX4571" s="79"/>
      <c r="AZ4571" s="81"/>
      <c r="BB4571" s="5"/>
      <c r="BC4571" s="5"/>
      <c r="BD4571" s="5"/>
      <c r="BE4571" s="5"/>
      <c r="BF4571" s="5"/>
      <c r="BG4571" s="5"/>
      <c r="BH4571" s="5"/>
      <c r="BI4571" s="5"/>
      <c r="BJ4571" s="5"/>
      <c r="BK4571" s="5"/>
      <c r="BL4571" s="5"/>
      <c r="BM4571" s="5"/>
      <c r="BN4571" s="5"/>
      <c r="BO4571" s="5"/>
      <c r="BP4571" s="5"/>
    </row>
    <row r="4572" spans="35:68" x14ac:dyDescent="0.25">
      <c r="AI4572" s="49"/>
      <c r="AJ4572" s="78"/>
      <c r="AK4572" s="79"/>
      <c r="AL4572" s="79"/>
      <c r="AM4572" s="79"/>
      <c r="AN4572" s="79"/>
      <c r="AO4572" s="79"/>
      <c r="AP4572" s="79"/>
      <c r="AQ4572" s="79"/>
      <c r="AR4572" s="78"/>
      <c r="AS4572" s="78"/>
      <c r="AT4572" s="79"/>
      <c r="AU4572" s="79"/>
      <c r="AV4572" s="79"/>
      <c r="AW4572" s="79"/>
      <c r="AX4572" s="79"/>
      <c r="AZ4572" s="81"/>
      <c r="BB4572" s="5"/>
      <c r="BC4572" s="5"/>
      <c r="BD4572" s="5"/>
      <c r="BE4572" s="5"/>
      <c r="BF4572" s="5"/>
      <c r="BG4572" s="5"/>
      <c r="BH4572" s="5"/>
      <c r="BI4572" s="5"/>
      <c r="BJ4572" s="5"/>
      <c r="BK4572" s="5"/>
      <c r="BL4572" s="5"/>
      <c r="BM4572" s="5"/>
      <c r="BN4572" s="5"/>
      <c r="BO4572" s="5"/>
      <c r="BP4572" s="5"/>
    </row>
    <row r="4573" spans="35:68" x14ac:dyDescent="0.25">
      <c r="AI4573" s="49"/>
      <c r="AJ4573" s="78"/>
      <c r="AK4573" s="79"/>
      <c r="AL4573" s="79"/>
      <c r="AM4573" s="79"/>
      <c r="AN4573" s="79"/>
      <c r="AO4573" s="79"/>
      <c r="AP4573" s="79"/>
      <c r="AQ4573" s="79"/>
      <c r="AR4573" s="78"/>
      <c r="AS4573" s="78"/>
      <c r="AT4573" s="79"/>
      <c r="AU4573" s="79"/>
      <c r="AV4573" s="79"/>
      <c r="AW4573" s="79"/>
      <c r="AX4573" s="79"/>
      <c r="AZ4573" s="81"/>
      <c r="BB4573" s="5"/>
      <c r="BC4573" s="5"/>
      <c r="BD4573" s="5"/>
      <c r="BE4573" s="5"/>
      <c r="BF4573" s="5"/>
      <c r="BG4573" s="5"/>
      <c r="BH4573" s="5"/>
      <c r="BI4573" s="5"/>
      <c r="BJ4573" s="5"/>
      <c r="BK4573" s="5"/>
      <c r="BL4573" s="5"/>
      <c r="BM4573" s="5"/>
      <c r="BN4573" s="5"/>
      <c r="BO4573" s="5"/>
      <c r="BP4573" s="5"/>
    </row>
    <row r="4574" spans="35:68" x14ac:dyDescent="0.25">
      <c r="AI4574" s="49"/>
      <c r="AJ4574" s="78"/>
      <c r="AK4574" s="79"/>
      <c r="AL4574" s="79"/>
      <c r="AM4574" s="79"/>
      <c r="AN4574" s="79"/>
      <c r="AO4574" s="79"/>
      <c r="AP4574" s="79"/>
      <c r="AQ4574" s="79"/>
      <c r="AR4574" s="78"/>
      <c r="AS4574" s="78"/>
      <c r="AT4574" s="79"/>
      <c r="AU4574" s="79"/>
      <c r="AV4574" s="79"/>
      <c r="AW4574" s="79"/>
      <c r="AX4574" s="79"/>
      <c r="AZ4574" s="81"/>
      <c r="BB4574" s="5"/>
      <c r="BC4574" s="5"/>
      <c r="BD4574" s="5"/>
      <c r="BE4574" s="5"/>
      <c r="BF4574" s="5"/>
      <c r="BG4574" s="5"/>
      <c r="BH4574" s="5"/>
      <c r="BI4574" s="5"/>
      <c r="BJ4574" s="5"/>
      <c r="BK4574" s="5"/>
      <c r="BL4574" s="5"/>
      <c r="BM4574" s="5"/>
      <c r="BN4574" s="5"/>
      <c r="BO4574" s="5"/>
      <c r="BP4574" s="5"/>
    </row>
    <row r="4575" spans="35:68" x14ac:dyDescent="0.25">
      <c r="AI4575" s="49"/>
      <c r="AJ4575" s="78"/>
      <c r="AK4575" s="79"/>
      <c r="AL4575" s="79"/>
      <c r="AM4575" s="79"/>
      <c r="AN4575" s="79"/>
      <c r="AO4575" s="79"/>
      <c r="AP4575" s="79"/>
      <c r="AQ4575" s="79"/>
      <c r="AR4575" s="78"/>
      <c r="AS4575" s="78"/>
      <c r="AT4575" s="79"/>
      <c r="AU4575" s="79"/>
      <c r="AV4575" s="79"/>
      <c r="AW4575" s="79"/>
      <c r="AX4575" s="79"/>
      <c r="AZ4575" s="81"/>
      <c r="BB4575" s="5"/>
      <c r="BC4575" s="5"/>
      <c r="BD4575" s="5"/>
      <c r="BE4575" s="5"/>
      <c r="BF4575" s="5"/>
      <c r="BG4575" s="5"/>
      <c r="BH4575" s="5"/>
      <c r="BI4575" s="5"/>
      <c r="BJ4575" s="5"/>
      <c r="BK4575" s="5"/>
      <c r="BL4575" s="5"/>
      <c r="BM4575" s="5"/>
      <c r="BN4575" s="5"/>
      <c r="BO4575" s="5"/>
      <c r="BP4575" s="5"/>
    </row>
    <row r="4576" spans="35:68" x14ac:dyDescent="0.25">
      <c r="AI4576" s="49"/>
      <c r="AJ4576" s="78"/>
      <c r="AK4576" s="79"/>
      <c r="AL4576" s="79"/>
      <c r="AM4576" s="79"/>
      <c r="AN4576" s="79"/>
      <c r="AO4576" s="79"/>
      <c r="AP4576" s="79"/>
      <c r="AQ4576" s="79"/>
      <c r="AR4576" s="78"/>
      <c r="AS4576" s="78"/>
      <c r="AT4576" s="79"/>
      <c r="AU4576" s="79"/>
      <c r="AV4576" s="79"/>
      <c r="AW4576" s="79"/>
      <c r="AX4576" s="79"/>
      <c r="AZ4576" s="81"/>
      <c r="BB4576" s="5"/>
      <c r="BC4576" s="5"/>
      <c r="BD4576" s="5"/>
      <c r="BE4576" s="5"/>
      <c r="BF4576" s="5"/>
      <c r="BG4576" s="5"/>
      <c r="BH4576" s="5"/>
      <c r="BI4576" s="5"/>
      <c r="BJ4576" s="5"/>
      <c r="BK4576" s="5"/>
      <c r="BL4576" s="5"/>
      <c r="BM4576" s="5"/>
      <c r="BN4576" s="5"/>
      <c r="BO4576" s="5"/>
      <c r="BP4576" s="5"/>
    </row>
    <row r="4577" spans="35:68" x14ac:dyDescent="0.25">
      <c r="AI4577" s="49"/>
      <c r="AJ4577" s="78"/>
      <c r="AK4577" s="79"/>
      <c r="AL4577" s="79"/>
      <c r="AM4577" s="79"/>
      <c r="AN4577" s="79"/>
      <c r="AO4577" s="79"/>
      <c r="AP4577" s="79"/>
      <c r="AQ4577" s="79"/>
      <c r="AR4577" s="78"/>
      <c r="AS4577" s="78"/>
      <c r="AT4577" s="79"/>
      <c r="AU4577" s="79"/>
      <c r="AV4577" s="79"/>
      <c r="AW4577" s="79"/>
      <c r="AX4577" s="79"/>
      <c r="AZ4577" s="81"/>
      <c r="BB4577" s="5"/>
      <c r="BC4577" s="5"/>
      <c r="BD4577" s="5"/>
      <c r="BE4577" s="5"/>
      <c r="BF4577" s="5"/>
      <c r="BG4577" s="5"/>
      <c r="BH4577" s="5"/>
      <c r="BI4577" s="5"/>
      <c r="BJ4577" s="5"/>
      <c r="BK4577" s="5"/>
      <c r="BL4577" s="5"/>
      <c r="BM4577" s="5"/>
      <c r="BN4577" s="5"/>
      <c r="BO4577" s="5"/>
      <c r="BP4577" s="5"/>
    </row>
    <row r="4578" spans="35:68" x14ac:dyDescent="0.25">
      <c r="AI4578" s="49"/>
      <c r="AJ4578" s="78"/>
      <c r="AK4578" s="79"/>
      <c r="AL4578" s="79"/>
      <c r="AM4578" s="79"/>
      <c r="AN4578" s="79"/>
      <c r="AO4578" s="79"/>
      <c r="AP4578" s="79"/>
      <c r="AQ4578" s="79"/>
      <c r="AR4578" s="78"/>
      <c r="AS4578" s="78"/>
      <c r="AT4578" s="79"/>
      <c r="AU4578" s="79"/>
      <c r="AV4578" s="79"/>
      <c r="AW4578" s="79"/>
      <c r="AX4578" s="79"/>
      <c r="AZ4578" s="81"/>
      <c r="BB4578" s="5"/>
      <c r="BC4578" s="5"/>
      <c r="BD4578" s="5"/>
      <c r="BE4578" s="5"/>
      <c r="BF4578" s="5"/>
      <c r="BG4578" s="5"/>
      <c r="BH4578" s="5"/>
      <c r="BI4578" s="5"/>
      <c r="BJ4578" s="5"/>
      <c r="BK4578" s="5"/>
      <c r="BL4578" s="5"/>
      <c r="BM4578" s="5"/>
      <c r="BN4578" s="5"/>
      <c r="BO4578" s="5"/>
      <c r="BP4578" s="5"/>
    </row>
    <row r="4579" spans="35:68" x14ac:dyDescent="0.25">
      <c r="AI4579" s="49"/>
      <c r="AJ4579" s="78"/>
      <c r="AK4579" s="79"/>
      <c r="AL4579" s="79"/>
      <c r="AM4579" s="79"/>
      <c r="AN4579" s="79"/>
      <c r="AO4579" s="79"/>
      <c r="AP4579" s="79"/>
      <c r="AQ4579" s="79"/>
      <c r="AR4579" s="78"/>
      <c r="AS4579" s="78"/>
      <c r="AT4579" s="79"/>
      <c r="AU4579" s="79"/>
      <c r="AV4579" s="79"/>
      <c r="AW4579" s="79"/>
      <c r="AX4579" s="79"/>
      <c r="AZ4579" s="81"/>
      <c r="BB4579" s="5"/>
      <c r="BC4579" s="5"/>
      <c r="BD4579" s="5"/>
      <c r="BE4579" s="5"/>
      <c r="BF4579" s="5"/>
      <c r="BG4579" s="5"/>
      <c r="BH4579" s="5"/>
      <c r="BI4579" s="5"/>
      <c r="BJ4579" s="5"/>
      <c r="BK4579" s="5"/>
      <c r="BL4579" s="5"/>
      <c r="BM4579" s="5"/>
      <c r="BN4579" s="5"/>
      <c r="BO4579" s="5"/>
      <c r="BP4579" s="5"/>
    </row>
    <row r="4580" spans="35:68" x14ac:dyDescent="0.25">
      <c r="AI4580" s="49"/>
      <c r="AJ4580" s="78"/>
      <c r="AK4580" s="79"/>
      <c r="AL4580" s="79"/>
      <c r="AM4580" s="79"/>
      <c r="AN4580" s="79"/>
      <c r="AO4580" s="79"/>
      <c r="AP4580" s="79"/>
      <c r="AQ4580" s="79"/>
      <c r="AR4580" s="78"/>
      <c r="AS4580" s="78"/>
      <c r="AT4580" s="79"/>
      <c r="AU4580" s="79"/>
      <c r="AV4580" s="79"/>
      <c r="AW4580" s="79"/>
      <c r="AX4580" s="79"/>
      <c r="AZ4580" s="81"/>
      <c r="BB4580" s="5"/>
      <c r="BC4580" s="5"/>
      <c r="BD4580" s="5"/>
      <c r="BE4580" s="5"/>
      <c r="BF4580" s="5"/>
      <c r="BG4580" s="5"/>
      <c r="BH4580" s="5"/>
      <c r="BI4580" s="5"/>
      <c r="BJ4580" s="5"/>
      <c r="BK4580" s="5"/>
      <c r="BL4580" s="5"/>
      <c r="BM4580" s="5"/>
      <c r="BN4580" s="5"/>
      <c r="BO4580" s="5"/>
      <c r="BP4580" s="5"/>
    </row>
    <row r="4581" spans="35:68" x14ac:dyDescent="0.25">
      <c r="AI4581" s="49"/>
      <c r="AJ4581" s="78"/>
      <c r="AK4581" s="79"/>
      <c r="AL4581" s="79"/>
      <c r="AM4581" s="79"/>
      <c r="AN4581" s="79"/>
      <c r="AO4581" s="79"/>
      <c r="AP4581" s="79"/>
      <c r="AQ4581" s="79"/>
      <c r="AR4581" s="78"/>
      <c r="AS4581" s="78"/>
      <c r="AT4581" s="79"/>
      <c r="AU4581" s="79"/>
      <c r="AV4581" s="79"/>
      <c r="AW4581" s="79"/>
      <c r="AX4581" s="79"/>
      <c r="AZ4581" s="81"/>
      <c r="BB4581" s="5"/>
      <c r="BC4581" s="5"/>
      <c r="BD4581" s="5"/>
      <c r="BE4581" s="5"/>
      <c r="BF4581" s="5"/>
      <c r="BG4581" s="5"/>
      <c r="BH4581" s="5"/>
      <c r="BI4581" s="5"/>
      <c r="BJ4581" s="5"/>
      <c r="BK4581" s="5"/>
      <c r="BL4581" s="5"/>
      <c r="BM4581" s="5"/>
      <c r="BN4581" s="5"/>
      <c r="BO4581" s="5"/>
      <c r="BP4581" s="5"/>
    </row>
    <row r="4582" spans="35:68" x14ac:dyDescent="0.25">
      <c r="AI4582" s="49"/>
      <c r="AJ4582" s="78"/>
      <c r="AK4582" s="79"/>
      <c r="AL4582" s="79"/>
      <c r="AM4582" s="79"/>
      <c r="AN4582" s="79"/>
      <c r="AO4582" s="79"/>
      <c r="AP4582" s="79"/>
      <c r="AQ4582" s="79"/>
      <c r="AR4582" s="78"/>
      <c r="AS4582" s="78"/>
      <c r="AT4582" s="79"/>
      <c r="AU4582" s="79"/>
      <c r="AV4582" s="79"/>
      <c r="AW4582" s="79"/>
      <c r="AX4582" s="79"/>
      <c r="AZ4582" s="81"/>
      <c r="BB4582" s="5"/>
      <c r="BC4582" s="5"/>
      <c r="BD4582" s="5"/>
      <c r="BE4582" s="5"/>
      <c r="BF4582" s="5"/>
      <c r="BG4582" s="5"/>
      <c r="BH4582" s="5"/>
      <c r="BI4582" s="5"/>
      <c r="BJ4582" s="5"/>
      <c r="BK4582" s="5"/>
      <c r="BL4582" s="5"/>
      <c r="BM4582" s="5"/>
      <c r="BN4582" s="5"/>
      <c r="BO4582" s="5"/>
      <c r="BP4582" s="5"/>
    </row>
    <row r="4583" spans="35:68" x14ac:dyDescent="0.25">
      <c r="AI4583" s="49"/>
      <c r="AJ4583" s="78"/>
      <c r="AK4583" s="79"/>
      <c r="AL4583" s="79"/>
      <c r="AM4583" s="79"/>
      <c r="AN4583" s="79"/>
      <c r="AO4583" s="79"/>
      <c r="AP4583" s="79"/>
      <c r="AQ4583" s="79"/>
      <c r="AR4583" s="78"/>
      <c r="AS4583" s="78"/>
      <c r="AT4583" s="79"/>
      <c r="AU4583" s="79"/>
      <c r="AV4583" s="79"/>
      <c r="AW4583" s="79"/>
      <c r="AX4583" s="79"/>
      <c r="AZ4583" s="81"/>
      <c r="BB4583" s="5"/>
      <c r="BC4583" s="5"/>
      <c r="BD4583" s="5"/>
      <c r="BE4583" s="5"/>
      <c r="BF4583" s="5"/>
      <c r="BG4583" s="5"/>
      <c r="BH4583" s="5"/>
      <c r="BI4583" s="5"/>
      <c r="BJ4583" s="5"/>
      <c r="BK4583" s="5"/>
      <c r="BL4583" s="5"/>
      <c r="BM4583" s="5"/>
      <c r="BN4583" s="5"/>
      <c r="BO4583" s="5"/>
      <c r="BP4583" s="5"/>
    </row>
    <row r="4584" spans="35:68" x14ac:dyDescent="0.25">
      <c r="AI4584" s="49"/>
      <c r="AJ4584" s="78"/>
      <c r="AK4584" s="79"/>
      <c r="AL4584" s="79"/>
      <c r="AM4584" s="79"/>
      <c r="AN4584" s="79"/>
      <c r="AO4584" s="79"/>
      <c r="AP4584" s="79"/>
      <c r="AQ4584" s="79"/>
      <c r="AR4584" s="78"/>
      <c r="AS4584" s="78"/>
      <c r="AT4584" s="79"/>
      <c r="AU4584" s="79"/>
      <c r="AV4584" s="79"/>
      <c r="AW4584" s="79"/>
      <c r="AX4584" s="79"/>
      <c r="AZ4584" s="81"/>
      <c r="BB4584" s="5"/>
      <c r="BC4584" s="5"/>
      <c r="BD4584" s="5"/>
      <c r="BE4584" s="5"/>
      <c r="BF4584" s="5"/>
      <c r="BG4584" s="5"/>
      <c r="BH4584" s="5"/>
      <c r="BI4584" s="5"/>
      <c r="BJ4584" s="5"/>
      <c r="BK4584" s="5"/>
      <c r="BL4584" s="5"/>
      <c r="BM4584" s="5"/>
      <c r="BN4584" s="5"/>
      <c r="BO4584" s="5"/>
      <c r="BP4584" s="5"/>
    </row>
    <row r="4585" spans="35:68" x14ac:dyDescent="0.25">
      <c r="AI4585" s="49"/>
      <c r="AJ4585" s="78"/>
      <c r="AK4585" s="79"/>
      <c r="AL4585" s="79"/>
      <c r="AM4585" s="79"/>
      <c r="AN4585" s="79"/>
      <c r="AO4585" s="79"/>
      <c r="AP4585" s="79"/>
      <c r="AQ4585" s="79"/>
      <c r="AR4585" s="78"/>
      <c r="AS4585" s="78"/>
      <c r="AT4585" s="79"/>
      <c r="AU4585" s="79"/>
      <c r="AV4585" s="79"/>
      <c r="AW4585" s="79"/>
      <c r="AX4585" s="79"/>
      <c r="AZ4585" s="81"/>
      <c r="BB4585" s="5"/>
      <c r="BC4585" s="5"/>
      <c r="BD4585" s="5"/>
      <c r="BE4585" s="5"/>
      <c r="BF4585" s="5"/>
      <c r="BG4585" s="5"/>
      <c r="BH4585" s="5"/>
      <c r="BI4585" s="5"/>
      <c r="BJ4585" s="5"/>
      <c r="BK4585" s="5"/>
      <c r="BL4585" s="5"/>
      <c r="BM4585" s="5"/>
      <c r="BN4585" s="5"/>
      <c r="BO4585" s="5"/>
      <c r="BP4585" s="5"/>
    </row>
    <row r="4586" spans="35:68" x14ac:dyDescent="0.25">
      <c r="AI4586" s="49"/>
      <c r="AJ4586" s="78"/>
      <c r="AK4586" s="79"/>
      <c r="AL4586" s="79"/>
      <c r="AM4586" s="79"/>
      <c r="AN4586" s="79"/>
      <c r="AO4586" s="79"/>
      <c r="AP4586" s="79"/>
      <c r="AQ4586" s="79"/>
      <c r="AR4586" s="78"/>
      <c r="AS4586" s="78"/>
      <c r="AT4586" s="79"/>
      <c r="AU4586" s="79"/>
      <c r="AV4586" s="79"/>
      <c r="AW4586" s="79"/>
      <c r="AX4586" s="79"/>
      <c r="AZ4586" s="81"/>
      <c r="BB4586" s="5"/>
      <c r="BC4586" s="5"/>
      <c r="BD4586" s="5"/>
      <c r="BE4586" s="5"/>
      <c r="BF4586" s="5"/>
      <c r="BG4586" s="5"/>
      <c r="BH4586" s="5"/>
      <c r="BI4586" s="5"/>
      <c r="BJ4586" s="5"/>
      <c r="BK4586" s="5"/>
      <c r="BL4586" s="5"/>
      <c r="BM4586" s="5"/>
      <c r="BN4586" s="5"/>
      <c r="BO4586" s="5"/>
      <c r="BP4586" s="5"/>
    </row>
    <row r="4587" spans="35:68" x14ac:dyDescent="0.25">
      <c r="AI4587" s="49"/>
      <c r="AJ4587" s="78"/>
      <c r="AK4587" s="79"/>
      <c r="AL4587" s="79"/>
      <c r="AM4587" s="79"/>
      <c r="AN4587" s="79"/>
      <c r="AO4587" s="79"/>
      <c r="AP4587" s="79"/>
      <c r="AQ4587" s="79"/>
      <c r="AR4587" s="78"/>
      <c r="AS4587" s="78"/>
      <c r="AT4587" s="79"/>
      <c r="AU4587" s="79"/>
      <c r="AV4587" s="79"/>
      <c r="AW4587" s="79"/>
      <c r="AX4587" s="79"/>
      <c r="AZ4587" s="81"/>
      <c r="BB4587" s="5"/>
      <c r="BC4587" s="5"/>
      <c r="BD4587" s="5"/>
      <c r="BE4587" s="5"/>
      <c r="BF4587" s="5"/>
      <c r="BG4587" s="5"/>
      <c r="BH4587" s="5"/>
      <c r="BI4587" s="5"/>
      <c r="BJ4587" s="5"/>
      <c r="BK4587" s="5"/>
      <c r="BL4587" s="5"/>
      <c r="BM4587" s="5"/>
      <c r="BN4587" s="5"/>
      <c r="BO4587" s="5"/>
      <c r="BP4587" s="5"/>
    </row>
    <row r="4588" spans="35:68" x14ac:dyDescent="0.25">
      <c r="AI4588" s="49"/>
      <c r="AJ4588" s="78"/>
      <c r="AK4588" s="79"/>
      <c r="AL4588" s="79"/>
      <c r="AM4588" s="79"/>
      <c r="AN4588" s="79"/>
      <c r="AO4588" s="79"/>
      <c r="AP4588" s="79"/>
      <c r="AQ4588" s="79"/>
      <c r="AR4588" s="78"/>
      <c r="AS4588" s="78"/>
      <c r="AT4588" s="79"/>
      <c r="AU4588" s="79"/>
      <c r="AV4588" s="79"/>
      <c r="AW4588" s="79"/>
      <c r="AX4588" s="79"/>
      <c r="AZ4588" s="81"/>
      <c r="BB4588" s="5"/>
      <c r="BC4588" s="5"/>
      <c r="BD4588" s="5"/>
      <c r="BE4588" s="5"/>
      <c r="BF4588" s="5"/>
      <c r="BG4588" s="5"/>
      <c r="BH4588" s="5"/>
      <c r="BI4588" s="5"/>
      <c r="BJ4588" s="5"/>
      <c r="BK4588" s="5"/>
      <c r="BL4588" s="5"/>
      <c r="BM4588" s="5"/>
      <c r="BN4588" s="5"/>
      <c r="BO4588" s="5"/>
      <c r="BP4588" s="5"/>
    </row>
    <row r="4589" spans="35:68" x14ac:dyDescent="0.25">
      <c r="AI4589" s="49"/>
      <c r="AJ4589" s="78"/>
      <c r="AK4589" s="79"/>
      <c r="AL4589" s="79"/>
      <c r="AM4589" s="79"/>
      <c r="AN4589" s="79"/>
      <c r="AO4589" s="79"/>
      <c r="AP4589" s="79"/>
      <c r="AQ4589" s="79"/>
      <c r="AR4589" s="78"/>
      <c r="AS4589" s="78"/>
      <c r="AT4589" s="79"/>
      <c r="AU4589" s="79"/>
      <c r="AV4589" s="79"/>
      <c r="AW4589" s="79"/>
      <c r="AX4589" s="79"/>
      <c r="AZ4589" s="81"/>
      <c r="BB4589" s="5"/>
      <c r="BC4589" s="5"/>
      <c r="BD4589" s="5"/>
      <c r="BE4589" s="5"/>
      <c r="BF4589" s="5"/>
      <c r="BG4589" s="5"/>
      <c r="BH4589" s="5"/>
      <c r="BI4589" s="5"/>
      <c r="BJ4589" s="5"/>
      <c r="BK4589" s="5"/>
      <c r="BL4589" s="5"/>
      <c r="BM4589" s="5"/>
      <c r="BN4589" s="5"/>
      <c r="BO4589" s="5"/>
      <c r="BP4589" s="5"/>
    </row>
    <row r="4590" spans="35:68" x14ac:dyDescent="0.25">
      <c r="AI4590" s="49"/>
      <c r="AJ4590" s="78"/>
      <c r="AK4590" s="79"/>
      <c r="AL4590" s="79"/>
      <c r="AM4590" s="79"/>
      <c r="AN4590" s="79"/>
      <c r="AO4590" s="79"/>
      <c r="AP4590" s="79"/>
      <c r="AQ4590" s="79"/>
      <c r="AR4590" s="78"/>
      <c r="AS4590" s="78"/>
      <c r="AT4590" s="79"/>
      <c r="AU4590" s="79"/>
      <c r="AV4590" s="79"/>
      <c r="AW4590" s="79"/>
      <c r="AX4590" s="79"/>
      <c r="AZ4590" s="81"/>
      <c r="BB4590" s="5"/>
      <c r="BC4590" s="5"/>
      <c r="BD4590" s="5"/>
      <c r="BE4590" s="5"/>
      <c r="BF4590" s="5"/>
      <c r="BG4590" s="5"/>
      <c r="BH4590" s="5"/>
      <c r="BI4590" s="5"/>
      <c r="BJ4590" s="5"/>
      <c r="BK4590" s="5"/>
      <c r="BL4590" s="5"/>
      <c r="BM4590" s="5"/>
      <c r="BN4590" s="5"/>
      <c r="BO4590" s="5"/>
      <c r="BP4590" s="5"/>
    </row>
    <row r="4591" spans="35:68" x14ac:dyDescent="0.25">
      <c r="AI4591" s="49"/>
      <c r="AJ4591" s="78"/>
      <c r="AK4591" s="79"/>
      <c r="AL4591" s="79"/>
      <c r="AM4591" s="79"/>
      <c r="AN4591" s="79"/>
      <c r="AO4591" s="79"/>
      <c r="AP4591" s="79"/>
      <c r="AQ4591" s="79"/>
      <c r="AR4591" s="78"/>
      <c r="AS4591" s="78"/>
      <c r="AT4591" s="79"/>
      <c r="AU4591" s="79"/>
      <c r="AV4591" s="79"/>
      <c r="AW4591" s="79"/>
      <c r="AX4591" s="79"/>
      <c r="AZ4591" s="81"/>
      <c r="BB4591" s="5"/>
      <c r="BC4591" s="5"/>
      <c r="BD4591" s="5"/>
      <c r="BE4591" s="5"/>
      <c r="BF4591" s="5"/>
      <c r="BG4591" s="5"/>
      <c r="BH4591" s="5"/>
      <c r="BI4591" s="5"/>
      <c r="BJ4591" s="5"/>
      <c r="BK4591" s="5"/>
      <c r="BL4591" s="5"/>
      <c r="BM4591" s="5"/>
      <c r="BN4591" s="5"/>
      <c r="BO4591" s="5"/>
      <c r="BP4591" s="5"/>
    </row>
    <row r="4592" spans="35:68" x14ac:dyDescent="0.25">
      <c r="AI4592" s="49"/>
      <c r="AJ4592" s="78"/>
      <c r="AK4592" s="79"/>
      <c r="AL4592" s="79"/>
      <c r="AM4592" s="79"/>
      <c r="AN4592" s="79"/>
      <c r="AO4592" s="79"/>
      <c r="AP4592" s="79"/>
      <c r="AQ4592" s="79"/>
      <c r="AR4592" s="78"/>
      <c r="AS4592" s="78"/>
      <c r="AT4592" s="79"/>
      <c r="AU4592" s="79"/>
      <c r="AV4592" s="79"/>
      <c r="AW4592" s="79"/>
      <c r="AX4592" s="79"/>
      <c r="AZ4592" s="81"/>
      <c r="BB4592" s="5"/>
      <c r="BC4592" s="5"/>
      <c r="BD4592" s="5"/>
      <c r="BE4592" s="5"/>
      <c r="BF4592" s="5"/>
      <c r="BG4592" s="5"/>
      <c r="BH4592" s="5"/>
      <c r="BI4592" s="5"/>
      <c r="BJ4592" s="5"/>
      <c r="BK4592" s="5"/>
      <c r="BL4592" s="5"/>
      <c r="BM4592" s="5"/>
      <c r="BN4592" s="5"/>
      <c r="BO4592" s="5"/>
      <c r="BP4592" s="5"/>
    </row>
    <row r="4593" spans="35:68" x14ac:dyDescent="0.25">
      <c r="AI4593" s="49"/>
      <c r="AJ4593" s="78"/>
      <c r="AK4593" s="79"/>
      <c r="AL4593" s="79"/>
      <c r="AM4593" s="79"/>
      <c r="AN4593" s="79"/>
      <c r="AO4593" s="79"/>
      <c r="AP4593" s="79"/>
      <c r="AQ4593" s="79"/>
      <c r="AR4593" s="78"/>
      <c r="AS4593" s="78"/>
      <c r="AT4593" s="79"/>
      <c r="AU4593" s="79"/>
      <c r="AV4593" s="79"/>
      <c r="AW4593" s="79"/>
      <c r="AX4593" s="79"/>
      <c r="AZ4593" s="81"/>
      <c r="BB4593" s="5"/>
      <c r="BC4593" s="5"/>
      <c r="BD4593" s="5"/>
      <c r="BE4593" s="5"/>
      <c r="BF4593" s="5"/>
      <c r="BG4593" s="5"/>
      <c r="BH4593" s="5"/>
      <c r="BI4593" s="5"/>
      <c r="BJ4593" s="5"/>
      <c r="BK4593" s="5"/>
      <c r="BL4593" s="5"/>
      <c r="BM4593" s="5"/>
      <c r="BN4593" s="5"/>
      <c r="BO4593" s="5"/>
      <c r="BP4593" s="5"/>
    </row>
    <row r="4594" spans="35:68" x14ac:dyDescent="0.25">
      <c r="AI4594" s="49"/>
      <c r="AJ4594" s="78"/>
      <c r="AK4594" s="79"/>
      <c r="AL4594" s="79"/>
      <c r="AM4594" s="79"/>
      <c r="AN4594" s="79"/>
      <c r="AO4594" s="79"/>
      <c r="AP4594" s="79"/>
      <c r="AQ4594" s="79"/>
      <c r="AR4594" s="78"/>
      <c r="AS4594" s="78"/>
      <c r="AT4594" s="79"/>
      <c r="AU4594" s="79"/>
      <c r="AV4594" s="79"/>
      <c r="AW4594" s="79"/>
      <c r="AX4594" s="79"/>
      <c r="AZ4594" s="81"/>
      <c r="BB4594" s="5"/>
      <c r="BC4594" s="5"/>
      <c r="BD4594" s="5"/>
      <c r="BE4594" s="5"/>
      <c r="BF4594" s="5"/>
      <c r="BG4594" s="5"/>
      <c r="BH4594" s="5"/>
      <c r="BI4594" s="5"/>
      <c r="BJ4594" s="5"/>
      <c r="BK4594" s="5"/>
      <c r="BL4594" s="5"/>
      <c r="BM4594" s="5"/>
      <c r="BN4594" s="5"/>
      <c r="BO4594" s="5"/>
      <c r="BP4594" s="5"/>
    </row>
    <row r="4595" spans="35:68" x14ac:dyDescent="0.25">
      <c r="AI4595" s="49"/>
      <c r="AJ4595" s="78"/>
      <c r="AK4595" s="79"/>
      <c r="AL4595" s="79"/>
      <c r="AM4595" s="79"/>
      <c r="AN4595" s="79"/>
      <c r="AO4595" s="79"/>
      <c r="AP4595" s="79"/>
      <c r="AQ4595" s="79"/>
      <c r="AR4595" s="78"/>
      <c r="AS4595" s="78"/>
      <c r="AT4595" s="79"/>
      <c r="AU4595" s="79"/>
      <c r="AV4595" s="79"/>
      <c r="AW4595" s="79"/>
      <c r="AX4595" s="79"/>
      <c r="AZ4595" s="81"/>
      <c r="BB4595" s="5"/>
      <c r="BC4595" s="5"/>
      <c r="BD4595" s="5"/>
      <c r="BE4595" s="5"/>
      <c r="BF4595" s="5"/>
      <c r="BG4595" s="5"/>
      <c r="BH4595" s="5"/>
      <c r="BI4595" s="5"/>
      <c r="BJ4595" s="5"/>
      <c r="BK4595" s="5"/>
      <c r="BL4595" s="5"/>
      <c r="BM4595" s="5"/>
      <c r="BN4595" s="5"/>
      <c r="BO4595" s="5"/>
      <c r="BP4595" s="5"/>
    </row>
    <row r="4596" spans="35:68" x14ac:dyDescent="0.25">
      <c r="AI4596" s="49"/>
      <c r="AJ4596" s="78"/>
      <c r="AK4596" s="79"/>
      <c r="AL4596" s="79"/>
      <c r="AM4596" s="79"/>
      <c r="AN4596" s="79"/>
      <c r="AO4596" s="79"/>
      <c r="AP4596" s="79"/>
      <c r="AQ4596" s="79"/>
      <c r="AR4596" s="78"/>
      <c r="AS4596" s="78"/>
      <c r="AT4596" s="79"/>
      <c r="AU4596" s="79"/>
      <c r="AV4596" s="79"/>
      <c r="AW4596" s="79"/>
      <c r="AX4596" s="79"/>
      <c r="AZ4596" s="81"/>
      <c r="BB4596" s="5"/>
      <c r="BC4596" s="5"/>
      <c r="BD4596" s="5"/>
      <c r="BE4596" s="5"/>
      <c r="BF4596" s="5"/>
      <c r="BG4596" s="5"/>
      <c r="BH4596" s="5"/>
      <c r="BI4596" s="5"/>
      <c r="BJ4596" s="5"/>
      <c r="BK4596" s="5"/>
      <c r="BL4596" s="5"/>
      <c r="BM4596" s="5"/>
      <c r="BN4596" s="5"/>
      <c r="BO4596" s="5"/>
      <c r="BP4596" s="5"/>
    </row>
    <row r="4597" spans="35:68" x14ac:dyDescent="0.25">
      <c r="AI4597" s="49"/>
      <c r="AJ4597" s="78"/>
      <c r="AK4597" s="79"/>
      <c r="AL4597" s="79"/>
      <c r="AM4597" s="79"/>
      <c r="AN4597" s="79"/>
      <c r="AO4597" s="79"/>
      <c r="AP4597" s="79"/>
      <c r="AQ4597" s="79"/>
      <c r="AR4597" s="78"/>
      <c r="AS4597" s="78"/>
      <c r="AT4597" s="79"/>
      <c r="AU4597" s="79"/>
      <c r="AV4597" s="79"/>
      <c r="AW4597" s="79"/>
      <c r="AX4597" s="79"/>
      <c r="AZ4597" s="81"/>
      <c r="BB4597" s="5"/>
      <c r="BC4597" s="5"/>
      <c r="BD4597" s="5"/>
      <c r="BE4597" s="5"/>
      <c r="BF4597" s="5"/>
      <c r="BG4597" s="5"/>
      <c r="BH4597" s="5"/>
      <c r="BI4597" s="5"/>
      <c r="BJ4597" s="5"/>
      <c r="BK4597" s="5"/>
      <c r="BL4597" s="5"/>
      <c r="BM4597" s="5"/>
      <c r="BN4597" s="5"/>
      <c r="BO4597" s="5"/>
      <c r="BP4597" s="5"/>
    </row>
    <row r="4598" spans="35:68" x14ac:dyDescent="0.25">
      <c r="AI4598" s="49"/>
      <c r="AJ4598" s="78"/>
      <c r="AK4598" s="79"/>
      <c r="AL4598" s="79"/>
      <c r="AM4598" s="79"/>
      <c r="AN4598" s="79"/>
      <c r="AO4598" s="79"/>
      <c r="AP4598" s="79"/>
      <c r="AQ4598" s="79"/>
      <c r="AR4598" s="78"/>
      <c r="AS4598" s="78"/>
      <c r="AT4598" s="79"/>
      <c r="AU4598" s="79"/>
      <c r="AV4598" s="79"/>
      <c r="AW4598" s="79"/>
      <c r="AX4598" s="79"/>
      <c r="AZ4598" s="81"/>
      <c r="BB4598" s="5"/>
      <c r="BC4598" s="5"/>
      <c r="BD4598" s="5"/>
      <c r="BE4598" s="5"/>
      <c r="BF4598" s="5"/>
      <c r="BG4598" s="5"/>
      <c r="BH4598" s="5"/>
      <c r="BI4598" s="5"/>
      <c r="BJ4598" s="5"/>
      <c r="BK4598" s="5"/>
      <c r="BL4598" s="5"/>
      <c r="BM4598" s="5"/>
      <c r="BN4598" s="5"/>
      <c r="BO4598" s="5"/>
      <c r="BP4598" s="5"/>
    </row>
    <row r="4599" spans="35:68" x14ac:dyDescent="0.25">
      <c r="AI4599" s="49"/>
      <c r="AJ4599" s="78"/>
      <c r="AK4599" s="79"/>
      <c r="AL4599" s="79"/>
      <c r="AM4599" s="79"/>
      <c r="AN4599" s="79"/>
      <c r="AO4599" s="79"/>
      <c r="AP4599" s="79"/>
      <c r="AQ4599" s="79"/>
      <c r="AR4599" s="78"/>
      <c r="AS4599" s="78"/>
      <c r="AT4599" s="79"/>
      <c r="AU4599" s="79"/>
      <c r="AV4599" s="79"/>
      <c r="AW4599" s="79"/>
      <c r="AX4599" s="79"/>
      <c r="AZ4599" s="81"/>
      <c r="BB4599" s="5"/>
      <c r="BC4599" s="5"/>
      <c r="BD4599" s="5"/>
      <c r="BE4599" s="5"/>
      <c r="BF4599" s="5"/>
      <c r="BG4599" s="5"/>
      <c r="BH4599" s="5"/>
      <c r="BI4599" s="5"/>
      <c r="BJ4599" s="5"/>
      <c r="BK4599" s="5"/>
      <c r="BL4599" s="5"/>
      <c r="BM4599" s="5"/>
      <c r="BN4599" s="5"/>
      <c r="BO4599" s="5"/>
      <c r="BP4599" s="5"/>
    </row>
    <row r="4600" spans="35:68" x14ac:dyDescent="0.25">
      <c r="AI4600" s="49"/>
      <c r="AJ4600" s="78"/>
      <c r="AK4600" s="79"/>
      <c r="AL4600" s="79"/>
      <c r="AM4600" s="79"/>
      <c r="AN4600" s="79"/>
      <c r="AO4600" s="79"/>
      <c r="AP4600" s="79"/>
      <c r="AQ4600" s="79"/>
      <c r="AR4600" s="78"/>
      <c r="AS4600" s="78"/>
      <c r="AT4600" s="79"/>
      <c r="AU4600" s="79"/>
      <c r="AV4600" s="79"/>
      <c r="AW4600" s="79"/>
      <c r="AX4600" s="79"/>
      <c r="AZ4600" s="81"/>
      <c r="BB4600" s="5"/>
      <c r="BC4600" s="5"/>
      <c r="BD4600" s="5"/>
      <c r="BE4600" s="5"/>
      <c r="BF4600" s="5"/>
      <c r="BG4600" s="5"/>
      <c r="BH4600" s="5"/>
      <c r="BI4600" s="5"/>
      <c r="BJ4600" s="5"/>
      <c r="BK4600" s="5"/>
      <c r="BL4600" s="5"/>
      <c r="BM4600" s="5"/>
      <c r="BN4600" s="5"/>
      <c r="BO4600" s="5"/>
      <c r="BP4600" s="5"/>
    </row>
    <row r="4601" spans="35:68" x14ac:dyDescent="0.25">
      <c r="AI4601" s="49"/>
      <c r="AJ4601" s="78"/>
      <c r="AK4601" s="79"/>
      <c r="AL4601" s="79"/>
      <c r="AM4601" s="79"/>
      <c r="AN4601" s="79"/>
      <c r="AO4601" s="79"/>
      <c r="AP4601" s="79"/>
      <c r="AQ4601" s="79"/>
      <c r="AR4601" s="78"/>
      <c r="AS4601" s="78"/>
      <c r="AT4601" s="79"/>
      <c r="AU4601" s="79"/>
      <c r="AV4601" s="79"/>
      <c r="AW4601" s="79"/>
      <c r="AX4601" s="79"/>
      <c r="AZ4601" s="81"/>
      <c r="BB4601" s="5"/>
      <c r="BC4601" s="5"/>
      <c r="BD4601" s="5"/>
      <c r="BE4601" s="5"/>
      <c r="BF4601" s="5"/>
      <c r="BG4601" s="5"/>
      <c r="BH4601" s="5"/>
      <c r="BI4601" s="5"/>
      <c r="BJ4601" s="5"/>
      <c r="BK4601" s="5"/>
      <c r="BL4601" s="5"/>
      <c r="BM4601" s="5"/>
      <c r="BN4601" s="5"/>
      <c r="BO4601" s="5"/>
      <c r="BP4601" s="5"/>
    </row>
    <row r="4602" spans="35:68" x14ac:dyDescent="0.25">
      <c r="AI4602" s="49"/>
      <c r="AJ4602" s="78"/>
      <c r="AK4602" s="79"/>
      <c r="AL4602" s="79"/>
      <c r="AM4602" s="79"/>
      <c r="AN4602" s="79"/>
      <c r="AO4602" s="79"/>
      <c r="AP4602" s="79"/>
      <c r="AQ4602" s="79"/>
      <c r="AR4602" s="78"/>
      <c r="AS4602" s="78"/>
      <c r="AT4602" s="79"/>
      <c r="AU4602" s="79"/>
      <c r="AV4602" s="79"/>
      <c r="AW4602" s="79"/>
      <c r="AX4602" s="79"/>
      <c r="AZ4602" s="81"/>
      <c r="BB4602" s="5"/>
      <c r="BC4602" s="5"/>
      <c r="BD4602" s="5"/>
      <c r="BE4602" s="5"/>
      <c r="BF4602" s="5"/>
      <c r="BG4602" s="5"/>
      <c r="BH4602" s="5"/>
      <c r="BI4602" s="5"/>
      <c r="BJ4602" s="5"/>
      <c r="BK4602" s="5"/>
      <c r="BL4602" s="5"/>
      <c r="BM4602" s="5"/>
      <c r="BN4602" s="5"/>
      <c r="BO4602" s="5"/>
      <c r="BP4602" s="5"/>
    </row>
    <row r="4603" spans="35:68" x14ac:dyDescent="0.25">
      <c r="AI4603" s="49"/>
      <c r="AJ4603" s="78"/>
      <c r="AK4603" s="79"/>
      <c r="AL4603" s="79"/>
      <c r="AM4603" s="79"/>
      <c r="AN4603" s="79"/>
      <c r="AO4603" s="79"/>
      <c r="AP4603" s="79"/>
      <c r="AQ4603" s="79"/>
      <c r="AR4603" s="78"/>
      <c r="AS4603" s="78"/>
      <c r="AT4603" s="79"/>
      <c r="AU4603" s="79"/>
      <c r="AV4603" s="79"/>
      <c r="AW4603" s="79"/>
      <c r="AX4603" s="79"/>
      <c r="AZ4603" s="81"/>
      <c r="BB4603" s="5"/>
      <c r="BC4603" s="5"/>
      <c r="BD4603" s="5"/>
      <c r="BE4603" s="5"/>
      <c r="BF4603" s="5"/>
      <c r="BG4603" s="5"/>
      <c r="BH4603" s="5"/>
      <c r="BI4603" s="5"/>
      <c r="BJ4603" s="5"/>
      <c r="BK4603" s="5"/>
      <c r="BL4603" s="5"/>
      <c r="BM4603" s="5"/>
      <c r="BN4603" s="5"/>
      <c r="BO4603" s="5"/>
      <c r="BP4603" s="5"/>
    </row>
    <row r="4604" spans="35:68" x14ac:dyDescent="0.25">
      <c r="AI4604" s="49"/>
      <c r="AJ4604" s="78"/>
      <c r="AK4604" s="79"/>
      <c r="AL4604" s="79"/>
      <c r="AM4604" s="79"/>
      <c r="AN4604" s="79"/>
      <c r="AO4604" s="79"/>
      <c r="AP4604" s="79"/>
      <c r="AQ4604" s="79"/>
      <c r="AR4604" s="78"/>
      <c r="AS4604" s="78"/>
      <c r="AT4604" s="79"/>
      <c r="AU4604" s="79"/>
      <c r="AV4604" s="79"/>
      <c r="AW4604" s="79"/>
      <c r="AX4604" s="79"/>
      <c r="AZ4604" s="81"/>
      <c r="BB4604" s="5"/>
      <c r="BC4604" s="5"/>
      <c r="BD4604" s="5"/>
      <c r="BE4604" s="5"/>
      <c r="BF4604" s="5"/>
      <c r="BG4604" s="5"/>
      <c r="BH4604" s="5"/>
      <c r="BI4604" s="5"/>
      <c r="BJ4604" s="5"/>
      <c r="BK4604" s="5"/>
      <c r="BL4604" s="5"/>
      <c r="BM4604" s="5"/>
      <c r="BN4604" s="5"/>
      <c r="BO4604" s="5"/>
      <c r="BP4604" s="5"/>
    </row>
    <row r="4605" spans="35:68" x14ac:dyDescent="0.25">
      <c r="AI4605" s="49"/>
      <c r="AJ4605" s="78"/>
      <c r="AK4605" s="79"/>
      <c r="AL4605" s="79"/>
      <c r="AM4605" s="79"/>
      <c r="AN4605" s="79"/>
      <c r="AO4605" s="79"/>
      <c r="AP4605" s="79"/>
      <c r="AQ4605" s="79"/>
      <c r="AR4605" s="78"/>
      <c r="AS4605" s="78"/>
      <c r="AT4605" s="79"/>
      <c r="AU4605" s="79"/>
      <c r="AV4605" s="79"/>
      <c r="AW4605" s="79"/>
      <c r="AX4605" s="79"/>
      <c r="AZ4605" s="81"/>
      <c r="BB4605" s="5"/>
      <c r="BC4605" s="5"/>
      <c r="BD4605" s="5"/>
      <c r="BE4605" s="5"/>
      <c r="BF4605" s="5"/>
      <c r="BG4605" s="5"/>
      <c r="BH4605" s="5"/>
      <c r="BI4605" s="5"/>
      <c r="BJ4605" s="5"/>
      <c r="BK4605" s="5"/>
      <c r="BL4605" s="5"/>
      <c r="BM4605" s="5"/>
      <c r="BN4605" s="5"/>
      <c r="BO4605" s="5"/>
      <c r="BP4605" s="5"/>
    </row>
    <row r="4606" spans="35:68" x14ac:dyDescent="0.25">
      <c r="AI4606" s="49"/>
      <c r="AJ4606" s="78"/>
      <c r="AK4606" s="79"/>
      <c r="AL4606" s="79"/>
      <c r="AM4606" s="79"/>
      <c r="AN4606" s="79"/>
      <c r="AO4606" s="79"/>
      <c r="AP4606" s="79"/>
      <c r="AQ4606" s="79"/>
      <c r="AR4606" s="78"/>
      <c r="AS4606" s="78"/>
      <c r="AT4606" s="79"/>
      <c r="AU4606" s="79"/>
      <c r="AV4606" s="79"/>
      <c r="AW4606" s="79"/>
      <c r="AX4606" s="79"/>
      <c r="AZ4606" s="81"/>
      <c r="BB4606" s="5"/>
      <c r="BC4606" s="5"/>
      <c r="BD4606" s="5"/>
      <c r="BE4606" s="5"/>
      <c r="BF4606" s="5"/>
      <c r="BG4606" s="5"/>
      <c r="BH4606" s="5"/>
      <c r="BI4606" s="5"/>
      <c r="BJ4606" s="5"/>
      <c r="BK4606" s="5"/>
      <c r="BL4606" s="5"/>
      <c r="BM4606" s="5"/>
      <c r="BN4606" s="5"/>
      <c r="BO4606" s="5"/>
      <c r="BP4606" s="5"/>
    </row>
    <row r="4607" spans="35:68" x14ac:dyDescent="0.25">
      <c r="AI4607" s="49"/>
      <c r="AJ4607" s="78"/>
      <c r="AK4607" s="79"/>
      <c r="AL4607" s="79"/>
      <c r="AM4607" s="79"/>
      <c r="AN4607" s="79"/>
      <c r="AO4607" s="79"/>
      <c r="AP4607" s="79"/>
      <c r="AQ4607" s="79"/>
      <c r="AR4607" s="78"/>
      <c r="AS4607" s="78"/>
      <c r="AT4607" s="79"/>
      <c r="AU4607" s="79"/>
      <c r="AV4607" s="79"/>
      <c r="AW4607" s="79"/>
      <c r="AX4607" s="79"/>
      <c r="AZ4607" s="81"/>
      <c r="BB4607" s="5"/>
      <c r="BC4607" s="5"/>
      <c r="BD4607" s="5"/>
      <c r="BE4607" s="5"/>
      <c r="BF4607" s="5"/>
      <c r="BG4607" s="5"/>
      <c r="BH4607" s="5"/>
      <c r="BI4607" s="5"/>
      <c r="BJ4607" s="5"/>
      <c r="BK4607" s="5"/>
      <c r="BL4607" s="5"/>
      <c r="BM4607" s="5"/>
      <c r="BN4607" s="5"/>
      <c r="BO4607" s="5"/>
      <c r="BP4607" s="5"/>
    </row>
    <row r="4608" spans="35:68" x14ac:dyDescent="0.25">
      <c r="AI4608" s="49"/>
      <c r="AJ4608" s="78"/>
      <c r="AK4608" s="79"/>
      <c r="AL4608" s="79"/>
      <c r="AM4608" s="79"/>
      <c r="AN4608" s="79"/>
      <c r="AO4608" s="79"/>
      <c r="AP4608" s="79"/>
      <c r="AQ4608" s="79"/>
      <c r="AR4608" s="78"/>
      <c r="AS4608" s="78"/>
      <c r="AT4608" s="79"/>
      <c r="AU4608" s="79"/>
      <c r="AV4608" s="79"/>
      <c r="AW4608" s="79"/>
      <c r="AX4608" s="79"/>
      <c r="AZ4608" s="81"/>
      <c r="BB4608" s="5"/>
      <c r="BC4608" s="5"/>
      <c r="BD4608" s="5"/>
      <c r="BE4608" s="5"/>
      <c r="BF4608" s="5"/>
      <c r="BG4608" s="5"/>
      <c r="BH4608" s="5"/>
      <c r="BI4608" s="5"/>
      <c r="BJ4608" s="5"/>
      <c r="BK4608" s="5"/>
      <c r="BL4608" s="5"/>
      <c r="BM4608" s="5"/>
      <c r="BN4608" s="5"/>
      <c r="BO4608" s="5"/>
      <c r="BP4608" s="5"/>
    </row>
    <row r="4609" spans="35:68" x14ac:dyDescent="0.25">
      <c r="AI4609" s="49"/>
      <c r="AJ4609" s="78"/>
      <c r="AK4609" s="79"/>
      <c r="AL4609" s="79"/>
      <c r="AM4609" s="79"/>
      <c r="AN4609" s="79"/>
      <c r="AO4609" s="79"/>
      <c r="AP4609" s="79"/>
      <c r="AQ4609" s="79"/>
      <c r="AR4609" s="78"/>
      <c r="AS4609" s="78"/>
      <c r="AT4609" s="79"/>
      <c r="AU4609" s="79"/>
      <c r="AV4609" s="79"/>
      <c r="AW4609" s="79"/>
      <c r="AX4609" s="79"/>
      <c r="AZ4609" s="81"/>
      <c r="BB4609" s="5"/>
      <c r="BC4609" s="5"/>
      <c r="BD4609" s="5"/>
      <c r="BE4609" s="5"/>
      <c r="BF4609" s="5"/>
      <c r="BG4609" s="5"/>
      <c r="BH4609" s="5"/>
      <c r="BI4609" s="5"/>
      <c r="BJ4609" s="5"/>
      <c r="BK4609" s="5"/>
      <c r="BL4609" s="5"/>
      <c r="BM4609" s="5"/>
      <c r="BN4609" s="5"/>
      <c r="BO4609" s="5"/>
      <c r="BP4609" s="5"/>
    </row>
    <row r="4610" spans="35:68" x14ac:dyDescent="0.25">
      <c r="AI4610" s="49"/>
      <c r="AJ4610" s="78"/>
      <c r="AK4610" s="79"/>
      <c r="AL4610" s="79"/>
      <c r="AM4610" s="79"/>
      <c r="AN4610" s="79"/>
      <c r="AO4610" s="79"/>
      <c r="AP4610" s="79"/>
      <c r="AQ4610" s="79"/>
      <c r="AR4610" s="78"/>
      <c r="AS4610" s="78"/>
      <c r="AT4610" s="79"/>
      <c r="AU4610" s="79"/>
      <c r="AV4610" s="79"/>
      <c r="AW4610" s="79"/>
      <c r="AX4610" s="79"/>
      <c r="AZ4610" s="81"/>
      <c r="BB4610" s="5"/>
      <c r="BC4610" s="5"/>
      <c r="BD4610" s="5"/>
      <c r="BE4610" s="5"/>
      <c r="BF4610" s="5"/>
      <c r="BG4610" s="5"/>
      <c r="BH4610" s="5"/>
      <c r="BI4610" s="5"/>
      <c r="BJ4610" s="5"/>
      <c r="BK4610" s="5"/>
      <c r="BL4610" s="5"/>
      <c r="BM4610" s="5"/>
      <c r="BN4610" s="5"/>
      <c r="BO4610" s="5"/>
      <c r="BP4610" s="5"/>
    </row>
    <row r="4611" spans="35:68" x14ac:dyDescent="0.25">
      <c r="AI4611" s="49"/>
      <c r="AJ4611" s="78"/>
      <c r="AK4611" s="79"/>
      <c r="AL4611" s="79"/>
      <c r="AM4611" s="79"/>
      <c r="AN4611" s="79"/>
      <c r="AO4611" s="79"/>
      <c r="AP4611" s="79"/>
      <c r="AQ4611" s="79"/>
      <c r="AR4611" s="78"/>
      <c r="AS4611" s="78"/>
      <c r="AT4611" s="79"/>
      <c r="AU4611" s="79"/>
      <c r="AV4611" s="79"/>
      <c r="AW4611" s="79"/>
      <c r="AX4611" s="79"/>
      <c r="AZ4611" s="81"/>
      <c r="BB4611" s="5"/>
      <c r="BC4611" s="5"/>
      <c r="BD4611" s="5"/>
      <c r="BE4611" s="5"/>
      <c r="BF4611" s="5"/>
      <c r="BG4611" s="5"/>
      <c r="BH4611" s="5"/>
      <c r="BI4611" s="5"/>
      <c r="BJ4611" s="5"/>
      <c r="BK4611" s="5"/>
      <c r="BL4611" s="5"/>
      <c r="BM4611" s="5"/>
      <c r="BN4611" s="5"/>
      <c r="BO4611" s="5"/>
      <c r="BP4611" s="5"/>
    </row>
    <row r="4612" spans="35:68" x14ac:dyDescent="0.25">
      <c r="AI4612" s="49"/>
      <c r="AJ4612" s="78"/>
      <c r="AK4612" s="79"/>
      <c r="AL4612" s="79"/>
      <c r="AM4612" s="79"/>
      <c r="AN4612" s="79"/>
      <c r="AO4612" s="79"/>
      <c r="AP4612" s="79"/>
      <c r="AQ4612" s="79"/>
      <c r="AR4612" s="78"/>
      <c r="AS4612" s="78"/>
      <c r="AT4612" s="79"/>
      <c r="AU4612" s="79"/>
      <c r="AV4612" s="79"/>
      <c r="AW4612" s="79"/>
      <c r="AX4612" s="79"/>
      <c r="AZ4612" s="81"/>
      <c r="BB4612" s="5"/>
      <c r="BC4612" s="5"/>
      <c r="BD4612" s="5"/>
      <c r="BE4612" s="5"/>
      <c r="BF4612" s="5"/>
      <c r="BG4612" s="5"/>
      <c r="BH4612" s="5"/>
      <c r="BI4612" s="5"/>
      <c r="BJ4612" s="5"/>
      <c r="BK4612" s="5"/>
      <c r="BL4612" s="5"/>
      <c r="BM4612" s="5"/>
      <c r="BN4612" s="5"/>
      <c r="BO4612" s="5"/>
      <c r="BP4612" s="5"/>
    </row>
    <row r="4613" spans="35:68" x14ac:dyDescent="0.25">
      <c r="AI4613" s="49"/>
      <c r="AJ4613" s="78"/>
      <c r="AK4613" s="79"/>
      <c r="AL4613" s="79"/>
      <c r="AM4613" s="79"/>
      <c r="AN4613" s="79"/>
      <c r="AO4613" s="79"/>
      <c r="AP4613" s="79"/>
      <c r="AQ4613" s="79"/>
      <c r="AR4613" s="78"/>
      <c r="AS4613" s="78"/>
      <c r="AT4613" s="79"/>
      <c r="AU4613" s="79"/>
      <c r="AV4613" s="79"/>
      <c r="AW4613" s="79"/>
      <c r="AX4613" s="79"/>
      <c r="AZ4613" s="81"/>
      <c r="BB4613" s="5"/>
      <c r="BC4613" s="5"/>
      <c r="BD4613" s="5"/>
      <c r="BE4613" s="5"/>
      <c r="BF4613" s="5"/>
      <c r="BG4613" s="5"/>
      <c r="BH4613" s="5"/>
      <c r="BI4613" s="5"/>
      <c r="BJ4613" s="5"/>
      <c r="BK4613" s="5"/>
      <c r="BL4613" s="5"/>
      <c r="BM4613" s="5"/>
      <c r="BN4613" s="5"/>
      <c r="BO4613" s="5"/>
      <c r="BP4613" s="5"/>
    </row>
    <row r="4614" spans="35:68" x14ac:dyDescent="0.25">
      <c r="AI4614" s="49"/>
      <c r="AJ4614" s="78"/>
      <c r="AK4614" s="79"/>
      <c r="AL4614" s="79"/>
      <c r="AM4614" s="79"/>
      <c r="AN4614" s="79"/>
      <c r="AO4614" s="79"/>
      <c r="AP4614" s="79"/>
      <c r="AQ4614" s="79"/>
      <c r="AR4614" s="78"/>
      <c r="AS4614" s="78"/>
      <c r="AT4614" s="79"/>
      <c r="AU4614" s="79"/>
      <c r="AV4614" s="79"/>
      <c r="AW4614" s="79"/>
      <c r="AX4614" s="79"/>
      <c r="AZ4614" s="81"/>
      <c r="BB4614" s="5"/>
      <c r="BC4614" s="5"/>
      <c r="BD4614" s="5"/>
      <c r="BE4614" s="5"/>
      <c r="BF4614" s="5"/>
      <c r="BG4614" s="5"/>
      <c r="BH4614" s="5"/>
      <c r="BI4614" s="5"/>
      <c r="BJ4614" s="5"/>
      <c r="BK4614" s="5"/>
      <c r="BL4614" s="5"/>
      <c r="BM4614" s="5"/>
      <c r="BN4614" s="5"/>
      <c r="BO4614" s="5"/>
      <c r="BP4614" s="5"/>
    </row>
    <row r="4615" spans="35:68" x14ac:dyDescent="0.25">
      <c r="AI4615" s="49"/>
      <c r="AJ4615" s="78"/>
      <c r="AK4615" s="79"/>
      <c r="AL4615" s="79"/>
      <c r="AM4615" s="79"/>
      <c r="AN4615" s="79"/>
      <c r="AO4615" s="79"/>
      <c r="AP4615" s="79"/>
      <c r="AQ4615" s="79"/>
      <c r="AR4615" s="78"/>
      <c r="AS4615" s="78"/>
      <c r="AT4615" s="79"/>
      <c r="AU4615" s="79"/>
      <c r="AV4615" s="79"/>
      <c r="AW4615" s="79"/>
      <c r="AX4615" s="79"/>
      <c r="AZ4615" s="81"/>
      <c r="BB4615" s="5"/>
      <c r="BC4615" s="5"/>
      <c r="BD4615" s="5"/>
      <c r="BE4615" s="5"/>
      <c r="BF4615" s="5"/>
      <c r="BG4615" s="5"/>
      <c r="BH4615" s="5"/>
      <c r="BI4615" s="5"/>
      <c r="BJ4615" s="5"/>
      <c r="BK4615" s="5"/>
      <c r="BL4615" s="5"/>
      <c r="BM4615" s="5"/>
      <c r="BN4615" s="5"/>
      <c r="BO4615" s="5"/>
      <c r="BP4615" s="5"/>
    </row>
    <row r="4616" spans="35:68" x14ac:dyDescent="0.25">
      <c r="AI4616" s="49"/>
      <c r="AJ4616" s="78"/>
      <c r="AK4616" s="79"/>
      <c r="AL4616" s="79"/>
      <c r="AM4616" s="79"/>
      <c r="AN4616" s="79"/>
      <c r="AO4616" s="79"/>
      <c r="AP4616" s="79"/>
      <c r="AQ4616" s="79"/>
      <c r="AR4616" s="78"/>
      <c r="AS4616" s="78"/>
      <c r="AT4616" s="79"/>
      <c r="AU4616" s="79"/>
      <c r="AV4616" s="79"/>
      <c r="AW4616" s="79"/>
      <c r="AX4616" s="79"/>
      <c r="AZ4616" s="81"/>
      <c r="BB4616" s="5"/>
      <c r="BC4616" s="5"/>
      <c r="BD4616" s="5"/>
      <c r="BE4616" s="5"/>
      <c r="BF4616" s="5"/>
      <c r="BG4616" s="5"/>
      <c r="BH4616" s="5"/>
      <c r="BI4616" s="5"/>
      <c r="BJ4616" s="5"/>
      <c r="BK4616" s="5"/>
      <c r="BL4616" s="5"/>
      <c r="BM4616" s="5"/>
      <c r="BN4616" s="5"/>
      <c r="BO4616" s="5"/>
      <c r="BP4616" s="5"/>
    </row>
    <row r="4617" spans="35:68" x14ac:dyDescent="0.25">
      <c r="AI4617" s="49"/>
      <c r="AJ4617" s="78"/>
      <c r="AK4617" s="79"/>
      <c r="AL4617" s="79"/>
      <c r="AM4617" s="79"/>
      <c r="AN4617" s="79"/>
      <c r="AO4617" s="79"/>
      <c r="AP4617" s="79"/>
      <c r="AQ4617" s="79"/>
      <c r="AR4617" s="78"/>
      <c r="AS4617" s="78"/>
      <c r="AT4617" s="79"/>
      <c r="AU4617" s="79"/>
      <c r="AV4617" s="79"/>
      <c r="AW4617" s="79"/>
      <c r="AX4617" s="79"/>
      <c r="AZ4617" s="81"/>
      <c r="BB4617" s="5"/>
      <c r="BC4617" s="5"/>
      <c r="BD4617" s="5"/>
      <c r="BE4617" s="5"/>
      <c r="BF4617" s="5"/>
      <c r="BG4617" s="5"/>
      <c r="BH4617" s="5"/>
      <c r="BI4617" s="5"/>
      <c r="BJ4617" s="5"/>
      <c r="BK4617" s="5"/>
      <c r="BL4617" s="5"/>
      <c r="BM4617" s="5"/>
      <c r="BN4617" s="5"/>
      <c r="BO4617" s="5"/>
      <c r="BP4617" s="5"/>
    </row>
    <row r="4618" spans="35:68" x14ac:dyDescent="0.25">
      <c r="AI4618" s="49"/>
      <c r="AJ4618" s="78"/>
      <c r="AK4618" s="79"/>
      <c r="AL4618" s="79"/>
      <c r="AM4618" s="79"/>
      <c r="AN4618" s="79"/>
      <c r="AO4618" s="79"/>
      <c r="AP4618" s="79"/>
      <c r="AQ4618" s="79"/>
      <c r="AR4618" s="78"/>
      <c r="AS4618" s="78"/>
      <c r="AT4618" s="79"/>
      <c r="AU4618" s="79"/>
      <c r="AV4618" s="79"/>
      <c r="AW4618" s="79"/>
      <c r="AX4618" s="79"/>
      <c r="AZ4618" s="81"/>
      <c r="BB4618" s="5"/>
      <c r="BC4618" s="5"/>
      <c r="BD4618" s="5"/>
      <c r="BE4618" s="5"/>
      <c r="BF4618" s="5"/>
      <c r="BG4618" s="5"/>
      <c r="BH4618" s="5"/>
      <c r="BI4618" s="5"/>
      <c r="BJ4618" s="5"/>
      <c r="BK4618" s="5"/>
      <c r="BL4618" s="5"/>
      <c r="BM4618" s="5"/>
      <c r="BN4618" s="5"/>
      <c r="BO4618" s="5"/>
      <c r="BP4618" s="5"/>
    </row>
    <row r="4619" spans="35:68" x14ac:dyDescent="0.25">
      <c r="AI4619" s="49"/>
      <c r="AJ4619" s="78"/>
      <c r="AK4619" s="79"/>
      <c r="AL4619" s="79"/>
      <c r="AM4619" s="79"/>
      <c r="AN4619" s="79"/>
      <c r="AO4619" s="79"/>
      <c r="AP4619" s="79"/>
      <c r="AQ4619" s="79"/>
      <c r="AR4619" s="78"/>
      <c r="AS4619" s="78"/>
      <c r="AT4619" s="79"/>
      <c r="AU4619" s="79"/>
      <c r="AV4619" s="79"/>
      <c r="AW4619" s="79"/>
      <c r="AX4619" s="79"/>
      <c r="AZ4619" s="81"/>
      <c r="BB4619" s="5"/>
      <c r="BC4619" s="5"/>
      <c r="BD4619" s="5"/>
      <c r="BE4619" s="5"/>
      <c r="BF4619" s="5"/>
      <c r="BG4619" s="5"/>
      <c r="BH4619" s="5"/>
      <c r="BI4619" s="5"/>
      <c r="BJ4619" s="5"/>
      <c r="BK4619" s="5"/>
      <c r="BL4619" s="5"/>
      <c r="BM4619" s="5"/>
      <c r="BN4619" s="5"/>
      <c r="BO4619" s="5"/>
      <c r="BP4619" s="5"/>
    </row>
    <row r="4620" spans="35:68" x14ac:dyDescent="0.25">
      <c r="AI4620" s="49"/>
      <c r="AJ4620" s="78"/>
      <c r="AK4620" s="79"/>
      <c r="AL4620" s="79"/>
      <c r="AM4620" s="79"/>
      <c r="AN4620" s="79"/>
      <c r="AO4620" s="79"/>
      <c r="AP4620" s="79"/>
      <c r="AQ4620" s="79"/>
      <c r="AR4620" s="78"/>
      <c r="AS4620" s="78"/>
      <c r="AT4620" s="79"/>
      <c r="AU4620" s="79"/>
      <c r="AV4620" s="79"/>
      <c r="AW4620" s="79"/>
      <c r="AX4620" s="79"/>
      <c r="AZ4620" s="81"/>
      <c r="BB4620" s="5"/>
      <c r="BC4620" s="5"/>
      <c r="BD4620" s="5"/>
      <c r="BE4620" s="5"/>
      <c r="BF4620" s="5"/>
      <c r="BG4620" s="5"/>
      <c r="BH4620" s="5"/>
      <c r="BI4620" s="5"/>
      <c r="BJ4620" s="5"/>
      <c r="BK4620" s="5"/>
      <c r="BL4620" s="5"/>
      <c r="BM4620" s="5"/>
      <c r="BN4620" s="5"/>
      <c r="BO4620" s="5"/>
      <c r="BP4620" s="5"/>
    </row>
    <row r="4621" spans="35:68" x14ac:dyDescent="0.25">
      <c r="AI4621" s="49"/>
      <c r="AJ4621" s="78"/>
      <c r="AK4621" s="79"/>
      <c r="AL4621" s="79"/>
      <c r="AM4621" s="79"/>
      <c r="AN4621" s="79"/>
      <c r="AO4621" s="79"/>
      <c r="AP4621" s="79"/>
      <c r="AQ4621" s="79"/>
      <c r="AR4621" s="78"/>
      <c r="AS4621" s="78"/>
      <c r="AT4621" s="79"/>
      <c r="AU4621" s="79"/>
      <c r="AV4621" s="79"/>
      <c r="AW4621" s="79"/>
      <c r="AX4621" s="79"/>
      <c r="AZ4621" s="81"/>
      <c r="BB4621" s="5"/>
      <c r="BC4621" s="5"/>
      <c r="BD4621" s="5"/>
      <c r="BE4621" s="5"/>
      <c r="BF4621" s="5"/>
      <c r="BG4621" s="5"/>
      <c r="BH4621" s="5"/>
      <c r="BI4621" s="5"/>
      <c r="BJ4621" s="5"/>
      <c r="BK4621" s="5"/>
      <c r="BL4621" s="5"/>
      <c r="BM4621" s="5"/>
      <c r="BN4621" s="5"/>
      <c r="BO4621" s="5"/>
      <c r="BP4621" s="5"/>
    </row>
    <row r="4622" spans="35:68" x14ac:dyDescent="0.25">
      <c r="AI4622" s="49"/>
      <c r="AJ4622" s="78"/>
      <c r="AK4622" s="79"/>
      <c r="AL4622" s="79"/>
      <c r="AM4622" s="79"/>
      <c r="AN4622" s="79"/>
      <c r="AO4622" s="79"/>
      <c r="AP4622" s="79"/>
      <c r="AQ4622" s="79"/>
      <c r="AR4622" s="78"/>
      <c r="AS4622" s="78"/>
      <c r="AT4622" s="79"/>
      <c r="AU4622" s="79"/>
      <c r="AV4622" s="79"/>
      <c r="AW4622" s="79"/>
      <c r="AX4622" s="79"/>
      <c r="AZ4622" s="81"/>
      <c r="BB4622" s="5"/>
      <c r="BC4622" s="5"/>
      <c r="BD4622" s="5"/>
      <c r="BE4622" s="5"/>
      <c r="BF4622" s="5"/>
      <c r="BG4622" s="5"/>
      <c r="BH4622" s="5"/>
      <c r="BI4622" s="5"/>
      <c r="BJ4622" s="5"/>
      <c r="BK4622" s="5"/>
      <c r="BL4622" s="5"/>
      <c r="BM4622" s="5"/>
      <c r="BN4622" s="5"/>
      <c r="BO4622" s="5"/>
      <c r="BP4622" s="5"/>
    </row>
    <row r="4623" spans="35:68" x14ac:dyDescent="0.25">
      <c r="AI4623" s="49"/>
      <c r="AJ4623" s="78"/>
      <c r="AK4623" s="79"/>
      <c r="AL4623" s="79"/>
      <c r="AM4623" s="79"/>
      <c r="AN4623" s="79"/>
      <c r="AO4623" s="79"/>
      <c r="AP4623" s="79"/>
      <c r="AQ4623" s="79"/>
      <c r="AR4623" s="78"/>
      <c r="AS4623" s="78"/>
      <c r="AT4623" s="79"/>
      <c r="AU4623" s="79"/>
      <c r="AV4623" s="79"/>
      <c r="AW4623" s="79"/>
      <c r="AX4623" s="79"/>
      <c r="AZ4623" s="81"/>
      <c r="BB4623" s="5"/>
      <c r="BC4623" s="5"/>
      <c r="BD4623" s="5"/>
      <c r="BE4623" s="5"/>
      <c r="BF4623" s="5"/>
      <c r="BG4623" s="5"/>
      <c r="BH4623" s="5"/>
      <c r="BI4623" s="5"/>
      <c r="BJ4623" s="5"/>
      <c r="BK4623" s="5"/>
      <c r="BL4623" s="5"/>
      <c r="BM4623" s="5"/>
      <c r="BN4623" s="5"/>
      <c r="BO4623" s="5"/>
      <c r="BP4623" s="5"/>
    </row>
    <row r="4624" spans="35:68" x14ac:dyDescent="0.25">
      <c r="AI4624" s="49"/>
      <c r="AJ4624" s="78"/>
      <c r="AK4624" s="79"/>
      <c r="AL4624" s="79"/>
      <c r="AM4624" s="79"/>
      <c r="AN4624" s="79"/>
      <c r="AO4624" s="79"/>
      <c r="AP4624" s="79"/>
      <c r="AQ4624" s="79"/>
      <c r="AR4624" s="78"/>
      <c r="AS4624" s="78"/>
      <c r="AT4624" s="79"/>
      <c r="AU4624" s="79"/>
      <c r="AV4624" s="79"/>
      <c r="AW4624" s="79"/>
      <c r="AX4624" s="79"/>
      <c r="AZ4624" s="81"/>
      <c r="BB4624" s="5"/>
      <c r="BC4624" s="5"/>
      <c r="BD4624" s="5"/>
      <c r="BE4624" s="5"/>
      <c r="BF4624" s="5"/>
      <c r="BG4624" s="5"/>
      <c r="BH4624" s="5"/>
      <c r="BI4624" s="5"/>
      <c r="BJ4624" s="5"/>
      <c r="BK4624" s="5"/>
      <c r="BL4624" s="5"/>
      <c r="BM4624" s="5"/>
      <c r="BN4624" s="5"/>
      <c r="BO4624" s="5"/>
      <c r="BP4624" s="5"/>
    </row>
    <row r="4625" spans="35:68" x14ac:dyDescent="0.25">
      <c r="AI4625" s="49"/>
      <c r="AJ4625" s="78"/>
      <c r="AK4625" s="79"/>
      <c r="AL4625" s="79"/>
      <c r="AM4625" s="79"/>
      <c r="AN4625" s="79"/>
      <c r="AO4625" s="79"/>
      <c r="AP4625" s="79"/>
      <c r="AQ4625" s="79"/>
      <c r="AR4625" s="78"/>
      <c r="AS4625" s="78"/>
      <c r="AT4625" s="79"/>
      <c r="AU4625" s="79"/>
      <c r="AV4625" s="79"/>
      <c r="AW4625" s="79"/>
      <c r="AX4625" s="79"/>
      <c r="AZ4625" s="81"/>
      <c r="BB4625" s="5"/>
      <c r="BC4625" s="5"/>
      <c r="BD4625" s="5"/>
      <c r="BE4625" s="5"/>
      <c r="BF4625" s="5"/>
      <c r="BG4625" s="5"/>
      <c r="BH4625" s="5"/>
      <c r="BI4625" s="5"/>
      <c r="BJ4625" s="5"/>
      <c r="BK4625" s="5"/>
      <c r="BL4625" s="5"/>
      <c r="BM4625" s="5"/>
      <c r="BN4625" s="5"/>
      <c r="BO4625" s="5"/>
      <c r="BP4625" s="5"/>
    </row>
    <row r="4626" spans="35:68" x14ac:dyDescent="0.25">
      <c r="AI4626" s="49"/>
      <c r="AJ4626" s="78"/>
      <c r="AK4626" s="79"/>
      <c r="AL4626" s="79"/>
      <c r="AM4626" s="79"/>
      <c r="AN4626" s="79"/>
      <c r="AO4626" s="79"/>
      <c r="AP4626" s="79"/>
      <c r="AQ4626" s="79"/>
      <c r="AR4626" s="78"/>
      <c r="AS4626" s="78"/>
      <c r="AT4626" s="79"/>
      <c r="AU4626" s="79"/>
      <c r="AV4626" s="79"/>
      <c r="AW4626" s="79"/>
      <c r="AX4626" s="79"/>
      <c r="AZ4626" s="81"/>
      <c r="BB4626" s="5"/>
      <c r="BC4626" s="5"/>
      <c r="BD4626" s="5"/>
      <c r="BE4626" s="5"/>
      <c r="BF4626" s="5"/>
      <c r="BG4626" s="5"/>
      <c r="BH4626" s="5"/>
      <c r="BI4626" s="5"/>
      <c r="BJ4626" s="5"/>
      <c r="BK4626" s="5"/>
      <c r="BL4626" s="5"/>
      <c r="BM4626" s="5"/>
      <c r="BN4626" s="5"/>
      <c r="BO4626" s="5"/>
      <c r="BP4626" s="5"/>
    </row>
    <row r="4627" spans="35:68" x14ac:dyDescent="0.25">
      <c r="AI4627" s="49"/>
      <c r="AJ4627" s="78"/>
      <c r="AK4627" s="79"/>
      <c r="AL4627" s="79"/>
      <c r="AM4627" s="79"/>
      <c r="AN4627" s="79"/>
      <c r="AO4627" s="79"/>
      <c r="AP4627" s="79"/>
      <c r="AQ4627" s="79"/>
      <c r="AR4627" s="78"/>
      <c r="AS4627" s="78"/>
      <c r="AT4627" s="79"/>
      <c r="AU4627" s="79"/>
      <c r="AV4627" s="79"/>
      <c r="AW4627" s="79"/>
      <c r="AX4627" s="79"/>
      <c r="AZ4627" s="81"/>
      <c r="BB4627" s="5"/>
      <c r="BC4627" s="5"/>
      <c r="BD4627" s="5"/>
      <c r="BE4627" s="5"/>
      <c r="BF4627" s="5"/>
      <c r="BG4627" s="5"/>
      <c r="BH4627" s="5"/>
      <c r="BI4627" s="5"/>
      <c r="BJ4627" s="5"/>
      <c r="BK4627" s="5"/>
      <c r="BL4627" s="5"/>
      <c r="BM4627" s="5"/>
      <c r="BN4627" s="5"/>
      <c r="BO4627" s="5"/>
      <c r="BP4627" s="5"/>
    </row>
    <row r="4628" spans="35:68" x14ac:dyDescent="0.25">
      <c r="AI4628" s="49"/>
      <c r="AJ4628" s="78"/>
      <c r="AK4628" s="79"/>
      <c r="AL4628" s="79"/>
      <c r="AM4628" s="79"/>
      <c r="AN4628" s="79"/>
      <c r="AO4628" s="79"/>
      <c r="AP4628" s="79"/>
      <c r="AQ4628" s="79"/>
      <c r="AR4628" s="78"/>
      <c r="AS4628" s="78"/>
      <c r="AT4628" s="79"/>
      <c r="AU4628" s="79"/>
      <c r="AV4628" s="79"/>
      <c r="AW4628" s="79"/>
      <c r="AX4628" s="79"/>
      <c r="AZ4628" s="81"/>
      <c r="BB4628" s="5"/>
      <c r="BC4628" s="5"/>
      <c r="BD4628" s="5"/>
      <c r="BE4628" s="5"/>
      <c r="BF4628" s="5"/>
      <c r="BG4628" s="5"/>
      <c r="BH4628" s="5"/>
      <c r="BI4628" s="5"/>
      <c r="BJ4628" s="5"/>
      <c r="BK4628" s="5"/>
      <c r="BL4628" s="5"/>
      <c r="BM4628" s="5"/>
      <c r="BN4628" s="5"/>
      <c r="BO4628" s="5"/>
      <c r="BP4628" s="5"/>
    </row>
    <row r="4629" spans="35:68" x14ac:dyDescent="0.25">
      <c r="AI4629" s="49"/>
      <c r="AJ4629" s="78"/>
      <c r="AK4629" s="79"/>
      <c r="AL4629" s="79"/>
      <c r="AM4629" s="79"/>
      <c r="AN4629" s="79"/>
      <c r="AO4629" s="79"/>
      <c r="AP4629" s="79"/>
      <c r="AQ4629" s="79"/>
      <c r="AR4629" s="78"/>
      <c r="AS4629" s="78"/>
      <c r="AT4629" s="79"/>
      <c r="AU4629" s="79"/>
      <c r="AV4629" s="79"/>
      <c r="AW4629" s="79"/>
      <c r="AX4629" s="79"/>
      <c r="AZ4629" s="81"/>
      <c r="BB4629" s="5"/>
      <c r="BC4629" s="5"/>
      <c r="BD4629" s="5"/>
      <c r="BE4629" s="5"/>
      <c r="BF4629" s="5"/>
      <c r="BG4629" s="5"/>
      <c r="BH4629" s="5"/>
      <c r="BI4629" s="5"/>
      <c r="BJ4629" s="5"/>
      <c r="BK4629" s="5"/>
      <c r="BL4629" s="5"/>
      <c r="BM4629" s="5"/>
      <c r="BN4629" s="5"/>
      <c r="BO4629" s="5"/>
      <c r="BP4629" s="5"/>
    </row>
    <row r="4630" spans="35:68" x14ac:dyDescent="0.25">
      <c r="AI4630" s="49"/>
      <c r="AJ4630" s="78"/>
      <c r="AK4630" s="79"/>
      <c r="AL4630" s="79"/>
      <c r="AM4630" s="79"/>
      <c r="AN4630" s="79"/>
      <c r="AO4630" s="79"/>
      <c r="AP4630" s="79"/>
      <c r="AQ4630" s="79"/>
      <c r="AR4630" s="78"/>
      <c r="AS4630" s="78"/>
      <c r="AT4630" s="79"/>
      <c r="AU4630" s="79"/>
      <c r="AV4630" s="79"/>
      <c r="AW4630" s="79"/>
      <c r="AX4630" s="79"/>
      <c r="AZ4630" s="81"/>
      <c r="BB4630" s="5"/>
      <c r="BC4630" s="5"/>
      <c r="BD4630" s="5"/>
      <c r="BE4630" s="5"/>
      <c r="BF4630" s="5"/>
      <c r="BG4630" s="5"/>
      <c r="BH4630" s="5"/>
      <c r="BI4630" s="5"/>
      <c r="BJ4630" s="5"/>
      <c r="BK4630" s="5"/>
      <c r="BL4630" s="5"/>
      <c r="BM4630" s="5"/>
      <c r="BN4630" s="5"/>
      <c r="BO4630" s="5"/>
      <c r="BP4630" s="5"/>
    </row>
    <row r="4631" spans="35:68" x14ac:dyDescent="0.25">
      <c r="AI4631" s="49"/>
      <c r="AJ4631" s="78"/>
      <c r="AK4631" s="79"/>
      <c r="AL4631" s="79"/>
      <c r="AM4631" s="79"/>
      <c r="AN4631" s="79"/>
      <c r="AO4631" s="79"/>
      <c r="AP4631" s="79"/>
      <c r="AQ4631" s="79"/>
      <c r="AR4631" s="78"/>
      <c r="AS4631" s="78"/>
      <c r="AT4631" s="79"/>
      <c r="AU4631" s="79"/>
      <c r="AV4631" s="79"/>
      <c r="AW4631" s="79"/>
      <c r="AX4631" s="79"/>
      <c r="AZ4631" s="81"/>
      <c r="BB4631" s="5"/>
      <c r="BC4631" s="5"/>
      <c r="BD4631" s="5"/>
      <c r="BE4631" s="5"/>
      <c r="BF4631" s="5"/>
      <c r="BG4631" s="5"/>
      <c r="BH4631" s="5"/>
      <c r="BI4631" s="5"/>
      <c r="BJ4631" s="5"/>
      <c r="BK4631" s="5"/>
      <c r="BL4631" s="5"/>
      <c r="BM4631" s="5"/>
      <c r="BN4631" s="5"/>
      <c r="BO4631" s="5"/>
      <c r="BP4631" s="5"/>
    </row>
    <row r="4632" spans="35:68" x14ac:dyDescent="0.25">
      <c r="AI4632" s="49"/>
      <c r="AJ4632" s="78"/>
      <c r="AK4632" s="79"/>
      <c r="AL4632" s="79"/>
      <c r="AM4632" s="79"/>
      <c r="AN4632" s="79"/>
      <c r="AO4632" s="79"/>
      <c r="AP4632" s="79"/>
      <c r="AQ4632" s="79"/>
      <c r="AR4632" s="78"/>
      <c r="AS4632" s="78"/>
      <c r="AT4632" s="79"/>
      <c r="AU4632" s="79"/>
      <c r="AV4632" s="79"/>
      <c r="AW4632" s="79"/>
      <c r="AX4632" s="79"/>
      <c r="AZ4632" s="81"/>
      <c r="BB4632" s="5"/>
      <c r="BC4632" s="5"/>
      <c r="BD4632" s="5"/>
      <c r="BE4632" s="5"/>
      <c r="BF4632" s="5"/>
      <c r="BG4632" s="5"/>
      <c r="BH4632" s="5"/>
      <c r="BI4632" s="5"/>
      <c r="BJ4632" s="5"/>
      <c r="BK4632" s="5"/>
      <c r="BL4632" s="5"/>
      <c r="BM4632" s="5"/>
      <c r="BN4632" s="5"/>
      <c r="BO4632" s="5"/>
      <c r="BP4632" s="5"/>
    </row>
    <row r="4633" spans="35:68" x14ac:dyDescent="0.25">
      <c r="AI4633" s="49"/>
      <c r="AJ4633" s="78"/>
      <c r="AK4633" s="79"/>
      <c r="AL4633" s="79"/>
      <c r="AM4633" s="79"/>
      <c r="AN4633" s="79"/>
      <c r="AO4633" s="79"/>
      <c r="AP4633" s="79"/>
      <c r="AQ4633" s="79"/>
      <c r="AR4633" s="78"/>
      <c r="AS4633" s="78"/>
      <c r="AT4633" s="79"/>
      <c r="AU4633" s="79"/>
      <c r="AV4633" s="79"/>
      <c r="AW4633" s="79"/>
      <c r="AX4633" s="79"/>
      <c r="AZ4633" s="81"/>
      <c r="BB4633" s="5"/>
      <c r="BC4633" s="5"/>
      <c r="BD4633" s="5"/>
      <c r="BE4633" s="5"/>
      <c r="BF4633" s="5"/>
      <c r="BG4633" s="5"/>
      <c r="BH4633" s="5"/>
      <c r="BI4633" s="5"/>
      <c r="BJ4633" s="5"/>
      <c r="BK4633" s="5"/>
      <c r="BL4633" s="5"/>
      <c r="BM4633" s="5"/>
      <c r="BN4633" s="5"/>
      <c r="BO4633" s="5"/>
      <c r="BP4633" s="5"/>
    </row>
    <row r="4634" spans="35:68" x14ac:dyDescent="0.25">
      <c r="AI4634" s="49"/>
      <c r="AJ4634" s="78"/>
      <c r="AK4634" s="79"/>
      <c r="AL4634" s="79"/>
      <c r="AM4634" s="79"/>
      <c r="AN4634" s="79"/>
      <c r="AO4634" s="79"/>
      <c r="AP4634" s="79"/>
      <c r="AQ4634" s="79"/>
      <c r="AR4634" s="78"/>
      <c r="AS4634" s="78"/>
      <c r="AT4634" s="79"/>
      <c r="AU4634" s="79"/>
      <c r="AV4634" s="79"/>
      <c r="AW4634" s="79"/>
      <c r="AX4634" s="79"/>
      <c r="AZ4634" s="81"/>
      <c r="BB4634" s="5"/>
      <c r="BC4634" s="5"/>
      <c r="BD4634" s="5"/>
      <c r="BE4634" s="5"/>
      <c r="BF4634" s="5"/>
      <c r="BG4634" s="5"/>
      <c r="BH4634" s="5"/>
      <c r="BI4634" s="5"/>
      <c r="BJ4634" s="5"/>
      <c r="BK4634" s="5"/>
      <c r="BL4634" s="5"/>
      <c r="BM4634" s="5"/>
      <c r="BN4634" s="5"/>
      <c r="BO4634" s="5"/>
      <c r="BP4634" s="5"/>
    </row>
    <row r="4635" spans="35:68" x14ac:dyDescent="0.25">
      <c r="AI4635" s="49"/>
      <c r="AJ4635" s="78"/>
      <c r="AK4635" s="79"/>
      <c r="AL4635" s="79"/>
      <c r="AM4635" s="79"/>
      <c r="AN4635" s="79"/>
      <c r="AO4635" s="79"/>
      <c r="AP4635" s="79"/>
      <c r="AQ4635" s="79"/>
      <c r="AR4635" s="78"/>
      <c r="AS4635" s="78"/>
      <c r="AT4635" s="79"/>
      <c r="AU4635" s="79"/>
      <c r="AV4635" s="79"/>
      <c r="AW4635" s="79"/>
      <c r="AX4635" s="79"/>
      <c r="AZ4635" s="81"/>
      <c r="BB4635" s="5"/>
      <c r="BC4635" s="5"/>
      <c r="BD4635" s="5"/>
      <c r="BE4635" s="5"/>
      <c r="BF4635" s="5"/>
      <c r="BG4635" s="5"/>
      <c r="BH4635" s="5"/>
      <c r="BI4635" s="5"/>
      <c r="BJ4635" s="5"/>
      <c r="BK4635" s="5"/>
      <c r="BL4635" s="5"/>
      <c r="BM4635" s="5"/>
      <c r="BN4635" s="5"/>
      <c r="BO4635" s="5"/>
      <c r="BP4635" s="5"/>
    </row>
    <row r="4636" spans="35:68" x14ac:dyDescent="0.25">
      <c r="AI4636" s="49"/>
      <c r="AJ4636" s="78"/>
      <c r="AK4636" s="79"/>
      <c r="AL4636" s="79"/>
      <c r="AM4636" s="79"/>
      <c r="AN4636" s="79"/>
      <c r="AO4636" s="79"/>
      <c r="AP4636" s="79"/>
      <c r="AQ4636" s="79"/>
      <c r="AR4636" s="78"/>
      <c r="AS4636" s="78"/>
      <c r="AT4636" s="79"/>
      <c r="AU4636" s="79"/>
      <c r="AV4636" s="79"/>
      <c r="AW4636" s="79"/>
      <c r="AX4636" s="79"/>
      <c r="AZ4636" s="81"/>
      <c r="BB4636" s="5"/>
      <c r="BC4636" s="5"/>
      <c r="BD4636" s="5"/>
      <c r="BE4636" s="5"/>
      <c r="BF4636" s="5"/>
      <c r="BG4636" s="5"/>
      <c r="BH4636" s="5"/>
      <c r="BI4636" s="5"/>
      <c r="BJ4636" s="5"/>
      <c r="BK4636" s="5"/>
      <c r="BL4636" s="5"/>
      <c r="BM4636" s="5"/>
      <c r="BN4636" s="5"/>
      <c r="BO4636" s="5"/>
      <c r="BP4636" s="5"/>
    </row>
    <row r="4637" spans="35:68" x14ac:dyDescent="0.25">
      <c r="AI4637" s="49"/>
      <c r="AJ4637" s="78"/>
      <c r="AK4637" s="79"/>
      <c r="AL4637" s="79"/>
      <c r="AM4637" s="79"/>
      <c r="AN4637" s="79"/>
      <c r="AO4637" s="79"/>
      <c r="AP4637" s="79"/>
      <c r="AQ4637" s="79"/>
      <c r="AR4637" s="78"/>
      <c r="AS4637" s="78"/>
      <c r="AT4637" s="79"/>
      <c r="AU4637" s="79"/>
      <c r="AV4637" s="79"/>
      <c r="AW4637" s="79"/>
      <c r="AX4637" s="79"/>
      <c r="AZ4637" s="81"/>
      <c r="BB4637" s="5"/>
      <c r="BC4637" s="5"/>
      <c r="BD4637" s="5"/>
      <c r="BE4637" s="5"/>
      <c r="BF4637" s="5"/>
      <c r="BG4637" s="5"/>
      <c r="BH4637" s="5"/>
      <c r="BI4637" s="5"/>
      <c r="BJ4637" s="5"/>
      <c r="BK4637" s="5"/>
      <c r="BL4637" s="5"/>
      <c r="BM4637" s="5"/>
      <c r="BN4637" s="5"/>
      <c r="BO4637" s="5"/>
      <c r="BP4637" s="5"/>
    </row>
    <row r="4638" spans="35:68" x14ac:dyDescent="0.25">
      <c r="AI4638" s="49"/>
      <c r="AJ4638" s="78"/>
      <c r="AK4638" s="79"/>
      <c r="AL4638" s="79"/>
      <c r="AM4638" s="79"/>
      <c r="AN4638" s="79"/>
      <c r="AO4638" s="79"/>
      <c r="AP4638" s="79"/>
      <c r="AQ4638" s="79"/>
      <c r="AR4638" s="78"/>
      <c r="AS4638" s="78"/>
      <c r="AT4638" s="79"/>
      <c r="AU4638" s="79"/>
      <c r="AV4638" s="79"/>
      <c r="AW4638" s="79"/>
      <c r="AX4638" s="79"/>
      <c r="AZ4638" s="81"/>
      <c r="BB4638" s="5"/>
      <c r="BC4638" s="5"/>
      <c r="BD4638" s="5"/>
      <c r="BE4638" s="5"/>
      <c r="BF4638" s="5"/>
      <c r="BG4638" s="5"/>
      <c r="BH4638" s="5"/>
      <c r="BI4638" s="5"/>
      <c r="BJ4638" s="5"/>
      <c r="BK4638" s="5"/>
      <c r="BL4638" s="5"/>
      <c r="BM4638" s="5"/>
      <c r="BN4638" s="5"/>
      <c r="BO4638" s="5"/>
      <c r="BP4638" s="5"/>
    </row>
    <row r="4639" spans="35:68" x14ac:dyDescent="0.25">
      <c r="AI4639" s="49"/>
      <c r="AJ4639" s="78"/>
      <c r="AK4639" s="79"/>
      <c r="AL4639" s="79"/>
      <c r="AM4639" s="79"/>
      <c r="AN4639" s="79"/>
      <c r="AO4639" s="79"/>
      <c r="AP4639" s="79"/>
      <c r="AQ4639" s="79"/>
      <c r="AR4639" s="78"/>
      <c r="AS4639" s="78"/>
      <c r="AT4639" s="79"/>
      <c r="AU4639" s="79"/>
      <c r="AV4639" s="79"/>
      <c r="AW4639" s="79"/>
      <c r="AX4639" s="79"/>
      <c r="AZ4639" s="81"/>
      <c r="BB4639" s="5"/>
      <c r="BC4639" s="5"/>
      <c r="BD4639" s="5"/>
      <c r="BE4639" s="5"/>
      <c r="BF4639" s="5"/>
      <c r="BG4639" s="5"/>
      <c r="BH4639" s="5"/>
      <c r="BI4639" s="5"/>
      <c r="BJ4639" s="5"/>
      <c r="BK4639" s="5"/>
      <c r="BL4639" s="5"/>
      <c r="BM4639" s="5"/>
      <c r="BN4639" s="5"/>
      <c r="BO4639" s="5"/>
      <c r="BP4639" s="5"/>
    </row>
    <row r="4640" spans="35:68" x14ac:dyDescent="0.25">
      <c r="AI4640" s="49"/>
      <c r="AJ4640" s="78"/>
      <c r="AK4640" s="79"/>
      <c r="AL4640" s="79"/>
      <c r="AM4640" s="79"/>
      <c r="AN4640" s="79"/>
      <c r="AO4640" s="79"/>
      <c r="AP4640" s="79"/>
      <c r="AQ4640" s="79"/>
      <c r="AR4640" s="78"/>
      <c r="AS4640" s="78"/>
      <c r="AT4640" s="79"/>
      <c r="AU4640" s="79"/>
      <c r="AV4640" s="79"/>
      <c r="AW4640" s="79"/>
      <c r="AX4640" s="79"/>
      <c r="AZ4640" s="81"/>
      <c r="BB4640" s="5"/>
      <c r="BC4640" s="5"/>
      <c r="BD4640" s="5"/>
      <c r="BE4640" s="5"/>
      <c r="BF4640" s="5"/>
      <c r="BG4640" s="5"/>
      <c r="BH4640" s="5"/>
      <c r="BI4640" s="5"/>
      <c r="BJ4640" s="5"/>
      <c r="BK4640" s="5"/>
      <c r="BL4640" s="5"/>
      <c r="BM4640" s="5"/>
      <c r="BN4640" s="5"/>
      <c r="BO4640" s="5"/>
      <c r="BP4640" s="5"/>
    </row>
    <row r="4641" spans="35:68" x14ac:dyDescent="0.25">
      <c r="AI4641" s="49"/>
      <c r="AJ4641" s="78"/>
      <c r="AK4641" s="79"/>
      <c r="AL4641" s="79"/>
      <c r="AM4641" s="79"/>
      <c r="AN4641" s="79"/>
      <c r="AO4641" s="79"/>
      <c r="AP4641" s="79"/>
      <c r="AQ4641" s="79"/>
      <c r="AR4641" s="78"/>
      <c r="AS4641" s="78"/>
      <c r="AT4641" s="79"/>
      <c r="AU4641" s="79"/>
      <c r="AV4641" s="79"/>
      <c r="AW4641" s="79"/>
      <c r="AX4641" s="79"/>
      <c r="AZ4641" s="81"/>
      <c r="BB4641" s="5"/>
      <c r="BC4641" s="5"/>
      <c r="BD4641" s="5"/>
      <c r="BE4641" s="5"/>
      <c r="BF4641" s="5"/>
      <c r="BG4641" s="5"/>
      <c r="BH4641" s="5"/>
      <c r="BI4641" s="5"/>
      <c r="BJ4641" s="5"/>
      <c r="BK4641" s="5"/>
      <c r="BL4641" s="5"/>
      <c r="BM4641" s="5"/>
      <c r="BN4641" s="5"/>
      <c r="BO4641" s="5"/>
      <c r="BP4641" s="5"/>
    </row>
    <row r="4642" spans="35:68" x14ac:dyDescent="0.25">
      <c r="AI4642" s="49"/>
      <c r="AJ4642" s="78"/>
      <c r="AK4642" s="79"/>
      <c r="AL4642" s="79"/>
      <c r="AM4642" s="79"/>
      <c r="AN4642" s="79"/>
      <c r="AO4642" s="79"/>
      <c r="AP4642" s="79"/>
      <c r="AQ4642" s="79"/>
      <c r="AR4642" s="78"/>
      <c r="AS4642" s="78"/>
      <c r="AT4642" s="79"/>
      <c r="AU4642" s="79"/>
      <c r="AV4642" s="79"/>
      <c r="AW4642" s="79"/>
      <c r="AX4642" s="79"/>
      <c r="AZ4642" s="81"/>
      <c r="BB4642" s="5"/>
      <c r="BC4642" s="5"/>
      <c r="BD4642" s="5"/>
      <c r="BE4642" s="5"/>
      <c r="BF4642" s="5"/>
      <c r="BG4642" s="5"/>
      <c r="BH4642" s="5"/>
      <c r="BI4642" s="5"/>
      <c r="BJ4642" s="5"/>
      <c r="BK4642" s="5"/>
      <c r="BL4642" s="5"/>
      <c r="BM4642" s="5"/>
      <c r="BN4642" s="5"/>
      <c r="BO4642" s="5"/>
      <c r="BP4642" s="5"/>
    </row>
    <row r="4643" spans="35:68" x14ac:dyDescent="0.25">
      <c r="AI4643" s="49"/>
      <c r="AJ4643" s="78"/>
      <c r="AK4643" s="79"/>
      <c r="AL4643" s="79"/>
      <c r="AM4643" s="79"/>
      <c r="AN4643" s="79"/>
      <c r="AO4643" s="79"/>
      <c r="AP4643" s="79"/>
      <c r="AQ4643" s="79"/>
      <c r="AR4643" s="78"/>
      <c r="AS4643" s="78"/>
      <c r="AT4643" s="79"/>
      <c r="AU4643" s="79"/>
      <c r="AV4643" s="79"/>
      <c r="AW4643" s="79"/>
      <c r="AX4643" s="79"/>
      <c r="AZ4643" s="81"/>
      <c r="BB4643" s="5"/>
      <c r="BC4643" s="5"/>
      <c r="BD4643" s="5"/>
      <c r="BE4643" s="5"/>
      <c r="BF4643" s="5"/>
      <c r="BG4643" s="5"/>
      <c r="BH4643" s="5"/>
      <c r="BI4643" s="5"/>
      <c r="BJ4643" s="5"/>
      <c r="BK4643" s="5"/>
      <c r="BL4643" s="5"/>
      <c r="BM4643" s="5"/>
      <c r="BN4643" s="5"/>
      <c r="BO4643" s="5"/>
      <c r="BP4643" s="5"/>
    </row>
    <row r="4644" spans="35:68" x14ac:dyDescent="0.25">
      <c r="AI4644" s="49"/>
      <c r="AJ4644" s="78"/>
      <c r="AK4644" s="79"/>
      <c r="AL4644" s="79"/>
      <c r="AM4644" s="79"/>
      <c r="AN4644" s="79"/>
      <c r="AO4644" s="79"/>
      <c r="AP4644" s="79"/>
      <c r="AQ4644" s="79"/>
      <c r="AR4644" s="78"/>
      <c r="AS4644" s="78"/>
      <c r="AT4644" s="79"/>
      <c r="AU4644" s="79"/>
      <c r="AV4644" s="79"/>
      <c r="AW4644" s="79"/>
      <c r="AX4644" s="79"/>
      <c r="AZ4644" s="81"/>
      <c r="BB4644" s="5"/>
      <c r="BC4644" s="5"/>
      <c r="BD4644" s="5"/>
      <c r="BE4644" s="5"/>
      <c r="BF4644" s="5"/>
      <c r="BG4644" s="5"/>
      <c r="BH4644" s="5"/>
      <c r="BI4644" s="5"/>
      <c r="BJ4644" s="5"/>
      <c r="BK4644" s="5"/>
      <c r="BL4644" s="5"/>
      <c r="BM4644" s="5"/>
      <c r="BN4644" s="5"/>
      <c r="BO4644" s="5"/>
      <c r="BP4644" s="5"/>
    </row>
    <row r="4645" spans="35:68" x14ac:dyDescent="0.25">
      <c r="AI4645" s="49"/>
      <c r="AJ4645" s="78"/>
      <c r="AK4645" s="79"/>
      <c r="AL4645" s="79"/>
      <c r="AM4645" s="79"/>
      <c r="AN4645" s="79"/>
      <c r="AO4645" s="79"/>
      <c r="AP4645" s="79"/>
      <c r="AQ4645" s="79"/>
      <c r="AR4645" s="78"/>
      <c r="AS4645" s="78"/>
      <c r="AT4645" s="79"/>
      <c r="AU4645" s="79"/>
      <c r="AV4645" s="79"/>
      <c r="AW4645" s="79"/>
      <c r="AX4645" s="79"/>
      <c r="AZ4645" s="81"/>
      <c r="BB4645" s="5"/>
      <c r="BC4645" s="5"/>
      <c r="BD4645" s="5"/>
      <c r="BE4645" s="5"/>
      <c r="BF4645" s="5"/>
      <c r="BG4645" s="5"/>
      <c r="BH4645" s="5"/>
      <c r="BI4645" s="5"/>
      <c r="BJ4645" s="5"/>
      <c r="BK4645" s="5"/>
      <c r="BL4645" s="5"/>
      <c r="BM4645" s="5"/>
      <c r="BN4645" s="5"/>
      <c r="BO4645" s="5"/>
      <c r="BP4645" s="5"/>
    </row>
    <row r="4646" spans="35:68" x14ac:dyDescent="0.25">
      <c r="AI4646" s="49"/>
      <c r="AJ4646" s="78"/>
      <c r="AK4646" s="79"/>
      <c r="AL4646" s="79"/>
      <c r="AM4646" s="79"/>
      <c r="AN4646" s="79"/>
      <c r="AO4646" s="79"/>
      <c r="AP4646" s="79"/>
      <c r="AQ4646" s="79"/>
      <c r="AR4646" s="78"/>
      <c r="AS4646" s="78"/>
      <c r="AT4646" s="79"/>
      <c r="AU4646" s="79"/>
      <c r="AV4646" s="79"/>
      <c r="AW4646" s="79"/>
      <c r="AX4646" s="79"/>
      <c r="AZ4646" s="81"/>
      <c r="BB4646" s="5"/>
      <c r="BC4646" s="5"/>
      <c r="BD4646" s="5"/>
      <c r="BE4646" s="5"/>
      <c r="BF4646" s="5"/>
      <c r="BG4646" s="5"/>
      <c r="BH4646" s="5"/>
      <c r="BI4646" s="5"/>
      <c r="BJ4646" s="5"/>
      <c r="BK4646" s="5"/>
      <c r="BL4646" s="5"/>
      <c r="BM4646" s="5"/>
      <c r="BN4646" s="5"/>
      <c r="BO4646" s="5"/>
      <c r="BP4646" s="5"/>
    </row>
    <row r="4647" spans="35:68" x14ac:dyDescent="0.25">
      <c r="AI4647" s="49"/>
      <c r="AJ4647" s="78"/>
      <c r="AK4647" s="79"/>
      <c r="AL4647" s="79"/>
      <c r="AM4647" s="79"/>
      <c r="AN4647" s="79"/>
      <c r="AO4647" s="79"/>
      <c r="AP4647" s="79"/>
      <c r="AQ4647" s="79"/>
      <c r="AR4647" s="78"/>
      <c r="AS4647" s="78"/>
      <c r="AT4647" s="79"/>
      <c r="AU4647" s="79"/>
      <c r="AV4647" s="79"/>
      <c r="AW4647" s="79"/>
      <c r="AX4647" s="79"/>
      <c r="AZ4647" s="81"/>
      <c r="BB4647" s="5"/>
      <c r="BC4647" s="5"/>
      <c r="BD4647" s="5"/>
      <c r="BE4647" s="5"/>
      <c r="BF4647" s="5"/>
      <c r="BG4647" s="5"/>
      <c r="BH4647" s="5"/>
      <c r="BI4647" s="5"/>
      <c r="BJ4647" s="5"/>
      <c r="BK4647" s="5"/>
      <c r="BL4647" s="5"/>
      <c r="BM4647" s="5"/>
      <c r="BN4647" s="5"/>
      <c r="BO4647" s="5"/>
      <c r="BP4647" s="5"/>
    </row>
    <row r="4648" spans="35:68" x14ac:dyDescent="0.25">
      <c r="AI4648" s="49"/>
      <c r="AJ4648" s="78"/>
      <c r="AK4648" s="79"/>
      <c r="AL4648" s="79"/>
      <c r="AM4648" s="79"/>
      <c r="AN4648" s="79"/>
      <c r="AO4648" s="79"/>
      <c r="AP4648" s="79"/>
      <c r="AQ4648" s="79"/>
      <c r="AR4648" s="78"/>
      <c r="AS4648" s="78"/>
      <c r="AT4648" s="79"/>
      <c r="AU4648" s="79"/>
      <c r="AV4648" s="79"/>
      <c r="AW4648" s="79"/>
      <c r="AX4648" s="79"/>
      <c r="AZ4648" s="81"/>
      <c r="BB4648" s="5"/>
      <c r="BC4648" s="5"/>
      <c r="BD4648" s="5"/>
      <c r="BE4648" s="5"/>
      <c r="BF4648" s="5"/>
      <c r="BG4648" s="5"/>
      <c r="BH4648" s="5"/>
      <c r="BI4648" s="5"/>
      <c r="BJ4648" s="5"/>
      <c r="BK4648" s="5"/>
      <c r="BL4648" s="5"/>
      <c r="BM4648" s="5"/>
      <c r="BN4648" s="5"/>
      <c r="BO4648" s="5"/>
      <c r="BP4648" s="5"/>
    </row>
    <row r="4649" spans="35:68" x14ac:dyDescent="0.25">
      <c r="AI4649" s="49"/>
      <c r="AJ4649" s="78"/>
      <c r="AK4649" s="79"/>
      <c r="AL4649" s="79"/>
      <c r="AM4649" s="79"/>
      <c r="AN4649" s="79"/>
      <c r="AO4649" s="79"/>
      <c r="AP4649" s="79"/>
      <c r="AQ4649" s="79"/>
      <c r="AR4649" s="78"/>
      <c r="AS4649" s="78"/>
      <c r="AT4649" s="79"/>
      <c r="AU4649" s="79"/>
      <c r="AV4649" s="79"/>
      <c r="AW4649" s="79"/>
      <c r="AX4649" s="79"/>
      <c r="AZ4649" s="81"/>
      <c r="BB4649" s="5"/>
      <c r="BC4649" s="5"/>
      <c r="BD4649" s="5"/>
      <c r="BE4649" s="5"/>
      <c r="BF4649" s="5"/>
      <c r="BG4649" s="5"/>
      <c r="BH4649" s="5"/>
      <c r="BI4649" s="5"/>
      <c r="BJ4649" s="5"/>
      <c r="BK4649" s="5"/>
      <c r="BL4649" s="5"/>
      <c r="BM4649" s="5"/>
      <c r="BN4649" s="5"/>
      <c r="BO4649" s="5"/>
      <c r="BP4649" s="5"/>
    </row>
    <row r="4650" spans="35:68" x14ac:dyDescent="0.25">
      <c r="AI4650" s="49"/>
      <c r="AJ4650" s="78"/>
      <c r="AK4650" s="79"/>
      <c r="AL4650" s="79"/>
      <c r="AM4650" s="79"/>
      <c r="AN4650" s="79"/>
      <c r="AO4650" s="79"/>
      <c r="AP4650" s="79"/>
      <c r="AQ4650" s="79"/>
      <c r="AR4650" s="78"/>
      <c r="AS4650" s="78"/>
      <c r="AT4650" s="79"/>
      <c r="AU4650" s="79"/>
      <c r="AV4650" s="79"/>
      <c r="AW4650" s="79"/>
      <c r="AX4650" s="79"/>
      <c r="AZ4650" s="81"/>
      <c r="BB4650" s="5"/>
      <c r="BC4650" s="5"/>
      <c r="BD4650" s="5"/>
      <c r="BE4650" s="5"/>
      <c r="BF4650" s="5"/>
      <c r="BG4650" s="5"/>
      <c r="BH4650" s="5"/>
      <c r="BI4650" s="5"/>
      <c r="BJ4650" s="5"/>
      <c r="BK4650" s="5"/>
      <c r="BL4650" s="5"/>
      <c r="BM4650" s="5"/>
      <c r="BN4650" s="5"/>
      <c r="BO4650" s="5"/>
      <c r="BP4650" s="5"/>
    </row>
    <row r="4651" spans="35:68" x14ac:dyDescent="0.25">
      <c r="AI4651" s="49"/>
      <c r="AJ4651" s="78"/>
      <c r="AK4651" s="79"/>
      <c r="AL4651" s="79"/>
      <c r="AM4651" s="79"/>
      <c r="AN4651" s="79"/>
      <c r="AO4651" s="79"/>
      <c r="AP4651" s="79"/>
      <c r="AQ4651" s="79"/>
      <c r="AR4651" s="78"/>
      <c r="AS4651" s="78"/>
      <c r="AT4651" s="79"/>
      <c r="AU4651" s="79"/>
      <c r="AV4651" s="79"/>
      <c r="AW4651" s="79"/>
      <c r="AX4651" s="79"/>
      <c r="AZ4651" s="81"/>
      <c r="BB4651" s="5"/>
      <c r="BC4651" s="5"/>
      <c r="BD4651" s="5"/>
      <c r="BE4651" s="5"/>
      <c r="BF4651" s="5"/>
      <c r="BG4651" s="5"/>
      <c r="BH4651" s="5"/>
      <c r="BI4651" s="5"/>
      <c r="BJ4651" s="5"/>
      <c r="BK4651" s="5"/>
      <c r="BL4651" s="5"/>
      <c r="BM4651" s="5"/>
      <c r="BN4651" s="5"/>
      <c r="BO4651" s="5"/>
      <c r="BP4651" s="5"/>
    </row>
    <row r="4652" spans="35:68" x14ac:dyDescent="0.25">
      <c r="AI4652" s="49"/>
      <c r="AJ4652" s="78"/>
      <c r="AK4652" s="79"/>
      <c r="AL4652" s="79"/>
      <c r="AM4652" s="79"/>
      <c r="AN4652" s="79"/>
      <c r="AO4652" s="79"/>
      <c r="AP4652" s="79"/>
      <c r="AQ4652" s="79"/>
      <c r="AR4652" s="78"/>
      <c r="AS4652" s="78"/>
      <c r="AT4652" s="79"/>
      <c r="AU4652" s="79"/>
      <c r="AV4652" s="79"/>
      <c r="AW4652" s="79"/>
      <c r="AX4652" s="79"/>
      <c r="AZ4652" s="81"/>
      <c r="BB4652" s="5"/>
      <c r="BC4652" s="5"/>
      <c r="BD4652" s="5"/>
      <c r="BE4652" s="5"/>
      <c r="BF4652" s="5"/>
      <c r="BG4652" s="5"/>
      <c r="BH4652" s="5"/>
      <c r="BI4652" s="5"/>
      <c r="BJ4652" s="5"/>
      <c r="BK4652" s="5"/>
      <c r="BL4652" s="5"/>
      <c r="BM4652" s="5"/>
      <c r="BN4652" s="5"/>
      <c r="BO4652" s="5"/>
      <c r="BP4652" s="5"/>
    </row>
    <row r="4653" spans="35:68" x14ac:dyDescent="0.25">
      <c r="AI4653" s="49"/>
      <c r="AJ4653" s="78"/>
      <c r="AK4653" s="79"/>
      <c r="AL4653" s="79"/>
      <c r="AM4653" s="79"/>
      <c r="AN4653" s="79"/>
      <c r="AO4653" s="79"/>
      <c r="AP4653" s="79"/>
      <c r="AQ4653" s="79"/>
      <c r="AR4653" s="78"/>
      <c r="AS4653" s="78"/>
      <c r="AT4653" s="79"/>
      <c r="AU4653" s="79"/>
      <c r="AV4653" s="79"/>
      <c r="AW4653" s="79"/>
      <c r="AX4653" s="79"/>
      <c r="AZ4653" s="81"/>
      <c r="BB4653" s="5"/>
      <c r="BC4653" s="5"/>
      <c r="BD4653" s="5"/>
      <c r="BE4653" s="5"/>
      <c r="BF4653" s="5"/>
      <c r="BG4653" s="5"/>
      <c r="BH4653" s="5"/>
      <c r="BI4653" s="5"/>
      <c r="BJ4653" s="5"/>
      <c r="BK4653" s="5"/>
      <c r="BL4653" s="5"/>
      <c r="BM4653" s="5"/>
      <c r="BN4653" s="5"/>
      <c r="BO4653" s="5"/>
      <c r="BP4653" s="5"/>
    </row>
    <row r="4654" spans="35:68" x14ac:dyDescent="0.25">
      <c r="AI4654" s="49"/>
      <c r="AJ4654" s="78"/>
      <c r="AK4654" s="79"/>
      <c r="AL4654" s="79"/>
      <c r="AM4654" s="79"/>
      <c r="AN4654" s="79"/>
      <c r="AO4654" s="79"/>
      <c r="AP4654" s="79"/>
      <c r="AQ4654" s="79"/>
      <c r="AR4654" s="78"/>
      <c r="AS4654" s="78"/>
      <c r="AT4654" s="79"/>
      <c r="AU4654" s="79"/>
      <c r="AV4654" s="79"/>
      <c r="AW4654" s="79"/>
      <c r="AX4654" s="79"/>
      <c r="AZ4654" s="81"/>
      <c r="BB4654" s="5"/>
      <c r="BC4654" s="5"/>
      <c r="BD4654" s="5"/>
      <c r="BE4654" s="5"/>
      <c r="BF4654" s="5"/>
      <c r="BG4654" s="5"/>
      <c r="BH4654" s="5"/>
      <c r="BI4654" s="5"/>
      <c r="BJ4654" s="5"/>
      <c r="BK4654" s="5"/>
      <c r="BL4654" s="5"/>
      <c r="BM4654" s="5"/>
      <c r="BN4654" s="5"/>
      <c r="BO4654" s="5"/>
      <c r="BP4654" s="5"/>
    </row>
    <row r="4655" spans="35:68" x14ac:dyDescent="0.25">
      <c r="AI4655" s="49"/>
      <c r="AJ4655" s="78"/>
      <c r="AK4655" s="79"/>
      <c r="AL4655" s="79"/>
      <c r="AM4655" s="79"/>
      <c r="AN4655" s="79"/>
      <c r="AO4655" s="79"/>
      <c r="AP4655" s="79"/>
      <c r="AQ4655" s="79"/>
      <c r="AR4655" s="78"/>
      <c r="AS4655" s="78"/>
      <c r="AT4655" s="79"/>
      <c r="AU4655" s="79"/>
      <c r="AV4655" s="79"/>
      <c r="AW4655" s="79"/>
      <c r="AX4655" s="79"/>
      <c r="AZ4655" s="81"/>
      <c r="BB4655" s="5"/>
      <c r="BC4655" s="5"/>
      <c r="BD4655" s="5"/>
      <c r="BE4655" s="5"/>
      <c r="BF4655" s="5"/>
      <c r="BG4655" s="5"/>
      <c r="BH4655" s="5"/>
      <c r="BI4655" s="5"/>
      <c r="BJ4655" s="5"/>
      <c r="BK4655" s="5"/>
      <c r="BL4655" s="5"/>
      <c r="BM4655" s="5"/>
      <c r="BN4655" s="5"/>
      <c r="BO4655" s="5"/>
      <c r="BP4655" s="5"/>
    </row>
    <row r="4656" spans="35:68" x14ac:dyDescent="0.25">
      <c r="AI4656" s="49"/>
      <c r="AJ4656" s="78"/>
      <c r="AK4656" s="79"/>
      <c r="AL4656" s="79"/>
      <c r="AM4656" s="79"/>
      <c r="AN4656" s="79"/>
      <c r="AO4656" s="79"/>
      <c r="AP4656" s="79"/>
      <c r="AQ4656" s="79"/>
      <c r="AR4656" s="78"/>
      <c r="AS4656" s="78"/>
      <c r="AT4656" s="79"/>
      <c r="AU4656" s="79"/>
      <c r="AV4656" s="79"/>
      <c r="AW4656" s="79"/>
      <c r="AX4656" s="79"/>
      <c r="AZ4656" s="81"/>
      <c r="BB4656" s="5"/>
      <c r="BC4656" s="5"/>
      <c r="BD4656" s="5"/>
      <c r="BE4656" s="5"/>
      <c r="BF4656" s="5"/>
      <c r="BG4656" s="5"/>
      <c r="BH4656" s="5"/>
      <c r="BI4656" s="5"/>
      <c r="BJ4656" s="5"/>
      <c r="BK4656" s="5"/>
      <c r="BL4656" s="5"/>
      <c r="BM4656" s="5"/>
      <c r="BN4656" s="5"/>
      <c r="BO4656" s="5"/>
      <c r="BP4656" s="5"/>
    </row>
    <row r="4657" spans="35:68" x14ac:dyDescent="0.25">
      <c r="AI4657" s="49"/>
      <c r="AJ4657" s="78"/>
      <c r="AK4657" s="79"/>
      <c r="AL4657" s="79"/>
      <c r="AM4657" s="79"/>
      <c r="AN4657" s="79"/>
      <c r="AO4657" s="79"/>
      <c r="AP4657" s="79"/>
      <c r="AQ4657" s="79"/>
      <c r="AR4657" s="78"/>
      <c r="AS4657" s="78"/>
      <c r="AT4657" s="79"/>
      <c r="AU4657" s="79"/>
      <c r="AV4657" s="79"/>
      <c r="AW4657" s="79"/>
      <c r="AX4657" s="79"/>
      <c r="AZ4657" s="81"/>
      <c r="BB4657" s="5"/>
      <c r="BC4657" s="5"/>
      <c r="BD4657" s="5"/>
      <c r="BE4657" s="5"/>
      <c r="BF4657" s="5"/>
      <c r="BG4657" s="5"/>
      <c r="BH4657" s="5"/>
      <c r="BI4657" s="5"/>
      <c r="BJ4657" s="5"/>
      <c r="BK4657" s="5"/>
      <c r="BL4657" s="5"/>
      <c r="BM4657" s="5"/>
      <c r="BN4657" s="5"/>
      <c r="BO4657" s="5"/>
      <c r="BP4657" s="5"/>
    </row>
    <row r="4658" spans="35:68" x14ac:dyDescent="0.25">
      <c r="AI4658" s="49"/>
      <c r="AJ4658" s="78"/>
      <c r="AK4658" s="79"/>
      <c r="AL4658" s="79"/>
      <c r="AM4658" s="79"/>
      <c r="AN4658" s="79"/>
      <c r="AO4658" s="79"/>
      <c r="AP4658" s="79"/>
      <c r="AQ4658" s="79"/>
      <c r="AR4658" s="78"/>
      <c r="AS4658" s="78"/>
      <c r="AT4658" s="79"/>
      <c r="AU4658" s="79"/>
      <c r="AV4658" s="79"/>
      <c r="AW4658" s="79"/>
      <c r="AX4658" s="79"/>
      <c r="AZ4658" s="81"/>
      <c r="BB4658" s="5"/>
      <c r="BC4658" s="5"/>
      <c r="BD4658" s="5"/>
      <c r="BE4658" s="5"/>
      <c r="BF4658" s="5"/>
      <c r="BG4658" s="5"/>
      <c r="BH4658" s="5"/>
      <c r="BI4658" s="5"/>
      <c r="BJ4658" s="5"/>
      <c r="BK4658" s="5"/>
      <c r="BL4658" s="5"/>
      <c r="BM4658" s="5"/>
      <c r="BN4658" s="5"/>
      <c r="BO4658" s="5"/>
      <c r="BP4658" s="5"/>
    </row>
    <row r="4659" spans="35:68" x14ac:dyDescent="0.25">
      <c r="AI4659" s="49"/>
      <c r="AJ4659" s="78"/>
      <c r="AK4659" s="79"/>
      <c r="AL4659" s="79"/>
      <c r="AM4659" s="79"/>
      <c r="AN4659" s="79"/>
      <c r="AO4659" s="79"/>
      <c r="AP4659" s="79"/>
      <c r="AQ4659" s="79"/>
      <c r="AR4659" s="78"/>
      <c r="AS4659" s="78"/>
      <c r="AT4659" s="79"/>
      <c r="AU4659" s="79"/>
      <c r="AV4659" s="79"/>
      <c r="AW4659" s="79"/>
      <c r="AX4659" s="79"/>
      <c r="AZ4659" s="81"/>
      <c r="BB4659" s="5"/>
      <c r="BC4659" s="5"/>
      <c r="BD4659" s="5"/>
      <c r="BE4659" s="5"/>
      <c r="BF4659" s="5"/>
      <c r="BG4659" s="5"/>
      <c r="BH4659" s="5"/>
      <c r="BI4659" s="5"/>
      <c r="BJ4659" s="5"/>
      <c r="BK4659" s="5"/>
      <c r="BL4659" s="5"/>
      <c r="BM4659" s="5"/>
      <c r="BN4659" s="5"/>
      <c r="BO4659" s="5"/>
      <c r="BP4659" s="5"/>
    </row>
    <row r="4660" spans="35:68" x14ac:dyDescent="0.25">
      <c r="AI4660" s="49"/>
      <c r="AJ4660" s="78"/>
      <c r="AK4660" s="79"/>
      <c r="AL4660" s="79"/>
      <c r="AM4660" s="79"/>
      <c r="AN4660" s="79"/>
      <c r="AO4660" s="79"/>
      <c r="AP4660" s="79"/>
      <c r="AQ4660" s="79"/>
      <c r="AR4660" s="78"/>
      <c r="AS4660" s="78"/>
      <c r="AT4660" s="79"/>
      <c r="AU4660" s="79"/>
      <c r="AV4660" s="79"/>
      <c r="AW4660" s="79"/>
      <c r="AX4660" s="79"/>
      <c r="AZ4660" s="81"/>
      <c r="BB4660" s="5"/>
      <c r="BC4660" s="5"/>
      <c r="BD4660" s="5"/>
      <c r="BE4660" s="5"/>
      <c r="BF4660" s="5"/>
      <c r="BG4660" s="5"/>
      <c r="BH4660" s="5"/>
      <c r="BI4660" s="5"/>
      <c r="BJ4660" s="5"/>
      <c r="BK4660" s="5"/>
      <c r="BL4660" s="5"/>
      <c r="BM4660" s="5"/>
      <c r="BN4660" s="5"/>
      <c r="BO4660" s="5"/>
      <c r="BP4660" s="5"/>
    </row>
    <row r="4661" spans="35:68" x14ac:dyDescent="0.25">
      <c r="AI4661" s="49"/>
      <c r="AJ4661" s="78"/>
      <c r="AK4661" s="79"/>
      <c r="AL4661" s="79"/>
      <c r="AM4661" s="79"/>
      <c r="AN4661" s="79"/>
      <c r="AO4661" s="79"/>
      <c r="AP4661" s="79"/>
      <c r="AQ4661" s="79"/>
      <c r="AR4661" s="78"/>
      <c r="AS4661" s="78"/>
      <c r="AT4661" s="79"/>
      <c r="AU4661" s="79"/>
      <c r="AV4661" s="79"/>
      <c r="AW4661" s="79"/>
      <c r="AX4661" s="79"/>
      <c r="AZ4661" s="81"/>
      <c r="BB4661" s="5"/>
      <c r="BC4661" s="5"/>
      <c r="BD4661" s="5"/>
      <c r="BE4661" s="5"/>
      <c r="BF4661" s="5"/>
      <c r="BG4661" s="5"/>
      <c r="BH4661" s="5"/>
      <c r="BI4661" s="5"/>
      <c r="BJ4661" s="5"/>
      <c r="BK4661" s="5"/>
      <c r="BL4661" s="5"/>
      <c r="BM4661" s="5"/>
      <c r="BN4661" s="5"/>
      <c r="BO4661" s="5"/>
      <c r="BP4661" s="5"/>
    </row>
    <row r="4662" spans="35:68" x14ac:dyDescent="0.25">
      <c r="AI4662" s="49"/>
      <c r="AJ4662" s="78"/>
      <c r="AK4662" s="79"/>
      <c r="AL4662" s="79"/>
      <c r="AM4662" s="79"/>
      <c r="AN4662" s="79"/>
      <c r="AO4662" s="79"/>
      <c r="AP4662" s="79"/>
      <c r="AQ4662" s="79"/>
      <c r="AR4662" s="78"/>
      <c r="AS4662" s="78"/>
      <c r="AT4662" s="79"/>
      <c r="AU4662" s="79"/>
      <c r="AV4662" s="79"/>
      <c r="AW4662" s="79"/>
      <c r="AX4662" s="79"/>
      <c r="AZ4662" s="81"/>
      <c r="BB4662" s="5"/>
      <c r="BC4662" s="5"/>
      <c r="BD4662" s="5"/>
      <c r="BE4662" s="5"/>
      <c r="BF4662" s="5"/>
      <c r="BG4662" s="5"/>
      <c r="BH4662" s="5"/>
      <c r="BI4662" s="5"/>
      <c r="BJ4662" s="5"/>
      <c r="BK4662" s="5"/>
      <c r="BL4662" s="5"/>
      <c r="BM4662" s="5"/>
      <c r="BN4662" s="5"/>
      <c r="BO4662" s="5"/>
      <c r="BP4662" s="5"/>
    </row>
    <row r="4663" spans="35:68" x14ac:dyDescent="0.25">
      <c r="AI4663" s="49"/>
      <c r="AJ4663" s="78"/>
      <c r="AK4663" s="79"/>
      <c r="AL4663" s="79"/>
      <c r="AM4663" s="79"/>
      <c r="AN4663" s="79"/>
      <c r="AO4663" s="79"/>
      <c r="AP4663" s="79"/>
      <c r="AQ4663" s="79"/>
      <c r="AR4663" s="78"/>
      <c r="AS4663" s="78"/>
      <c r="AT4663" s="79"/>
      <c r="AU4663" s="79"/>
      <c r="AV4663" s="79"/>
      <c r="AW4663" s="79"/>
      <c r="AX4663" s="79"/>
      <c r="AZ4663" s="81"/>
      <c r="BB4663" s="5"/>
      <c r="BC4663" s="5"/>
      <c r="BD4663" s="5"/>
      <c r="BE4663" s="5"/>
      <c r="BF4663" s="5"/>
      <c r="BG4663" s="5"/>
      <c r="BH4663" s="5"/>
      <c r="BI4663" s="5"/>
      <c r="BJ4663" s="5"/>
      <c r="BK4663" s="5"/>
      <c r="BL4663" s="5"/>
      <c r="BM4663" s="5"/>
      <c r="BN4663" s="5"/>
      <c r="BO4663" s="5"/>
      <c r="BP4663" s="5"/>
    </row>
    <row r="4664" spans="35:68" x14ac:dyDescent="0.25">
      <c r="AI4664" s="49"/>
      <c r="AJ4664" s="78"/>
      <c r="AK4664" s="79"/>
      <c r="AL4664" s="79"/>
      <c r="AM4664" s="79"/>
      <c r="AN4664" s="79"/>
      <c r="AO4664" s="79"/>
      <c r="AP4664" s="79"/>
      <c r="AQ4664" s="79"/>
      <c r="AR4664" s="78"/>
      <c r="AS4664" s="78"/>
      <c r="AT4664" s="79"/>
      <c r="AU4664" s="79"/>
      <c r="AV4664" s="79"/>
      <c r="AW4664" s="79"/>
      <c r="AX4664" s="79"/>
      <c r="AZ4664" s="81"/>
      <c r="BB4664" s="5"/>
      <c r="BC4664" s="5"/>
      <c r="BD4664" s="5"/>
      <c r="BE4664" s="5"/>
      <c r="BF4664" s="5"/>
      <c r="BG4664" s="5"/>
      <c r="BH4664" s="5"/>
      <c r="BI4664" s="5"/>
      <c r="BJ4664" s="5"/>
      <c r="BK4664" s="5"/>
      <c r="BL4664" s="5"/>
      <c r="BM4664" s="5"/>
      <c r="BN4664" s="5"/>
      <c r="BO4664" s="5"/>
      <c r="BP4664" s="5"/>
    </row>
    <row r="4665" spans="35:68" x14ac:dyDescent="0.25">
      <c r="AI4665" s="49"/>
      <c r="AJ4665" s="78"/>
      <c r="AK4665" s="79"/>
      <c r="AL4665" s="79"/>
      <c r="AM4665" s="79"/>
      <c r="AN4665" s="79"/>
      <c r="AO4665" s="79"/>
      <c r="AP4665" s="79"/>
      <c r="AQ4665" s="79"/>
      <c r="AR4665" s="78"/>
      <c r="AS4665" s="78"/>
      <c r="AT4665" s="79"/>
      <c r="AU4665" s="79"/>
      <c r="AV4665" s="79"/>
      <c r="AW4665" s="79"/>
      <c r="AX4665" s="79"/>
      <c r="AZ4665" s="81"/>
      <c r="BB4665" s="5"/>
      <c r="BC4665" s="5"/>
      <c r="BD4665" s="5"/>
      <c r="BE4665" s="5"/>
      <c r="BF4665" s="5"/>
      <c r="BG4665" s="5"/>
      <c r="BH4665" s="5"/>
      <c r="BI4665" s="5"/>
      <c r="BJ4665" s="5"/>
      <c r="BK4665" s="5"/>
      <c r="BL4665" s="5"/>
      <c r="BM4665" s="5"/>
      <c r="BN4665" s="5"/>
      <c r="BO4665" s="5"/>
      <c r="BP4665" s="5"/>
    </row>
    <row r="4666" spans="35:68" x14ac:dyDescent="0.25">
      <c r="AI4666" s="49"/>
      <c r="AJ4666" s="78"/>
      <c r="AK4666" s="79"/>
      <c r="AL4666" s="79"/>
      <c r="AM4666" s="79"/>
      <c r="AN4666" s="79"/>
      <c r="AO4666" s="79"/>
      <c r="AP4666" s="79"/>
      <c r="AQ4666" s="79"/>
      <c r="AR4666" s="78"/>
      <c r="AS4666" s="78"/>
      <c r="AT4666" s="79"/>
      <c r="AU4666" s="79"/>
      <c r="AV4666" s="79"/>
      <c r="AW4666" s="79"/>
      <c r="AX4666" s="79"/>
      <c r="AZ4666" s="81"/>
      <c r="BB4666" s="5"/>
      <c r="BC4666" s="5"/>
      <c r="BD4666" s="5"/>
      <c r="BE4666" s="5"/>
      <c r="BF4666" s="5"/>
      <c r="BG4666" s="5"/>
      <c r="BH4666" s="5"/>
      <c r="BI4666" s="5"/>
      <c r="BJ4666" s="5"/>
      <c r="BK4666" s="5"/>
      <c r="BL4666" s="5"/>
      <c r="BM4666" s="5"/>
      <c r="BN4666" s="5"/>
      <c r="BO4666" s="5"/>
      <c r="BP4666" s="5"/>
    </row>
    <row r="4667" spans="35:68" x14ac:dyDescent="0.25">
      <c r="AI4667" s="49"/>
      <c r="AJ4667" s="78"/>
      <c r="AK4667" s="79"/>
      <c r="AL4667" s="79"/>
      <c r="AM4667" s="79"/>
      <c r="AN4667" s="79"/>
      <c r="AO4667" s="79"/>
      <c r="AP4667" s="79"/>
      <c r="AQ4667" s="79"/>
      <c r="AR4667" s="78"/>
      <c r="AS4667" s="78"/>
      <c r="AT4667" s="79"/>
      <c r="AU4667" s="79"/>
      <c r="AV4667" s="79"/>
      <c r="AW4667" s="79"/>
      <c r="AX4667" s="79"/>
      <c r="AZ4667" s="81"/>
      <c r="BB4667" s="5"/>
      <c r="BC4667" s="5"/>
      <c r="BD4667" s="5"/>
      <c r="BE4667" s="5"/>
      <c r="BF4667" s="5"/>
      <c r="BG4667" s="5"/>
      <c r="BH4667" s="5"/>
      <c r="BI4667" s="5"/>
      <c r="BJ4667" s="5"/>
      <c r="BK4667" s="5"/>
      <c r="BL4667" s="5"/>
      <c r="BM4667" s="5"/>
      <c r="BN4667" s="5"/>
      <c r="BO4667" s="5"/>
      <c r="BP4667" s="5"/>
    </row>
    <row r="4668" spans="35:68" x14ac:dyDescent="0.25">
      <c r="AI4668" s="49"/>
      <c r="AJ4668" s="78"/>
      <c r="AK4668" s="79"/>
      <c r="AL4668" s="79"/>
      <c r="AM4668" s="79"/>
      <c r="AN4668" s="79"/>
      <c r="AO4668" s="79"/>
      <c r="AP4668" s="79"/>
      <c r="AQ4668" s="79"/>
      <c r="AR4668" s="78"/>
      <c r="AS4668" s="78"/>
      <c r="AT4668" s="79"/>
      <c r="AU4668" s="79"/>
      <c r="AV4668" s="79"/>
      <c r="AW4668" s="79"/>
      <c r="AX4668" s="79"/>
      <c r="AZ4668" s="81"/>
      <c r="BB4668" s="5"/>
      <c r="BC4668" s="5"/>
      <c r="BD4668" s="5"/>
      <c r="BE4668" s="5"/>
      <c r="BF4668" s="5"/>
      <c r="BG4668" s="5"/>
      <c r="BH4668" s="5"/>
      <c r="BI4668" s="5"/>
      <c r="BJ4668" s="5"/>
      <c r="BK4668" s="5"/>
      <c r="BL4668" s="5"/>
      <c r="BM4668" s="5"/>
      <c r="BN4668" s="5"/>
      <c r="BO4668" s="5"/>
      <c r="BP4668" s="5"/>
    </row>
    <row r="4669" spans="35:68" x14ac:dyDescent="0.25">
      <c r="AI4669" s="49"/>
      <c r="AJ4669" s="78"/>
      <c r="AK4669" s="79"/>
      <c r="AL4669" s="79"/>
      <c r="AM4669" s="79"/>
      <c r="AN4669" s="79"/>
      <c r="AO4669" s="79"/>
      <c r="AP4669" s="79"/>
      <c r="AQ4669" s="79"/>
      <c r="AR4669" s="78"/>
      <c r="AS4669" s="78"/>
      <c r="AT4669" s="79"/>
      <c r="AU4669" s="79"/>
      <c r="AV4669" s="79"/>
      <c r="AW4669" s="79"/>
      <c r="AX4669" s="79"/>
      <c r="AZ4669" s="81"/>
      <c r="BB4669" s="5"/>
      <c r="BC4669" s="5"/>
      <c r="BD4669" s="5"/>
      <c r="BE4669" s="5"/>
      <c r="BF4669" s="5"/>
      <c r="BG4669" s="5"/>
      <c r="BH4669" s="5"/>
      <c r="BI4669" s="5"/>
      <c r="BJ4669" s="5"/>
      <c r="BK4669" s="5"/>
      <c r="BL4669" s="5"/>
      <c r="BM4669" s="5"/>
      <c r="BN4669" s="5"/>
      <c r="BO4669" s="5"/>
      <c r="BP4669" s="5"/>
    </row>
    <row r="4670" spans="35:68" x14ac:dyDescent="0.25">
      <c r="AI4670" s="49"/>
      <c r="AJ4670" s="78"/>
      <c r="AK4670" s="79"/>
      <c r="AL4670" s="79"/>
      <c r="AM4670" s="79"/>
      <c r="AN4670" s="79"/>
      <c r="AO4670" s="79"/>
      <c r="AP4670" s="79"/>
      <c r="AQ4670" s="79"/>
      <c r="AR4670" s="78"/>
      <c r="AS4670" s="78"/>
      <c r="AT4670" s="79"/>
      <c r="AU4670" s="79"/>
      <c r="AV4670" s="79"/>
      <c r="AW4670" s="79"/>
      <c r="AX4670" s="79"/>
      <c r="AZ4670" s="81"/>
      <c r="BB4670" s="5"/>
      <c r="BC4670" s="5"/>
      <c r="BD4670" s="5"/>
      <c r="BE4670" s="5"/>
      <c r="BF4670" s="5"/>
      <c r="BG4670" s="5"/>
      <c r="BH4670" s="5"/>
      <c r="BI4670" s="5"/>
      <c r="BJ4670" s="5"/>
      <c r="BK4670" s="5"/>
      <c r="BL4670" s="5"/>
      <c r="BM4670" s="5"/>
      <c r="BN4670" s="5"/>
      <c r="BO4670" s="5"/>
      <c r="BP4670" s="5"/>
    </row>
    <row r="4671" spans="35:68" x14ac:dyDescent="0.25">
      <c r="AI4671" s="49"/>
      <c r="AJ4671" s="78"/>
      <c r="AK4671" s="79"/>
      <c r="AL4671" s="79"/>
      <c r="AM4671" s="79"/>
      <c r="AN4671" s="79"/>
      <c r="AO4671" s="79"/>
      <c r="AP4671" s="79"/>
      <c r="AQ4671" s="79"/>
      <c r="AR4671" s="78"/>
      <c r="AS4671" s="78"/>
      <c r="AT4671" s="79"/>
      <c r="AU4671" s="79"/>
      <c r="AV4671" s="79"/>
      <c r="AW4671" s="79"/>
      <c r="AX4671" s="79"/>
      <c r="AZ4671" s="81"/>
      <c r="BB4671" s="5"/>
      <c r="BC4671" s="5"/>
      <c r="BD4671" s="5"/>
      <c r="BE4671" s="5"/>
      <c r="BF4671" s="5"/>
      <c r="BG4671" s="5"/>
      <c r="BH4671" s="5"/>
      <c r="BI4671" s="5"/>
      <c r="BJ4671" s="5"/>
      <c r="BK4671" s="5"/>
      <c r="BL4671" s="5"/>
      <c r="BM4671" s="5"/>
      <c r="BN4671" s="5"/>
      <c r="BO4671" s="5"/>
      <c r="BP4671" s="5"/>
    </row>
    <row r="4672" spans="35:68" x14ac:dyDescent="0.25">
      <c r="AI4672" s="49"/>
      <c r="AJ4672" s="78"/>
      <c r="AK4672" s="79"/>
      <c r="AL4672" s="79"/>
      <c r="AM4672" s="79"/>
      <c r="AN4672" s="79"/>
      <c r="AO4672" s="79"/>
      <c r="AP4672" s="79"/>
      <c r="AQ4672" s="79"/>
      <c r="AR4672" s="78"/>
      <c r="AS4672" s="78"/>
      <c r="AT4672" s="79"/>
      <c r="AU4672" s="79"/>
      <c r="AV4672" s="79"/>
      <c r="AW4672" s="79"/>
      <c r="AX4672" s="79"/>
      <c r="AZ4672" s="81"/>
      <c r="BB4672" s="5"/>
      <c r="BC4672" s="5"/>
      <c r="BD4672" s="5"/>
      <c r="BE4672" s="5"/>
      <c r="BF4672" s="5"/>
      <c r="BG4672" s="5"/>
      <c r="BH4672" s="5"/>
      <c r="BI4672" s="5"/>
      <c r="BJ4672" s="5"/>
      <c r="BK4672" s="5"/>
      <c r="BL4672" s="5"/>
      <c r="BM4672" s="5"/>
      <c r="BN4672" s="5"/>
      <c r="BO4672" s="5"/>
      <c r="BP4672" s="5"/>
    </row>
    <row r="4673" spans="35:68" x14ac:dyDescent="0.25">
      <c r="AI4673" s="49"/>
      <c r="AJ4673" s="78"/>
      <c r="AK4673" s="79"/>
      <c r="AL4673" s="79"/>
      <c r="AM4673" s="79"/>
      <c r="AN4673" s="79"/>
      <c r="AO4673" s="79"/>
      <c r="AP4673" s="79"/>
      <c r="AQ4673" s="79"/>
      <c r="AR4673" s="78"/>
      <c r="AS4673" s="78"/>
      <c r="AT4673" s="79"/>
      <c r="AU4673" s="79"/>
      <c r="AV4673" s="79"/>
      <c r="AW4673" s="79"/>
      <c r="AX4673" s="79"/>
      <c r="AZ4673" s="81"/>
      <c r="BB4673" s="5"/>
      <c r="BC4673" s="5"/>
      <c r="BD4673" s="5"/>
      <c r="BE4673" s="5"/>
      <c r="BF4673" s="5"/>
      <c r="BG4673" s="5"/>
      <c r="BH4673" s="5"/>
      <c r="BI4673" s="5"/>
      <c r="BJ4673" s="5"/>
      <c r="BK4673" s="5"/>
      <c r="BL4673" s="5"/>
      <c r="BM4673" s="5"/>
      <c r="BN4673" s="5"/>
      <c r="BO4673" s="5"/>
      <c r="BP4673" s="5"/>
    </row>
    <row r="4674" spans="35:68" x14ac:dyDescent="0.25">
      <c r="AI4674" s="49"/>
      <c r="AJ4674" s="78"/>
      <c r="AK4674" s="79"/>
      <c r="AL4674" s="79"/>
      <c r="AM4674" s="79"/>
      <c r="AN4674" s="79"/>
      <c r="AO4674" s="79"/>
      <c r="AP4674" s="79"/>
      <c r="AQ4674" s="79"/>
      <c r="AR4674" s="78"/>
      <c r="AS4674" s="78"/>
      <c r="AT4674" s="79"/>
      <c r="AU4674" s="79"/>
      <c r="AV4674" s="79"/>
      <c r="AW4674" s="79"/>
      <c r="AX4674" s="79"/>
      <c r="AZ4674" s="81"/>
      <c r="BB4674" s="5"/>
      <c r="BC4674" s="5"/>
      <c r="BD4674" s="5"/>
      <c r="BE4674" s="5"/>
      <c r="BF4674" s="5"/>
      <c r="BG4674" s="5"/>
      <c r="BH4674" s="5"/>
      <c r="BI4674" s="5"/>
      <c r="BJ4674" s="5"/>
      <c r="BK4674" s="5"/>
      <c r="BL4674" s="5"/>
      <c r="BM4674" s="5"/>
      <c r="BN4674" s="5"/>
      <c r="BO4674" s="5"/>
      <c r="BP4674" s="5"/>
    </row>
    <row r="4675" spans="35:68" x14ac:dyDescent="0.25">
      <c r="AI4675" s="49"/>
      <c r="AJ4675" s="78"/>
      <c r="AK4675" s="79"/>
      <c r="AL4675" s="79"/>
      <c r="AM4675" s="79"/>
      <c r="AN4675" s="79"/>
      <c r="AO4675" s="79"/>
      <c r="AP4675" s="79"/>
      <c r="AQ4675" s="79"/>
      <c r="AR4675" s="78"/>
      <c r="AS4675" s="78"/>
      <c r="AT4675" s="79"/>
      <c r="AU4675" s="79"/>
      <c r="AV4675" s="79"/>
      <c r="AW4675" s="79"/>
      <c r="AX4675" s="79"/>
      <c r="AZ4675" s="81"/>
      <c r="BB4675" s="5"/>
      <c r="BC4675" s="5"/>
      <c r="BD4675" s="5"/>
      <c r="BE4675" s="5"/>
      <c r="BF4675" s="5"/>
      <c r="BG4675" s="5"/>
      <c r="BH4675" s="5"/>
      <c r="BI4675" s="5"/>
      <c r="BJ4675" s="5"/>
      <c r="BK4675" s="5"/>
      <c r="BL4675" s="5"/>
      <c r="BM4675" s="5"/>
      <c r="BN4675" s="5"/>
      <c r="BO4675" s="5"/>
      <c r="BP4675" s="5"/>
    </row>
    <row r="4676" spans="35:68" x14ac:dyDescent="0.25">
      <c r="AI4676" s="49"/>
      <c r="AJ4676" s="78"/>
      <c r="AK4676" s="79"/>
      <c r="AL4676" s="79"/>
      <c r="AM4676" s="79"/>
      <c r="AN4676" s="79"/>
      <c r="AO4676" s="79"/>
      <c r="AP4676" s="79"/>
      <c r="AQ4676" s="79"/>
      <c r="AR4676" s="78"/>
      <c r="AS4676" s="78"/>
      <c r="AT4676" s="79"/>
      <c r="AU4676" s="79"/>
      <c r="AV4676" s="79"/>
      <c r="AW4676" s="79"/>
      <c r="AX4676" s="79"/>
      <c r="AZ4676" s="81"/>
      <c r="BB4676" s="5"/>
      <c r="BC4676" s="5"/>
      <c r="BD4676" s="5"/>
      <c r="BE4676" s="5"/>
      <c r="BF4676" s="5"/>
      <c r="BG4676" s="5"/>
      <c r="BH4676" s="5"/>
      <c r="BI4676" s="5"/>
      <c r="BJ4676" s="5"/>
      <c r="BK4676" s="5"/>
      <c r="BL4676" s="5"/>
      <c r="BM4676" s="5"/>
      <c r="BN4676" s="5"/>
      <c r="BO4676" s="5"/>
      <c r="BP4676" s="5"/>
    </row>
    <row r="4677" spans="35:68" x14ac:dyDescent="0.25">
      <c r="AI4677" s="49"/>
      <c r="AJ4677" s="78"/>
      <c r="AK4677" s="79"/>
      <c r="AL4677" s="79"/>
      <c r="AM4677" s="79"/>
      <c r="AN4677" s="79"/>
      <c r="AO4677" s="79"/>
      <c r="AP4677" s="79"/>
      <c r="AQ4677" s="79"/>
      <c r="AR4677" s="78"/>
      <c r="AS4677" s="78"/>
      <c r="AT4677" s="79"/>
      <c r="AU4677" s="79"/>
      <c r="AV4677" s="79"/>
      <c r="AW4677" s="79"/>
      <c r="AX4677" s="79"/>
      <c r="AZ4677" s="81"/>
      <c r="BB4677" s="5"/>
      <c r="BC4677" s="5"/>
      <c r="BD4677" s="5"/>
      <c r="BE4677" s="5"/>
      <c r="BF4677" s="5"/>
      <c r="BG4677" s="5"/>
      <c r="BH4677" s="5"/>
      <c r="BI4677" s="5"/>
      <c r="BJ4677" s="5"/>
      <c r="BK4677" s="5"/>
      <c r="BL4677" s="5"/>
      <c r="BM4677" s="5"/>
      <c r="BN4677" s="5"/>
      <c r="BO4677" s="5"/>
      <c r="BP4677" s="5"/>
    </row>
    <row r="4678" spans="35:68" x14ac:dyDescent="0.25">
      <c r="AI4678" s="49"/>
      <c r="AJ4678" s="78"/>
      <c r="AK4678" s="79"/>
      <c r="AL4678" s="79"/>
      <c r="AM4678" s="79"/>
      <c r="AN4678" s="79"/>
      <c r="AO4678" s="79"/>
      <c r="AP4678" s="79"/>
      <c r="AQ4678" s="79"/>
      <c r="AR4678" s="78"/>
      <c r="AS4678" s="78"/>
      <c r="AT4678" s="79"/>
      <c r="AU4678" s="79"/>
      <c r="AV4678" s="79"/>
      <c r="AW4678" s="79"/>
      <c r="AX4678" s="79"/>
      <c r="AZ4678" s="81"/>
      <c r="BB4678" s="5"/>
      <c r="BC4678" s="5"/>
      <c r="BD4678" s="5"/>
      <c r="BE4678" s="5"/>
      <c r="BF4678" s="5"/>
      <c r="BG4678" s="5"/>
      <c r="BH4678" s="5"/>
      <c r="BI4678" s="5"/>
      <c r="BJ4678" s="5"/>
      <c r="BK4678" s="5"/>
      <c r="BL4678" s="5"/>
      <c r="BM4678" s="5"/>
      <c r="BN4678" s="5"/>
      <c r="BO4678" s="5"/>
      <c r="BP4678" s="5"/>
    </row>
    <row r="4679" spans="35:68" x14ac:dyDescent="0.25">
      <c r="AI4679" s="49"/>
      <c r="AJ4679" s="78"/>
      <c r="AK4679" s="79"/>
      <c r="AL4679" s="79"/>
      <c r="AM4679" s="79"/>
      <c r="AN4679" s="79"/>
      <c r="AO4679" s="79"/>
      <c r="AP4679" s="79"/>
      <c r="AQ4679" s="79"/>
      <c r="AR4679" s="78"/>
      <c r="AS4679" s="78"/>
      <c r="AT4679" s="79"/>
      <c r="AU4679" s="79"/>
      <c r="AV4679" s="79"/>
      <c r="AW4679" s="79"/>
      <c r="AX4679" s="79"/>
      <c r="AZ4679" s="81"/>
      <c r="BB4679" s="5"/>
      <c r="BC4679" s="5"/>
      <c r="BD4679" s="5"/>
      <c r="BE4679" s="5"/>
      <c r="BF4679" s="5"/>
      <c r="BG4679" s="5"/>
      <c r="BH4679" s="5"/>
      <c r="BI4679" s="5"/>
      <c r="BJ4679" s="5"/>
      <c r="BK4679" s="5"/>
      <c r="BL4679" s="5"/>
      <c r="BM4679" s="5"/>
      <c r="BN4679" s="5"/>
      <c r="BO4679" s="5"/>
      <c r="BP4679" s="5"/>
    </row>
    <row r="4680" spans="35:68" x14ac:dyDescent="0.25">
      <c r="AI4680" s="49"/>
      <c r="AJ4680" s="78"/>
      <c r="AK4680" s="79"/>
      <c r="AL4680" s="79"/>
      <c r="AM4680" s="79"/>
      <c r="AN4680" s="79"/>
      <c r="AO4680" s="79"/>
      <c r="AP4680" s="79"/>
      <c r="AQ4680" s="79"/>
      <c r="AR4680" s="78"/>
      <c r="AS4680" s="78"/>
      <c r="AT4680" s="79"/>
      <c r="AU4680" s="79"/>
      <c r="AV4680" s="79"/>
      <c r="AW4680" s="79"/>
      <c r="AX4680" s="79"/>
      <c r="AZ4680" s="81"/>
      <c r="BB4680" s="5"/>
      <c r="BC4680" s="5"/>
      <c r="BD4680" s="5"/>
      <c r="BE4680" s="5"/>
      <c r="BF4680" s="5"/>
      <c r="BG4680" s="5"/>
      <c r="BH4680" s="5"/>
      <c r="BI4680" s="5"/>
      <c r="BJ4680" s="5"/>
      <c r="BK4680" s="5"/>
      <c r="BL4680" s="5"/>
      <c r="BM4680" s="5"/>
      <c r="BN4680" s="5"/>
      <c r="BO4680" s="5"/>
      <c r="BP4680" s="5"/>
    </row>
    <row r="4681" spans="35:68" x14ac:dyDescent="0.25">
      <c r="AI4681" s="49"/>
      <c r="AJ4681" s="78"/>
      <c r="AK4681" s="79"/>
      <c r="AL4681" s="79"/>
      <c r="AM4681" s="79"/>
      <c r="AN4681" s="79"/>
      <c r="AO4681" s="79"/>
      <c r="AP4681" s="79"/>
      <c r="AQ4681" s="79"/>
      <c r="AR4681" s="78"/>
      <c r="AS4681" s="78"/>
      <c r="AT4681" s="79"/>
      <c r="AU4681" s="79"/>
      <c r="AV4681" s="79"/>
      <c r="AW4681" s="79"/>
      <c r="AX4681" s="79"/>
      <c r="AZ4681" s="81"/>
      <c r="BB4681" s="5"/>
      <c r="BC4681" s="5"/>
      <c r="BD4681" s="5"/>
      <c r="BE4681" s="5"/>
      <c r="BF4681" s="5"/>
      <c r="BG4681" s="5"/>
      <c r="BH4681" s="5"/>
      <c r="BI4681" s="5"/>
      <c r="BJ4681" s="5"/>
      <c r="BK4681" s="5"/>
      <c r="BL4681" s="5"/>
      <c r="BM4681" s="5"/>
      <c r="BN4681" s="5"/>
      <c r="BO4681" s="5"/>
      <c r="BP4681" s="5"/>
    </row>
    <row r="4682" spans="35:68" x14ac:dyDescent="0.25">
      <c r="AI4682" s="49"/>
      <c r="AJ4682" s="78"/>
      <c r="AK4682" s="79"/>
      <c r="AL4682" s="79"/>
      <c r="AM4682" s="79"/>
      <c r="AN4682" s="79"/>
      <c r="AO4682" s="79"/>
      <c r="AP4682" s="79"/>
      <c r="AQ4682" s="79"/>
      <c r="AR4682" s="78"/>
      <c r="AS4682" s="78"/>
      <c r="AT4682" s="79"/>
      <c r="AU4682" s="79"/>
      <c r="AV4682" s="79"/>
      <c r="AW4682" s="79"/>
      <c r="AX4682" s="79"/>
      <c r="AZ4682" s="81"/>
      <c r="BB4682" s="5"/>
      <c r="BC4682" s="5"/>
      <c r="BD4682" s="5"/>
      <c r="BE4682" s="5"/>
      <c r="BF4682" s="5"/>
      <c r="BG4682" s="5"/>
      <c r="BH4682" s="5"/>
      <c r="BI4682" s="5"/>
      <c r="BJ4682" s="5"/>
      <c r="BK4682" s="5"/>
      <c r="BL4682" s="5"/>
      <c r="BM4682" s="5"/>
      <c r="BN4682" s="5"/>
      <c r="BO4682" s="5"/>
      <c r="BP4682" s="5"/>
    </row>
    <row r="4683" spans="35:68" x14ac:dyDescent="0.25">
      <c r="AI4683" s="49"/>
      <c r="AJ4683" s="78"/>
      <c r="AK4683" s="79"/>
      <c r="AL4683" s="79"/>
      <c r="AM4683" s="79"/>
      <c r="AN4683" s="79"/>
      <c r="AO4683" s="79"/>
      <c r="AP4683" s="79"/>
      <c r="AQ4683" s="79"/>
      <c r="AR4683" s="78"/>
      <c r="AS4683" s="78"/>
      <c r="AT4683" s="79"/>
      <c r="AU4683" s="79"/>
      <c r="AV4683" s="79"/>
      <c r="AW4683" s="79"/>
      <c r="AX4683" s="79"/>
      <c r="AZ4683" s="81"/>
      <c r="BB4683" s="5"/>
      <c r="BC4683" s="5"/>
      <c r="BD4683" s="5"/>
      <c r="BE4683" s="5"/>
      <c r="BF4683" s="5"/>
      <c r="BG4683" s="5"/>
      <c r="BH4683" s="5"/>
      <c r="BI4683" s="5"/>
      <c r="BJ4683" s="5"/>
      <c r="BK4683" s="5"/>
      <c r="BL4683" s="5"/>
      <c r="BM4683" s="5"/>
      <c r="BN4683" s="5"/>
      <c r="BO4683" s="5"/>
      <c r="BP4683" s="5"/>
    </row>
    <row r="4684" spans="35:68" x14ac:dyDescent="0.25">
      <c r="AI4684" s="49"/>
      <c r="AJ4684" s="78"/>
      <c r="AK4684" s="79"/>
      <c r="AL4684" s="79"/>
      <c r="AM4684" s="79"/>
      <c r="AN4684" s="79"/>
      <c r="AO4684" s="79"/>
      <c r="AP4684" s="79"/>
      <c r="AQ4684" s="79"/>
      <c r="AR4684" s="78"/>
      <c r="AS4684" s="78"/>
      <c r="AT4684" s="79"/>
      <c r="AU4684" s="79"/>
      <c r="AV4684" s="79"/>
      <c r="AW4684" s="79"/>
      <c r="AX4684" s="79"/>
      <c r="AZ4684" s="81"/>
      <c r="BB4684" s="5"/>
      <c r="BC4684" s="5"/>
      <c r="BD4684" s="5"/>
      <c r="BE4684" s="5"/>
      <c r="BF4684" s="5"/>
      <c r="BG4684" s="5"/>
      <c r="BH4684" s="5"/>
      <c r="BI4684" s="5"/>
      <c r="BJ4684" s="5"/>
      <c r="BK4684" s="5"/>
      <c r="BL4684" s="5"/>
      <c r="BM4684" s="5"/>
      <c r="BN4684" s="5"/>
      <c r="BO4684" s="5"/>
      <c r="BP4684" s="5"/>
    </row>
    <row r="4685" spans="35:68" x14ac:dyDescent="0.25">
      <c r="AI4685" s="49"/>
      <c r="AJ4685" s="78"/>
      <c r="AK4685" s="79"/>
      <c r="AL4685" s="79"/>
      <c r="AM4685" s="79"/>
      <c r="AN4685" s="79"/>
      <c r="AO4685" s="79"/>
      <c r="AP4685" s="79"/>
      <c r="AQ4685" s="79"/>
      <c r="AR4685" s="78"/>
      <c r="AS4685" s="78"/>
      <c r="AT4685" s="79"/>
      <c r="AU4685" s="79"/>
      <c r="AV4685" s="79"/>
      <c r="AW4685" s="79"/>
      <c r="AX4685" s="79"/>
      <c r="AZ4685" s="81"/>
      <c r="BB4685" s="5"/>
      <c r="BC4685" s="5"/>
      <c r="BD4685" s="5"/>
      <c r="BE4685" s="5"/>
      <c r="BF4685" s="5"/>
      <c r="BG4685" s="5"/>
      <c r="BH4685" s="5"/>
      <c r="BI4685" s="5"/>
      <c r="BJ4685" s="5"/>
      <c r="BK4685" s="5"/>
      <c r="BL4685" s="5"/>
      <c r="BM4685" s="5"/>
      <c r="BN4685" s="5"/>
      <c r="BO4685" s="5"/>
      <c r="BP4685" s="5"/>
    </row>
    <row r="4686" spans="35:68" x14ac:dyDescent="0.25">
      <c r="AI4686" s="49"/>
      <c r="AJ4686" s="78"/>
      <c r="AK4686" s="79"/>
      <c r="AL4686" s="79"/>
      <c r="AM4686" s="79"/>
      <c r="AN4686" s="79"/>
      <c r="AO4686" s="79"/>
      <c r="AP4686" s="79"/>
      <c r="AQ4686" s="79"/>
      <c r="AR4686" s="78"/>
      <c r="AS4686" s="78"/>
      <c r="AT4686" s="79"/>
      <c r="AU4686" s="79"/>
      <c r="AV4686" s="79"/>
      <c r="AW4686" s="79"/>
      <c r="AX4686" s="79"/>
      <c r="AZ4686" s="81"/>
      <c r="BB4686" s="5"/>
      <c r="BC4686" s="5"/>
      <c r="BD4686" s="5"/>
      <c r="BE4686" s="5"/>
      <c r="BF4686" s="5"/>
      <c r="BG4686" s="5"/>
      <c r="BH4686" s="5"/>
      <c r="BI4686" s="5"/>
      <c r="BJ4686" s="5"/>
      <c r="BK4686" s="5"/>
      <c r="BL4686" s="5"/>
      <c r="BM4686" s="5"/>
      <c r="BN4686" s="5"/>
      <c r="BO4686" s="5"/>
      <c r="BP4686" s="5"/>
    </row>
    <row r="4687" spans="35:68" x14ac:dyDescent="0.25">
      <c r="AI4687" s="49"/>
      <c r="AJ4687" s="78"/>
      <c r="AK4687" s="79"/>
      <c r="AL4687" s="79"/>
      <c r="AM4687" s="79"/>
      <c r="AN4687" s="79"/>
      <c r="AO4687" s="79"/>
      <c r="AP4687" s="79"/>
      <c r="AQ4687" s="79"/>
      <c r="AR4687" s="78"/>
      <c r="AS4687" s="78"/>
      <c r="AT4687" s="79"/>
      <c r="AU4687" s="79"/>
      <c r="AV4687" s="79"/>
      <c r="AW4687" s="79"/>
      <c r="AX4687" s="79"/>
      <c r="AZ4687" s="81"/>
      <c r="BB4687" s="5"/>
      <c r="BC4687" s="5"/>
      <c r="BD4687" s="5"/>
      <c r="BE4687" s="5"/>
      <c r="BF4687" s="5"/>
      <c r="BG4687" s="5"/>
      <c r="BH4687" s="5"/>
      <c r="BI4687" s="5"/>
      <c r="BJ4687" s="5"/>
      <c r="BK4687" s="5"/>
      <c r="BL4687" s="5"/>
      <c r="BM4687" s="5"/>
      <c r="BN4687" s="5"/>
      <c r="BO4687" s="5"/>
      <c r="BP4687" s="5"/>
    </row>
    <row r="4688" spans="35:68" x14ac:dyDescent="0.25">
      <c r="AI4688" s="49"/>
      <c r="AJ4688" s="78"/>
      <c r="AK4688" s="79"/>
      <c r="AL4688" s="79"/>
      <c r="AM4688" s="79"/>
      <c r="AN4688" s="79"/>
      <c r="AO4688" s="79"/>
      <c r="AP4688" s="79"/>
      <c r="AQ4688" s="79"/>
      <c r="AR4688" s="78"/>
      <c r="AS4688" s="78"/>
      <c r="AT4688" s="79"/>
      <c r="AU4688" s="79"/>
      <c r="AV4688" s="79"/>
      <c r="AW4688" s="79"/>
      <c r="AX4688" s="79"/>
      <c r="AZ4688" s="81"/>
      <c r="BB4688" s="5"/>
      <c r="BC4688" s="5"/>
      <c r="BD4688" s="5"/>
      <c r="BE4688" s="5"/>
      <c r="BF4688" s="5"/>
      <c r="BG4688" s="5"/>
      <c r="BH4688" s="5"/>
      <c r="BI4688" s="5"/>
      <c r="BJ4688" s="5"/>
      <c r="BK4688" s="5"/>
      <c r="BL4688" s="5"/>
      <c r="BM4688" s="5"/>
      <c r="BN4688" s="5"/>
      <c r="BO4688" s="5"/>
      <c r="BP4688" s="5"/>
    </row>
    <row r="4689" spans="35:68" x14ac:dyDescent="0.25">
      <c r="AI4689" s="49"/>
      <c r="AJ4689" s="78"/>
      <c r="AK4689" s="79"/>
      <c r="AL4689" s="79"/>
      <c r="AM4689" s="79"/>
      <c r="AN4689" s="79"/>
      <c r="AO4689" s="79"/>
      <c r="AP4689" s="79"/>
      <c r="AQ4689" s="79"/>
      <c r="AR4689" s="78"/>
      <c r="AS4689" s="78"/>
      <c r="AT4689" s="79"/>
      <c r="AU4689" s="79"/>
      <c r="AV4689" s="79"/>
      <c r="AW4689" s="79"/>
      <c r="AX4689" s="79"/>
      <c r="AZ4689" s="81"/>
      <c r="BB4689" s="5"/>
      <c r="BC4689" s="5"/>
      <c r="BD4689" s="5"/>
      <c r="BE4689" s="5"/>
      <c r="BF4689" s="5"/>
      <c r="BG4689" s="5"/>
      <c r="BH4689" s="5"/>
      <c r="BI4689" s="5"/>
      <c r="BJ4689" s="5"/>
      <c r="BK4689" s="5"/>
      <c r="BL4689" s="5"/>
      <c r="BM4689" s="5"/>
      <c r="BN4689" s="5"/>
      <c r="BO4689" s="5"/>
      <c r="BP4689" s="5"/>
    </row>
    <row r="4690" spans="35:68" x14ac:dyDescent="0.25">
      <c r="AI4690" s="49"/>
      <c r="AJ4690" s="78"/>
      <c r="AK4690" s="79"/>
      <c r="AL4690" s="79"/>
      <c r="AM4690" s="79"/>
      <c r="AN4690" s="79"/>
      <c r="AO4690" s="79"/>
      <c r="AP4690" s="79"/>
      <c r="AQ4690" s="79"/>
      <c r="AR4690" s="78"/>
      <c r="AS4690" s="78"/>
      <c r="AT4690" s="79"/>
      <c r="AU4690" s="79"/>
      <c r="AV4690" s="79"/>
      <c r="AW4690" s="79"/>
      <c r="AX4690" s="79"/>
      <c r="AZ4690" s="81"/>
      <c r="BB4690" s="5"/>
      <c r="BC4690" s="5"/>
      <c r="BD4690" s="5"/>
      <c r="BE4690" s="5"/>
      <c r="BF4690" s="5"/>
      <c r="BG4690" s="5"/>
      <c r="BH4690" s="5"/>
      <c r="BI4690" s="5"/>
      <c r="BJ4690" s="5"/>
      <c r="BK4690" s="5"/>
      <c r="BL4690" s="5"/>
      <c r="BM4690" s="5"/>
      <c r="BN4690" s="5"/>
      <c r="BO4690" s="5"/>
      <c r="BP4690" s="5"/>
    </row>
    <row r="4691" spans="35:68" x14ac:dyDescent="0.25">
      <c r="AI4691" s="49"/>
      <c r="AJ4691" s="78"/>
      <c r="AK4691" s="79"/>
      <c r="AL4691" s="79"/>
      <c r="AM4691" s="79"/>
      <c r="AN4691" s="79"/>
      <c r="AO4691" s="79"/>
      <c r="AP4691" s="79"/>
      <c r="AQ4691" s="79"/>
      <c r="AR4691" s="78"/>
      <c r="AS4691" s="78"/>
      <c r="AT4691" s="79"/>
      <c r="AU4691" s="79"/>
      <c r="AV4691" s="79"/>
      <c r="AW4691" s="79"/>
      <c r="AX4691" s="79"/>
      <c r="AZ4691" s="81"/>
      <c r="BB4691" s="5"/>
      <c r="BC4691" s="5"/>
      <c r="BD4691" s="5"/>
      <c r="BE4691" s="5"/>
      <c r="BF4691" s="5"/>
      <c r="BG4691" s="5"/>
      <c r="BH4691" s="5"/>
      <c r="BI4691" s="5"/>
      <c r="BJ4691" s="5"/>
      <c r="BK4691" s="5"/>
      <c r="BL4691" s="5"/>
      <c r="BM4691" s="5"/>
      <c r="BN4691" s="5"/>
      <c r="BO4691" s="5"/>
      <c r="BP4691" s="5"/>
    </row>
    <row r="4692" spans="35:68" x14ac:dyDescent="0.25">
      <c r="AI4692" s="49"/>
      <c r="AJ4692" s="78"/>
      <c r="AK4692" s="79"/>
      <c r="AL4692" s="79"/>
      <c r="AM4692" s="79"/>
      <c r="AN4692" s="79"/>
      <c r="AO4692" s="79"/>
      <c r="AP4692" s="79"/>
      <c r="AQ4692" s="79"/>
      <c r="AR4692" s="78"/>
      <c r="AS4692" s="78"/>
      <c r="AT4692" s="79"/>
      <c r="AU4692" s="79"/>
      <c r="AV4692" s="79"/>
      <c r="AW4692" s="79"/>
      <c r="AX4692" s="79"/>
      <c r="AZ4692" s="81"/>
      <c r="BB4692" s="5"/>
      <c r="BC4692" s="5"/>
      <c r="BD4692" s="5"/>
      <c r="BE4692" s="5"/>
      <c r="BF4692" s="5"/>
      <c r="BG4692" s="5"/>
      <c r="BH4692" s="5"/>
      <c r="BI4692" s="5"/>
      <c r="BJ4692" s="5"/>
      <c r="BK4692" s="5"/>
      <c r="BL4692" s="5"/>
      <c r="BM4692" s="5"/>
      <c r="BN4692" s="5"/>
      <c r="BO4692" s="5"/>
      <c r="BP4692" s="5"/>
    </row>
    <row r="4693" spans="35:68" x14ac:dyDescent="0.25">
      <c r="AI4693" s="49"/>
      <c r="AJ4693" s="78"/>
      <c r="AK4693" s="79"/>
      <c r="AL4693" s="79"/>
      <c r="AM4693" s="79"/>
      <c r="AN4693" s="79"/>
      <c r="AO4693" s="79"/>
      <c r="AP4693" s="79"/>
      <c r="AQ4693" s="79"/>
      <c r="AR4693" s="78"/>
      <c r="AS4693" s="78"/>
      <c r="AT4693" s="79"/>
      <c r="AU4693" s="79"/>
      <c r="AV4693" s="79"/>
      <c r="AW4693" s="79"/>
      <c r="AX4693" s="79"/>
      <c r="AZ4693" s="81"/>
      <c r="BB4693" s="5"/>
      <c r="BC4693" s="5"/>
      <c r="BD4693" s="5"/>
      <c r="BE4693" s="5"/>
      <c r="BF4693" s="5"/>
      <c r="BG4693" s="5"/>
      <c r="BH4693" s="5"/>
      <c r="BI4693" s="5"/>
      <c r="BJ4693" s="5"/>
      <c r="BK4693" s="5"/>
      <c r="BL4693" s="5"/>
      <c r="BM4693" s="5"/>
      <c r="BN4693" s="5"/>
      <c r="BO4693" s="5"/>
      <c r="BP4693" s="5"/>
    </row>
    <row r="4694" spans="35:68" x14ac:dyDescent="0.25">
      <c r="AI4694" s="49"/>
      <c r="AJ4694" s="78"/>
      <c r="AK4694" s="79"/>
      <c r="AL4694" s="79"/>
      <c r="AM4694" s="79"/>
      <c r="AN4694" s="79"/>
      <c r="AO4694" s="79"/>
      <c r="AP4694" s="79"/>
      <c r="AQ4694" s="79"/>
      <c r="AR4694" s="78"/>
      <c r="AS4694" s="78"/>
      <c r="AT4694" s="79"/>
      <c r="AU4694" s="79"/>
      <c r="AV4694" s="79"/>
      <c r="AW4694" s="79"/>
      <c r="AX4694" s="79"/>
      <c r="AZ4694" s="81"/>
      <c r="BB4694" s="5"/>
      <c r="BC4694" s="5"/>
      <c r="BD4694" s="5"/>
      <c r="BE4694" s="5"/>
      <c r="BF4694" s="5"/>
      <c r="BG4694" s="5"/>
      <c r="BH4694" s="5"/>
      <c r="BI4694" s="5"/>
      <c r="BJ4694" s="5"/>
      <c r="BK4694" s="5"/>
      <c r="BL4694" s="5"/>
      <c r="BM4694" s="5"/>
      <c r="BN4694" s="5"/>
      <c r="BO4694" s="5"/>
      <c r="BP4694" s="5"/>
    </row>
    <row r="4695" spans="35:68" x14ac:dyDescent="0.25">
      <c r="AI4695" s="49"/>
      <c r="AJ4695" s="78"/>
      <c r="AK4695" s="79"/>
      <c r="AL4695" s="79"/>
      <c r="AM4695" s="79"/>
      <c r="AN4695" s="79"/>
      <c r="AO4695" s="79"/>
      <c r="AP4695" s="79"/>
      <c r="AQ4695" s="79"/>
      <c r="AR4695" s="78"/>
      <c r="AS4695" s="78"/>
      <c r="AT4695" s="79"/>
      <c r="AU4695" s="79"/>
      <c r="AV4695" s="79"/>
      <c r="AW4695" s="79"/>
      <c r="AX4695" s="79"/>
      <c r="AZ4695" s="81"/>
      <c r="BB4695" s="5"/>
      <c r="BC4695" s="5"/>
      <c r="BD4695" s="5"/>
      <c r="BE4695" s="5"/>
      <c r="BF4695" s="5"/>
      <c r="BG4695" s="5"/>
      <c r="BH4695" s="5"/>
      <c r="BI4695" s="5"/>
      <c r="BJ4695" s="5"/>
      <c r="BK4695" s="5"/>
      <c r="BL4695" s="5"/>
      <c r="BM4695" s="5"/>
      <c r="BN4695" s="5"/>
      <c r="BO4695" s="5"/>
      <c r="BP4695" s="5"/>
    </row>
    <row r="4696" spans="35:68" x14ac:dyDescent="0.25">
      <c r="AI4696" s="49"/>
      <c r="AJ4696" s="78"/>
      <c r="AK4696" s="79"/>
      <c r="AL4696" s="79"/>
      <c r="AM4696" s="79"/>
      <c r="AN4696" s="79"/>
      <c r="AO4696" s="79"/>
      <c r="AP4696" s="79"/>
      <c r="AQ4696" s="79"/>
      <c r="AR4696" s="78"/>
      <c r="AS4696" s="78"/>
      <c r="AT4696" s="79"/>
      <c r="AU4696" s="79"/>
      <c r="AV4696" s="79"/>
      <c r="AW4696" s="79"/>
      <c r="AX4696" s="79"/>
      <c r="AZ4696" s="81"/>
      <c r="BB4696" s="5"/>
      <c r="BC4696" s="5"/>
      <c r="BD4696" s="5"/>
      <c r="BE4696" s="5"/>
      <c r="BF4696" s="5"/>
      <c r="BG4696" s="5"/>
      <c r="BH4696" s="5"/>
      <c r="BI4696" s="5"/>
      <c r="BJ4696" s="5"/>
      <c r="BK4696" s="5"/>
      <c r="BL4696" s="5"/>
      <c r="BM4696" s="5"/>
      <c r="BN4696" s="5"/>
      <c r="BO4696" s="5"/>
      <c r="BP4696" s="5"/>
    </row>
    <row r="4697" spans="35:68" x14ac:dyDescent="0.25">
      <c r="AI4697" s="49"/>
      <c r="AJ4697" s="78"/>
      <c r="AK4697" s="79"/>
      <c r="AL4697" s="79"/>
      <c r="AM4697" s="79"/>
      <c r="AN4697" s="79"/>
      <c r="AO4697" s="79"/>
      <c r="AP4697" s="79"/>
      <c r="AQ4697" s="79"/>
      <c r="AR4697" s="78"/>
      <c r="AS4697" s="78"/>
      <c r="AT4697" s="79"/>
      <c r="AU4697" s="79"/>
      <c r="AV4697" s="79"/>
      <c r="AW4697" s="79"/>
      <c r="AX4697" s="79"/>
      <c r="AZ4697" s="81"/>
      <c r="BB4697" s="5"/>
      <c r="BC4697" s="5"/>
      <c r="BD4697" s="5"/>
      <c r="BE4697" s="5"/>
      <c r="BF4697" s="5"/>
      <c r="BG4697" s="5"/>
      <c r="BH4697" s="5"/>
      <c r="BI4697" s="5"/>
      <c r="BJ4697" s="5"/>
      <c r="BK4697" s="5"/>
      <c r="BL4697" s="5"/>
      <c r="BM4697" s="5"/>
      <c r="BN4697" s="5"/>
      <c r="BO4697" s="5"/>
      <c r="BP4697" s="5"/>
    </row>
    <row r="4698" spans="35:68" x14ac:dyDescent="0.25">
      <c r="AI4698" s="49"/>
      <c r="AJ4698" s="78"/>
      <c r="AK4698" s="79"/>
      <c r="AL4698" s="79"/>
      <c r="AM4698" s="79"/>
      <c r="AN4698" s="79"/>
      <c r="AO4698" s="79"/>
      <c r="AP4698" s="79"/>
      <c r="AQ4698" s="79"/>
      <c r="AR4698" s="78"/>
      <c r="AS4698" s="78"/>
      <c r="AT4698" s="79"/>
      <c r="AU4698" s="79"/>
      <c r="AV4698" s="79"/>
      <c r="AW4698" s="79"/>
      <c r="AX4698" s="79"/>
      <c r="AZ4698" s="81"/>
      <c r="BB4698" s="5"/>
      <c r="BC4698" s="5"/>
      <c r="BD4698" s="5"/>
      <c r="BE4698" s="5"/>
      <c r="BF4698" s="5"/>
      <c r="BG4698" s="5"/>
      <c r="BH4698" s="5"/>
      <c r="BI4698" s="5"/>
      <c r="BJ4698" s="5"/>
      <c r="BK4698" s="5"/>
      <c r="BL4698" s="5"/>
      <c r="BM4698" s="5"/>
      <c r="BN4698" s="5"/>
      <c r="BO4698" s="5"/>
      <c r="BP4698" s="5"/>
    </row>
    <row r="4699" spans="35:68" x14ac:dyDescent="0.25">
      <c r="AI4699" s="49"/>
      <c r="AJ4699" s="78"/>
      <c r="AK4699" s="79"/>
      <c r="AL4699" s="79"/>
      <c r="AM4699" s="79"/>
      <c r="AN4699" s="79"/>
      <c r="AO4699" s="79"/>
      <c r="AP4699" s="79"/>
      <c r="AQ4699" s="79"/>
      <c r="AR4699" s="78"/>
      <c r="AS4699" s="78"/>
      <c r="AT4699" s="79"/>
      <c r="AU4699" s="79"/>
      <c r="AV4699" s="79"/>
      <c r="AW4699" s="79"/>
      <c r="AX4699" s="79"/>
      <c r="AZ4699" s="81"/>
      <c r="BB4699" s="5"/>
      <c r="BC4699" s="5"/>
      <c r="BD4699" s="5"/>
      <c r="BE4699" s="5"/>
      <c r="BF4699" s="5"/>
      <c r="BG4699" s="5"/>
      <c r="BH4699" s="5"/>
      <c r="BI4699" s="5"/>
      <c r="BJ4699" s="5"/>
      <c r="BK4699" s="5"/>
      <c r="BL4699" s="5"/>
      <c r="BM4699" s="5"/>
      <c r="BN4699" s="5"/>
      <c r="BO4699" s="5"/>
      <c r="BP4699" s="5"/>
    </row>
    <row r="4700" spans="35:68" x14ac:dyDescent="0.25">
      <c r="AI4700" s="49"/>
      <c r="AJ4700" s="78"/>
      <c r="AK4700" s="79"/>
      <c r="AL4700" s="79"/>
      <c r="AM4700" s="79"/>
      <c r="AN4700" s="79"/>
      <c r="AO4700" s="79"/>
      <c r="AP4700" s="79"/>
      <c r="AQ4700" s="79"/>
      <c r="AR4700" s="78"/>
      <c r="AS4700" s="78"/>
      <c r="AT4700" s="79"/>
      <c r="AU4700" s="79"/>
      <c r="AV4700" s="79"/>
      <c r="AW4700" s="79"/>
      <c r="AX4700" s="79"/>
      <c r="AZ4700" s="81"/>
      <c r="BB4700" s="5"/>
      <c r="BC4700" s="5"/>
      <c r="BD4700" s="5"/>
      <c r="BE4700" s="5"/>
      <c r="BF4700" s="5"/>
      <c r="BG4700" s="5"/>
      <c r="BH4700" s="5"/>
      <c r="BI4700" s="5"/>
      <c r="BJ4700" s="5"/>
      <c r="BK4700" s="5"/>
      <c r="BL4700" s="5"/>
      <c r="BM4700" s="5"/>
      <c r="BN4700" s="5"/>
      <c r="BO4700" s="5"/>
      <c r="BP4700" s="5"/>
    </row>
    <row r="4701" spans="35:68" x14ac:dyDescent="0.25">
      <c r="AI4701" s="49"/>
      <c r="AJ4701" s="78"/>
      <c r="AK4701" s="79"/>
      <c r="AL4701" s="79"/>
      <c r="AM4701" s="79"/>
      <c r="AN4701" s="79"/>
      <c r="AO4701" s="79"/>
      <c r="AP4701" s="79"/>
      <c r="AQ4701" s="79"/>
      <c r="AR4701" s="78"/>
      <c r="AS4701" s="78"/>
      <c r="AT4701" s="79"/>
      <c r="AU4701" s="79"/>
      <c r="AV4701" s="79"/>
      <c r="AW4701" s="79"/>
      <c r="AX4701" s="79"/>
      <c r="AZ4701" s="81"/>
      <c r="BB4701" s="5"/>
      <c r="BC4701" s="5"/>
      <c r="BD4701" s="5"/>
      <c r="BE4701" s="5"/>
      <c r="BF4701" s="5"/>
      <c r="BG4701" s="5"/>
      <c r="BH4701" s="5"/>
      <c r="BI4701" s="5"/>
      <c r="BJ4701" s="5"/>
      <c r="BK4701" s="5"/>
      <c r="BL4701" s="5"/>
      <c r="BM4701" s="5"/>
      <c r="BN4701" s="5"/>
      <c r="BO4701" s="5"/>
      <c r="BP4701" s="5"/>
    </row>
    <row r="4702" spans="35:68" x14ac:dyDescent="0.25">
      <c r="AI4702" s="49"/>
      <c r="AJ4702" s="78"/>
      <c r="AK4702" s="79"/>
      <c r="AL4702" s="79"/>
      <c r="AM4702" s="79"/>
      <c r="AN4702" s="79"/>
      <c r="AO4702" s="79"/>
      <c r="AP4702" s="79"/>
      <c r="AQ4702" s="79"/>
      <c r="AR4702" s="78"/>
      <c r="AS4702" s="78"/>
      <c r="AT4702" s="79"/>
      <c r="AU4702" s="79"/>
      <c r="AV4702" s="79"/>
      <c r="AW4702" s="79"/>
      <c r="AX4702" s="79"/>
      <c r="AZ4702" s="81"/>
      <c r="BB4702" s="5"/>
      <c r="BC4702" s="5"/>
      <c r="BD4702" s="5"/>
      <c r="BE4702" s="5"/>
      <c r="BF4702" s="5"/>
      <c r="BG4702" s="5"/>
      <c r="BH4702" s="5"/>
      <c r="BI4702" s="5"/>
      <c r="BJ4702" s="5"/>
      <c r="BK4702" s="5"/>
      <c r="BL4702" s="5"/>
      <c r="BM4702" s="5"/>
      <c r="BN4702" s="5"/>
      <c r="BO4702" s="5"/>
      <c r="BP4702" s="5"/>
    </row>
    <row r="4703" spans="35:68" x14ac:dyDescent="0.25">
      <c r="AI4703" s="49"/>
      <c r="AJ4703" s="78"/>
      <c r="AK4703" s="79"/>
      <c r="AL4703" s="79"/>
      <c r="AM4703" s="79"/>
      <c r="AN4703" s="79"/>
      <c r="AO4703" s="79"/>
      <c r="AP4703" s="79"/>
      <c r="AQ4703" s="79"/>
      <c r="AR4703" s="78"/>
      <c r="AS4703" s="78"/>
      <c r="AT4703" s="79"/>
      <c r="AU4703" s="79"/>
      <c r="AV4703" s="79"/>
      <c r="AW4703" s="79"/>
      <c r="AX4703" s="79"/>
      <c r="AZ4703" s="81"/>
      <c r="BB4703" s="5"/>
      <c r="BC4703" s="5"/>
      <c r="BD4703" s="5"/>
      <c r="BE4703" s="5"/>
      <c r="BF4703" s="5"/>
      <c r="BG4703" s="5"/>
      <c r="BH4703" s="5"/>
      <c r="BI4703" s="5"/>
      <c r="BJ4703" s="5"/>
      <c r="BK4703" s="5"/>
      <c r="BL4703" s="5"/>
      <c r="BM4703" s="5"/>
      <c r="BN4703" s="5"/>
      <c r="BO4703" s="5"/>
      <c r="BP4703" s="5"/>
    </row>
    <row r="4704" spans="35:68" x14ac:dyDescent="0.25">
      <c r="AI4704" s="49"/>
      <c r="AJ4704" s="78"/>
      <c r="AK4704" s="79"/>
      <c r="AL4704" s="79"/>
      <c r="AM4704" s="79"/>
      <c r="AN4704" s="79"/>
      <c r="AO4704" s="79"/>
      <c r="AP4704" s="79"/>
      <c r="AQ4704" s="79"/>
      <c r="AR4704" s="78"/>
      <c r="AS4704" s="78"/>
      <c r="AT4704" s="79"/>
      <c r="AU4704" s="79"/>
      <c r="AV4704" s="79"/>
      <c r="AW4704" s="79"/>
      <c r="AX4704" s="79"/>
      <c r="AZ4704" s="81"/>
      <c r="BB4704" s="5"/>
      <c r="BC4704" s="5"/>
      <c r="BD4704" s="5"/>
      <c r="BE4704" s="5"/>
      <c r="BF4704" s="5"/>
      <c r="BG4704" s="5"/>
      <c r="BH4704" s="5"/>
      <c r="BI4704" s="5"/>
      <c r="BJ4704" s="5"/>
      <c r="BK4704" s="5"/>
      <c r="BL4704" s="5"/>
      <c r="BM4704" s="5"/>
      <c r="BN4704" s="5"/>
      <c r="BO4704" s="5"/>
      <c r="BP4704" s="5"/>
    </row>
    <row r="4705" spans="35:68" x14ac:dyDescent="0.25">
      <c r="AI4705" s="49"/>
      <c r="AJ4705" s="78"/>
      <c r="AK4705" s="79"/>
      <c r="AL4705" s="79"/>
      <c r="AM4705" s="79"/>
      <c r="AN4705" s="79"/>
      <c r="AO4705" s="79"/>
      <c r="AP4705" s="79"/>
      <c r="AQ4705" s="79"/>
      <c r="AR4705" s="78"/>
      <c r="AS4705" s="78"/>
      <c r="AT4705" s="79"/>
      <c r="AU4705" s="79"/>
      <c r="AV4705" s="79"/>
      <c r="AW4705" s="79"/>
      <c r="AX4705" s="79"/>
      <c r="AZ4705" s="81"/>
      <c r="BB4705" s="5"/>
      <c r="BC4705" s="5"/>
      <c r="BD4705" s="5"/>
      <c r="BE4705" s="5"/>
      <c r="BF4705" s="5"/>
      <c r="BG4705" s="5"/>
      <c r="BH4705" s="5"/>
      <c r="BI4705" s="5"/>
      <c r="BJ4705" s="5"/>
      <c r="BK4705" s="5"/>
      <c r="BL4705" s="5"/>
      <c r="BM4705" s="5"/>
      <c r="BN4705" s="5"/>
      <c r="BO4705" s="5"/>
      <c r="BP4705" s="5"/>
    </row>
    <row r="4706" spans="35:68" x14ac:dyDescent="0.25">
      <c r="AI4706" s="49"/>
      <c r="AJ4706" s="78"/>
      <c r="AK4706" s="79"/>
      <c r="AL4706" s="79"/>
      <c r="AM4706" s="79"/>
      <c r="AN4706" s="79"/>
      <c r="AO4706" s="79"/>
      <c r="AP4706" s="79"/>
      <c r="AQ4706" s="79"/>
      <c r="AR4706" s="78"/>
      <c r="AS4706" s="78"/>
      <c r="AT4706" s="79"/>
      <c r="AU4706" s="79"/>
      <c r="AV4706" s="79"/>
      <c r="AW4706" s="79"/>
      <c r="AX4706" s="79"/>
      <c r="AZ4706" s="81"/>
      <c r="BB4706" s="5"/>
      <c r="BC4706" s="5"/>
      <c r="BD4706" s="5"/>
      <c r="BE4706" s="5"/>
      <c r="BF4706" s="5"/>
      <c r="BG4706" s="5"/>
      <c r="BH4706" s="5"/>
      <c r="BI4706" s="5"/>
      <c r="BJ4706" s="5"/>
      <c r="BK4706" s="5"/>
      <c r="BL4706" s="5"/>
      <c r="BM4706" s="5"/>
      <c r="BN4706" s="5"/>
      <c r="BO4706" s="5"/>
      <c r="BP4706" s="5"/>
    </row>
    <row r="4707" spans="35:68" x14ac:dyDescent="0.25">
      <c r="AI4707" s="49"/>
      <c r="AJ4707" s="78"/>
      <c r="AK4707" s="79"/>
      <c r="AL4707" s="79"/>
      <c r="AM4707" s="79"/>
      <c r="AN4707" s="79"/>
      <c r="AO4707" s="79"/>
      <c r="AP4707" s="79"/>
      <c r="AQ4707" s="79"/>
      <c r="AR4707" s="78"/>
      <c r="AS4707" s="78"/>
      <c r="AT4707" s="79"/>
      <c r="AU4707" s="79"/>
      <c r="AV4707" s="79"/>
      <c r="AW4707" s="79"/>
      <c r="AX4707" s="79"/>
      <c r="AZ4707" s="81"/>
      <c r="BB4707" s="5"/>
      <c r="BC4707" s="5"/>
      <c r="BD4707" s="5"/>
      <c r="BE4707" s="5"/>
      <c r="BF4707" s="5"/>
      <c r="BG4707" s="5"/>
      <c r="BH4707" s="5"/>
      <c r="BI4707" s="5"/>
      <c r="BJ4707" s="5"/>
      <c r="BK4707" s="5"/>
      <c r="BL4707" s="5"/>
      <c r="BM4707" s="5"/>
      <c r="BN4707" s="5"/>
      <c r="BO4707" s="5"/>
      <c r="BP4707" s="5"/>
    </row>
    <row r="4708" spans="35:68" x14ac:dyDescent="0.25">
      <c r="AI4708" s="49"/>
      <c r="AJ4708" s="78"/>
      <c r="AK4708" s="79"/>
      <c r="AL4708" s="79"/>
      <c r="AM4708" s="79"/>
      <c r="AN4708" s="79"/>
      <c r="AO4708" s="79"/>
      <c r="AP4708" s="79"/>
      <c r="AQ4708" s="79"/>
      <c r="AR4708" s="78"/>
      <c r="AS4708" s="78"/>
      <c r="AT4708" s="79"/>
      <c r="AU4708" s="79"/>
      <c r="AV4708" s="79"/>
      <c r="AW4708" s="79"/>
      <c r="AX4708" s="79"/>
      <c r="AZ4708" s="81"/>
      <c r="BB4708" s="5"/>
      <c r="BC4708" s="5"/>
      <c r="BD4708" s="5"/>
      <c r="BE4708" s="5"/>
      <c r="BF4708" s="5"/>
      <c r="BG4708" s="5"/>
      <c r="BH4708" s="5"/>
      <c r="BI4708" s="5"/>
      <c r="BJ4708" s="5"/>
      <c r="BK4708" s="5"/>
      <c r="BL4708" s="5"/>
      <c r="BM4708" s="5"/>
      <c r="BN4708" s="5"/>
      <c r="BO4708" s="5"/>
      <c r="BP4708" s="5"/>
    </row>
    <row r="4709" spans="35:68" x14ac:dyDescent="0.25">
      <c r="AI4709" s="49"/>
      <c r="AJ4709" s="78"/>
      <c r="AK4709" s="79"/>
      <c r="AL4709" s="79"/>
      <c r="AM4709" s="79"/>
      <c r="AN4709" s="79"/>
      <c r="AO4709" s="79"/>
      <c r="AP4709" s="79"/>
      <c r="AQ4709" s="79"/>
      <c r="AR4709" s="78"/>
      <c r="AS4709" s="78"/>
      <c r="AT4709" s="79"/>
      <c r="AU4709" s="79"/>
      <c r="AV4709" s="79"/>
      <c r="AW4709" s="79"/>
      <c r="AX4709" s="79"/>
      <c r="AZ4709" s="81"/>
      <c r="BB4709" s="5"/>
      <c r="BC4709" s="5"/>
      <c r="BD4709" s="5"/>
      <c r="BE4709" s="5"/>
      <c r="BF4709" s="5"/>
      <c r="BG4709" s="5"/>
      <c r="BH4709" s="5"/>
      <c r="BI4709" s="5"/>
      <c r="BJ4709" s="5"/>
      <c r="BK4709" s="5"/>
      <c r="BL4709" s="5"/>
      <c r="BM4709" s="5"/>
      <c r="BN4709" s="5"/>
      <c r="BO4709" s="5"/>
      <c r="BP4709" s="5"/>
    </row>
    <row r="4710" spans="35:68" x14ac:dyDescent="0.25">
      <c r="AI4710" s="49"/>
      <c r="AJ4710" s="78"/>
      <c r="AK4710" s="79"/>
      <c r="AL4710" s="79"/>
      <c r="AM4710" s="79"/>
      <c r="AN4710" s="79"/>
      <c r="AO4710" s="79"/>
      <c r="AP4710" s="79"/>
      <c r="AQ4710" s="79"/>
      <c r="AR4710" s="78"/>
      <c r="AS4710" s="78"/>
      <c r="AT4710" s="79"/>
      <c r="AU4710" s="79"/>
      <c r="AV4710" s="79"/>
      <c r="AW4710" s="79"/>
      <c r="AX4710" s="79"/>
      <c r="AZ4710" s="81"/>
      <c r="BB4710" s="5"/>
      <c r="BC4710" s="5"/>
      <c r="BD4710" s="5"/>
      <c r="BE4710" s="5"/>
      <c r="BF4710" s="5"/>
      <c r="BG4710" s="5"/>
      <c r="BH4710" s="5"/>
      <c r="BI4710" s="5"/>
      <c r="BJ4710" s="5"/>
      <c r="BK4710" s="5"/>
      <c r="BL4710" s="5"/>
      <c r="BM4710" s="5"/>
      <c r="BN4710" s="5"/>
      <c r="BO4710" s="5"/>
      <c r="BP4710" s="5"/>
    </row>
    <row r="4711" spans="35:68" x14ac:dyDescent="0.25">
      <c r="AI4711" s="49"/>
      <c r="AJ4711" s="78"/>
      <c r="AK4711" s="79"/>
      <c r="AL4711" s="79"/>
      <c r="AM4711" s="79"/>
      <c r="AN4711" s="79"/>
      <c r="AO4711" s="79"/>
      <c r="AP4711" s="79"/>
      <c r="AQ4711" s="79"/>
      <c r="AR4711" s="78"/>
      <c r="AS4711" s="78"/>
      <c r="AT4711" s="79"/>
      <c r="AU4711" s="79"/>
      <c r="AV4711" s="79"/>
      <c r="AW4711" s="79"/>
      <c r="AX4711" s="79"/>
      <c r="AZ4711" s="81"/>
      <c r="BB4711" s="5"/>
      <c r="BC4711" s="5"/>
      <c r="BD4711" s="5"/>
      <c r="BE4711" s="5"/>
      <c r="BF4711" s="5"/>
      <c r="BG4711" s="5"/>
      <c r="BH4711" s="5"/>
      <c r="BI4711" s="5"/>
      <c r="BJ4711" s="5"/>
      <c r="BK4711" s="5"/>
      <c r="BL4711" s="5"/>
      <c r="BM4711" s="5"/>
      <c r="BN4711" s="5"/>
      <c r="BO4711" s="5"/>
      <c r="BP4711" s="5"/>
    </row>
    <row r="4712" spans="35:68" x14ac:dyDescent="0.25">
      <c r="AI4712" s="49"/>
      <c r="AJ4712" s="78"/>
      <c r="AK4712" s="79"/>
      <c r="AL4712" s="79"/>
      <c r="AM4712" s="79"/>
      <c r="AN4712" s="79"/>
      <c r="AO4712" s="79"/>
      <c r="AP4712" s="79"/>
      <c r="AQ4712" s="79"/>
      <c r="AR4712" s="78"/>
      <c r="AS4712" s="78"/>
      <c r="AT4712" s="79"/>
      <c r="AU4712" s="79"/>
      <c r="AV4712" s="79"/>
      <c r="AW4712" s="79"/>
      <c r="AX4712" s="79"/>
      <c r="AZ4712" s="81"/>
      <c r="BB4712" s="5"/>
      <c r="BC4712" s="5"/>
      <c r="BD4712" s="5"/>
      <c r="BE4712" s="5"/>
      <c r="BF4712" s="5"/>
      <c r="BG4712" s="5"/>
      <c r="BH4712" s="5"/>
      <c r="BI4712" s="5"/>
      <c r="BJ4712" s="5"/>
      <c r="BK4712" s="5"/>
      <c r="BL4712" s="5"/>
      <c r="BM4712" s="5"/>
      <c r="BN4712" s="5"/>
      <c r="BO4712" s="5"/>
      <c r="BP4712" s="5"/>
    </row>
    <row r="4713" spans="35:68" x14ac:dyDescent="0.25">
      <c r="AI4713" s="49"/>
      <c r="AJ4713" s="78"/>
      <c r="AK4713" s="79"/>
      <c r="AL4713" s="79"/>
      <c r="AM4713" s="79"/>
      <c r="AN4713" s="79"/>
      <c r="AO4713" s="79"/>
      <c r="AP4713" s="79"/>
      <c r="AQ4713" s="79"/>
      <c r="AR4713" s="78"/>
      <c r="AS4713" s="78"/>
      <c r="AT4713" s="79"/>
      <c r="AU4713" s="79"/>
      <c r="AV4713" s="79"/>
      <c r="AW4713" s="79"/>
      <c r="AX4713" s="79"/>
      <c r="AZ4713" s="81"/>
      <c r="BB4713" s="5"/>
      <c r="BC4713" s="5"/>
      <c r="BD4713" s="5"/>
      <c r="BE4713" s="5"/>
      <c r="BF4713" s="5"/>
      <c r="BG4713" s="5"/>
      <c r="BH4713" s="5"/>
      <c r="BI4713" s="5"/>
      <c r="BJ4713" s="5"/>
      <c r="BK4713" s="5"/>
      <c r="BL4713" s="5"/>
      <c r="BM4713" s="5"/>
      <c r="BN4713" s="5"/>
      <c r="BO4713" s="5"/>
      <c r="BP4713" s="5"/>
    </row>
    <row r="4714" spans="35:68" x14ac:dyDescent="0.25">
      <c r="AI4714" s="49"/>
      <c r="AJ4714" s="78"/>
      <c r="AK4714" s="79"/>
      <c r="AL4714" s="79"/>
      <c r="AM4714" s="79"/>
      <c r="AN4714" s="79"/>
      <c r="AO4714" s="79"/>
      <c r="AP4714" s="79"/>
      <c r="AQ4714" s="79"/>
      <c r="AR4714" s="78"/>
      <c r="AS4714" s="78"/>
      <c r="AT4714" s="79"/>
      <c r="AU4714" s="79"/>
      <c r="AV4714" s="79"/>
      <c r="AW4714" s="79"/>
      <c r="AX4714" s="79"/>
      <c r="AZ4714" s="81"/>
      <c r="BB4714" s="5"/>
      <c r="BC4714" s="5"/>
      <c r="BD4714" s="5"/>
      <c r="BE4714" s="5"/>
      <c r="BF4714" s="5"/>
      <c r="BG4714" s="5"/>
      <c r="BH4714" s="5"/>
      <c r="BI4714" s="5"/>
      <c r="BJ4714" s="5"/>
      <c r="BK4714" s="5"/>
      <c r="BL4714" s="5"/>
      <c r="BM4714" s="5"/>
      <c r="BN4714" s="5"/>
      <c r="BO4714" s="5"/>
      <c r="BP4714" s="5"/>
    </row>
    <row r="4715" spans="35:68" x14ac:dyDescent="0.25">
      <c r="AI4715" s="49"/>
      <c r="AJ4715" s="78"/>
      <c r="AK4715" s="79"/>
      <c r="AL4715" s="79"/>
      <c r="AM4715" s="79"/>
      <c r="AN4715" s="79"/>
      <c r="AO4715" s="79"/>
      <c r="AP4715" s="79"/>
      <c r="AQ4715" s="79"/>
      <c r="AR4715" s="78"/>
      <c r="AS4715" s="78"/>
      <c r="AT4715" s="79"/>
      <c r="AU4715" s="79"/>
      <c r="AV4715" s="79"/>
      <c r="AW4715" s="79"/>
      <c r="AX4715" s="79"/>
      <c r="AZ4715" s="81"/>
      <c r="BB4715" s="5"/>
      <c r="BC4715" s="5"/>
      <c r="BD4715" s="5"/>
      <c r="BE4715" s="5"/>
      <c r="BF4715" s="5"/>
      <c r="BG4715" s="5"/>
      <c r="BH4715" s="5"/>
      <c r="BI4715" s="5"/>
      <c r="BJ4715" s="5"/>
      <c r="BK4715" s="5"/>
      <c r="BL4715" s="5"/>
      <c r="BM4715" s="5"/>
      <c r="BN4715" s="5"/>
      <c r="BO4715" s="5"/>
      <c r="BP4715" s="5"/>
    </row>
    <row r="4716" spans="35:68" x14ac:dyDescent="0.25">
      <c r="AI4716" s="49"/>
      <c r="AJ4716" s="78"/>
      <c r="AK4716" s="79"/>
      <c r="AL4716" s="79"/>
      <c r="AM4716" s="79"/>
      <c r="AN4716" s="79"/>
      <c r="AO4716" s="79"/>
      <c r="AP4716" s="79"/>
      <c r="AQ4716" s="79"/>
      <c r="AR4716" s="78"/>
      <c r="AS4716" s="78"/>
      <c r="AT4716" s="79"/>
      <c r="AU4716" s="79"/>
      <c r="AV4716" s="79"/>
      <c r="AW4716" s="79"/>
      <c r="AX4716" s="79"/>
      <c r="AZ4716" s="81"/>
      <c r="BB4716" s="5"/>
      <c r="BC4716" s="5"/>
      <c r="BD4716" s="5"/>
      <c r="BE4716" s="5"/>
      <c r="BF4716" s="5"/>
      <c r="BG4716" s="5"/>
      <c r="BH4716" s="5"/>
      <c r="BI4716" s="5"/>
      <c r="BJ4716" s="5"/>
      <c r="BK4716" s="5"/>
      <c r="BL4716" s="5"/>
      <c r="BM4716" s="5"/>
      <c r="BN4716" s="5"/>
      <c r="BO4716" s="5"/>
      <c r="BP4716" s="5"/>
    </row>
    <row r="4717" spans="35:68" x14ac:dyDescent="0.25">
      <c r="AI4717" s="49"/>
      <c r="AJ4717" s="78"/>
      <c r="AK4717" s="79"/>
      <c r="AL4717" s="79"/>
      <c r="AM4717" s="79"/>
      <c r="AN4717" s="79"/>
      <c r="AO4717" s="79"/>
      <c r="AP4717" s="79"/>
      <c r="AQ4717" s="79"/>
      <c r="AR4717" s="78"/>
      <c r="AS4717" s="78"/>
      <c r="AT4717" s="79"/>
      <c r="AU4717" s="79"/>
      <c r="AV4717" s="79"/>
      <c r="AW4717" s="79"/>
      <c r="AX4717" s="79"/>
      <c r="AZ4717" s="81"/>
      <c r="BB4717" s="5"/>
      <c r="BC4717" s="5"/>
      <c r="BD4717" s="5"/>
      <c r="BE4717" s="5"/>
      <c r="BF4717" s="5"/>
      <c r="BG4717" s="5"/>
      <c r="BH4717" s="5"/>
      <c r="BI4717" s="5"/>
      <c r="BJ4717" s="5"/>
      <c r="BK4717" s="5"/>
      <c r="BL4717" s="5"/>
      <c r="BM4717" s="5"/>
      <c r="BN4717" s="5"/>
      <c r="BO4717" s="5"/>
      <c r="BP4717" s="5"/>
    </row>
    <row r="4718" spans="35:68" x14ac:dyDescent="0.25">
      <c r="AI4718" s="49"/>
      <c r="AJ4718" s="78"/>
      <c r="AK4718" s="79"/>
      <c r="AL4718" s="79"/>
      <c r="AM4718" s="79"/>
      <c r="AN4718" s="79"/>
      <c r="AO4718" s="79"/>
      <c r="AP4718" s="79"/>
      <c r="AQ4718" s="79"/>
      <c r="AR4718" s="78"/>
      <c r="AS4718" s="78"/>
      <c r="AT4718" s="79"/>
      <c r="AU4718" s="79"/>
      <c r="AV4718" s="79"/>
      <c r="AW4718" s="79"/>
      <c r="AX4718" s="79"/>
      <c r="AZ4718" s="81"/>
      <c r="BB4718" s="5"/>
      <c r="BC4718" s="5"/>
      <c r="BD4718" s="5"/>
      <c r="BE4718" s="5"/>
      <c r="BF4718" s="5"/>
      <c r="BG4718" s="5"/>
      <c r="BH4718" s="5"/>
      <c r="BI4718" s="5"/>
      <c r="BJ4718" s="5"/>
      <c r="BK4718" s="5"/>
      <c r="BL4718" s="5"/>
      <c r="BM4718" s="5"/>
      <c r="BN4718" s="5"/>
      <c r="BO4718" s="5"/>
      <c r="BP4718" s="5"/>
    </row>
    <row r="4719" spans="35:68" x14ac:dyDescent="0.25">
      <c r="AI4719" s="49"/>
      <c r="AJ4719" s="78"/>
      <c r="AK4719" s="79"/>
      <c r="AL4719" s="79"/>
      <c r="AM4719" s="79"/>
      <c r="AN4719" s="79"/>
      <c r="AO4719" s="79"/>
      <c r="AP4719" s="79"/>
      <c r="AQ4719" s="79"/>
      <c r="AR4719" s="78"/>
      <c r="AS4719" s="78"/>
      <c r="AT4719" s="79"/>
      <c r="AU4719" s="79"/>
      <c r="AV4719" s="79"/>
      <c r="AW4719" s="79"/>
      <c r="AX4719" s="79"/>
      <c r="AZ4719" s="81"/>
      <c r="BB4719" s="5"/>
      <c r="BC4719" s="5"/>
      <c r="BD4719" s="5"/>
      <c r="BE4719" s="5"/>
      <c r="BF4719" s="5"/>
      <c r="BG4719" s="5"/>
      <c r="BH4719" s="5"/>
      <c r="BI4719" s="5"/>
      <c r="BJ4719" s="5"/>
      <c r="BK4719" s="5"/>
      <c r="BL4719" s="5"/>
      <c r="BM4719" s="5"/>
      <c r="BN4719" s="5"/>
      <c r="BO4719" s="5"/>
      <c r="BP4719" s="5"/>
    </row>
    <row r="4720" spans="35:68" x14ac:dyDescent="0.25">
      <c r="AI4720" s="49"/>
      <c r="AJ4720" s="78"/>
      <c r="AK4720" s="79"/>
      <c r="AL4720" s="79"/>
      <c r="AM4720" s="79"/>
      <c r="AN4720" s="79"/>
      <c r="AO4720" s="79"/>
      <c r="AP4720" s="79"/>
      <c r="AQ4720" s="79"/>
      <c r="AR4720" s="78"/>
      <c r="AS4720" s="78"/>
      <c r="AT4720" s="79"/>
      <c r="AU4720" s="79"/>
      <c r="AV4720" s="79"/>
      <c r="AW4720" s="79"/>
      <c r="AX4720" s="79"/>
      <c r="AZ4720" s="81"/>
      <c r="BB4720" s="5"/>
      <c r="BC4720" s="5"/>
      <c r="BD4720" s="5"/>
      <c r="BE4720" s="5"/>
      <c r="BF4720" s="5"/>
      <c r="BG4720" s="5"/>
      <c r="BH4720" s="5"/>
      <c r="BI4720" s="5"/>
      <c r="BJ4720" s="5"/>
      <c r="BK4720" s="5"/>
      <c r="BL4720" s="5"/>
      <c r="BM4720" s="5"/>
      <c r="BN4720" s="5"/>
      <c r="BO4720" s="5"/>
      <c r="BP4720" s="5"/>
    </row>
    <row r="4721" spans="35:68" x14ac:dyDescent="0.25">
      <c r="AI4721" s="49"/>
      <c r="AJ4721" s="78"/>
      <c r="AK4721" s="79"/>
      <c r="AL4721" s="79"/>
      <c r="AM4721" s="79"/>
      <c r="AN4721" s="79"/>
      <c r="AO4721" s="79"/>
      <c r="AP4721" s="79"/>
      <c r="AQ4721" s="79"/>
      <c r="AR4721" s="78"/>
      <c r="AS4721" s="78"/>
      <c r="AT4721" s="79"/>
      <c r="AU4721" s="79"/>
      <c r="AV4721" s="79"/>
      <c r="AW4721" s="79"/>
      <c r="AX4721" s="79"/>
      <c r="AZ4721" s="81"/>
      <c r="BB4721" s="5"/>
      <c r="BC4721" s="5"/>
      <c r="BD4721" s="5"/>
      <c r="BE4721" s="5"/>
      <c r="BF4721" s="5"/>
      <c r="BG4721" s="5"/>
      <c r="BH4721" s="5"/>
      <c r="BI4721" s="5"/>
      <c r="BJ4721" s="5"/>
      <c r="BK4721" s="5"/>
      <c r="BL4721" s="5"/>
      <c r="BM4721" s="5"/>
      <c r="BN4721" s="5"/>
      <c r="BO4721" s="5"/>
      <c r="BP4721" s="5"/>
    </row>
    <row r="4722" spans="35:68" x14ac:dyDescent="0.25">
      <c r="AI4722" s="49"/>
      <c r="AJ4722" s="78"/>
      <c r="AK4722" s="79"/>
      <c r="AL4722" s="79"/>
      <c r="AM4722" s="79"/>
      <c r="AN4722" s="79"/>
      <c r="AO4722" s="79"/>
      <c r="AP4722" s="79"/>
      <c r="AQ4722" s="79"/>
      <c r="AR4722" s="78"/>
      <c r="AS4722" s="78"/>
      <c r="AT4722" s="79"/>
      <c r="AU4722" s="79"/>
      <c r="AV4722" s="79"/>
      <c r="AW4722" s="79"/>
      <c r="AX4722" s="79"/>
      <c r="AZ4722" s="81"/>
      <c r="BB4722" s="5"/>
      <c r="BC4722" s="5"/>
      <c r="BD4722" s="5"/>
      <c r="BE4722" s="5"/>
      <c r="BF4722" s="5"/>
      <c r="BG4722" s="5"/>
      <c r="BH4722" s="5"/>
      <c r="BI4722" s="5"/>
      <c r="BJ4722" s="5"/>
      <c r="BK4722" s="5"/>
      <c r="BL4722" s="5"/>
      <c r="BM4722" s="5"/>
      <c r="BN4722" s="5"/>
      <c r="BO4722" s="5"/>
      <c r="BP4722" s="5"/>
    </row>
    <row r="4723" spans="35:68" x14ac:dyDescent="0.25">
      <c r="AI4723" s="49"/>
      <c r="AJ4723" s="78"/>
      <c r="AK4723" s="79"/>
      <c r="AL4723" s="79"/>
      <c r="AM4723" s="79"/>
      <c r="AN4723" s="79"/>
      <c r="AO4723" s="79"/>
      <c r="AP4723" s="79"/>
      <c r="AQ4723" s="79"/>
      <c r="AR4723" s="78"/>
      <c r="AS4723" s="78"/>
      <c r="AT4723" s="79"/>
      <c r="AU4723" s="79"/>
      <c r="AV4723" s="79"/>
      <c r="AW4723" s="79"/>
      <c r="AX4723" s="79"/>
      <c r="AZ4723" s="81"/>
      <c r="BB4723" s="5"/>
      <c r="BC4723" s="5"/>
      <c r="BD4723" s="5"/>
      <c r="BE4723" s="5"/>
      <c r="BF4723" s="5"/>
      <c r="BG4723" s="5"/>
      <c r="BH4723" s="5"/>
      <c r="BI4723" s="5"/>
      <c r="BJ4723" s="5"/>
      <c r="BK4723" s="5"/>
      <c r="BL4723" s="5"/>
      <c r="BM4723" s="5"/>
      <c r="BN4723" s="5"/>
      <c r="BO4723" s="5"/>
      <c r="BP4723" s="5"/>
    </row>
    <row r="4724" spans="35:68" x14ac:dyDescent="0.25">
      <c r="AI4724" s="49"/>
      <c r="AJ4724" s="78"/>
      <c r="AK4724" s="79"/>
      <c r="AL4724" s="79"/>
      <c r="AM4724" s="79"/>
      <c r="AN4724" s="79"/>
      <c r="AO4724" s="79"/>
      <c r="AP4724" s="79"/>
      <c r="AQ4724" s="79"/>
      <c r="AR4724" s="78"/>
      <c r="AS4724" s="78"/>
      <c r="AT4724" s="79"/>
      <c r="AU4724" s="79"/>
      <c r="AV4724" s="79"/>
      <c r="AW4724" s="79"/>
      <c r="AX4724" s="79"/>
      <c r="AZ4724" s="81"/>
      <c r="BB4724" s="5"/>
      <c r="BC4724" s="5"/>
      <c r="BD4724" s="5"/>
      <c r="BE4724" s="5"/>
      <c r="BF4724" s="5"/>
      <c r="BG4724" s="5"/>
      <c r="BH4724" s="5"/>
      <c r="BI4724" s="5"/>
      <c r="BJ4724" s="5"/>
      <c r="BK4724" s="5"/>
      <c r="BL4724" s="5"/>
      <c r="BM4724" s="5"/>
      <c r="BN4724" s="5"/>
      <c r="BO4724" s="5"/>
      <c r="BP4724" s="5"/>
    </row>
    <row r="4725" spans="35:68" x14ac:dyDescent="0.25">
      <c r="AI4725" s="49"/>
      <c r="AJ4725" s="78"/>
      <c r="AK4725" s="79"/>
      <c r="AL4725" s="79"/>
      <c r="AM4725" s="79"/>
      <c r="AN4725" s="79"/>
      <c r="AO4725" s="79"/>
      <c r="AP4725" s="79"/>
      <c r="AQ4725" s="79"/>
      <c r="AR4725" s="78"/>
      <c r="AS4725" s="78"/>
      <c r="AT4725" s="79"/>
      <c r="AU4725" s="79"/>
      <c r="AV4725" s="79"/>
      <c r="AW4725" s="79"/>
      <c r="AX4725" s="79"/>
      <c r="AZ4725" s="81"/>
      <c r="BB4725" s="5"/>
      <c r="BC4725" s="5"/>
      <c r="BD4725" s="5"/>
      <c r="BE4725" s="5"/>
      <c r="BF4725" s="5"/>
      <c r="BG4725" s="5"/>
      <c r="BH4725" s="5"/>
      <c r="BI4725" s="5"/>
      <c r="BJ4725" s="5"/>
      <c r="BK4725" s="5"/>
      <c r="BL4725" s="5"/>
      <c r="BM4725" s="5"/>
      <c r="BN4725" s="5"/>
      <c r="BO4725" s="5"/>
      <c r="BP4725" s="5"/>
    </row>
    <row r="4726" spans="35:68" x14ac:dyDescent="0.25">
      <c r="AI4726" s="49"/>
      <c r="AJ4726" s="78"/>
      <c r="AK4726" s="79"/>
      <c r="AL4726" s="79"/>
      <c r="AM4726" s="79"/>
      <c r="AN4726" s="79"/>
      <c r="AO4726" s="79"/>
      <c r="AP4726" s="79"/>
      <c r="AQ4726" s="79"/>
      <c r="AR4726" s="78"/>
      <c r="AS4726" s="78"/>
      <c r="AT4726" s="79"/>
      <c r="AU4726" s="79"/>
      <c r="AV4726" s="79"/>
      <c r="AW4726" s="79"/>
      <c r="AX4726" s="79"/>
      <c r="AZ4726" s="81"/>
      <c r="BB4726" s="5"/>
      <c r="BC4726" s="5"/>
      <c r="BD4726" s="5"/>
      <c r="BE4726" s="5"/>
      <c r="BF4726" s="5"/>
      <c r="BG4726" s="5"/>
      <c r="BH4726" s="5"/>
      <c r="BI4726" s="5"/>
      <c r="BJ4726" s="5"/>
      <c r="BK4726" s="5"/>
      <c r="BL4726" s="5"/>
      <c r="BM4726" s="5"/>
      <c r="BN4726" s="5"/>
      <c r="BO4726" s="5"/>
      <c r="BP4726" s="5"/>
    </row>
    <row r="4727" spans="35:68" x14ac:dyDescent="0.25">
      <c r="AI4727" s="49"/>
      <c r="AJ4727" s="78"/>
      <c r="AK4727" s="79"/>
      <c r="AL4727" s="79"/>
      <c r="AM4727" s="79"/>
      <c r="AN4727" s="79"/>
      <c r="AO4727" s="79"/>
      <c r="AP4727" s="79"/>
      <c r="AQ4727" s="79"/>
      <c r="AR4727" s="78"/>
      <c r="AS4727" s="78"/>
      <c r="AT4727" s="79"/>
      <c r="AU4727" s="79"/>
      <c r="AV4727" s="79"/>
      <c r="AW4727" s="79"/>
      <c r="AX4727" s="79"/>
      <c r="AZ4727" s="81"/>
      <c r="BB4727" s="5"/>
      <c r="BC4727" s="5"/>
      <c r="BD4727" s="5"/>
      <c r="BE4727" s="5"/>
      <c r="BF4727" s="5"/>
      <c r="BG4727" s="5"/>
      <c r="BH4727" s="5"/>
      <c r="BI4727" s="5"/>
      <c r="BJ4727" s="5"/>
      <c r="BK4727" s="5"/>
      <c r="BL4727" s="5"/>
      <c r="BM4727" s="5"/>
      <c r="BN4727" s="5"/>
      <c r="BO4727" s="5"/>
      <c r="BP4727" s="5"/>
    </row>
    <row r="4728" spans="35:68" x14ac:dyDescent="0.25">
      <c r="AI4728" s="49"/>
      <c r="AJ4728" s="78"/>
      <c r="AK4728" s="79"/>
      <c r="AL4728" s="79"/>
      <c r="AM4728" s="79"/>
      <c r="AN4728" s="79"/>
      <c r="AO4728" s="79"/>
      <c r="AP4728" s="79"/>
      <c r="AQ4728" s="79"/>
      <c r="AR4728" s="78"/>
      <c r="AS4728" s="78"/>
      <c r="AT4728" s="79"/>
      <c r="AU4728" s="79"/>
      <c r="AV4728" s="79"/>
      <c r="AW4728" s="79"/>
      <c r="AX4728" s="79"/>
      <c r="AZ4728" s="81"/>
      <c r="BB4728" s="5"/>
      <c r="BC4728" s="5"/>
      <c r="BD4728" s="5"/>
      <c r="BE4728" s="5"/>
      <c r="BF4728" s="5"/>
      <c r="BG4728" s="5"/>
      <c r="BH4728" s="5"/>
      <c r="BI4728" s="5"/>
      <c r="BJ4728" s="5"/>
      <c r="BK4728" s="5"/>
      <c r="BL4728" s="5"/>
      <c r="BM4728" s="5"/>
      <c r="BN4728" s="5"/>
      <c r="BO4728" s="5"/>
      <c r="BP4728" s="5"/>
    </row>
    <row r="4729" spans="35:68" x14ac:dyDescent="0.25">
      <c r="AI4729" s="49"/>
      <c r="AJ4729" s="78"/>
      <c r="AK4729" s="79"/>
      <c r="AL4729" s="79"/>
      <c r="AM4729" s="79"/>
      <c r="AN4729" s="79"/>
      <c r="AO4729" s="79"/>
      <c r="AP4729" s="79"/>
      <c r="AQ4729" s="79"/>
      <c r="AR4729" s="78"/>
      <c r="AS4729" s="78"/>
      <c r="AT4729" s="79"/>
      <c r="AU4729" s="79"/>
      <c r="AV4729" s="79"/>
      <c r="AW4729" s="79"/>
      <c r="AX4729" s="79"/>
      <c r="AZ4729" s="81"/>
      <c r="BB4729" s="5"/>
      <c r="BC4729" s="5"/>
      <c r="BD4729" s="5"/>
      <c r="BE4729" s="5"/>
      <c r="BF4729" s="5"/>
      <c r="BG4729" s="5"/>
      <c r="BH4729" s="5"/>
      <c r="BI4729" s="5"/>
      <c r="BJ4729" s="5"/>
      <c r="BK4729" s="5"/>
      <c r="BL4729" s="5"/>
      <c r="BM4729" s="5"/>
      <c r="BN4729" s="5"/>
      <c r="BO4729" s="5"/>
      <c r="BP4729" s="5"/>
    </row>
    <row r="4730" spans="35:68" x14ac:dyDescent="0.25">
      <c r="AI4730" s="49"/>
      <c r="AJ4730" s="78"/>
      <c r="AK4730" s="79"/>
      <c r="AL4730" s="79"/>
      <c r="AM4730" s="79"/>
      <c r="AN4730" s="79"/>
      <c r="AO4730" s="79"/>
      <c r="AP4730" s="79"/>
      <c r="AQ4730" s="79"/>
      <c r="AR4730" s="78"/>
      <c r="AS4730" s="78"/>
      <c r="AT4730" s="79"/>
      <c r="AU4730" s="79"/>
      <c r="AV4730" s="79"/>
      <c r="AW4730" s="79"/>
      <c r="AX4730" s="79"/>
      <c r="AZ4730" s="81"/>
      <c r="BB4730" s="5"/>
      <c r="BC4730" s="5"/>
      <c r="BD4730" s="5"/>
      <c r="BE4730" s="5"/>
      <c r="BF4730" s="5"/>
      <c r="BG4730" s="5"/>
      <c r="BH4730" s="5"/>
      <c r="BI4730" s="5"/>
      <c r="BJ4730" s="5"/>
      <c r="BK4730" s="5"/>
      <c r="BL4730" s="5"/>
      <c r="BM4730" s="5"/>
      <c r="BN4730" s="5"/>
      <c r="BO4730" s="5"/>
      <c r="BP4730" s="5"/>
    </row>
    <row r="4731" spans="35:68" x14ac:dyDescent="0.25">
      <c r="AI4731" s="49"/>
      <c r="AJ4731" s="78"/>
      <c r="AK4731" s="79"/>
      <c r="AL4731" s="79"/>
      <c r="AM4731" s="79"/>
      <c r="AN4731" s="79"/>
      <c r="AO4731" s="79"/>
      <c r="AP4731" s="79"/>
      <c r="AQ4731" s="79"/>
      <c r="AR4731" s="78"/>
      <c r="AS4731" s="78"/>
      <c r="AT4731" s="79"/>
      <c r="AU4731" s="79"/>
      <c r="AV4731" s="79"/>
      <c r="AW4731" s="79"/>
      <c r="AX4731" s="79"/>
      <c r="AZ4731" s="81"/>
      <c r="BB4731" s="5"/>
      <c r="BC4731" s="5"/>
      <c r="BD4731" s="5"/>
      <c r="BE4731" s="5"/>
      <c r="BF4731" s="5"/>
      <c r="BG4731" s="5"/>
      <c r="BH4731" s="5"/>
      <c r="BI4731" s="5"/>
      <c r="BJ4731" s="5"/>
      <c r="BK4731" s="5"/>
      <c r="BL4731" s="5"/>
      <c r="BM4731" s="5"/>
      <c r="BN4731" s="5"/>
      <c r="BO4731" s="5"/>
      <c r="BP4731" s="5"/>
    </row>
    <row r="4732" spans="35:68" x14ac:dyDescent="0.25">
      <c r="AI4732" s="49"/>
      <c r="AJ4732" s="78"/>
      <c r="AK4732" s="79"/>
      <c r="AL4732" s="79"/>
      <c r="AM4732" s="79"/>
      <c r="AN4732" s="79"/>
      <c r="AO4732" s="79"/>
      <c r="AP4732" s="79"/>
      <c r="AQ4732" s="79"/>
      <c r="AR4732" s="78"/>
      <c r="AS4732" s="78"/>
      <c r="AT4732" s="79"/>
      <c r="AU4732" s="79"/>
      <c r="AV4732" s="79"/>
      <c r="AW4732" s="79"/>
      <c r="AX4732" s="79"/>
      <c r="AZ4732" s="81"/>
      <c r="BB4732" s="5"/>
      <c r="BC4732" s="5"/>
      <c r="BD4732" s="5"/>
      <c r="BE4732" s="5"/>
      <c r="BF4732" s="5"/>
      <c r="BG4732" s="5"/>
      <c r="BH4732" s="5"/>
      <c r="BI4732" s="5"/>
      <c r="BJ4732" s="5"/>
      <c r="BK4732" s="5"/>
      <c r="BL4732" s="5"/>
      <c r="BM4732" s="5"/>
      <c r="BN4732" s="5"/>
      <c r="BO4732" s="5"/>
      <c r="BP4732" s="5"/>
    </row>
    <row r="4733" spans="35:68" x14ac:dyDescent="0.25">
      <c r="AI4733" s="49"/>
      <c r="AJ4733" s="78"/>
      <c r="AK4733" s="79"/>
      <c r="AL4733" s="79"/>
      <c r="AM4733" s="79"/>
      <c r="AN4733" s="79"/>
      <c r="AO4733" s="79"/>
      <c r="AP4733" s="79"/>
      <c r="AQ4733" s="79"/>
      <c r="AR4733" s="78"/>
      <c r="AS4733" s="78"/>
      <c r="AT4733" s="79"/>
      <c r="AU4733" s="79"/>
      <c r="AV4733" s="79"/>
      <c r="AW4733" s="79"/>
      <c r="AX4733" s="79"/>
      <c r="AZ4733" s="81"/>
      <c r="BB4733" s="5"/>
      <c r="BC4733" s="5"/>
      <c r="BD4733" s="5"/>
      <c r="BE4733" s="5"/>
      <c r="BF4733" s="5"/>
      <c r="BG4733" s="5"/>
      <c r="BH4733" s="5"/>
      <c r="BI4733" s="5"/>
      <c r="BJ4733" s="5"/>
      <c r="BK4733" s="5"/>
      <c r="BL4733" s="5"/>
      <c r="BM4733" s="5"/>
      <c r="BN4733" s="5"/>
      <c r="BO4733" s="5"/>
      <c r="BP4733" s="5"/>
    </row>
    <row r="4734" spans="35:68" x14ac:dyDescent="0.25">
      <c r="AI4734" s="49"/>
      <c r="AJ4734" s="78"/>
      <c r="AK4734" s="79"/>
      <c r="AL4734" s="79"/>
      <c r="AM4734" s="79"/>
      <c r="AN4734" s="79"/>
      <c r="AO4734" s="79"/>
      <c r="AP4734" s="79"/>
      <c r="AQ4734" s="79"/>
      <c r="AR4734" s="78"/>
      <c r="AS4734" s="78"/>
      <c r="AT4734" s="79"/>
      <c r="AU4734" s="79"/>
      <c r="AV4734" s="79"/>
      <c r="AW4734" s="79"/>
      <c r="AX4734" s="79"/>
      <c r="AZ4734" s="81"/>
      <c r="BB4734" s="5"/>
      <c r="BC4734" s="5"/>
      <c r="BD4734" s="5"/>
      <c r="BE4734" s="5"/>
      <c r="BF4734" s="5"/>
      <c r="BG4734" s="5"/>
      <c r="BH4734" s="5"/>
      <c r="BI4734" s="5"/>
      <c r="BJ4734" s="5"/>
      <c r="BK4734" s="5"/>
      <c r="BL4734" s="5"/>
      <c r="BM4734" s="5"/>
      <c r="BN4734" s="5"/>
      <c r="BO4734" s="5"/>
      <c r="BP4734" s="5"/>
    </row>
    <row r="4735" spans="35:68" x14ac:dyDescent="0.25">
      <c r="AI4735" s="49"/>
      <c r="AJ4735" s="78"/>
      <c r="AK4735" s="79"/>
      <c r="AL4735" s="79"/>
      <c r="AM4735" s="79"/>
      <c r="AN4735" s="79"/>
      <c r="AO4735" s="79"/>
      <c r="AP4735" s="79"/>
      <c r="AQ4735" s="79"/>
      <c r="AR4735" s="78"/>
      <c r="AS4735" s="78"/>
      <c r="AT4735" s="79"/>
      <c r="AU4735" s="79"/>
      <c r="AV4735" s="79"/>
      <c r="AW4735" s="79"/>
      <c r="AX4735" s="79"/>
      <c r="AZ4735" s="81"/>
      <c r="BB4735" s="5"/>
      <c r="BC4735" s="5"/>
      <c r="BD4735" s="5"/>
      <c r="BE4735" s="5"/>
      <c r="BF4735" s="5"/>
      <c r="BG4735" s="5"/>
      <c r="BH4735" s="5"/>
      <c r="BI4735" s="5"/>
      <c r="BJ4735" s="5"/>
      <c r="BK4735" s="5"/>
      <c r="BL4735" s="5"/>
      <c r="BM4735" s="5"/>
      <c r="BN4735" s="5"/>
      <c r="BO4735" s="5"/>
      <c r="BP4735" s="5"/>
    </row>
    <row r="4736" spans="35:68" x14ac:dyDescent="0.25">
      <c r="AI4736" s="49"/>
      <c r="AJ4736" s="78"/>
      <c r="AK4736" s="79"/>
      <c r="AL4736" s="79"/>
      <c r="AM4736" s="79"/>
      <c r="AN4736" s="79"/>
      <c r="AO4736" s="79"/>
      <c r="AP4736" s="79"/>
      <c r="AQ4736" s="79"/>
      <c r="AR4736" s="78"/>
      <c r="AS4736" s="78"/>
      <c r="AT4736" s="79"/>
      <c r="AU4736" s="79"/>
      <c r="AV4736" s="79"/>
      <c r="AW4736" s="79"/>
      <c r="AX4736" s="79"/>
      <c r="AZ4736" s="81"/>
      <c r="BB4736" s="5"/>
      <c r="BC4736" s="5"/>
      <c r="BD4736" s="5"/>
      <c r="BE4736" s="5"/>
      <c r="BF4736" s="5"/>
      <c r="BG4736" s="5"/>
      <c r="BH4736" s="5"/>
      <c r="BI4736" s="5"/>
      <c r="BJ4736" s="5"/>
      <c r="BK4736" s="5"/>
      <c r="BL4736" s="5"/>
      <c r="BM4736" s="5"/>
      <c r="BN4736" s="5"/>
      <c r="BO4736" s="5"/>
      <c r="BP4736" s="5"/>
    </row>
    <row r="4737" spans="35:68" x14ac:dyDescent="0.25">
      <c r="AI4737" s="49"/>
      <c r="AJ4737" s="78"/>
      <c r="AK4737" s="79"/>
      <c r="AL4737" s="79"/>
      <c r="AM4737" s="79"/>
      <c r="AN4737" s="79"/>
      <c r="AO4737" s="79"/>
      <c r="AP4737" s="79"/>
      <c r="AQ4737" s="79"/>
      <c r="AR4737" s="78"/>
      <c r="AS4737" s="78"/>
      <c r="AT4737" s="79"/>
      <c r="AU4737" s="79"/>
      <c r="AV4737" s="79"/>
      <c r="AW4737" s="79"/>
      <c r="AX4737" s="79"/>
      <c r="AZ4737" s="81"/>
      <c r="BB4737" s="5"/>
      <c r="BC4737" s="5"/>
      <c r="BD4737" s="5"/>
      <c r="BE4737" s="5"/>
      <c r="BF4737" s="5"/>
      <c r="BG4737" s="5"/>
      <c r="BH4737" s="5"/>
      <c r="BI4737" s="5"/>
      <c r="BJ4737" s="5"/>
      <c r="BK4737" s="5"/>
      <c r="BL4737" s="5"/>
      <c r="BM4737" s="5"/>
      <c r="BN4737" s="5"/>
      <c r="BO4737" s="5"/>
      <c r="BP4737" s="5"/>
    </row>
    <row r="4738" spans="35:68" x14ac:dyDescent="0.25">
      <c r="AI4738" s="49"/>
      <c r="AJ4738" s="78"/>
      <c r="AK4738" s="79"/>
      <c r="AL4738" s="79"/>
      <c r="AM4738" s="79"/>
      <c r="AN4738" s="79"/>
      <c r="AO4738" s="79"/>
      <c r="AP4738" s="79"/>
      <c r="AQ4738" s="79"/>
      <c r="AR4738" s="78"/>
      <c r="AS4738" s="78"/>
      <c r="AT4738" s="79"/>
      <c r="AU4738" s="79"/>
      <c r="AV4738" s="79"/>
      <c r="AW4738" s="79"/>
      <c r="AX4738" s="79"/>
      <c r="AZ4738" s="81"/>
      <c r="BB4738" s="5"/>
      <c r="BC4738" s="5"/>
      <c r="BD4738" s="5"/>
      <c r="BE4738" s="5"/>
      <c r="BF4738" s="5"/>
      <c r="BG4738" s="5"/>
      <c r="BH4738" s="5"/>
      <c r="BI4738" s="5"/>
      <c r="BJ4738" s="5"/>
      <c r="BK4738" s="5"/>
      <c r="BL4738" s="5"/>
      <c r="BM4738" s="5"/>
      <c r="BN4738" s="5"/>
      <c r="BO4738" s="5"/>
      <c r="BP4738" s="5"/>
    </row>
    <row r="4739" spans="35:68" x14ac:dyDescent="0.25">
      <c r="AI4739" s="49"/>
      <c r="AJ4739" s="78"/>
      <c r="AK4739" s="79"/>
      <c r="AL4739" s="79"/>
      <c r="AM4739" s="79"/>
      <c r="AN4739" s="79"/>
      <c r="AO4739" s="79"/>
      <c r="AP4739" s="79"/>
      <c r="AQ4739" s="79"/>
      <c r="AR4739" s="78"/>
      <c r="AS4739" s="78"/>
      <c r="AT4739" s="79"/>
      <c r="AU4739" s="79"/>
      <c r="AV4739" s="79"/>
      <c r="AW4739" s="79"/>
      <c r="AX4739" s="79"/>
      <c r="AZ4739" s="81"/>
      <c r="BB4739" s="5"/>
      <c r="BC4739" s="5"/>
      <c r="BD4739" s="5"/>
      <c r="BE4739" s="5"/>
      <c r="BF4739" s="5"/>
      <c r="BG4739" s="5"/>
      <c r="BH4739" s="5"/>
      <c r="BI4739" s="5"/>
      <c r="BJ4739" s="5"/>
      <c r="BK4739" s="5"/>
      <c r="BL4739" s="5"/>
      <c r="BM4739" s="5"/>
      <c r="BN4739" s="5"/>
      <c r="BO4739" s="5"/>
      <c r="BP4739" s="5"/>
    </row>
    <row r="4740" spans="35:68" x14ac:dyDescent="0.25">
      <c r="AI4740" s="49"/>
      <c r="AJ4740" s="78"/>
      <c r="AK4740" s="79"/>
      <c r="AL4740" s="79"/>
      <c r="AM4740" s="79"/>
      <c r="AN4740" s="79"/>
      <c r="AO4740" s="79"/>
      <c r="AP4740" s="79"/>
      <c r="AQ4740" s="79"/>
      <c r="AR4740" s="78"/>
      <c r="AS4740" s="78"/>
      <c r="AT4740" s="79"/>
      <c r="AU4740" s="79"/>
      <c r="AV4740" s="79"/>
      <c r="AW4740" s="79"/>
      <c r="AX4740" s="79"/>
      <c r="AZ4740" s="81"/>
      <c r="BB4740" s="5"/>
      <c r="BC4740" s="5"/>
      <c r="BD4740" s="5"/>
      <c r="BE4740" s="5"/>
      <c r="BF4740" s="5"/>
      <c r="BG4740" s="5"/>
      <c r="BH4740" s="5"/>
      <c r="BI4740" s="5"/>
      <c r="BJ4740" s="5"/>
      <c r="BK4740" s="5"/>
      <c r="BL4740" s="5"/>
      <c r="BM4740" s="5"/>
      <c r="BN4740" s="5"/>
      <c r="BO4740" s="5"/>
      <c r="BP4740" s="5"/>
    </row>
    <row r="4741" spans="35:68" x14ac:dyDescent="0.25">
      <c r="AI4741" s="49"/>
      <c r="AJ4741" s="78"/>
      <c r="AK4741" s="79"/>
      <c r="AL4741" s="79"/>
      <c r="AM4741" s="79"/>
      <c r="AN4741" s="79"/>
      <c r="AO4741" s="79"/>
      <c r="AP4741" s="79"/>
      <c r="AQ4741" s="79"/>
      <c r="AR4741" s="78"/>
      <c r="AS4741" s="78"/>
      <c r="AT4741" s="79"/>
      <c r="AU4741" s="79"/>
      <c r="AV4741" s="79"/>
      <c r="AW4741" s="79"/>
      <c r="AX4741" s="79"/>
      <c r="AZ4741" s="81"/>
      <c r="BB4741" s="5"/>
      <c r="BC4741" s="5"/>
      <c r="BD4741" s="5"/>
      <c r="BE4741" s="5"/>
      <c r="BF4741" s="5"/>
      <c r="BG4741" s="5"/>
      <c r="BH4741" s="5"/>
      <c r="BI4741" s="5"/>
      <c r="BJ4741" s="5"/>
      <c r="BK4741" s="5"/>
      <c r="BL4741" s="5"/>
      <c r="BM4741" s="5"/>
      <c r="BN4741" s="5"/>
      <c r="BO4741" s="5"/>
      <c r="BP4741" s="5"/>
    </row>
    <row r="4742" spans="35:68" x14ac:dyDescent="0.25">
      <c r="AI4742" s="49"/>
      <c r="AJ4742" s="78"/>
      <c r="AK4742" s="79"/>
      <c r="AL4742" s="79"/>
      <c r="AM4742" s="79"/>
      <c r="AN4742" s="79"/>
      <c r="AO4742" s="79"/>
      <c r="AP4742" s="79"/>
      <c r="AQ4742" s="79"/>
      <c r="AR4742" s="78"/>
      <c r="AS4742" s="78"/>
      <c r="AT4742" s="79"/>
      <c r="AU4742" s="79"/>
      <c r="AV4742" s="79"/>
      <c r="AW4742" s="79"/>
      <c r="AX4742" s="79"/>
      <c r="AZ4742" s="81"/>
      <c r="BB4742" s="5"/>
      <c r="BC4742" s="5"/>
      <c r="BD4742" s="5"/>
      <c r="BE4742" s="5"/>
      <c r="BF4742" s="5"/>
      <c r="BG4742" s="5"/>
      <c r="BH4742" s="5"/>
      <c r="BI4742" s="5"/>
      <c r="BJ4742" s="5"/>
      <c r="BK4742" s="5"/>
      <c r="BL4742" s="5"/>
      <c r="BM4742" s="5"/>
      <c r="BN4742" s="5"/>
      <c r="BO4742" s="5"/>
      <c r="BP4742" s="5"/>
    </row>
    <row r="4743" spans="35:68" x14ac:dyDescent="0.25">
      <c r="AI4743" s="49"/>
      <c r="AJ4743" s="78"/>
      <c r="AK4743" s="79"/>
      <c r="AL4743" s="79"/>
      <c r="AM4743" s="79"/>
      <c r="AN4743" s="79"/>
      <c r="AO4743" s="79"/>
      <c r="AP4743" s="79"/>
      <c r="AQ4743" s="79"/>
      <c r="AR4743" s="78"/>
      <c r="AS4743" s="78"/>
      <c r="AT4743" s="79"/>
      <c r="AU4743" s="79"/>
      <c r="AV4743" s="79"/>
      <c r="AW4743" s="79"/>
      <c r="AX4743" s="79"/>
      <c r="AZ4743" s="81"/>
      <c r="BB4743" s="5"/>
      <c r="BC4743" s="5"/>
      <c r="BD4743" s="5"/>
      <c r="BE4743" s="5"/>
      <c r="BF4743" s="5"/>
      <c r="BG4743" s="5"/>
      <c r="BH4743" s="5"/>
      <c r="BI4743" s="5"/>
      <c r="BJ4743" s="5"/>
      <c r="BK4743" s="5"/>
      <c r="BL4743" s="5"/>
      <c r="BM4743" s="5"/>
      <c r="BN4743" s="5"/>
      <c r="BO4743" s="5"/>
      <c r="BP4743" s="5"/>
    </row>
    <row r="4744" spans="35:68" x14ac:dyDescent="0.25">
      <c r="AI4744" s="49"/>
      <c r="AJ4744" s="78"/>
      <c r="AK4744" s="79"/>
      <c r="AL4744" s="79"/>
      <c r="AM4744" s="79"/>
      <c r="AN4744" s="79"/>
      <c r="AO4744" s="79"/>
      <c r="AP4744" s="79"/>
      <c r="AQ4744" s="79"/>
      <c r="AR4744" s="78"/>
      <c r="AS4744" s="78"/>
      <c r="AT4744" s="79"/>
      <c r="AU4744" s="79"/>
      <c r="AV4744" s="79"/>
      <c r="AW4744" s="79"/>
      <c r="AX4744" s="79"/>
      <c r="AZ4744" s="81"/>
      <c r="BB4744" s="5"/>
      <c r="BC4744" s="5"/>
      <c r="BD4744" s="5"/>
      <c r="BE4744" s="5"/>
      <c r="BF4744" s="5"/>
      <c r="BG4744" s="5"/>
      <c r="BH4744" s="5"/>
      <c r="BI4744" s="5"/>
      <c r="BJ4744" s="5"/>
      <c r="BK4744" s="5"/>
      <c r="BL4744" s="5"/>
      <c r="BM4744" s="5"/>
      <c r="BN4744" s="5"/>
      <c r="BO4744" s="5"/>
      <c r="BP4744" s="5"/>
    </row>
    <row r="4745" spans="35:68" x14ac:dyDescent="0.25">
      <c r="AI4745" s="49"/>
      <c r="AJ4745" s="78"/>
      <c r="AK4745" s="79"/>
      <c r="AL4745" s="79"/>
      <c r="AM4745" s="79"/>
      <c r="AN4745" s="79"/>
      <c r="AO4745" s="79"/>
      <c r="AP4745" s="79"/>
      <c r="AQ4745" s="79"/>
      <c r="AR4745" s="78"/>
      <c r="AS4745" s="78"/>
      <c r="AT4745" s="79"/>
      <c r="AU4745" s="79"/>
      <c r="AV4745" s="79"/>
      <c r="AW4745" s="79"/>
      <c r="AX4745" s="79"/>
      <c r="AZ4745" s="81"/>
      <c r="BB4745" s="5"/>
      <c r="BC4745" s="5"/>
      <c r="BD4745" s="5"/>
      <c r="BE4745" s="5"/>
      <c r="BF4745" s="5"/>
      <c r="BG4745" s="5"/>
      <c r="BH4745" s="5"/>
      <c r="BI4745" s="5"/>
      <c r="BJ4745" s="5"/>
      <c r="BK4745" s="5"/>
      <c r="BL4745" s="5"/>
      <c r="BM4745" s="5"/>
      <c r="BN4745" s="5"/>
      <c r="BO4745" s="5"/>
      <c r="BP4745" s="5"/>
    </row>
    <row r="4746" spans="35:68" x14ac:dyDescent="0.25">
      <c r="AI4746" s="49"/>
      <c r="AJ4746" s="78"/>
      <c r="AK4746" s="79"/>
      <c r="AL4746" s="79"/>
      <c r="AM4746" s="79"/>
      <c r="AN4746" s="79"/>
      <c r="AO4746" s="79"/>
      <c r="AP4746" s="79"/>
      <c r="AQ4746" s="79"/>
      <c r="AR4746" s="78"/>
      <c r="AS4746" s="78"/>
      <c r="AT4746" s="79"/>
      <c r="AU4746" s="79"/>
      <c r="AV4746" s="79"/>
      <c r="AW4746" s="79"/>
      <c r="AX4746" s="79"/>
      <c r="AZ4746" s="81"/>
      <c r="BB4746" s="5"/>
      <c r="BC4746" s="5"/>
      <c r="BD4746" s="5"/>
      <c r="BE4746" s="5"/>
      <c r="BF4746" s="5"/>
      <c r="BG4746" s="5"/>
      <c r="BH4746" s="5"/>
      <c r="BI4746" s="5"/>
      <c r="BJ4746" s="5"/>
      <c r="BK4746" s="5"/>
      <c r="BL4746" s="5"/>
      <c r="BM4746" s="5"/>
      <c r="BN4746" s="5"/>
      <c r="BO4746" s="5"/>
      <c r="BP4746" s="5"/>
    </row>
    <row r="4747" spans="35:68" x14ac:dyDescent="0.25">
      <c r="AI4747" s="49"/>
      <c r="AJ4747" s="78"/>
      <c r="AK4747" s="79"/>
      <c r="AL4747" s="79"/>
      <c r="AM4747" s="79"/>
      <c r="AN4747" s="79"/>
      <c r="AO4747" s="79"/>
      <c r="AP4747" s="79"/>
      <c r="AQ4747" s="79"/>
      <c r="AR4747" s="78"/>
      <c r="AS4747" s="78"/>
      <c r="AT4747" s="79"/>
      <c r="AU4747" s="79"/>
      <c r="AV4747" s="79"/>
      <c r="AW4747" s="79"/>
      <c r="AX4747" s="79"/>
      <c r="AZ4747" s="81"/>
      <c r="BB4747" s="5"/>
      <c r="BC4747" s="5"/>
      <c r="BD4747" s="5"/>
      <c r="BE4747" s="5"/>
      <c r="BF4747" s="5"/>
      <c r="BG4747" s="5"/>
      <c r="BH4747" s="5"/>
      <c r="BI4747" s="5"/>
      <c r="BJ4747" s="5"/>
      <c r="BK4747" s="5"/>
      <c r="BL4747" s="5"/>
      <c r="BM4747" s="5"/>
      <c r="BN4747" s="5"/>
      <c r="BO4747" s="5"/>
      <c r="BP4747" s="5"/>
    </row>
    <row r="4748" spans="35:68" x14ac:dyDescent="0.25">
      <c r="AI4748" s="49"/>
      <c r="AJ4748" s="78"/>
      <c r="AK4748" s="79"/>
      <c r="AL4748" s="79"/>
      <c r="AM4748" s="79"/>
      <c r="AN4748" s="79"/>
      <c r="AO4748" s="79"/>
      <c r="AP4748" s="79"/>
      <c r="AQ4748" s="79"/>
      <c r="AR4748" s="78"/>
      <c r="AS4748" s="78"/>
      <c r="AT4748" s="79"/>
      <c r="AU4748" s="79"/>
      <c r="AV4748" s="79"/>
      <c r="AW4748" s="79"/>
      <c r="AX4748" s="79"/>
      <c r="AZ4748" s="81"/>
      <c r="BB4748" s="5"/>
      <c r="BC4748" s="5"/>
      <c r="BD4748" s="5"/>
      <c r="BE4748" s="5"/>
      <c r="BF4748" s="5"/>
      <c r="BG4748" s="5"/>
      <c r="BH4748" s="5"/>
      <c r="BI4748" s="5"/>
      <c r="BJ4748" s="5"/>
      <c r="BK4748" s="5"/>
      <c r="BL4748" s="5"/>
      <c r="BM4748" s="5"/>
      <c r="BN4748" s="5"/>
      <c r="BO4748" s="5"/>
      <c r="BP4748" s="5"/>
    </row>
    <row r="4749" spans="35:68" x14ac:dyDescent="0.25">
      <c r="AI4749" s="49"/>
      <c r="AJ4749" s="78"/>
      <c r="AK4749" s="79"/>
      <c r="AL4749" s="79"/>
      <c r="AM4749" s="79"/>
      <c r="AN4749" s="79"/>
      <c r="AO4749" s="79"/>
      <c r="AP4749" s="79"/>
      <c r="AQ4749" s="79"/>
      <c r="AR4749" s="78"/>
      <c r="AS4749" s="78"/>
      <c r="AT4749" s="79"/>
      <c r="AU4749" s="79"/>
      <c r="AV4749" s="79"/>
      <c r="AW4749" s="79"/>
      <c r="AX4749" s="79"/>
      <c r="AZ4749" s="81"/>
      <c r="BB4749" s="5"/>
      <c r="BC4749" s="5"/>
      <c r="BD4749" s="5"/>
      <c r="BE4749" s="5"/>
      <c r="BF4749" s="5"/>
      <c r="BG4749" s="5"/>
      <c r="BH4749" s="5"/>
      <c r="BI4749" s="5"/>
      <c r="BJ4749" s="5"/>
      <c r="BK4749" s="5"/>
      <c r="BL4749" s="5"/>
      <c r="BM4749" s="5"/>
      <c r="BN4749" s="5"/>
      <c r="BO4749" s="5"/>
      <c r="BP4749" s="5"/>
    </row>
    <row r="4750" spans="35:68" x14ac:dyDescent="0.25">
      <c r="AI4750" s="49"/>
      <c r="AJ4750" s="78"/>
      <c r="AK4750" s="79"/>
      <c r="AL4750" s="79"/>
      <c r="AM4750" s="79"/>
      <c r="AN4750" s="79"/>
      <c r="AO4750" s="79"/>
      <c r="AP4750" s="79"/>
      <c r="AQ4750" s="79"/>
      <c r="AR4750" s="78"/>
      <c r="AS4750" s="78"/>
      <c r="AT4750" s="79"/>
      <c r="AU4750" s="79"/>
      <c r="AV4750" s="79"/>
      <c r="AW4750" s="79"/>
      <c r="AX4750" s="79"/>
      <c r="AZ4750" s="81"/>
      <c r="BB4750" s="5"/>
      <c r="BC4750" s="5"/>
      <c r="BD4750" s="5"/>
      <c r="BE4750" s="5"/>
      <c r="BF4750" s="5"/>
      <c r="BG4750" s="5"/>
      <c r="BH4750" s="5"/>
      <c r="BI4750" s="5"/>
      <c r="BJ4750" s="5"/>
      <c r="BK4750" s="5"/>
      <c r="BL4750" s="5"/>
      <c r="BM4750" s="5"/>
      <c r="BN4750" s="5"/>
      <c r="BO4750" s="5"/>
      <c r="BP4750" s="5"/>
    </row>
    <row r="4751" spans="35:68" x14ac:dyDescent="0.25">
      <c r="AI4751" s="49"/>
      <c r="AJ4751" s="78"/>
      <c r="AK4751" s="79"/>
      <c r="AL4751" s="79"/>
      <c r="AM4751" s="79"/>
      <c r="AN4751" s="79"/>
      <c r="AO4751" s="79"/>
      <c r="AP4751" s="79"/>
      <c r="AQ4751" s="79"/>
      <c r="AR4751" s="78"/>
      <c r="AS4751" s="78"/>
      <c r="AT4751" s="79"/>
      <c r="AU4751" s="79"/>
      <c r="AV4751" s="79"/>
      <c r="AW4751" s="79"/>
      <c r="AX4751" s="79"/>
      <c r="AZ4751" s="81"/>
      <c r="BB4751" s="5"/>
      <c r="BC4751" s="5"/>
      <c r="BD4751" s="5"/>
      <c r="BE4751" s="5"/>
      <c r="BF4751" s="5"/>
      <c r="BG4751" s="5"/>
      <c r="BH4751" s="5"/>
      <c r="BI4751" s="5"/>
      <c r="BJ4751" s="5"/>
      <c r="BK4751" s="5"/>
      <c r="BL4751" s="5"/>
      <c r="BM4751" s="5"/>
      <c r="BN4751" s="5"/>
      <c r="BO4751" s="5"/>
      <c r="BP4751" s="5"/>
    </row>
    <row r="4752" spans="35:68" x14ac:dyDescent="0.25">
      <c r="AI4752" s="49"/>
      <c r="AJ4752" s="78"/>
      <c r="AK4752" s="79"/>
      <c r="AL4752" s="79"/>
      <c r="AM4752" s="79"/>
      <c r="AN4752" s="79"/>
      <c r="AO4752" s="79"/>
      <c r="AP4752" s="79"/>
      <c r="AQ4752" s="79"/>
      <c r="AR4752" s="78"/>
      <c r="AS4752" s="78"/>
      <c r="AT4752" s="79"/>
      <c r="AU4752" s="79"/>
      <c r="AV4752" s="79"/>
      <c r="AW4752" s="79"/>
      <c r="AX4752" s="79"/>
      <c r="AZ4752" s="81"/>
      <c r="BB4752" s="5"/>
      <c r="BC4752" s="5"/>
      <c r="BD4752" s="5"/>
      <c r="BE4752" s="5"/>
      <c r="BF4752" s="5"/>
      <c r="BG4752" s="5"/>
      <c r="BH4752" s="5"/>
      <c r="BI4752" s="5"/>
      <c r="BJ4752" s="5"/>
      <c r="BK4752" s="5"/>
      <c r="BL4752" s="5"/>
      <c r="BM4752" s="5"/>
      <c r="BN4752" s="5"/>
      <c r="BO4752" s="5"/>
      <c r="BP4752" s="5"/>
    </row>
    <row r="4753" spans="35:68" x14ac:dyDescent="0.25">
      <c r="AI4753" s="49"/>
      <c r="AJ4753" s="78"/>
      <c r="AK4753" s="79"/>
      <c r="AL4753" s="79"/>
      <c r="AM4753" s="79"/>
      <c r="AN4753" s="79"/>
      <c r="AO4753" s="79"/>
      <c r="AP4753" s="79"/>
      <c r="AQ4753" s="79"/>
      <c r="AR4753" s="78"/>
      <c r="AS4753" s="78"/>
      <c r="AT4753" s="79"/>
      <c r="AU4753" s="79"/>
      <c r="AV4753" s="79"/>
      <c r="AW4753" s="79"/>
      <c r="AX4753" s="79"/>
      <c r="AZ4753" s="81"/>
      <c r="BB4753" s="5"/>
      <c r="BC4753" s="5"/>
      <c r="BD4753" s="5"/>
      <c r="BE4753" s="5"/>
      <c r="BF4753" s="5"/>
      <c r="BG4753" s="5"/>
      <c r="BH4753" s="5"/>
      <c r="BI4753" s="5"/>
      <c r="BJ4753" s="5"/>
      <c r="BK4753" s="5"/>
      <c r="BL4753" s="5"/>
      <c r="BM4753" s="5"/>
      <c r="BN4753" s="5"/>
      <c r="BO4753" s="5"/>
      <c r="BP4753" s="5"/>
    </row>
    <row r="4754" spans="35:68" x14ac:dyDescent="0.25">
      <c r="AI4754" s="49"/>
      <c r="AJ4754" s="78"/>
      <c r="AK4754" s="79"/>
      <c r="AL4754" s="79"/>
      <c r="AM4754" s="79"/>
      <c r="AN4754" s="79"/>
      <c r="AO4754" s="79"/>
      <c r="AP4754" s="79"/>
      <c r="AQ4754" s="79"/>
      <c r="AR4754" s="78"/>
      <c r="AS4754" s="78"/>
      <c r="AT4754" s="79"/>
      <c r="AU4754" s="79"/>
      <c r="AV4754" s="79"/>
      <c r="AW4754" s="79"/>
      <c r="AX4754" s="79"/>
      <c r="AZ4754" s="81"/>
      <c r="BB4754" s="5"/>
      <c r="BC4754" s="5"/>
      <c r="BD4754" s="5"/>
      <c r="BE4754" s="5"/>
      <c r="BF4754" s="5"/>
      <c r="BG4754" s="5"/>
      <c r="BH4754" s="5"/>
      <c r="BI4754" s="5"/>
      <c r="BJ4754" s="5"/>
      <c r="BK4754" s="5"/>
      <c r="BL4754" s="5"/>
      <c r="BM4754" s="5"/>
      <c r="BN4754" s="5"/>
      <c r="BO4754" s="5"/>
      <c r="BP4754" s="5"/>
    </row>
    <row r="4755" spans="35:68" x14ac:dyDescent="0.25">
      <c r="AI4755" s="49"/>
      <c r="AJ4755" s="78"/>
      <c r="AK4755" s="79"/>
      <c r="AL4755" s="79"/>
      <c r="AM4755" s="79"/>
      <c r="AN4755" s="79"/>
      <c r="AO4755" s="79"/>
      <c r="AP4755" s="79"/>
      <c r="AQ4755" s="79"/>
      <c r="AR4755" s="78"/>
      <c r="AS4755" s="78"/>
      <c r="AT4755" s="79"/>
      <c r="AU4755" s="79"/>
      <c r="AV4755" s="79"/>
      <c r="AW4755" s="79"/>
      <c r="AX4755" s="79"/>
      <c r="AZ4755" s="81"/>
      <c r="BB4755" s="5"/>
      <c r="BC4755" s="5"/>
      <c r="BD4755" s="5"/>
      <c r="BE4755" s="5"/>
      <c r="BF4755" s="5"/>
      <c r="BG4755" s="5"/>
      <c r="BH4755" s="5"/>
      <c r="BI4755" s="5"/>
      <c r="BJ4755" s="5"/>
      <c r="BK4755" s="5"/>
      <c r="BL4755" s="5"/>
      <c r="BM4755" s="5"/>
      <c r="BN4755" s="5"/>
      <c r="BO4755" s="5"/>
      <c r="BP4755" s="5"/>
    </row>
    <row r="4756" spans="35:68" x14ac:dyDescent="0.25">
      <c r="AI4756" s="49"/>
      <c r="AJ4756" s="78"/>
      <c r="AK4756" s="79"/>
      <c r="AL4756" s="79"/>
      <c r="AM4756" s="79"/>
      <c r="AN4756" s="79"/>
      <c r="AO4756" s="79"/>
      <c r="AP4756" s="79"/>
      <c r="AQ4756" s="79"/>
      <c r="AR4756" s="78"/>
      <c r="AS4756" s="78"/>
      <c r="AT4756" s="79"/>
      <c r="AU4756" s="79"/>
      <c r="AV4756" s="79"/>
      <c r="AW4756" s="79"/>
      <c r="AX4756" s="79"/>
      <c r="AZ4756" s="81"/>
      <c r="BB4756" s="5"/>
      <c r="BC4756" s="5"/>
      <c r="BD4756" s="5"/>
      <c r="BE4756" s="5"/>
      <c r="BF4756" s="5"/>
      <c r="BG4756" s="5"/>
      <c r="BH4756" s="5"/>
      <c r="BI4756" s="5"/>
      <c r="BJ4756" s="5"/>
      <c r="BK4756" s="5"/>
      <c r="BL4756" s="5"/>
      <c r="BM4756" s="5"/>
      <c r="BN4756" s="5"/>
      <c r="BO4756" s="5"/>
      <c r="BP4756" s="5"/>
    </row>
    <row r="4757" spans="35:68" x14ac:dyDescent="0.25">
      <c r="AI4757" s="49"/>
      <c r="AJ4757" s="78"/>
      <c r="AK4757" s="79"/>
      <c r="AL4757" s="79"/>
      <c r="AM4757" s="79"/>
      <c r="AN4757" s="79"/>
      <c r="AO4757" s="79"/>
      <c r="AP4757" s="79"/>
      <c r="AQ4757" s="79"/>
      <c r="AR4757" s="78"/>
      <c r="AS4757" s="78"/>
      <c r="AT4757" s="79"/>
      <c r="AU4757" s="79"/>
      <c r="AV4757" s="79"/>
      <c r="AW4757" s="79"/>
      <c r="AX4757" s="79"/>
      <c r="AZ4757" s="81"/>
      <c r="BB4757" s="5"/>
      <c r="BC4757" s="5"/>
      <c r="BD4757" s="5"/>
      <c r="BE4757" s="5"/>
      <c r="BF4757" s="5"/>
      <c r="BG4757" s="5"/>
      <c r="BH4757" s="5"/>
      <c r="BI4757" s="5"/>
      <c r="BJ4757" s="5"/>
      <c r="BK4757" s="5"/>
      <c r="BL4757" s="5"/>
      <c r="BM4757" s="5"/>
      <c r="BN4757" s="5"/>
      <c r="BO4757" s="5"/>
      <c r="BP4757" s="5"/>
    </row>
    <row r="4758" spans="35:68" x14ac:dyDescent="0.25">
      <c r="AI4758" s="49"/>
      <c r="AJ4758" s="78"/>
      <c r="AK4758" s="79"/>
      <c r="AL4758" s="79"/>
      <c r="AM4758" s="79"/>
      <c r="AN4758" s="79"/>
      <c r="AO4758" s="79"/>
      <c r="AP4758" s="79"/>
      <c r="AQ4758" s="79"/>
      <c r="AR4758" s="78"/>
      <c r="AS4758" s="78"/>
      <c r="AT4758" s="79"/>
      <c r="AU4758" s="79"/>
      <c r="AV4758" s="79"/>
      <c r="AW4758" s="79"/>
      <c r="AX4758" s="79"/>
      <c r="AZ4758" s="81"/>
      <c r="BB4758" s="5"/>
      <c r="BC4758" s="5"/>
      <c r="BD4758" s="5"/>
      <c r="BE4758" s="5"/>
      <c r="BF4758" s="5"/>
      <c r="BG4758" s="5"/>
      <c r="BH4758" s="5"/>
      <c r="BI4758" s="5"/>
      <c r="BJ4758" s="5"/>
      <c r="BK4758" s="5"/>
      <c r="BL4758" s="5"/>
      <c r="BM4758" s="5"/>
      <c r="BN4758" s="5"/>
      <c r="BO4758" s="5"/>
      <c r="BP4758" s="5"/>
    </row>
    <row r="4759" spans="35:68" x14ac:dyDescent="0.25">
      <c r="AI4759" s="49"/>
      <c r="AJ4759" s="78"/>
      <c r="AK4759" s="79"/>
      <c r="AL4759" s="79"/>
      <c r="AM4759" s="79"/>
      <c r="AN4759" s="79"/>
      <c r="AO4759" s="79"/>
      <c r="AP4759" s="79"/>
      <c r="AQ4759" s="79"/>
      <c r="AR4759" s="78"/>
      <c r="AS4759" s="78"/>
      <c r="AT4759" s="79"/>
      <c r="AU4759" s="79"/>
      <c r="AV4759" s="79"/>
      <c r="AW4759" s="79"/>
      <c r="AX4759" s="79"/>
      <c r="AZ4759" s="81"/>
      <c r="BB4759" s="5"/>
      <c r="BC4759" s="5"/>
      <c r="BD4759" s="5"/>
      <c r="BE4759" s="5"/>
      <c r="BF4759" s="5"/>
      <c r="BG4759" s="5"/>
      <c r="BH4759" s="5"/>
      <c r="BI4759" s="5"/>
      <c r="BJ4759" s="5"/>
      <c r="BK4759" s="5"/>
      <c r="BL4759" s="5"/>
      <c r="BM4759" s="5"/>
      <c r="BN4759" s="5"/>
      <c r="BO4759" s="5"/>
      <c r="BP4759" s="5"/>
    </row>
    <row r="4760" spans="35:68" x14ac:dyDescent="0.25">
      <c r="AI4760" s="49"/>
      <c r="AJ4760" s="78"/>
      <c r="AK4760" s="79"/>
      <c r="AL4760" s="79"/>
      <c r="AM4760" s="79"/>
      <c r="AN4760" s="79"/>
      <c r="AO4760" s="79"/>
      <c r="AP4760" s="79"/>
      <c r="AQ4760" s="79"/>
      <c r="AR4760" s="78"/>
      <c r="AS4760" s="78"/>
      <c r="AT4760" s="79"/>
      <c r="AU4760" s="79"/>
      <c r="AV4760" s="79"/>
      <c r="AW4760" s="79"/>
      <c r="AX4760" s="79"/>
      <c r="AZ4760" s="81"/>
      <c r="BB4760" s="5"/>
      <c r="BC4760" s="5"/>
      <c r="BD4760" s="5"/>
      <c r="BE4760" s="5"/>
      <c r="BF4760" s="5"/>
      <c r="BG4760" s="5"/>
      <c r="BH4760" s="5"/>
      <c r="BI4760" s="5"/>
      <c r="BJ4760" s="5"/>
      <c r="BK4760" s="5"/>
      <c r="BL4760" s="5"/>
      <c r="BM4760" s="5"/>
      <c r="BN4760" s="5"/>
      <c r="BO4760" s="5"/>
      <c r="BP4760" s="5"/>
    </row>
    <row r="4761" spans="35:68" x14ac:dyDescent="0.25">
      <c r="AI4761" s="49"/>
      <c r="AJ4761" s="78"/>
      <c r="AK4761" s="79"/>
      <c r="AL4761" s="79"/>
      <c r="AM4761" s="79"/>
      <c r="AN4761" s="79"/>
      <c r="AO4761" s="79"/>
      <c r="AP4761" s="79"/>
      <c r="AQ4761" s="79"/>
      <c r="AR4761" s="78"/>
      <c r="AS4761" s="78"/>
      <c r="AT4761" s="79"/>
      <c r="AU4761" s="79"/>
      <c r="AV4761" s="79"/>
      <c r="AW4761" s="79"/>
      <c r="AX4761" s="79"/>
      <c r="AZ4761" s="81"/>
      <c r="BB4761" s="5"/>
      <c r="BC4761" s="5"/>
      <c r="BD4761" s="5"/>
      <c r="BE4761" s="5"/>
      <c r="BF4761" s="5"/>
      <c r="BG4761" s="5"/>
      <c r="BH4761" s="5"/>
      <c r="BI4761" s="5"/>
      <c r="BJ4761" s="5"/>
      <c r="BK4761" s="5"/>
      <c r="BL4761" s="5"/>
      <c r="BM4761" s="5"/>
      <c r="BN4761" s="5"/>
      <c r="BO4761" s="5"/>
      <c r="BP4761" s="5"/>
    </row>
    <row r="4762" spans="35:68" x14ac:dyDescent="0.25">
      <c r="AI4762" s="49"/>
      <c r="AJ4762" s="78"/>
      <c r="AK4762" s="79"/>
      <c r="AL4762" s="79"/>
      <c r="AM4762" s="79"/>
      <c r="AN4762" s="79"/>
      <c r="AO4762" s="79"/>
      <c r="AP4762" s="79"/>
      <c r="AQ4762" s="79"/>
      <c r="AR4762" s="78"/>
      <c r="AS4762" s="78"/>
      <c r="AT4762" s="79"/>
      <c r="AU4762" s="79"/>
      <c r="AV4762" s="79"/>
      <c r="AW4762" s="79"/>
      <c r="AX4762" s="79"/>
      <c r="AZ4762" s="81"/>
      <c r="BB4762" s="5"/>
      <c r="BC4762" s="5"/>
      <c r="BD4762" s="5"/>
      <c r="BE4762" s="5"/>
      <c r="BF4762" s="5"/>
      <c r="BG4762" s="5"/>
      <c r="BH4762" s="5"/>
      <c r="BI4762" s="5"/>
      <c r="BJ4762" s="5"/>
      <c r="BK4762" s="5"/>
      <c r="BL4762" s="5"/>
      <c r="BM4762" s="5"/>
      <c r="BN4762" s="5"/>
      <c r="BO4762" s="5"/>
      <c r="BP4762" s="5"/>
    </row>
    <row r="4763" spans="35:68" x14ac:dyDescent="0.25">
      <c r="AI4763" s="49"/>
      <c r="AJ4763" s="78"/>
      <c r="AK4763" s="79"/>
      <c r="AL4763" s="79"/>
      <c r="AM4763" s="79"/>
      <c r="AN4763" s="79"/>
      <c r="AO4763" s="79"/>
      <c r="AP4763" s="79"/>
      <c r="AQ4763" s="79"/>
      <c r="AR4763" s="78"/>
      <c r="AS4763" s="78"/>
      <c r="AT4763" s="79"/>
      <c r="AU4763" s="79"/>
      <c r="AV4763" s="79"/>
      <c r="AW4763" s="79"/>
      <c r="AX4763" s="79"/>
      <c r="AZ4763" s="81"/>
      <c r="BB4763" s="5"/>
      <c r="BC4763" s="5"/>
      <c r="BD4763" s="5"/>
      <c r="BE4763" s="5"/>
      <c r="BF4763" s="5"/>
      <c r="BG4763" s="5"/>
      <c r="BH4763" s="5"/>
      <c r="BI4763" s="5"/>
      <c r="BJ4763" s="5"/>
      <c r="BK4763" s="5"/>
      <c r="BL4763" s="5"/>
      <c r="BM4763" s="5"/>
      <c r="BN4763" s="5"/>
      <c r="BO4763" s="5"/>
      <c r="BP4763" s="5"/>
    </row>
    <row r="4764" spans="35:68" x14ac:dyDescent="0.25">
      <c r="AI4764" s="49"/>
      <c r="AJ4764" s="78"/>
      <c r="AK4764" s="79"/>
      <c r="AL4764" s="79"/>
      <c r="AM4764" s="79"/>
      <c r="AN4764" s="79"/>
      <c r="AO4764" s="79"/>
      <c r="AP4764" s="79"/>
      <c r="AQ4764" s="79"/>
      <c r="AR4764" s="78"/>
      <c r="AS4764" s="78"/>
      <c r="AT4764" s="79"/>
      <c r="AU4764" s="79"/>
      <c r="AV4764" s="79"/>
      <c r="AW4764" s="79"/>
      <c r="AX4764" s="79"/>
      <c r="AZ4764" s="81"/>
      <c r="BB4764" s="5"/>
      <c r="BC4764" s="5"/>
      <c r="BD4764" s="5"/>
      <c r="BE4764" s="5"/>
      <c r="BF4764" s="5"/>
      <c r="BG4764" s="5"/>
      <c r="BH4764" s="5"/>
      <c r="BI4764" s="5"/>
      <c r="BJ4764" s="5"/>
      <c r="BK4764" s="5"/>
      <c r="BL4764" s="5"/>
      <c r="BM4764" s="5"/>
      <c r="BN4764" s="5"/>
      <c r="BO4764" s="5"/>
      <c r="BP4764" s="5"/>
    </row>
    <row r="4765" spans="35:68" x14ac:dyDescent="0.25">
      <c r="AI4765" s="49"/>
      <c r="AJ4765" s="78"/>
      <c r="AK4765" s="79"/>
      <c r="AL4765" s="79"/>
      <c r="AM4765" s="79"/>
      <c r="AN4765" s="79"/>
      <c r="AO4765" s="79"/>
      <c r="AP4765" s="79"/>
      <c r="AQ4765" s="79"/>
      <c r="AR4765" s="78"/>
      <c r="AS4765" s="78"/>
      <c r="AT4765" s="79"/>
      <c r="AU4765" s="79"/>
      <c r="AV4765" s="79"/>
      <c r="AW4765" s="79"/>
      <c r="AX4765" s="79"/>
      <c r="AZ4765" s="81"/>
      <c r="BB4765" s="5"/>
      <c r="BC4765" s="5"/>
      <c r="BD4765" s="5"/>
      <c r="BE4765" s="5"/>
      <c r="BF4765" s="5"/>
      <c r="BG4765" s="5"/>
      <c r="BH4765" s="5"/>
      <c r="BI4765" s="5"/>
      <c r="BJ4765" s="5"/>
      <c r="BK4765" s="5"/>
      <c r="BL4765" s="5"/>
      <c r="BM4765" s="5"/>
      <c r="BN4765" s="5"/>
      <c r="BO4765" s="5"/>
      <c r="BP4765" s="5"/>
    </row>
    <row r="4766" spans="35:68" x14ac:dyDescent="0.25">
      <c r="AI4766" s="49"/>
      <c r="AJ4766" s="78"/>
      <c r="AK4766" s="79"/>
      <c r="AL4766" s="79"/>
      <c r="AM4766" s="79"/>
      <c r="AN4766" s="79"/>
      <c r="AO4766" s="79"/>
      <c r="AP4766" s="79"/>
      <c r="AQ4766" s="79"/>
      <c r="AR4766" s="78"/>
      <c r="AS4766" s="78"/>
      <c r="AT4766" s="79"/>
      <c r="AU4766" s="79"/>
      <c r="AV4766" s="79"/>
      <c r="AW4766" s="79"/>
      <c r="AX4766" s="79"/>
      <c r="AZ4766" s="81"/>
      <c r="BB4766" s="5"/>
      <c r="BC4766" s="5"/>
      <c r="BD4766" s="5"/>
      <c r="BE4766" s="5"/>
      <c r="BF4766" s="5"/>
      <c r="BG4766" s="5"/>
      <c r="BH4766" s="5"/>
      <c r="BI4766" s="5"/>
      <c r="BJ4766" s="5"/>
      <c r="BK4766" s="5"/>
      <c r="BL4766" s="5"/>
      <c r="BM4766" s="5"/>
      <c r="BN4766" s="5"/>
      <c r="BO4766" s="5"/>
      <c r="BP4766" s="5"/>
    </row>
    <row r="4767" spans="35:68" x14ac:dyDescent="0.25">
      <c r="AI4767" s="49"/>
      <c r="AJ4767" s="78"/>
      <c r="AK4767" s="79"/>
      <c r="AL4767" s="79"/>
      <c r="AM4767" s="79"/>
      <c r="AN4767" s="79"/>
      <c r="AO4767" s="79"/>
      <c r="AP4767" s="79"/>
      <c r="AQ4767" s="79"/>
      <c r="AR4767" s="78"/>
      <c r="AS4767" s="78"/>
      <c r="AT4767" s="79"/>
      <c r="AU4767" s="79"/>
      <c r="AV4767" s="79"/>
      <c r="AW4767" s="79"/>
      <c r="AX4767" s="79"/>
      <c r="AZ4767" s="81"/>
      <c r="BB4767" s="5"/>
      <c r="BC4767" s="5"/>
      <c r="BD4767" s="5"/>
      <c r="BE4767" s="5"/>
      <c r="BF4767" s="5"/>
      <c r="BG4767" s="5"/>
      <c r="BH4767" s="5"/>
      <c r="BI4767" s="5"/>
      <c r="BJ4767" s="5"/>
      <c r="BK4767" s="5"/>
      <c r="BL4767" s="5"/>
      <c r="BM4767" s="5"/>
      <c r="BN4767" s="5"/>
      <c r="BO4767" s="5"/>
      <c r="BP4767" s="5"/>
    </row>
    <row r="4768" spans="35:68" x14ac:dyDescent="0.25">
      <c r="AI4768" s="49"/>
      <c r="AJ4768" s="78"/>
      <c r="AK4768" s="79"/>
      <c r="AL4768" s="79"/>
      <c r="AM4768" s="79"/>
      <c r="AN4768" s="79"/>
      <c r="AO4768" s="79"/>
      <c r="AP4768" s="79"/>
      <c r="AQ4768" s="79"/>
      <c r="AR4768" s="78"/>
      <c r="AS4768" s="78"/>
      <c r="AT4768" s="79"/>
      <c r="AU4768" s="79"/>
      <c r="AV4768" s="79"/>
      <c r="AW4768" s="79"/>
      <c r="AX4768" s="79"/>
      <c r="AZ4768" s="81"/>
      <c r="BB4768" s="5"/>
      <c r="BC4768" s="5"/>
      <c r="BD4768" s="5"/>
      <c r="BE4768" s="5"/>
      <c r="BF4768" s="5"/>
      <c r="BG4768" s="5"/>
      <c r="BH4768" s="5"/>
      <c r="BI4768" s="5"/>
      <c r="BJ4768" s="5"/>
      <c r="BK4768" s="5"/>
      <c r="BL4768" s="5"/>
      <c r="BM4768" s="5"/>
      <c r="BN4768" s="5"/>
      <c r="BO4768" s="5"/>
      <c r="BP4768" s="5"/>
    </row>
    <row r="4769" spans="35:68" x14ac:dyDescent="0.25">
      <c r="AI4769" s="49"/>
      <c r="AJ4769" s="78"/>
      <c r="AK4769" s="79"/>
      <c r="AL4769" s="79"/>
      <c r="AM4769" s="79"/>
      <c r="AN4769" s="79"/>
      <c r="AO4769" s="79"/>
      <c r="AP4769" s="79"/>
      <c r="AQ4769" s="79"/>
      <c r="AR4769" s="78"/>
      <c r="AS4769" s="78"/>
      <c r="AT4769" s="79"/>
      <c r="AU4769" s="79"/>
      <c r="AV4769" s="79"/>
      <c r="AW4769" s="79"/>
      <c r="AX4769" s="79"/>
      <c r="AZ4769" s="81"/>
      <c r="BB4769" s="5"/>
      <c r="BC4769" s="5"/>
      <c r="BD4769" s="5"/>
      <c r="BE4769" s="5"/>
      <c r="BF4769" s="5"/>
      <c r="BG4769" s="5"/>
      <c r="BH4769" s="5"/>
      <c r="BI4769" s="5"/>
      <c r="BJ4769" s="5"/>
      <c r="BK4769" s="5"/>
      <c r="BL4769" s="5"/>
      <c r="BM4769" s="5"/>
      <c r="BN4769" s="5"/>
      <c r="BO4769" s="5"/>
      <c r="BP4769" s="5"/>
    </row>
    <row r="4770" spans="35:68" x14ac:dyDescent="0.25">
      <c r="AI4770" s="49"/>
      <c r="AJ4770" s="78"/>
      <c r="AK4770" s="79"/>
      <c r="AL4770" s="79"/>
      <c r="AM4770" s="79"/>
      <c r="AN4770" s="79"/>
      <c r="AO4770" s="79"/>
      <c r="AP4770" s="79"/>
      <c r="AQ4770" s="79"/>
      <c r="AR4770" s="78"/>
      <c r="AS4770" s="78"/>
      <c r="AT4770" s="79"/>
      <c r="AU4770" s="79"/>
      <c r="AV4770" s="79"/>
      <c r="AW4770" s="79"/>
      <c r="AX4770" s="79"/>
      <c r="AZ4770" s="81"/>
      <c r="BB4770" s="5"/>
      <c r="BC4770" s="5"/>
      <c r="BD4770" s="5"/>
      <c r="BE4770" s="5"/>
      <c r="BF4770" s="5"/>
      <c r="BG4770" s="5"/>
      <c r="BH4770" s="5"/>
      <c r="BI4770" s="5"/>
      <c r="BJ4770" s="5"/>
      <c r="BK4770" s="5"/>
      <c r="BL4770" s="5"/>
      <c r="BM4770" s="5"/>
      <c r="BN4770" s="5"/>
      <c r="BO4770" s="5"/>
      <c r="BP4770" s="5"/>
    </row>
    <row r="4771" spans="35:68" x14ac:dyDescent="0.25">
      <c r="AI4771" s="49"/>
      <c r="AJ4771" s="78"/>
      <c r="AK4771" s="79"/>
      <c r="AL4771" s="79"/>
      <c r="AM4771" s="79"/>
      <c r="AN4771" s="79"/>
      <c r="AO4771" s="79"/>
      <c r="AP4771" s="79"/>
      <c r="AQ4771" s="79"/>
      <c r="AR4771" s="78"/>
      <c r="AS4771" s="78"/>
      <c r="AT4771" s="79"/>
      <c r="AU4771" s="79"/>
      <c r="AV4771" s="79"/>
      <c r="AW4771" s="79"/>
      <c r="AX4771" s="79"/>
      <c r="AZ4771" s="81"/>
      <c r="BB4771" s="5"/>
      <c r="BC4771" s="5"/>
      <c r="BD4771" s="5"/>
      <c r="BE4771" s="5"/>
      <c r="BF4771" s="5"/>
      <c r="BG4771" s="5"/>
      <c r="BH4771" s="5"/>
      <c r="BI4771" s="5"/>
      <c r="BJ4771" s="5"/>
      <c r="BK4771" s="5"/>
      <c r="BL4771" s="5"/>
      <c r="BM4771" s="5"/>
      <c r="BN4771" s="5"/>
      <c r="BO4771" s="5"/>
      <c r="BP4771" s="5"/>
    </row>
    <row r="4772" spans="35:68" x14ac:dyDescent="0.25">
      <c r="AI4772" s="49"/>
      <c r="AJ4772" s="78"/>
      <c r="AK4772" s="79"/>
      <c r="AL4772" s="79"/>
      <c r="AM4772" s="79"/>
      <c r="AN4772" s="79"/>
      <c r="AO4772" s="79"/>
      <c r="AP4772" s="79"/>
      <c r="AQ4772" s="79"/>
      <c r="AR4772" s="78"/>
      <c r="AS4772" s="78"/>
      <c r="AT4772" s="79"/>
      <c r="AU4772" s="79"/>
      <c r="AV4772" s="79"/>
      <c r="AW4772" s="79"/>
      <c r="AX4772" s="79"/>
      <c r="AZ4772" s="81"/>
      <c r="BB4772" s="5"/>
      <c r="BC4772" s="5"/>
      <c r="BD4772" s="5"/>
      <c r="BE4772" s="5"/>
      <c r="BF4772" s="5"/>
      <c r="BG4772" s="5"/>
      <c r="BH4772" s="5"/>
      <c r="BI4772" s="5"/>
      <c r="BJ4772" s="5"/>
      <c r="BK4772" s="5"/>
      <c r="BL4772" s="5"/>
      <c r="BM4772" s="5"/>
      <c r="BN4772" s="5"/>
      <c r="BO4772" s="5"/>
      <c r="BP4772" s="5"/>
    </row>
    <row r="4773" spans="35:68" x14ac:dyDescent="0.25">
      <c r="AI4773" s="49"/>
      <c r="AJ4773" s="78"/>
      <c r="AK4773" s="79"/>
      <c r="AL4773" s="79"/>
      <c r="AM4773" s="79"/>
      <c r="AN4773" s="79"/>
      <c r="AO4773" s="79"/>
      <c r="AP4773" s="79"/>
      <c r="AQ4773" s="79"/>
      <c r="AR4773" s="78"/>
      <c r="AS4773" s="78"/>
      <c r="AT4773" s="79"/>
      <c r="AU4773" s="79"/>
      <c r="AV4773" s="79"/>
      <c r="AW4773" s="79"/>
      <c r="AX4773" s="79"/>
      <c r="AZ4773" s="81"/>
      <c r="BB4773" s="5"/>
      <c r="BC4773" s="5"/>
      <c r="BD4773" s="5"/>
      <c r="BE4773" s="5"/>
      <c r="BF4773" s="5"/>
      <c r="BG4773" s="5"/>
      <c r="BH4773" s="5"/>
      <c r="BI4773" s="5"/>
      <c r="BJ4773" s="5"/>
      <c r="BK4773" s="5"/>
      <c r="BL4773" s="5"/>
      <c r="BM4773" s="5"/>
      <c r="BN4773" s="5"/>
      <c r="BO4773" s="5"/>
      <c r="BP4773" s="5"/>
    </row>
    <row r="4774" spans="35:68" x14ac:dyDescent="0.25">
      <c r="AI4774" s="49"/>
      <c r="AJ4774" s="78"/>
      <c r="AK4774" s="79"/>
      <c r="AL4774" s="79"/>
      <c r="AM4774" s="79"/>
      <c r="AN4774" s="79"/>
      <c r="AO4774" s="79"/>
      <c r="AP4774" s="79"/>
      <c r="AQ4774" s="79"/>
      <c r="AR4774" s="78"/>
      <c r="AS4774" s="78"/>
      <c r="AT4774" s="79"/>
      <c r="AU4774" s="79"/>
      <c r="AV4774" s="79"/>
      <c r="AW4774" s="79"/>
      <c r="AX4774" s="79"/>
      <c r="AZ4774" s="81"/>
      <c r="BB4774" s="5"/>
      <c r="BC4774" s="5"/>
      <c r="BD4774" s="5"/>
      <c r="BE4774" s="5"/>
      <c r="BF4774" s="5"/>
      <c r="BG4774" s="5"/>
      <c r="BH4774" s="5"/>
      <c r="BI4774" s="5"/>
      <c r="BJ4774" s="5"/>
      <c r="BK4774" s="5"/>
      <c r="BL4774" s="5"/>
      <c r="BM4774" s="5"/>
      <c r="BN4774" s="5"/>
      <c r="BO4774" s="5"/>
      <c r="BP4774" s="5"/>
    </row>
    <row r="4775" spans="35:68" x14ac:dyDescent="0.25">
      <c r="AI4775" s="49"/>
      <c r="AJ4775" s="78"/>
      <c r="AK4775" s="79"/>
      <c r="AL4775" s="79"/>
      <c r="AM4775" s="79"/>
      <c r="AN4775" s="79"/>
      <c r="AO4775" s="79"/>
      <c r="AP4775" s="79"/>
      <c r="AQ4775" s="79"/>
      <c r="AR4775" s="78"/>
      <c r="AS4775" s="78"/>
      <c r="AT4775" s="79"/>
      <c r="AU4775" s="79"/>
      <c r="AV4775" s="79"/>
      <c r="AW4775" s="79"/>
      <c r="AX4775" s="79"/>
      <c r="AZ4775" s="81"/>
      <c r="BB4775" s="5"/>
      <c r="BC4775" s="5"/>
      <c r="BD4775" s="5"/>
      <c r="BE4775" s="5"/>
      <c r="BF4775" s="5"/>
      <c r="BG4775" s="5"/>
      <c r="BH4775" s="5"/>
      <c r="BI4775" s="5"/>
      <c r="BJ4775" s="5"/>
      <c r="BK4775" s="5"/>
      <c r="BL4775" s="5"/>
      <c r="BM4775" s="5"/>
      <c r="BN4775" s="5"/>
      <c r="BO4775" s="5"/>
      <c r="BP4775" s="5"/>
    </row>
    <row r="4776" spans="35:68" x14ac:dyDescent="0.25">
      <c r="AI4776" s="49"/>
      <c r="AJ4776" s="78"/>
      <c r="AK4776" s="79"/>
      <c r="AL4776" s="79"/>
      <c r="AM4776" s="79"/>
      <c r="AN4776" s="79"/>
      <c r="AO4776" s="79"/>
      <c r="AP4776" s="79"/>
      <c r="AQ4776" s="79"/>
      <c r="AR4776" s="78"/>
      <c r="AS4776" s="78"/>
      <c r="AT4776" s="79"/>
      <c r="AU4776" s="79"/>
      <c r="AV4776" s="79"/>
      <c r="AW4776" s="79"/>
      <c r="AX4776" s="79"/>
      <c r="AZ4776" s="81"/>
      <c r="BB4776" s="5"/>
      <c r="BC4776" s="5"/>
      <c r="BD4776" s="5"/>
      <c r="BE4776" s="5"/>
      <c r="BF4776" s="5"/>
      <c r="BG4776" s="5"/>
      <c r="BH4776" s="5"/>
      <c r="BI4776" s="5"/>
      <c r="BJ4776" s="5"/>
      <c r="BK4776" s="5"/>
      <c r="BL4776" s="5"/>
      <c r="BM4776" s="5"/>
      <c r="BN4776" s="5"/>
      <c r="BO4776" s="5"/>
      <c r="BP4776" s="5"/>
    </row>
    <row r="4777" spans="35:68" x14ac:dyDescent="0.25">
      <c r="AI4777" s="49"/>
      <c r="AJ4777" s="78"/>
      <c r="AK4777" s="79"/>
      <c r="AL4777" s="79"/>
      <c r="AM4777" s="79"/>
      <c r="AN4777" s="79"/>
      <c r="AO4777" s="79"/>
      <c r="AP4777" s="79"/>
      <c r="AQ4777" s="79"/>
      <c r="AR4777" s="78"/>
      <c r="AS4777" s="78"/>
      <c r="AT4777" s="79"/>
      <c r="AU4777" s="79"/>
      <c r="AV4777" s="79"/>
      <c r="AW4777" s="79"/>
      <c r="AX4777" s="79"/>
      <c r="AZ4777" s="81"/>
      <c r="BB4777" s="5"/>
      <c r="BC4777" s="5"/>
      <c r="BD4777" s="5"/>
      <c r="BE4777" s="5"/>
      <c r="BF4777" s="5"/>
      <c r="BG4777" s="5"/>
      <c r="BH4777" s="5"/>
      <c r="BI4777" s="5"/>
      <c r="BJ4777" s="5"/>
      <c r="BK4777" s="5"/>
      <c r="BL4777" s="5"/>
      <c r="BM4777" s="5"/>
      <c r="BN4777" s="5"/>
      <c r="BO4777" s="5"/>
      <c r="BP4777" s="5"/>
    </row>
    <row r="4778" spans="35:68" x14ac:dyDescent="0.25">
      <c r="AI4778" s="49"/>
      <c r="AJ4778" s="78"/>
      <c r="AK4778" s="79"/>
      <c r="AL4778" s="79"/>
      <c r="AM4778" s="79"/>
      <c r="AN4778" s="79"/>
      <c r="AO4778" s="79"/>
      <c r="AP4778" s="79"/>
      <c r="AQ4778" s="79"/>
      <c r="AR4778" s="78"/>
      <c r="AS4778" s="78"/>
      <c r="AT4778" s="79"/>
      <c r="AU4778" s="79"/>
      <c r="AV4778" s="79"/>
      <c r="AW4778" s="79"/>
      <c r="AX4778" s="79"/>
      <c r="AZ4778" s="81"/>
      <c r="BB4778" s="5"/>
      <c r="BC4778" s="5"/>
      <c r="BD4778" s="5"/>
      <c r="BE4778" s="5"/>
      <c r="BF4778" s="5"/>
      <c r="BG4778" s="5"/>
      <c r="BH4778" s="5"/>
      <c r="BI4778" s="5"/>
      <c r="BJ4778" s="5"/>
      <c r="BK4778" s="5"/>
      <c r="BL4778" s="5"/>
      <c r="BM4778" s="5"/>
      <c r="BN4778" s="5"/>
      <c r="BO4778" s="5"/>
      <c r="BP4778" s="5"/>
    </row>
    <row r="4779" spans="35:68" x14ac:dyDescent="0.25">
      <c r="AI4779" s="49"/>
      <c r="AJ4779" s="78"/>
      <c r="AK4779" s="79"/>
      <c r="AL4779" s="79"/>
      <c r="AM4779" s="79"/>
      <c r="AN4779" s="79"/>
      <c r="AO4779" s="79"/>
      <c r="AP4779" s="79"/>
      <c r="AQ4779" s="79"/>
      <c r="AR4779" s="78"/>
      <c r="AS4779" s="78"/>
      <c r="AT4779" s="79"/>
      <c r="AU4779" s="79"/>
      <c r="AV4779" s="79"/>
      <c r="AW4779" s="79"/>
      <c r="AX4779" s="79"/>
      <c r="AZ4779" s="81"/>
      <c r="BB4779" s="5"/>
      <c r="BC4779" s="5"/>
      <c r="BD4779" s="5"/>
      <c r="BE4779" s="5"/>
      <c r="BF4779" s="5"/>
      <c r="BG4779" s="5"/>
      <c r="BH4779" s="5"/>
      <c r="BI4779" s="5"/>
      <c r="BJ4779" s="5"/>
      <c r="BK4779" s="5"/>
      <c r="BL4779" s="5"/>
      <c r="BM4779" s="5"/>
      <c r="BN4779" s="5"/>
      <c r="BO4779" s="5"/>
      <c r="BP4779" s="5"/>
    </row>
    <row r="4780" spans="35:68" x14ac:dyDescent="0.25">
      <c r="AI4780" s="49"/>
      <c r="AJ4780" s="78"/>
      <c r="AK4780" s="79"/>
      <c r="AL4780" s="79"/>
      <c r="AM4780" s="79"/>
      <c r="AN4780" s="79"/>
      <c r="AO4780" s="79"/>
      <c r="AP4780" s="79"/>
      <c r="AQ4780" s="79"/>
      <c r="AR4780" s="78"/>
      <c r="AS4780" s="78"/>
      <c r="AT4780" s="79"/>
      <c r="AU4780" s="79"/>
      <c r="AV4780" s="79"/>
      <c r="AW4780" s="79"/>
      <c r="AX4780" s="79"/>
      <c r="AZ4780" s="81"/>
      <c r="BB4780" s="5"/>
      <c r="BC4780" s="5"/>
      <c r="BD4780" s="5"/>
      <c r="BE4780" s="5"/>
      <c r="BF4780" s="5"/>
      <c r="BG4780" s="5"/>
      <c r="BH4780" s="5"/>
      <c r="BI4780" s="5"/>
      <c r="BJ4780" s="5"/>
      <c r="BK4780" s="5"/>
      <c r="BL4780" s="5"/>
      <c r="BM4780" s="5"/>
      <c r="BN4780" s="5"/>
      <c r="BO4780" s="5"/>
      <c r="BP4780" s="5"/>
    </row>
    <row r="4781" spans="35:68" x14ac:dyDescent="0.25">
      <c r="AI4781" s="49"/>
      <c r="AJ4781" s="78"/>
      <c r="AK4781" s="79"/>
      <c r="AL4781" s="79"/>
      <c r="AM4781" s="79"/>
      <c r="AN4781" s="79"/>
      <c r="AO4781" s="79"/>
      <c r="AP4781" s="79"/>
      <c r="AQ4781" s="79"/>
      <c r="AR4781" s="78"/>
      <c r="AS4781" s="78"/>
      <c r="AT4781" s="79"/>
      <c r="AU4781" s="79"/>
      <c r="AV4781" s="79"/>
      <c r="AW4781" s="79"/>
      <c r="AX4781" s="79"/>
      <c r="AZ4781" s="81"/>
      <c r="BB4781" s="5"/>
      <c r="BC4781" s="5"/>
      <c r="BD4781" s="5"/>
      <c r="BE4781" s="5"/>
      <c r="BF4781" s="5"/>
      <c r="BG4781" s="5"/>
      <c r="BH4781" s="5"/>
      <c r="BI4781" s="5"/>
      <c r="BJ4781" s="5"/>
      <c r="BK4781" s="5"/>
      <c r="BL4781" s="5"/>
      <c r="BM4781" s="5"/>
      <c r="BN4781" s="5"/>
      <c r="BO4781" s="5"/>
      <c r="BP4781" s="5"/>
    </row>
    <row r="4782" spans="35:68" x14ac:dyDescent="0.25">
      <c r="AI4782" s="49"/>
      <c r="AJ4782" s="78"/>
      <c r="AK4782" s="79"/>
      <c r="AL4782" s="79"/>
      <c r="AM4782" s="79"/>
      <c r="AN4782" s="79"/>
      <c r="AO4782" s="79"/>
      <c r="AP4782" s="79"/>
      <c r="AQ4782" s="79"/>
      <c r="AR4782" s="78"/>
      <c r="AS4782" s="78"/>
      <c r="AT4782" s="79"/>
      <c r="AU4782" s="79"/>
      <c r="AV4782" s="79"/>
      <c r="AW4782" s="79"/>
      <c r="AX4782" s="79"/>
      <c r="AZ4782" s="81"/>
      <c r="BB4782" s="5"/>
      <c r="BC4782" s="5"/>
      <c r="BD4782" s="5"/>
      <c r="BE4782" s="5"/>
      <c r="BF4782" s="5"/>
      <c r="BG4782" s="5"/>
      <c r="BH4782" s="5"/>
      <c r="BI4782" s="5"/>
      <c r="BJ4782" s="5"/>
      <c r="BK4782" s="5"/>
      <c r="BL4782" s="5"/>
      <c r="BM4782" s="5"/>
      <c r="BN4782" s="5"/>
      <c r="BO4782" s="5"/>
      <c r="BP4782" s="5"/>
    </row>
    <row r="4783" spans="35:68" x14ac:dyDescent="0.25">
      <c r="AI4783" s="49"/>
      <c r="AJ4783" s="78"/>
      <c r="AK4783" s="79"/>
      <c r="AL4783" s="79"/>
      <c r="AM4783" s="79"/>
      <c r="AN4783" s="79"/>
      <c r="AO4783" s="79"/>
      <c r="AP4783" s="79"/>
      <c r="AQ4783" s="79"/>
      <c r="AR4783" s="78"/>
      <c r="AS4783" s="78"/>
      <c r="AT4783" s="79"/>
      <c r="AU4783" s="79"/>
      <c r="AV4783" s="79"/>
      <c r="AW4783" s="79"/>
      <c r="AX4783" s="79"/>
      <c r="AZ4783" s="81"/>
      <c r="BB4783" s="5"/>
      <c r="BC4783" s="5"/>
      <c r="BD4783" s="5"/>
      <c r="BE4783" s="5"/>
      <c r="BF4783" s="5"/>
      <c r="BG4783" s="5"/>
      <c r="BH4783" s="5"/>
      <c r="BI4783" s="5"/>
      <c r="BJ4783" s="5"/>
      <c r="BK4783" s="5"/>
      <c r="BL4783" s="5"/>
      <c r="BM4783" s="5"/>
      <c r="BN4783" s="5"/>
      <c r="BO4783" s="5"/>
      <c r="BP4783" s="5"/>
    </row>
    <row r="4784" spans="35:68" x14ac:dyDescent="0.25">
      <c r="AI4784" s="49"/>
      <c r="AJ4784" s="78"/>
      <c r="AK4784" s="79"/>
      <c r="AL4784" s="79"/>
      <c r="AM4784" s="79"/>
      <c r="AN4784" s="79"/>
      <c r="AO4784" s="79"/>
      <c r="AP4784" s="79"/>
      <c r="AQ4784" s="79"/>
      <c r="AR4784" s="78"/>
      <c r="AS4784" s="78"/>
      <c r="AT4784" s="79"/>
      <c r="AU4784" s="79"/>
      <c r="AV4784" s="79"/>
      <c r="AW4784" s="79"/>
      <c r="AX4784" s="79"/>
      <c r="AZ4784" s="81"/>
      <c r="BB4784" s="5"/>
      <c r="BC4784" s="5"/>
      <c r="BD4784" s="5"/>
      <c r="BE4784" s="5"/>
      <c r="BF4784" s="5"/>
      <c r="BG4784" s="5"/>
      <c r="BH4784" s="5"/>
      <c r="BI4784" s="5"/>
      <c r="BJ4784" s="5"/>
      <c r="BK4784" s="5"/>
      <c r="BL4784" s="5"/>
      <c r="BM4784" s="5"/>
      <c r="BN4784" s="5"/>
      <c r="BO4784" s="5"/>
      <c r="BP4784" s="5"/>
    </row>
    <row r="4785" spans="35:68" x14ac:dyDescent="0.25">
      <c r="AI4785" s="49"/>
      <c r="AJ4785" s="78"/>
      <c r="AK4785" s="79"/>
      <c r="AL4785" s="79"/>
      <c r="AM4785" s="79"/>
      <c r="AN4785" s="79"/>
      <c r="AO4785" s="79"/>
      <c r="AP4785" s="79"/>
      <c r="AQ4785" s="79"/>
      <c r="AR4785" s="78"/>
      <c r="AS4785" s="78"/>
      <c r="AT4785" s="79"/>
      <c r="AU4785" s="79"/>
      <c r="AV4785" s="79"/>
      <c r="AW4785" s="79"/>
      <c r="AX4785" s="79"/>
      <c r="AZ4785" s="81"/>
      <c r="BB4785" s="5"/>
      <c r="BC4785" s="5"/>
      <c r="BD4785" s="5"/>
      <c r="BE4785" s="5"/>
      <c r="BF4785" s="5"/>
      <c r="BG4785" s="5"/>
      <c r="BH4785" s="5"/>
      <c r="BI4785" s="5"/>
      <c r="BJ4785" s="5"/>
      <c r="BK4785" s="5"/>
      <c r="BL4785" s="5"/>
      <c r="BM4785" s="5"/>
      <c r="BN4785" s="5"/>
      <c r="BO4785" s="5"/>
      <c r="BP4785" s="5"/>
    </row>
    <row r="4786" spans="35:68" x14ac:dyDescent="0.25">
      <c r="AI4786" s="49"/>
      <c r="AJ4786" s="78"/>
      <c r="AK4786" s="79"/>
      <c r="AL4786" s="79"/>
      <c r="AM4786" s="79"/>
      <c r="AN4786" s="79"/>
      <c r="AO4786" s="79"/>
      <c r="AP4786" s="79"/>
      <c r="AQ4786" s="79"/>
      <c r="AR4786" s="78"/>
      <c r="AS4786" s="78"/>
      <c r="AT4786" s="79"/>
      <c r="AU4786" s="79"/>
      <c r="AV4786" s="79"/>
      <c r="AW4786" s="79"/>
      <c r="AX4786" s="79"/>
      <c r="AZ4786" s="81"/>
      <c r="BB4786" s="5"/>
      <c r="BC4786" s="5"/>
      <c r="BD4786" s="5"/>
      <c r="BE4786" s="5"/>
      <c r="BF4786" s="5"/>
      <c r="BG4786" s="5"/>
      <c r="BH4786" s="5"/>
      <c r="BI4786" s="5"/>
      <c r="BJ4786" s="5"/>
      <c r="BK4786" s="5"/>
      <c r="BL4786" s="5"/>
      <c r="BM4786" s="5"/>
      <c r="BN4786" s="5"/>
      <c r="BO4786" s="5"/>
      <c r="BP4786" s="5"/>
    </row>
    <row r="4787" spans="35:68" x14ac:dyDescent="0.25">
      <c r="AI4787" s="49"/>
      <c r="AJ4787" s="78"/>
      <c r="AK4787" s="79"/>
      <c r="AL4787" s="79"/>
      <c r="AM4787" s="79"/>
      <c r="AN4787" s="79"/>
      <c r="AO4787" s="79"/>
      <c r="AP4787" s="79"/>
      <c r="AQ4787" s="79"/>
      <c r="AR4787" s="78"/>
      <c r="AS4787" s="78"/>
      <c r="AT4787" s="79"/>
      <c r="AU4787" s="79"/>
      <c r="AV4787" s="79"/>
      <c r="AW4787" s="79"/>
      <c r="AX4787" s="79"/>
      <c r="AZ4787" s="81"/>
      <c r="BB4787" s="5"/>
      <c r="BC4787" s="5"/>
      <c r="BD4787" s="5"/>
      <c r="BE4787" s="5"/>
      <c r="BF4787" s="5"/>
      <c r="BG4787" s="5"/>
      <c r="BH4787" s="5"/>
      <c r="BI4787" s="5"/>
      <c r="BJ4787" s="5"/>
      <c r="BK4787" s="5"/>
      <c r="BL4787" s="5"/>
      <c r="BM4787" s="5"/>
      <c r="BN4787" s="5"/>
      <c r="BO4787" s="5"/>
      <c r="BP4787" s="5"/>
    </row>
    <row r="4788" spans="35:68" x14ac:dyDescent="0.25">
      <c r="AI4788" s="49"/>
      <c r="AJ4788" s="78"/>
      <c r="AK4788" s="79"/>
      <c r="AL4788" s="79"/>
      <c r="AM4788" s="79"/>
      <c r="AN4788" s="79"/>
      <c r="AO4788" s="79"/>
      <c r="AP4788" s="79"/>
      <c r="AQ4788" s="79"/>
      <c r="AR4788" s="78"/>
      <c r="AS4788" s="78"/>
      <c r="AT4788" s="79"/>
      <c r="AU4788" s="79"/>
      <c r="AV4788" s="79"/>
      <c r="AW4788" s="79"/>
      <c r="AX4788" s="79"/>
      <c r="AZ4788" s="81"/>
      <c r="BB4788" s="5"/>
      <c r="BC4788" s="5"/>
      <c r="BD4788" s="5"/>
      <c r="BE4788" s="5"/>
      <c r="BF4788" s="5"/>
      <c r="BG4788" s="5"/>
      <c r="BH4788" s="5"/>
      <c r="BI4788" s="5"/>
      <c r="BJ4788" s="5"/>
      <c r="BK4788" s="5"/>
      <c r="BL4788" s="5"/>
      <c r="BM4788" s="5"/>
      <c r="BN4788" s="5"/>
      <c r="BO4788" s="5"/>
      <c r="BP4788" s="5"/>
    </row>
    <row r="4789" spans="35:68" x14ac:dyDescent="0.25">
      <c r="AI4789" s="49"/>
      <c r="AJ4789" s="78"/>
      <c r="AK4789" s="79"/>
      <c r="AL4789" s="79"/>
      <c r="AM4789" s="79"/>
      <c r="AN4789" s="79"/>
      <c r="AO4789" s="79"/>
      <c r="AP4789" s="79"/>
      <c r="AQ4789" s="79"/>
      <c r="AR4789" s="78"/>
      <c r="AS4789" s="78"/>
      <c r="AT4789" s="79"/>
      <c r="AU4789" s="79"/>
      <c r="AV4789" s="79"/>
      <c r="AW4789" s="79"/>
      <c r="AX4789" s="79"/>
      <c r="AZ4789" s="81"/>
      <c r="BB4789" s="5"/>
      <c r="BC4789" s="5"/>
      <c r="BD4789" s="5"/>
      <c r="BE4789" s="5"/>
      <c r="BF4789" s="5"/>
      <c r="BG4789" s="5"/>
      <c r="BH4789" s="5"/>
      <c r="BI4789" s="5"/>
      <c r="BJ4789" s="5"/>
      <c r="BK4789" s="5"/>
      <c r="BL4789" s="5"/>
      <c r="BM4789" s="5"/>
      <c r="BN4789" s="5"/>
      <c r="BO4789" s="5"/>
      <c r="BP4789" s="5"/>
    </row>
    <row r="4790" spans="35:68" x14ac:dyDescent="0.25">
      <c r="AI4790" s="49"/>
      <c r="AJ4790" s="78"/>
      <c r="AK4790" s="79"/>
      <c r="AL4790" s="79"/>
      <c r="AM4790" s="79"/>
      <c r="AN4790" s="79"/>
      <c r="AO4790" s="79"/>
      <c r="AP4790" s="79"/>
      <c r="AQ4790" s="79"/>
      <c r="AR4790" s="78"/>
      <c r="AS4790" s="78"/>
      <c r="AT4790" s="79"/>
      <c r="AU4790" s="79"/>
      <c r="AV4790" s="79"/>
      <c r="AW4790" s="79"/>
      <c r="AX4790" s="79"/>
      <c r="AZ4790" s="81"/>
      <c r="BB4790" s="5"/>
      <c r="BC4790" s="5"/>
      <c r="BD4790" s="5"/>
      <c r="BE4790" s="5"/>
      <c r="BF4790" s="5"/>
      <c r="BG4790" s="5"/>
      <c r="BH4790" s="5"/>
      <c r="BI4790" s="5"/>
      <c r="BJ4790" s="5"/>
      <c r="BK4790" s="5"/>
      <c r="BL4790" s="5"/>
      <c r="BM4790" s="5"/>
      <c r="BN4790" s="5"/>
      <c r="BO4790" s="5"/>
      <c r="BP4790" s="5"/>
    </row>
    <row r="4791" spans="35:68" x14ac:dyDescent="0.25">
      <c r="AI4791" s="49"/>
      <c r="AJ4791" s="78"/>
      <c r="AK4791" s="79"/>
      <c r="AL4791" s="79"/>
      <c r="AM4791" s="79"/>
      <c r="AN4791" s="79"/>
      <c r="AO4791" s="79"/>
      <c r="AP4791" s="79"/>
      <c r="AQ4791" s="79"/>
      <c r="AR4791" s="78"/>
      <c r="AS4791" s="78"/>
      <c r="AT4791" s="79"/>
      <c r="AU4791" s="79"/>
      <c r="AV4791" s="79"/>
      <c r="AW4791" s="79"/>
      <c r="AX4791" s="79"/>
      <c r="AZ4791" s="81"/>
      <c r="BB4791" s="5"/>
      <c r="BC4791" s="5"/>
      <c r="BD4791" s="5"/>
      <c r="BE4791" s="5"/>
      <c r="BF4791" s="5"/>
      <c r="BG4791" s="5"/>
      <c r="BH4791" s="5"/>
      <c r="BI4791" s="5"/>
      <c r="BJ4791" s="5"/>
      <c r="BK4791" s="5"/>
      <c r="BL4791" s="5"/>
      <c r="BM4791" s="5"/>
      <c r="BN4791" s="5"/>
      <c r="BO4791" s="5"/>
      <c r="BP4791" s="5"/>
    </row>
    <row r="4792" spans="35:68" x14ac:dyDescent="0.25">
      <c r="AI4792" s="49"/>
      <c r="AJ4792" s="78"/>
      <c r="AK4792" s="79"/>
      <c r="AL4792" s="79"/>
      <c r="AM4792" s="79"/>
      <c r="AN4792" s="79"/>
      <c r="AO4792" s="79"/>
      <c r="AP4792" s="79"/>
      <c r="AQ4792" s="79"/>
      <c r="AR4792" s="78"/>
      <c r="AS4792" s="78"/>
      <c r="AT4792" s="79"/>
      <c r="AU4792" s="79"/>
      <c r="AV4792" s="79"/>
      <c r="AW4792" s="79"/>
      <c r="AX4792" s="79"/>
      <c r="AZ4792" s="81"/>
      <c r="BB4792" s="5"/>
      <c r="BC4792" s="5"/>
      <c r="BD4792" s="5"/>
      <c r="BE4792" s="5"/>
      <c r="BF4792" s="5"/>
      <c r="BG4792" s="5"/>
      <c r="BH4792" s="5"/>
      <c r="BI4792" s="5"/>
      <c r="BJ4792" s="5"/>
      <c r="BK4792" s="5"/>
      <c r="BL4792" s="5"/>
      <c r="BM4792" s="5"/>
      <c r="BN4792" s="5"/>
      <c r="BO4792" s="5"/>
      <c r="BP4792" s="5"/>
    </row>
    <row r="4793" spans="35:68" x14ac:dyDescent="0.25">
      <c r="AI4793" s="49"/>
      <c r="AJ4793" s="78"/>
      <c r="AK4793" s="79"/>
      <c r="AL4793" s="79"/>
      <c r="AM4793" s="79"/>
      <c r="AN4793" s="79"/>
      <c r="AO4793" s="79"/>
      <c r="AP4793" s="79"/>
      <c r="AQ4793" s="79"/>
      <c r="AR4793" s="78"/>
      <c r="AS4793" s="78"/>
      <c r="AT4793" s="79"/>
      <c r="AU4793" s="79"/>
      <c r="AV4793" s="79"/>
      <c r="AW4793" s="79"/>
      <c r="AX4793" s="79"/>
      <c r="AZ4793" s="81"/>
      <c r="BB4793" s="5"/>
      <c r="BC4793" s="5"/>
      <c r="BD4793" s="5"/>
      <c r="BE4793" s="5"/>
      <c r="BF4793" s="5"/>
      <c r="BG4793" s="5"/>
      <c r="BH4793" s="5"/>
      <c r="BI4793" s="5"/>
      <c r="BJ4793" s="5"/>
      <c r="BK4793" s="5"/>
      <c r="BL4793" s="5"/>
      <c r="BM4793" s="5"/>
      <c r="BN4793" s="5"/>
      <c r="BO4793" s="5"/>
      <c r="BP4793" s="5"/>
    </row>
    <row r="4794" spans="35:68" x14ac:dyDescent="0.25">
      <c r="AI4794" s="49"/>
      <c r="AJ4794" s="78"/>
      <c r="AK4794" s="79"/>
      <c r="AL4794" s="79"/>
      <c r="AM4794" s="79"/>
      <c r="AN4794" s="79"/>
      <c r="AO4794" s="79"/>
      <c r="AP4794" s="79"/>
      <c r="AQ4794" s="79"/>
      <c r="AR4794" s="78"/>
      <c r="AS4794" s="78"/>
      <c r="AT4794" s="79"/>
      <c r="AU4794" s="79"/>
      <c r="AV4794" s="79"/>
      <c r="AW4794" s="79"/>
      <c r="AX4794" s="79"/>
      <c r="AZ4794" s="81"/>
      <c r="BB4794" s="5"/>
      <c r="BC4794" s="5"/>
      <c r="BD4794" s="5"/>
      <c r="BE4794" s="5"/>
      <c r="BF4794" s="5"/>
      <c r="BG4794" s="5"/>
      <c r="BH4794" s="5"/>
      <c r="BI4794" s="5"/>
      <c r="BJ4794" s="5"/>
      <c r="BK4794" s="5"/>
      <c r="BL4794" s="5"/>
      <c r="BM4794" s="5"/>
      <c r="BN4794" s="5"/>
      <c r="BO4794" s="5"/>
      <c r="BP4794" s="5"/>
    </row>
    <row r="4795" spans="35:68" x14ac:dyDescent="0.25">
      <c r="AI4795" s="49"/>
      <c r="AJ4795" s="78"/>
      <c r="AK4795" s="79"/>
      <c r="AL4795" s="79"/>
      <c r="AM4795" s="79"/>
      <c r="AN4795" s="79"/>
      <c r="AO4795" s="79"/>
      <c r="AP4795" s="79"/>
      <c r="AQ4795" s="79"/>
      <c r="AR4795" s="78"/>
      <c r="AS4795" s="78"/>
      <c r="AT4795" s="79"/>
      <c r="AU4795" s="79"/>
      <c r="AV4795" s="79"/>
      <c r="AW4795" s="79"/>
      <c r="AX4795" s="79"/>
      <c r="AZ4795" s="81"/>
      <c r="BB4795" s="5"/>
      <c r="BC4795" s="5"/>
      <c r="BD4795" s="5"/>
      <c r="BE4795" s="5"/>
      <c r="BF4795" s="5"/>
      <c r="BG4795" s="5"/>
      <c r="BH4795" s="5"/>
      <c r="BI4795" s="5"/>
      <c r="BJ4795" s="5"/>
      <c r="BK4795" s="5"/>
      <c r="BL4795" s="5"/>
      <c r="BM4795" s="5"/>
      <c r="BN4795" s="5"/>
      <c r="BO4795" s="5"/>
      <c r="BP4795" s="5"/>
    </row>
    <row r="4796" spans="35:68" x14ac:dyDescent="0.25">
      <c r="AI4796" s="49"/>
      <c r="AJ4796" s="78"/>
      <c r="AK4796" s="79"/>
      <c r="AL4796" s="79"/>
      <c r="AM4796" s="79"/>
      <c r="AN4796" s="79"/>
      <c r="AO4796" s="79"/>
      <c r="AP4796" s="79"/>
      <c r="AQ4796" s="79"/>
      <c r="AR4796" s="78"/>
      <c r="AS4796" s="78"/>
      <c r="AT4796" s="79"/>
      <c r="AU4796" s="79"/>
      <c r="AV4796" s="79"/>
      <c r="AW4796" s="79"/>
      <c r="AX4796" s="79"/>
      <c r="AZ4796" s="81"/>
      <c r="BB4796" s="5"/>
      <c r="BC4796" s="5"/>
      <c r="BD4796" s="5"/>
      <c r="BE4796" s="5"/>
      <c r="BF4796" s="5"/>
      <c r="BG4796" s="5"/>
      <c r="BH4796" s="5"/>
      <c r="BI4796" s="5"/>
      <c r="BJ4796" s="5"/>
      <c r="BK4796" s="5"/>
      <c r="BL4796" s="5"/>
      <c r="BM4796" s="5"/>
      <c r="BN4796" s="5"/>
      <c r="BO4796" s="5"/>
      <c r="BP4796" s="5"/>
    </row>
    <row r="4797" spans="35:68" x14ac:dyDescent="0.25">
      <c r="AI4797" s="49"/>
      <c r="AJ4797" s="78"/>
      <c r="AK4797" s="79"/>
      <c r="AL4797" s="79"/>
      <c r="AM4797" s="79"/>
      <c r="AN4797" s="79"/>
      <c r="AO4797" s="79"/>
      <c r="AP4797" s="79"/>
      <c r="AQ4797" s="79"/>
      <c r="AR4797" s="78"/>
      <c r="AS4797" s="78"/>
      <c r="AT4797" s="79"/>
      <c r="AU4797" s="79"/>
      <c r="AV4797" s="79"/>
      <c r="AW4797" s="79"/>
      <c r="AX4797" s="79"/>
      <c r="AZ4797" s="81"/>
      <c r="BB4797" s="5"/>
      <c r="BC4797" s="5"/>
      <c r="BD4797" s="5"/>
      <c r="BE4797" s="5"/>
      <c r="BF4797" s="5"/>
      <c r="BG4797" s="5"/>
      <c r="BH4797" s="5"/>
      <c r="BI4797" s="5"/>
      <c r="BJ4797" s="5"/>
      <c r="BK4797" s="5"/>
      <c r="BL4797" s="5"/>
      <c r="BM4797" s="5"/>
      <c r="BN4797" s="5"/>
      <c r="BO4797" s="5"/>
      <c r="BP4797" s="5"/>
    </row>
    <row r="4798" spans="35:68" x14ac:dyDescent="0.25">
      <c r="AI4798" s="49"/>
      <c r="AJ4798" s="78"/>
      <c r="AK4798" s="79"/>
      <c r="AL4798" s="79"/>
      <c r="AM4798" s="79"/>
      <c r="AN4798" s="79"/>
      <c r="AO4798" s="79"/>
      <c r="AP4798" s="79"/>
      <c r="AQ4798" s="79"/>
      <c r="AR4798" s="78"/>
      <c r="AS4798" s="78"/>
      <c r="AT4798" s="79"/>
      <c r="AU4798" s="79"/>
      <c r="AV4798" s="79"/>
      <c r="AW4798" s="79"/>
      <c r="AX4798" s="79"/>
      <c r="AZ4798" s="81"/>
      <c r="BB4798" s="5"/>
      <c r="BC4798" s="5"/>
      <c r="BD4798" s="5"/>
      <c r="BE4798" s="5"/>
      <c r="BF4798" s="5"/>
      <c r="BG4798" s="5"/>
      <c r="BH4798" s="5"/>
      <c r="BI4798" s="5"/>
      <c r="BJ4798" s="5"/>
      <c r="BK4798" s="5"/>
      <c r="BL4798" s="5"/>
      <c r="BM4798" s="5"/>
      <c r="BN4798" s="5"/>
      <c r="BO4798" s="5"/>
      <c r="BP4798" s="5"/>
    </row>
    <row r="4799" spans="35:68" x14ac:dyDescent="0.25">
      <c r="AI4799" s="49"/>
      <c r="AJ4799" s="78"/>
      <c r="AK4799" s="79"/>
      <c r="AL4799" s="79"/>
      <c r="AM4799" s="79"/>
      <c r="AN4799" s="79"/>
      <c r="AO4799" s="79"/>
      <c r="AP4799" s="79"/>
      <c r="AQ4799" s="79"/>
      <c r="AR4799" s="78"/>
      <c r="AS4799" s="78"/>
      <c r="AT4799" s="79"/>
      <c r="AU4799" s="79"/>
      <c r="AV4799" s="79"/>
      <c r="AW4799" s="79"/>
      <c r="AX4799" s="79"/>
      <c r="AZ4799" s="81"/>
      <c r="BB4799" s="5"/>
      <c r="BC4799" s="5"/>
      <c r="BD4799" s="5"/>
      <c r="BE4799" s="5"/>
      <c r="BF4799" s="5"/>
      <c r="BG4799" s="5"/>
      <c r="BH4799" s="5"/>
      <c r="BI4799" s="5"/>
      <c r="BJ4799" s="5"/>
      <c r="BK4799" s="5"/>
      <c r="BL4799" s="5"/>
      <c r="BM4799" s="5"/>
      <c r="BN4799" s="5"/>
      <c r="BO4799" s="5"/>
      <c r="BP4799" s="5"/>
    </row>
    <row r="4800" spans="35:68" x14ac:dyDescent="0.25">
      <c r="AI4800" s="49"/>
      <c r="AJ4800" s="78"/>
      <c r="AK4800" s="79"/>
      <c r="AL4800" s="79"/>
      <c r="AM4800" s="79"/>
      <c r="AN4800" s="79"/>
      <c r="AO4800" s="79"/>
      <c r="AP4800" s="79"/>
      <c r="AQ4800" s="79"/>
      <c r="AR4800" s="78"/>
      <c r="AS4800" s="78"/>
      <c r="AT4800" s="79"/>
      <c r="AU4800" s="79"/>
      <c r="AV4800" s="79"/>
      <c r="AW4800" s="79"/>
      <c r="AX4800" s="79"/>
      <c r="AZ4800" s="81"/>
      <c r="BB4800" s="5"/>
      <c r="BC4800" s="5"/>
      <c r="BD4800" s="5"/>
      <c r="BE4800" s="5"/>
      <c r="BF4800" s="5"/>
      <c r="BG4800" s="5"/>
      <c r="BH4800" s="5"/>
      <c r="BI4800" s="5"/>
      <c r="BJ4800" s="5"/>
      <c r="BK4800" s="5"/>
      <c r="BL4800" s="5"/>
      <c r="BM4800" s="5"/>
      <c r="BN4800" s="5"/>
      <c r="BO4800" s="5"/>
      <c r="BP4800" s="5"/>
    </row>
    <row r="4801" spans="35:68" x14ac:dyDescent="0.25">
      <c r="AI4801" s="49"/>
      <c r="AJ4801" s="78"/>
      <c r="AK4801" s="79"/>
      <c r="AL4801" s="79"/>
      <c r="AM4801" s="79"/>
      <c r="AN4801" s="79"/>
      <c r="AO4801" s="79"/>
      <c r="AP4801" s="79"/>
      <c r="AQ4801" s="79"/>
      <c r="AR4801" s="78"/>
      <c r="AS4801" s="78"/>
      <c r="AT4801" s="79"/>
      <c r="AU4801" s="79"/>
      <c r="AV4801" s="79"/>
      <c r="AW4801" s="79"/>
      <c r="AX4801" s="79"/>
      <c r="AZ4801" s="81"/>
      <c r="BB4801" s="5"/>
      <c r="BC4801" s="5"/>
      <c r="BD4801" s="5"/>
      <c r="BE4801" s="5"/>
      <c r="BF4801" s="5"/>
      <c r="BG4801" s="5"/>
      <c r="BH4801" s="5"/>
      <c r="BI4801" s="5"/>
      <c r="BJ4801" s="5"/>
      <c r="BK4801" s="5"/>
      <c r="BL4801" s="5"/>
      <c r="BM4801" s="5"/>
      <c r="BN4801" s="5"/>
      <c r="BO4801" s="5"/>
      <c r="BP4801" s="5"/>
    </row>
    <row r="4802" spans="35:68" x14ac:dyDescent="0.25">
      <c r="AI4802" s="49"/>
      <c r="AJ4802" s="78"/>
      <c r="AK4802" s="79"/>
      <c r="AL4802" s="79"/>
      <c r="AM4802" s="79"/>
      <c r="AN4802" s="79"/>
      <c r="AO4802" s="79"/>
      <c r="AP4802" s="79"/>
      <c r="AQ4802" s="79"/>
      <c r="AR4802" s="78"/>
      <c r="AS4802" s="78"/>
      <c r="AT4802" s="79"/>
      <c r="AU4802" s="79"/>
      <c r="AV4802" s="79"/>
      <c r="AW4802" s="79"/>
      <c r="AX4802" s="79"/>
      <c r="AZ4802" s="81"/>
      <c r="BB4802" s="5"/>
      <c r="BC4802" s="5"/>
      <c r="BD4802" s="5"/>
      <c r="BE4802" s="5"/>
      <c r="BF4802" s="5"/>
      <c r="BG4802" s="5"/>
      <c r="BH4802" s="5"/>
      <c r="BI4802" s="5"/>
      <c r="BJ4802" s="5"/>
      <c r="BK4802" s="5"/>
      <c r="BL4802" s="5"/>
      <c r="BM4802" s="5"/>
      <c r="BN4802" s="5"/>
      <c r="BO4802" s="5"/>
      <c r="BP4802" s="5"/>
    </row>
    <row r="4803" spans="35:68" x14ac:dyDescent="0.25">
      <c r="AI4803" s="49"/>
      <c r="AJ4803" s="78"/>
      <c r="AK4803" s="79"/>
      <c r="AL4803" s="79"/>
      <c r="AM4803" s="79"/>
      <c r="AN4803" s="79"/>
      <c r="AO4803" s="79"/>
      <c r="AP4803" s="79"/>
      <c r="AQ4803" s="79"/>
      <c r="AR4803" s="78"/>
      <c r="AS4803" s="78"/>
      <c r="AT4803" s="79"/>
      <c r="AU4803" s="79"/>
      <c r="AV4803" s="79"/>
      <c r="AW4803" s="79"/>
      <c r="AX4803" s="79"/>
      <c r="AZ4803" s="81"/>
      <c r="BB4803" s="5"/>
      <c r="BC4803" s="5"/>
      <c r="BD4803" s="5"/>
      <c r="BE4803" s="5"/>
      <c r="BF4803" s="5"/>
      <c r="BG4803" s="5"/>
      <c r="BH4803" s="5"/>
      <c r="BI4803" s="5"/>
      <c r="BJ4803" s="5"/>
      <c r="BK4803" s="5"/>
      <c r="BL4803" s="5"/>
      <c r="BM4803" s="5"/>
      <c r="BN4803" s="5"/>
      <c r="BO4803" s="5"/>
      <c r="BP4803" s="5"/>
    </row>
    <row r="4804" spans="35:68" x14ac:dyDescent="0.25">
      <c r="AI4804" s="49"/>
      <c r="AJ4804" s="78"/>
      <c r="AK4804" s="79"/>
      <c r="AL4804" s="79"/>
      <c r="AM4804" s="79"/>
      <c r="AN4804" s="79"/>
      <c r="AO4804" s="79"/>
      <c r="AP4804" s="79"/>
      <c r="AQ4804" s="79"/>
      <c r="AR4804" s="78"/>
      <c r="AS4804" s="78"/>
      <c r="AT4804" s="79"/>
      <c r="AU4804" s="79"/>
      <c r="AV4804" s="79"/>
      <c r="AW4804" s="79"/>
      <c r="AX4804" s="79"/>
      <c r="AZ4804" s="81"/>
      <c r="BB4804" s="5"/>
      <c r="BC4804" s="5"/>
      <c r="BD4804" s="5"/>
      <c r="BE4804" s="5"/>
      <c r="BF4804" s="5"/>
      <c r="BG4804" s="5"/>
      <c r="BH4804" s="5"/>
      <c r="BI4804" s="5"/>
      <c r="BJ4804" s="5"/>
      <c r="BK4804" s="5"/>
      <c r="BL4804" s="5"/>
      <c r="BM4804" s="5"/>
      <c r="BN4804" s="5"/>
      <c r="BO4804" s="5"/>
      <c r="BP4804" s="5"/>
    </row>
    <row r="4805" spans="35:68" x14ac:dyDescent="0.25">
      <c r="AI4805" s="49"/>
      <c r="AJ4805" s="78"/>
      <c r="AK4805" s="79"/>
      <c r="AL4805" s="79"/>
      <c r="AM4805" s="79"/>
      <c r="AN4805" s="79"/>
      <c r="AO4805" s="79"/>
      <c r="AP4805" s="79"/>
      <c r="AQ4805" s="79"/>
      <c r="AR4805" s="78"/>
      <c r="AS4805" s="78"/>
      <c r="AT4805" s="79"/>
      <c r="AU4805" s="79"/>
      <c r="AV4805" s="79"/>
      <c r="AW4805" s="79"/>
      <c r="AX4805" s="79"/>
      <c r="AZ4805" s="81"/>
      <c r="BB4805" s="5"/>
      <c r="BC4805" s="5"/>
      <c r="BD4805" s="5"/>
      <c r="BE4805" s="5"/>
      <c r="BF4805" s="5"/>
      <c r="BG4805" s="5"/>
      <c r="BH4805" s="5"/>
      <c r="BI4805" s="5"/>
      <c r="BJ4805" s="5"/>
      <c r="BK4805" s="5"/>
      <c r="BL4805" s="5"/>
      <c r="BM4805" s="5"/>
      <c r="BN4805" s="5"/>
      <c r="BO4805" s="5"/>
      <c r="BP4805" s="5"/>
    </row>
    <row r="4806" spans="35:68" x14ac:dyDescent="0.25">
      <c r="AI4806" s="49"/>
      <c r="AJ4806" s="78"/>
      <c r="AK4806" s="79"/>
      <c r="AL4806" s="79"/>
      <c r="AM4806" s="79"/>
      <c r="AN4806" s="79"/>
      <c r="AO4806" s="79"/>
      <c r="AP4806" s="79"/>
      <c r="AQ4806" s="79"/>
      <c r="AR4806" s="78"/>
      <c r="AS4806" s="78"/>
      <c r="AT4806" s="79"/>
      <c r="AU4806" s="79"/>
      <c r="AV4806" s="79"/>
      <c r="AW4806" s="79"/>
      <c r="AX4806" s="79"/>
      <c r="AZ4806" s="81"/>
      <c r="BB4806" s="5"/>
      <c r="BC4806" s="5"/>
      <c r="BD4806" s="5"/>
      <c r="BE4806" s="5"/>
      <c r="BF4806" s="5"/>
      <c r="BG4806" s="5"/>
      <c r="BH4806" s="5"/>
      <c r="BI4806" s="5"/>
      <c r="BJ4806" s="5"/>
      <c r="BK4806" s="5"/>
      <c r="BL4806" s="5"/>
      <c r="BM4806" s="5"/>
      <c r="BN4806" s="5"/>
      <c r="BO4806" s="5"/>
      <c r="BP4806" s="5"/>
    </row>
    <row r="4807" spans="35:68" x14ac:dyDescent="0.25">
      <c r="AI4807" s="49"/>
      <c r="AJ4807" s="78"/>
      <c r="AK4807" s="79"/>
      <c r="AL4807" s="79"/>
      <c r="AM4807" s="79"/>
      <c r="AN4807" s="79"/>
      <c r="AO4807" s="79"/>
      <c r="AP4807" s="79"/>
      <c r="AQ4807" s="79"/>
      <c r="AR4807" s="78"/>
      <c r="AS4807" s="78"/>
      <c r="AT4807" s="79"/>
      <c r="AU4807" s="79"/>
      <c r="AV4807" s="79"/>
      <c r="AW4807" s="79"/>
      <c r="AX4807" s="79"/>
      <c r="AZ4807" s="81"/>
      <c r="BB4807" s="5"/>
      <c r="BC4807" s="5"/>
      <c r="BD4807" s="5"/>
      <c r="BE4807" s="5"/>
      <c r="BF4807" s="5"/>
      <c r="BG4807" s="5"/>
      <c r="BH4807" s="5"/>
      <c r="BI4807" s="5"/>
      <c r="BJ4807" s="5"/>
      <c r="BK4807" s="5"/>
      <c r="BL4807" s="5"/>
      <c r="BM4807" s="5"/>
      <c r="BN4807" s="5"/>
      <c r="BO4807" s="5"/>
      <c r="BP4807" s="5"/>
    </row>
    <row r="4808" spans="35:68" x14ac:dyDescent="0.25">
      <c r="AI4808" s="49"/>
      <c r="AJ4808" s="78"/>
      <c r="AK4808" s="79"/>
      <c r="AL4808" s="79"/>
      <c r="AM4808" s="79"/>
      <c r="AN4808" s="79"/>
      <c r="AO4808" s="79"/>
      <c r="AP4808" s="79"/>
      <c r="AQ4808" s="79"/>
      <c r="AR4808" s="78"/>
      <c r="AS4808" s="78"/>
      <c r="AT4808" s="79"/>
      <c r="AU4808" s="79"/>
      <c r="AV4808" s="79"/>
      <c r="AW4808" s="79"/>
      <c r="AX4808" s="79"/>
      <c r="AZ4808" s="81"/>
      <c r="BB4808" s="5"/>
      <c r="BC4808" s="5"/>
      <c r="BD4808" s="5"/>
      <c r="BE4808" s="5"/>
      <c r="BF4808" s="5"/>
      <c r="BG4808" s="5"/>
      <c r="BH4808" s="5"/>
      <c r="BI4808" s="5"/>
      <c r="BJ4808" s="5"/>
      <c r="BK4808" s="5"/>
      <c r="BL4808" s="5"/>
      <c r="BM4808" s="5"/>
      <c r="BN4808" s="5"/>
      <c r="BO4808" s="5"/>
      <c r="BP4808" s="5"/>
    </row>
    <row r="4809" spans="35:68" x14ac:dyDescent="0.25">
      <c r="AI4809" s="49"/>
      <c r="AJ4809" s="78"/>
      <c r="AK4809" s="79"/>
      <c r="AL4809" s="79"/>
      <c r="AM4809" s="79"/>
      <c r="AN4809" s="79"/>
      <c r="AO4809" s="79"/>
      <c r="AP4809" s="79"/>
      <c r="AQ4809" s="79"/>
      <c r="AR4809" s="78"/>
      <c r="AS4809" s="78"/>
      <c r="AT4809" s="79"/>
      <c r="AU4809" s="79"/>
      <c r="AV4809" s="79"/>
      <c r="AW4809" s="79"/>
      <c r="AX4809" s="79"/>
      <c r="AZ4809" s="81"/>
      <c r="BB4809" s="5"/>
      <c r="BC4809" s="5"/>
      <c r="BD4809" s="5"/>
      <c r="BE4809" s="5"/>
      <c r="BF4809" s="5"/>
      <c r="BG4809" s="5"/>
      <c r="BH4809" s="5"/>
      <c r="BI4809" s="5"/>
      <c r="BJ4809" s="5"/>
      <c r="BK4809" s="5"/>
      <c r="BL4809" s="5"/>
      <c r="BM4809" s="5"/>
      <c r="BN4809" s="5"/>
      <c r="BO4809" s="5"/>
      <c r="BP4809" s="5"/>
    </row>
    <row r="4810" spans="35:68" x14ac:dyDescent="0.25">
      <c r="AI4810" s="49"/>
      <c r="AJ4810" s="78"/>
      <c r="AK4810" s="79"/>
      <c r="AL4810" s="79"/>
      <c r="AM4810" s="79"/>
      <c r="AN4810" s="79"/>
      <c r="AO4810" s="79"/>
      <c r="AP4810" s="79"/>
      <c r="AQ4810" s="79"/>
      <c r="AR4810" s="78"/>
      <c r="AS4810" s="78"/>
      <c r="AT4810" s="79"/>
      <c r="AU4810" s="79"/>
      <c r="AV4810" s="79"/>
      <c r="AW4810" s="79"/>
      <c r="AX4810" s="79"/>
      <c r="AZ4810" s="81"/>
      <c r="BB4810" s="5"/>
      <c r="BC4810" s="5"/>
      <c r="BD4810" s="5"/>
      <c r="BE4810" s="5"/>
      <c r="BF4810" s="5"/>
      <c r="BG4810" s="5"/>
      <c r="BH4810" s="5"/>
      <c r="BI4810" s="5"/>
      <c r="BJ4810" s="5"/>
      <c r="BK4810" s="5"/>
      <c r="BL4810" s="5"/>
      <c r="BM4810" s="5"/>
      <c r="BN4810" s="5"/>
      <c r="BO4810" s="5"/>
      <c r="BP4810" s="5"/>
    </row>
    <row r="4811" spans="35:68" x14ac:dyDescent="0.25">
      <c r="AI4811" s="49"/>
      <c r="AJ4811" s="78"/>
      <c r="AK4811" s="79"/>
      <c r="AL4811" s="79"/>
      <c r="AM4811" s="79"/>
      <c r="AN4811" s="79"/>
      <c r="AO4811" s="79"/>
      <c r="AP4811" s="79"/>
      <c r="AQ4811" s="79"/>
      <c r="AR4811" s="78"/>
      <c r="AS4811" s="78"/>
      <c r="AT4811" s="79"/>
      <c r="AU4811" s="79"/>
      <c r="AV4811" s="79"/>
      <c r="AW4811" s="79"/>
      <c r="AX4811" s="79"/>
      <c r="AZ4811" s="81"/>
      <c r="BB4811" s="5"/>
      <c r="BC4811" s="5"/>
      <c r="BD4811" s="5"/>
      <c r="BE4811" s="5"/>
      <c r="BF4811" s="5"/>
      <c r="BG4811" s="5"/>
      <c r="BH4811" s="5"/>
      <c r="BI4811" s="5"/>
      <c r="BJ4811" s="5"/>
      <c r="BK4811" s="5"/>
      <c r="BL4811" s="5"/>
      <c r="BM4811" s="5"/>
      <c r="BN4811" s="5"/>
      <c r="BO4811" s="5"/>
      <c r="BP4811" s="5"/>
    </row>
    <row r="4812" spans="35:68" x14ac:dyDescent="0.25">
      <c r="AI4812" s="49"/>
      <c r="AJ4812" s="78"/>
      <c r="AK4812" s="79"/>
      <c r="AL4812" s="79"/>
      <c r="AM4812" s="79"/>
      <c r="AN4812" s="79"/>
      <c r="AO4812" s="79"/>
      <c r="AP4812" s="79"/>
      <c r="AQ4812" s="79"/>
      <c r="AR4812" s="78"/>
      <c r="AS4812" s="78"/>
      <c r="AT4812" s="79"/>
      <c r="AU4812" s="79"/>
      <c r="AV4812" s="79"/>
      <c r="AW4812" s="79"/>
      <c r="AX4812" s="79"/>
      <c r="AZ4812" s="81"/>
      <c r="BB4812" s="5"/>
      <c r="BC4812" s="5"/>
      <c r="BD4812" s="5"/>
      <c r="BE4812" s="5"/>
      <c r="BF4812" s="5"/>
      <c r="BG4812" s="5"/>
      <c r="BH4812" s="5"/>
      <c r="BI4812" s="5"/>
      <c r="BJ4812" s="5"/>
      <c r="BK4812" s="5"/>
      <c r="BL4812" s="5"/>
      <c r="BM4812" s="5"/>
      <c r="BN4812" s="5"/>
      <c r="BO4812" s="5"/>
      <c r="BP4812" s="5"/>
    </row>
    <row r="4813" spans="35:68" x14ac:dyDescent="0.25">
      <c r="AI4813" s="49"/>
      <c r="AJ4813" s="78"/>
      <c r="AK4813" s="79"/>
      <c r="AL4813" s="79"/>
      <c r="AM4813" s="79"/>
      <c r="AN4813" s="79"/>
      <c r="AO4813" s="79"/>
      <c r="AP4813" s="79"/>
      <c r="AQ4813" s="79"/>
      <c r="AR4813" s="78"/>
      <c r="AS4813" s="78"/>
      <c r="AT4813" s="79"/>
      <c r="AU4813" s="79"/>
      <c r="AV4813" s="79"/>
      <c r="AW4813" s="79"/>
      <c r="AX4813" s="79"/>
      <c r="AZ4813" s="81"/>
      <c r="BB4813" s="5"/>
      <c r="BC4813" s="5"/>
      <c r="BD4813" s="5"/>
      <c r="BE4813" s="5"/>
      <c r="BF4813" s="5"/>
      <c r="BG4813" s="5"/>
      <c r="BH4813" s="5"/>
      <c r="BI4813" s="5"/>
      <c r="BJ4813" s="5"/>
      <c r="BK4813" s="5"/>
      <c r="BL4813" s="5"/>
      <c r="BM4813" s="5"/>
      <c r="BN4813" s="5"/>
      <c r="BO4813" s="5"/>
      <c r="BP4813" s="5"/>
    </row>
    <row r="4814" spans="35:68" x14ac:dyDescent="0.25">
      <c r="AI4814" s="49"/>
      <c r="AJ4814" s="78"/>
      <c r="AK4814" s="79"/>
      <c r="AL4814" s="79"/>
      <c r="AM4814" s="79"/>
      <c r="AN4814" s="79"/>
      <c r="AO4814" s="79"/>
      <c r="AP4814" s="79"/>
      <c r="AQ4814" s="79"/>
      <c r="AR4814" s="78"/>
      <c r="AS4814" s="78"/>
      <c r="AT4814" s="79"/>
      <c r="AU4814" s="79"/>
      <c r="AV4814" s="79"/>
      <c r="AW4814" s="79"/>
      <c r="AX4814" s="79"/>
      <c r="AZ4814" s="81"/>
      <c r="BB4814" s="5"/>
      <c r="BC4814" s="5"/>
      <c r="BD4814" s="5"/>
      <c r="BE4814" s="5"/>
      <c r="BF4814" s="5"/>
      <c r="BG4814" s="5"/>
      <c r="BH4814" s="5"/>
      <c r="BI4814" s="5"/>
      <c r="BJ4814" s="5"/>
      <c r="BK4814" s="5"/>
      <c r="BL4814" s="5"/>
      <c r="BM4814" s="5"/>
      <c r="BN4814" s="5"/>
      <c r="BO4814" s="5"/>
      <c r="BP4814" s="5"/>
    </row>
    <row r="4815" spans="35:68" x14ac:dyDescent="0.25">
      <c r="AI4815" s="49"/>
      <c r="AJ4815" s="78"/>
      <c r="AK4815" s="79"/>
      <c r="AL4815" s="79"/>
      <c r="AM4815" s="79"/>
      <c r="AN4815" s="79"/>
      <c r="AO4815" s="79"/>
      <c r="AP4815" s="79"/>
      <c r="AQ4815" s="79"/>
      <c r="AR4815" s="78"/>
      <c r="AS4815" s="78"/>
      <c r="AT4815" s="79"/>
      <c r="AU4815" s="79"/>
      <c r="AV4815" s="79"/>
      <c r="AW4815" s="79"/>
      <c r="AX4815" s="79"/>
      <c r="AZ4815" s="81"/>
      <c r="BB4815" s="5"/>
      <c r="BC4815" s="5"/>
      <c r="BD4815" s="5"/>
      <c r="BE4815" s="5"/>
      <c r="BF4815" s="5"/>
      <c r="BG4815" s="5"/>
      <c r="BH4815" s="5"/>
      <c r="BI4815" s="5"/>
      <c r="BJ4815" s="5"/>
      <c r="BK4815" s="5"/>
      <c r="BL4815" s="5"/>
      <c r="BM4815" s="5"/>
      <c r="BN4815" s="5"/>
      <c r="BO4815" s="5"/>
      <c r="BP4815" s="5"/>
    </row>
    <row r="4816" spans="35:68" x14ac:dyDescent="0.25">
      <c r="AI4816" s="49"/>
      <c r="AJ4816" s="78"/>
      <c r="AK4816" s="79"/>
      <c r="AL4816" s="79"/>
      <c r="AM4816" s="79"/>
      <c r="AN4816" s="79"/>
      <c r="AO4816" s="79"/>
      <c r="AP4816" s="79"/>
      <c r="AQ4816" s="79"/>
      <c r="AR4816" s="78"/>
      <c r="AS4816" s="78"/>
      <c r="AT4816" s="79"/>
      <c r="AU4816" s="79"/>
      <c r="AV4816" s="79"/>
      <c r="AW4816" s="79"/>
      <c r="AX4816" s="79"/>
      <c r="AZ4816" s="81"/>
      <c r="BB4816" s="5"/>
      <c r="BC4816" s="5"/>
      <c r="BD4816" s="5"/>
      <c r="BE4816" s="5"/>
      <c r="BF4816" s="5"/>
      <c r="BG4816" s="5"/>
      <c r="BH4816" s="5"/>
      <c r="BI4816" s="5"/>
      <c r="BJ4816" s="5"/>
      <c r="BK4816" s="5"/>
      <c r="BL4816" s="5"/>
      <c r="BM4816" s="5"/>
      <c r="BN4816" s="5"/>
      <c r="BO4816" s="5"/>
      <c r="BP4816" s="5"/>
    </row>
    <row r="4817" spans="35:68" x14ac:dyDescent="0.25">
      <c r="AI4817" s="49"/>
      <c r="AJ4817" s="78"/>
      <c r="AK4817" s="79"/>
      <c r="AL4817" s="79"/>
      <c r="AM4817" s="79"/>
      <c r="AN4817" s="79"/>
      <c r="AO4817" s="79"/>
      <c r="AP4817" s="79"/>
      <c r="AQ4817" s="79"/>
      <c r="AR4817" s="78"/>
      <c r="AS4817" s="78"/>
      <c r="AT4817" s="79"/>
      <c r="AU4817" s="79"/>
      <c r="AV4817" s="79"/>
      <c r="AW4817" s="79"/>
      <c r="AX4817" s="79"/>
      <c r="AZ4817" s="81"/>
      <c r="BB4817" s="5"/>
      <c r="BC4817" s="5"/>
      <c r="BD4817" s="5"/>
      <c r="BE4817" s="5"/>
      <c r="BF4817" s="5"/>
      <c r="BG4817" s="5"/>
      <c r="BH4817" s="5"/>
      <c r="BI4817" s="5"/>
      <c r="BJ4817" s="5"/>
      <c r="BK4817" s="5"/>
      <c r="BL4817" s="5"/>
      <c r="BM4817" s="5"/>
      <c r="BN4817" s="5"/>
      <c r="BO4817" s="5"/>
      <c r="BP4817" s="5"/>
    </row>
    <row r="4818" spans="35:68" x14ac:dyDescent="0.25">
      <c r="AI4818" s="49"/>
      <c r="AJ4818" s="78"/>
      <c r="AK4818" s="79"/>
      <c r="AL4818" s="79"/>
      <c r="AM4818" s="79"/>
      <c r="AN4818" s="79"/>
      <c r="AO4818" s="79"/>
      <c r="AP4818" s="79"/>
      <c r="AQ4818" s="79"/>
      <c r="AR4818" s="78"/>
      <c r="AS4818" s="78"/>
      <c r="AT4818" s="79"/>
      <c r="AU4818" s="79"/>
      <c r="AV4818" s="79"/>
      <c r="AW4818" s="79"/>
      <c r="AX4818" s="79"/>
      <c r="AZ4818" s="81"/>
      <c r="BB4818" s="5"/>
      <c r="BC4818" s="5"/>
      <c r="BD4818" s="5"/>
      <c r="BE4818" s="5"/>
      <c r="BF4818" s="5"/>
      <c r="BG4818" s="5"/>
      <c r="BH4818" s="5"/>
      <c r="BI4818" s="5"/>
      <c r="BJ4818" s="5"/>
      <c r="BK4818" s="5"/>
      <c r="BL4818" s="5"/>
      <c r="BM4818" s="5"/>
      <c r="BN4818" s="5"/>
      <c r="BO4818" s="5"/>
      <c r="BP4818" s="5"/>
    </row>
    <row r="4819" spans="35:68" x14ac:dyDescent="0.25">
      <c r="AI4819" s="49"/>
      <c r="AJ4819" s="78"/>
      <c r="AK4819" s="79"/>
      <c r="AL4819" s="79"/>
      <c r="AM4819" s="79"/>
      <c r="AN4819" s="79"/>
      <c r="AO4819" s="79"/>
      <c r="AP4819" s="79"/>
      <c r="AQ4819" s="79"/>
      <c r="AR4819" s="78"/>
      <c r="AS4819" s="78"/>
      <c r="AT4819" s="79"/>
      <c r="AU4819" s="79"/>
      <c r="AV4819" s="79"/>
      <c r="AW4819" s="79"/>
      <c r="AX4819" s="79"/>
      <c r="AZ4819" s="81"/>
      <c r="BB4819" s="5"/>
      <c r="BC4819" s="5"/>
      <c r="BD4819" s="5"/>
      <c r="BE4819" s="5"/>
      <c r="BF4819" s="5"/>
      <c r="BG4819" s="5"/>
      <c r="BH4819" s="5"/>
      <c r="BI4819" s="5"/>
      <c r="BJ4819" s="5"/>
      <c r="BK4819" s="5"/>
      <c r="BL4819" s="5"/>
      <c r="BM4819" s="5"/>
      <c r="BN4819" s="5"/>
      <c r="BO4819" s="5"/>
      <c r="BP4819" s="5"/>
    </row>
    <row r="4820" spans="35:68" x14ac:dyDescent="0.25">
      <c r="AI4820" s="49"/>
      <c r="AJ4820" s="78"/>
      <c r="AK4820" s="79"/>
      <c r="AL4820" s="79"/>
      <c r="AM4820" s="79"/>
      <c r="AN4820" s="79"/>
      <c r="AO4820" s="79"/>
      <c r="AP4820" s="79"/>
      <c r="AQ4820" s="79"/>
      <c r="AR4820" s="78"/>
      <c r="AS4820" s="78"/>
      <c r="AT4820" s="79"/>
      <c r="AU4820" s="79"/>
      <c r="AV4820" s="79"/>
      <c r="AW4820" s="79"/>
      <c r="AX4820" s="79"/>
      <c r="AZ4820" s="81"/>
      <c r="BB4820" s="5"/>
      <c r="BC4820" s="5"/>
      <c r="BD4820" s="5"/>
      <c r="BE4820" s="5"/>
      <c r="BF4820" s="5"/>
      <c r="BG4820" s="5"/>
      <c r="BH4820" s="5"/>
      <c r="BI4820" s="5"/>
      <c r="BJ4820" s="5"/>
      <c r="BK4820" s="5"/>
      <c r="BL4820" s="5"/>
      <c r="BM4820" s="5"/>
      <c r="BN4820" s="5"/>
      <c r="BO4820" s="5"/>
      <c r="BP4820" s="5"/>
    </row>
    <row r="4821" spans="35:68" x14ac:dyDescent="0.25">
      <c r="AI4821" s="49"/>
      <c r="AJ4821" s="78"/>
      <c r="AK4821" s="79"/>
      <c r="AL4821" s="79"/>
      <c r="AM4821" s="79"/>
      <c r="AN4821" s="79"/>
      <c r="AO4821" s="79"/>
      <c r="AP4821" s="79"/>
      <c r="AQ4821" s="79"/>
      <c r="AR4821" s="78"/>
      <c r="AS4821" s="78"/>
      <c r="AT4821" s="79"/>
      <c r="AU4821" s="79"/>
      <c r="AV4821" s="79"/>
      <c r="AW4821" s="79"/>
      <c r="AX4821" s="79"/>
      <c r="AZ4821" s="81"/>
      <c r="BB4821" s="5"/>
      <c r="BC4821" s="5"/>
      <c r="BD4821" s="5"/>
      <c r="BE4821" s="5"/>
      <c r="BF4821" s="5"/>
      <c r="BG4821" s="5"/>
      <c r="BH4821" s="5"/>
      <c r="BI4821" s="5"/>
      <c r="BJ4821" s="5"/>
      <c r="BK4821" s="5"/>
      <c r="BL4821" s="5"/>
      <c r="BM4821" s="5"/>
      <c r="BN4821" s="5"/>
      <c r="BO4821" s="5"/>
      <c r="BP4821" s="5"/>
    </row>
    <row r="4822" spans="35:68" x14ac:dyDescent="0.25">
      <c r="AI4822" s="49"/>
      <c r="AJ4822" s="78"/>
      <c r="AK4822" s="79"/>
      <c r="AL4822" s="79"/>
      <c r="AM4822" s="79"/>
      <c r="AN4822" s="79"/>
      <c r="AO4822" s="79"/>
      <c r="AP4822" s="79"/>
      <c r="AQ4822" s="79"/>
      <c r="AR4822" s="78"/>
      <c r="AS4822" s="78"/>
      <c r="AT4822" s="79"/>
      <c r="AU4822" s="79"/>
      <c r="AV4822" s="79"/>
      <c r="AW4822" s="79"/>
      <c r="AX4822" s="79"/>
      <c r="AZ4822" s="81"/>
      <c r="BB4822" s="5"/>
      <c r="BC4822" s="5"/>
      <c r="BD4822" s="5"/>
      <c r="BE4822" s="5"/>
      <c r="BF4822" s="5"/>
      <c r="BG4822" s="5"/>
      <c r="BH4822" s="5"/>
      <c r="BI4822" s="5"/>
      <c r="BJ4822" s="5"/>
      <c r="BK4822" s="5"/>
      <c r="BL4822" s="5"/>
      <c r="BM4822" s="5"/>
      <c r="BN4822" s="5"/>
      <c r="BO4822" s="5"/>
      <c r="BP4822" s="5"/>
    </row>
    <row r="4823" spans="35:68" x14ac:dyDescent="0.25">
      <c r="AI4823" s="49"/>
      <c r="AJ4823" s="78"/>
      <c r="AK4823" s="79"/>
      <c r="AL4823" s="79"/>
      <c r="AM4823" s="79"/>
      <c r="AN4823" s="79"/>
      <c r="AO4823" s="79"/>
      <c r="AP4823" s="79"/>
      <c r="AQ4823" s="79"/>
      <c r="AR4823" s="78"/>
      <c r="AS4823" s="78"/>
      <c r="AT4823" s="79"/>
      <c r="AU4823" s="79"/>
      <c r="AV4823" s="79"/>
      <c r="AW4823" s="79"/>
      <c r="AX4823" s="79"/>
      <c r="AZ4823" s="81"/>
      <c r="BB4823" s="5"/>
      <c r="BC4823" s="5"/>
      <c r="BD4823" s="5"/>
      <c r="BE4823" s="5"/>
      <c r="BF4823" s="5"/>
      <c r="BG4823" s="5"/>
      <c r="BH4823" s="5"/>
      <c r="BI4823" s="5"/>
      <c r="BJ4823" s="5"/>
      <c r="BK4823" s="5"/>
      <c r="BL4823" s="5"/>
      <c r="BM4823" s="5"/>
      <c r="BN4823" s="5"/>
      <c r="BO4823" s="5"/>
      <c r="BP4823" s="5"/>
    </row>
    <row r="4824" spans="35:68" x14ac:dyDescent="0.25">
      <c r="AI4824" s="49"/>
      <c r="AJ4824" s="78"/>
      <c r="AK4824" s="79"/>
      <c r="AL4824" s="79"/>
      <c r="AM4824" s="79"/>
      <c r="AN4824" s="79"/>
      <c r="AO4824" s="79"/>
      <c r="AP4824" s="79"/>
      <c r="AQ4824" s="79"/>
      <c r="AR4824" s="78"/>
      <c r="AS4824" s="78"/>
      <c r="AT4824" s="79"/>
      <c r="AU4824" s="79"/>
      <c r="AV4824" s="79"/>
      <c r="AW4824" s="79"/>
      <c r="AX4824" s="79"/>
      <c r="AZ4824" s="81"/>
      <c r="BB4824" s="5"/>
      <c r="BC4824" s="5"/>
      <c r="BD4824" s="5"/>
      <c r="BE4824" s="5"/>
      <c r="BF4824" s="5"/>
      <c r="BG4824" s="5"/>
      <c r="BH4824" s="5"/>
      <c r="BI4824" s="5"/>
      <c r="BJ4824" s="5"/>
      <c r="BK4824" s="5"/>
      <c r="BL4824" s="5"/>
      <c r="BM4824" s="5"/>
      <c r="BN4824" s="5"/>
      <c r="BO4824" s="5"/>
      <c r="BP4824" s="5"/>
    </row>
    <row r="4825" spans="35:68" x14ac:dyDescent="0.25">
      <c r="AI4825" s="49"/>
      <c r="AJ4825" s="78"/>
      <c r="AK4825" s="79"/>
      <c r="AL4825" s="79"/>
      <c r="AM4825" s="79"/>
      <c r="AN4825" s="79"/>
      <c r="AO4825" s="79"/>
      <c r="AP4825" s="79"/>
      <c r="AQ4825" s="79"/>
      <c r="AR4825" s="78"/>
      <c r="AS4825" s="78"/>
      <c r="AT4825" s="79"/>
      <c r="AU4825" s="79"/>
      <c r="AV4825" s="79"/>
      <c r="AW4825" s="79"/>
      <c r="AX4825" s="79"/>
      <c r="AZ4825" s="81"/>
      <c r="BB4825" s="5"/>
      <c r="BC4825" s="5"/>
      <c r="BD4825" s="5"/>
      <c r="BE4825" s="5"/>
      <c r="BF4825" s="5"/>
      <c r="BG4825" s="5"/>
      <c r="BH4825" s="5"/>
      <c r="BI4825" s="5"/>
      <c r="BJ4825" s="5"/>
      <c r="BK4825" s="5"/>
      <c r="BL4825" s="5"/>
      <c r="BM4825" s="5"/>
      <c r="BN4825" s="5"/>
      <c r="BO4825" s="5"/>
      <c r="BP4825" s="5"/>
    </row>
    <row r="4826" spans="35:68" x14ac:dyDescent="0.25">
      <c r="AI4826" s="49"/>
      <c r="AJ4826" s="78"/>
      <c r="AK4826" s="79"/>
      <c r="AL4826" s="79"/>
      <c r="AM4826" s="79"/>
      <c r="AN4826" s="79"/>
      <c r="AO4826" s="79"/>
      <c r="AP4826" s="79"/>
      <c r="AQ4826" s="79"/>
      <c r="AR4826" s="78"/>
      <c r="AS4826" s="78"/>
      <c r="AT4826" s="79"/>
      <c r="AU4826" s="79"/>
      <c r="AV4826" s="79"/>
      <c r="AW4826" s="79"/>
      <c r="AX4826" s="79"/>
      <c r="AZ4826" s="81"/>
      <c r="BB4826" s="5"/>
      <c r="BC4826" s="5"/>
      <c r="BD4826" s="5"/>
      <c r="BE4826" s="5"/>
      <c r="BF4826" s="5"/>
      <c r="BG4826" s="5"/>
      <c r="BH4826" s="5"/>
      <c r="BI4826" s="5"/>
      <c r="BJ4826" s="5"/>
      <c r="BK4826" s="5"/>
      <c r="BL4826" s="5"/>
      <c r="BM4826" s="5"/>
      <c r="BN4826" s="5"/>
      <c r="BO4826" s="5"/>
      <c r="BP4826" s="5"/>
    </row>
    <row r="4827" spans="35:68" x14ac:dyDescent="0.25">
      <c r="AI4827" s="49"/>
      <c r="AJ4827" s="78"/>
      <c r="AK4827" s="79"/>
      <c r="AL4827" s="79"/>
      <c r="AM4827" s="79"/>
      <c r="AN4827" s="79"/>
      <c r="AO4827" s="79"/>
      <c r="AP4827" s="79"/>
      <c r="AQ4827" s="79"/>
      <c r="AR4827" s="78"/>
      <c r="AS4827" s="78"/>
      <c r="AT4827" s="79"/>
      <c r="AU4827" s="79"/>
      <c r="AV4827" s="79"/>
      <c r="AW4827" s="79"/>
      <c r="AX4827" s="79"/>
      <c r="AZ4827" s="81"/>
      <c r="BB4827" s="5"/>
      <c r="BC4827" s="5"/>
      <c r="BD4827" s="5"/>
      <c r="BE4827" s="5"/>
      <c r="BF4827" s="5"/>
      <c r="BG4827" s="5"/>
      <c r="BH4827" s="5"/>
      <c r="BI4827" s="5"/>
      <c r="BJ4827" s="5"/>
      <c r="BK4827" s="5"/>
      <c r="BL4827" s="5"/>
      <c r="BM4827" s="5"/>
      <c r="BN4827" s="5"/>
      <c r="BO4827" s="5"/>
      <c r="BP4827" s="5"/>
    </row>
    <row r="4828" spans="35:68" x14ac:dyDescent="0.25">
      <c r="AI4828" s="49"/>
      <c r="AJ4828" s="78"/>
      <c r="AK4828" s="79"/>
      <c r="AL4828" s="79"/>
      <c r="AM4828" s="79"/>
      <c r="AN4828" s="79"/>
      <c r="AO4828" s="79"/>
      <c r="AP4828" s="79"/>
      <c r="AQ4828" s="79"/>
      <c r="AR4828" s="78"/>
      <c r="AS4828" s="78"/>
      <c r="AT4828" s="79"/>
      <c r="AU4828" s="79"/>
      <c r="AV4828" s="79"/>
      <c r="AW4828" s="79"/>
      <c r="AX4828" s="79"/>
      <c r="AZ4828" s="81"/>
      <c r="BB4828" s="5"/>
      <c r="BC4828" s="5"/>
      <c r="BD4828" s="5"/>
      <c r="BE4828" s="5"/>
      <c r="BF4828" s="5"/>
      <c r="BG4828" s="5"/>
      <c r="BH4828" s="5"/>
      <c r="BI4828" s="5"/>
      <c r="BJ4828" s="5"/>
      <c r="BK4828" s="5"/>
      <c r="BL4828" s="5"/>
      <c r="BM4828" s="5"/>
      <c r="BN4828" s="5"/>
      <c r="BO4828" s="5"/>
      <c r="BP4828" s="5"/>
    </row>
    <row r="4829" spans="35:68" x14ac:dyDescent="0.25">
      <c r="AI4829" s="49"/>
      <c r="AJ4829" s="78"/>
      <c r="AK4829" s="79"/>
      <c r="AL4829" s="79"/>
      <c r="AM4829" s="79"/>
      <c r="AN4829" s="79"/>
      <c r="AO4829" s="79"/>
      <c r="AP4829" s="79"/>
      <c r="AQ4829" s="79"/>
      <c r="AR4829" s="78"/>
      <c r="AS4829" s="78"/>
      <c r="AT4829" s="79"/>
      <c r="AU4829" s="79"/>
      <c r="AV4829" s="79"/>
      <c r="AW4829" s="79"/>
      <c r="AX4829" s="79"/>
      <c r="AZ4829" s="81"/>
      <c r="BB4829" s="5"/>
      <c r="BC4829" s="5"/>
      <c r="BD4829" s="5"/>
      <c r="BE4829" s="5"/>
      <c r="BF4829" s="5"/>
      <c r="BG4829" s="5"/>
      <c r="BH4829" s="5"/>
      <c r="BI4829" s="5"/>
      <c r="BJ4829" s="5"/>
      <c r="BK4829" s="5"/>
      <c r="BL4829" s="5"/>
      <c r="BM4829" s="5"/>
      <c r="BN4829" s="5"/>
      <c r="BO4829" s="5"/>
      <c r="BP4829" s="5"/>
    </row>
    <row r="4830" spans="35:68" x14ac:dyDescent="0.25">
      <c r="AI4830" s="49"/>
      <c r="AJ4830" s="78"/>
      <c r="AK4830" s="79"/>
      <c r="AL4830" s="79"/>
      <c r="AM4830" s="79"/>
      <c r="AN4830" s="79"/>
      <c r="AO4830" s="79"/>
      <c r="AP4830" s="79"/>
      <c r="AQ4830" s="79"/>
      <c r="AR4830" s="78"/>
      <c r="AS4830" s="78"/>
      <c r="AT4830" s="79"/>
      <c r="AU4830" s="79"/>
      <c r="AV4830" s="79"/>
      <c r="AW4830" s="79"/>
      <c r="AX4830" s="79"/>
      <c r="AZ4830" s="81"/>
      <c r="BB4830" s="5"/>
      <c r="BC4830" s="5"/>
      <c r="BD4830" s="5"/>
      <c r="BE4830" s="5"/>
      <c r="BF4830" s="5"/>
      <c r="BG4830" s="5"/>
      <c r="BH4830" s="5"/>
      <c r="BI4830" s="5"/>
      <c r="BJ4830" s="5"/>
      <c r="BK4830" s="5"/>
      <c r="BL4830" s="5"/>
      <c r="BM4830" s="5"/>
      <c r="BN4830" s="5"/>
      <c r="BO4830" s="5"/>
      <c r="BP4830" s="5"/>
    </row>
    <row r="4831" spans="35:68" x14ac:dyDescent="0.25">
      <c r="AI4831" s="49"/>
      <c r="AJ4831" s="78"/>
      <c r="AK4831" s="79"/>
      <c r="AL4831" s="79"/>
      <c r="AM4831" s="79"/>
      <c r="AN4831" s="79"/>
      <c r="AO4831" s="79"/>
      <c r="AP4831" s="79"/>
      <c r="AQ4831" s="79"/>
      <c r="AR4831" s="78"/>
      <c r="AS4831" s="78"/>
      <c r="AT4831" s="79"/>
      <c r="AU4831" s="79"/>
      <c r="AV4831" s="79"/>
      <c r="AW4831" s="79"/>
      <c r="AX4831" s="79"/>
      <c r="AZ4831" s="81"/>
      <c r="BB4831" s="5"/>
      <c r="BC4831" s="5"/>
      <c r="BD4831" s="5"/>
      <c r="BE4831" s="5"/>
      <c r="BF4831" s="5"/>
      <c r="BG4831" s="5"/>
      <c r="BH4831" s="5"/>
      <c r="BI4831" s="5"/>
      <c r="BJ4831" s="5"/>
      <c r="BK4831" s="5"/>
      <c r="BL4831" s="5"/>
      <c r="BM4831" s="5"/>
      <c r="BN4831" s="5"/>
      <c r="BO4831" s="5"/>
      <c r="BP4831" s="5"/>
    </row>
    <row r="4832" spans="35:68" x14ac:dyDescent="0.25">
      <c r="AI4832" s="49"/>
      <c r="AJ4832" s="78"/>
      <c r="AK4832" s="79"/>
      <c r="AL4832" s="79"/>
      <c r="AM4832" s="79"/>
      <c r="AN4832" s="79"/>
      <c r="AO4832" s="79"/>
      <c r="AP4832" s="79"/>
      <c r="AQ4832" s="79"/>
      <c r="AR4832" s="78"/>
      <c r="AS4832" s="78"/>
      <c r="AT4832" s="79"/>
      <c r="AU4832" s="79"/>
      <c r="AV4832" s="79"/>
      <c r="AW4832" s="79"/>
      <c r="AX4832" s="79"/>
      <c r="AZ4832" s="81"/>
      <c r="BB4832" s="5"/>
      <c r="BC4832" s="5"/>
      <c r="BD4832" s="5"/>
      <c r="BE4832" s="5"/>
      <c r="BF4832" s="5"/>
      <c r="BG4832" s="5"/>
      <c r="BH4832" s="5"/>
      <c r="BI4832" s="5"/>
      <c r="BJ4832" s="5"/>
      <c r="BK4832" s="5"/>
      <c r="BL4832" s="5"/>
      <c r="BM4832" s="5"/>
      <c r="BN4832" s="5"/>
      <c r="BO4832" s="5"/>
      <c r="BP4832" s="5"/>
    </row>
    <row r="4833" spans="35:68" x14ac:dyDescent="0.25">
      <c r="AI4833" s="49"/>
      <c r="AJ4833" s="78"/>
      <c r="AK4833" s="79"/>
      <c r="AL4833" s="79"/>
      <c r="AM4833" s="79"/>
      <c r="AN4833" s="79"/>
      <c r="AO4833" s="79"/>
      <c r="AP4833" s="79"/>
      <c r="AQ4833" s="79"/>
      <c r="AR4833" s="78"/>
      <c r="AS4833" s="78"/>
      <c r="AT4833" s="79"/>
      <c r="AU4833" s="79"/>
      <c r="AV4833" s="79"/>
      <c r="AW4833" s="79"/>
      <c r="AX4833" s="79"/>
      <c r="AZ4833" s="81"/>
      <c r="BB4833" s="5"/>
      <c r="BC4833" s="5"/>
      <c r="BD4833" s="5"/>
      <c r="BE4833" s="5"/>
      <c r="BF4833" s="5"/>
      <c r="BG4833" s="5"/>
      <c r="BH4833" s="5"/>
      <c r="BI4833" s="5"/>
      <c r="BJ4833" s="5"/>
      <c r="BK4833" s="5"/>
      <c r="BL4833" s="5"/>
      <c r="BM4833" s="5"/>
      <c r="BN4833" s="5"/>
      <c r="BO4833" s="5"/>
      <c r="BP4833" s="5"/>
    </row>
    <row r="4834" spans="35:68" x14ac:dyDescent="0.25">
      <c r="AI4834" s="49"/>
      <c r="AJ4834" s="78"/>
      <c r="AK4834" s="79"/>
      <c r="AL4834" s="79"/>
      <c r="AM4834" s="79"/>
      <c r="AN4834" s="79"/>
      <c r="AO4834" s="79"/>
      <c r="AP4834" s="79"/>
      <c r="AQ4834" s="79"/>
      <c r="AR4834" s="78"/>
      <c r="AS4834" s="78"/>
      <c r="AT4834" s="79"/>
      <c r="AU4834" s="79"/>
      <c r="AV4834" s="79"/>
      <c r="AW4834" s="79"/>
      <c r="AX4834" s="79"/>
      <c r="AZ4834" s="81"/>
      <c r="BB4834" s="5"/>
      <c r="BC4834" s="5"/>
      <c r="BD4834" s="5"/>
      <c r="BE4834" s="5"/>
      <c r="BF4834" s="5"/>
      <c r="BG4834" s="5"/>
      <c r="BH4834" s="5"/>
      <c r="BI4834" s="5"/>
      <c r="BJ4834" s="5"/>
      <c r="BK4834" s="5"/>
      <c r="BL4834" s="5"/>
      <c r="BM4834" s="5"/>
      <c r="BN4834" s="5"/>
      <c r="BO4834" s="5"/>
      <c r="BP4834" s="5"/>
    </row>
    <row r="4835" spans="35:68" x14ac:dyDescent="0.25">
      <c r="AI4835" s="49"/>
      <c r="AJ4835" s="78"/>
      <c r="AK4835" s="79"/>
      <c r="AL4835" s="79"/>
      <c r="AM4835" s="79"/>
      <c r="AN4835" s="79"/>
      <c r="AO4835" s="79"/>
      <c r="AP4835" s="79"/>
      <c r="AQ4835" s="79"/>
      <c r="AR4835" s="78"/>
      <c r="AS4835" s="78"/>
      <c r="AT4835" s="79"/>
      <c r="AU4835" s="79"/>
      <c r="AV4835" s="79"/>
      <c r="AW4835" s="79"/>
      <c r="AX4835" s="79"/>
      <c r="AZ4835" s="81"/>
      <c r="BB4835" s="5"/>
      <c r="BC4835" s="5"/>
      <c r="BD4835" s="5"/>
      <c r="BE4835" s="5"/>
      <c r="BF4835" s="5"/>
      <c r="BG4835" s="5"/>
      <c r="BH4835" s="5"/>
      <c r="BI4835" s="5"/>
      <c r="BJ4835" s="5"/>
      <c r="BK4835" s="5"/>
      <c r="BL4835" s="5"/>
      <c r="BM4835" s="5"/>
      <c r="BN4835" s="5"/>
      <c r="BO4835" s="5"/>
      <c r="BP4835" s="5"/>
    </row>
    <row r="4836" spans="35:68" x14ac:dyDescent="0.25">
      <c r="AI4836" s="49"/>
      <c r="AJ4836" s="78"/>
      <c r="AK4836" s="79"/>
      <c r="AL4836" s="79"/>
      <c r="AM4836" s="79"/>
      <c r="AN4836" s="79"/>
      <c r="AO4836" s="79"/>
      <c r="AP4836" s="79"/>
      <c r="AQ4836" s="79"/>
      <c r="AR4836" s="78"/>
      <c r="AS4836" s="78"/>
      <c r="AT4836" s="79"/>
      <c r="AU4836" s="79"/>
      <c r="AV4836" s="79"/>
      <c r="AW4836" s="79"/>
      <c r="AX4836" s="79"/>
      <c r="AZ4836" s="81"/>
      <c r="BB4836" s="5"/>
      <c r="BC4836" s="5"/>
      <c r="BD4836" s="5"/>
      <c r="BE4836" s="5"/>
      <c r="BF4836" s="5"/>
      <c r="BG4836" s="5"/>
      <c r="BH4836" s="5"/>
      <c r="BI4836" s="5"/>
      <c r="BJ4836" s="5"/>
      <c r="BK4836" s="5"/>
      <c r="BL4836" s="5"/>
      <c r="BM4836" s="5"/>
      <c r="BN4836" s="5"/>
      <c r="BO4836" s="5"/>
      <c r="BP4836" s="5"/>
    </row>
    <row r="4837" spans="35:68" x14ac:dyDescent="0.25">
      <c r="AI4837" s="49"/>
      <c r="AJ4837" s="78"/>
      <c r="AK4837" s="79"/>
      <c r="AL4837" s="79"/>
      <c r="AM4837" s="79"/>
      <c r="AN4837" s="79"/>
      <c r="AO4837" s="79"/>
      <c r="AP4837" s="79"/>
      <c r="AQ4837" s="79"/>
      <c r="AR4837" s="78"/>
      <c r="AS4837" s="78"/>
      <c r="AT4837" s="79"/>
      <c r="AU4837" s="79"/>
      <c r="AV4837" s="79"/>
      <c r="AW4837" s="79"/>
      <c r="AX4837" s="79"/>
      <c r="AZ4837" s="81"/>
      <c r="BB4837" s="5"/>
      <c r="BC4837" s="5"/>
      <c r="BD4837" s="5"/>
      <c r="BE4837" s="5"/>
      <c r="BF4837" s="5"/>
      <c r="BG4837" s="5"/>
      <c r="BH4837" s="5"/>
      <c r="BI4837" s="5"/>
      <c r="BJ4837" s="5"/>
      <c r="BK4837" s="5"/>
      <c r="BL4837" s="5"/>
      <c r="BM4837" s="5"/>
      <c r="BN4837" s="5"/>
      <c r="BO4837" s="5"/>
      <c r="BP4837" s="5"/>
    </row>
    <row r="4838" spans="35:68" x14ac:dyDescent="0.25">
      <c r="AI4838" s="49"/>
      <c r="AJ4838" s="78"/>
      <c r="AK4838" s="79"/>
      <c r="AL4838" s="79"/>
      <c r="AM4838" s="79"/>
      <c r="AN4838" s="79"/>
      <c r="AO4838" s="79"/>
      <c r="AP4838" s="79"/>
      <c r="AQ4838" s="79"/>
      <c r="AR4838" s="78"/>
      <c r="AS4838" s="78"/>
      <c r="AT4838" s="79"/>
      <c r="AU4838" s="79"/>
      <c r="AV4838" s="79"/>
      <c r="AW4838" s="79"/>
      <c r="AX4838" s="79"/>
      <c r="AZ4838" s="81"/>
      <c r="BB4838" s="5"/>
      <c r="BC4838" s="5"/>
      <c r="BD4838" s="5"/>
      <c r="BE4838" s="5"/>
      <c r="BF4838" s="5"/>
      <c r="BG4838" s="5"/>
      <c r="BH4838" s="5"/>
      <c r="BI4838" s="5"/>
      <c r="BJ4838" s="5"/>
      <c r="BK4838" s="5"/>
      <c r="BL4838" s="5"/>
      <c r="BM4838" s="5"/>
      <c r="BN4838" s="5"/>
      <c r="BO4838" s="5"/>
      <c r="BP4838" s="5"/>
    </row>
    <row r="4839" spans="35:68" x14ac:dyDescent="0.25">
      <c r="AI4839" s="49"/>
      <c r="AJ4839" s="78"/>
      <c r="AK4839" s="79"/>
      <c r="AL4839" s="79"/>
      <c r="AM4839" s="79"/>
      <c r="AN4839" s="79"/>
      <c r="AO4839" s="79"/>
      <c r="AP4839" s="79"/>
      <c r="AQ4839" s="79"/>
      <c r="AR4839" s="78"/>
      <c r="AS4839" s="78"/>
      <c r="AT4839" s="79"/>
      <c r="AU4839" s="79"/>
      <c r="AV4839" s="79"/>
      <c r="AW4839" s="79"/>
      <c r="AX4839" s="79"/>
      <c r="AZ4839" s="81"/>
      <c r="BB4839" s="5"/>
      <c r="BC4839" s="5"/>
      <c r="BD4839" s="5"/>
      <c r="BE4839" s="5"/>
      <c r="BF4839" s="5"/>
      <c r="BG4839" s="5"/>
      <c r="BH4839" s="5"/>
      <c r="BI4839" s="5"/>
      <c r="BJ4839" s="5"/>
      <c r="BK4839" s="5"/>
      <c r="BL4839" s="5"/>
      <c r="BM4839" s="5"/>
      <c r="BN4839" s="5"/>
      <c r="BO4839" s="5"/>
      <c r="BP4839" s="5"/>
    </row>
    <row r="4840" spans="35:68" x14ac:dyDescent="0.25">
      <c r="AI4840" s="49"/>
      <c r="AJ4840" s="78"/>
      <c r="AK4840" s="79"/>
      <c r="AL4840" s="79"/>
      <c r="AM4840" s="79"/>
      <c r="AN4840" s="79"/>
      <c r="AO4840" s="79"/>
      <c r="AP4840" s="79"/>
      <c r="AQ4840" s="79"/>
      <c r="AR4840" s="78"/>
      <c r="AS4840" s="78"/>
      <c r="AT4840" s="79"/>
      <c r="AU4840" s="79"/>
      <c r="AV4840" s="79"/>
      <c r="AW4840" s="79"/>
      <c r="AX4840" s="79"/>
      <c r="AZ4840" s="81"/>
      <c r="BB4840" s="5"/>
      <c r="BC4840" s="5"/>
      <c r="BD4840" s="5"/>
      <c r="BE4840" s="5"/>
      <c r="BF4840" s="5"/>
      <c r="BG4840" s="5"/>
      <c r="BH4840" s="5"/>
      <c r="BI4840" s="5"/>
      <c r="BJ4840" s="5"/>
      <c r="BK4840" s="5"/>
      <c r="BL4840" s="5"/>
      <c r="BM4840" s="5"/>
      <c r="BN4840" s="5"/>
      <c r="BO4840" s="5"/>
      <c r="BP4840" s="5"/>
    </row>
    <row r="4841" spans="35:68" x14ac:dyDescent="0.25">
      <c r="AI4841" s="49"/>
      <c r="AJ4841" s="78"/>
      <c r="AK4841" s="79"/>
      <c r="AL4841" s="79"/>
      <c r="AM4841" s="79"/>
      <c r="AN4841" s="79"/>
      <c r="AO4841" s="79"/>
      <c r="AP4841" s="79"/>
      <c r="AQ4841" s="79"/>
      <c r="AR4841" s="78"/>
      <c r="AS4841" s="78"/>
      <c r="AT4841" s="79"/>
      <c r="AU4841" s="79"/>
      <c r="AV4841" s="79"/>
      <c r="AW4841" s="79"/>
      <c r="AX4841" s="79"/>
      <c r="AZ4841" s="81"/>
      <c r="BB4841" s="5"/>
      <c r="BC4841" s="5"/>
      <c r="BD4841" s="5"/>
      <c r="BE4841" s="5"/>
      <c r="BF4841" s="5"/>
      <c r="BG4841" s="5"/>
      <c r="BH4841" s="5"/>
      <c r="BI4841" s="5"/>
      <c r="BJ4841" s="5"/>
      <c r="BK4841" s="5"/>
      <c r="BL4841" s="5"/>
      <c r="BM4841" s="5"/>
      <c r="BN4841" s="5"/>
      <c r="BO4841" s="5"/>
      <c r="BP4841" s="5"/>
    </row>
    <row r="4842" spans="35:68" x14ac:dyDescent="0.25">
      <c r="AI4842" s="49"/>
      <c r="AJ4842" s="78"/>
      <c r="AK4842" s="79"/>
      <c r="AL4842" s="79"/>
      <c r="AM4842" s="79"/>
      <c r="AN4842" s="79"/>
      <c r="AO4842" s="79"/>
      <c r="AP4842" s="79"/>
      <c r="AQ4842" s="79"/>
      <c r="AR4842" s="78"/>
      <c r="AS4842" s="78"/>
      <c r="AT4842" s="79"/>
      <c r="AU4842" s="79"/>
      <c r="AV4842" s="79"/>
      <c r="AW4842" s="79"/>
      <c r="AX4842" s="79"/>
      <c r="AZ4842" s="81"/>
      <c r="BB4842" s="5"/>
      <c r="BC4842" s="5"/>
      <c r="BD4842" s="5"/>
      <c r="BE4842" s="5"/>
      <c r="BF4842" s="5"/>
      <c r="BG4842" s="5"/>
      <c r="BH4842" s="5"/>
      <c r="BI4842" s="5"/>
      <c r="BJ4842" s="5"/>
      <c r="BK4842" s="5"/>
      <c r="BL4842" s="5"/>
      <c r="BM4842" s="5"/>
      <c r="BN4842" s="5"/>
      <c r="BO4842" s="5"/>
      <c r="BP4842" s="5"/>
    </row>
    <row r="4843" spans="35:68" x14ac:dyDescent="0.25">
      <c r="AI4843" s="49"/>
      <c r="AJ4843" s="78"/>
      <c r="AK4843" s="79"/>
      <c r="AL4843" s="79"/>
      <c r="AM4843" s="79"/>
      <c r="AN4843" s="79"/>
      <c r="AO4843" s="79"/>
      <c r="AP4843" s="79"/>
      <c r="AQ4843" s="79"/>
      <c r="AR4843" s="78"/>
      <c r="AS4843" s="78"/>
      <c r="AT4843" s="79"/>
      <c r="AU4843" s="79"/>
      <c r="AV4843" s="79"/>
      <c r="AW4843" s="79"/>
      <c r="AX4843" s="79"/>
      <c r="AZ4843" s="81"/>
      <c r="BB4843" s="5"/>
      <c r="BC4843" s="5"/>
      <c r="BD4843" s="5"/>
      <c r="BE4843" s="5"/>
      <c r="BF4843" s="5"/>
      <c r="BG4843" s="5"/>
      <c r="BH4843" s="5"/>
      <c r="BI4843" s="5"/>
      <c r="BJ4843" s="5"/>
      <c r="BK4843" s="5"/>
      <c r="BL4843" s="5"/>
      <c r="BM4843" s="5"/>
      <c r="BN4843" s="5"/>
      <c r="BO4843" s="5"/>
      <c r="BP4843" s="5"/>
    </row>
    <row r="4844" spans="35:68" x14ac:dyDescent="0.25">
      <c r="AI4844" s="49"/>
      <c r="AJ4844" s="78"/>
      <c r="AK4844" s="79"/>
      <c r="AL4844" s="79"/>
      <c r="AM4844" s="79"/>
      <c r="AN4844" s="79"/>
      <c r="AO4844" s="79"/>
      <c r="AP4844" s="79"/>
      <c r="AQ4844" s="79"/>
      <c r="AR4844" s="78"/>
      <c r="AS4844" s="78"/>
      <c r="AT4844" s="79"/>
      <c r="AU4844" s="79"/>
      <c r="AV4844" s="79"/>
      <c r="AW4844" s="79"/>
      <c r="AX4844" s="79"/>
      <c r="AZ4844" s="81"/>
      <c r="BB4844" s="5"/>
      <c r="BC4844" s="5"/>
      <c r="BD4844" s="5"/>
      <c r="BE4844" s="5"/>
      <c r="BF4844" s="5"/>
      <c r="BG4844" s="5"/>
      <c r="BH4844" s="5"/>
      <c r="BI4844" s="5"/>
      <c r="BJ4844" s="5"/>
      <c r="BK4844" s="5"/>
      <c r="BL4844" s="5"/>
      <c r="BM4844" s="5"/>
      <c r="BN4844" s="5"/>
      <c r="BO4844" s="5"/>
      <c r="BP4844" s="5"/>
    </row>
    <row r="4845" spans="35:68" x14ac:dyDescent="0.25">
      <c r="AI4845" s="49"/>
      <c r="AJ4845" s="78"/>
      <c r="AK4845" s="79"/>
      <c r="AL4845" s="79"/>
      <c r="AM4845" s="79"/>
      <c r="AN4845" s="79"/>
      <c r="AO4845" s="79"/>
      <c r="AP4845" s="79"/>
      <c r="AQ4845" s="79"/>
      <c r="AR4845" s="78"/>
      <c r="AS4845" s="78"/>
      <c r="AT4845" s="79"/>
      <c r="AU4845" s="79"/>
      <c r="AV4845" s="79"/>
      <c r="AW4845" s="79"/>
      <c r="AX4845" s="79"/>
      <c r="AZ4845" s="81"/>
      <c r="BB4845" s="5"/>
      <c r="BC4845" s="5"/>
      <c r="BD4845" s="5"/>
      <c r="BE4845" s="5"/>
      <c r="BF4845" s="5"/>
      <c r="BG4845" s="5"/>
      <c r="BH4845" s="5"/>
      <c r="BI4845" s="5"/>
      <c r="BJ4845" s="5"/>
      <c r="BK4845" s="5"/>
      <c r="BL4845" s="5"/>
      <c r="BM4845" s="5"/>
      <c r="BN4845" s="5"/>
      <c r="BO4845" s="5"/>
      <c r="BP4845" s="5"/>
    </row>
    <row r="4846" spans="35:68" x14ac:dyDescent="0.25">
      <c r="AI4846" s="49"/>
      <c r="AJ4846" s="78"/>
      <c r="AK4846" s="79"/>
      <c r="AL4846" s="79"/>
      <c r="AM4846" s="79"/>
      <c r="AN4846" s="79"/>
      <c r="AO4846" s="79"/>
      <c r="AP4846" s="79"/>
      <c r="AQ4846" s="79"/>
      <c r="AR4846" s="78"/>
      <c r="AS4846" s="78"/>
      <c r="AT4846" s="79"/>
      <c r="AU4846" s="79"/>
      <c r="AV4846" s="79"/>
      <c r="AW4846" s="79"/>
      <c r="AX4846" s="79"/>
      <c r="AZ4846" s="81"/>
      <c r="BB4846" s="5"/>
      <c r="BC4846" s="5"/>
      <c r="BD4846" s="5"/>
      <c r="BE4846" s="5"/>
      <c r="BF4846" s="5"/>
      <c r="BG4846" s="5"/>
      <c r="BH4846" s="5"/>
      <c r="BI4846" s="5"/>
      <c r="BJ4846" s="5"/>
      <c r="BK4846" s="5"/>
      <c r="BL4846" s="5"/>
      <c r="BM4846" s="5"/>
      <c r="BN4846" s="5"/>
      <c r="BO4846" s="5"/>
      <c r="BP4846" s="5"/>
    </row>
    <row r="4847" spans="35:68" x14ac:dyDescent="0.25">
      <c r="AI4847" s="49"/>
      <c r="AJ4847" s="78"/>
      <c r="AK4847" s="79"/>
      <c r="AL4847" s="79"/>
      <c r="AM4847" s="79"/>
      <c r="AN4847" s="79"/>
      <c r="AO4847" s="79"/>
      <c r="AP4847" s="79"/>
      <c r="AQ4847" s="79"/>
      <c r="AR4847" s="78"/>
      <c r="AS4847" s="78"/>
      <c r="AT4847" s="79"/>
      <c r="AU4847" s="79"/>
      <c r="AV4847" s="79"/>
      <c r="AW4847" s="79"/>
      <c r="AX4847" s="79"/>
      <c r="AZ4847" s="81"/>
      <c r="BB4847" s="5"/>
      <c r="BC4847" s="5"/>
      <c r="BD4847" s="5"/>
      <c r="BE4847" s="5"/>
      <c r="BF4847" s="5"/>
      <c r="BG4847" s="5"/>
      <c r="BH4847" s="5"/>
      <c r="BI4847" s="5"/>
      <c r="BJ4847" s="5"/>
      <c r="BK4847" s="5"/>
      <c r="BL4847" s="5"/>
      <c r="BM4847" s="5"/>
      <c r="BN4847" s="5"/>
      <c r="BO4847" s="5"/>
      <c r="BP4847" s="5"/>
    </row>
    <row r="4848" spans="35:68" x14ac:dyDescent="0.25">
      <c r="AI4848" s="49"/>
      <c r="AJ4848" s="78"/>
      <c r="AK4848" s="79"/>
      <c r="AL4848" s="79"/>
      <c r="AM4848" s="79"/>
      <c r="AN4848" s="79"/>
      <c r="AO4848" s="79"/>
      <c r="AP4848" s="79"/>
      <c r="AQ4848" s="79"/>
      <c r="AR4848" s="78"/>
      <c r="AS4848" s="78"/>
      <c r="AT4848" s="79"/>
      <c r="AU4848" s="79"/>
      <c r="AV4848" s="79"/>
      <c r="AW4848" s="79"/>
      <c r="AX4848" s="79"/>
      <c r="AZ4848" s="81"/>
      <c r="BB4848" s="5"/>
      <c r="BC4848" s="5"/>
      <c r="BD4848" s="5"/>
      <c r="BE4848" s="5"/>
      <c r="BF4848" s="5"/>
      <c r="BG4848" s="5"/>
      <c r="BH4848" s="5"/>
      <c r="BI4848" s="5"/>
      <c r="BJ4848" s="5"/>
      <c r="BK4848" s="5"/>
      <c r="BL4848" s="5"/>
      <c r="BM4848" s="5"/>
      <c r="BN4848" s="5"/>
      <c r="BO4848" s="5"/>
      <c r="BP4848" s="5"/>
    </row>
    <row r="4849" spans="35:68" x14ac:dyDescent="0.25">
      <c r="AI4849" s="49"/>
      <c r="AJ4849" s="78"/>
      <c r="AK4849" s="79"/>
      <c r="AL4849" s="79"/>
      <c r="AM4849" s="79"/>
      <c r="AN4849" s="79"/>
      <c r="AO4849" s="79"/>
      <c r="AP4849" s="79"/>
      <c r="AQ4849" s="79"/>
      <c r="AR4849" s="78"/>
      <c r="AS4849" s="78"/>
      <c r="AT4849" s="79"/>
      <c r="AU4849" s="79"/>
      <c r="AV4849" s="79"/>
      <c r="AW4849" s="79"/>
      <c r="AX4849" s="79"/>
      <c r="AZ4849" s="81"/>
      <c r="BB4849" s="5"/>
      <c r="BC4849" s="5"/>
      <c r="BD4849" s="5"/>
      <c r="BE4849" s="5"/>
      <c r="BF4849" s="5"/>
      <c r="BG4849" s="5"/>
      <c r="BH4849" s="5"/>
      <c r="BI4849" s="5"/>
      <c r="BJ4849" s="5"/>
      <c r="BK4849" s="5"/>
      <c r="BL4849" s="5"/>
      <c r="BM4849" s="5"/>
      <c r="BN4849" s="5"/>
      <c r="BO4849" s="5"/>
      <c r="BP4849" s="5"/>
    </row>
    <row r="4850" spans="35:68" x14ac:dyDescent="0.25">
      <c r="AI4850" s="49"/>
      <c r="AJ4850" s="78"/>
      <c r="AK4850" s="79"/>
      <c r="AL4850" s="79"/>
      <c r="AM4850" s="79"/>
      <c r="AN4850" s="79"/>
      <c r="AO4850" s="79"/>
      <c r="AP4850" s="79"/>
      <c r="AQ4850" s="79"/>
      <c r="AR4850" s="78"/>
      <c r="AS4850" s="78"/>
      <c r="AT4850" s="79"/>
      <c r="AU4850" s="79"/>
      <c r="AV4850" s="79"/>
      <c r="AW4850" s="79"/>
      <c r="AX4850" s="79"/>
      <c r="AZ4850" s="81"/>
      <c r="BB4850" s="5"/>
      <c r="BC4850" s="5"/>
      <c r="BD4850" s="5"/>
      <c r="BE4850" s="5"/>
      <c r="BF4850" s="5"/>
      <c r="BG4850" s="5"/>
      <c r="BH4850" s="5"/>
      <c r="BI4850" s="5"/>
      <c r="BJ4850" s="5"/>
      <c r="BK4850" s="5"/>
      <c r="BL4850" s="5"/>
      <c r="BM4850" s="5"/>
      <c r="BN4850" s="5"/>
      <c r="BO4850" s="5"/>
      <c r="BP4850" s="5"/>
    </row>
    <row r="4851" spans="35:68" x14ac:dyDescent="0.25">
      <c r="AI4851" s="49"/>
      <c r="AJ4851" s="78"/>
      <c r="AK4851" s="79"/>
      <c r="AL4851" s="79"/>
      <c r="AM4851" s="79"/>
      <c r="AN4851" s="79"/>
      <c r="AO4851" s="79"/>
      <c r="AP4851" s="79"/>
      <c r="AQ4851" s="79"/>
      <c r="AR4851" s="78"/>
      <c r="AS4851" s="78"/>
      <c r="AT4851" s="79"/>
      <c r="AU4851" s="79"/>
      <c r="AV4851" s="79"/>
      <c r="AW4851" s="79"/>
      <c r="AX4851" s="79"/>
      <c r="AZ4851" s="81"/>
      <c r="BB4851" s="5"/>
      <c r="BC4851" s="5"/>
      <c r="BD4851" s="5"/>
      <c r="BE4851" s="5"/>
      <c r="BF4851" s="5"/>
      <c r="BG4851" s="5"/>
      <c r="BH4851" s="5"/>
      <c r="BI4851" s="5"/>
      <c r="BJ4851" s="5"/>
      <c r="BK4851" s="5"/>
      <c r="BL4851" s="5"/>
      <c r="BM4851" s="5"/>
      <c r="BN4851" s="5"/>
      <c r="BO4851" s="5"/>
      <c r="BP4851" s="5"/>
    </row>
    <row r="4852" spans="35:68" x14ac:dyDescent="0.25">
      <c r="AI4852" s="49"/>
      <c r="AJ4852" s="78"/>
      <c r="AK4852" s="79"/>
      <c r="AL4852" s="79"/>
      <c r="AM4852" s="79"/>
      <c r="AN4852" s="79"/>
      <c r="AO4852" s="79"/>
      <c r="AP4852" s="79"/>
      <c r="AQ4852" s="79"/>
      <c r="AR4852" s="78"/>
      <c r="AS4852" s="78"/>
      <c r="AT4852" s="79"/>
      <c r="AU4852" s="79"/>
      <c r="AV4852" s="79"/>
      <c r="AW4852" s="79"/>
      <c r="AX4852" s="79"/>
      <c r="AZ4852" s="81"/>
      <c r="BB4852" s="5"/>
      <c r="BC4852" s="5"/>
      <c r="BD4852" s="5"/>
      <c r="BE4852" s="5"/>
      <c r="BF4852" s="5"/>
      <c r="BG4852" s="5"/>
      <c r="BH4852" s="5"/>
      <c r="BI4852" s="5"/>
      <c r="BJ4852" s="5"/>
      <c r="BK4852" s="5"/>
      <c r="BL4852" s="5"/>
      <c r="BM4852" s="5"/>
      <c r="BN4852" s="5"/>
      <c r="BO4852" s="5"/>
      <c r="BP4852" s="5"/>
    </row>
    <row r="4853" spans="35:68" x14ac:dyDescent="0.25">
      <c r="AI4853" s="49"/>
      <c r="AJ4853" s="78"/>
      <c r="AK4853" s="79"/>
      <c r="AL4853" s="79"/>
      <c r="AM4853" s="79"/>
      <c r="AN4853" s="79"/>
      <c r="AO4853" s="79"/>
      <c r="AP4853" s="79"/>
      <c r="AQ4853" s="79"/>
      <c r="AR4853" s="78"/>
      <c r="AS4853" s="78"/>
      <c r="AT4853" s="79"/>
      <c r="AU4853" s="79"/>
      <c r="AV4853" s="79"/>
      <c r="AW4853" s="79"/>
      <c r="AX4853" s="79"/>
      <c r="AZ4853" s="81"/>
      <c r="BB4853" s="5"/>
      <c r="BC4853" s="5"/>
      <c r="BD4853" s="5"/>
      <c r="BE4853" s="5"/>
      <c r="BF4853" s="5"/>
      <c r="BG4853" s="5"/>
      <c r="BH4853" s="5"/>
      <c r="BI4853" s="5"/>
      <c r="BJ4853" s="5"/>
      <c r="BK4853" s="5"/>
      <c r="BL4853" s="5"/>
      <c r="BM4853" s="5"/>
      <c r="BN4853" s="5"/>
      <c r="BO4853" s="5"/>
      <c r="BP4853" s="5"/>
    </row>
    <row r="4854" spans="35:68" x14ac:dyDescent="0.25">
      <c r="AI4854" s="49"/>
      <c r="AJ4854" s="78"/>
      <c r="AK4854" s="79"/>
      <c r="AL4854" s="79"/>
      <c r="AM4854" s="79"/>
      <c r="AN4854" s="79"/>
      <c r="AO4854" s="79"/>
      <c r="AP4854" s="79"/>
      <c r="AQ4854" s="79"/>
      <c r="AR4854" s="78"/>
      <c r="AS4854" s="78"/>
      <c r="AT4854" s="79"/>
      <c r="AU4854" s="79"/>
      <c r="AV4854" s="79"/>
      <c r="AW4854" s="79"/>
      <c r="AX4854" s="79"/>
      <c r="AZ4854" s="81"/>
      <c r="BB4854" s="5"/>
      <c r="BC4854" s="5"/>
      <c r="BD4854" s="5"/>
      <c r="BE4854" s="5"/>
      <c r="BF4854" s="5"/>
      <c r="BG4854" s="5"/>
      <c r="BH4854" s="5"/>
      <c r="BI4854" s="5"/>
      <c r="BJ4854" s="5"/>
      <c r="BK4854" s="5"/>
      <c r="BL4854" s="5"/>
      <c r="BM4854" s="5"/>
      <c r="BN4854" s="5"/>
      <c r="BO4854" s="5"/>
      <c r="BP4854" s="5"/>
    </row>
    <row r="4855" spans="35:68" x14ac:dyDescent="0.25">
      <c r="AI4855" s="49"/>
      <c r="AJ4855" s="78"/>
      <c r="AK4855" s="79"/>
      <c r="AL4855" s="79"/>
      <c r="AM4855" s="79"/>
      <c r="AN4855" s="79"/>
      <c r="AO4855" s="79"/>
      <c r="AP4855" s="79"/>
      <c r="AQ4855" s="79"/>
      <c r="AR4855" s="78"/>
      <c r="AS4855" s="78"/>
      <c r="AT4855" s="79"/>
      <c r="AU4855" s="79"/>
      <c r="AV4855" s="79"/>
      <c r="AW4855" s="79"/>
      <c r="AX4855" s="79"/>
      <c r="AZ4855" s="81"/>
      <c r="BB4855" s="5"/>
      <c r="BC4855" s="5"/>
      <c r="BD4855" s="5"/>
      <c r="BE4855" s="5"/>
      <c r="BF4855" s="5"/>
      <c r="BG4855" s="5"/>
      <c r="BH4855" s="5"/>
      <c r="BI4855" s="5"/>
      <c r="BJ4855" s="5"/>
      <c r="BK4855" s="5"/>
      <c r="BL4855" s="5"/>
      <c r="BM4855" s="5"/>
      <c r="BN4855" s="5"/>
      <c r="BO4855" s="5"/>
      <c r="BP4855" s="5"/>
    </row>
    <row r="4856" spans="35:68" x14ac:dyDescent="0.25">
      <c r="AI4856" s="49"/>
      <c r="AJ4856" s="78"/>
      <c r="AK4856" s="79"/>
      <c r="AL4856" s="79"/>
      <c r="AM4856" s="79"/>
      <c r="AN4856" s="79"/>
      <c r="AO4856" s="79"/>
      <c r="AP4856" s="79"/>
      <c r="AQ4856" s="79"/>
      <c r="AR4856" s="78"/>
      <c r="AS4856" s="78"/>
      <c r="AT4856" s="79"/>
      <c r="AU4856" s="79"/>
      <c r="AV4856" s="79"/>
      <c r="AW4856" s="79"/>
      <c r="AX4856" s="79"/>
      <c r="AZ4856" s="81"/>
      <c r="BB4856" s="5"/>
      <c r="BC4856" s="5"/>
      <c r="BD4856" s="5"/>
      <c r="BE4856" s="5"/>
      <c r="BF4856" s="5"/>
      <c r="BG4856" s="5"/>
      <c r="BH4856" s="5"/>
      <c r="BI4856" s="5"/>
      <c r="BJ4856" s="5"/>
      <c r="BK4856" s="5"/>
      <c r="BL4856" s="5"/>
      <c r="BM4856" s="5"/>
      <c r="BN4856" s="5"/>
      <c r="BO4856" s="5"/>
      <c r="BP4856" s="5"/>
    </row>
    <row r="4857" spans="35:68" x14ac:dyDescent="0.25">
      <c r="AI4857" s="49"/>
      <c r="AJ4857" s="78"/>
      <c r="AK4857" s="79"/>
      <c r="AL4857" s="79"/>
      <c r="AM4857" s="79"/>
      <c r="AN4857" s="79"/>
      <c r="AO4857" s="79"/>
      <c r="AP4857" s="79"/>
      <c r="AQ4857" s="79"/>
      <c r="AR4857" s="78"/>
      <c r="AS4857" s="78"/>
      <c r="AT4857" s="79"/>
      <c r="AU4857" s="79"/>
      <c r="AV4857" s="79"/>
      <c r="AW4857" s="79"/>
      <c r="AX4857" s="79"/>
      <c r="AZ4857" s="81"/>
      <c r="BB4857" s="5"/>
      <c r="BC4857" s="5"/>
      <c r="BD4857" s="5"/>
      <c r="BE4857" s="5"/>
      <c r="BF4857" s="5"/>
      <c r="BG4857" s="5"/>
      <c r="BH4857" s="5"/>
      <c r="BI4857" s="5"/>
      <c r="BJ4857" s="5"/>
      <c r="BK4857" s="5"/>
      <c r="BL4857" s="5"/>
      <c r="BM4857" s="5"/>
      <c r="BN4857" s="5"/>
      <c r="BO4857" s="5"/>
      <c r="BP4857" s="5"/>
    </row>
    <row r="4858" spans="35:68" x14ac:dyDescent="0.25">
      <c r="AI4858" s="49"/>
      <c r="AJ4858" s="78"/>
      <c r="AK4858" s="79"/>
      <c r="AL4858" s="79"/>
      <c r="AM4858" s="79"/>
      <c r="AN4858" s="79"/>
      <c r="AO4858" s="79"/>
      <c r="AP4858" s="79"/>
      <c r="AQ4858" s="79"/>
      <c r="AR4858" s="78"/>
      <c r="AS4858" s="78"/>
      <c r="AT4858" s="79"/>
      <c r="AU4858" s="79"/>
      <c r="AV4858" s="79"/>
      <c r="AW4858" s="79"/>
      <c r="AX4858" s="79"/>
      <c r="AZ4858" s="81"/>
      <c r="BB4858" s="5"/>
      <c r="BC4858" s="5"/>
      <c r="BD4858" s="5"/>
      <c r="BE4858" s="5"/>
      <c r="BF4858" s="5"/>
      <c r="BG4858" s="5"/>
      <c r="BH4858" s="5"/>
      <c r="BI4858" s="5"/>
      <c r="BJ4858" s="5"/>
      <c r="BK4858" s="5"/>
      <c r="BL4858" s="5"/>
      <c r="BM4858" s="5"/>
      <c r="BN4858" s="5"/>
      <c r="BO4858" s="5"/>
      <c r="BP4858" s="5"/>
    </row>
    <row r="4859" spans="35:68" x14ac:dyDescent="0.25">
      <c r="AI4859" s="49"/>
      <c r="AJ4859" s="78"/>
      <c r="AK4859" s="79"/>
      <c r="AL4859" s="79"/>
      <c r="AM4859" s="79"/>
      <c r="AN4859" s="79"/>
      <c r="AO4859" s="79"/>
      <c r="AP4859" s="79"/>
      <c r="AQ4859" s="79"/>
      <c r="AR4859" s="78"/>
      <c r="AS4859" s="78"/>
      <c r="AT4859" s="79"/>
      <c r="AU4859" s="79"/>
      <c r="AV4859" s="79"/>
      <c r="AW4859" s="79"/>
      <c r="AX4859" s="79"/>
      <c r="AZ4859" s="81"/>
      <c r="BB4859" s="5"/>
      <c r="BC4859" s="5"/>
      <c r="BD4859" s="5"/>
      <c r="BE4859" s="5"/>
      <c r="BF4859" s="5"/>
      <c r="BG4859" s="5"/>
      <c r="BH4859" s="5"/>
      <c r="BI4859" s="5"/>
      <c r="BJ4859" s="5"/>
      <c r="BK4859" s="5"/>
      <c r="BL4859" s="5"/>
      <c r="BM4859" s="5"/>
      <c r="BN4859" s="5"/>
      <c r="BO4859" s="5"/>
      <c r="BP4859" s="5"/>
    </row>
    <row r="4860" spans="35:68" x14ac:dyDescent="0.25">
      <c r="AI4860" s="49"/>
      <c r="AJ4860" s="78"/>
      <c r="AK4860" s="79"/>
      <c r="AL4860" s="79"/>
      <c r="AM4860" s="79"/>
      <c r="AN4860" s="79"/>
      <c r="AO4860" s="79"/>
      <c r="AP4860" s="79"/>
      <c r="AQ4860" s="79"/>
      <c r="AR4860" s="78"/>
      <c r="AS4860" s="78"/>
      <c r="AT4860" s="79"/>
      <c r="AU4860" s="79"/>
      <c r="AV4860" s="79"/>
      <c r="AW4860" s="79"/>
      <c r="AX4860" s="79"/>
      <c r="AZ4860" s="81"/>
      <c r="BB4860" s="5"/>
      <c r="BC4860" s="5"/>
      <c r="BD4860" s="5"/>
      <c r="BE4860" s="5"/>
      <c r="BF4860" s="5"/>
      <c r="BG4860" s="5"/>
      <c r="BH4860" s="5"/>
      <c r="BI4860" s="5"/>
      <c r="BJ4860" s="5"/>
      <c r="BK4860" s="5"/>
      <c r="BL4860" s="5"/>
      <c r="BM4860" s="5"/>
      <c r="BN4860" s="5"/>
      <c r="BO4860" s="5"/>
      <c r="BP4860" s="5"/>
    </row>
    <row r="4861" spans="35:68" x14ac:dyDescent="0.25">
      <c r="AI4861" s="49"/>
      <c r="AJ4861" s="78"/>
      <c r="AK4861" s="79"/>
      <c r="AL4861" s="79"/>
      <c r="AM4861" s="79"/>
      <c r="AN4861" s="79"/>
      <c r="AO4861" s="79"/>
      <c r="AP4861" s="79"/>
      <c r="AQ4861" s="79"/>
      <c r="AR4861" s="78"/>
      <c r="AS4861" s="78"/>
      <c r="AT4861" s="79"/>
      <c r="AU4861" s="79"/>
      <c r="AV4861" s="79"/>
      <c r="AW4861" s="79"/>
      <c r="AX4861" s="79"/>
      <c r="AZ4861" s="81"/>
      <c r="BB4861" s="5"/>
      <c r="BC4861" s="5"/>
      <c r="BD4861" s="5"/>
      <c r="BE4861" s="5"/>
      <c r="BF4861" s="5"/>
      <c r="BG4861" s="5"/>
      <c r="BH4861" s="5"/>
      <c r="BI4861" s="5"/>
      <c r="BJ4861" s="5"/>
      <c r="BK4861" s="5"/>
      <c r="BL4861" s="5"/>
      <c r="BM4861" s="5"/>
      <c r="BN4861" s="5"/>
      <c r="BO4861" s="5"/>
      <c r="BP4861" s="5"/>
    </row>
    <row r="4862" spans="35:68" x14ac:dyDescent="0.25">
      <c r="AI4862" s="49"/>
      <c r="AJ4862" s="78"/>
      <c r="AK4862" s="79"/>
      <c r="AL4862" s="79"/>
      <c r="AM4862" s="79"/>
      <c r="AN4862" s="79"/>
      <c r="AO4862" s="79"/>
      <c r="AP4862" s="79"/>
      <c r="AQ4862" s="79"/>
      <c r="AR4862" s="78"/>
      <c r="AS4862" s="78"/>
      <c r="AT4862" s="79"/>
      <c r="AU4862" s="79"/>
      <c r="AV4862" s="79"/>
      <c r="AW4862" s="79"/>
      <c r="AX4862" s="79"/>
      <c r="AZ4862" s="81"/>
      <c r="BB4862" s="5"/>
      <c r="BC4862" s="5"/>
      <c r="BD4862" s="5"/>
      <c r="BE4862" s="5"/>
      <c r="BF4862" s="5"/>
      <c r="BG4862" s="5"/>
      <c r="BH4862" s="5"/>
      <c r="BI4862" s="5"/>
      <c r="BJ4862" s="5"/>
      <c r="BK4862" s="5"/>
      <c r="BL4862" s="5"/>
      <c r="BM4862" s="5"/>
      <c r="BN4862" s="5"/>
      <c r="BO4862" s="5"/>
      <c r="BP4862" s="5"/>
    </row>
    <row r="4863" spans="35:68" x14ac:dyDescent="0.25">
      <c r="AI4863" s="49"/>
      <c r="AJ4863" s="78"/>
      <c r="AK4863" s="79"/>
      <c r="AL4863" s="79"/>
      <c r="AM4863" s="79"/>
      <c r="AN4863" s="79"/>
      <c r="AO4863" s="79"/>
      <c r="AP4863" s="79"/>
      <c r="AQ4863" s="79"/>
      <c r="AR4863" s="78"/>
      <c r="AS4863" s="78"/>
      <c r="AT4863" s="79"/>
      <c r="AU4863" s="79"/>
      <c r="AV4863" s="79"/>
      <c r="AW4863" s="79"/>
      <c r="AX4863" s="79"/>
      <c r="AZ4863" s="81"/>
      <c r="BB4863" s="5"/>
      <c r="BC4863" s="5"/>
      <c r="BD4863" s="5"/>
      <c r="BE4863" s="5"/>
      <c r="BF4863" s="5"/>
      <c r="BG4863" s="5"/>
      <c r="BH4863" s="5"/>
      <c r="BI4863" s="5"/>
      <c r="BJ4863" s="5"/>
      <c r="BK4863" s="5"/>
      <c r="BL4863" s="5"/>
      <c r="BM4863" s="5"/>
      <c r="BN4863" s="5"/>
      <c r="BO4863" s="5"/>
      <c r="BP4863" s="5"/>
    </row>
    <row r="4864" spans="35:68" x14ac:dyDescent="0.25">
      <c r="AI4864" s="49"/>
      <c r="AJ4864" s="78"/>
      <c r="AK4864" s="79"/>
      <c r="AL4864" s="79"/>
      <c r="AM4864" s="79"/>
      <c r="AN4864" s="79"/>
      <c r="AO4864" s="79"/>
      <c r="AP4864" s="79"/>
      <c r="AQ4864" s="79"/>
      <c r="AR4864" s="78"/>
      <c r="AS4864" s="78"/>
      <c r="AT4864" s="79"/>
      <c r="AU4864" s="79"/>
      <c r="AV4864" s="79"/>
      <c r="AW4864" s="79"/>
      <c r="AX4864" s="79"/>
      <c r="AZ4864" s="81"/>
      <c r="BB4864" s="5"/>
      <c r="BC4864" s="5"/>
      <c r="BD4864" s="5"/>
      <c r="BE4864" s="5"/>
      <c r="BF4864" s="5"/>
      <c r="BG4864" s="5"/>
      <c r="BH4864" s="5"/>
      <c r="BI4864" s="5"/>
      <c r="BJ4864" s="5"/>
      <c r="BK4864" s="5"/>
      <c r="BL4864" s="5"/>
      <c r="BM4864" s="5"/>
      <c r="BN4864" s="5"/>
      <c r="BO4864" s="5"/>
      <c r="BP4864" s="5"/>
    </row>
    <row r="4865" spans="35:68" x14ac:dyDescent="0.25">
      <c r="AI4865" s="49"/>
      <c r="AJ4865" s="78"/>
      <c r="AK4865" s="79"/>
      <c r="AL4865" s="79"/>
      <c r="AM4865" s="79"/>
      <c r="AN4865" s="79"/>
      <c r="AO4865" s="79"/>
      <c r="AP4865" s="79"/>
      <c r="AQ4865" s="79"/>
      <c r="AR4865" s="78"/>
      <c r="AS4865" s="78"/>
      <c r="AT4865" s="79"/>
      <c r="AU4865" s="79"/>
      <c r="AV4865" s="79"/>
      <c r="AW4865" s="79"/>
      <c r="AX4865" s="79"/>
      <c r="AZ4865" s="81"/>
      <c r="BB4865" s="5"/>
      <c r="BC4865" s="5"/>
      <c r="BD4865" s="5"/>
      <c r="BE4865" s="5"/>
      <c r="BF4865" s="5"/>
      <c r="BG4865" s="5"/>
      <c r="BH4865" s="5"/>
      <c r="BI4865" s="5"/>
      <c r="BJ4865" s="5"/>
      <c r="BK4865" s="5"/>
      <c r="BL4865" s="5"/>
      <c r="BM4865" s="5"/>
      <c r="BN4865" s="5"/>
      <c r="BO4865" s="5"/>
      <c r="BP4865" s="5"/>
    </row>
    <row r="4866" spans="35:68" x14ac:dyDescent="0.25">
      <c r="AI4866" s="49"/>
      <c r="AJ4866" s="78"/>
      <c r="AK4866" s="79"/>
      <c r="AL4866" s="79"/>
      <c r="AM4866" s="79"/>
      <c r="AN4866" s="79"/>
      <c r="AO4866" s="79"/>
      <c r="AP4866" s="79"/>
      <c r="AQ4866" s="79"/>
      <c r="AR4866" s="78"/>
      <c r="AS4866" s="78"/>
      <c r="AT4866" s="79"/>
      <c r="AU4866" s="79"/>
      <c r="AV4866" s="79"/>
      <c r="AW4866" s="79"/>
      <c r="AX4866" s="79"/>
      <c r="AZ4866" s="81"/>
      <c r="BB4866" s="5"/>
      <c r="BC4866" s="5"/>
      <c r="BD4866" s="5"/>
      <c r="BE4866" s="5"/>
      <c r="BF4866" s="5"/>
      <c r="BG4866" s="5"/>
      <c r="BH4866" s="5"/>
      <c r="BI4866" s="5"/>
      <c r="BJ4866" s="5"/>
      <c r="BK4866" s="5"/>
      <c r="BL4866" s="5"/>
      <c r="BM4866" s="5"/>
      <c r="BN4866" s="5"/>
      <c r="BO4866" s="5"/>
      <c r="BP4866" s="5"/>
    </row>
    <row r="4867" spans="35:68" x14ac:dyDescent="0.25">
      <c r="AI4867" s="49"/>
      <c r="AJ4867" s="78"/>
      <c r="AK4867" s="79"/>
      <c r="AL4867" s="79"/>
      <c r="AM4867" s="79"/>
      <c r="AN4867" s="79"/>
      <c r="AO4867" s="79"/>
      <c r="AP4867" s="79"/>
      <c r="AQ4867" s="79"/>
      <c r="AR4867" s="78"/>
      <c r="AS4867" s="78"/>
      <c r="AT4867" s="79"/>
      <c r="AU4867" s="79"/>
      <c r="AV4867" s="79"/>
      <c r="AW4867" s="79"/>
      <c r="AX4867" s="79"/>
      <c r="AZ4867" s="81"/>
      <c r="BB4867" s="5"/>
      <c r="BC4867" s="5"/>
      <c r="BD4867" s="5"/>
      <c r="BE4867" s="5"/>
      <c r="BF4867" s="5"/>
      <c r="BG4867" s="5"/>
      <c r="BH4867" s="5"/>
      <c r="BI4867" s="5"/>
      <c r="BJ4867" s="5"/>
      <c r="BK4867" s="5"/>
      <c r="BL4867" s="5"/>
      <c r="BM4867" s="5"/>
      <c r="BN4867" s="5"/>
      <c r="BO4867" s="5"/>
      <c r="BP4867" s="5"/>
    </row>
    <row r="4868" spans="35:68" x14ac:dyDescent="0.25">
      <c r="AI4868" s="49"/>
      <c r="AJ4868" s="78"/>
      <c r="AK4868" s="79"/>
      <c r="AL4868" s="79"/>
      <c r="AM4868" s="79"/>
      <c r="AN4868" s="79"/>
      <c r="AO4868" s="79"/>
      <c r="AP4868" s="79"/>
      <c r="AQ4868" s="79"/>
      <c r="AR4868" s="78"/>
      <c r="AS4868" s="78"/>
      <c r="AT4868" s="79"/>
      <c r="AU4868" s="79"/>
      <c r="AV4868" s="79"/>
      <c r="AW4868" s="79"/>
      <c r="AX4868" s="79"/>
      <c r="AZ4868" s="81"/>
      <c r="BB4868" s="5"/>
      <c r="BC4868" s="5"/>
      <c r="BD4868" s="5"/>
      <c r="BE4868" s="5"/>
      <c r="BF4868" s="5"/>
      <c r="BG4868" s="5"/>
      <c r="BH4868" s="5"/>
      <c r="BI4868" s="5"/>
      <c r="BJ4868" s="5"/>
      <c r="BK4868" s="5"/>
      <c r="BL4868" s="5"/>
      <c r="BM4868" s="5"/>
      <c r="BN4868" s="5"/>
      <c r="BO4868" s="5"/>
      <c r="BP4868" s="5"/>
    </row>
    <row r="4869" spans="35:68" x14ac:dyDescent="0.25">
      <c r="AI4869" s="49"/>
      <c r="AJ4869" s="78"/>
      <c r="AK4869" s="79"/>
      <c r="AL4869" s="79"/>
      <c r="AM4869" s="79"/>
      <c r="AN4869" s="79"/>
      <c r="AO4869" s="79"/>
      <c r="AP4869" s="79"/>
      <c r="AQ4869" s="79"/>
      <c r="AR4869" s="78"/>
      <c r="AS4869" s="78"/>
      <c r="AT4869" s="79"/>
      <c r="AU4869" s="79"/>
      <c r="AV4869" s="79"/>
      <c r="AW4869" s="79"/>
      <c r="AX4869" s="79"/>
      <c r="AZ4869" s="81"/>
      <c r="BB4869" s="5"/>
      <c r="BC4869" s="5"/>
      <c r="BD4869" s="5"/>
      <c r="BE4869" s="5"/>
      <c r="BF4869" s="5"/>
      <c r="BG4869" s="5"/>
      <c r="BH4869" s="5"/>
      <c r="BI4869" s="5"/>
      <c r="BJ4869" s="5"/>
      <c r="BK4869" s="5"/>
      <c r="BL4869" s="5"/>
      <c r="BM4869" s="5"/>
      <c r="BN4869" s="5"/>
      <c r="BO4869" s="5"/>
      <c r="BP4869" s="5"/>
    </row>
    <row r="4870" spans="35:68" x14ac:dyDescent="0.25">
      <c r="AI4870" s="49"/>
      <c r="AJ4870" s="78"/>
      <c r="AK4870" s="79"/>
      <c r="AL4870" s="79"/>
      <c r="AM4870" s="79"/>
      <c r="AN4870" s="79"/>
      <c r="AO4870" s="79"/>
      <c r="AP4870" s="79"/>
      <c r="AQ4870" s="79"/>
      <c r="AR4870" s="78"/>
      <c r="AS4870" s="78"/>
      <c r="AT4870" s="79"/>
      <c r="AU4870" s="79"/>
      <c r="AV4870" s="79"/>
      <c r="AW4870" s="79"/>
      <c r="AX4870" s="79"/>
      <c r="AZ4870" s="81"/>
      <c r="BB4870" s="5"/>
      <c r="BC4870" s="5"/>
      <c r="BD4870" s="5"/>
      <c r="BE4870" s="5"/>
      <c r="BF4870" s="5"/>
      <c r="BG4870" s="5"/>
      <c r="BH4870" s="5"/>
      <c r="BI4870" s="5"/>
      <c r="BJ4870" s="5"/>
      <c r="BK4870" s="5"/>
      <c r="BL4870" s="5"/>
      <c r="BM4870" s="5"/>
      <c r="BN4870" s="5"/>
      <c r="BO4870" s="5"/>
      <c r="BP4870" s="5"/>
    </row>
    <row r="4871" spans="35:68" x14ac:dyDescent="0.25">
      <c r="AI4871" s="49"/>
      <c r="AJ4871" s="78"/>
      <c r="AK4871" s="79"/>
      <c r="AL4871" s="79"/>
      <c r="AM4871" s="79"/>
      <c r="AN4871" s="79"/>
      <c r="AO4871" s="79"/>
      <c r="AP4871" s="79"/>
      <c r="AQ4871" s="79"/>
      <c r="AR4871" s="78"/>
      <c r="AS4871" s="78"/>
      <c r="AT4871" s="79"/>
      <c r="AU4871" s="79"/>
      <c r="AV4871" s="79"/>
      <c r="AW4871" s="79"/>
      <c r="AX4871" s="79"/>
      <c r="AZ4871" s="81"/>
      <c r="BB4871" s="5"/>
      <c r="BC4871" s="5"/>
      <c r="BD4871" s="5"/>
      <c r="BE4871" s="5"/>
      <c r="BF4871" s="5"/>
      <c r="BG4871" s="5"/>
      <c r="BH4871" s="5"/>
      <c r="BI4871" s="5"/>
      <c r="BJ4871" s="5"/>
      <c r="BK4871" s="5"/>
      <c r="BL4871" s="5"/>
      <c r="BM4871" s="5"/>
      <c r="BN4871" s="5"/>
      <c r="BO4871" s="5"/>
      <c r="BP4871" s="5"/>
    </row>
    <row r="4872" spans="35:68" x14ac:dyDescent="0.25">
      <c r="AI4872" s="49"/>
      <c r="AJ4872" s="78"/>
      <c r="AK4872" s="79"/>
      <c r="AL4872" s="79"/>
      <c r="AM4872" s="79"/>
      <c r="AN4872" s="79"/>
      <c r="AO4872" s="79"/>
      <c r="AP4872" s="79"/>
      <c r="AQ4872" s="79"/>
      <c r="AR4872" s="78"/>
      <c r="AS4872" s="78"/>
      <c r="AT4872" s="79"/>
      <c r="AU4872" s="79"/>
      <c r="AV4872" s="79"/>
      <c r="AW4872" s="79"/>
      <c r="AX4872" s="79"/>
      <c r="AZ4872" s="81"/>
      <c r="BB4872" s="5"/>
      <c r="BC4872" s="5"/>
      <c r="BD4872" s="5"/>
      <c r="BE4872" s="5"/>
      <c r="BF4872" s="5"/>
      <c r="BG4872" s="5"/>
      <c r="BH4872" s="5"/>
      <c r="BI4872" s="5"/>
      <c r="BJ4872" s="5"/>
      <c r="BK4872" s="5"/>
      <c r="BL4872" s="5"/>
      <c r="BM4872" s="5"/>
      <c r="BN4872" s="5"/>
      <c r="BO4872" s="5"/>
      <c r="BP4872" s="5"/>
    </row>
    <row r="4873" spans="35:68" x14ac:dyDescent="0.25">
      <c r="AI4873" s="49"/>
      <c r="AJ4873" s="78"/>
      <c r="AK4873" s="79"/>
      <c r="AL4873" s="79"/>
      <c r="AM4873" s="79"/>
      <c r="AN4873" s="79"/>
      <c r="AO4873" s="79"/>
      <c r="AP4873" s="79"/>
      <c r="AQ4873" s="79"/>
      <c r="AR4873" s="78"/>
      <c r="AS4873" s="78"/>
      <c r="AT4873" s="79"/>
      <c r="AU4873" s="79"/>
      <c r="AV4873" s="79"/>
      <c r="AW4873" s="79"/>
      <c r="AX4873" s="79"/>
      <c r="AZ4873" s="81"/>
      <c r="BB4873" s="5"/>
      <c r="BC4873" s="5"/>
      <c r="BD4873" s="5"/>
      <c r="BE4873" s="5"/>
      <c r="BF4873" s="5"/>
      <c r="BG4873" s="5"/>
      <c r="BH4873" s="5"/>
      <c r="BI4873" s="5"/>
      <c r="BJ4873" s="5"/>
      <c r="BK4873" s="5"/>
      <c r="BL4873" s="5"/>
      <c r="BM4873" s="5"/>
      <c r="BN4873" s="5"/>
      <c r="BO4873" s="5"/>
      <c r="BP4873" s="5"/>
    </row>
    <row r="4874" spans="35:68" x14ac:dyDescent="0.25">
      <c r="AI4874" s="49"/>
      <c r="AJ4874" s="78"/>
      <c r="AK4874" s="79"/>
      <c r="AL4874" s="79"/>
      <c r="AM4874" s="79"/>
      <c r="AN4874" s="79"/>
      <c r="AO4874" s="79"/>
      <c r="AP4874" s="79"/>
      <c r="AQ4874" s="79"/>
      <c r="AR4874" s="78"/>
      <c r="AS4874" s="78"/>
      <c r="AT4874" s="79"/>
      <c r="AU4874" s="79"/>
      <c r="AV4874" s="79"/>
      <c r="AW4874" s="79"/>
      <c r="AX4874" s="79"/>
      <c r="AZ4874" s="81"/>
      <c r="BB4874" s="5"/>
      <c r="BC4874" s="5"/>
      <c r="BD4874" s="5"/>
      <c r="BE4874" s="5"/>
      <c r="BF4874" s="5"/>
      <c r="BG4874" s="5"/>
      <c r="BH4874" s="5"/>
      <c r="BI4874" s="5"/>
      <c r="BJ4874" s="5"/>
      <c r="BK4874" s="5"/>
      <c r="BL4874" s="5"/>
      <c r="BM4874" s="5"/>
      <c r="BN4874" s="5"/>
      <c r="BO4874" s="5"/>
      <c r="BP4874" s="5"/>
    </row>
    <row r="4875" spans="35:68" x14ac:dyDescent="0.25">
      <c r="AI4875" s="49"/>
      <c r="AJ4875" s="78"/>
      <c r="AK4875" s="79"/>
      <c r="AL4875" s="79"/>
      <c r="AM4875" s="79"/>
      <c r="AN4875" s="79"/>
      <c r="AO4875" s="79"/>
      <c r="AP4875" s="79"/>
      <c r="AQ4875" s="79"/>
      <c r="AR4875" s="78"/>
      <c r="AS4875" s="78"/>
      <c r="AT4875" s="79"/>
      <c r="AU4875" s="79"/>
      <c r="AV4875" s="79"/>
      <c r="AW4875" s="79"/>
      <c r="AX4875" s="79"/>
      <c r="AZ4875" s="81"/>
      <c r="BB4875" s="5"/>
      <c r="BC4875" s="5"/>
      <c r="BD4875" s="5"/>
      <c r="BE4875" s="5"/>
      <c r="BF4875" s="5"/>
      <c r="BG4875" s="5"/>
      <c r="BH4875" s="5"/>
      <c r="BI4875" s="5"/>
      <c r="BJ4875" s="5"/>
      <c r="BK4875" s="5"/>
      <c r="BL4875" s="5"/>
      <c r="BM4875" s="5"/>
      <c r="BN4875" s="5"/>
      <c r="BO4875" s="5"/>
      <c r="BP4875" s="5"/>
    </row>
    <row r="4876" spans="35:68" x14ac:dyDescent="0.25">
      <c r="AI4876" s="49"/>
      <c r="AJ4876" s="78"/>
      <c r="AK4876" s="79"/>
      <c r="AL4876" s="79"/>
      <c r="AM4876" s="79"/>
      <c r="AN4876" s="79"/>
      <c r="AO4876" s="79"/>
      <c r="AP4876" s="79"/>
      <c r="AQ4876" s="79"/>
      <c r="AR4876" s="78"/>
      <c r="AS4876" s="78"/>
      <c r="AT4876" s="79"/>
      <c r="AU4876" s="79"/>
      <c r="AV4876" s="79"/>
      <c r="AW4876" s="79"/>
      <c r="AX4876" s="79"/>
      <c r="AZ4876" s="81"/>
      <c r="BB4876" s="5"/>
      <c r="BC4876" s="5"/>
      <c r="BD4876" s="5"/>
      <c r="BE4876" s="5"/>
      <c r="BF4876" s="5"/>
      <c r="BG4876" s="5"/>
      <c r="BH4876" s="5"/>
      <c r="BI4876" s="5"/>
      <c r="BJ4876" s="5"/>
      <c r="BK4876" s="5"/>
      <c r="BL4876" s="5"/>
      <c r="BM4876" s="5"/>
      <c r="BN4876" s="5"/>
      <c r="BO4876" s="5"/>
      <c r="BP4876" s="5"/>
    </row>
    <row r="4877" spans="35:68" x14ac:dyDescent="0.25">
      <c r="AI4877" s="49"/>
      <c r="AJ4877" s="78"/>
      <c r="AK4877" s="79"/>
      <c r="AL4877" s="79"/>
      <c r="AM4877" s="79"/>
      <c r="AN4877" s="79"/>
      <c r="AO4877" s="79"/>
      <c r="AP4877" s="79"/>
      <c r="AQ4877" s="79"/>
      <c r="AR4877" s="78"/>
      <c r="AS4877" s="78"/>
      <c r="AT4877" s="79"/>
      <c r="AU4877" s="79"/>
      <c r="AV4877" s="79"/>
      <c r="AW4877" s="79"/>
      <c r="AX4877" s="79"/>
      <c r="AZ4877" s="81"/>
      <c r="BB4877" s="5"/>
      <c r="BC4877" s="5"/>
      <c r="BD4877" s="5"/>
      <c r="BE4877" s="5"/>
      <c r="BF4877" s="5"/>
      <c r="BG4877" s="5"/>
      <c r="BH4877" s="5"/>
      <c r="BI4877" s="5"/>
      <c r="BJ4877" s="5"/>
      <c r="BK4877" s="5"/>
      <c r="BL4877" s="5"/>
      <c r="BM4877" s="5"/>
      <c r="BN4877" s="5"/>
      <c r="BO4877" s="5"/>
      <c r="BP4877" s="5"/>
    </row>
    <row r="4878" spans="35:68" x14ac:dyDescent="0.25">
      <c r="AI4878" s="49"/>
      <c r="AJ4878" s="78"/>
      <c r="AK4878" s="79"/>
      <c r="AL4878" s="79"/>
      <c r="AM4878" s="79"/>
      <c r="AN4878" s="79"/>
      <c r="AO4878" s="79"/>
      <c r="AP4878" s="79"/>
      <c r="AQ4878" s="79"/>
      <c r="AR4878" s="78"/>
      <c r="AS4878" s="78"/>
      <c r="AT4878" s="79"/>
      <c r="AU4878" s="79"/>
      <c r="AV4878" s="79"/>
      <c r="AW4878" s="79"/>
      <c r="AX4878" s="79"/>
      <c r="AZ4878" s="81"/>
      <c r="BB4878" s="5"/>
      <c r="BC4878" s="5"/>
      <c r="BD4878" s="5"/>
      <c r="BE4878" s="5"/>
      <c r="BF4878" s="5"/>
      <c r="BG4878" s="5"/>
      <c r="BH4878" s="5"/>
      <c r="BI4878" s="5"/>
      <c r="BJ4878" s="5"/>
      <c r="BK4878" s="5"/>
      <c r="BL4878" s="5"/>
      <c r="BM4878" s="5"/>
      <c r="BN4878" s="5"/>
      <c r="BO4878" s="5"/>
      <c r="BP4878" s="5"/>
    </row>
    <row r="4879" spans="35:68" x14ac:dyDescent="0.25">
      <c r="AI4879" s="49"/>
      <c r="AJ4879" s="78"/>
      <c r="AK4879" s="79"/>
      <c r="AL4879" s="79"/>
      <c r="AM4879" s="79"/>
      <c r="AN4879" s="79"/>
      <c r="AO4879" s="79"/>
      <c r="AP4879" s="79"/>
      <c r="AQ4879" s="79"/>
      <c r="AR4879" s="78"/>
      <c r="AS4879" s="78"/>
      <c r="AT4879" s="79"/>
      <c r="AU4879" s="79"/>
      <c r="AV4879" s="79"/>
      <c r="AW4879" s="79"/>
      <c r="AX4879" s="79"/>
      <c r="AZ4879" s="81"/>
      <c r="BB4879" s="5"/>
      <c r="BC4879" s="5"/>
      <c r="BD4879" s="5"/>
      <c r="BE4879" s="5"/>
      <c r="BF4879" s="5"/>
      <c r="BG4879" s="5"/>
      <c r="BH4879" s="5"/>
      <c r="BI4879" s="5"/>
      <c r="BJ4879" s="5"/>
      <c r="BK4879" s="5"/>
      <c r="BL4879" s="5"/>
      <c r="BM4879" s="5"/>
      <c r="BN4879" s="5"/>
      <c r="BO4879" s="5"/>
      <c r="BP4879" s="5"/>
    </row>
    <row r="4880" spans="35:68" x14ac:dyDescent="0.25">
      <c r="AI4880" s="49"/>
      <c r="AJ4880" s="78"/>
      <c r="AK4880" s="79"/>
      <c r="AL4880" s="79"/>
      <c r="AM4880" s="79"/>
      <c r="AN4880" s="79"/>
      <c r="AO4880" s="79"/>
      <c r="AP4880" s="79"/>
      <c r="AQ4880" s="79"/>
      <c r="AR4880" s="78"/>
      <c r="AS4880" s="78"/>
      <c r="AT4880" s="79"/>
      <c r="AU4880" s="79"/>
      <c r="AV4880" s="79"/>
      <c r="AW4880" s="79"/>
      <c r="AX4880" s="79"/>
      <c r="AZ4880" s="81"/>
      <c r="BB4880" s="5"/>
      <c r="BC4880" s="5"/>
      <c r="BD4880" s="5"/>
      <c r="BE4880" s="5"/>
      <c r="BF4880" s="5"/>
      <c r="BG4880" s="5"/>
      <c r="BH4880" s="5"/>
      <c r="BI4880" s="5"/>
      <c r="BJ4880" s="5"/>
      <c r="BK4880" s="5"/>
      <c r="BL4880" s="5"/>
      <c r="BM4880" s="5"/>
      <c r="BN4880" s="5"/>
      <c r="BO4880" s="5"/>
      <c r="BP4880" s="5"/>
    </row>
    <row r="4881" spans="35:68" x14ac:dyDescent="0.25">
      <c r="AI4881" s="49"/>
      <c r="AJ4881" s="78"/>
      <c r="AK4881" s="79"/>
      <c r="AL4881" s="79"/>
      <c r="AM4881" s="79"/>
      <c r="AN4881" s="79"/>
      <c r="AO4881" s="79"/>
      <c r="AP4881" s="79"/>
      <c r="AQ4881" s="79"/>
      <c r="AR4881" s="78"/>
      <c r="AS4881" s="78"/>
      <c r="AT4881" s="79"/>
      <c r="AU4881" s="79"/>
      <c r="AV4881" s="79"/>
      <c r="AW4881" s="79"/>
      <c r="AX4881" s="79"/>
      <c r="AZ4881" s="81"/>
      <c r="BB4881" s="5"/>
      <c r="BC4881" s="5"/>
      <c r="BD4881" s="5"/>
      <c r="BE4881" s="5"/>
      <c r="BF4881" s="5"/>
      <c r="BG4881" s="5"/>
      <c r="BH4881" s="5"/>
      <c r="BI4881" s="5"/>
      <c r="BJ4881" s="5"/>
      <c r="BK4881" s="5"/>
      <c r="BL4881" s="5"/>
      <c r="BM4881" s="5"/>
      <c r="BN4881" s="5"/>
      <c r="BO4881" s="5"/>
      <c r="BP4881" s="5"/>
    </row>
    <row r="4882" spans="35:68" x14ac:dyDescent="0.25">
      <c r="AI4882" s="49"/>
      <c r="AJ4882" s="78"/>
      <c r="AK4882" s="79"/>
      <c r="AL4882" s="79"/>
      <c r="AM4882" s="79"/>
      <c r="AN4882" s="79"/>
      <c r="AO4882" s="79"/>
      <c r="AP4882" s="79"/>
      <c r="AQ4882" s="79"/>
      <c r="AR4882" s="78"/>
      <c r="AS4882" s="78"/>
      <c r="AT4882" s="79"/>
      <c r="AU4882" s="79"/>
      <c r="AV4882" s="79"/>
      <c r="AW4882" s="79"/>
      <c r="AX4882" s="79"/>
      <c r="AZ4882" s="81"/>
      <c r="BB4882" s="5"/>
      <c r="BC4882" s="5"/>
      <c r="BD4882" s="5"/>
      <c r="BE4882" s="5"/>
      <c r="BF4882" s="5"/>
      <c r="BG4882" s="5"/>
      <c r="BH4882" s="5"/>
      <c r="BI4882" s="5"/>
      <c r="BJ4882" s="5"/>
      <c r="BK4882" s="5"/>
      <c r="BL4882" s="5"/>
      <c r="BM4882" s="5"/>
      <c r="BN4882" s="5"/>
      <c r="BO4882" s="5"/>
      <c r="BP4882" s="5"/>
    </row>
    <row r="4883" spans="35:68" x14ac:dyDescent="0.25">
      <c r="AI4883" s="49"/>
      <c r="AJ4883" s="78"/>
      <c r="AK4883" s="79"/>
      <c r="AL4883" s="79"/>
      <c r="AM4883" s="79"/>
      <c r="AN4883" s="79"/>
      <c r="AO4883" s="79"/>
      <c r="AP4883" s="79"/>
      <c r="AQ4883" s="79"/>
      <c r="AR4883" s="78"/>
      <c r="AS4883" s="78"/>
      <c r="AT4883" s="79"/>
      <c r="AU4883" s="79"/>
      <c r="AV4883" s="79"/>
      <c r="AW4883" s="79"/>
      <c r="AX4883" s="79"/>
      <c r="AZ4883" s="81"/>
      <c r="BB4883" s="5"/>
      <c r="BC4883" s="5"/>
      <c r="BD4883" s="5"/>
      <c r="BE4883" s="5"/>
      <c r="BF4883" s="5"/>
      <c r="BG4883" s="5"/>
      <c r="BH4883" s="5"/>
      <c r="BI4883" s="5"/>
      <c r="BJ4883" s="5"/>
      <c r="BK4883" s="5"/>
      <c r="BL4883" s="5"/>
      <c r="BM4883" s="5"/>
      <c r="BN4883" s="5"/>
      <c r="BO4883" s="5"/>
      <c r="BP4883" s="5"/>
    </row>
    <row r="4884" spans="35:68" x14ac:dyDescent="0.25">
      <c r="AI4884" s="49"/>
      <c r="AJ4884" s="78"/>
      <c r="AK4884" s="79"/>
      <c r="AL4884" s="79"/>
      <c r="AM4884" s="79"/>
      <c r="AN4884" s="79"/>
      <c r="AO4884" s="79"/>
      <c r="AP4884" s="79"/>
      <c r="AQ4884" s="79"/>
      <c r="AR4884" s="78"/>
      <c r="AS4884" s="78"/>
      <c r="AT4884" s="79"/>
      <c r="AU4884" s="79"/>
      <c r="AV4884" s="79"/>
      <c r="AW4884" s="79"/>
      <c r="AX4884" s="79"/>
      <c r="AZ4884" s="81"/>
      <c r="BB4884" s="5"/>
      <c r="BC4884" s="5"/>
      <c r="BD4884" s="5"/>
      <c r="BE4884" s="5"/>
      <c r="BF4884" s="5"/>
      <c r="BG4884" s="5"/>
      <c r="BH4884" s="5"/>
      <c r="BI4884" s="5"/>
      <c r="BJ4884" s="5"/>
      <c r="BK4884" s="5"/>
      <c r="BL4884" s="5"/>
      <c r="BM4884" s="5"/>
      <c r="BN4884" s="5"/>
      <c r="BO4884" s="5"/>
      <c r="BP4884" s="5"/>
    </row>
    <row r="4885" spans="35:68" x14ac:dyDescent="0.25">
      <c r="AI4885" s="49"/>
      <c r="AJ4885" s="78"/>
      <c r="AK4885" s="79"/>
      <c r="AL4885" s="79"/>
      <c r="AM4885" s="79"/>
      <c r="AN4885" s="79"/>
      <c r="AO4885" s="79"/>
      <c r="AP4885" s="79"/>
      <c r="AQ4885" s="79"/>
      <c r="AR4885" s="78"/>
      <c r="AS4885" s="78"/>
      <c r="AT4885" s="79"/>
      <c r="AU4885" s="79"/>
      <c r="AV4885" s="79"/>
      <c r="AW4885" s="79"/>
      <c r="AX4885" s="79"/>
      <c r="AZ4885" s="81"/>
      <c r="BB4885" s="5"/>
      <c r="BC4885" s="5"/>
      <c r="BD4885" s="5"/>
      <c r="BE4885" s="5"/>
      <c r="BF4885" s="5"/>
      <c r="BG4885" s="5"/>
      <c r="BH4885" s="5"/>
      <c r="BI4885" s="5"/>
      <c r="BJ4885" s="5"/>
      <c r="BK4885" s="5"/>
      <c r="BL4885" s="5"/>
      <c r="BM4885" s="5"/>
      <c r="BN4885" s="5"/>
      <c r="BO4885" s="5"/>
      <c r="BP4885" s="5"/>
    </row>
    <row r="4886" spans="35:68" x14ac:dyDescent="0.25">
      <c r="AI4886" s="49"/>
      <c r="AJ4886" s="78"/>
      <c r="AK4886" s="79"/>
      <c r="AL4886" s="79"/>
      <c r="AM4886" s="79"/>
      <c r="AN4886" s="79"/>
      <c r="AO4886" s="79"/>
      <c r="AP4886" s="79"/>
      <c r="AQ4886" s="79"/>
      <c r="AR4886" s="78"/>
      <c r="AS4886" s="78"/>
      <c r="AT4886" s="79"/>
      <c r="AU4886" s="79"/>
      <c r="AV4886" s="79"/>
      <c r="AW4886" s="79"/>
      <c r="AX4886" s="79"/>
      <c r="AZ4886" s="81"/>
      <c r="BB4886" s="5"/>
      <c r="BC4886" s="5"/>
      <c r="BD4886" s="5"/>
      <c r="BE4886" s="5"/>
      <c r="BF4886" s="5"/>
      <c r="BG4886" s="5"/>
      <c r="BH4886" s="5"/>
      <c r="BI4886" s="5"/>
      <c r="BJ4886" s="5"/>
      <c r="BK4886" s="5"/>
      <c r="BL4886" s="5"/>
      <c r="BM4886" s="5"/>
      <c r="BN4886" s="5"/>
      <c r="BO4886" s="5"/>
      <c r="BP4886" s="5"/>
    </row>
    <row r="4887" spans="35:68" x14ac:dyDescent="0.25">
      <c r="AI4887" s="49"/>
      <c r="AJ4887" s="78"/>
      <c r="AK4887" s="79"/>
      <c r="AL4887" s="79"/>
      <c r="AM4887" s="79"/>
      <c r="AN4887" s="79"/>
      <c r="AO4887" s="79"/>
      <c r="AP4887" s="79"/>
      <c r="AQ4887" s="79"/>
      <c r="AR4887" s="78"/>
      <c r="AS4887" s="78"/>
      <c r="AT4887" s="79"/>
      <c r="AU4887" s="79"/>
      <c r="AV4887" s="79"/>
      <c r="AW4887" s="79"/>
      <c r="AX4887" s="79"/>
      <c r="AZ4887" s="81"/>
      <c r="BB4887" s="5"/>
      <c r="BC4887" s="5"/>
      <c r="BD4887" s="5"/>
      <c r="BE4887" s="5"/>
      <c r="BF4887" s="5"/>
      <c r="BG4887" s="5"/>
      <c r="BH4887" s="5"/>
      <c r="BI4887" s="5"/>
      <c r="BJ4887" s="5"/>
      <c r="BK4887" s="5"/>
      <c r="BL4887" s="5"/>
      <c r="BM4887" s="5"/>
      <c r="BN4887" s="5"/>
      <c r="BO4887" s="5"/>
      <c r="BP4887" s="5"/>
    </row>
    <row r="4888" spans="35:68" x14ac:dyDescent="0.25">
      <c r="AI4888" s="49"/>
      <c r="AJ4888" s="78"/>
      <c r="AK4888" s="79"/>
      <c r="AL4888" s="79"/>
      <c r="AM4888" s="79"/>
      <c r="AN4888" s="79"/>
      <c r="AO4888" s="79"/>
      <c r="AP4888" s="79"/>
      <c r="AQ4888" s="79"/>
      <c r="AR4888" s="78"/>
      <c r="AS4888" s="78"/>
      <c r="AT4888" s="79"/>
      <c r="AU4888" s="79"/>
      <c r="AV4888" s="79"/>
      <c r="AW4888" s="79"/>
      <c r="AX4888" s="79"/>
      <c r="AZ4888" s="81"/>
      <c r="BB4888" s="5"/>
      <c r="BC4888" s="5"/>
      <c r="BD4888" s="5"/>
      <c r="BE4888" s="5"/>
      <c r="BF4888" s="5"/>
      <c r="BG4888" s="5"/>
      <c r="BH4888" s="5"/>
      <c r="BI4888" s="5"/>
      <c r="BJ4888" s="5"/>
      <c r="BK4888" s="5"/>
      <c r="BL4888" s="5"/>
      <c r="BM4888" s="5"/>
      <c r="BN4888" s="5"/>
      <c r="BO4888" s="5"/>
      <c r="BP4888" s="5"/>
    </row>
    <row r="4889" spans="35:68" x14ac:dyDescent="0.25">
      <c r="AI4889" s="49"/>
      <c r="AJ4889" s="78"/>
      <c r="AK4889" s="79"/>
      <c r="AL4889" s="79"/>
      <c r="AM4889" s="79"/>
      <c r="AN4889" s="79"/>
      <c r="AO4889" s="79"/>
      <c r="AP4889" s="79"/>
      <c r="AQ4889" s="79"/>
      <c r="AR4889" s="78"/>
      <c r="AS4889" s="78"/>
      <c r="AT4889" s="79"/>
      <c r="AU4889" s="79"/>
      <c r="AV4889" s="79"/>
      <c r="AW4889" s="79"/>
      <c r="AX4889" s="79"/>
      <c r="AZ4889" s="81"/>
      <c r="BB4889" s="5"/>
      <c r="BC4889" s="5"/>
      <c r="BD4889" s="5"/>
      <c r="BE4889" s="5"/>
      <c r="BF4889" s="5"/>
      <c r="BG4889" s="5"/>
      <c r="BH4889" s="5"/>
      <c r="BI4889" s="5"/>
      <c r="BJ4889" s="5"/>
      <c r="BK4889" s="5"/>
      <c r="BL4889" s="5"/>
      <c r="BM4889" s="5"/>
      <c r="BN4889" s="5"/>
      <c r="BO4889" s="5"/>
      <c r="BP4889" s="5"/>
    </row>
    <row r="4890" spans="35:68" x14ac:dyDescent="0.25">
      <c r="AI4890" s="49"/>
      <c r="AJ4890" s="78"/>
      <c r="AK4890" s="79"/>
      <c r="AL4890" s="79"/>
      <c r="AM4890" s="79"/>
      <c r="AN4890" s="79"/>
      <c r="AO4890" s="79"/>
      <c r="AP4890" s="79"/>
      <c r="AQ4890" s="79"/>
      <c r="AR4890" s="78"/>
      <c r="AS4890" s="78"/>
      <c r="AT4890" s="79"/>
      <c r="AU4890" s="79"/>
      <c r="AV4890" s="79"/>
      <c r="AW4890" s="79"/>
      <c r="AX4890" s="79"/>
      <c r="AZ4890" s="81"/>
      <c r="BB4890" s="5"/>
      <c r="BC4890" s="5"/>
      <c r="BD4890" s="5"/>
      <c r="BE4890" s="5"/>
      <c r="BF4890" s="5"/>
      <c r="BG4890" s="5"/>
      <c r="BH4890" s="5"/>
      <c r="BI4890" s="5"/>
      <c r="BJ4890" s="5"/>
      <c r="BK4890" s="5"/>
      <c r="BL4890" s="5"/>
      <c r="BM4890" s="5"/>
      <c r="BN4890" s="5"/>
      <c r="BO4890" s="5"/>
      <c r="BP4890" s="5"/>
    </row>
    <row r="4891" spans="35:68" x14ac:dyDescent="0.25">
      <c r="AI4891" s="49"/>
      <c r="AJ4891" s="78"/>
      <c r="AK4891" s="79"/>
      <c r="AL4891" s="79"/>
      <c r="AM4891" s="79"/>
      <c r="AN4891" s="79"/>
      <c r="AO4891" s="79"/>
      <c r="AP4891" s="79"/>
      <c r="AQ4891" s="79"/>
      <c r="AR4891" s="78"/>
      <c r="AS4891" s="78"/>
      <c r="AT4891" s="79"/>
      <c r="AU4891" s="79"/>
      <c r="AV4891" s="79"/>
      <c r="AW4891" s="79"/>
      <c r="AX4891" s="79"/>
      <c r="AZ4891" s="81"/>
      <c r="BB4891" s="5"/>
      <c r="BC4891" s="5"/>
      <c r="BD4891" s="5"/>
      <c r="BE4891" s="5"/>
      <c r="BF4891" s="5"/>
      <c r="BG4891" s="5"/>
      <c r="BH4891" s="5"/>
      <c r="BI4891" s="5"/>
      <c r="BJ4891" s="5"/>
      <c r="BK4891" s="5"/>
      <c r="BL4891" s="5"/>
      <c r="BM4891" s="5"/>
      <c r="BN4891" s="5"/>
      <c r="BO4891" s="5"/>
      <c r="BP4891" s="5"/>
    </row>
    <row r="4892" spans="35:68" x14ac:dyDescent="0.25">
      <c r="AI4892" s="49"/>
      <c r="AJ4892" s="78"/>
      <c r="AK4892" s="79"/>
      <c r="AL4892" s="79"/>
      <c r="AM4892" s="79"/>
      <c r="AN4892" s="79"/>
      <c r="AO4892" s="79"/>
      <c r="AP4892" s="79"/>
      <c r="AQ4892" s="79"/>
      <c r="AR4892" s="78"/>
      <c r="AS4892" s="78"/>
      <c r="AT4892" s="79"/>
      <c r="AU4892" s="79"/>
      <c r="AV4892" s="79"/>
      <c r="AW4892" s="79"/>
      <c r="AX4892" s="79"/>
      <c r="AZ4892" s="81"/>
      <c r="BB4892" s="5"/>
      <c r="BC4892" s="5"/>
      <c r="BD4892" s="5"/>
      <c r="BE4892" s="5"/>
      <c r="BF4892" s="5"/>
      <c r="BG4892" s="5"/>
      <c r="BH4892" s="5"/>
      <c r="BI4892" s="5"/>
      <c r="BJ4892" s="5"/>
      <c r="BK4892" s="5"/>
      <c r="BL4892" s="5"/>
      <c r="BM4892" s="5"/>
      <c r="BN4892" s="5"/>
      <c r="BO4892" s="5"/>
      <c r="BP4892" s="5"/>
    </row>
    <row r="4893" spans="35:68" x14ac:dyDescent="0.25">
      <c r="AI4893" s="49"/>
      <c r="AJ4893" s="78"/>
      <c r="AK4893" s="79"/>
      <c r="AL4893" s="79"/>
      <c r="AM4893" s="79"/>
      <c r="AN4893" s="79"/>
      <c r="AO4893" s="79"/>
      <c r="AP4893" s="79"/>
      <c r="AQ4893" s="79"/>
      <c r="AR4893" s="78"/>
      <c r="AS4893" s="78"/>
      <c r="AT4893" s="79"/>
      <c r="AU4893" s="79"/>
      <c r="AV4893" s="79"/>
      <c r="AW4893" s="79"/>
      <c r="AX4893" s="79"/>
      <c r="AZ4893" s="81"/>
      <c r="BB4893" s="5"/>
      <c r="BC4893" s="5"/>
      <c r="BD4893" s="5"/>
      <c r="BE4893" s="5"/>
      <c r="BF4893" s="5"/>
      <c r="BG4893" s="5"/>
      <c r="BH4893" s="5"/>
      <c r="BI4893" s="5"/>
      <c r="BJ4893" s="5"/>
      <c r="BK4893" s="5"/>
      <c r="BL4893" s="5"/>
      <c r="BM4893" s="5"/>
      <c r="BN4893" s="5"/>
      <c r="BO4893" s="5"/>
      <c r="BP4893" s="5"/>
    </row>
    <row r="4894" spans="35:68" x14ac:dyDescent="0.25">
      <c r="AI4894" s="49"/>
      <c r="AJ4894" s="78"/>
      <c r="AK4894" s="79"/>
      <c r="AL4894" s="79"/>
      <c r="AM4894" s="79"/>
      <c r="AN4894" s="79"/>
      <c r="AO4894" s="79"/>
      <c r="AP4894" s="79"/>
      <c r="AQ4894" s="79"/>
      <c r="AR4894" s="78"/>
      <c r="AS4894" s="78"/>
      <c r="AT4894" s="79"/>
      <c r="AU4894" s="79"/>
      <c r="AV4894" s="79"/>
      <c r="AW4894" s="79"/>
      <c r="AX4894" s="79"/>
      <c r="AZ4894" s="81"/>
      <c r="BB4894" s="5"/>
      <c r="BC4894" s="5"/>
      <c r="BD4894" s="5"/>
      <c r="BE4894" s="5"/>
      <c r="BF4894" s="5"/>
      <c r="BG4894" s="5"/>
      <c r="BH4894" s="5"/>
      <c r="BI4894" s="5"/>
      <c r="BJ4894" s="5"/>
      <c r="BK4894" s="5"/>
      <c r="BL4894" s="5"/>
      <c r="BM4894" s="5"/>
      <c r="BN4894" s="5"/>
      <c r="BO4894" s="5"/>
      <c r="BP4894" s="5"/>
    </row>
    <row r="4895" spans="35:68" x14ac:dyDescent="0.25">
      <c r="AI4895" s="49"/>
      <c r="AJ4895" s="78"/>
      <c r="AK4895" s="79"/>
      <c r="AL4895" s="79"/>
      <c r="AM4895" s="79"/>
      <c r="AN4895" s="79"/>
      <c r="AO4895" s="79"/>
      <c r="AP4895" s="79"/>
      <c r="AQ4895" s="79"/>
      <c r="AR4895" s="78"/>
      <c r="AS4895" s="78"/>
      <c r="AT4895" s="79"/>
      <c r="AU4895" s="79"/>
      <c r="AV4895" s="79"/>
      <c r="AW4895" s="79"/>
      <c r="AX4895" s="79"/>
      <c r="AZ4895" s="81"/>
      <c r="BB4895" s="5"/>
      <c r="BC4895" s="5"/>
      <c r="BD4895" s="5"/>
      <c r="BE4895" s="5"/>
      <c r="BF4895" s="5"/>
      <c r="BG4895" s="5"/>
      <c r="BH4895" s="5"/>
      <c r="BI4895" s="5"/>
      <c r="BJ4895" s="5"/>
      <c r="BK4895" s="5"/>
      <c r="BL4895" s="5"/>
      <c r="BM4895" s="5"/>
      <c r="BN4895" s="5"/>
      <c r="BO4895" s="5"/>
      <c r="BP4895" s="5"/>
    </row>
    <row r="4896" spans="35:68" x14ac:dyDescent="0.25">
      <c r="AI4896" s="49"/>
      <c r="AJ4896" s="78"/>
      <c r="AK4896" s="79"/>
      <c r="AL4896" s="79"/>
      <c r="AM4896" s="79"/>
      <c r="AN4896" s="79"/>
      <c r="AO4896" s="79"/>
      <c r="AP4896" s="79"/>
      <c r="AQ4896" s="79"/>
      <c r="AR4896" s="78"/>
      <c r="AS4896" s="78"/>
      <c r="AT4896" s="79"/>
      <c r="AU4896" s="79"/>
      <c r="AV4896" s="79"/>
      <c r="AW4896" s="79"/>
      <c r="AX4896" s="79"/>
      <c r="AZ4896" s="81"/>
      <c r="BB4896" s="5"/>
      <c r="BC4896" s="5"/>
      <c r="BD4896" s="5"/>
      <c r="BE4896" s="5"/>
      <c r="BF4896" s="5"/>
      <c r="BG4896" s="5"/>
      <c r="BH4896" s="5"/>
      <c r="BI4896" s="5"/>
      <c r="BJ4896" s="5"/>
      <c r="BK4896" s="5"/>
      <c r="BL4896" s="5"/>
      <c r="BM4896" s="5"/>
      <c r="BN4896" s="5"/>
      <c r="BO4896" s="5"/>
      <c r="BP4896" s="5"/>
    </row>
    <row r="4897" spans="35:68" x14ac:dyDescent="0.25">
      <c r="AI4897" s="49"/>
      <c r="AJ4897" s="78"/>
      <c r="AK4897" s="79"/>
      <c r="AL4897" s="79"/>
      <c r="AM4897" s="79"/>
      <c r="AN4897" s="79"/>
      <c r="AO4897" s="79"/>
      <c r="AP4897" s="79"/>
      <c r="AQ4897" s="79"/>
      <c r="AR4897" s="78"/>
      <c r="AS4897" s="78"/>
      <c r="AT4897" s="79"/>
      <c r="AU4897" s="79"/>
      <c r="AV4897" s="79"/>
      <c r="AW4897" s="79"/>
      <c r="AX4897" s="79"/>
      <c r="AZ4897" s="81"/>
      <c r="BB4897" s="5"/>
      <c r="BC4897" s="5"/>
      <c r="BD4897" s="5"/>
      <c r="BE4897" s="5"/>
      <c r="BF4897" s="5"/>
      <c r="BG4897" s="5"/>
      <c r="BH4897" s="5"/>
      <c r="BI4897" s="5"/>
      <c r="BJ4897" s="5"/>
      <c r="BK4897" s="5"/>
      <c r="BL4897" s="5"/>
      <c r="BM4897" s="5"/>
      <c r="BN4897" s="5"/>
      <c r="BO4897" s="5"/>
      <c r="BP4897" s="5"/>
    </row>
    <row r="4898" spans="35:68" x14ac:dyDescent="0.25">
      <c r="AI4898" s="49"/>
      <c r="AJ4898" s="78"/>
      <c r="AK4898" s="79"/>
      <c r="AL4898" s="79"/>
      <c r="AM4898" s="79"/>
      <c r="AN4898" s="79"/>
      <c r="AO4898" s="79"/>
      <c r="AP4898" s="79"/>
      <c r="AQ4898" s="79"/>
      <c r="AR4898" s="78"/>
      <c r="AS4898" s="78"/>
      <c r="AT4898" s="79"/>
      <c r="AU4898" s="79"/>
      <c r="AV4898" s="79"/>
      <c r="AW4898" s="79"/>
      <c r="AX4898" s="79"/>
      <c r="AZ4898" s="81"/>
      <c r="BB4898" s="5"/>
      <c r="BC4898" s="5"/>
      <c r="BD4898" s="5"/>
      <c r="BE4898" s="5"/>
      <c r="BF4898" s="5"/>
      <c r="BG4898" s="5"/>
      <c r="BH4898" s="5"/>
      <c r="BI4898" s="5"/>
      <c r="BJ4898" s="5"/>
      <c r="BK4898" s="5"/>
      <c r="BL4898" s="5"/>
      <c r="BM4898" s="5"/>
      <c r="BN4898" s="5"/>
      <c r="BO4898" s="5"/>
      <c r="BP4898" s="5"/>
    </row>
    <row r="4899" spans="35:68" x14ac:dyDescent="0.25">
      <c r="AI4899" s="49"/>
      <c r="AJ4899" s="78"/>
      <c r="AK4899" s="79"/>
      <c r="AL4899" s="79"/>
      <c r="AM4899" s="79"/>
      <c r="AN4899" s="79"/>
      <c r="AO4899" s="79"/>
      <c r="AP4899" s="79"/>
      <c r="AQ4899" s="79"/>
      <c r="AR4899" s="78"/>
      <c r="AS4899" s="78"/>
      <c r="AT4899" s="79"/>
      <c r="AU4899" s="79"/>
      <c r="AV4899" s="79"/>
      <c r="AW4899" s="79"/>
      <c r="AX4899" s="79"/>
      <c r="AZ4899" s="81"/>
      <c r="BB4899" s="5"/>
      <c r="BC4899" s="5"/>
      <c r="BD4899" s="5"/>
      <c r="BE4899" s="5"/>
      <c r="BF4899" s="5"/>
      <c r="BG4899" s="5"/>
      <c r="BH4899" s="5"/>
      <c r="BI4899" s="5"/>
      <c r="BJ4899" s="5"/>
      <c r="BK4899" s="5"/>
      <c r="BL4899" s="5"/>
      <c r="BM4899" s="5"/>
      <c r="BN4899" s="5"/>
      <c r="BO4899" s="5"/>
      <c r="BP4899" s="5"/>
    </row>
    <row r="4900" spans="35:68" x14ac:dyDescent="0.25">
      <c r="AI4900" s="49"/>
      <c r="AJ4900" s="78"/>
      <c r="AK4900" s="79"/>
      <c r="AL4900" s="79"/>
      <c r="AM4900" s="79"/>
      <c r="AN4900" s="79"/>
      <c r="AO4900" s="79"/>
      <c r="AP4900" s="79"/>
      <c r="AQ4900" s="79"/>
      <c r="AR4900" s="78"/>
      <c r="AS4900" s="78"/>
      <c r="AT4900" s="79"/>
      <c r="AU4900" s="79"/>
      <c r="AV4900" s="79"/>
      <c r="AW4900" s="79"/>
      <c r="AX4900" s="79"/>
      <c r="AZ4900" s="81"/>
      <c r="BB4900" s="5"/>
      <c r="BC4900" s="5"/>
      <c r="BD4900" s="5"/>
      <c r="BE4900" s="5"/>
      <c r="BF4900" s="5"/>
      <c r="BG4900" s="5"/>
      <c r="BH4900" s="5"/>
      <c r="BI4900" s="5"/>
      <c r="BJ4900" s="5"/>
      <c r="BK4900" s="5"/>
      <c r="BL4900" s="5"/>
      <c r="BM4900" s="5"/>
      <c r="BN4900" s="5"/>
      <c r="BO4900" s="5"/>
      <c r="BP4900" s="5"/>
    </row>
    <row r="4901" spans="35:68" x14ac:dyDescent="0.25">
      <c r="AI4901" s="49"/>
      <c r="AJ4901" s="78"/>
      <c r="AK4901" s="79"/>
      <c r="AL4901" s="79"/>
      <c r="AM4901" s="79"/>
      <c r="AN4901" s="79"/>
      <c r="AO4901" s="79"/>
      <c r="AP4901" s="79"/>
      <c r="AQ4901" s="79"/>
      <c r="AR4901" s="78"/>
      <c r="AS4901" s="78"/>
      <c r="AT4901" s="79"/>
      <c r="AU4901" s="79"/>
      <c r="AV4901" s="79"/>
      <c r="AW4901" s="79"/>
      <c r="AX4901" s="79"/>
      <c r="AZ4901" s="81"/>
      <c r="BB4901" s="5"/>
      <c r="BC4901" s="5"/>
      <c r="BD4901" s="5"/>
      <c r="BE4901" s="5"/>
      <c r="BF4901" s="5"/>
      <c r="BG4901" s="5"/>
      <c r="BH4901" s="5"/>
      <c r="BI4901" s="5"/>
      <c r="BJ4901" s="5"/>
      <c r="BK4901" s="5"/>
      <c r="BL4901" s="5"/>
      <c r="BM4901" s="5"/>
      <c r="BN4901" s="5"/>
      <c r="BO4901" s="5"/>
      <c r="BP4901" s="5"/>
    </row>
    <row r="4902" spans="35:68" x14ac:dyDescent="0.25">
      <c r="AI4902" s="49"/>
      <c r="AJ4902" s="78"/>
      <c r="AK4902" s="79"/>
      <c r="AL4902" s="79"/>
      <c r="AM4902" s="79"/>
      <c r="AN4902" s="79"/>
      <c r="AO4902" s="79"/>
      <c r="AP4902" s="79"/>
      <c r="AQ4902" s="79"/>
      <c r="AR4902" s="78"/>
      <c r="AS4902" s="78"/>
      <c r="AT4902" s="79"/>
      <c r="AU4902" s="79"/>
      <c r="AV4902" s="79"/>
      <c r="AW4902" s="79"/>
      <c r="AX4902" s="79"/>
      <c r="AZ4902" s="81"/>
      <c r="BB4902" s="5"/>
      <c r="BC4902" s="5"/>
      <c r="BD4902" s="5"/>
      <c r="BE4902" s="5"/>
      <c r="BF4902" s="5"/>
      <c r="BG4902" s="5"/>
      <c r="BH4902" s="5"/>
      <c r="BI4902" s="5"/>
      <c r="BJ4902" s="5"/>
      <c r="BK4902" s="5"/>
      <c r="BL4902" s="5"/>
      <c r="BM4902" s="5"/>
      <c r="BN4902" s="5"/>
      <c r="BO4902" s="5"/>
      <c r="BP4902" s="5"/>
    </row>
    <row r="4903" spans="35:68" x14ac:dyDescent="0.25">
      <c r="AI4903" s="49"/>
      <c r="AJ4903" s="78"/>
      <c r="AK4903" s="79"/>
      <c r="AL4903" s="79"/>
      <c r="AM4903" s="79"/>
      <c r="AN4903" s="79"/>
      <c r="AO4903" s="79"/>
      <c r="AP4903" s="79"/>
      <c r="AQ4903" s="79"/>
      <c r="AR4903" s="78"/>
      <c r="AS4903" s="78"/>
      <c r="AT4903" s="79"/>
      <c r="AU4903" s="79"/>
      <c r="AV4903" s="79"/>
      <c r="AW4903" s="79"/>
      <c r="AX4903" s="79"/>
      <c r="AZ4903" s="81"/>
      <c r="BB4903" s="5"/>
      <c r="BC4903" s="5"/>
      <c r="BD4903" s="5"/>
      <c r="BE4903" s="5"/>
      <c r="BF4903" s="5"/>
      <c r="BG4903" s="5"/>
      <c r="BH4903" s="5"/>
      <c r="BI4903" s="5"/>
      <c r="BJ4903" s="5"/>
      <c r="BK4903" s="5"/>
      <c r="BL4903" s="5"/>
      <c r="BM4903" s="5"/>
      <c r="BN4903" s="5"/>
      <c r="BO4903" s="5"/>
      <c r="BP4903" s="5"/>
    </row>
    <row r="4904" spans="35:68" x14ac:dyDescent="0.25">
      <c r="AI4904" s="49"/>
      <c r="AJ4904" s="78"/>
      <c r="AK4904" s="79"/>
      <c r="AL4904" s="79"/>
      <c r="AM4904" s="79"/>
      <c r="AN4904" s="79"/>
      <c r="AO4904" s="79"/>
      <c r="AP4904" s="79"/>
      <c r="AQ4904" s="79"/>
      <c r="AR4904" s="78"/>
      <c r="AS4904" s="78"/>
      <c r="AT4904" s="79"/>
      <c r="AU4904" s="79"/>
      <c r="AV4904" s="79"/>
      <c r="AW4904" s="79"/>
      <c r="AX4904" s="79"/>
      <c r="AZ4904" s="81"/>
      <c r="BB4904" s="5"/>
      <c r="BC4904" s="5"/>
      <c r="BD4904" s="5"/>
      <c r="BE4904" s="5"/>
      <c r="BF4904" s="5"/>
      <c r="BG4904" s="5"/>
      <c r="BH4904" s="5"/>
      <c r="BI4904" s="5"/>
      <c r="BJ4904" s="5"/>
      <c r="BK4904" s="5"/>
      <c r="BL4904" s="5"/>
      <c r="BM4904" s="5"/>
      <c r="BN4904" s="5"/>
      <c r="BO4904" s="5"/>
      <c r="BP4904" s="5"/>
    </row>
    <row r="4905" spans="35:68" x14ac:dyDescent="0.25">
      <c r="AI4905" s="49"/>
      <c r="AJ4905" s="78"/>
      <c r="AK4905" s="79"/>
      <c r="AL4905" s="79"/>
      <c r="AM4905" s="79"/>
      <c r="AN4905" s="79"/>
      <c r="AO4905" s="79"/>
      <c r="AP4905" s="79"/>
      <c r="AQ4905" s="79"/>
      <c r="AR4905" s="78"/>
      <c r="AS4905" s="78"/>
      <c r="AT4905" s="79"/>
      <c r="AU4905" s="79"/>
      <c r="AV4905" s="79"/>
      <c r="AW4905" s="79"/>
      <c r="AX4905" s="79"/>
      <c r="AZ4905" s="81"/>
      <c r="BB4905" s="5"/>
      <c r="BC4905" s="5"/>
      <c r="BD4905" s="5"/>
      <c r="BE4905" s="5"/>
      <c r="BF4905" s="5"/>
      <c r="BG4905" s="5"/>
      <c r="BH4905" s="5"/>
      <c r="BI4905" s="5"/>
      <c r="BJ4905" s="5"/>
      <c r="BK4905" s="5"/>
      <c r="BL4905" s="5"/>
      <c r="BM4905" s="5"/>
      <c r="BN4905" s="5"/>
      <c r="BO4905" s="5"/>
      <c r="BP4905" s="5"/>
    </row>
    <row r="4906" spans="35:68" x14ac:dyDescent="0.25">
      <c r="AI4906" s="49"/>
      <c r="AJ4906" s="78"/>
      <c r="AK4906" s="79"/>
      <c r="AL4906" s="79"/>
      <c r="AM4906" s="79"/>
      <c r="AN4906" s="79"/>
      <c r="AO4906" s="79"/>
      <c r="AP4906" s="79"/>
      <c r="AQ4906" s="79"/>
      <c r="AR4906" s="78"/>
      <c r="AS4906" s="78"/>
      <c r="AT4906" s="79"/>
      <c r="AU4906" s="79"/>
      <c r="AV4906" s="79"/>
      <c r="AW4906" s="79"/>
      <c r="AX4906" s="79"/>
      <c r="AZ4906" s="81"/>
      <c r="BB4906" s="5"/>
      <c r="BC4906" s="5"/>
      <c r="BD4906" s="5"/>
      <c r="BE4906" s="5"/>
      <c r="BF4906" s="5"/>
      <c r="BG4906" s="5"/>
      <c r="BH4906" s="5"/>
      <c r="BI4906" s="5"/>
      <c r="BJ4906" s="5"/>
      <c r="BK4906" s="5"/>
      <c r="BL4906" s="5"/>
      <c r="BM4906" s="5"/>
      <c r="BN4906" s="5"/>
      <c r="BO4906" s="5"/>
      <c r="BP4906" s="5"/>
    </row>
    <row r="4907" spans="35:68" x14ac:dyDescent="0.25">
      <c r="AI4907" s="49"/>
      <c r="AJ4907" s="78"/>
      <c r="AK4907" s="79"/>
      <c r="AL4907" s="79"/>
      <c r="AM4907" s="79"/>
      <c r="AN4907" s="79"/>
      <c r="AO4907" s="79"/>
      <c r="AP4907" s="79"/>
      <c r="AQ4907" s="79"/>
      <c r="AR4907" s="78"/>
      <c r="AS4907" s="78"/>
      <c r="AT4907" s="79"/>
      <c r="AU4907" s="79"/>
      <c r="AV4907" s="79"/>
      <c r="AW4907" s="79"/>
      <c r="AX4907" s="79"/>
      <c r="AZ4907" s="81"/>
      <c r="BB4907" s="5"/>
      <c r="BC4907" s="5"/>
      <c r="BD4907" s="5"/>
      <c r="BE4907" s="5"/>
      <c r="BF4907" s="5"/>
      <c r="BG4907" s="5"/>
      <c r="BH4907" s="5"/>
      <c r="BI4907" s="5"/>
      <c r="BJ4907" s="5"/>
      <c r="BK4907" s="5"/>
      <c r="BL4907" s="5"/>
      <c r="BM4907" s="5"/>
      <c r="BN4907" s="5"/>
      <c r="BO4907" s="5"/>
      <c r="BP4907" s="5"/>
    </row>
    <row r="4908" spans="35:68" x14ac:dyDescent="0.25">
      <c r="AI4908" s="49"/>
      <c r="AJ4908" s="78"/>
      <c r="AK4908" s="79"/>
      <c r="AL4908" s="79"/>
      <c r="AM4908" s="79"/>
      <c r="AN4908" s="79"/>
      <c r="AO4908" s="79"/>
      <c r="AP4908" s="79"/>
      <c r="AQ4908" s="79"/>
      <c r="AR4908" s="78"/>
      <c r="AS4908" s="78"/>
      <c r="AT4908" s="79"/>
      <c r="AU4908" s="79"/>
      <c r="AV4908" s="79"/>
      <c r="AW4908" s="79"/>
      <c r="AX4908" s="79"/>
      <c r="AZ4908" s="81"/>
      <c r="BB4908" s="5"/>
      <c r="BC4908" s="5"/>
      <c r="BD4908" s="5"/>
      <c r="BE4908" s="5"/>
      <c r="BF4908" s="5"/>
      <c r="BG4908" s="5"/>
      <c r="BH4908" s="5"/>
      <c r="BI4908" s="5"/>
      <c r="BJ4908" s="5"/>
      <c r="BK4908" s="5"/>
      <c r="BL4908" s="5"/>
      <c r="BM4908" s="5"/>
      <c r="BN4908" s="5"/>
      <c r="BO4908" s="5"/>
      <c r="BP4908" s="5"/>
    </row>
    <row r="4909" spans="35:68" x14ac:dyDescent="0.25">
      <c r="AI4909" s="49"/>
      <c r="AJ4909" s="78"/>
      <c r="AK4909" s="79"/>
      <c r="AL4909" s="79"/>
      <c r="AM4909" s="79"/>
      <c r="AN4909" s="79"/>
      <c r="AO4909" s="79"/>
      <c r="AP4909" s="79"/>
      <c r="AQ4909" s="79"/>
      <c r="AR4909" s="78"/>
      <c r="AS4909" s="78"/>
      <c r="AT4909" s="79"/>
      <c r="AU4909" s="79"/>
      <c r="AV4909" s="79"/>
      <c r="AW4909" s="79"/>
      <c r="AX4909" s="79"/>
      <c r="AZ4909" s="81"/>
      <c r="BB4909" s="5"/>
      <c r="BC4909" s="5"/>
      <c r="BD4909" s="5"/>
      <c r="BE4909" s="5"/>
      <c r="BF4909" s="5"/>
      <c r="BG4909" s="5"/>
      <c r="BH4909" s="5"/>
      <c r="BI4909" s="5"/>
      <c r="BJ4909" s="5"/>
      <c r="BK4909" s="5"/>
      <c r="BL4909" s="5"/>
      <c r="BM4909" s="5"/>
      <c r="BN4909" s="5"/>
      <c r="BO4909" s="5"/>
      <c r="BP4909" s="5"/>
    </row>
    <row r="4910" spans="35:68" x14ac:dyDescent="0.25">
      <c r="AI4910" s="49"/>
      <c r="AJ4910" s="78"/>
      <c r="AK4910" s="79"/>
      <c r="AL4910" s="79"/>
      <c r="AM4910" s="79"/>
      <c r="AN4910" s="79"/>
      <c r="AO4910" s="79"/>
      <c r="AP4910" s="79"/>
      <c r="AQ4910" s="79"/>
      <c r="AR4910" s="78"/>
      <c r="AS4910" s="78"/>
      <c r="AT4910" s="79"/>
      <c r="AU4910" s="79"/>
      <c r="AV4910" s="79"/>
      <c r="AW4910" s="79"/>
      <c r="AX4910" s="79"/>
      <c r="AZ4910" s="81"/>
      <c r="BB4910" s="5"/>
      <c r="BC4910" s="5"/>
      <c r="BD4910" s="5"/>
      <c r="BE4910" s="5"/>
      <c r="BF4910" s="5"/>
      <c r="BG4910" s="5"/>
      <c r="BH4910" s="5"/>
      <c r="BI4910" s="5"/>
      <c r="BJ4910" s="5"/>
      <c r="BK4910" s="5"/>
      <c r="BL4910" s="5"/>
      <c r="BM4910" s="5"/>
      <c r="BN4910" s="5"/>
      <c r="BO4910" s="5"/>
      <c r="BP4910" s="5"/>
    </row>
    <row r="4911" spans="35:68" x14ac:dyDescent="0.25">
      <c r="AI4911" s="49"/>
      <c r="AJ4911" s="78"/>
      <c r="AK4911" s="79"/>
      <c r="AL4911" s="79"/>
      <c r="AM4911" s="79"/>
      <c r="AN4911" s="79"/>
      <c r="AO4911" s="79"/>
      <c r="AP4911" s="79"/>
      <c r="AQ4911" s="79"/>
      <c r="AR4911" s="78"/>
      <c r="AS4911" s="78"/>
      <c r="AT4911" s="79"/>
      <c r="AU4911" s="79"/>
      <c r="AV4911" s="79"/>
      <c r="AW4911" s="79"/>
      <c r="AX4911" s="79"/>
      <c r="AZ4911" s="81"/>
      <c r="BB4911" s="5"/>
      <c r="BC4911" s="5"/>
      <c r="BD4911" s="5"/>
      <c r="BE4911" s="5"/>
      <c r="BF4911" s="5"/>
      <c r="BG4911" s="5"/>
      <c r="BH4911" s="5"/>
      <c r="BI4911" s="5"/>
      <c r="BJ4911" s="5"/>
      <c r="BK4911" s="5"/>
      <c r="BL4911" s="5"/>
      <c r="BM4911" s="5"/>
      <c r="BN4911" s="5"/>
      <c r="BO4911" s="5"/>
      <c r="BP4911" s="5"/>
    </row>
    <row r="4912" spans="35:68" x14ac:dyDescent="0.25">
      <c r="AI4912" s="49"/>
      <c r="AJ4912" s="78"/>
      <c r="AK4912" s="79"/>
      <c r="AL4912" s="79"/>
      <c r="AM4912" s="79"/>
      <c r="AN4912" s="79"/>
      <c r="AO4912" s="79"/>
      <c r="AP4912" s="79"/>
      <c r="AQ4912" s="79"/>
      <c r="AR4912" s="78"/>
      <c r="AS4912" s="78"/>
      <c r="AT4912" s="79"/>
      <c r="AU4912" s="79"/>
      <c r="AV4912" s="79"/>
      <c r="AW4912" s="79"/>
      <c r="AX4912" s="79"/>
      <c r="AZ4912" s="81"/>
      <c r="BB4912" s="5"/>
      <c r="BC4912" s="5"/>
      <c r="BD4912" s="5"/>
      <c r="BE4912" s="5"/>
      <c r="BF4912" s="5"/>
      <c r="BG4912" s="5"/>
      <c r="BH4912" s="5"/>
      <c r="BI4912" s="5"/>
      <c r="BJ4912" s="5"/>
      <c r="BK4912" s="5"/>
      <c r="BL4912" s="5"/>
      <c r="BM4912" s="5"/>
      <c r="BN4912" s="5"/>
      <c r="BO4912" s="5"/>
      <c r="BP4912" s="5"/>
    </row>
    <row r="4913" spans="35:68" x14ac:dyDescent="0.25">
      <c r="AI4913" s="49"/>
      <c r="AJ4913" s="78"/>
      <c r="AK4913" s="79"/>
      <c r="AL4913" s="79"/>
      <c r="AM4913" s="79"/>
      <c r="AN4913" s="79"/>
      <c r="AO4913" s="79"/>
      <c r="AP4913" s="79"/>
      <c r="AQ4913" s="79"/>
      <c r="AR4913" s="78"/>
      <c r="AS4913" s="78"/>
      <c r="AT4913" s="79"/>
      <c r="AU4913" s="79"/>
      <c r="AV4913" s="79"/>
      <c r="AW4913" s="79"/>
      <c r="AX4913" s="79"/>
      <c r="AZ4913" s="81"/>
      <c r="BB4913" s="5"/>
      <c r="BC4913" s="5"/>
      <c r="BD4913" s="5"/>
      <c r="BE4913" s="5"/>
      <c r="BF4913" s="5"/>
      <c r="BG4913" s="5"/>
      <c r="BH4913" s="5"/>
      <c r="BI4913" s="5"/>
      <c r="BJ4913" s="5"/>
      <c r="BK4913" s="5"/>
      <c r="BL4913" s="5"/>
      <c r="BM4913" s="5"/>
      <c r="BN4913" s="5"/>
      <c r="BO4913" s="5"/>
      <c r="BP4913" s="5"/>
    </row>
    <row r="4914" spans="35:68" x14ac:dyDescent="0.25">
      <c r="AI4914" s="49"/>
      <c r="AJ4914" s="78"/>
      <c r="AK4914" s="79"/>
      <c r="AL4914" s="79"/>
      <c r="AM4914" s="79"/>
      <c r="AN4914" s="79"/>
      <c r="AO4914" s="79"/>
      <c r="AP4914" s="79"/>
      <c r="AQ4914" s="79"/>
      <c r="AR4914" s="78"/>
      <c r="AS4914" s="78"/>
      <c r="AT4914" s="79"/>
      <c r="AU4914" s="79"/>
      <c r="AV4914" s="79"/>
      <c r="AW4914" s="79"/>
      <c r="AX4914" s="79"/>
      <c r="AZ4914" s="81"/>
      <c r="BB4914" s="5"/>
      <c r="BC4914" s="5"/>
      <c r="BD4914" s="5"/>
      <c r="BE4914" s="5"/>
      <c r="BF4914" s="5"/>
      <c r="BG4914" s="5"/>
      <c r="BH4914" s="5"/>
      <c r="BI4914" s="5"/>
      <c r="BJ4914" s="5"/>
      <c r="BK4914" s="5"/>
      <c r="BL4914" s="5"/>
      <c r="BM4914" s="5"/>
      <c r="BN4914" s="5"/>
      <c r="BO4914" s="5"/>
      <c r="BP4914" s="5"/>
    </row>
    <row r="4915" spans="35:68" x14ac:dyDescent="0.25">
      <c r="AI4915" s="49"/>
      <c r="AJ4915" s="78"/>
      <c r="AK4915" s="79"/>
      <c r="AL4915" s="79"/>
      <c r="AM4915" s="79"/>
      <c r="AN4915" s="79"/>
      <c r="AO4915" s="79"/>
      <c r="AP4915" s="79"/>
      <c r="AQ4915" s="79"/>
      <c r="AR4915" s="78"/>
      <c r="AS4915" s="78"/>
      <c r="AT4915" s="79"/>
      <c r="AU4915" s="79"/>
      <c r="AV4915" s="79"/>
      <c r="AW4915" s="79"/>
      <c r="AX4915" s="79"/>
      <c r="AZ4915" s="81"/>
      <c r="BB4915" s="5"/>
      <c r="BC4915" s="5"/>
      <c r="BD4915" s="5"/>
      <c r="BE4915" s="5"/>
      <c r="BF4915" s="5"/>
      <c r="BG4915" s="5"/>
      <c r="BH4915" s="5"/>
      <c r="BI4915" s="5"/>
      <c r="BJ4915" s="5"/>
      <c r="BK4915" s="5"/>
      <c r="BL4915" s="5"/>
      <c r="BM4915" s="5"/>
      <c r="BN4915" s="5"/>
      <c r="BO4915" s="5"/>
      <c r="BP4915" s="5"/>
    </row>
    <row r="4916" spans="35:68" x14ac:dyDescent="0.25">
      <c r="AI4916" s="49"/>
      <c r="AJ4916" s="78"/>
      <c r="AK4916" s="79"/>
      <c r="AL4916" s="79"/>
      <c r="AM4916" s="79"/>
      <c r="AN4916" s="79"/>
      <c r="AO4916" s="79"/>
      <c r="AP4916" s="79"/>
      <c r="AQ4916" s="79"/>
      <c r="AR4916" s="78"/>
      <c r="AS4916" s="78"/>
      <c r="AT4916" s="79"/>
      <c r="AU4916" s="79"/>
      <c r="AV4916" s="79"/>
      <c r="AW4916" s="79"/>
      <c r="AX4916" s="79"/>
      <c r="AZ4916" s="81"/>
      <c r="BB4916" s="5"/>
      <c r="BC4916" s="5"/>
      <c r="BD4916" s="5"/>
      <c r="BE4916" s="5"/>
      <c r="BF4916" s="5"/>
      <c r="BG4916" s="5"/>
      <c r="BH4916" s="5"/>
      <c r="BI4916" s="5"/>
      <c r="BJ4916" s="5"/>
      <c r="BK4916" s="5"/>
      <c r="BL4916" s="5"/>
      <c r="BM4916" s="5"/>
      <c r="BN4916" s="5"/>
      <c r="BO4916" s="5"/>
      <c r="BP4916" s="5"/>
    </row>
    <row r="4917" spans="35:68" x14ac:dyDescent="0.25">
      <c r="AI4917" s="49"/>
      <c r="AJ4917" s="78"/>
      <c r="AK4917" s="79"/>
      <c r="AL4917" s="79"/>
      <c r="AM4917" s="79"/>
      <c r="AN4917" s="79"/>
      <c r="AO4917" s="79"/>
      <c r="AP4917" s="79"/>
      <c r="AQ4917" s="79"/>
      <c r="AR4917" s="78"/>
      <c r="AS4917" s="78"/>
      <c r="AT4917" s="79"/>
      <c r="AU4917" s="79"/>
      <c r="AV4917" s="79"/>
      <c r="AW4917" s="79"/>
      <c r="AX4917" s="79"/>
      <c r="AZ4917" s="81"/>
      <c r="BB4917" s="5"/>
      <c r="BC4917" s="5"/>
      <c r="BD4917" s="5"/>
      <c r="BE4917" s="5"/>
      <c r="BF4917" s="5"/>
      <c r="BG4917" s="5"/>
      <c r="BH4917" s="5"/>
      <c r="BI4917" s="5"/>
      <c r="BJ4917" s="5"/>
      <c r="BK4917" s="5"/>
      <c r="BL4917" s="5"/>
      <c r="BM4917" s="5"/>
      <c r="BN4917" s="5"/>
      <c r="BO4917" s="5"/>
      <c r="BP4917" s="5"/>
    </row>
    <row r="4918" spans="35:68" x14ac:dyDescent="0.25">
      <c r="AI4918" s="49"/>
      <c r="AJ4918" s="78"/>
      <c r="AK4918" s="79"/>
      <c r="AL4918" s="79"/>
      <c r="AM4918" s="79"/>
      <c r="AN4918" s="79"/>
      <c r="AO4918" s="79"/>
      <c r="AP4918" s="79"/>
      <c r="AQ4918" s="79"/>
      <c r="AR4918" s="78"/>
      <c r="AS4918" s="78"/>
      <c r="AT4918" s="79"/>
      <c r="AU4918" s="79"/>
      <c r="AV4918" s="79"/>
      <c r="AW4918" s="79"/>
      <c r="AX4918" s="79"/>
      <c r="AZ4918" s="81"/>
      <c r="BB4918" s="5"/>
      <c r="BC4918" s="5"/>
      <c r="BD4918" s="5"/>
      <c r="BE4918" s="5"/>
      <c r="BF4918" s="5"/>
      <c r="BG4918" s="5"/>
      <c r="BH4918" s="5"/>
      <c r="BI4918" s="5"/>
      <c r="BJ4918" s="5"/>
      <c r="BK4918" s="5"/>
      <c r="BL4918" s="5"/>
      <c r="BM4918" s="5"/>
      <c r="BN4918" s="5"/>
      <c r="BO4918" s="5"/>
      <c r="BP4918" s="5"/>
    </row>
    <row r="4919" spans="35:68" x14ac:dyDescent="0.25">
      <c r="AI4919" s="49"/>
      <c r="AJ4919" s="78"/>
      <c r="AK4919" s="79"/>
      <c r="AL4919" s="79"/>
      <c r="AM4919" s="79"/>
      <c r="AN4919" s="79"/>
      <c r="AO4919" s="79"/>
      <c r="AP4919" s="79"/>
      <c r="AQ4919" s="79"/>
      <c r="AR4919" s="78"/>
      <c r="AS4919" s="78"/>
      <c r="AT4919" s="79"/>
      <c r="AU4919" s="79"/>
      <c r="AV4919" s="79"/>
      <c r="AW4919" s="79"/>
      <c r="AX4919" s="79"/>
      <c r="AZ4919" s="81"/>
      <c r="BB4919" s="5"/>
      <c r="BC4919" s="5"/>
      <c r="BD4919" s="5"/>
      <c r="BE4919" s="5"/>
      <c r="BF4919" s="5"/>
      <c r="BG4919" s="5"/>
      <c r="BH4919" s="5"/>
      <c r="BI4919" s="5"/>
      <c r="BJ4919" s="5"/>
      <c r="BK4919" s="5"/>
      <c r="BL4919" s="5"/>
      <c r="BM4919" s="5"/>
      <c r="BN4919" s="5"/>
      <c r="BO4919" s="5"/>
      <c r="BP4919" s="5"/>
    </row>
    <row r="4920" spans="35:68" x14ac:dyDescent="0.25">
      <c r="AI4920" s="49"/>
      <c r="AJ4920" s="78"/>
      <c r="AK4920" s="79"/>
      <c r="AL4920" s="79"/>
      <c r="AM4920" s="79"/>
      <c r="AN4920" s="79"/>
      <c r="AO4920" s="79"/>
      <c r="AP4920" s="79"/>
      <c r="AQ4920" s="79"/>
      <c r="AR4920" s="78"/>
      <c r="AS4920" s="78"/>
      <c r="AT4920" s="79"/>
      <c r="AU4920" s="79"/>
      <c r="AV4920" s="79"/>
      <c r="AW4920" s="79"/>
      <c r="AX4920" s="79"/>
      <c r="AZ4920" s="81"/>
      <c r="BB4920" s="5"/>
      <c r="BC4920" s="5"/>
      <c r="BD4920" s="5"/>
      <c r="BE4920" s="5"/>
      <c r="BF4920" s="5"/>
      <c r="BG4920" s="5"/>
      <c r="BH4920" s="5"/>
      <c r="BI4920" s="5"/>
      <c r="BJ4920" s="5"/>
      <c r="BK4920" s="5"/>
      <c r="BL4920" s="5"/>
      <c r="BM4920" s="5"/>
      <c r="BN4920" s="5"/>
      <c r="BO4920" s="5"/>
      <c r="BP4920" s="5"/>
    </row>
    <row r="4921" spans="35:68" x14ac:dyDescent="0.25">
      <c r="AI4921" s="49"/>
      <c r="AJ4921" s="78"/>
      <c r="AK4921" s="79"/>
      <c r="AL4921" s="79"/>
      <c r="AM4921" s="79"/>
      <c r="AN4921" s="79"/>
      <c r="AO4921" s="79"/>
      <c r="AP4921" s="79"/>
      <c r="AQ4921" s="79"/>
      <c r="AR4921" s="78"/>
      <c r="AS4921" s="78"/>
      <c r="AT4921" s="79"/>
      <c r="AU4921" s="79"/>
      <c r="AV4921" s="79"/>
      <c r="AW4921" s="79"/>
      <c r="AX4921" s="79"/>
      <c r="AZ4921" s="81"/>
      <c r="BB4921" s="5"/>
      <c r="BC4921" s="5"/>
      <c r="BD4921" s="5"/>
      <c r="BE4921" s="5"/>
      <c r="BF4921" s="5"/>
      <c r="BG4921" s="5"/>
      <c r="BH4921" s="5"/>
      <c r="BI4921" s="5"/>
      <c r="BJ4921" s="5"/>
      <c r="BK4921" s="5"/>
      <c r="BL4921" s="5"/>
      <c r="BM4921" s="5"/>
      <c r="BN4921" s="5"/>
      <c r="BO4921" s="5"/>
      <c r="BP4921" s="5"/>
    </row>
    <row r="4922" spans="35:68" x14ac:dyDescent="0.25">
      <c r="AI4922" s="49"/>
      <c r="AJ4922" s="78"/>
      <c r="AK4922" s="79"/>
      <c r="AL4922" s="79"/>
      <c r="AM4922" s="79"/>
      <c r="AN4922" s="79"/>
      <c r="AO4922" s="79"/>
      <c r="AP4922" s="79"/>
      <c r="AQ4922" s="79"/>
      <c r="AR4922" s="78"/>
      <c r="AS4922" s="78"/>
      <c r="AT4922" s="79"/>
      <c r="AU4922" s="79"/>
      <c r="AV4922" s="79"/>
      <c r="AW4922" s="79"/>
      <c r="AX4922" s="79"/>
      <c r="AZ4922" s="81"/>
      <c r="BB4922" s="5"/>
      <c r="BC4922" s="5"/>
      <c r="BD4922" s="5"/>
      <c r="BE4922" s="5"/>
      <c r="BF4922" s="5"/>
      <c r="BG4922" s="5"/>
      <c r="BH4922" s="5"/>
      <c r="BI4922" s="5"/>
      <c r="BJ4922" s="5"/>
      <c r="BK4922" s="5"/>
      <c r="BL4922" s="5"/>
      <c r="BM4922" s="5"/>
      <c r="BN4922" s="5"/>
      <c r="BO4922" s="5"/>
      <c r="BP4922" s="5"/>
    </row>
    <row r="4923" spans="35:68" x14ac:dyDescent="0.25">
      <c r="AI4923" s="49"/>
      <c r="AJ4923" s="78"/>
      <c r="AK4923" s="79"/>
      <c r="AL4923" s="79"/>
      <c r="AM4923" s="79"/>
      <c r="AN4923" s="79"/>
      <c r="AO4923" s="79"/>
      <c r="AP4923" s="79"/>
      <c r="AQ4923" s="79"/>
      <c r="AR4923" s="78"/>
      <c r="AS4923" s="78"/>
      <c r="AT4923" s="79"/>
      <c r="AU4923" s="79"/>
      <c r="AV4923" s="79"/>
      <c r="AW4923" s="79"/>
      <c r="AX4923" s="79"/>
      <c r="AZ4923" s="81"/>
      <c r="BB4923" s="5"/>
      <c r="BC4923" s="5"/>
      <c r="BD4923" s="5"/>
      <c r="BE4923" s="5"/>
      <c r="BF4923" s="5"/>
      <c r="BG4923" s="5"/>
      <c r="BH4923" s="5"/>
      <c r="BI4923" s="5"/>
      <c r="BJ4923" s="5"/>
      <c r="BK4923" s="5"/>
      <c r="BL4923" s="5"/>
      <c r="BM4923" s="5"/>
      <c r="BN4923" s="5"/>
      <c r="BO4923" s="5"/>
      <c r="BP4923" s="5"/>
    </row>
    <row r="4924" spans="35:68" x14ac:dyDescent="0.25">
      <c r="AI4924" s="49"/>
      <c r="AJ4924" s="78"/>
      <c r="AK4924" s="79"/>
      <c r="AL4924" s="79"/>
      <c r="AM4924" s="79"/>
      <c r="AN4924" s="79"/>
      <c r="AO4924" s="79"/>
      <c r="AP4924" s="79"/>
      <c r="AQ4924" s="79"/>
      <c r="AR4924" s="78"/>
      <c r="AS4924" s="78"/>
      <c r="AT4924" s="79"/>
      <c r="AU4924" s="79"/>
      <c r="AV4924" s="79"/>
      <c r="AW4924" s="79"/>
      <c r="AX4924" s="79"/>
      <c r="AZ4924" s="81"/>
      <c r="BB4924" s="5"/>
      <c r="BC4924" s="5"/>
      <c r="BD4924" s="5"/>
      <c r="BE4924" s="5"/>
      <c r="BF4924" s="5"/>
      <c r="BG4924" s="5"/>
      <c r="BH4924" s="5"/>
      <c r="BI4924" s="5"/>
      <c r="BJ4924" s="5"/>
      <c r="BK4924" s="5"/>
      <c r="BL4924" s="5"/>
      <c r="BM4924" s="5"/>
      <c r="BN4924" s="5"/>
      <c r="BO4924" s="5"/>
      <c r="BP4924" s="5"/>
    </row>
    <row r="4925" spans="35:68" x14ac:dyDescent="0.25">
      <c r="AI4925" s="49"/>
      <c r="AJ4925" s="78"/>
      <c r="AK4925" s="79"/>
      <c r="AL4925" s="79"/>
      <c r="AM4925" s="79"/>
      <c r="AN4925" s="79"/>
      <c r="AO4925" s="79"/>
      <c r="AP4925" s="79"/>
      <c r="AQ4925" s="79"/>
      <c r="AR4925" s="78"/>
      <c r="AS4925" s="78"/>
      <c r="AT4925" s="79"/>
      <c r="AU4925" s="79"/>
      <c r="AV4925" s="79"/>
      <c r="AW4925" s="79"/>
      <c r="AX4925" s="79"/>
      <c r="AZ4925" s="81"/>
      <c r="BB4925" s="5"/>
      <c r="BC4925" s="5"/>
      <c r="BD4925" s="5"/>
      <c r="BE4925" s="5"/>
      <c r="BF4925" s="5"/>
      <c r="BG4925" s="5"/>
      <c r="BH4925" s="5"/>
      <c r="BI4925" s="5"/>
      <c r="BJ4925" s="5"/>
      <c r="BK4925" s="5"/>
      <c r="BL4925" s="5"/>
      <c r="BM4925" s="5"/>
      <c r="BN4925" s="5"/>
      <c r="BO4925" s="5"/>
      <c r="BP4925" s="5"/>
    </row>
    <row r="4926" spans="35:68" x14ac:dyDescent="0.25">
      <c r="AI4926" s="49"/>
      <c r="AJ4926" s="78"/>
      <c r="AK4926" s="79"/>
      <c r="AL4926" s="79"/>
      <c r="AM4926" s="79"/>
      <c r="AN4926" s="79"/>
      <c r="AO4926" s="79"/>
      <c r="AP4926" s="79"/>
      <c r="AQ4926" s="79"/>
      <c r="AR4926" s="78"/>
      <c r="AS4926" s="78"/>
      <c r="AT4926" s="79"/>
      <c r="AU4926" s="79"/>
      <c r="AV4926" s="79"/>
      <c r="AW4926" s="79"/>
      <c r="AX4926" s="79"/>
      <c r="AZ4926" s="81"/>
      <c r="BB4926" s="5"/>
      <c r="BC4926" s="5"/>
      <c r="BD4926" s="5"/>
      <c r="BE4926" s="5"/>
      <c r="BF4926" s="5"/>
      <c r="BG4926" s="5"/>
      <c r="BH4926" s="5"/>
      <c r="BI4926" s="5"/>
      <c r="BJ4926" s="5"/>
      <c r="BK4926" s="5"/>
      <c r="BL4926" s="5"/>
      <c r="BM4926" s="5"/>
      <c r="BN4926" s="5"/>
      <c r="BO4926" s="5"/>
      <c r="BP4926" s="5"/>
    </row>
    <row r="4927" spans="35:68" x14ac:dyDescent="0.25">
      <c r="AI4927" s="49"/>
      <c r="AJ4927" s="78"/>
      <c r="AK4927" s="79"/>
      <c r="AL4927" s="79"/>
      <c r="AM4927" s="79"/>
      <c r="AN4927" s="79"/>
      <c r="AO4927" s="79"/>
      <c r="AP4927" s="79"/>
      <c r="AQ4927" s="79"/>
      <c r="AR4927" s="78"/>
      <c r="AS4927" s="78"/>
      <c r="AT4927" s="79"/>
      <c r="AU4927" s="79"/>
      <c r="AV4927" s="79"/>
      <c r="AW4927" s="79"/>
      <c r="AX4927" s="79"/>
      <c r="AZ4927" s="81"/>
      <c r="BB4927" s="5"/>
      <c r="BC4927" s="5"/>
      <c r="BD4927" s="5"/>
      <c r="BE4927" s="5"/>
      <c r="BF4927" s="5"/>
      <c r="BG4927" s="5"/>
      <c r="BH4927" s="5"/>
      <c r="BI4927" s="5"/>
      <c r="BJ4927" s="5"/>
      <c r="BK4927" s="5"/>
      <c r="BL4927" s="5"/>
      <c r="BM4927" s="5"/>
      <c r="BN4927" s="5"/>
      <c r="BO4927" s="5"/>
      <c r="BP4927" s="5"/>
    </row>
    <row r="4928" spans="35:68" x14ac:dyDescent="0.25">
      <c r="AI4928" s="49"/>
      <c r="AJ4928" s="78"/>
      <c r="AK4928" s="79"/>
      <c r="AL4928" s="79"/>
      <c r="AM4928" s="79"/>
      <c r="AN4928" s="79"/>
      <c r="AO4928" s="79"/>
      <c r="AP4928" s="79"/>
      <c r="AQ4928" s="79"/>
      <c r="AR4928" s="78"/>
      <c r="AS4928" s="78"/>
      <c r="AT4928" s="79"/>
      <c r="AU4928" s="79"/>
      <c r="AV4928" s="79"/>
      <c r="AW4928" s="79"/>
      <c r="AX4928" s="79"/>
      <c r="AZ4928" s="81"/>
      <c r="BB4928" s="5"/>
      <c r="BC4928" s="5"/>
      <c r="BD4928" s="5"/>
      <c r="BE4928" s="5"/>
      <c r="BF4928" s="5"/>
      <c r="BG4928" s="5"/>
      <c r="BH4928" s="5"/>
      <c r="BI4928" s="5"/>
      <c r="BJ4928" s="5"/>
      <c r="BK4928" s="5"/>
      <c r="BL4928" s="5"/>
      <c r="BM4928" s="5"/>
      <c r="BN4928" s="5"/>
      <c r="BO4928" s="5"/>
      <c r="BP4928" s="5"/>
    </row>
    <row r="4929" spans="35:68" x14ac:dyDescent="0.25">
      <c r="AI4929" s="49"/>
      <c r="AJ4929" s="78"/>
      <c r="AK4929" s="79"/>
      <c r="AL4929" s="79"/>
      <c r="AM4929" s="79"/>
      <c r="AN4929" s="79"/>
      <c r="AO4929" s="79"/>
      <c r="AP4929" s="79"/>
      <c r="AQ4929" s="79"/>
      <c r="AR4929" s="78"/>
      <c r="AS4929" s="78"/>
      <c r="AT4929" s="79"/>
      <c r="AU4929" s="79"/>
      <c r="AV4929" s="79"/>
      <c r="AW4929" s="79"/>
      <c r="AX4929" s="79"/>
      <c r="AZ4929" s="81"/>
      <c r="BB4929" s="5"/>
      <c r="BC4929" s="5"/>
      <c r="BD4929" s="5"/>
      <c r="BE4929" s="5"/>
      <c r="BF4929" s="5"/>
      <c r="BG4929" s="5"/>
      <c r="BH4929" s="5"/>
      <c r="BI4929" s="5"/>
      <c r="BJ4929" s="5"/>
      <c r="BK4929" s="5"/>
      <c r="BL4929" s="5"/>
      <c r="BM4929" s="5"/>
      <c r="BN4929" s="5"/>
      <c r="BO4929" s="5"/>
      <c r="BP4929" s="5"/>
    </row>
    <row r="4930" spans="35:68" x14ac:dyDescent="0.25">
      <c r="AI4930" s="49"/>
      <c r="AJ4930" s="78"/>
      <c r="AK4930" s="79"/>
      <c r="AL4930" s="79"/>
      <c r="AM4930" s="79"/>
      <c r="AN4930" s="79"/>
      <c r="AO4930" s="79"/>
      <c r="AP4930" s="79"/>
      <c r="AQ4930" s="79"/>
      <c r="AR4930" s="78"/>
      <c r="AS4930" s="78"/>
      <c r="AT4930" s="79"/>
      <c r="AU4930" s="79"/>
      <c r="AV4930" s="79"/>
      <c r="AW4930" s="79"/>
      <c r="AX4930" s="79"/>
      <c r="AZ4930" s="81"/>
      <c r="BB4930" s="5"/>
      <c r="BC4930" s="5"/>
      <c r="BD4930" s="5"/>
      <c r="BE4930" s="5"/>
      <c r="BF4930" s="5"/>
      <c r="BG4930" s="5"/>
      <c r="BH4930" s="5"/>
      <c r="BI4930" s="5"/>
      <c r="BJ4930" s="5"/>
      <c r="BK4930" s="5"/>
      <c r="BL4930" s="5"/>
      <c r="BM4930" s="5"/>
      <c r="BN4930" s="5"/>
      <c r="BO4930" s="5"/>
      <c r="BP4930" s="5"/>
    </row>
    <row r="4931" spans="35:68" x14ac:dyDescent="0.25">
      <c r="AI4931" s="49"/>
      <c r="AJ4931" s="78"/>
      <c r="AK4931" s="79"/>
      <c r="AL4931" s="79"/>
      <c r="AM4931" s="79"/>
      <c r="AN4931" s="79"/>
      <c r="AO4931" s="79"/>
      <c r="AP4931" s="79"/>
      <c r="AQ4931" s="79"/>
      <c r="AR4931" s="78"/>
      <c r="AS4931" s="78"/>
      <c r="AT4931" s="79"/>
      <c r="AU4931" s="79"/>
      <c r="AV4931" s="79"/>
      <c r="AW4931" s="79"/>
      <c r="AX4931" s="79"/>
      <c r="AZ4931" s="81"/>
      <c r="BB4931" s="5"/>
      <c r="BC4931" s="5"/>
      <c r="BD4931" s="5"/>
      <c r="BE4931" s="5"/>
      <c r="BF4931" s="5"/>
      <c r="BG4931" s="5"/>
      <c r="BH4931" s="5"/>
      <c r="BI4931" s="5"/>
      <c r="BJ4931" s="5"/>
      <c r="BK4931" s="5"/>
      <c r="BL4931" s="5"/>
      <c r="BM4931" s="5"/>
      <c r="BN4931" s="5"/>
      <c r="BO4931" s="5"/>
      <c r="BP4931" s="5"/>
    </row>
    <row r="4932" spans="35:68" x14ac:dyDescent="0.25">
      <c r="AI4932" s="49"/>
      <c r="AJ4932" s="78"/>
      <c r="AK4932" s="79"/>
      <c r="AL4932" s="79"/>
      <c r="AM4932" s="79"/>
      <c r="AN4932" s="79"/>
      <c r="AO4932" s="79"/>
      <c r="AP4932" s="79"/>
      <c r="AQ4932" s="79"/>
      <c r="AR4932" s="78"/>
      <c r="AS4932" s="78"/>
      <c r="AT4932" s="79"/>
      <c r="AU4932" s="79"/>
      <c r="AV4932" s="79"/>
      <c r="AW4932" s="79"/>
      <c r="AX4932" s="79"/>
      <c r="AZ4932" s="81"/>
      <c r="BB4932" s="5"/>
      <c r="BC4932" s="5"/>
      <c r="BD4932" s="5"/>
      <c r="BE4932" s="5"/>
      <c r="BF4932" s="5"/>
      <c r="BG4932" s="5"/>
      <c r="BH4932" s="5"/>
      <c r="BI4932" s="5"/>
      <c r="BJ4932" s="5"/>
      <c r="BK4932" s="5"/>
      <c r="BL4932" s="5"/>
      <c r="BM4932" s="5"/>
      <c r="BN4932" s="5"/>
      <c r="BO4932" s="5"/>
      <c r="BP4932" s="5"/>
    </row>
    <row r="4933" spans="35:68" x14ac:dyDescent="0.25">
      <c r="AI4933" s="49"/>
      <c r="AJ4933" s="78"/>
      <c r="AK4933" s="79"/>
      <c r="AL4933" s="79"/>
      <c r="AM4933" s="79"/>
      <c r="AN4933" s="79"/>
      <c r="AO4933" s="79"/>
      <c r="AP4933" s="79"/>
      <c r="AQ4933" s="79"/>
      <c r="AR4933" s="78"/>
      <c r="AS4933" s="78"/>
      <c r="AT4933" s="79"/>
      <c r="AU4933" s="79"/>
      <c r="AV4933" s="79"/>
      <c r="AW4933" s="79"/>
      <c r="AX4933" s="79"/>
      <c r="AZ4933" s="81"/>
      <c r="BB4933" s="5"/>
      <c r="BC4933" s="5"/>
      <c r="BD4933" s="5"/>
      <c r="BE4933" s="5"/>
      <c r="BF4933" s="5"/>
      <c r="BG4933" s="5"/>
      <c r="BH4933" s="5"/>
      <c r="BI4933" s="5"/>
      <c r="BJ4933" s="5"/>
      <c r="BK4933" s="5"/>
      <c r="BL4933" s="5"/>
      <c r="BM4933" s="5"/>
      <c r="BN4933" s="5"/>
      <c r="BO4933" s="5"/>
      <c r="BP4933" s="5"/>
    </row>
    <row r="4934" spans="35:68" x14ac:dyDescent="0.25">
      <c r="AI4934" s="49"/>
      <c r="AJ4934" s="78"/>
      <c r="AK4934" s="79"/>
      <c r="AL4934" s="79"/>
      <c r="AM4934" s="79"/>
      <c r="AN4934" s="79"/>
      <c r="AO4934" s="79"/>
      <c r="AP4934" s="79"/>
      <c r="AQ4934" s="79"/>
      <c r="AR4934" s="78"/>
      <c r="AS4934" s="78"/>
      <c r="AT4934" s="79"/>
      <c r="AU4934" s="79"/>
      <c r="AV4934" s="79"/>
      <c r="AW4934" s="79"/>
      <c r="AX4934" s="79"/>
      <c r="AZ4934" s="81"/>
      <c r="BB4934" s="5"/>
      <c r="BC4934" s="5"/>
      <c r="BD4934" s="5"/>
      <c r="BE4934" s="5"/>
      <c r="BF4934" s="5"/>
      <c r="BG4934" s="5"/>
      <c r="BH4934" s="5"/>
      <c r="BI4934" s="5"/>
      <c r="BJ4934" s="5"/>
      <c r="BK4934" s="5"/>
      <c r="BL4934" s="5"/>
      <c r="BM4934" s="5"/>
      <c r="BN4934" s="5"/>
      <c r="BO4934" s="5"/>
      <c r="BP4934" s="5"/>
    </row>
    <row r="4935" spans="35:68" x14ac:dyDescent="0.25">
      <c r="AI4935" s="49"/>
      <c r="AJ4935" s="78"/>
      <c r="AK4935" s="79"/>
      <c r="AL4935" s="79"/>
      <c r="AM4935" s="79"/>
      <c r="AN4935" s="79"/>
      <c r="AO4935" s="79"/>
      <c r="AP4935" s="79"/>
      <c r="AQ4935" s="79"/>
      <c r="AR4935" s="78"/>
      <c r="AS4935" s="78"/>
      <c r="AT4935" s="79"/>
      <c r="AU4935" s="79"/>
      <c r="AV4935" s="79"/>
      <c r="AW4935" s="79"/>
      <c r="AX4935" s="79"/>
      <c r="AZ4935" s="81"/>
      <c r="BB4935" s="5"/>
      <c r="BC4935" s="5"/>
      <c r="BD4935" s="5"/>
      <c r="BE4935" s="5"/>
      <c r="BF4935" s="5"/>
      <c r="BG4935" s="5"/>
      <c r="BH4935" s="5"/>
      <c r="BI4935" s="5"/>
      <c r="BJ4935" s="5"/>
      <c r="BK4935" s="5"/>
      <c r="BL4935" s="5"/>
      <c r="BM4935" s="5"/>
      <c r="BN4935" s="5"/>
      <c r="BO4935" s="5"/>
      <c r="BP4935" s="5"/>
    </row>
    <row r="4936" spans="35:68" x14ac:dyDescent="0.25">
      <c r="AI4936" s="49"/>
      <c r="AJ4936" s="78"/>
      <c r="AK4936" s="79"/>
      <c r="AL4936" s="79"/>
      <c r="AM4936" s="79"/>
      <c r="AN4936" s="79"/>
      <c r="AO4936" s="79"/>
      <c r="AP4936" s="79"/>
      <c r="AQ4936" s="79"/>
      <c r="AR4936" s="78"/>
      <c r="AS4936" s="78"/>
      <c r="AT4936" s="79"/>
      <c r="AU4936" s="79"/>
      <c r="AV4936" s="79"/>
      <c r="AW4936" s="79"/>
      <c r="AX4936" s="79"/>
      <c r="AZ4936" s="81"/>
      <c r="BB4936" s="5"/>
      <c r="BC4936" s="5"/>
      <c r="BD4936" s="5"/>
      <c r="BE4936" s="5"/>
      <c r="BF4936" s="5"/>
      <c r="BG4936" s="5"/>
      <c r="BH4936" s="5"/>
      <c r="BI4936" s="5"/>
      <c r="BJ4936" s="5"/>
      <c r="BK4936" s="5"/>
      <c r="BL4936" s="5"/>
      <c r="BM4936" s="5"/>
      <c r="BN4936" s="5"/>
      <c r="BO4936" s="5"/>
      <c r="BP4936" s="5"/>
    </row>
    <row r="4937" spans="35:68" x14ac:dyDescent="0.25">
      <c r="AI4937" s="49"/>
      <c r="AJ4937" s="78"/>
      <c r="AK4937" s="79"/>
      <c r="AL4937" s="79"/>
      <c r="AM4937" s="79"/>
      <c r="AN4937" s="79"/>
      <c r="AO4937" s="79"/>
      <c r="AP4937" s="79"/>
      <c r="AQ4937" s="79"/>
      <c r="AR4937" s="78"/>
      <c r="AS4937" s="78"/>
      <c r="AT4937" s="79"/>
      <c r="AU4937" s="79"/>
      <c r="AV4937" s="79"/>
      <c r="AW4937" s="79"/>
      <c r="AX4937" s="79"/>
      <c r="AZ4937" s="81"/>
      <c r="BB4937" s="5"/>
      <c r="BC4937" s="5"/>
      <c r="BD4937" s="5"/>
      <c r="BE4937" s="5"/>
      <c r="BF4937" s="5"/>
      <c r="BG4937" s="5"/>
      <c r="BH4937" s="5"/>
      <c r="BI4937" s="5"/>
      <c r="BJ4937" s="5"/>
      <c r="BK4937" s="5"/>
      <c r="BL4937" s="5"/>
      <c r="BM4937" s="5"/>
      <c r="BN4937" s="5"/>
      <c r="BO4937" s="5"/>
      <c r="BP4937" s="5"/>
    </row>
    <row r="4938" spans="35:68" x14ac:dyDescent="0.25">
      <c r="AI4938" s="49"/>
      <c r="AJ4938" s="78"/>
      <c r="AK4938" s="79"/>
      <c r="AL4938" s="79"/>
      <c r="AM4938" s="79"/>
      <c r="AN4938" s="79"/>
      <c r="AO4938" s="79"/>
      <c r="AP4938" s="79"/>
      <c r="AQ4938" s="79"/>
      <c r="AR4938" s="78"/>
      <c r="AS4938" s="78"/>
      <c r="AT4938" s="79"/>
      <c r="AU4938" s="79"/>
      <c r="AV4938" s="79"/>
      <c r="AW4938" s="79"/>
      <c r="AX4938" s="79"/>
      <c r="AZ4938" s="81"/>
      <c r="BB4938" s="5"/>
      <c r="BC4938" s="5"/>
      <c r="BD4938" s="5"/>
      <c r="BE4938" s="5"/>
      <c r="BF4938" s="5"/>
      <c r="BG4938" s="5"/>
      <c r="BH4938" s="5"/>
      <c r="BI4938" s="5"/>
      <c r="BJ4938" s="5"/>
      <c r="BK4938" s="5"/>
      <c r="BL4938" s="5"/>
      <c r="BM4938" s="5"/>
      <c r="BN4938" s="5"/>
      <c r="BO4938" s="5"/>
      <c r="BP4938" s="5"/>
    </row>
    <row r="4939" spans="35:68" x14ac:dyDescent="0.25">
      <c r="AI4939" s="49"/>
      <c r="AJ4939" s="78"/>
      <c r="AK4939" s="79"/>
      <c r="AL4939" s="79"/>
      <c r="AM4939" s="79"/>
      <c r="AN4939" s="79"/>
      <c r="AO4939" s="79"/>
      <c r="AP4939" s="79"/>
      <c r="AQ4939" s="79"/>
      <c r="AR4939" s="78"/>
      <c r="AS4939" s="78"/>
      <c r="AT4939" s="79"/>
      <c r="AU4939" s="79"/>
      <c r="AV4939" s="79"/>
      <c r="AW4939" s="79"/>
      <c r="AX4939" s="79"/>
      <c r="AZ4939" s="81"/>
      <c r="BB4939" s="5"/>
      <c r="BC4939" s="5"/>
      <c r="BD4939" s="5"/>
      <c r="BE4939" s="5"/>
      <c r="BF4939" s="5"/>
      <c r="BG4939" s="5"/>
      <c r="BH4939" s="5"/>
      <c r="BI4939" s="5"/>
      <c r="BJ4939" s="5"/>
      <c r="BK4939" s="5"/>
      <c r="BL4939" s="5"/>
      <c r="BM4939" s="5"/>
      <c r="BN4939" s="5"/>
      <c r="BO4939" s="5"/>
      <c r="BP4939" s="5"/>
    </row>
    <row r="4940" spans="35:68" x14ac:dyDescent="0.25">
      <c r="AI4940" s="49"/>
      <c r="AJ4940" s="78"/>
      <c r="AK4940" s="79"/>
      <c r="AL4940" s="79"/>
      <c r="AM4940" s="79"/>
      <c r="AN4940" s="79"/>
      <c r="AO4940" s="79"/>
      <c r="AP4940" s="79"/>
      <c r="AQ4940" s="79"/>
      <c r="AR4940" s="78"/>
      <c r="AS4940" s="78"/>
      <c r="AT4940" s="79"/>
      <c r="AU4940" s="79"/>
      <c r="AV4940" s="79"/>
      <c r="AW4940" s="79"/>
      <c r="AX4940" s="79"/>
      <c r="AZ4940" s="81"/>
      <c r="BB4940" s="5"/>
      <c r="BC4940" s="5"/>
      <c r="BD4940" s="5"/>
      <c r="BE4940" s="5"/>
      <c r="BF4940" s="5"/>
      <c r="BG4940" s="5"/>
      <c r="BH4940" s="5"/>
      <c r="BI4940" s="5"/>
      <c r="BJ4940" s="5"/>
      <c r="BK4940" s="5"/>
      <c r="BL4940" s="5"/>
      <c r="BM4940" s="5"/>
      <c r="BN4940" s="5"/>
      <c r="BO4940" s="5"/>
      <c r="BP4940" s="5"/>
    </row>
    <row r="4941" spans="35:68" x14ac:dyDescent="0.25">
      <c r="AI4941" s="49"/>
      <c r="AJ4941" s="78"/>
      <c r="AK4941" s="79"/>
      <c r="AL4941" s="79"/>
      <c r="AM4941" s="79"/>
      <c r="AN4941" s="79"/>
      <c r="AO4941" s="79"/>
      <c r="AP4941" s="79"/>
      <c r="AQ4941" s="79"/>
      <c r="AR4941" s="78"/>
      <c r="AS4941" s="78"/>
      <c r="AT4941" s="79"/>
      <c r="AU4941" s="79"/>
      <c r="AV4941" s="79"/>
      <c r="AW4941" s="79"/>
      <c r="AX4941" s="79"/>
      <c r="AZ4941" s="81"/>
      <c r="BB4941" s="5"/>
      <c r="BC4941" s="5"/>
      <c r="BD4941" s="5"/>
      <c r="BE4941" s="5"/>
      <c r="BF4941" s="5"/>
      <c r="BG4941" s="5"/>
      <c r="BH4941" s="5"/>
      <c r="BI4941" s="5"/>
      <c r="BJ4941" s="5"/>
      <c r="BK4941" s="5"/>
      <c r="BL4941" s="5"/>
      <c r="BM4941" s="5"/>
      <c r="BN4941" s="5"/>
      <c r="BO4941" s="5"/>
      <c r="BP4941" s="5"/>
    </row>
    <row r="4942" spans="35:68" x14ac:dyDescent="0.25">
      <c r="AI4942" s="49"/>
      <c r="AJ4942" s="78"/>
      <c r="AK4942" s="79"/>
      <c r="AL4942" s="79"/>
      <c r="AM4942" s="79"/>
      <c r="AN4942" s="79"/>
      <c r="AO4942" s="79"/>
      <c r="AP4942" s="79"/>
      <c r="AQ4942" s="79"/>
      <c r="AR4942" s="78"/>
      <c r="AS4942" s="78"/>
      <c r="AT4942" s="79"/>
      <c r="AU4942" s="79"/>
      <c r="AV4942" s="79"/>
      <c r="AW4942" s="79"/>
      <c r="AX4942" s="79"/>
      <c r="AZ4942" s="81"/>
      <c r="BB4942" s="5"/>
      <c r="BC4942" s="5"/>
      <c r="BD4942" s="5"/>
      <c r="BE4942" s="5"/>
      <c r="BF4942" s="5"/>
      <c r="BG4942" s="5"/>
      <c r="BH4942" s="5"/>
      <c r="BI4942" s="5"/>
      <c r="BJ4942" s="5"/>
      <c r="BK4942" s="5"/>
      <c r="BL4942" s="5"/>
      <c r="BM4942" s="5"/>
      <c r="BN4942" s="5"/>
      <c r="BO4942" s="5"/>
      <c r="BP4942" s="5"/>
    </row>
    <row r="4943" spans="35:68" x14ac:dyDescent="0.25">
      <c r="AI4943" s="49"/>
      <c r="AJ4943" s="78"/>
      <c r="AK4943" s="79"/>
      <c r="AL4943" s="79"/>
      <c r="AM4943" s="79"/>
      <c r="AN4943" s="79"/>
      <c r="AO4943" s="79"/>
      <c r="AP4943" s="79"/>
      <c r="AQ4943" s="79"/>
      <c r="AR4943" s="78"/>
      <c r="AS4943" s="78"/>
      <c r="AT4943" s="79"/>
      <c r="AU4943" s="79"/>
      <c r="AV4943" s="79"/>
      <c r="AW4943" s="79"/>
      <c r="AX4943" s="79"/>
      <c r="AZ4943" s="81"/>
      <c r="BB4943" s="5"/>
      <c r="BC4943" s="5"/>
      <c r="BD4943" s="5"/>
      <c r="BE4943" s="5"/>
      <c r="BF4943" s="5"/>
      <c r="BG4943" s="5"/>
      <c r="BH4943" s="5"/>
      <c r="BI4943" s="5"/>
      <c r="BJ4943" s="5"/>
      <c r="BK4943" s="5"/>
      <c r="BL4943" s="5"/>
      <c r="BM4943" s="5"/>
      <c r="BN4943" s="5"/>
      <c r="BO4943" s="5"/>
      <c r="BP4943" s="5"/>
    </row>
    <row r="4944" spans="35:68" x14ac:dyDescent="0.25">
      <c r="AI4944" s="49"/>
      <c r="AJ4944" s="78"/>
      <c r="AK4944" s="79"/>
      <c r="AL4944" s="79"/>
      <c r="AM4944" s="79"/>
      <c r="AN4944" s="79"/>
      <c r="AO4944" s="79"/>
      <c r="AP4944" s="79"/>
      <c r="AQ4944" s="79"/>
      <c r="AR4944" s="78"/>
      <c r="AS4944" s="78"/>
      <c r="AT4944" s="79"/>
      <c r="AU4944" s="79"/>
      <c r="AV4944" s="79"/>
      <c r="AW4944" s="79"/>
      <c r="AX4944" s="79"/>
      <c r="AZ4944" s="81"/>
      <c r="BB4944" s="5"/>
      <c r="BC4944" s="5"/>
      <c r="BD4944" s="5"/>
      <c r="BE4944" s="5"/>
      <c r="BF4944" s="5"/>
      <c r="BG4944" s="5"/>
      <c r="BH4944" s="5"/>
      <c r="BI4944" s="5"/>
      <c r="BJ4944" s="5"/>
      <c r="BK4944" s="5"/>
      <c r="BL4944" s="5"/>
      <c r="BM4944" s="5"/>
      <c r="BN4944" s="5"/>
      <c r="BO4944" s="5"/>
      <c r="BP4944" s="5"/>
    </row>
    <row r="4945" spans="35:68" x14ac:dyDescent="0.25">
      <c r="AI4945" s="49"/>
      <c r="AJ4945" s="78"/>
      <c r="AK4945" s="79"/>
      <c r="AL4945" s="79"/>
      <c r="AM4945" s="79"/>
      <c r="AN4945" s="79"/>
      <c r="AO4945" s="79"/>
      <c r="AP4945" s="79"/>
      <c r="AQ4945" s="79"/>
      <c r="AR4945" s="78"/>
      <c r="AS4945" s="78"/>
      <c r="AT4945" s="79"/>
      <c r="AU4945" s="79"/>
      <c r="AV4945" s="79"/>
      <c r="AW4945" s="79"/>
      <c r="AX4945" s="79"/>
      <c r="AZ4945" s="81"/>
      <c r="BB4945" s="5"/>
      <c r="BC4945" s="5"/>
      <c r="BD4945" s="5"/>
      <c r="BE4945" s="5"/>
      <c r="BF4945" s="5"/>
      <c r="BG4945" s="5"/>
      <c r="BH4945" s="5"/>
      <c r="BI4945" s="5"/>
      <c r="BJ4945" s="5"/>
      <c r="BK4945" s="5"/>
      <c r="BL4945" s="5"/>
      <c r="BM4945" s="5"/>
      <c r="BN4945" s="5"/>
      <c r="BO4945" s="5"/>
      <c r="BP4945" s="5"/>
    </row>
    <row r="4946" spans="35:68" x14ac:dyDescent="0.25">
      <c r="AI4946" s="49"/>
      <c r="AJ4946" s="78"/>
      <c r="AK4946" s="79"/>
      <c r="AL4946" s="79"/>
      <c r="AM4946" s="79"/>
      <c r="AN4946" s="79"/>
      <c r="AO4946" s="79"/>
      <c r="AP4946" s="79"/>
      <c r="AQ4946" s="79"/>
      <c r="AR4946" s="78"/>
      <c r="AS4946" s="78"/>
      <c r="AT4946" s="79"/>
      <c r="AU4946" s="79"/>
      <c r="AV4946" s="79"/>
      <c r="AW4946" s="79"/>
      <c r="AX4946" s="79"/>
      <c r="AZ4946" s="81"/>
      <c r="BB4946" s="5"/>
      <c r="BC4946" s="5"/>
      <c r="BD4946" s="5"/>
      <c r="BE4946" s="5"/>
      <c r="BF4946" s="5"/>
      <c r="BG4946" s="5"/>
      <c r="BH4946" s="5"/>
      <c r="BI4946" s="5"/>
      <c r="BJ4946" s="5"/>
      <c r="BK4946" s="5"/>
      <c r="BL4946" s="5"/>
      <c r="BM4946" s="5"/>
      <c r="BN4946" s="5"/>
      <c r="BO4946" s="5"/>
      <c r="BP4946" s="5"/>
    </row>
    <row r="4947" spans="35:68" x14ac:dyDescent="0.25">
      <c r="AI4947" s="49"/>
      <c r="AJ4947" s="78"/>
      <c r="AK4947" s="79"/>
      <c r="AL4947" s="79"/>
      <c r="AM4947" s="79"/>
      <c r="AN4947" s="79"/>
      <c r="AO4947" s="79"/>
      <c r="AP4947" s="79"/>
      <c r="AQ4947" s="79"/>
      <c r="AR4947" s="78"/>
      <c r="AS4947" s="78"/>
      <c r="AT4947" s="79"/>
      <c r="AU4947" s="79"/>
      <c r="AV4947" s="79"/>
      <c r="AW4947" s="79"/>
      <c r="AX4947" s="79"/>
      <c r="AZ4947" s="81"/>
      <c r="BB4947" s="5"/>
      <c r="BC4947" s="5"/>
      <c r="BD4947" s="5"/>
      <c r="BE4947" s="5"/>
      <c r="BF4947" s="5"/>
      <c r="BG4947" s="5"/>
      <c r="BH4947" s="5"/>
      <c r="BI4947" s="5"/>
      <c r="BJ4947" s="5"/>
      <c r="BK4947" s="5"/>
      <c r="BL4947" s="5"/>
      <c r="BM4947" s="5"/>
      <c r="BN4947" s="5"/>
      <c r="BO4947" s="5"/>
      <c r="BP4947" s="5"/>
    </row>
    <row r="4948" spans="35:68" x14ac:dyDescent="0.25">
      <c r="AI4948" s="49"/>
      <c r="AJ4948" s="78"/>
      <c r="AK4948" s="79"/>
      <c r="AL4948" s="79"/>
      <c r="AM4948" s="79"/>
      <c r="AN4948" s="79"/>
      <c r="AO4948" s="79"/>
      <c r="AP4948" s="79"/>
      <c r="AQ4948" s="79"/>
      <c r="AR4948" s="78"/>
      <c r="AS4948" s="78"/>
      <c r="AT4948" s="79"/>
      <c r="AU4948" s="79"/>
      <c r="AV4948" s="79"/>
      <c r="AW4948" s="79"/>
      <c r="AX4948" s="79"/>
      <c r="AZ4948" s="81"/>
      <c r="BB4948" s="5"/>
      <c r="BC4948" s="5"/>
      <c r="BD4948" s="5"/>
      <c r="BE4948" s="5"/>
      <c r="BF4948" s="5"/>
      <c r="BG4948" s="5"/>
      <c r="BH4948" s="5"/>
      <c r="BI4948" s="5"/>
      <c r="BJ4948" s="5"/>
      <c r="BK4948" s="5"/>
      <c r="BL4948" s="5"/>
      <c r="BM4948" s="5"/>
      <c r="BN4948" s="5"/>
      <c r="BO4948" s="5"/>
      <c r="BP4948" s="5"/>
    </row>
    <row r="4949" spans="35:68" x14ac:dyDescent="0.25">
      <c r="AI4949" s="49"/>
      <c r="AJ4949" s="78"/>
      <c r="AK4949" s="79"/>
      <c r="AL4949" s="79"/>
      <c r="AM4949" s="79"/>
      <c r="AN4949" s="79"/>
      <c r="AO4949" s="79"/>
      <c r="AP4949" s="79"/>
      <c r="AQ4949" s="79"/>
      <c r="AR4949" s="78"/>
      <c r="AS4949" s="78"/>
      <c r="AT4949" s="79"/>
      <c r="AU4949" s="79"/>
      <c r="AV4949" s="79"/>
      <c r="AW4949" s="79"/>
      <c r="AX4949" s="79"/>
      <c r="AZ4949" s="81"/>
      <c r="BB4949" s="5"/>
      <c r="BC4949" s="5"/>
      <c r="BD4949" s="5"/>
      <c r="BE4949" s="5"/>
      <c r="BF4949" s="5"/>
      <c r="BG4949" s="5"/>
      <c r="BH4949" s="5"/>
      <c r="BI4949" s="5"/>
      <c r="BJ4949" s="5"/>
      <c r="BK4949" s="5"/>
      <c r="BL4949" s="5"/>
      <c r="BM4949" s="5"/>
      <c r="BN4949" s="5"/>
      <c r="BO4949" s="5"/>
      <c r="BP4949" s="5"/>
    </row>
    <row r="4950" spans="35:68" x14ac:dyDescent="0.25">
      <c r="AI4950" s="49"/>
      <c r="AJ4950" s="78"/>
      <c r="AK4950" s="79"/>
      <c r="AL4950" s="79"/>
      <c r="AM4950" s="79"/>
      <c r="AN4950" s="79"/>
      <c r="AO4950" s="79"/>
      <c r="AP4950" s="79"/>
      <c r="AQ4950" s="79"/>
      <c r="AR4950" s="78"/>
      <c r="AS4950" s="78"/>
      <c r="AT4950" s="79"/>
      <c r="AU4950" s="79"/>
      <c r="AV4950" s="79"/>
      <c r="AW4950" s="79"/>
      <c r="AX4950" s="79"/>
      <c r="AZ4950" s="81"/>
      <c r="BB4950" s="5"/>
      <c r="BC4950" s="5"/>
      <c r="BD4950" s="5"/>
      <c r="BE4950" s="5"/>
      <c r="BF4950" s="5"/>
      <c r="BG4950" s="5"/>
      <c r="BH4950" s="5"/>
      <c r="BI4950" s="5"/>
      <c r="BJ4950" s="5"/>
      <c r="BK4950" s="5"/>
      <c r="BL4950" s="5"/>
      <c r="BM4950" s="5"/>
      <c r="BN4950" s="5"/>
      <c r="BO4950" s="5"/>
      <c r="BP4950" s="5"/>
    </row>
    <row r="4951" spans="35:68" x14ac:dyDescent="0.25">
      <c r="AI4951" s="49"/>
      <c r="AJ4951" s="78"/>
      <c r="AK4951" s="79"/>
      <c r="AL4951" s="79"/>
      <c r="AM4951" s="79"/>
      <c r="AN4951" s="79"/>
      <c r="AO4951" s="79"/>
      <c r="AP4951" s="79"/>
      <c r="AQ4951" s="79"/>
      <c r="AR4951" s="78"/>
      <c r="AS4951" s="78"/>
      <c r="AT4951" s="79"/>
      <c r="AU4951" s="79"/>
      <c r="AV4951" s="79"/>
      <c r="AW4951" s="79"/>
      <c r="AX4951" s="79"/>
      <c r="AZ4951" s="81"/>
      <c r="BB4951" s="5"/>
      <c r="BC4951" s="5"/>
      <c r="BD4951" s="5"/>
      <c r="BE4951" s="5"/>
      <c r="BF4951" s="5"/>
      <c r="BG4951" s="5"/>
      <c r="BH4951" s="5"/>
      <c r="BI4951" s="5"/>
      <c r="BJ4951" s="5"/>
      <c r="BK4951" s="5"/>
      <c r="BL4951" s="5"/>
      <c r="BM4951" s="5"/>
      <c r="BN4951" s="5"/>
      <c r="BO4951" s="5"/>
      <c r="BP4951" s="5"/>
    </row>
    <row r="4952" spans="35:68" x14ac:dyDescent="0.25">
      <c r="AI4952" s="49"/>
      <c r="AJ4952" s="78"/>
      <c r="AK4952" s="79"/>
      <c r="AL4952" s="79"/>
      <c r="AM4952" s="79"/>
      <c r="AN4952" s="79"/>
      <c r="AO4952" s="79"/>
      <c r="AP4952" s="79"/>
      <c r="AQ4952" s="79"/>
      <c r="AR4952" s="78"/>
      <c r="AS4952" s="78"/>
      <c r="AT4952" s="79"/>
      <c r="AU4952" s="79"/>
      <c r="AV4952" s="79"/>
      <c r="AW4952" s="79"/>
      <c r="AX4952" s="79"/>
      <c r="AZ4952" s="81"/>
      <c r="BB4952" s="5"/>
      <c r="BC4952" s="5"/>
      <c r="BD4952" s="5"/>
      <c r="BE4952" s="5"/>
      <c r="BF4952" s="5"/>
      <c r="BG4952" s="5"/>
      <c r="BH4952" s="5"/>
      <c r="BI4952" s="5"/>
      <c r="BJ4952" s="5"/>
      <c r="BK4952" s="5"/>
      <c r="BL4952" s="5"/>
      <c r="BM4952" s="5"/>
      <c r="BN4952" s="5"/>
      <c r="BO4952" s="5"/>
      <c r="BP4952" s="5"/>
    </row>
    <row r="4953" spans="35:68" x14ac:dyDescent="0.25">
      <c r="AI4953" s="49"/>
      <c r="AJ4953" s="78"/>
      <c r="AK4953" s="79"/>
      <c r="AL4953" s="79"/>
      <c r="AM4953" s="79"/>
      <c r="AN4953" s="79"/>
      <c r="AO4953" s="79"/>
      <c r="AP4953" s="79"/>
      <c r="AQ4953" s="79"/>
      <c r="AR4953" s="78"/>
      <c r="AS4953" s="78"/>
      <c r="AT4953" s="79"/>
      <c r="AU4953" s="79"/>
      <c r="AV4953" s="79"/>
      <c r="AW4953" s="79"/>
      <c r="AX4953" s="79"/>
      <c r="AZ4953" s="81"/>
      <c r="BB4953" s="5"/>
      <c r="BC4953" s="5"/>
      <c r="BD4953" s="5"/>
      <c r="BE4953" s="5"/>
      <c r="BF4953" s="5"/>
      <c r="BG4953" s="5"/>
      <c r="BH4953" s="5"/>
      <c r="BI4953" s="5"/>
      <c r="BJ4953" s="5"/>
      <c r="BK4953" s="5"/>
      <c r="BL4953" s="5"/>
      <c r="BM4953" s="5"/>
      <c r="BN4953" s="5"/>
      <c r="BO4953" s="5"/>
      <c r="BP4953" s="5"/>
    </row>
    <row r="4954" spans="35:68" x14ac:dyDescent="0.25">
      <c r="AI4954" s="49"/>
      <c r="AJ4954" s="78"/>
      <c r="AK4954" s="79"/>
      <c r="AL4954" s="79"/>
      <c r="AM4954" s="79"/>
      <c r="AN4954" s="79"/>
      <c r="AO4954" s="79"/>
      <c r="AP4954" s="79"/>
      <c r="AQ4954" s="79"/>
      <c r="AR4954" s="78"/>
      <c r="AS4954" s="78"/>
      <c r="AT4954" s="79"/>
      <c r="AU4954" s="79"/>
      <c r="AV4954" s="79"/>
      <c r="AW4954" s="79"/>
      <c r="AX4954" s="79"/>
      <c r="AZ4954" s="81"/>
      <c r="BB4954" s="5"/>
      <c r="BC4954" s="5"/>
      <c r="BD4954" s="5"/>
      <c r="BE4954" s="5"/>
      <c r="BF4954" s="5"/>
      <c r="BG4954" s="5"/>
      <c r="BH4954" s="5"/>
      <c r="BI4954" s="5"/>
      <c r="BJ4954" s="5"/>
      <c r="BK4954" s="5"/>
      <c r="BL4954" s="5"/>
      <c r="BM4954" s="5"/>
      <c r="BN4954" s="5"/>
      <c r="BO4954" s="5"/>
      <c r="BP4954" s="5"/>
    </row>
    <row r="4955" spans="35:68" x14ac:dyDescent="0.25">
      <c r="AI4955" s="49"/>
      <c r="AJ4955" s="78"/>
      <c r="AK4955" s="79"/>
      <c r="AL4955" s="79"/>
      <c r="AM4955" s="79"/>
      <c r="AN4955" s="79"/>
      <c r="AO4955" s="79"/>
      <c r="AP4955" s="79"/>
      <c r="AQ4955" s="79"/>
      <c r="AR4955" s="78"/>
      <c r="AS4955" s="78"/>
      <c r="AT4955" s="79"/>
      <c r="AU4955" s="79"/>
      <c r="AV4955" s="79"/>
      <c r="AW4955" s="79"/>
      <c r="AX4955" s="79"/>
      <c r="AZ4955" s="81"/>
      <c r="BB4955" s="5"/>
      <c r="BC4955" s="5"/>
      <c r="BD4955" s="5"/>
      <c r="BE4955" s="5"/>
      <c r="BF4955" s="5"/>
      <c r="BG4955" s="5"/>
      <c r="BH4955" s="5"/>
      <c r="BI4955" s="5"/>
      <c r="BJ4955" s="5"/>
      <c r="BK4955" s="5"/>
      <c r="BL4955" s="5"/>
      <c r="BM4955" s="5"/>
      <c r="BN4955" s="5"/>
      <c r="BO4955" s="5"/>
      <c r="BP4955" s="5"/>
    </row>
    <row r="4956" spans="35:68" x14ac:dyDescent="0.25">
      <c r="AI4956" s="49"/>
      <c r="AJ4956" s="78"/>
      <c r="AK4956" s="79"/>
      <c r="AL4956" s="79"/>
      <c r="AM4956" s="79"/>
      <c r="AN4956" s="79"/>
      <c r="AO4956" s="79"/>
      <c r="AP4956" s="79"/>
      <c r="AQ4956" s="79"/>
      <c r="AR4956" s="78"/>
      <c r="AS4956" s="78"/>
      <c r="AT4956" s="79"/>
      <c r="AU4956" s="79"/>
      <c r="AV4956" s="79"/>
      <c r="AW4956" s="79"/>
      <c r="AX4956" s="79"/>
      <c r="AZ4956" s="81"/>
      <c r="BB4956" s="5"/>
      <c r="BC4956" s="5"/>
      <c r="BD4956" s="5"/>
      <c r="BE4956" s="5"/>
      <c r="BF4956" s="5"/>
      <c r="BG4956" s="5"/>
      <c r="BH4956" s="5"/>
      <c r="BI4956" s="5"/>
      <c r="BJ4956" s="5"/>
      <c r="BK4956" s="5"/>
      <c r="BL4956" s="5"/>
      <c r="BM4956" s="5"/>
      <c r="BN4956" s="5"/>
      <c r="BO4956" s="5"/>
      <c r="BP4956" s="5"/>
    </row>
    <row r="4957" spans="35:68" x14ac:dyDescent="0.25">
      <c r="AI4957" s="49"/>
      <c r="AJ4957" s="78"/>
      <c r="AK4957" s="79"/>
      <c r="AL4957" s="79"/>
      <c r="AM4957" s="79"/>
      <c r="AN4957" s="79"/>
      <c r="AO4957" s="79"/>
      <c r="AP4957" s="79"/>
      <c r="AQ4957" s="79"/>
      <c r="AR4957" s="78"/>
      <c r="AS4957" s="78"/>
      <c r="AT4957" s="79"/>
      <c r="AU4957" s="79"/>
      <c r="AV4957" s="79"/>
      <c r="AW4957" s="79"/>
      <c r="AX4957" s="79"/>
      <c r="AZ4957" s="81"/>
      <c r="BB4957" s="5"/>
      <c r="BC4957" s="5"/>
      <c r="BD4957" s="5"/>
      <c r="BE4957" s="5"/>
      <c r="BF4957" s="5"/>
      <c r="BG4957" s="5"/>
      <c r="BH4957" s="5"/>
      <c r="BI4957" s="5"/>
      <c r="BJ4957" s="5"/>
      <c r="BK4957" s="5"/>
      <c r="BL4957" s="5"/>
      <c r="BM4957" s="5"/>
      <c r="BN4957" s="5"/>
      <c r="BO4957" s="5"/>
      <c r="BP4957" s="5"/>
    </row>
    <row r="4958" spans="35:68" x14ac:dyDescent="0.25">
      <c r="AI4958" s="49"/>
      <c r="AJ4958" s="78"/>
      <c r="AK4958" s="79"/>
      <c r="AL4958" s="79"/>
      <c r="AM4958" s="79"/>
      <c r="AN4958" s="79"/>
      <c r="AO4958" s="79"/>
      <c r="AP4958" s="79"/>
      <c r="AQ4958" s="79"/>
      <c r="AR4958" s="78"/>
      <c r="AS4958" s="78"/>
      <c r="AT4958" s="79"/>
      <c r="AU4958" s="79"/>
      <c r="AV4958" s="79"/>
      <c r="AW4958" s="79"/>
      <c r="AX4958" s="79"/>
      <c r="AZ4958" s="81"/>
      <c r="BB4958" s="5"/>
      <c r="BC4958" s="5"/>
      <c r="BD4958" s="5"/>
      <c r="BE4958" s="5"/>
      <c r="BF4958" s="5"/>
      <c r="BG4958" s="5"/>
      <c r="BH4958" s="5"/>
      <c r="BI4958" s="5"/>
      <c r="BJ4958" s="5"/>
      <c r="BK4958" s="5"/>
      <c r="BL4958" s="5"/>
      <c r="BM4958" s="5"/>
      <c r="BN4958" s="5"/>
      <c r="BO4958" s="5"/>
      <c r="BP4958" s="5"/>
    </row>
    <row r="4959" spans="35:68" x14ac:dyDescent="0.25">
      <c r="AI4959" s="49"/>
      <c r="AJ4959" s="78"/>
      <c r="AK4959" s="79"/>
      <c r="AL4959" s="79"/>
      <c r="AM4959" s="79"/>
      <c r="AN4959" s="79"/>
      <c r="AO4959" s="79"/>
      <c r="AP4959" s="79"/>
      <c r="AQ4959" s="79"/>
      <c r="AR4959" s="78"/>
      <c r="AS4959" s="78"/>
      <c r="AT4959" s="79"/>
      <c r="AU4959" s="79"/>
      <c r="AV4959" s="79"/>
      <c r="AW4959" s="79"/>
      <c r="AX4959" s="79"/>
      <c r="AZ4959" s="81"/>
      <c r="BB4959" s="5"/>
      <c r="BC4959" s="5"/>
      <c r="BD4959" s="5"/>
      <c r="BE4959" s="5"/>
      <c r="BF4959" s="5"/>
      <c r="BG4959" s="5"/>
      <c r="BH4959" s="5"/>
      <c r="BI4959" s="5"/>
      <c r="BJ4959" s="5"/>
      <c r="BK4959" s="5"/>
      <c r="BL4959" s="5"/>
      <c r="BM4959" s="5"/>
      <c r="BN4959" s="5"/>
      <c r="BO4959" s="5"/>
      <c r="BP4959" s="5"/>
    </row>
    <row r="4960" spans="35:68" x14ac:dyDescent="0.25">
      <c r="AI4960" s="49"/>
      <c r="AJ4960" s="78"/>
      <c r="AK4960" s="79"/>
      <c r="AL4960" s="79"/>
      <c r="AM4960" s="79"/>
      <c r="AN4960" s="79"/>
      <c r="AO4960" s="79"/>
      <c r="AP4960" s="79"/>
      <c r="AQ4960" s="79"/>
      <c r="AR4960" s="78"/>
      <c r="AS4960" s="78"/>
      <c r="AT4960" s="79"/>
      <c r="AU4960" s="79"/>
      <c r="AV4960" s="79"/>
      <c r="AW4960" s="79"/>
      <c r="AX4960" s="79"/>
      <c r="AZ4960" s="81"/>
      <c r="BB4960" s="5"/>
      <c r="BC4960" s="5"/>
      <c r="BD4960" s="5"/>
      <c r="BE4960" s="5"/>
      <c r="BF4960" s="5"/>
      <c r="BG4960" s="5"/>
      <c r="BH4960" s="5"/>
      <c r="BI4960" s="5"/>
      <c r="BJ4960" s="5"/>
      <c r="BK4960" s="5"/>
      <c r="BL4960" s="5"/>
      <c r="BM4960" s="5"/>
      <c r="BN4960" s="5"/>
      <c r="BO4960" s="5"/>
      <c r="BP4960" s="5"/>
    </row>
    <row r="4961" spans="35:68" x14ac:dyDescent="0.25">
      <c r="AI4961" s="49"/>
      <c r="AJ4961" s="78"/>
      <c r="AK4961" s="79"/>
      <c r="AL4961" s="79"/>
      <c r="AM4961" s="79"/>
      <c r="AN4961" s="79"/>
      <c r="AO4961" s="79"/>
      <c r="AP4961" s="79"/>
      <c r="AQ4961" s="79"/>
      <c r="AR4961" s="78"/>
      <c r="AS4961" s="78"/>
      <c r="AT4961" s="79"/>
      <c r="AU4961" s="79"/>
      <c r="AV4961" s="79"/>
      <c r="AW4961" s="79"/>
      <c r="AX4961" s="79"/>
      <c r="AZ4961" s="81"/>
      <c r="BB4961" s="5"/>
      <c r="BC4961" s="5"/>
      <c r="BD4961" s="5"/>
      <c r="BE4961" s="5"/>
      <c r="BF4961" s="5"/>
      <c r="BG4961" s="5"/>
      <c r="BH4961" s="5"/>
      <c r="BI4961" s="5"/>
      <c r="BJ4961" s="5"/>
      <c r="BK4961" s="5"/>
      <c r="BL4961" s="5"/>
      <c r="BM4961" s="5"/>
      <c r="BN4961" s="5"/>
      <c r="BO4961" s="5"/>
      <c r="BP4961" s="5"/>
    </row>
    <row r="4962" spans="35:68" x14ac:dyDescent="0.25">
      <c r="AI4962" s="49"/>
      <c r="AJ4962" s="78"/>
      <c r="AK4962" s="79"/>
      <c r="AL4962" s="79"/>
      <c r="AM4962" s="79"/>
      <c r="AN4962" s="79"/>
      <c r="AO4962" s="79"/>
      <c r="AP4962" s="79"/>
      <c r="AQ4962" s="79"/>
      <c r="AR4962" s="78"/>
      <c r="AS4962" s="78"/>
      <c r="AT4962" s="79"/>
      <c r="AU4962" s="79"/>
      <c r="AV4962" s="79"/>
      <c r="AW4962" s="79"/>
      <c r="AX4962" s="79"/>
      <c r="AZ4962" s="81"/>
      <c r="BB4962" s="5"/>
      <c r="BC4962" s="5"/>
      <c r="BD4962" s="5"/>
      <c r="BE4962" s="5"/>
      <c r="BF4962" s="5"/>
      <c r="BG4962" s="5"/>
      <c r="BH4962" s="5"/>
      <c r="BI4962" s="5"/>
      <c r="BJ4962" s="5"/>
      <c r="BK4962" s="5"/>
      <c r="BL4962" s="5"/>
      <c r="BM4962" s="5"/>
      <c r="BN4962" s="5"/>
      <c r="BO4962" s="5"/>
      <c r="BP4962" s="5"/>
    </row>
    <row r="4963" spans="35:68" x14ac:dyDescent="0.25">
      <c r="AI4963" s="49"/>
      <c r="AJ4963" s="78"/>
      <c r="AK4963" s="79"/>
      <c r="AL4963" s="79"/>
      <c r="AM4963" s="79"/>
      <c r="AN4963" s="79"/>
      <c r="AO4963" s="79"/>
      <c r="AP4963" s="79"/>
      <c r="AQ4963" s="79"/>
      <c r="AR4963" s="78"/>
      <c r="AS4963" s="78"/>
      <c r="AT4963" s="79"/>
      <c r="AU4963" s="79"/>
      <c r="AV4963" s="79"/>
      <c r="AW4963" s="79"/>
      <c r="AX4963" s="79"/>
      <c r="AZ4963" s="81"/>
      <c r="BB4963" s="5"/>
      <c r="BC4963" s="5"/>
      <c r="BD4963" s="5"/>
      <c r="BE4963" s="5"/>
      <c r="BF4963" s="5"/>
      <c r="BG4963" s="5"/>
      <c r="BH4963" s="5"/>
      <c r="BI4963" s="5"/>
      <c r="BJ4963" s="5"/>
      <c r="BK4963" s="5"/>
      <c r="BL4963" s="5"/>
      <c r="BM4963" s="5"/>
      <c r="BN4963" s="5"/>
      <c r="BO4963" s="5"/>
      <c r="BP4963" s="5"/>
    </row>
    <row r="4964" spans="35:68" x14ac:dyDescent="0.25">
      <c r="AI4964" s="49"/>
      <c r="AJ4964" s="78"/>
      <c r="AK4964" s="79"/>
      <c r="AL4964" s="79"/>
      <c r="AM4964" s="79"/>
      <c r="AN4964" s="79"/>
      <c r="AO4964" s="79"/>
      <c r="AP4964" s="79"/>
      <c r="AQ4964" s="79"/>
      <c r="AR4964" s="78"/>
      <c r="AS4964" s="78"/>
      <c r="AT4964" s="79"/>
      <c r="AU4964" s="79"/>
      <c r="AV4964" s="79"/>
      <c r="AW4964" s="79"/>
      <c r="AX4964" s="79"/>
      <c r="AZ4964" s="81"/>
      <c r="BB4964" s="5"/>
      <c r="BC4964" s="5"/>
      <c r="BD4964" s="5"/>
      <c r="BE4964" s="5"/>
      <c r="BF4964" s="5"/>
      <c r="BG4964" s="5"/>
      <c r="BH4964" s="5"/>
      <c r="BI4964" s="5"/>
      <c r="BJ4964" s="5"/>
      <c r="BK4964" s="5"/>
      <c r="BL4964" s="5"/>
      <c r="BM4964" s="5"/>
      <c r="BN4964" s="5"/>
      <c r="BO4964" s="5"/>
      <c r="BP4964" s="5"/>
    </row>
    <row r="4965" spans="35:68" x14ac:dyDescent="0.25">
      <c r="AI4965" s="49"/>
      <c r="AJ4965" s="78"/>
      <c r="AK4965" s="79"/>
      <c r="AL4965" s="79"/>
      <c r="AM4965" s="79"/>
      <c r="AN4965" s="79"/>
      <c r="AO4965" s="79"/>
      <c r="AP4965" s="79"/>
      <c r="AQ4965" s="79"/>
      <c r="AR4965" s="78"/>
      <c r="AS4965" s="78"/>
      <c r="AT4965" s="79"/>
      <c r="AU4965" s="79"/>
      <c r="AV4965" s="79"/>
      <c r="AW4965" s="79"/>
      <c r="AX4965" s="79"/>
      <c r="AZ4965" s="81"/>
      <c r="BB4965" s="5"/>
      <c r="BC4965" s="5"/>
      <c r="BD4965" s="5"/>
      <c r="BE4965" s="5"/>
      <c r="BF4965" s="5"/>
      <c r="BG4965" s="5"/>
      <c r="BH4965" s="5"/>
      <c r="BI4965" s="5"/>
      <c r="BJ4965" s="5"/>
      <c r="BK4965" s="5"/>
      <c r="BL4965" s="5"/>
      <c r="BM4965" s="5"/>
      <c r="BN4965" s="5"/>
      <c r="BO4965" s="5"/>
      <c r="BP4965" s="5"/>
    </row>
    <row r="4966" spans="35:68" x14ac:dyDescent="0.25">
      <c r="AI4966" s="49"/>
      <c r="AJ4966" s="78"/>
      <c r="AK4966" s="79"/>
      <c r="AL4966" s="79"/>
      <c r="AM4966" s="79"/>
      <c r="AN4966" s="79"/>
      <c r="AO4966" s="79"/>
      <c r="AP4966" s="79"/>
      <c r="AQ4966" s="79"/>
      <c r="AR4966" s="78"/>
      <c r="AS4966" s="78"/>
      <c r="AT4966" s="79"/>
      <c r="AU4966" s="79"/>
      <c r="AV4966" s="79"/>
      <c r="AW4966" s="79"/>
      <c r="AX4966" s="79"/>
      <c r="AZ4966" s="81"/>
      <c r="BB4966" s="5"/>
      <c r="BC4966" s="5"/>
      <c r="BD4966" s="5"/>
      <c r="BE4966" s="5"/>
      <c r="BF4966" s="5"/>
      <c r="BG4966" s="5"/>
      <c r="BH4966" s="5"/>
      <c r="BI4966" s="5"/>
      <c r="BJ4966" s="5"/>
      <c r="BK4966" s="5"/>
      <c r="BL4966" s="5"/>
      <c r="BM4966" s="5"/>
      <c r="BN4966" s="5"/>
      <c r="BO4966" s="5"/>
      <c r="BP4966" s="5"/>
    </row>
    <row r="4967" spans="35:68" x14ac:dyDescent="0.25">
      <c r="AI4967" s="49"/>
      <c r="AJ4967" s="78"/>
      <c r="AK4967" s="79"/>
      <c r="AL4967" s="79"/>
      <c r="AM4967" s="79"/>
      <c r="AN4967" s="79"/>
      <c r="AO4967" s="79"/>
      <c r="AP4967" s="79"/>
      <c r="AQ4967" s="79"/>
      <c r="AR4967" s="78"/>
      <c r="AS4967" s="78"/>
      <c r="AT4967" s="79"/>
      <c r="AU4967" s="79"/>
      <c r="AV4967" s="79"/>
      <c r="AW4967" s="79"/>
      <c r="AX4967" s="79"/>
      <c r="AZ4967" s="81"/>
      <c r="BB4967" s="5"/>
      <c r="BC4967" s="5"/>
      <c r="BD4967" s="5"/>
      <c r="BE4967" s="5"/>
      <c r="BF4967" s="5"/>
      <c r="BG4967" s="5"/>
      <c r="BH4967" s="5"/>
      <c r="BI4967" s="5"/>
      <c r="BJ4967" s="5"/>
      <c r="BK4967" s="5"/>
      <c r="BL4967" s="5"/>
      <c r="BM4967" s="5"/>
      <c r="BN4967" s="5"/>
      <c r="BO4967" s="5"/>
      <c r="BP4967" s="5"/>
    </row>
    <row r="4968" spans="35:68" x14ac:dyDescent="0.25">
      <c r="AI4968" s="49"/>
      <c r="AJ4968" s="78"/>
      <c r="AK4968" s="79"/>
      <c r="AL4968" s="79"/>
      <c r="AM4968" s="79"/>
      <c r="AN4968" s="79"/>
      <c r="AO4968" s="79"/>
      <c r="AP4968" s="79"/>
      <c r="AQ4968" s="79"/>
      <c r="AR4968" s="78"/>
      <c r="AS4968" s="78"/>
      <c r="AT4968" s="79"/>
      <c r="AU4968" s="79"/>
      <c r="AV4968" s="79"/>
      <c r="AW4968" s="79"/>
      <c r="AX4968" s="79"/>
      <c r="AZ4968" s="81"/>
      <c r="BB4968" s="5"/>
      <c r="BC4968" s="5"/>
      <c r="BD4968" s="5"/>
      <c r="BE4968" s="5"/>
      <c r="BF4968" s="5"/>
      <c r="BG4968" s="5"/>
      <c r="BH4968" s="5"/>
      <c r="BI4968" s="5"/>
      <c r="BJ4968" s="5"/>
      <c r="BK4968" s="5"/>
      <c r="BL4968" s="5"/>
      <c r="BM4968" s="5"/>
      <c r="BN4968" s="5"/>
      <c r="BO4968" s="5"/>
      <c r="BP4968" s="5"/>
    </row>
    <row r="4969" spans="35:68" x14ac:dyDescent="0.25">
      <c r="AI4969" s="49"/>
      <c r="AJ4969" s="78"/>
      <c r="AK4969" s="79"/>
      <c r="AL4969" s="79"/>
      <c r="AM4969" s="79"/>
      <c r="AN4969" s="79"/>
      <c r="AO4969" s="79"/>
      <c r="AP4969" s="79"/>
      <c r="AQ4969" s="79"/>
      <c r="AR4969" s="78"/>
      <c r="AS4969" s="78"/>
      <c r="AT4969" s="79"/>
      <c r="AU4969" s="79"/>
      <c r="AV4969" s="79"/>
      <c r="AW4969" s="79"/>
      <c r="AX4969" s="79"/>
      <c r="AZ4969" s="81"/>
      <c r="BB4969" s="5"/>
      <c r="BC4969" s="5"/>
      <c r="BD4969" s="5"/>
      <c r="BE4969" s="5"/>
      <c r="BF4969" s="5"/>
      <c r="BG4969" s="5"/>
      <c r="BH4969" s="5"/>
      <c r="BI4969" s="5"/>
      <c r="BJ4969" s="5"/>
      <c r="BK4969" s="5"/>
      <c r="BL4969" s="5"/>
      <c r="BM4969" s="5"/>
      <c r="BN4969" s="5"/>
      <c r="BO4969" s="5"/>
      <c r="BP4969" s="5"/>
    </row>
    <row r="4970" spans="35:68" x14ac:dyDescent="0.25">
      <c r="AI4970" s="49"/>
      <c r="AJ4970" s="78"/>
      <c r="AK4970" s="79"/>
      <c r="AL4970" s="79"/>
      <c r="AM4970" s="79"/>
      <c r="AN4970" s="79"/>
      <c r="AO4970" s="79"/>
      <c r="AP4970" s="79"/>
      <c r="AQ4970" s="79"/>
      <c r="AR4970" s="78"/>
      <c r="AS4970" s="78"/>
      <c r="AT4970" s="79"/>
      <c r="AU4970" s="79"/>
      <c r="AV4970" s="79"/>
      <c r="AW4970" s="79"/>
      <c r="AX4970" s="79"/>
      <c r="AZ4970" s="81"/>
      <c r="BB4970" s="5"/>
      <c r="BC4970" s="5"/>
      <c r="BD4970" s="5"/>
      <c r="BE4970" s="5"/>
      <c r="BF4970" s="5"/>
      <c r="BG4970" s="5"/>
      <c r="BH4970" s="5"/>
      <c r="BI4970" s="5"/>
      <c r="BJ4970" s="5"/>
      <c r="BK4970" s="5"/>
      <c r="BL4970" s="5"/>
      <c r="BM4970" s="5"/>
      <c r="BN4970" s="5"/>
      <c r="BO4970" s="5"/>
      <c r="BP4970" s="5"/>
    </row>
    <row r="4971" spans="35:68" x14ac:dyDescent="0.25">
      <c r="AI4971" s="49"/>
      <c r="AJ4971" s="78"/>
      <c r="AK4971" s="79"/>
      <c r="AL4971" s="79"/>
      <c r="AM4971" s="79"/>
      <c r="AN4971" s="79"/>
      <c r="AO4971" s="79"/>
      <c r="AP4971" s="79"/>
      <c r="AQ4971" s="79"/>
      <c r="AR4971" s="78"/>
      <c r="AS4971" s="78"/>
      <c r="AT4971" s="79"/>
      <c r="AU4971" s="79"/>
      <c r="AV4971" s="79"/>
      <c r="AW4971" s="79"/>
      <c r="AX4971" s="79"/>
      <c r="AZ4971" s="81"/>
      <c r="BB4971" s="5"/>
      <c r="BC4971" s="5"/>
      <c r="BD4971" s="5"/>
      <c r="BE4971" s="5"/>
      <c r="BF4971" s="5"/>
      <c r="BG4971" s="5"/>
      <c r="BH4971" s="5"/>
      <c r="BI4971" s="5"/>
      <c r="BJ4971" s="5"/>
      <c r="BK4971" s="5"/>
      <c r="BL4971" s="5"/>
      <c r="BM4971" s="5"/>
      <c r="BN4971" s="5"/>
      <c r="BO4971" s="5"/>
      <c r="BP4971" s="5"/>
    </row>
    <row r="4972" spans="35:68" x14ac:dyDescent="0.25">
      <c r="AI4972" s="49"/>
      <c r="AJ4972" s="78"/>
      <c r="AK4972" s="79"/>
      <c r="AL4972" s="79"/>
      <c r="AM4972" s="79"/>
      <c r="AN4972" s="79"/>
      <c r="AO4972" s="79"/>
      <c r="AP4972" s="79"/>
      <c r="AQ4972" s="79"/>
      <c r="AR4972" s="78"/>
      <c r="AS4972" s="78"/>
      <c r="AT4972" s="79"/>
      <c r="AU4972" s="79"/>
      <c r="AV4972" s="79"/>
      <c r="AW4972" s="79"/>
      <c r="AX4972" s="79"/>
      <c r="AZ4972" s="81"/>
      <c r="BB4972" s="5"/>
      <c r="BC4972" s="5"/>
      <c r="BD4972" s="5"/>
      <c r="BE4972" s="5"/>
      <c r="BF4972" s="5"/>
      <c r="BG4972" s="5"/>
      <c r="BH4972" s="5"/>
      <c r="BI4972" s="5"/>
      <c r="BJ4972" s="5"/>
      <c r="BK4972" s="5"/>
      <c r="BL4972" s="5"/>
      <c r="BM4972" s="5"/>
      <c r="BN4972" s="5"/>
      <c r="BO4972" s="5"/>
      <c r="BP4972" s="5"/>
    </row>
    <row r="4973" spans="35:68" x14ac:dyDescent="0.25">
      <c r="AI4973" s="49"/>
      <c r="AJ4973" s="78"/>
      <c r="AK4973" s="79"/>
      <c r="AL4973" s="79"/>
      <c r="AM4973" s="79"/>
      <c r="AN4973" s="79"/>
      <c r="AO4973" s="79"/>
      <c r="AP4973" s="79"/>
      <c r="AQ4973" s="79"/>
      <c r="AR4973" s="78"/>
      <c r="AS4973" s="78"/>
      <c r="AT4973" s="79"/>
      <c r="AU4973" s="79"/>
      <c r="AV4973" s="79"/>
      <c r="AW4973" s="79"/>
      <c r="AX4973" s="79"/>
      <c r="AZ4973" s="81"/>
      <c r="BB4973" s="5"/>
      <c r="BC4973" s="5"/>
      <c r="BD4973" s="5"/>
      <c r="BE4973" s="5"/>
      <c r="BF4973" s="5"/>
      <c r="BG4973" s="5"/>
      <c r="BH4973" s="5"/>
      <c r="BI4973" s="5"/>
      <c r="BJ4973" s="5"/>
      <c r="BK4973" s="5"/>
      <c r="BL4973" s="5"/>
      <c r="BM4973" s="5"/>
      <c r="BN4973" s="5"/>
      <c r="BO4973" s="5"/>
      <c r="BP4973" s="5"/>
    </row>
    <row r="4974" spans="35:68" x14ac:dyDescent="0.25">
      <c r="AI4974" s="49"/>
      <c r="AJ4974" s="78"/>
      <c r="AK4974" s="79"/>
      <c r="AL4974" s="79"/>
      <c r="AM4974" s="79"/>
      <c r="AN4974" s="79"/>
      <c r="AO4974" s="79"/>
      <c r="AP4974" s="79"/>
      <c r="AQ4974" s="79"/>
      <c r="AR4974" s="78"/>
      <c r="AS4974" s="78"/>
      <c r="AT4974" s="79"/>
      <c r="AU4974" s="79"/>
      <c r="AV4974" s="79"/>
      <c r="AW4974" s="79"/>
      <c r="AX4974" s="79"/>
      <c r="AZ4974" s="81"/>
      <c r="BB4974" s="5"/>
      <c r="BC4974" s="5"/>
      <c r="BD4974" s="5"/>
      <c r="BE4974" s="5"/>
      <c r="BF4974" s="5"/>
      <c r="BG4974" s="5"/>
      <c r="BH4974" s="5"/>
      <c r="BI4974" s="5"/>
      <c r="BJ4974" s="5"/>
      <c r="BK4974" s="5"/>
      <c r="BL4974" s="5"/>
      <c r="BM4974" s="5"/>
      <c r="BN4974" s="5"/>
      <c r="BO4974" s="5"/>
      <c r="BP4974" s="5"/>
    </row>
    <row r="4975" spans="35:68" x14ac:dyDescent="0.25">
      <c r="AI4975" s="49"/>
      <c r="AJ4975" s="78"/>
      <c r="AK4975" s="79"/>
      <c r="AL4975" s="79"/>
      <c r="AM4975" s="79"/>
      <c r="AN4975" s="79"/>
      <c r="AO4975" s="79"/>
      <c r="AP4975" s="79"/>
      <c r="AQ4975" s="79"/>
      <c r="AR4975" s="78"/>
      <c r="AS4975" s="78"/>
      <c r="AT4975" s="79"/>
      <c r="AU4975" s="79"/>
      <c r="AV4975" s="79"/>
      <c r="AW4975" s="79"/>
      <c r="AX4975" s="79"/>
      <c r="AZ4975" s="81"/>
      <c r="BB4975" s="5"/>
      <c r="BC4975" s="5"/>
      <c r="BD4975" s="5"/>
      <c r="BE4975" s="5"/>
      <c r="BF4975" s="5"/>
      <c r="BG4975" s="5"/>
      <c r="BH4975" s="5"/>
      <c r="BI4975" s="5"/>
      <c r="BJ4975" s="5"/>
      <c r="BK4975" s="5"/>
      <c r="BL4975" s="5"/>
      <c r="BM4975" s="5"/>
      <c r="BN4975" s="5"/>
      <c r="BO4975" s="5"/>
      <c r="BP4975" s="5"/>
    </row>
    <row r="4976" spans="35:68" x14ac:dyDescent="0.25">
      <c r="AI4976" s="49"/>
      <c r="AJ4976" s="78"/>
      <c r="AK4976" s="79"/>
      <c r="AL4976" s="79"/>
      <c r="AM4976" s="79"/>
      <c r="AN4976" s="79"/>
      <c r="AO4976" s="79"/>
      <c r="AP4976" s="79"/>
      <c r="AQ4976" s="79"/>
      <c r="AR4976" s="78"/>
      <c r="AS4976" s="78"/>
      <c r="AT4976" s="79"/>
      <c r="AU4976" s="79"/>
      <c r="AV4976" s="79"/>
      <c r="AW4976" s="79"/>
      <c r="AX4976" s="79"/>
      <c r="AZ4976" s="81"/>
      <c r="BB4976" s="5"/>
      <c r="BC4976" s="5"/>
      <c r="BD4976" s="5"/>
      <c r="BE4976" s="5"/>
      <c r="BF4976" s="5"/>
      <c r="BG4976" s="5"/>
      <c r="BH4976" s="5"/>
      <c r="BI4976" s="5"/>
      <c r="BJ4976" s="5"/>
      <c r="BK4976" s="5"/>
      <c r="BL4976" s="5"/>
      <c r="BM4976" s="5"/>
      <c r="BN4976" s="5"/>
      <c r="BO4976" s="5"/>
      <c r="BP4976" s="5"/>
    </row>
    <row r="4977" spans="35:68" x14ac:dyDescent="0.25">
      <c r="AI4977" s="49"/>
      <c r="AJ4977" s="78"/>
      <c r="AK4977" s="79"/>
      <c r="AL4977" s="79"/>
      <c r="AM4977" s="79"/>
      <c r="AN4977" s="79"/>
      <c r="AO4977" s="79"/>
      <c r="AP4977" s="79"/>
      <c r="AQ4977" s="79"/>
      <c r="AR4977" s="78"/>
      <c r="AS4977" s="78"/>
      <c r="AT4977" s="79"/>
      <c r="AU4977" s="79"/>
      <c r="AV4977" s="79"/>
      <c r="AW4977" s="79"/>
      <c r="AX4977" s="79"/>
      <c r="AZ4977" s="81"/>
      <c r="BB4977" s="5"/>
      <c r="BC4977" s="5"/>
      <c r="BD4977" s="5"/>
      <c r="BE4977" s="5"/>
      <c r="BF4977" s="5"/>
      <c r="BG4977" s="5"/>
      <c r="BH4977" s="5"/>
      <c r="BI4977" s="5"/>
      <c r="BJ4977" s="5"/>
      <c r="BK4977" s="5"/>
      <c r="BL4977" s="5"/>
      <c r="BM4977" s="5"/>
      <c r="BN4977" s="5"/>
      <c r="BO4977" s="5"/>
      <c r="BP4977" s="5"/>
    </row>
    <row r="4978" spans="35:68" x14ac:dyDescent="0.25">
      <c r="AI4978" s="49"/>
      <c r="AJ4978" s="78"/>
      <c r="AK4978" s="79"/>
      <c r="AL4978" s="79"/>
      <c r="AM4978" s="79"/>
      <c r="AN4978" s="79"/>
      <c r="AO4978" s="79"/>
      <c r="AP4978" s="79"/>
      <c r="AQ4978" s="79"/>
      <c r="AR4978" s="78"/>
      <c r="AS4978" s="78"/>
      <c r="AT4978" s="79"/>
      <c r="AU4978" s="79"/>
      <c r="AV4978" s="79"/>
      <c r="AW4978" s="79"/>
      <c r="AX4978" s="79"/>
      <c r="AZ4978" s="81"/>
      <c r="BB4978" s="5"/>
      <c r="BC4978" s="5"/>
      <c r="BD4978" s="5"/>
      <c r="BE4978" s="5"/>
      <c r="BF4978" s="5"/>
      <c r="BG4978" s="5"/>
      <c r="BH4978" s="5"/>
      <c r="BI4978" s="5"/>
      <c r="BJ4978" s="5"/>
      <c r="BK4978" s="5"/>
      <c r="BL4978" s="5"/>
      <c r="BM4978" s="5"/>
      <c r="BN4978" s="5"/>
      <c r="BO4978" s="5"/>
      <c r="BP4978" s="5"/>
    </row>
    <row r="4979" spans="35:68" x14ac:dyDescent="0.25">
      <c r="AI4979" s="49"/>
      <c r="AJ4979" s="78"/>
      <c r="AK4979" s="79"/>
      <c r="AL4979" s="79"/>
      <c r="AM4979" s="79"/>
      <c r="AN4979" s="79"/>
      <c r="AO4979" s="79"/>
      <c r="AP4979" s="79"/>
      <c r="AQ4979" s="79"/>
      <c r="AR4979" s="78"/>
      <c r="AS4979" s="78"/>
      <c r="AT4979" s="79"/>
      <c r="AU4979" s="79"/>
      <c r="AV4979" s="79"/>
      <c r="AW4979" s="79"/>
      <c r="AX4979" s="79"/>
      <c r="AZ4979" s="81"/>
      <c r="BB4979" s="5"/>
      <c r="BC4979" s="5"/>
      <c r="BD4979" s="5"/>
      <c r="BE4979" s="5"/>
      <c r="BF4979" s="5"/>
      <c r="BG4979" s="5"/>
      <c r="BH4979" s="5"/>
      <c r="BI4979" s="5"/>
      <c r="BJ4979" s="5"/>
      <c r="BK4979" s="5"/>
      <c r="BL4979" s="5"/>
      <c r="BM4979" s="5"/>
      <c r="BN4979" s="5"/>
      <c r="BO4979" s="5"/>
      <c r="BP4979" s="5"/>
    </row>
    <row r="4980" spans="35:68" x14ac:dyDescent="0.25">
      <c r="AI4980" s="49"/>
      <c r="AJ4980" s="78"/>
      <c r="AK4980" s="79"/>
      <c r="AL4980" s="79"/>
      <c r="AM4980" s="79"/>
      <c r="AN4980" s="79"/>
      <c r="AO4980" s="79"/>
      <c r="AP4980" s="79"/>
      <c r="AQ4980" s="79"/>
      <c r="AR4980" s="78"/>
      <c r="AS4980" s="78"/>
      <c r="AT4980" s="79"/>
      <c r="AU4980" s="79"/>
      <c r="AV4980" s="79"/>
      <c r="AW4980" s="79"/>
      <c r="AX4980" s="79"/>
      <c r="AZ4980" s="81"/>
      <c r="BB4980" s="5"/>
      <c r="BC4980" s="5"/>
      <c r="BD4980" s="5"/>
      <c r="BE4980" s="5"/>
      <c r="BF4980" s="5"/>
      <c r="BG4980" s="5"/>
      <c r="BH4980" s="5"/>
      <c r="BI4980" s="5"/>
      <c r="BJ4980" s="5"/>
      <c r="BK4980" s="5"/>
      <c r="BL4980" s="5"/>
      <c r="BM4980" s="5"/>
      <c r="BN4980" s="5"/>
      <c r="BO4980" s="5"/>
      <c r="BP4980" s="5"/>
    </row>
    <row r="4981" spans="35:68" x14ac:dyDescent="0.25">
      <c r="AI4981" s="49"/>
      <c r="AJ4981" s="78"/>
      <c r="AK4981" s="79"/>
      <c r="AL4981" s="79"/>
      <c r="AM4981" s="79"/>
      <c r="AN4981" s="79"/>
      <c r="AO4981" s="79"/>
      <c r="AP4981" s="79"/>
      <c r="AQ4981" s="79"/>
      <c r="AR4981" s="78"/>
      <c r="AS4981" s="78"/>
      <c r="AT4981" s="79"/>
      <c r="AU4981" s="79"/>
      <c r="AV4981" s="79"/>
      <c r="AW4981" s="79"/>
      <c r="AX4981" s="79"/>
      <c r="AZ4981" s="81"/>
      <c r="BB4981" s="5"/>
      <c r="BC4981" s="5"/>
      <c r="BD4981" s="5"/>
      <c r="BE4981" s="5"/>
      <c r="BF4981" s="5"/>
      <c r="BG4981" s="5"/>
      <c r="BH4981" s="5"/>
      <c r="BI4981" s="5"/>
      <c r="BJ4981" s="5"/>
      <c r="BK4981" s="5"/>
      <c r="BL4981" s="5"/>
      <c r="BM4981" s="5"/>
      <c r="BN4981" s="5"/>
      <c r="BO4981" s="5"/>
      <c r="BP4981" s="5"/>
    </row>
    <row r="4982" spans="35:68" x14ac:dyDescent="0.25">
      <c r="AI4982" s="49"/>
      <c r="AJ4982" s="78"/>
      <c r="AK4982" s="79"/>
      <c r="AL4982" s="79"/>
      <c r="AM4982" s="79"/>
      <c r="AN4982" s="79"/>
      <c r="AO4982" s="79"/>
      <c r="AP4982" s="79"/>
      <c r="AQ4982" s="79"/>
      <c r="AR4982" s="78"/>
      <c r="AS4982" s="78"/>
      <c r="AT4982" s="79"/>
      <c r="AU4982" s="79"/>
      <c r="AV4982" s="79"/>
      <c r="AW4982" s="79"/>
      <c r="AX4982" s="79"/>
      <c r="AZ4982" s="81"/>
      <c r="BB4982" s="5"/>
      <c r="BC4982" s="5"/>
      <c r="BD4982" s="5"/>
      <c r="BE4982" s="5"/>
      <c r="BF4982" s="5"/>
      <c r="BG4982" s="5"/>
      <c r="BH4982" s="5"/>
      <c r="BI4982" s="5"/>
      <c r="BJ4982" s="5"/>
      <c r="BK4982" s="5"/>
      <c r="BL4982" s="5"/>
      <c r="BM4982" s="5"/>
      <c r="BN4982" s="5"/>
      <c r="BO4982" s="5"/>
      <c r="BP4982" s="5"/>
    </row>
    <row r="4983" spans="35:68" x14ac:dyDescent="0.25">
      <c r="AI4983" s="49"/>
      <c r="AJ4983" s="78"/>
      <c r="AK4983" s="79"/>
      <c r="AL4983" s="79"/>
      <c r="AM4983" s="79"/>
      <c r="AN4983" s="79"/>
      <c r="AO4983" s="79"/>
      <c r="AP4983" s="79"/>
      <c r="AQ4983" s="79"/>
      <c r="AR4983" s="78"/>
      <c r="AS4983" s="78"/>
      <c r="AT4983" s="79"/>
      <c r="AU4983" s="79"/>
      <c r="AV4983" s="79"/>
      <c r="AW4983" s="79"/>
      <c r="AX4983" s="79"/>
      <c r="AZ4983" s="81"/>
      <c r="BB4983" s="5"/>
      <c r="BC4983" s="5"/>
      <c r="BD4983" s="5"/>
      <c r="BE4983" s="5"/>
      <c r="BF4983" s="5"/>
      <c r="BG4983" s="5"/>
      <c r="BH4983" s="5"/>
      <c r="BI4983" s="5"/>
      <c r="BJ4983" s="5"/>
      <c r="BK4983" s="5"/>
      <c r="BL4983" s="5"/>
      <c r="BM4983" s="5"/>
      <c r="BN4983" s="5"/>
      <c r="BO4983" s="5"/>
      <c r="BP4983" s="5"/>
    </row>
    <row r="4984" spans="35:68" x14ac:dyDescent="0.25">
      <c r="AI4984" s="49"/>
      <c r="AJ4984" s="78"/>
      <c r="AK4984" s="79"/>
      <c r="AL4984" s="79"/>
      <c r="AM4984" s="79"/>
      <c r="AN4984" s="79"/>
      <c r="AO4984" s="79"/>
      <c r="AP4984" s="79"/>
      <c r="AQ4984" s="79"/>
      <c r="AR4984" s="78"/>
      <c r="AS4984" s="78"/>
      <c r="AT4984" s="79"/>
      <c r="AU4984" s="79"/>
      <c r="AV4984" s="79"/>
      <c r="AW4984" s="79"/>
      <c r="AX4984" s="79"/>
      <c r="AZ4984" s="81"/>
      <c r="BB4984" s="5"/>
      <c r="BC4984" s="5"/>
      <c r="BD4984" s="5"/>
      <c r="BE4984" s="5"/>
      <c r="BF4984" s="5"/>
      <c r="BG4984" s="5"/>
      <c r="BH4984" s="5"/>
      <c r="BI4984" s="5"/>
      <c r="BJ4984" s="5"/>
      <c r="BK4984" s="5"/>
      <c r="BL4984" s="5"/>
      <c r="BM4984" s="5"/>
      <c r="BN4984" s="5"/>
      <c r="BO4984" s="5"/>
      <c r="BP4984" s="5"/>
    </row>
    <row r="4985" spans="35:68" x14ac:dyDescent="0.25">
      <c r="AI4985" s="49"/>
      <c r="AJ4985" s="78"/>
      <c r="AK4985" s="79"/>
      <c r="AL4985" s="79"/>
      <c r="AM4985" s="79"/>
      <c r="AN4985" s="79"/>
      <c r="AO4985" s="79"/>
      <c r="AP4985" s="79"/>
      <c r="AQ4985" s="79"/>
      <c r="AR4985" s="78"/>
      <c r="AS4985" s="78"/>
      <c r="AT4985" s="79"/>
      <c r="AU4985" s="79"/>
      <c r="AV4985" s="79"/>
      <c r="AW4985" s="79"/>
      <c r="AX4985" s="79"/>
      <c r="AZ4985" s="81"/>
      <c r="BB4985" s="5"/>
      <c r="BC4985" s="5"/>
      <c r="BD4985" s="5"/>
      <c r="BE4985" s="5"/>
      <c r="BF4985" s="5"/>
      <c r="BG4985" s="5"/>
      <c r="BH4985" s="5"/>
      <c r="BI4985" s="5"/>
      <c r="BJ4985" s="5"/>
      <c r="BK4985" s="5"/>
      <c r="BL4985" s="5"/>
      <c r="BM4985" s="5"/>
      <c r="BN4985" s="5"/>
      <c r="BO4985" s="5"/>
      <c r="BP4985" s="5"/>
    </row>
    <row r="4986" spans="35:68" x14ac:dyDescent="0.25">
      <c r="AI4986" s="49"/>
      <c r="AJ4986" s="78"/>
      <c r="AK4986" s="79"/>
      <c r="AL4986" s="79"/>
      <c r="AM4986" s="79"/>
      <c r="AN4986" s="79"/>
      <c r="AO4986" s="79"/>
      <c r="AP4986" s="79"/>
      <c r="AQ4986" s="79"/>
      <c r="AR4986" s="78"/>
      <c r="AS4986" s="78"/>
      <c r="AT4986" s="79"/>
      <c r="AU4986" s="79"/>
      <c r="AV4986" s="79"/>
      <c r="AW4986" s="79"/>
      <c r="AX4986" s="79"/>
      <c r="AZ4986" s="81"/>
      <c r="BB4986" s="5"/>
      <c r="BC4986" s="5"/>
      <c r="BD4986" s="5"/>
      <c r="BE4986" s="5"/>
      <c r="BF4986" s="5"/>
      <c r="BG4986" s="5"/>
      <c r="BH4986" s="5"/>
      <c r="BI4986" s="5"/>
      <c r="BJ4986" s="5"/>
      <c r="BK4986" s="5"/>
      <c r="BL4986" s="5"/>
      <c r="BM4986" s="5"/>
      <c r="BN4986" s="5"/>
      <c r="BO4986" s="5"/>
      <c r="BP4986" s="5"/>
    </row>
    <row r="4987" spans="35:68" x14ac:dyDescent="0.25">
      <c r="AI4987" s="49"/>
      <c r="AJ4987" s="78"/>
      <c r="AK4987" s="79"/>
      <c r="AL4987" s="79"/>
      <c r="AM4987" s="79"/>
      <c r="AN4987" s="79"/>
      <c r="AO4987" s="79"/>
      <c r="AP4987" s="79"/>
      <c r="AQ4987" s="79"/>
      <c r="AR4987" s="78"/>
      <c r="AS4987" s="78"/>
      <c r="AT4987" s="79"/>
      <c r="AU4987" s="79"/>
      <c r="AV4987" s="79"/>
      <c r="AW4987" s="79"/>
      <c r="AX4987" s="79"/>
      <c r="AZ4987" s="81"/>
      <c r="BB4987" s="5"/>
      <c r="BC4987" s="5"/>
      <c r="BD4987" s="5"/>
      <c r="BE4987" s="5"/>
      <c r="BF4987" s="5"/>
      <c r="BG4987" s="5"/>
      <c r="BH4987" s="5"/>
      <c r="BI4987" s="5"/>
      <c r="BJ4987" s="5"/>
      <c r="BK4987" s="5"/>
      <c r="BL4987" s="5"/>
      <c r="BM4987" s="5"/>
      <c r="BN4987" s="5"/>
      <c r="BO4987" s="5"/>
      <c r="BP4987" s="5"/>
    </row>
    <row r="4988" spans="35:68" x14ac:dyDescent="0.25">
      <c r="AI4988" s="49"/>
      <c r="AJ4988" s="78"/>
      <c r="AK4988" s="79"/>
      <c r="AL4988" s="79"/>
      <c r="AM4988" s="79"/>
      <c r="AN4988" s="79"/>
      <c r="AO4988" s="79"/>
      <c r="AP4988" s="79"/>
      <c r="AQ4988" s="79"/>
      <c r="AR4988" s="78"/>
      <c r="AS4988" s="78"/>
      <c r="AT4988" s="79"/>
      <c r="AU4988" s="79"/>
      <c r="AV4988" s="79"/>
      <c r="AW4988" s="79"/>
      <c r="AX4988" s="79"/>
      <c r="AZ4988" s="81"/>
      <c r="BB4988" s="5"/>
      <c r="BC4988" s="5"/>
      <c r="BD4988" s="5"/>
      <c r="BE4988" s="5"/>
      <c r="BF4988" s="5"/>
      <c r="BG4988" s="5"/>
      <c r="BH4988" s="5"/>
      <c r="BI4988" s="5"/>
      <c r="BJ4988" s="5"/>
      <c r="BK4988" s="5"/>
      <c r="BL4988" s="5"/>
      <c r="BM4988" s="5"/>
      <c r="BN4988" s="5"/>
      <c r="BO4988" s="5"/>
      <c r="BP4988" s="5"/>
    </row>
    <row r="4989" spans="35:68" x14ac:dyDescent="0.25">
      <c r="AI4989" s="49"/>
      <c r="AJ4989" s="78"/>
      <c r="AK4989" s="79"/>
      <c r="AL4989" s="79"/>
      <c r="AM4989" s="79"/>
      <c r="AN4989" s="79"/>
      <c r="AO4989" s="79"/>
      <c r="AP4989" s="79"/>
      <c r="AQ4989" s="79"/>
      <c r="AR4989" s="78"/>
      <c r="AS4989" s="78"/>
      <c r="AT4989" s="79"/>
      <c r="AU4989" s="79"/>
      <c r="AV4989" s="79"/>
      <c r="AW4989" s="79"/>
      <c r="AX4989" s="79"/>
      <c r="AZ4989" s="81"/>
      <c r="BB4989" s="5"/>
      <c r="BC4989" s="5"/>
      <c r="BD4989" s="5"/>
      <c r="BE4989" s="5"/>
      <c r="BF4989" s="5"/>
      <c r="BG4989" s="5"/>
      <c r="BH4989" s="5"/>
      <c r="BI4989" s="5"/>
      <c r="BJ4989" s="5"/>
      <c r="BK4989" s="5"/>
      <c r="BL4989" s="5"/>
      <c r="BM4989" s="5"/>
      <c r="BN4989" s="5"/>
      <c r="BO4989" s="5"/>
      <c r="BP4989" s="5"/>
    </row>
    <row r="4990" spans="35:68" x14ac:dyDescent="0.25">
      <c r="AI4990" s="49"/>
      <c r="AJ4990" s="78"/>
      <c r="AK4990" s="79"/>
      <c r="AL4990" s="79"/>
      <c r="AM4990" s="79"/>
      <c r="AN4990" s="79"/>
      <c r="AO4990" s="79"/>
      <c r="AP4990" s="79"/>
      <c r="AQ4990" s="79"/>
      <c r="AR4990" s="78"/>
      <c r="AS4990" s="78"/>
      <c r="AT4990" s="79"/>
      <c r="AU4990" s="79"/>
      <c r="AV4990" s="79"/>
      <c r="AW4990" s="79"/>
      <c r="AX4990" s="79"/>
      <c r="AZ4990" s="81"/>
      <c r="BB4990" s="5"/>
      <c r="BC4990" s="5"/>
      <c r="BD4990" s="5"/>
      <c r="BE4990" s="5"/>
      <c r="BF4990" s="5"/>
      <c r="BG4990" s="5"/>
      <c r="BH4990" s="5"/>
      <c r="BI4990" s="5"/>
      <c r="BJ4990" s="5"/>
      <c r="BK4990" s="5"/>
      <c r="BL4990" s="5"/>
      <c r="BM4990" s="5"/>
      <c r="BN4990" s="5"/>
      <c r="BO4990" s="5"/>
      <c r="BP4990" s="5"/>
    </row>
    <row r="4991" spans="35:68" x14ac:dyDescent="0.25">
      <c r="AI4991" s="49"/>
      <c r="AJ4991" s="78"/>
      <c r="AK4991" s="79"/>
      <c r="AL4991" s="79"/>
      <c r="AM4991" s="79"/>
      <c r="AN4991" s="79"/>
      <c r="AO4991" s="79"/>
      <c r="AP4991" s="79"/>
      <c r="AQ4991" s="79"/>
      <c r="AR4991" s="78"/>
      <c r="AS4991" s="78"/>
      <c r="AT4991" s="79"/>
      <c r="AU4991" s="79"/>
      <c r="AV4991" s="79"/>
      <c r="AW4991" s="79"/>
      <c r="AX4991" s="79"/>
      <c r="AZ4991" s="81"/>
      <c r="BB4991" s="5"/>
      <c r="BC4991" s="5"/>
      <c r="BD4991" s="5"/>
      <c r="BE4991" s="5"/>
      <c r="BF4991" s="5"/>
      <c r="BG4991" s="5"/>
      <c r="BH4991" s="5"/>
      <c r="BI4991" s="5"/>
      <c r="BJ4991" s="5"/>
      <c r="BK4991" s="5"/>
      <c r="BL4991" s="5"/>
      <c r="BM4991" s="5"/>
      <c r="BN4991" s="5"/>
      <c r="BO4991" s="5"/>
      <c r="BP4991" s="5"/>
    </row>
    <row r="4992" spans="35:68" x14ac:dyDescent="0.25">
      <c r="AI4992" s="49"/>
      <c r="AJ4992" s="78"/>
      <c r="AK4992" s="79"/>
      <c r="AL4992" s="79"/>
      <c r="AM4992" s="79"/>
      <c r="AN4992" s="79"/>
      <c r="AO4992" s="79"/>
      <c r="AP4992" s="79"/>
      <c r="AQ4992" s="79"/>
      <c r="AR4992" s="78"/>
      <c r="AS4992" s="78"/>
      <c r="AT4992" s="79"/>
      <c r="AU4992" s="79"/>
      <c r="AV4992" s="79"/>
      <c r="AW4992" s="79"/>
      <c r="AX4992" s="79"/>
      <c r="AZ4992" s="81"/>
      <c r="BB4992" s="5"/>
      <c r="BC4992" s="5"/>
      <c r="BD4992" s="5"/>
      <c r="BE4992" s="5"/>
      <c r="BF4992" s="5"/>
      <c r="BG4992" s="5"/>
      <c r="BH4992" s="5"/>
      <c r="BI4992" s="5"/>
      <c r="BJ4992" s="5"/>
      <c r="BK4992" s="5"/>
      <c r="BL4992" s="5"/>
      <c r="BM4992" s="5"/>
      <c r="BN4992" s="5"/>
      <c r="BO4992" s="5"/>
      <c r="BP4992" s="5"/>
    </row>
    <row r="4993" spans="35:68" x14ac:dyDescent="0.25">
      <c r="AI4993" s="49"/>
      <c r="AJ4993" s="78"/>
      <c r="AK4993" s="79"/>
      <c r="AL4993" s="79"/>
      <c r="AM4993" s="79"/>
      <c r="AN4993" s="79"/>
      <c r="AO4993" s="79"/>
      <c r="AP4993" s="79"/>
      <c r="AQ4993" s="79"/>
      <c r="AR4993" s="78"/>
      <c r="AS4993" s="78"/>
      <c r="AT4993" s="79"/>
      <c r="AU4993" s="79"/>
      <c r="AV4993" s="79"/>
      <c r="AW4993" s="79"/>
      <c r="AX4993" s="79"/>
      <c r="AZ4993" s="81"/>
      <c r="BB4993" s="5"/>
      <c r="BC4993" s="5"/>
      <c r="BD4993" s="5"/>
      <c r="BE4993" s="5"/>
      <c r="BF4993" s="5"/>
      <c r="BG4993" s="5"/>
      <c r="BH4993" s="5"/>
      <c r="BI4993" s="5"/>
      <c r="BJ4993" s="5"/>
      <c r="BK4993" s="5"/>
      <c r="BL4993" s="5"/>
      <c r="BM4993" s="5"/>
      <c r="BN4993" s="5"/>
      <c r="BO4993" s="5"/>
      <c r="BP4993" s="5"/>
    </row>
    <row r="4994" spans="35:68" x14ac:dyDescent="0.25">
      <c r="AI4994" s="49"/>
      <c r="AJ4994" s="78"/>
      <c r="AK4994" s="79"/>
      <c r="AL4994" s="79"/>
      <c r="AM4994" s="79"/>
      <c r="AN4994" s="79"/>
      <c r="AO4994" s="79"/>
      <c r="AP4994" s="79"/>
      <c r="AQ4994" s="79"/>
      <c r="AR4994" s="78"/>
      <c r="AS4994" s="78"/>
      <c r="AT4994" s="79"/>
      <c r="AU4994" s="79"/>
      <c r="AV4994" s="79"/>
      <c r="AW4994" s="79"/>
      <c r="AX4994" s="79"/>
      <c r="AZ4994" s="81"/>
      <c r="BB4994" s="5"/>
      <c r="BC4994" s="5"/>
      <c r="BD4994" s="5"/>
      <c r="BE4994" s="5"/>
      <c r="BF4994" s="5"/>
      <c r="BG4994" s="5"/>
      <c r="BH4994" s="5"/>
      <c r="BI4994" s="5"/>
      <c r="BJ4994" s="5"/>
      <c r="BK4994" s="5"/>
      <c r="BL4994" s="5"/>
      <c r="BM4994" s="5"/>
      <c r="BN4994" s="5"/>
      <c r="BO4994" s="5"/>
      <c r="BP4994" s="5"/>
    </row>
    <row r="4995" spans="35:68" x14ac:dyDescent="0.25">
      <c r="AI4995" s="49"/>
      <c r="AJ4995" s="78"/>
      <c r="AK4995" s="79"/>
      <c r="AL4995" s="79"/>
      <c r="AM4995" s="79"/>
      <c r="AN4995" s="79"/>
      <c r="AO4995" s="79"/>
      <c r="AP4995" s="79"/>
      <c r="AQ4995" s="79"/>
      <c r="AR4995" s="78"/>
      <c r="AS4995" s="78"/>
      <c r="AT4995" s="79"/>
      <c r="AU4995" s="79"/>
      <c r="AV4995" s="79"/>
      <c r="AW4995" s="79"/>
      <c r="AX4995" s="79"/>
      <c r="AZ4995" s="81"/>
      <c r="BB4995" s="5"/>
      <c r="BC4995" s="5"/>
      <c r="BD4995" s="5"/>
      <c r="BE4995" s="5"/>
      <c r="BF4995" s="5"/>
      <c r="BG4995" s="5"/>
      <c r="BH4995" s="5"/>
      <c r="BI4995" s="5"/>
      <c r="BJ4995" s="5"/>
      <c r="BK4995" s="5"/>
      <c r="BL4995" s="5"/>
      <c r="BM4995" s="5"/>
      <c r="BN4995" s="5"/>
      <c r="BO4995" s="5"/>
      <c r="BP4995" s="5"/>
    </row>
    <row r="4996" spans="35:68" x14ac:dyDescent="0.25">
      <c r="AI4996" s="49"/>
      <c r="AJ4996" s="78"/>
      <c r="AK4996" s="79"/>
      <c r="AL4996" s="79"/>
      <c r="AM4996" s="79"/>
      <c r="AN4996" s="79"/>
      <c r="AO4996" s="79"/>
      <c r="AP4996" s="79"/>
      <c r="AQ4996" s="79"/>
      <c r="AR4996" s="78"/>
      <c r="AS4996" s="78"/>
      <c r="AT4996" s="79"/>
      <c r="AU4996" s="79"/>
      <c r="AV4996" s="79"/>
      <c r="AW4996" s="79"/>
      <c r="AX4996" s="79"/>
      <c r="AZ4996" s="81"/>
      <c r="BB4996" s="5"/>
      <c r="BC4996" s="5"/>
      <c r="BD4996" s="5"/>
      <c r="BE4996" s="5"/>
      <c r="BF4996" s="5"/>
      <c r="BG4996" s="5"/>
      <c r="BH4996" s="5"/>
      <c r="BI4996" s="5"/>
      <c r="BJ4996" s="5"/>
      <c r="BK4996" s="5"/>
      <c r="BL4996" s="5"/>
      <c r="BM4996" s="5"/>
      <c r="BN4996" s="5"/>
      <c r="BO4996" s="5"/>
      <c r="BP4996" s="5"/>
    </row>
    <row r="4997" spans="35:68" x14ac:dyDescent="0.25">
      <c r="AI4997" s="49"/>
      <c r="AJ4997" s="78"/>
      <c r="AK4997" s="79"/>
      <c r="AL4997" s="79"/>
      <c r="AM4997" s="79"/>
      <c r="AN4997" s="79"/>
      <c r="AO4997" s="79"/>
      <c r="AP4997" s="79"/>
      <c r="AQ4997" s="79"/>
      <c r="AR4997" s="78"/>
      <c r="AS4997" s="78"/>
      <c r="AT4997" s="79"/>
      <c r="AU4997" s="79"/>
      <c r="AV4997" s="79"/>
      <c r="AW4997" s="79"/>
      <c r="AX4997" s="79"/>
      <c r="AZ4997" s="81"/>
      <c r="BB4997" s="5"/>
      <c r="BC4997" s="5"/>
      <c r="BD4997" s="5"/>
      <c r="BE4997" s="5"/>
      <c r="BF4997" s="5"/>
      <c r="BG4997" s="5"/>
      <c r="BH4997" s="5"/>
      <c r="BI4997" s="5"/>
      <c r="BJ4997" s="5"/>
      <c r="BK4997" s="5"/>
      <c r="BL4997" s="5"/>
      <c r="BM4997" s="5"/>
      <c r="BN4997" s="5"/>
      <c r="BO4997" s="5"/>
      <c r="BP4997" s="5"/>
    </row>
    <row r="4998" spans="35:68" x14ac:dyDescent="0.25">
      <c r="AI4998" s="49"/>
      <c r="AJ4998" s="78"/>
      <c r="AK4998" s="79"/>
      <c r="AL4998" s="79"/>
      <c r="AM4998" s="79"/>
      <c r="AN4998" s="79"/>
      <c r="AO4998" s="79"/>
      <c r="AP4998" s="79"/>
      <c r="AQ4998" s="79"/>
      <c r="AR4998" s="78"/>
      <c r="AS4998" s="78"/>
      <c r="AT4998" s="79"/>
      <c r="AU4998" s="79"/>
      <c r="AV4998" s="79"/>
      <c r="AW4998" s="79"/>
      <c r="AX4998" s="79"/>
      <c r="AZ4998" s="81"/>
      <c r="BB4998" s="5"/>
      <c r="BC4998" s="5"/>
      <c r="BD4998" s="5"/>
      <c r="BE4998" s="5"/>
      <c r="BF4998" s="5"/>
      <c r="BG4998" s="5"/>
      <c r="BH4998" s="5"/>
      <c r="BI4998" s="5"/>
      <c r="BJ4998" s="5"/>
      <c r="BK4998" s="5"/>
      <c r="BL4998" s="5"/>
      <c r="BM4998" s="5"/>
      <c r="BN4998" s="5"/>
      <c r="BO4998" s="5"/>
      <c r="BP4998" s="5"/>
    </row>
    <row r="4999" spans="35:68" x14ac:dyDescent="0.25">
      <c r="AI4999" s="49"/>
      <c r="AJ4999" s="78"/>
      <c r="AK4999" s="79"/>
      <c r="AL4999" s="79"/>
      <c r="AM4999" s="79"/>
      <c r="AN4999" s="79"/>
      <c r="AO4999" s="79"/>
      <c r="AP4999" s="79"/>
      <c r="AQ4999" s="79"/>
      <c r="AR4999" s="78"/>
      <c r="AS4999" s="78"/>
      <c r="AT4999" s="79"/>
      <c r="AU4999" s="79"/>
      <c r="AV4999" s="79"/>
      <c r="AW4999" s="79"/>
      <c r="AX4999" s="79"/>
      <c r="AZ4999" s="81"/>
      <c r="BB4999" s="5"/>
      <c r="BC4999" s="5"/>
      <c r="BD4999" s="5"/>
      <c r="BE4999" s="5"/>
      <c r="BF4999" s="5"/>
      <c r="BG4999" s="5"/>
      <c r="BH4999" s="5"/>
      <c r="BI4999" s="5"/>
      <c r="BJ4999" s="5"/>
      <c r="BK4999" s="5"/>
      <c r="BL4999" s="5"/>
      <c r="BM4999" s="5"/>
      <c r="BN4999" s="5"/>
      <c r="BO4999" s="5"/>
      <c r="BP4999" s="5"/>
    </row>
    <row r="5000" spans="35:68" x14ac:dyDescent="0.25">
      <c r="AI5000" s="49"/>
      <c r="AJ5000" s="78"/>
      <c r="AK5000" s="79"/>
      <c r="AL5000" s="79"/>
      <c r="AM5000" s="79"/>
      <c r="AN5000" s="79"/>
      <c r="AO5000" s="79"/>
      <c r="AP5000" s="79"/>
      <c r="AQ5000" s="79"/>
      <c r="AR5000" s="78"/>
      <c r="AS5000" s="78"/>
      <c r="AT5000" s="79"/>
      <c r="AU5000" s="79"/>
      <c r="AV5000" s="79"/>
      <c r="AW5000" s="79"/>
      <c r="AX5000" s="79"/>
      <c r="AZ5000" s="81"/>
      <c r="BB5000" s="5"/>
      <c r="BC5000" s="5"/>
      <c r="BD5000" s="5"/>
      <c r="BE5000" s="5"/>
      <c r="BF5000" s="5"/>
      <c r="BG5000" s="5"/>
      <c r="BH5000" s="5"/>
      <c r="BI5000" s="5"/>
      <c r="BJ5000" s="5"/>
      <c r="BK5000" s="5"/>
      <c r="BL5000" s="5"/>
      <c r="BM5000" s="5"/>
      <c r="BN5000" s="5"/>
      <c r="BO5000" s="5"/>
      <c r="BP5000" s="5"/>
    </row>
    <row r="5001" spans="35:68" x14ac:dyDescent="0.25">
      <c r="AI5001" s="49"/>
      <c r="AJ5001" s="78"/>
      <c r="AK5001" s="79"/>
      <c r="AL5001" s="79"/>
      <c r="AM5001" s="79"/>
      <c r="AN5001" s="79"/>
      <c r="AO5001" s="79"/>
      <c r="AP5001" s="79"/>
      <c r="AQ5001" s="79"/>
      <c r="AR5001" s="78"/>
      <c r="AS5001" s="78"/>
      <c r="AT5001" s="79"/>
      <c r="AU5001" s="79"/>
      <c r="AV5001" s="79"/>
      <c r="AW5001" s="79"/>
      <c r="AX5001" s="79"/>
      <c r="AZ5001" s="81"/>
      <c r="BB5001" s="5"/>
      <c r="BC5001" s="5"/>
      <c r="BD5001" s="5"/>
      <c r="BE5001" s="5"/>
      <c r="BF5001" s="5"/>
      <c r="BG5001" s="5"/>
      <c r="BH5001" s="5"/>
      <c r="BI5001" s="5"/>
      <c r="BJ5001" s="5"/>
      <c r="BK5001" s="5"/>
      <c r="BL5001" s="5"/>
      <c r="BM5001" s="5"/>
      <c r="BN5001" s="5"/>
      <c r="BO5001" s="5"/>
      <c r="BP5001" s="5"/>
    </row>
    <row r="5002" spans="35:68" x14ac:dyDescent="0.25">
      <c r="AI5002" s="49"/>
      <c r="AJ5002" s="78"/>
      <c r="AK5002" s="79"/>
      <c r="AL5002" s="79"/>
      <c r="AM5002" s="79"/>
      <c r="AN5002" s="79"/>
      <c r="AO5002" s="79"/>
      <c r="AP5002" s="79"/>
      <c r="AQ5002" s="79"/>
      <c r="AR5002" s="78"/>
      <c r="AS5002" s="78"/>
      <c r="AT5002" s="79"/>
      <c r="AU5002" s="79"/>
      <c r="AV5002" s="79"/>
      <c r="AW5002" s="79"/>
      <c r="AX5002" s="79"/>
      <c r="AZ5002" s="81"/>
      <c r="BB5002" s="5"/>
      <c r="BC5002" s="5"/>
      <c r="BD5002" s="5"/>
      <c r="BE5002" s="5"/>
      <c r="BF5002" s="5"/>
      <c r="BG5002" s="5"/>
      <c r="BH5002" s="5"/>
      <c r="BI5002" s="5"/>
      <c r="BJ5002" s="5"/>
      <c r="BK5002" s="5"/>
      <c r="BL5002" s="5"/>
      <c r="BM5002" s="5"/>
      <c r="BN5002" s="5"/>
      <c r="BO5002" s="5"/>
      <c r="BP5002" s="5"/>
    </row>
    <row r="5003" spans="35:68" x14ac:dyDescent="0.25">
      <c r="AI5003" s="49"/>
      <c r="AJ5003" s="78"/>
      <c r="AK5003" s="79"/>
      <c r="AL5003" s="79"/>
      <c r="AM5003" s="79"/>
      <c r="AN5003" s="79"/>
      <c r="AO5003" s="79"/>
      <c r="AP5003" s="79"/>
      <c r="AQ5003" s="79"/>
      <c r="AR5003" s="78"/>
      <c r="AS5003" s="78"/>
      <c r="AT5003" s="79"/>
      <c r="AU5003" s="79"/>
      <c r="AV5003" s="79"/>
      <c r="AW5003" s="79"/>
      <c r="AX5003" s="79"/>
      <c r="AZ5003" s="81"/>
      <c r="BB5003" s="5"/>
      <c r="BC5003" s="5"/>
      <c r="BD5003" s="5"/>
      <c r="BE5003" s="5"/>
      <c r="BF5003" s="5"/>
      <c r="BG5003" s="5"/>
      <c r="BH5003" s="5"/>
      <c r="BI5003" s="5"/>
      <c r="BJ5003" s="5"/>
      <c r="BK5003" s="5"/>
      <c r="BL5003" s="5"/>
      <c r="BM5003" s="5"/>
      <c r="BN5003" s="5"/>
      <c r="BO5003" s="5"/>
      <c r="BP5003" s="5"/>
    </row>
    <row r="5004" spans="35:68" x14ac:dyDescent="0.25">
      <c r="AI5004" s="49"/>
      <c r="AJ5004" s="78"/>
      <c r="AK5004" s="79"/>
      <c r="AL5004" s="79"/>
      <c r="AM5004" s="79"/>
      <c r="AN5004" s="79"/>
      <c r="AO5004" s="79"/>
      <c r="AP5004" s="79"/>
      <c r="AQ5004" s="79"/>
      <c r="AR5004" s="78"/>
      <c r="AS5004" s="78"/>
      <c r="AT5004" s="79"/>
      <c r="AU5004" s="79"/>
      <c r="AV5004" s="79"/>
      <c r="AW5004" s="79"/>
      <c r="AX5004" s="79"/>
      <c r="AZ5004" s="81"/>
      <c r="BB5004" s="5"/>
      <c r="BC5004" s="5"/>
      <c r="BD5004" s="5"/>
      <c r="BE5004" s="5"/>
      <c r="BF5004" s="5"/>
      <c r="BG5004" s="5"/>
      <c r="BH5004" s="5"/>
      <c r="BI5004" s="5"/>
      <c r="BJ5004" s="5"/>
      <c r="BK5004" s="5"/>
      <c r="BL5004" s="5"/>
      <c r="BM5004" s="5"/>
      <c r="BN5004" s="5"/>
      <c r="BO5004" s="5"/>
      <c r="BP5004" s="5"/>
    </row>
    <row r="5005" spans="35:68" x14ac:dyDescent="0.25">
      <c r="AI5005" s="49"/>
      <c r="AJ5005" s="78"/>
      <c r="AK5005" s="79"/>
      <c r="AL5005" s="79"/>
      <c r="AM5005" s="79"/>
      <c r="AN5005" s="79"/>
      <c r="AO5005" s="79"/>
      <c r="AP5005" s="79"/>
      <c r="AQ5005" s="79"/>
      <c r="AR5005" s="78"/>
      <c r="AS5005" s="78"/>
      <c r="AT5005" s="79"/>
      <c r="AU5005" s="79"/>
      <c r="AV5005" s="79"/>
      <c r="AW5005" s="79"/>
      <c r="AX5005" s="79"/>
      <c r="AZ5005" s="81"/>
      <c r="BB5005" s="5"/>
      <c r="BC5005" s="5"/>
      <c r="BD5005" s="5"/>
      <c r="BE5005" s="5"/>
      <c r="BF5005" s="5"/>
      <c r="BG5005" s="5"/>
      <c r="BH5005" s="5"/>
      <c r="BI5005" s="5"/>
      <c r="BJ5005" s="5"/>
      <c r="BK5005" s="5"/>
      <c r="BL5005" s="5"/>
      <c r="BM5005" s="5"/>
      <c r="BN5005" s="5"/>
      <c r="BO5005" s="5"/>
      <c r="BP5005" s="5"/>
    </row>
    <row r="5006" spans="35:68" x14ac:dyDescent="0.25">
      <c r="AI5006" s="49"/>
      <c r="AJ5006" s="78"/>
      <c r="AK5006" s="79"/>
      <c r="AL5006" s="79"/>
      <c r="AM5006" s="79"/>
      <c r="AN5006" s="79"/>
      <c r="AO5006" s="79"/>
      <c r="AP5006" s="79"/>
      <c r="AQ5006" s="79"/>
      <c r="AR5006" s="78"/>
      <c r="AS5006" s="78"/>
      <c r="AT5006" s="79"/>
      <c r="AU5006" s="79"/>
      <c r="AV5006" s="79"/>
      <c r="AW5006" s="79"/>
      <c r="AX5006" s="79"/>
      <c r="AZ5006" s="81"/>
      <c r="BB5006" s="5"/>
      <c r="BC5006" s="5"/>
      <c r="BD5006" s="5"/>
      <c r="BE5006" s="5"/>
      <c r="BF5006" s="5"/>
      <c r="BG5006" s="5"/>
      <c r="BH5006" s="5"/>
      <c r="BI5006" s="5"/>
      <c r="BJ5006" s="5"/>
      <c r="BK5006" s="5"/>
      <c r="BL5006" s="5"/>
      <c r="BM5006" s="5"/>
      <c r="BN5006" s="5"/>
      <c r="BO5006" s="5"/>
      <c r="BP5006" s="5"/>
    </row>
    <row r="5007" spans="35:68" x14ac:dyDescent="0.25">
      <c r="AI5007" s="49"/>
      <c r="AJ5007" s="78"/>
      <c r="AK5007" s="79"/>
      <c r="AL5007" s="79"/>
      <c r="AM5007" s="79"/>
      <c r="AN5007" s="79"/>
      <c r="AO5007" s="79"/>
      <c r="AP5007" s="79"/>
      <c r="AQ5007" s="79"/>
      <c r="AR5007" s="78"/>
      <c r="AS5007" s="78"/>
      <c r="AT5007" s="79"/>
      <c r="AU5007" s="79"/>
      <c r="AV5007" s="79"/>
      <c r="AW5007" s="79"/>
      <c r="AX5007" s="79"/>
      <c r="AZ5007" s="81"/>
      <c r="BB5007" s="5"/>
      <c r="BC5007" s="5"/>
      <c r="BD5007" s="5"/>
      <c r="BE5007" s="5"/>
      <c r="BF5007" s="5"/>
      <c r="BG5007" s="5"/>
      <c r="BH5007" s="5"/>
      <c r="BI5007" s="5"/>
      <c r="BJ5007" s="5"/>
      <c r="BK5007" s="5"/>
      <c r="BL5007" s="5"/>
      <c r="BM5007" s="5"/>
      <c r="BN5007" s="5"/>
      <c r="BO5007" s="5"/>
      <c r="BP5007" s="5"/>
    </row>
    <row r="5008" spans="35:68" x14ac:dyDescent="0.25">
      <c r="AI5008" s="49"/>
      <c r="AJ5008" s="78"/>
      <c r="AK5008" s="79"/>
      <c r="AL5008" s="79"/>
      <c r="AM5008" s="79"/>
      <c r="AN5008" s="79"/>
      <c r="AO5008" s="79"/>
      <c r="AP5008" s="79"/>
      <c r="AQ5008" s="79"/>
      <c r="AR5008" s="78"/>
      <c r="AS5008" s="78"/>
      <c r="AT5008" s="79"/>
      <c r="AU5008" s="79"/>
      <c r="AV5008" s="79"/>
      <c r="AW5008" s="79"/>
      <c r="AX5008" s="79"/>
      <c r="AZ5008" s="81"/>
      <c r="BB5008" s="5"/>
      <c r="BC5008" s="5"/>
      <c r="BD5008" s="5"/>
      <c r="BE5008" s="5"/>
      <c r="BF5008" s="5"/>
      <c r="BG5008" s="5"/>
      <c r="BH5008" s="5"/>
      <c r="BI5008" s="5"/>
      <c r="BJ5008" s="5"/>
      <c r="BK5008" s="5"/>
      <c r="BL5008" s="5"/>
      <c r="BM5008" s="5"/>
      <c r="BN5008" s="5"/>
      <c r="BO5008" s="5"/>
      <c r="BP5008" s="5"/>
    </row>
    <row r="5009" spans="35:68" x14ac:dyDescent="0.25">
      <c r="AI5009" s="49"/>
      <c r="AJ5009" s="78"/>
      <c r="AK5009" s="79"/>
      <c r="AL5009" s="79"/>
      <c r="AM5009" s="79"/>
      <c r="AN5009" s="79"/>
      <c r="AO5009" s="79"/>
      <c r="AP5009" s="79"/>
      <c r="AQ5009" s="79"/>
      <c r="AR5009" s="78"/>
      <c r="AS5009" s="78"/>
      <c r="AT5009" s="79"/>
      <c r="AU5009" s="79"/>
      <c r="AV5009" s="79"/>
      <c r="AW5009" s="79"/>
      <c r="AX5009" s="79"/>
      <c r="AZ5009" s="81"/>
      <c r="BB5009" s="5"/>
      <c r="BC5009" s="5"/>
      <c r="BD5009" s="5"/>
      <c r="BE5009" s="5"/>
      <c r="BF5009" s="5"/>
      <c r="BG5009" s="5"/>
      <c r="BH5009" s="5"/>
      <c r="BI5009" s="5"/>
      <c r="BJ5009" s="5"/>
      <c r="BK5009" s="5"/>
      <c r="BL5009" s="5"/>
      <c r="BM5009" s="5"/>
      <c r="BN5009" s="5"/>
      <c r="BO5009" s="5"/>
      <c r="BP5009" s="5"/>
    </row>
    <row r="5010" spans="35:68" x14ac:dyDescent="0.25">
      <c r="AI5010" s="49"/>
      <c r="AJ5010" s="78"/>
      <c r="AK5010" s="79"/>
      <c r="AL5010" s="79"/>
      <c r="AM5010" s="79"/>
      <c r="AN5010" s="79"/>
      <c r="AO5010" s="79"/>
      <c r="AP5010" s="79"/>
      <c r="AQ5010" s="79"/>
      <c r="AR5010" s="78"/>
      <c r="AS5010" s="78"/>
      <c r="AT5010" s="79"/>
      <c r="AU5010" s="79"/>
      <c r="AV5010" s="79"/>
      <c r="AW5010" s="79"/>
      <c r="AX5010" s="79"/>
      <c r="AZ5010" s="81"/>
      <c r="BB5010" s="5"/>
      <c r="BC5010" s="5"/>
      <c r="BD5010" s="5"/>
      <c r="BE5010" s="5"/>
      <c r="BF5010" s="5"/>
      <c r="BG5010" s="5"/>
      <c r="BH5010" s="5"/>
      <c r="BI5010" s="5"/>
      <c r="BJ5010" s="5"/>
      <c r="BK5010" s="5"/>
      <c r="BL5010" s="5"/>
      <c r="BM5010" s="5"/>
      <c r="BN5010" s="5"/>
      <c r="BO5010" s="5"/>
      <c r="BP5010" s="5"/>
    </row>
    <row r="5011" spans="35:68" x14ac:dyDescent="0.25">
      <c r="AI5011" s="49"/>
      <c r="AJ5011" s="78"/>
      <c r="AK5011" s="79"/>
      <c r="AL5011" s="79"/>
      <c r="AM5011" s="79"/>
      <c r="AN5011" s="79"/>
      <c r="AO5011" s="79"/>
      <c r="AP5011" s="79"/>
      <c r="AQ5011" s="79"/>
      <c r="AR5011" s="78"/>
      <c r="AS5011" s="78"/>
      <c r="AT5011" s="79"/>
      <c r="AU5011" s="79"/>
      <c r="AV5011" s="79"/>
      <c r="AW5011" s="79"/>
      <c r="AX5011" s="79"/>
      <c r="AZ5011" s="81"/>
      <c r="BB5011" s="5"/>
      <c r="BC5011" s="5"/>
      <c r="BD5011" s="5"/>
      <c r="BE5011" s="5"/>
      <c r="BF5011" s="5"/>
      <c r="BG5011" s="5"/>
      <c r="BH5011" s="5"/>
      <c r="BI5011" s="5"/>
      <c r="BJ5011" s="5"/>
      <c r="BK5011" s="5"/>
      <c r="BL5011" s="5"/>
      <c r="BM5011" s="5"/>
      <c r="BN5011" s="5"/>
      <c r="BO5011" s="5"/>
      <c r="BP5011" s="5"/>
    </row>
    <row r="5012" spans="35:68" x14ac:dyDescent="0.25">
      <c r="AI5012" s="49"/>
      <c r="AJ5012" s="78"/>
      <c r="AK5012" s="79"/>
      <c r="AL5012" s="79"/>
      <c r="AM5012" s="79"/>
      <c r="AN5012" s="79"/>
      <c r="AO5012" s="79"/>
      <c r="AP5012" s="79"/>
      <c r="AQ5012" s="79"/>
      <c r="AR5012" s="78"/>
      <c r="AS5012" s="78"/>
      <c r="AT5012" s="79"/>
      <c r="AU5012" s="79"/>
      <c r="AV5012" s="79"/>
      <c r="AW5012" s="79"/>
      <c r="AX5012" s="79"/>
      <c r="AZ5012" s="81"/>
      <c r="BB5012" s="5"/>
      <c r="BC5012" s="5"/>
      <c r="BD5012" s="5"/>
      <c r="BE5012" s="5"/>
      <c r="BF5012" s="5"/>
      <c r="BG5012" s="5"/>
      <c r="BH5012" s="5"/>
      <c r="BI5012" s="5"/>
      <c r="BJ5012" s="5"/>
      <c r="BK5012" s="5"/>
      <c r="BL5012" s="5"/>
      <c r="BM5012" s="5"/>
      <c r="BN5012" s="5"/>
      <c r="BO5012" s="5"/>
      <c r="BP5012" s="5"/>
    </row>
    <row r="5013" spans="35:68" x14ac:dyDescent="0.25">
      <c r="AI5013" s="49"/>
      <c r="AJ5013" s="78"/>
      <c r="AK5013" s="79"/>
      <c r="AL5013" s="79"/>
      <c r="AM5013" s="79"/>
      <c r="AN5013" s="79"/>
      <c r="AO5013" s="79"/>
      <c r="AP5013" s="79"/>
      <c r="AQ5013" s="79"/>
      <c r="AR5013" s="78"/>
      <c r="AS5013" s="78"/>
      <c r="AT5013" s="79"/>
      <c r="AU5013" s="79"/>
      <c r="AV5013" s="79"/>
      <c r="AW5013" s="79"/>
      <c r="AX5013" s="79"/>
      <c r="AZ5013" s="81"/>
      <c r="BB5013" s="5"/>
      <c r="BC5013" s="5"/>
      <c r="BD5013" s="5"/>
      <c r="BE5013" s="5"/>
      <c r="BF5013" s="5"/>
      <c r="BG5013" s="5"/>
      <c r="BH5013" s="5"/>
      <c r="BI5013" s="5"/>
      <c r="BJ5013" s="5"/>
      <c r="BK5013" s="5"/>
      <c r="BL5013" s="5"/>
      <c r="BM5013" s="5"/>
      <c r="BN5013" s="5"/>
      <c r="BO5013" s="5"/>
      <c r="BP5013" s="5"/>
    </row>
    <row r="5014" spans="35:68" x14ac:dyDescent="0.25">
      <c r="AI5014" s="49"/>
      <c r="AJ5014" s="78"/>
      <c r="AK5014" s="79"/>
      <c r="AL5014" s="79"/>
      <c r="AM5014" s="79"/>
      <c r="AN5014" s="79"/>
      <c r="AO5014" s="79"/>
      <c r="AP5014" s="79"/>
      <c r="AQ5014" s="79"/>
      <c r="AR5014" s="78"/>
      <c r="AS5014" s="78"/>
      <c r="AT5014" s="79"/>
      <c r="AU5014" s="79"/>
      <c r="AV5014" s="79"/>
      <c r="AW5014" s="79"/>
      <c r="AX5014" s="79"/>
      <c r="AZ5014" s="81"/>
      <c r="BB5014" s="5"/>
      <c r="BC5014" s="5"/>
      <c r="BD5014" s="5"/>
      <c r="BE5014" s="5"/>
      <c r="BF5014" s="5"/>
      <c r="BG5014" s="5"/>
      <c r="BH5014" s="5"/>
      <c r="BI5014" s="5"/>
      <c r="BJ5014" s="5"/>
      <c r="BK5014" s="5"/>
      <c r="BL5014" s="5"/>
      <c r="BM5014" s="5"/>
      <c r="BN5014" s="5"/>
      <c r="BO5014" s="5"/>
      <c r="BP5014" s="5"/>
    </row>
    <row r="5015" spans="35:68" x14ac:dyDescent="0.25">
      <c r="AI5015" s="49"/>
      <c r="AJ5015" s="78"/>
      <c r="AK5015" s="79"/>
      <c r="AL5015" s="79"/>
      <c r="AM5015" s="79"/>
      <c r="AN5015" s="79"/>
      <c r="AO5015" s="79"/>
      <c r="AP5015" s="79"/>
      <c r="AQ5015" s="79"/>
      <c r="AR5015" s="78"/>
      <c r="AS5015" s="78"/>
      <c r="AT5015" s="79"/>
      <c r="AU5015" s="79"/>
      <c r="AV5015" s="79"/>
      <c r="AW5015" s="79"/>
      <c r="AX5015" s="79"/>
      <c r="AZ5015" s="81"/>
      <c r="BB5015" s="5"/>
      <c r="BC5015" s="5"/>
      <c r="BD5015" s="5"/>
      <c r="BE5015" s="5"/>
      <c r="BF5015" s="5"/>
      <c r="BG5015" s="5"/>
      <c r="BH5015" s="5"/>
      <c r="BI5015" s="5"/>
      <c r="BJ5015" s="5"/>
      <c r="BK5015" s="5"/>
      <c r="BL5015" s="5"/>
      <c r="BM5015" s="5"/>
      <c r="BN5015" s="5"/>
      <c r="BO5015" s="5"/>
      <c r="BP5015" s="5"/>
    </row>
    <row r="5016" spans="35:68" x14ac:dyDescent="0.25">
      <c r="AI5016" s="49"/>
      <c r="AJ5016" s="78"/>
      <c r="AK5016" s="79"/>
      <c r="AL5016" s="79"/>
      <c r="AM5016" s="79"/>
      <c r="AN5016" s="79"/>
      <c r="AO5016" s="79"/>
      <c r="AP5016" s="79"/>
      <c r="AQ5016" s="79"/>
      <c r="AR5016" s="78"/>
      <c r="AS5016" s="78"/>
      <c r="AT5016" s="79"/>
      <c r="AU5016" s="79"/>
      <c r="AV5016" s="79"/>
      <c r="AW5016" s="79"/>
      <c r="AX5016" s="79"/>
      <c r="AZ5016" s="81"/>
      <c r="BB5016" s="5"/>
      <c r="BC5016" s="5"/>
      <c r="BD5016" s="5"/>
      <c r="BE5016" s="5"/>
      <c r="BF5016" s="5"/>
      <c r="BG5016" s="5"/>
      <c r="BH5016" s="5"/>
      <c r="BI5016" s="5"/>
      <c r="BJ5016" s="5"/>
      <c r="BK5016" s="5"/>
      <c r="BL5016" s="5"/>
      <c r="BM5016" s="5"/>
      <c r="BN5016" s="5"/>
      <c r="BO5016" s="5"/>
      <c r="BP5016" s="5"/>
    </row>
    <row r="5017" spans="35:68" x14ac:dyDescent="0.25">
      <c r="AI5017" s="49"/>
      <c r="AJ5017" s="78"/>
      <c r="AK5017" s="79"/>
      <c r="AL5017" s="79"/>
      <c r="AM5017" s="79"/>
      <c r="AN5017" s="79"/>
      <c r="AO5017" s="79"/>
      <c r="AP5017" s="79"/>
      <c r="AQ5017" s="79"/>
      <c r="AR5017" s="78"/>
      <c r="AS5017" s="78"/>
      <c r="AT5017" s="79"/>
      <c r="AU5017" s="79"/>
      <c r="AV5017" s="79"/>
      <c r="AW5017" s="79"/>
      <c r="AX5017" s="79"/>
      <c r="AZ5017" s="81"/>
      <c r="BB5017" s="5"/>
      <c r="BC5017" s="5"/>
      <c r="BD5017" s="5"/>
      <c r="BE5017" s="5"/>
      <c r="BF5017" s="5"/>
      <c r="BG5017" s="5"/>
      <c r="BH5017" s="5"/>
      <c r="BI5017" s="5"/>
      <c r="BJ5017" s="5"/>
      <c r="BK5017" s="5"/>
      <c r="BL5017" s="5"/>
      <c r="BM5017" s="5"/>
      <c r="BN5017" s="5"/>
      <c r="BO5017" s="5"/>
      <c r="BP5017" s="5"/>
    </row>
    <row r="5018" spans="35:68" x14ac:dyDescent="0.25">
      <c r="AI5018" s="49"/>
      <c r="AJ5018" s="78"/>
      <c r="AK5018" s="79"/>
      <c r="AL5018" s="79"/>
      <c r="AM5018" s="79"/>
      <c r="AN5018" s="79"/>
      <c r="AO5018" s="79"/>
      <c r="AP5018" s="79"/>
      <c r="AQ5018" s="79"/>
      <c r="AR5018" s="78"/>
      <c r="AS5018" s="78"/>
      <c r="AT5018" s="79"/>
      <c r="AU5018" s="79"/>
      <c r="AV5018" s="79"/>
      <c r="AW5018" s="79"/>
      <c r="AX5018" s="79"/>
      <c r="AZ5018" s="81"/>
      <c r="BB5018" s="5"/>
      <c r="BC5018" s="5"/>
      <c r="BD5018" s="5"/>
      <c r="BE5018" s="5"/>
      <c r="BF5018" s="5"/>
      <c r="BG5018" s="5"/>
      <c r="BH5018" s="5"/>
      <c r="BI5018" s="5"/>
      <c r="BJ5018" s="5"/>
      <c r="BK5018" s="5"/>
      <c r="BL5018" s="5"/>
      <c r="BM5018" s="5"/>
      <c r="BN5018" s="5"/>
      <c r="BO5018" s="5"/>
      <c r="BP5018" s="5"/>
    </row>
    <row r="5019" spans="35:68" x14ac:dyDescent="0.25">
      <c r="AI5019" s="49"/>
      <c r="AJ5019" s="78"/>
      <c r="AK5019" s="79"/>
      <c r="AL5019" s="79"/>
      <c r="AM5019" s="79"/>
      <c r="AN5019" s="79"/>
      <c r="AO5019" s="79"/>
      <c r="AP5019" s="79"/>
      <c r="AQ5019" s="79"/>
      <c r="AR5019" s="78"/>
      <c r="AS5019" s="78"/>
      <c r="AT5019" s="79"/>
      <c r="AU5019" s="79"/>
      <c r="AV5019" s="79"/>
      <c r="AW5019" s="79"/>
      <c r="AX5019" s="79"/>
      <c r="AZ5019" s="81"/>
      <c r="BB5019" s="5"/>
      <c r="BC5019" s="5"/>
      <c r="BD5019" s="5"/>
      <c r="BE5019" s="5"/>
      <c r="BF5019" s="5"/>
      <c r="BG5019" s="5"/>
      <c r="BH5019" s="5"/>
      <c r="BI5019" s="5"/>
      <c r="BJ5019" s="5"/>
      <c r="BK5019" s="5"/>
      <c r="BL5019" s="5"/>
      <c r="BM5019" s="5"/>
      <c r="BN5019" s="5"/>
      <c r="BO5019" s="5"/>
      <c r="BP5019" s="5"/>
    </row>
    <row r="5020" spans="35:68" x14ac:dyDescent="0.25">
      <c r="AI5020" s="49"/>
      <c r="AJ5020" s="78"/>
      <c r="AK5020" s="79"/>
      <c r="AL5020" s="79"/>
      <c r="AM5020" s="79"/>
      <c r="AN5020" s="79"/>
      <c r="AO5020" s="79"/>
      <c r="AP5020" s="79"/>
      <c r="AQ5020" s="79"/>
      <c r="AR5020" s="78"/>
      <c r="AS5020" s="78"/>
      <c r="AT5020" s="79"/>
      <c r="AU5020" s="79"/>
      <c r="AV5020" s="79"/>
      <c r="AW5020" s="79"/>
      <c r="AX5020" s="79"/>
      <c r="AZ5020" s="81"/>
      <c r="BB5020" s="5"/>
      <c r="BC5020" s="5"/>
      <c r="BD5020" s="5"/>
      <c r="BE5020" s="5"/>
      <c r="BF5020" s="5"/>
      <c r="BG5020" s="5"/>
      <c r="BH5020" s="5"/>
      <c r="BI5020" s="5"/>
      <c r="BJ5020" s="5"/>
      <c r="BK5020" s="5"/>
      <c r="BL5020" s="5"/>
      <c r="BM5020" s="5"/>
      <c r="BN5020" s="5"/>
      <c r="BO5020" s="5"/>
      <c r="BP5020" s="5"/>
    </row>
    <row r="5021" spans="35:68" x14ac:dyDescent="0.25">
      <c r="AI5021" s="49"/>
      <c r="AJ5021" s="78"/>
      <c r="AK5021" s="79"/>
      <c r="AL5021" s="79"/>
      <c r="AM5021" s="79"/>
      <c r="AN5021" s="79"/>
      <c r="AO5021" s="79"/>
      <c r="AP5021" s="79"/>
      <c r="AQ5021" s="79"/>
      <c r="AR5021" s="78"/>
      <c r="AS5021" s="78"/>
      <c r="AT5021" s="79"/>
      <c r="AU5021" s="79"/>
      <c r="AV5021" s="79"/>
      <c r="AW5021" s="79"/>
      <c r="AX5021" s="79"/>
      <c r="AZ5021" s="81"/>
      <c r="BB5021" s="5"/>
      <c r="BC5021" s="5"/>
      <c r="BD5021" s="5"/>
      <c r="BE5021" s="5"/>
      <c r="BF5021" s="5"/>
      <c r="BG5021" s="5"/>
      <c r="BH5021" s="5"/>
      <c r="BI5021" s="5"/>
      <c r="BJ5021" s="5"/>
      <c r="BK5021" s="5"/>
      <c r="BL5021" s="5"/>
      <c r="BM5021" s="5"/>
      <c r="BN5021" s="5"/>
      <c r="BO5021" s="5"/>
      <c r="BP5021" s="5"/>
    </row>
    <row r="5022" spans="35:68" x14ac:dyDescent="0.25">
      <c r="AI5022" s="49"/>
      <c r="AJ5022" s="78"/>
      <c r="AK5022" s="79"/>
      <c r="AL5022" s="79"/>
      <c r="AM5022" s="79"/>
      <c r="AN5022" s="79"/>
      <c r="AO5022" s="79"/>
      <c r="AP5022" s="79"/>
      <c r="AQ5022" s="79"/>
      <c r="AR5022" s="78"/>
      <c r="AS5022" s="78"/>
      <c r="AT5022" s="79"/>
      <c r="AU5022" s="79"/>
      <c r="AV5022" s="79"/>
      <c r="AW5022" s="79"/>
      <c r="AX5022" s="79"/>
      <c r="AZ5022" s="81"/>
      <c r="BB5022" s="5"/>
      <c r="BC5022" s="5"/>
      <c r="BD5022" s="5"/>
      <c r="BE5022" s="5"/>
      <c r="BF5022" s="5"/>
      <c r="BG5022" s="5"/>
      <c r="BH5022" s="5"/>
      <c r="BI5022" s="5"/>
      <c r="BJ5022" s="5"/>
      <c r="BK5022" s="5"/>
      <c r="BL5022" s="5"/>
      <c r="BM5022" s="5"/>
      <c r="BN5022" s="5"/>
      <c r="BO5022" s="5"/>
      <c r="BP5022" s="5"/>
    </row>
    <row r="5023" spans="35:68" x14ac:dyDescent="0.25">
      <c r="AI5023" s="49"/>
      <c r="AJ5023" s="78"/>
      <c r="AK5023" s="79"/>
      <c r="AL5023" s="79"/>
      <c r="AM5023" s="79"/>
      <c r="AN5023" s="79"/>
      <c r="AO5023" s="79"/>
      <c r="AP5023" s="79"/>
      <c r="AQ5023" s="79"/>
      <c r="AR5023" s="78"/>
      <c r="AS5023" s="78"/>
      <c r="AT5023" s="79"/>
      <c r="AU5023" s="79"/>
      <c r="AV5023" s="79"/>
      <c r="AW5023" s="79"/>
      <c r="AX5023" s="79"/>
      <c r="AZ5023" s="81"/>
      <c r="BB5023" s="5"/>
      <c r="BC5023" s="5"/>
      <c r="BD5023" s="5"/>
      <c r="BE5023" s="5"/>
      <c r="BF5023" s="5"/>
      <c r="BG5023" s="5"/>
      <c r="BH5023" s="5"/>
      <c r="BI5023" s="5"/>
      <c r="BJ5023" s="5"/>
      <c r="BK5023" s="5"/>
      <c r="BL5023" s="5"/>
      <c r="BM5023" s="5"/>
      <c r="BN5023" s="5"/>
      <c r="BO5023" s="5"/>
      <c r="BP5023" s="5"/>
    </row>
    <row r="5024" spans="35:68" x14ac:dyDescent="0.25">
      <c r="AI5024" s="49"/>
      <c r="AJ5024" s="78"/>
      <c r="AK5024" s="79"/>
      <c r="AL5024" s="79"/>
      <c r="AM5024" s="79"/>
      <c r="AN5024" s="79"/>
      <c r="AO5024" s="79"/>
      <c r="AP5024" s="79"/>
      <c r="AQ5024" s="79"/>
      <c r="AR5024" s="78"/>
      <c r="AS5024" s="78"/>
      <c r="AT5024" s="79"/>
      <c r="AU5024" s="79"/>
      <c r="AV5024" s="79"/>
      <c r="AW5024" s="79"/>
      <c r="AX5024" s="79"/>
      <c r="AZ5024" s="81"/>
      <c r="BB5024" s="5"/>
      <c r="BC5024" s="5"/>
      <c r="BD5024" s="5"/>
      <c r="BE5024" s="5"/>
      <c r="BF5024" s="5"/>
      <c r="BG5024" s="5"/>
      <c r="BH5024" s="5"/>
      <c r="BI5024" s="5"/>
      <c r="BJ5024" s="5"/>
      <c r="BK5024" s="5"/>
      <c r="BL5024" s="5"/>
      <c r="BM5024" s="5"/>
      <c r="BN5024" s="5"/>
      <c r="BO5024" s="5"/>
      <c r="BP5024" s="5"/>
    </row>
    <row r="5025" spans="35:68" x14ac:dyDescent="0.25">
      <c r="AI5025" s="49"/>
      <c r="AJ5025" s="78"/>
      <c r="AK5025" s="79"/>
      <c r="AL5025" s="79"/>
      <c r="AM5025" s="79"/>
      <c r="AN5025" s="79"/>
      <c r="AO5025" s="79"/>
      <c r="AP5025" s="79"/>
      <c r="AQ5025" s="79"/>
      <c r="AR5025" s="78"/>
      <c r="AS5025" s="78"/>
      <c r="AT5025" s="79"/>
      <c r="AU5025" s="79"/>
      <c r="AV5025" s="79"/>
      <c r="AW5025" s="79"/>
      <c r="AX5025" s="79"/>
      <c r="AZ5025" s="81"/>
      <c r="BB5025" s="5"/>
      <c r="BC5025" s="5"/>
      <c r="BD5025" s="5"/>
      <c r="BE5025" s="5"/>
      <c r="BF5025" s="5"/>
      <c r="BG5025" s="5"/>
      <c r="BH5025" s="5"/>
      <c r="BI5025" s="5"/>
      <c r="BJ5025" s="5"/>
      <c r="BK5025" s="5"/>
      <c r="BL5025" s="5"/>
      <c r="BM5025" s="5"/>
      <c r="BN5025" s="5"/>
      <c r="BO5025" s="5"/>
      <c r="BP5025" s="5"/>
    </row>
    <row r="5026" spans="35:68" x14ac:dyDescent="0.25">
      <c r="AI5026" s="49"/>
      <c r="AJ5026" s="78"/>
      <c r="AK5026" s="79"/>
      <c r="AL5026" s="79"/>
      <c r="AM5026" s="79"/>
      <c r="AN5026" s="79"/>
      <c r="AO5026" s="79"/>
      <c r="AP5026" s="79"/>
      <c r="AQ5026" s="79"/>
      <c r="AR5026" s="78"/>
      <c r="AS5026" s="78"/>
      <c r="AT5026" s="79"/>
      <c r="AU5026" s="79"/>
      <c r="AV5026" s="79"/>
      <c r="AW5026" s="79"/>
      <c r="AX5026" s="79"/>
      <c r="AZ5026" s="81"/>
      <c r="BB5026" s="5"/>
      <c r="BC5026" s="5"/>
      <c r="BD5026" s="5"/>
      <c r="BE5026" s="5"/>
      <c r="BF5026" s="5"/>
      <c r="BG5026" s="5"/>
      <c r="BH5026" s="5"/>
      <c r="BI5026" s="5"/>
      <c r="BJ5026" s="5"/>
      <c r="BK5026" s="5"/>
      <c r="BL5026" s="5"/>
      <c r="BM5026" s="5"/>
      <c r="BN5026" s="5"/>
      <c r="BO5026" s="5"/>
      <c r="BP5026" s="5"/>
    </row>
    <row r="5027" spans="35:68" x14ac:dyDescent="0.25">
      <c r="AI5027" s="49"/>
      <c r="AJ5027" s="78"/>
      <c r="AK5027" s="79"/>
      <c r="AL5027" s="79"/>
      <c r="AM5027" s="79"/>
      <c r="AN5027" s="79"/>
      <c r="AO5027" s="79"/>
      <c r="AP5027" s="79"/>
      <c r="AQ5027" s="79"/>
      <c r="AR5027" s="78"/>
      <c r="AS5027" s="78"/>
      <c r="AT5027" s="79"/>
      <c r="AU5027" s="79"/>
      <c r="AV5027" s="79"/>
      <c r="AW5027" s="79"/>
      <c r="AX5027" s="79"/>
      <c r="AZ5027" s="81"/>
      <c r="BB5027" s="5"/>
      <c r="BC5027" s="5"/>
      <c r="BD5027" s="5"/>
      <c r="BE5027" s="5"/>
      <c r="BF5027" s="5"/>
      <c r="BG5027" s="5"/>
      <c r="BH5027" s="5"/>
      <c r="BI5027" s="5"/>
      <c r="BJ5027" s="5"/>
      <c r="BK5027" s="5"/>
      <c r="BL5027" s="5"/>
      <c r="BM5027" s="5"/>
      <c r="BN5027" s="5"/>
      <c r="BO5027" s="5"/>
      <c r="BP5027" s="5"/>
    </row>
    <row r="5028" spans="35:68" x14ac:dyDescent="0.25">
      <c r="AI5028" s="49"/>
      <c r="AJ5028" s="78"/>
      <c r="AK5028" s="79"/>
      <c r="AL5028" s="79"/>
      <c r="AM5028" s="79"/>
      <c r="AN5028" s="79"/>
      <c r="AO5028" s="79"/>
      <c r="AP5028" s="79"/>
      <c r="AQ5028" s="79"/>
      <c r="AR5028" s="78"/>
      <c r="AS5028" s="78"/>
      <c r="AT5028" s="79"/>
      <c r="AU5028" s="79"/>
      <c r="AV5028" s="79"/>
      <c r="AW5028" s="79"/>
      <c r="AX5028" s="79"/>
      <c r="AZ5028" s="81"/>
      <c r="BB5028" s="5"/>
      <c r="BC5028" s="5"/>
      <c r="BD5028" s="5"/>
      <c r="BE5028" s="5"/>
      <c r="BF5028" s="5"/>
      <c r="BG5028" s="5"/>
      <c r="BH5028" s="5"/>
      <c r="BI5028" s="5"/>
      <c r="BJ5028" s="5"/>
      <c r="BK5028" s="5"/>
      <c r="BL5028" s="5"/>
      <c r="BM5028" s="5"/>
      <c r="BN5028" s="5"/>
      <c r="BO5028" s="5"/>
      <c r="BP5028" s="5"/>
    </row>
    <row r="5029" spans="35:68" x14ac:dyDescent="0.25">
      <c r="AI5029" s="49"/>
      <c r="AJ5029" s="78"/>
      <c r="AK5029" s="79"/>
      <c r="AL5029" s="79"/>
      <c r="AM5029" s="79"/>
      <c r="AN5029" s="79"/>
      <c r="AO5029" s="79"/>
      <c r="AP5029" s="79"/>
      <c r="AQ5029" s="79"/>
      <c r="AR5029" s="78"/>
      <c r="AS5029" s="78"/>
      <c r="AT5029" s="79"/>
      <c r="AU5029" s="79"/>
      <c r="AV5029" s="79"/>
      <c r="AW5029" s="79"/>
      <c r="AX5029" s="79"/>
      <c r="AZ5029" s="81"/>
      <c r="BB5029" s="5"/>
      <c r="BC5029" s="5"/>
      <c r="BD5029" s="5"/>
      <c r="BE5029" s="5"/>
      <c r="BF5029" s="5"/>
      <c r="BG5029" s="5"/>
      <c r="BH5029" s="5"/>
      <c r="BI5029" s="5"/>
      <c r="BJ5029" s="5"/>
      <c r="BK5029" s="5"/>
      <c r="BL5029" s="5"/>
      <c r="BM5029" s="5"/>
      <c r="BN5029" s="5"/>
      <c r="BO5029" s="5"/>
      <c r="BP5029" s="5"/>
    </row>
    <row r="5030" spans="35:68" x14ac:dyDescent="0.25">
      <c r="AI5030" s="49"/>
      <c r="AJ5030" s="78"/>
      <c r="AK5030" s="79"/>
      <c r="AL5030" s="79"/>
      <c r="AM5030" s="79"/>
      <c r="AN5030" s="79"/>
      <c r="AO5030" s="79"/>
      <c r="AP5030" s="79"/>
      <c r="AQ5030" s="79"/>
      <c r="AR5030" s="78"/>
      <c r="AS5030" s="78"/>
      <c r="AT5030" s="79"/>
      <c r="AU5030" s="79"/>
      <c r="AV5030" s="79"/>
      <c r="AW5030" s="79"/>
      <c r="AX5030" s="79"/>
      <c r="AZ5030" s="81"/>
      <c r="BB5030" s="5"/>
      <c r="BC5030" s="5"/>
      <c r="BD5030" s="5"/>
      <c r="BE5030" s="5"/>
      <c r="BF5030" s="5"/>
      <c r="BG5030" s="5"/>
      <c r="BH5030" s="5"/>
      <c r="BI5030" s="5"/>
      <c r="BJ5030" s="5"/>
      <c r="BK5030" s="5"/>
      <c r="BL5030" s="5"/>
      <c r="BM5030" s="5"/>
      <c r="BN5030" s="5"/>
      <c r="BO5030" s="5"/>
      <c r="BP5030" s="5"/>
    </row>
    <row r="5031" spans="35:68" x14ac:dyDescent="0.25">
      <c r="AI5031" s="49"/>
      <c r="AJ5031" s="78"/>
      <c r="AK5031" s="79"/>
      <c r="AL5031" s="79"/>
      <c r="AM5031" s="79"/>
      <c r="AN5031" s="79"/>
      <c r="AO5031" s="79"/>
      <c r="AP5031" s="79"/>
      <c r="AQ5031" s="79"/>
      <c r="AR5031" s="78"/>
      <c r="AS5031" s="78"/>
      <c r="AT5031" s="79"/>
      <c r="AU5031" s="79"/>
      <c r="AV5031" s="79"/>
      <c r="AW5031" s="79"/>
      <c r="AX5031" s="79"/>
      <c r="AZ5031" s="81"/>
      <c r="BB5031" s="5"/>
      <c r="BC5031" s="5"/>
      <c r="BD5031" s="5"/>
      <c r="BE5031" s="5"/>
      <c r="BF5031" s="5"/>
      <c r="BG5031" s="5"/>
      <c r="BH5031" s="5"/>
      <c r="BI5031" s="5"/>
      <c r="BJ5031" s="5"/>
      <c r="BK5031" s="5"/>
      <c r="BL5031" s="5"/>
      <c r="BM5031" s="5"/>
      <c r="BN5031" s="5"/>
      <c r="BO5031" s="5"/>
      <c r="BP5031" s="5"/>
    </row>
    <row r="5032" spans="35:68" x14ac:dyDescent="0.25">
      <c r="AI5032" s="49"/>
      <c r="AJ5032" s="78"/>
      <c r="AK5032" s="79"/>
      <c r="AL5032" s="79"/>
      <c r="AM5032" s="79"/>
      <c r="AN5032" s="79"/>
      <c r="AO5032" s="79"/>
      <c r="AP5032" s="79"/>
      <c r="AQ5032" s="79"/>
      <c r="AR5032" s="78"/>
      <c r="AS5032" s="78"/>
      <c r="AT5032" s="79"/>
      <c r="AU5032" s="79"/>
      <c r="AV5032" s="79"/>
      <c r="AW5032" s="79"/>
      <c r="AX5032" s="79"/>
      <c r="AZ5032" s="81"/>
      <c r="BB5032" s="5"/>
      <c r="BC5032" s="5"/>
      <c r="BD5032" s="5"/>
      <c r="BE5032" s="5"/>
      <c r="BF5032" s="5"/>
      <c r="BG5032" s="5"/>
      <c r="BH5032" s="5"/>
      <c r="BI5032" s="5"/>
      <c r="BJ5032" s="5"/>
      <c r="BK5032" s="5"/>
      <c r="BL5032" s="5"/>
      <c r="BM5032" s="5"/>
      <c r="BN5032" s="5"/>
      <c r="BO5032" s="5"/>
      <c r="BP5032" s="5"/>
    </row>
    <row r="5033" spans="35:68" x14ac:dyDescent="0.25">
      <c r="AI5033" s="49"/>
      <c r="AJ5033" s="78"/>
      <c r="AK5033" s="79"/>
      <c r="AL5033" s="79"/>
      <c r="AM5033" s="79"/>
      <c r="AN5033" s="79"/>
      <c r="AO5033" s="79"/>
      <c r="AP5033" s="79"/>
      <c r="AQ5033" s="79"/>
      <c r="AR5033" s="78"/>
      <c r="AS5033" s="78"/>
      <c r="AT5033" s="79"/>
      <c r="AU5033" s="79"/>
      <c r="AV5033" s="79"/>
      <c r="AW5033" s="79"/>
      <c r="AX5033" s="79"/>
      <c r="AZ5033" s="81"/>
      <c r="BB5033" s="5"/>
      <c r="BC5033" s="5"/>
      <c r="BD5033" s="5"/>
      <c r="BE5033" s="5"/>
      <c r="BF5033" s="5"/>
      <c r="BG5033" s="5"/>
      <c r="BH5033" s="5"/>
      <c r="BI5033" s="5"/>
      <c r="BJ5033" s="5"/>
      <c r="BK5033" s="5"/>
      <c r="BL5033" s="5"/>
      <c r="BM5033" s="5"/>
      <c r="BN5033" s="5"/>
      <c r="BO5033" s="5"/>
      <c r="BP5033" s="5"/>
    </row>
    <row r="5034" spans="35:68" x14ac:dyDescent="0.25">
      <c r="AI5034" s="49"/>
      <c r="AJ5034" s="78"/>
      <c r="AK5034" s="79"/>
      <c r="AL5034" s="79"/>
      <c r="AM5034" s="79"/>
      <c r="AN5034" s="79"/>
      <c r="AO5034" s="79"/>
      <c r="AP5034" s="79"/>
      <c r="AQ5034" s="79"/>
      <c r="AR5034" s="78"/>
      <c r="AS5034" s="78"/>
      <c r="AT5034" s="79"/>
      <c r="AU5034" s="79"/>
      <c r="AV5034" s="79"/>
      <c r="AW5034" s="79"/>
      <c r="AX5034" s="79"/>
      <c r="AZ5034" s="81"/>
      <c r="BB5034" s="5"/>
      <c r="BC5034" s="5"/>
      <c r="BD5034" s="5"/>
      <c r="BE5034" s="5"/>
      <c r="BF5034" s="5"/>
      <c r="BG5034" s="5"/>
      <c r="BH5034" s="5"/>
      <c r="BI5034" s="5"/>
      <c r="BJ5034" s="5"/>
      <c r="BK5034" s="5"/>
      <c r="BL5034" s="5"/>
      <c r="BM5034" s="5"/>
      <c r="BN5034" s="5"/>
      <c r="BO5034" s="5"/>
      <c r="BP5034" s="5"/>
    </row>
    <row r="5035" spans="35:68" x14ac:dyDescent="0.25">
      <c r="AI5035" s="49"/>
      <c r="AJ5035" s="78"/>
      <c r="AK5035" s="79"/>
      <c r="AL5035" s="79"/>
      <c r="AM5035" s="79"/>
      <c r="AN5035" s="79"/>
      <c r="AO5035" s="79"/>
      <c r="AP5035" s="79"/>
      <c r="AQ5035" s="79"/>
      <c r="AR5035" s="78"/>
      <c r="AS5035" s="78"/>
      <c r="AT5035" s="79"/>
      <c r="AU5035" s="79"/>
      <c r="AV5035" s="79"/>
      <c r="AW5035" s="79"/>
      <c r="AX5035" s="79"/>
      <c r="AZ5035" s="81"/>
      <c r="BB5035" s="5"/>
      <c r="BC5035" s="5"/>
      <c r="BD5035" s="5"/>
      <c r="BE5035" s="5"/>
      <c r="BF5035" s="5"/>
      <c r="BG5035" s="5"/>
      <c r="BH5035" s="5"/>
      <c r="BI5035" s="5"/>
      <c r="BJ5035" s="5"/>
      <c r="BK5035" s="5"/>
      <c r="BL5035" s="5"/>
      <c r="BM5035" s="5"/>
      <c r="BN5035" s="5"/>
      <c r="BO5035" s="5"/>
      <c r="BP5035" s="5"/>
    </row>
    <row r="5036" spans="35:68" x14ac:dyDescent="0.25">
      <c r="AI5036" s="49"/>
      <c r="AJ5036" s="78"/>
      <c r="AK5036" s="79"/>
      <c r="AL5036" s="79"/>
      <c r="AM5036" s="79"/>
      <c r="AN5036" s="79"/>
      <c r="AO5036" s="79"/>
      <c r="AP5036" s="79"/>
      <c r="AQ5036" s="79"/>
      <c r="AR5036" s="78"/>
      <c r="AS5036" s="78"/>
      <c r="AT5036" s="79"/>
      <c r="AU5036" s="79"/>
      <c r="AV5036" s="79"/>
      <c r="AW5036" s="79"/>
      <c r="AX5036" s="79"/>
      <c r="AZ5036" s="81"/>
      <c r="BB5036" s="5"/>
      <c r="BC5036" s="5"/>
      <c r="BD5036" s="5"/>
      <c r="BE5036" s="5"/>
      <c r="BF5036" s="5"/>
      <c r="BG5036" s="5"/>
      <c r="BH5036" s="5"/>
      <c r="BI5036" s="5"/>
      <c r="BJ5036" s="5"/>
      <c r="BK5036" s="5"/>
      <c r="BL5036" s="5"/>
      <c r="BM5036" s="5"/>
      <c r="BN5036" s="5"/>
      <c r="BO5036" s="5"/>
      <c r="BP5036" s="5"/>
    </row>
    <row r="5037" spans="35:68" x14ac:dyDescent="0.25">
      <c r="AI5037" s="49"/>
      <c r="AJ5037" s="78"/>
      <c r="AK5037" s="79"/>
      <c r="AL5037" s="79"/>
      <c r="AM5037" s="79"/>
      <c r="AN5037" s="79"/>
      <c r="AO5037" s="79"/>
      <c r="AP5037" s="79"/>
      <c r="AQ5037" s="79"/>
      <c r="AR5037" s="78"/>
      <c r="AS5037" s="78"/>
      <c r="AT5037" s="79"/>
      <c r="AU5037" s="79"/>
      <c r="AV5037" s="79"/>
      <c r="AW5037" s="79"/>
      <c r="AX5037" s="79"/>
      <c r="AZ5037" s="81"/>
      <c r="BB5037" s="5"/>
      <c r="BC5037" s="5"/>
      <c r="BD5037" s="5"/>
      <c r="BE5037" s="5"/>
      <c r="BF5037" s="5"/>
      <c r="BG5037" s="5"/>
      <c r="BH5037" s="5"/>
      <c r="BI5037" s="5"/>
      <c r="BJ5037" s="5"/>
      <c r="BK5037" s="5"/>
      <c r="BL5037" s="5"/>
      <c r="BM5037" s="5"/>
      <c r="BN5037" s="5"/>
      <c r="BO5037" s="5"/>
      <c r="BP5037" s="5"/>
    </row>
    <row r="5038" spans="35:68" x14ac:dyDescent="0.25">
      <c r="AI5038" s="49"/>
      <c r="AJ5038" s="78"/>
      <c r="AK5038" s="79"/>
      <c r="AL5038" s="79"/>
      <c r="AM5038" s="79"/>
      <c r="AN5038" s="79"/>
      <c r="AO5038" s="79"/>
      <c r="AP5038" s="79"/>
      <c r="AQ5038" s="79"/>
      <c r="AR5038" s="78"/>
      <c r="AS5038" s="78"/>
      <c r="AT5038" s="79"/>
      <c r="AU5038" s="79"/>
      <c r="AV5038" s="79"/>
      <c r="AW5038" s="79"/>
      <c r="AX5038" s="79"/>
      <c r="AZ5038" s="81"/>
      <c r="BB5038" s="5"/>
      <c r="BC5038" s="5"/>
      <c r="BD5038" s="5"/>
      <c r="BE5038" s="5"/>
      <c r="BF5038" s="5"/>
      <c r="BG5038" s="5"/>
      <c r="BH5038" s="5"/>
      <c r="BI5038" s="5"/>
      <c r="BJ5038" s="5"/>
      <c r="BK5038" s="5"/>
      <c r="BL5038" s="5"/>
      <c r="BM5038" s="5"/>
      <c r="BN5038" s="5"/>
      <c r="BO5038" s="5"/>
      <c r="BP5038" s="5"/>
    </row>
    <row r="5039" spans="35:68" x14ac:dyDescent="0.25">
      <c r="AI5039" s="49"/>
      <c r="AJ5039" s="78"/>
      <c r="AK5039" s="79"/>
      <c r="AL5039" s="79"/>
      <c r="AM5039" s="79"/>
      <c r="AN5039" s="79"/>
      <c r="AO5039" s="79"/>
      <c r="AP5039" s="79"/>
      <c r="AQ5039" s="79"/>
      <c r="AR5039" s="78"/>
      <c r="AS5039" s="78"/>
      <c r="AT5039" s="79"/>
      <c r="AU5039" s="79"/>
      <c r="AV5039" s="79"/>
      <c r="AW5039" s="79"/>
      <c r="AX5039" s="79"/>
      <c r="AZ5039" s="81"/>
      <c r="BB5039" s="5"/>
      <c r="BC5039" s="5"/>
      <c r="BD5039" s="5"/>
      <c r="BE5039" s="5"/>
      <c r="BF5039" s="5"/>
      <c r="BG5039" s="5"/>
      <c r="BH5039" s="5"/>
      <c r="BI5039" s="5"/>
      <c r="BJ5039" s="5"/>
      <c r="BK5039" s="5"/>
      <c r="BL5039" s="5"/>
      <c r="BM5039" s="5"/>
      <c r="BN5039" s="5"/>
      <c r="BO5039" s="5"/>
      <c r="BP5039" s="5"/>
    </row>
    <row r="5040" spans="35:68" x14ac:dyDescent="0.25">
      <c r="AI5040" s="49"/>
      <c r="AJ5040" s="78"/>
      <c r="AK5040" s="79"/>
      <c r="AL5040" s="79"/>
      <c r="AM5040" s="79"/>
      <c r="AN5040" s="79"/>
      <c r="AO5040" s="79"/>
      <c r="AP5040" s="79"/>
      <c r="AQ5040" s="79"/>
      <c r="AR5040" s="78"/>
      <c r="AS5040" s="78"/>
      <c r="AT5040" s="79"/>
      <c r="AU5040" s="79"/>
      <c r="AV5040" s="79"/>
      <c r="AW5040" s="79"/>
      <c r="AX5040" s="79"/>
      <c r="AZ5040" s="81"/>
      <c r="BB5040" s="5"/>
      <c r="BC5040" s="5"/>
      <c r="BD5040" s="5"/>
      <c r="BE5040" s="5"/>
      <c r="BF5040" s="5"/>
      <c r="BG5040" s="5"/>
      <c r="BH5040" s="5"/>
      <c r="BI5040" s="5"/>
      <c r="BJ5040" s="5"/>
      <c r="BK5040" s="5"/>
      <c r="BL5040" s="5"/>
      <c r="BM5040" s="5"/>
      <c r="BN5040" s="5"/>
      <c r="BO5040" s="5"/>
      <c r="BP5040" s="5"/>
    </row>
    <row r="5041" spans="35:68" x14ac:dyDescent="0.25">
      <c r="AI5041" s="49"/>
      <c r="AJ5041" s="78"/>
      <c r="AK5041" s="79"/>
      <c r="AL5041" s="79"/>
      <c r="AM5041" s="79"/>
      <c r="AN5041" s="79"/>
      <c r="AO5041" s="79"/>
      <c r="AP5041" s="79"/>
      <c r="AQ5041" s="79"/>
      <c r="AR5041" s="78"/>
      <c r="AS5041" s="78"/>
      <c r="AT5041" s="79"/>
      <c r="AU5041" s="79"/>
      <c r="AV5041" s="79"/>
      <c r="AW5041" s="79"/>
      <c r="AX5041" s="79"/>
      <c r="AZ5041" s="81"/>
      <c r="BB5041" s="5"/>
      <c r="BC5041" s="5"/>
      <c r="BD5041" s="5"/>
      <c r="BE5041" s="5"/>
      <c r="BF5041" s="5"/>
      <c r="BG5041" s="5"/>
      <c r="BH5041" s="5"/>
      <c r="BI5041" s="5"/>
      <c r="BJ5041" s="5"/>
      <c r="BK5041" s="5"/>
      <c r="BL5041" s="5"/>
      <c r="BM5041" s="5"/>
      <c r="BN5041" s="5"/>
      <c r="BO5041" s="5"/>
      <c r="BP5041" s="5"/>
    </row>
    <row r="5042" spans="35:68" x14ac:dyDescent="0.25">
      <c r="AI5042" s="49"/>
      <c r="AJ5042" s="78"/>
      <c r="AK5042" s="79"/>
      <c r="AL5042" s="79"/>
      <c r="AM5042" s="79"/>
      <c r="AN5042" s="79"/>
      <c r="AO5042" s="79"/>
      <c r="AP5042" s="79"/>
      <c r="AQ5042" s="79"/>
      <c r="AR5042" s="78"/>
      <c r="AS5042" s="78"/>
      <c r="AT5042" s="79"/>
      <c r="AU5042" s="79"/>
      <c r="AV5042" s="79"/>
      <c r="AW5042" s="79"/>
      <c r="AX5042" s="79"/>
      <c r="AZ5042" s="81"/>
      <c r="BB5042" s="5"/>
      <c r="BC5042" s="5"/>
      <c r="BD5042" s="5"/>
      <c r="BE5042" s="5"/>
      <c r="BF5042" s="5"/>
      <c r="BG5042" s="5"/>
      <c r="BH5042" s="5"/>
      <c r="BI5042" s="5"/>
      <c r="BJ5042" s="5"/>
      <c r="BK5042" s="5"/>
      <c r="BL5042" s="5"/>
      <c r="BM5042" s="5"/>
      <c r="BN5042" s="5"/>
      <c r="BO5042" s="5"/>
      <c r="BP5042" s="5"/>
    </row>
    <row r="5043" spans="35:68" x14ac:dyDescent="0.25">
      <c r="AI5043" s="49"/>
      <c r="AJ5043" s="78"/>
      <c r="AK5043" s="79"/>
      <c r="AL5043" s="79"/>
      <c r="AM5043" s="79"/>
      <c r="AN5043" s="79"/>
      <c r="AO5043" s="79"/>
      <c r="AP5043" s="79"/>
      <c r="AQ5043" s="79"/>
      <c r="AR5043" s="78"/>
      <c r="AS5043" s="78"/>
      <c r="AT5043" s="79"/>
      <c r="AU5043" s="79"/>
      <c r="AV5043" s="79"/>
      <c r="AW5043" s="79"/>
      <c r="AX5043" s="79"/>
      <c r="AZ5043" s="81"/>
      <c r="BB5043" s="5"/>
      <c r="BC5043" s="5"/>
      <c r="BD5043" s="5"/>
      <c r="BE5043" s="5"/>
      <c r="BF5043" s="5"/>
      <c r="BG5043" s="5"/>
      <c r="BH5043" s="5"/>
      <c r="BI5043" s="5"/>
      <c r="BJ5043" s="5"/>
      <c r="BK5043" s="5"/>
      <c r="BL5043" s="5"/>
      <c r="BM5043" s="5"/>
      <c r="BN5043" s="5"/>
      <c r="BO5043" s="5"/>
      <c r="BP5043" s="5"/>
    </row>
    <row r="5044" spans="35:68" x14ac:dyDescent="0.25">
      <c r="AI5044" s="49"/>
      <c r="AJ5044" s="78"/>
      <c r="AK5044" s="79"/>
      <c r="AL5044" s="79"/>
      <c r="AM5044" s="79"/>
      <c r="AN5044" s="79"/>
      <c r="AO5044" s="79"/>
      <c r="AP5044" s="79"/>
      <c r="AQ5044" s="79"/>
      <c r="AR5044" s="78"/>
      <c r="AS5044" s="78"/>
      <c r="AT5044" s="79"/>
      <c r="AU5044" s="79"/>
      <c r="AV5044" s="79"/>
      <c r="AW5044" s="79"/>
      <c r="AX5044" s="79"/>
      <c r="AZ5044" s="81"/>
      <c r="BB5044" s="5"/>
      <c r="BC5044" s="5"/>
      <c r="BD5044" s="5"/>
      <c r="BE5044" s="5"/>
      <c r="BF5044" s="5"/>
      <c r="BG5044" s="5"/>
      <c r="BH5044" s="5"/>
      <c r="BI5044" s="5"/>
      <c r="BJ5044" s="5"/>
      <c r="BK5044" s="5"/>
      <c r="BL5044" s="5"/>
      <c r="BM5044" s="5"/>
      <c r="BN5044" s="5"/>
      <c r="BO5044" s="5"/>
      <c r="BP5044" s="5"/>
    </row>
    <row r="5045" spans="35:68" x14ac:dyDescent="0.25">
      <c r="AI5045" s="49"/>
      <c r="AJ5045" s="78"/>
      <c r="AK5045" s="79"/>
      <c r="AL5045" s="79"/>
      <c r="AM5045" s="79"/>
      <c r="AN5045" s="79"/>
      <c r="AO5045" s="79"/>
      <c r="AP5045" s="79"/>
      <c r="AQ5045" s="79"/>
      <c r="AR5045" s="78"/>
      <c r="AS5045" s="78"/>
      <c r="AT5045" s="79"/>
      <c r="AU5045" s="79"/>
      <c r="AV5045" s="79"/>
      <c r="AW5045" s="79"/>
      <c r="AX5045" s="79"/>
      <c r="AZ5045" s="81"/>
      <c r="BB5045" s="5"/>
      <c r="BC5045" s="5"/>
      <c r="BD5045" s="5"/>
      <c r="BE5045" s="5"/>
      <c r="BF5045" s="5"/>
      <c r="BG5045" s="5"/>
      <c r="BH5045" s="5"/>
      <c r="BI5045" s="5"/>
      <c r="BJ5045" s="5"/>
      <c r="BK5045" s="5"/>
      <c r="BL5045" s="5"/>
      <c r="BM5045" s="5"/>
      <c r="BN5045" s="5"/>
      <c r="BO5045" s="5"/>
      <c r="BP5045" s="5"/>
    </row>
    <row r="5046" spans="35:68" x14ac:dyDescent="0.25">
      <c r="AI5046" s="49"/>
      <c r="AJ5046" s="78"/>
      <c r="AK5046" s="79"/>
      <c r="AL5046" s="79"/>
      <c r="AM5046" s="79"/>
      <c r="AN5046" s="79"/>
      <c r="AO5046" s="79"/>
      <c r="AP5046" s="79"/>
      <c r="AQ5046" s="79"/>
      <c r="AR5046" s="78"/>
      <c r="AS5046" s="78"/>
      <c r="AT5046" s="79"/>
      <c r="AU5046" s="79"/>
      <c r="AV5046" s="79"/>
      <c r="AW5046" s="79"/>
      <c r="AX5046" s="79"/>
      <c r="AZ5046" s="81"/>
      <c r="BB5046" s="5"/>
      <c r="BC5046" s="5"/>
      <c r="BD5046" s="5"/>
      <c r="BE5046" s="5"/>
      <c r="BF5046" s="5"/>
      <c r="BG5046" s="5"/>
      <c r="BH5046" s="5"/>
      <c r="BI5046" s="5"/>
      <c r="BJ5046" s="5"/>
      <c r="BK5046" s="5"/>
      <c r="BL5046" s="5"/>
      <c r="BM5046" s="5"/>
      <c r="BN5046" s="5"/>
      <c r="BO5046" s="5"/>
      <c r="BP5046" s="5"/>
    </row>
    <row r="5047" spans="35:68" x14ac:dyDescent="0.25">
      <c r="AI5047" s="49"/>
      <c r="AJ5047" s="78"/>
      <c r="AK5047" s="79"/>
      <c r="AL5047" s="79"/>
      <c r="AM5047" s="79"/>
      <c r="AN5047" s="79"/>
      <c r="AO5047" s="79"/>
      <c r="AP5047" s="79"/>
      <c r="AQ5047" s="79"/>
      <c r="AR5047" s="78"/>
      <c r="AS5047" s="78"/>
      <c r="AT5047" s="79"/>
      <c r="AU5047" s="79"/>
      <c r="AV5047" s="79"/>
      <c r="AW5047" s="79"/>
      <c r="AX5047" s="79"/>
      <c r="AZ5047" s="81"/>
      <c r="BB5047" s="5"/>
      <c r="BC5047" s="5"/>
      <c r="BD5047" s="5"/>
      <c r="BE5047" s="5"/>
      <c r="BF5047" s="5"/>
      <c r="BG5047" s="5"/>
      <c r="BH5047" s="5"/>
      <c r="BI5047" s="5"/>
      <c r="BJ5047" s="5"/>
      <c r="BK5047" s="5"/>
      <c r="BL5047" s="5"/>
      <c r="BM5047" s="5"/>
      <c r="BN5047" s="5"/>
      <c r="BO5047" s="5"/>
      <c r="BP5047" s="5"/>
    </row>
    <row r="5048" spans="35:68" x14ac:dyDescent="0.25">
      <c r="AI5048" s="49"/>
      <c r="AJ5048" s="78"/>
      <c r="AK5048" s="79"/>
      <c r="AL5048" s="79"/>
      <c r="AM5048" s="79"/>
      <c r="AN5048" s="79"/>
      <c r="AO5048" s="79"/>
      <c r="AP5048" s="79"/>
      <c r="AQ5048" s="79"/>
      <c r="AR5048" s="78"/>
      <c r="AS5048" s="78"/>
      <c r="AT5048" s="79"/>
      <c r="AU5048" s="79"/>
      <c r="AV5048" s="79"/>
      <c r="AW5048" s="79"/>
      <c r="AX5048" s="79"/>
      <c r="AZ5048" s="81"/>
      <c r="BB5048" s="5"/>
      <c r="BC5048" s="5"/>
      <c r="BD5048" s="5"/>
      <c r="BE5048" s="5"/>
      <c r="BF5048" s="5"/>
      <c r="BG5048" s="5"/>
      <c r="BH5048" s="5"/>
      <c r="BI5048" s="5"/>
      <c r="BJ5048" s="5"/>
      <c r="BK5048" s="5"/>
      <c r="BL5048" s="5"/>
      <c r="BM5048" s="5"/>
      <c r="BN5048" s="5"/>
      <c r="BO5048" s="5"/>
      <c r="BP5048" s="5"/>
    </row>
    <row r="5049" spans="35:68" x14ac:dyDescent="0.25">
      <c r="AI5049" s="49"/>
      <c r="AJ5049" s="78"/>
      <c r="AK5049" s="79"/>
      <c r="AL5049" s="79"/>
      <c r="AM5049" s="79"/>
      <c r="AN5049" s="79"/>
      <c r="AO5049" s="79"/>
      <c r="AP5049" s="79"/>
      <c r="AQ5049" s="79"/>
      <c r="AR5049" s="78"/>
      <c r="AS5049" s="78"/>
      <c r="AT5049" s="79"/>
      <c r="AU5049" s="79"/>
      <c r="AV5049" s="79"/>
      <c r="AW5049" s="79"/>
      <c r="AX5049" s="79"/>
      <c r="AZ5049" s="81"/>
      <c r="BB5049" s="5"/>
      <c r="BC5049" s="5"/>
      <c r="BD5049" s="5"/>
      <c r="BE5049" s="5"/>
      <c r="BF5049" s="5"/>
      <c r="BG5049" s="5"/>
      <c r="BH5049" s="5"/>
      <c r="BI5049" s="5"/>
      <c r="BJ5049" s="5"/>
      <c r="BK5049" s="5"/>
      <c r="BL5049" s="5"/>
      <c r="BM5049" s="5"/>
      <c r="BN5049" s="5"/>
      <c r="BO5049" s="5"/>
      <c r="BP5049" s="5"/>
    </row>
    <row r="5050" spans="35:68" x14ac:dyDescent="0.25">
      <c r="AI5050" s="49"/>
      <c r="AJ5050" s="78"/>
      <c r="AK5050" s="79"/>
      <c r="AL5050" s="79"/>
      <c r="AM5050" s="79"/>
      <c r="AN5050" s="79"/>
      <c r="AO5050" s="79"/>
      <c r="AP5050" s="79"/>
      <c r="AQ5050" s="79"/>
      <c r="AR5050" s="78"/>
      <c r="AS5050" s="78"/>
      <c r="AT5050" s="79"/>
      <c r="AU5050" s="79"/>
      <c r="AV5050" s="79"/>
      <c r="AW5050" s="79"/>
      <c r="AX5050" s="79"/>
      <c r="AZ5050" s="81"/>
      <c r="BB5050" s="5"/>
      <c r="BC5050" s="5"/>
      <c r="BD5050" s="5"/>
      <c r="BE5050" s="5"/>
      <c r="BF5050" s="5"/>
      <c r="BG5050" s="5"/>
      <c r="BH5050" s="5"/>
      <c r="BI5050" s="5"/>
      <c r="BJ5050" s="5"/>
      <c r="BK5050" s="5"/>
      <c r="BL5050" s="5"/>
      <c r="BM5050" s="5"/>
      <c r="BN5050" s="5"/>
      <c r="BO5050" s="5"/>
      <c r="BP5050" s="5"/>
    </row>
    <row r="5051" spans="35:68" x14ac:dyDescent="0.25">
      <c r="AI5051" s="49"/>
      <c r="AJ5051" s="78"/>
      <c r="AK5051" s="79"/>
      <c r="AL5051" s="79"/>
      <c r="AM5051" s="79"/>
      <c r="AN5051" s="79"/>
      <c r="AO5051" s="79"/>
      <c r="AP5051" s="79"/>
      <c r="AQ5051" s="79"/>
      <c r="AR5051" s="78"/>
      <c r="AS5051" s="78"/>
      <c r="AT5051" s="79"/>
      <c r="AU5051" s="79"/>
      <c r="AV5051" s="79"/>
      <c r="AW5051" s="79"/>
      <c r="AX5051" s="79"/>
      <c r="AZ5051" s="81"/>
      <c r="BB5051" s="5"/>
      <c r="BC5051" s="5"/>
      <c r="BD5051" s="5"/>
      <c r="BE5051" s="5"/>
      <c r="BF5051" s="5"/>
      <c r="BG5051" s="5"/>
      <c r="BH5051" s="5"/>
      <c r="BI5051" s="5"/>
      <c r="BJ5051" s="5"/>
      <c r="BK5051" s="5"/>
      <c r="BL5051" s="5"/>
      <c r="BM5051" s="5"/>
      <c r="BN5051" s="5"/>
      <c r="BO5051" s="5"/>
      <c r="BP5051" s="5"/>
    </row>
    <row r="5052" spans="35:68" x14ac:dyDescent="0.25">
      <c r="AI5052" s="49"/>
      <c r="AJ5052" s="78"/>
      <c r="AK5052" s="79"/>
      <c r="AL5052" s="79"/>
      <c r="AM5052" s="79"/>
      <c r="AN5052" s="79"/>
      <c r="AO5052" s="79"/>
      <c r="AP5052" s="79"/>
      <c r="AQ5052" s="79"/>
      <c r="AR5052" s="78"/>
      <c r="AS5052" s="78"/>
      <c r="AT5052" s="79"/>
      <c r="AU5052" s="79"/>
      <c r="AV5052" s="79"/>
      <c r="AW5052" s="79"/>
      <c r="AX5052" s="79"/>
      <c r="AZ5052" s="81"/>
      <c r="BB5052" s="5"/>
      <c r="BC5052" s="5"/>
      <c r="BD5052" s="5"/>
      <c r="BE5052" s="5"/>
      <c r="BF5052" s="5"/>
      <c r="BG5052" s="5"/>
      <c r="BH5052" s="5"/>
      <c r="BI5052" s="5"/>
      <c r="BJ5052" s="5"/>
      <c r="BK5052" s="5"/>
      <c r="BL5052" s="5"/>
      <c r="BM5052" s="5"/>
      <c r="BN5052" s="5"/>
      <c r="BO5052" s="5"/>
      <c r="BP5052" s="5"/>
    </row>
    <row r="5053" spans="35:68" x14ac:dyDescent="0.25">
      <c r="AI5053" s="49"/>
      <c r="AJ5053" s="78"/>
      <c r="AK5053" s="79"/>
      <c r="AL5053" s="79"/>
      <c r="AM5053" s="79"/>
      <c r="AN5053" s="79"/>
      <c r="AO5053" s="79"/>
      <c r="AP5053" s="79"/>
      <c r="AQ5053" s="79"/>
      <c r="AR5053" s="78"/>
      <c r="AS5053" s="78"/>
      <c r="AT5053" s="79"/>
      <c r="AU5053" s="79"/>
      <c r="AV5053" s="79"/>
      <c r="AW5053" s="79"/>
      <c r="AX5053" s="79"/>
      <c r="AZ5053" s="81"/>
      <c r="BB5053" s="5"/>
      <c r="BC5053" s="5"/>
      <c r="BD5053" s="5"/>
      <c r="BE5053" s="5"/>
      <c r="BF5053" s="5"/>
      <c r="BG5053" s="5"/>
      <c r="BH5053" s="5"/>
      <c r="BI5053" s="5"/>
      <c r="BJ5053" s="5"/>
      <c r="BK5053" s="5"/>
      <c r="BL5053" s="5"/>
      <c r="BM5053" s="5"/>
      <c r="BN5053" s="5"/>
      <c r="BO5053" s="5"/>
      <c r="BP5053" s="5"/>
    </row>
    <row r="5054" spans="35:68" x14ac:dyDescent="0.25">
      <c r="AI5054" s="49"/>
      <c r="AJ5054" s="78"/>
      <c r="AK5054" s="79"/>
      <c r="AL5054" s="79"/>
      <c r="AM5054" s="79"/>
      <c r="AN5054" s="79"/>
      <c r="AO5054" s="79"/>
      <c r="AP5054" s="79"/>
      <c r="AQ5054" s="79"/>
      <c r="AR5054" s="78"/>
      <c r="AS5054" s="78"/>
      <c r="AT5054" s="79"/>
      <c r="AU5054" s="79"/>
      <c r="AV5054" s="79"/>
      <c r="AW5054" s="79"/>
      <c r="AX5054" s="79"/>
      <c r="AZ5054" s="81"/>
      <c r="BB5054" s="5"/>
      <c r="BC5054" s="5"/>
      <c r="BD5054" s="5"/>
      <c r="BE5054" s="5"/>
      <c r="BF5054" s="5"/>
      <c r="BG5054" s="5"/>
      <c r="BH5054" s="5"/>
      <c r="BI5054" s="5"/>
      <c r="BJ5054" s="5"/>
      <c r="BK5054" s="5"/>
      <c r="BL5054" s="5"/>
      <c r="BM5054" s="5"/>
      <c r="BN5054" s="5"/>
      <c r="BO5054" s="5"/>
      <c r="BP5054" s="5"/>
    </row>
    <row r="5055" spans="35:68" x14ac:dyDescent="0.25">
      <c r="AI5055" s="49"/>
      <c r="AJ5055" s="78"/>
      <c r="AK5055" s="79"/>
      <c r="AL5055" s="79"/>
      <c r="AM5055" s="79"/>
      <c r="AN5055" s="79"/>
      <c r="AO5055" s="79"/>
      <c r="AP5055" s="79"/>
      <c r="AQ5055" s="79"/>
      <c r="AR5055" s="78"/>
      <c r="AS5055" s="78"/>
      <c r="AT5055" s="79"/>
      <c r="AU5055" s="79"/>
      <c r="AV5055" s="79"/>
      <c r="AW5055" s="79"/>
      <c r="AX5055" s="79"/>
      <c r="AZ5055" s="81"/>
      <c r="BB5055" s="5"/>
      <c r="BC5055" s="5"/>
      <c r="BD5055" s="5"/>
      <c r="BE5055" s="5"/>
      <c r="BF5055" s="5"/>
      <c r="BG5055" s="5"/>
      <c r="BH5055" s="5"/>
      <c r="BI5055" s="5"/>
      <c r="BJ5055" s="5"/>
      <c r="BK5055" s="5"/>
      <c r="BL5055" s="5"/>
      <c r="BM5055" s="5"/>
      <c r="BN5055" s="5"/>
      <c r="BO5055" s="5"/>
      <c r="BP5055" s="5"/>
    </row>
    <row r="5056" spans="35:68" x14ac:dyDescent="0.25">
      <c r="AI5056" s="49"/>
      <c r="AJ5056" s="78"/>
      <c r="AK5056" s="79"/>
      <c r="AL5056" s="79"/>
      <c r="AM5056" s="79"/>
      <c r="AN5056" s="79"/>
      <c r="AO5056" s="79"/>
      <c r="AP5056" s="79"/>
      <c r="AQ5056" s="79"/>
      <c r="AR5056" s="78"/>
      <c r="AS5056" s="78"/>
      <c r="AT5056" s="79"/>
      <c r="AU5056" s="79"/>
      <c r="AV5056" s="79"/>
      <c r="AW5056" s="79"/>
      <c r="AX5056" s="79"/>
      <c r="AZ5056" s="81"/>
      <c r="BB5056" s="5"/>
      <c r="BC5056" s="5"/>
      <c r="BD5056" s="5"/>
      <c r="BE5056" s="5"/>
      <c r="BF5056" s="5"/>
      <c r="BG5056" s="5"/>
      <c r="BH5056" s="5"/>
      <c r="BI5056" s="5"/>
      <c r="BJ5056" s="5"/>
      <c r="BK5056" s="5"/>
      <c r="BL5056" s="5"/>
      <c r="BM5056" s="5"/>
      <c r="BN5056" s="5"/>
      <c r="BO5056" s="5"/>
      <c r="BP5056" s="5"/>
    </row>
    <row r="5057" spans="35:68" x14ac:dyDescent="0.25">
      <c r="AI5057" s="49"/>
      <c r="AJ5057" s="78"/>
      <c r="AK5057" s="79"/>
      <c r="AL5057" s="79"/>
      <c r="AM5057" s="79"/>
      <c r="AN5057" s="79"/>
      <c r="AO5057" s="79"/>
      <c r="AP5057" s="79"/>
      <c r="AQ5057" s="79"/>
      <c r="AR5057" s="78"/>
      <c r="AS5057" s="78"/>
      <c r="AT5057" s="79"/>
      <c r="AU5057" s="79"/>
      <c r="AV5057" s="79"/>
      <c r="AW5057" s="79"/>
      <c r="AX5057" s="79"/>
      <c r="AZ5057" s="81"/>
      <c r="BB5057" s="5"/>
      <c r="BC5057" s="5"/>
      <c r="BD5057" s="5"/>
      <c r="BE5057" s="5"/>
      <c r="BF5057" s="5"/>
      <c r="BG5057" s="5"/>
      <c r="BH5057" s="5"/>
      <c r="BI5057" s="5"/>
      <c r="BJ5057" s="5"/>
      <c r="BK5057" s="5"/>
      <c r="BL5057" s="5"/>
      <c r="BM5057" s="5"/>
      <c r="BN5057" s="5"/>
      <c r="BO5057" s="5"/>
      <c r="BP5057" s="5"/>
    </row>
    <row r="5058" spans="35:68" x14ac:dyDescent="0.25">
      <c r="AI5058" s="49"/>
      <c r="AJ5058" s="78"/>
      <c r="AK5058" s="79"/>
      <c r="AL5058" s="79"/>
      <c r="AM5058" s="79"/>
      <c r="AN5058" s="79"/>
      <c r="AO5058" s="79"/>
      <c r="AP5058" s="79"/>
      <c r="AQ5058" s="79"/>
      <c r="AR5058" s="78"/>
      <c r="AS5058" s="78"/>
      <c r="AT5058" s="79"/>
      <c r="AU5058" s="79"/>
      <c r="AV5058" s="79"/>
      <c r="AW5058" s="79"/>
      <c r="AX5058" s="79"/>
      <c r="AZ5058" s="81"/>
      <c r="BB5058" s="5"/>
      <c r="BC5058" s="5"/>
      <c r="BD5058" s="5"/>
      <c r="BE5058" s="5"/>
      <c r="BF5058" s="5"/>
      <c r="BG5058" s="5"/>
      <c r="BH5058" s="5"/>
      <c r="BI5058" s="5"/>
      <c r="BJ5058" s="5"/>
      <c r="BK5058" s="5"/>
      <c r="BL5058" s="5"/>
      <c r="BM5058" s="5"/>
      <c r="BN5058" s="5"/>
      <c r="BO5058" s="5"/>
      <c r="BP5058" s="5"/>
    </row>
    <row r="5059" spans="35:68" x14ac:dyDescent="0.25">
      <c r="AI5059" s="49"/>
      <c r="AJ5059" s="78"/>
      <c r="AK5059" s="79"/>
      <c r="AL5059" s="79"/>
      <c r="AM5059" s="79"/>
      <c r="AN5059" s="79"/>
      <c r="AO5059" s="79"/>
      <c r="AP5059" s="79"/>
      <c r="AQ5059" s="79"/>
      <c r="AR5059" s="78"/>
      <c r="AS5059" s="78"/>
      <c r="AT5059" s="79"/>
      <c r="AU5059" s="79"/>
      <c r="AV5059" s="79"/>
      <c r="AW5059" s="79"/>
      <c r="AX5059" s="79"/>
      <c r="AZ5059" s="81"/>
      <c r="BB5059" s="5"/>
      <c r="BC5059" s="5"/>
      <c r="BD5059" s="5"/>
      <c r="BE5059" s="5"/>
      <c r="BF5059" s="5"/>
      <c r="BG5059" s="5"/>
      <c r="BH5059" s="5"/>
      <c r="BI5059" s="5"/>
      <c r="BJ5059" s="5"/>
      <c r="BK5059" s="5"/>
      <c r="BL5059" s="5"/>
      <c r="BM5059" s="5"/>
      <c r="BN5059" s="5"/>
      <c r="BO5059" s="5"/>
      <c r="BP5059" s="5"/>
    </row>
    <row r="5060" spans="35:68" x14ac:dyDescent="0.25">
      <c r="AI5060" s="49"/>
      <c r="AJ5060" s="78"/>
      <c r="AK5060" s="79"/>
      <c r="AL5060" s="79"/>
      <c r="AM5060" s="79"/>
      <c r="AN5060" s="79"/>
      <c r="AO5060" s="79"/>
      <c r="AP5060" s="79"/>
      <c r="AQ5060" s="79"/>
      <c r="AR5060" s="78"/>
      <c r="AS5060" s="78"/>
      <c r="AT5060" s="79"/>
      <c r="AU5060" s="79"/>
      <c r="AV5060" s="79"/>
      <c r="AW5060" s="79"/>
      <c r="AX5060" s="79"/>
      <c r="AZ5060" s="81"/>
      <c r="BB5060" s="5"/>
      <c r="BC5060" s="5"/>
      <c r="BD5060" s="5"/>
      <c r="BE5060" s="5"/>
      <c r="BF5060" s="5"/>
      <c r="BG5060" s="5"/>
      <c r="BH5060" s="5"/>
      <c r="BI5060" s="5"/>
      <c r="BJ5060" s="5"/>
      <c r="BK5060" s="5"/>
      <c r="BL5060" s="5"/>
      <c r="BM5060" s="5"/>
      <c r="BN5060" s="5"/>
      <c r="BO5060" s="5"/>
      <c r="BP5060" s="5"/>
    </row>
    <row r="5061" spans="35:68" x14ac:dyDescent="0.25">
      <c r="AI5061" s="49"/>
      <c r="AJ5061" s="78"/>
      <c r="AK5061" s="79"/>
      <c r="AL5061" s="79"/>
      <c r="AM5061" s="79"/>
      <c r="AN5061" s="79"/>
      <c r="AO5061" s="79"/>
      <c r="AP5061" s="79"/>
      <c r="AQ5061" s="79"/>
      <c r="AR5061" s="78"/>
      <c r="AS5061" s="78"/>
      <c r="AT5061" s="79"/>
      <c r="AU5061" s="79"/>
      <c r="AV5061" s="79"/>
      <c r="AW5061" s="79"/>
      <c r="AX5061" s="79"/>
      <c r="AZ5061" s="81"/>
      <c r="BB5061" s="5"/>
      <c r="BC5061" s="5"/>
      <c r="BD5061" s="5"/>
      <c r="BE5061" s="5"/>
      <c r="BF5061" s="5"/>
      <c r="BG5061" s="5"/>
      <c r="BH5061" s="5"/>
      <c r="BI5061" s="5"/>
      <c r="BJ5061" s="5"/>
      <c r="BK5061" s="5"/>
      <c r="BL5061" s="5"/>
      <c r="BM5061" s="5"/>
      <c r="BN5061" s="5"/>
      <c r="BO5061" s="5"/>
      <c r="BP5061" s="5"/>
    </row>
    <row r="5062" spans="35:68" x14ac:dyDescent="0.25">
      <c r="AI5062" s="49"/>
      <c r="AJ5062" s="78"/>
      <c r="AK5062" s="79"/>
      <c r="AL5062" s="79"/>
      <c r="AM5062" s="79"/>
      <c r="AN5062" s="79"/>
      <c r="AO5062" s="79"/>
      <c r="AP5062" s="79"/>
      <c r="AQ5062" s="79"/>
      <c r="AR5062" s="78"/>
      <c r="AS5062" s="78"/>
      <c r="AT5062" s="79"/>
      <c r="AU5062" s="79"/>
      <c r="AV5062" s="79"/>
      <c r="AW5062" s="79"/>
      <c r="AX5062" s="79"/>
      <c r="AZ5062" s="81"/>
      <c r="BB5062" s="5"/>
      <c r="BC5062" s="5"/>
      <c r="BD5062" s="5"/>
      <c r="BE5062" s="5"/>
      <c r="BF5062" s="5"/>
      <c r="BG5062" s="5"/>
      <c r="BH5062" s="5"/>
      <c r="BI5062" s="5"/>
      <c r="BJ5062" s="5"/>
      <c r="BK5062" s="5"/>
      <c r="BL5062" s="5"/>
      <c r="BM5062" s="5"/>
      <c r="BN5062" s="5"/>
      <c r="BO5062" s="5"/>
      <c r="BP5062" s="5"/>
    </row>
    <row r="5063" spans="35:68" x14ac:dyDescent="0.25">
      <c r="AI5063" s="49"/>
      <c r="AJ5063" s="78"/>
      <c r="AK5063" s="79"/>
      <c r="AL5063" s="79"/>
      <c r="AM5063" s="79"/>
      <c r="AN5063" s="79"/>
      <c r="AO5063" s="79"/>
      <c r="AP5063" s="79"/>
      <c r="AQ5063" s="79"/>
      <c r="AR5063" s="78"/>
      <c r="AS5063" s="78"/>
      <c r="AT5063" s="79"/>
      <c r="AU5063" s="79"/>
      <c r="AV5063" s="79"/>
      <c r="AW5063" s="79"/>
      <c r="AX5063" s="79"/>
      <c r="AZ5063" s="81"/>
      <c r="BB5063" s="5"/>
      <c r="BC5063" s="5"/>
      <c r="BD5063" s="5"/>
      <c r="BE5063" s="5"/>
      <c r="BF5063" s="5"/>
      <c r="BG5063" s="5"/>
      <c r="BH5063" s="5"/>
      <c r="BI5063" s="5"/>
      <c r="BJ5063" s="5"/>
      <c r="BK5063" s="5"/>
      <c r="BL5063" s="5"/>
      <c r="BM5063" s="5"/>
      <c r="BN5063" s="5"/>
      <c r="BO5063" s="5"/>
      <c r="BP5063" s="5"/>
    </row>
    <row r="5064" spans="35:68" x14ac:dyDescent="0.25">
      <c r="AI5064" s="49"/>
      <c r="AJ5064" s="78"/>
      <c r="AK5064" s="79"/>
      <c r="AL5064" s="79"/>
      <c r="AM5064" s="79"/>
      <c r="AN5064" s="79"/>
      <c r="AO5064" s="79"/>
      <c r="AP5064" s="79"/>
      <c r="AQ5064" s="79"/>
      <c r="AR5064" s="78"/>
      <c r="AS5064" s="78"/>
      <c r="AT5064" s="79"/>
      <c r="AU5064" s="79"/>
      <c r="AV5064" s="79"/>
      <c r="AW5064" s="79"/>
      <c r="AX5064" s="79"/>
      <c r="AZ5064" s="81"/>
      <c r="BB5064" s="5"/>
      <c r="BC5064" s="5"/>
      <c r="BD5064" s="5"/>
      <c r="BE5064" s="5"/>
      <c r="BF5064" s="5"/>
      <c r="BG5064" s="5"/>
      <c r="BH5064" s="5"/>
      <c r="BI5064" s="5"/>
      <c r="BJ5064" s="5"/>
      <c r="BK5064" s="5"/>
      <c r="BL5064" s="5"/>
      <c r="BM5064" s="5"/>
      <c r="BN5064" s="5"/>
      <c r="BO5064" s="5"/>
      <c r="BP5064" s="5"/>
    </row>
    <row r="5065" spans="35:68" x14ac:dyDescent="0.25">
      <c r="AI5065" s="49"/>
      <c r="AJ5065" s="78"/>
      <c r="AK5065" s="79"/>
      <c r="AL5065" s="79"/>
      <c r="AM5065" s="79"/>
      <c r="AN5065" s="79"/>
      <c r="AO5065" s="79"/>
      <c r="AP5065" s="79"/>
      <c r="AQ5065" s="79"/>
      <c r="AR5065" s="78"/>
      <c r="AS5065" s="78"/>
      <c r="AT5065" s="79"/>
      <c r="AU5065" s="79"/>
      <c r="AV5065" s="79"/>
      <c r="AW5065" s="79"/>
      <c r="AX5065" s="79"/>
      <c r="AZ5065" s="81"/>
      <c r="BB5065" s="5"/>
      <c r="BC5065" s="5"/>
      <c r="BD5065" s="5"/>
      <c r="BE5065" s="5"/>
      <c r="BF5065" s="5"/>
      <c r="BG5065" s="5"/>
      <c r="BH5065" s="5"/>
      <c r="BI5065" s="5"/>
      <c r="BJ5065" s="5"/>
      <c r="BK5065" s="5"/>
      <c r="BL5065" s="5"/>
      <c r="BM5065" s="5"/>
      <c r="BN5065" s="5"/>
      <c r="BO5065" s="5"/>
      <c r="BP5065" s="5"/>
    </row>
    <row r="5066" spans="35:68" x14ac:dyDescent="0.25">
      <c r="AI5066" s="49"/>
      <c r="AJ5066" s="78"/>
      <c r="AK5066" s="79"/>
      <c r="AL5066" s="79"/>
      <c r="AM5066" s="79"/>
      <c r="AN5066" s="79"/>
      <c r="AO5066" s="79"/>
      <c r="AP5066" s="79"/>
      <c r="AQ5066" s="79"/>
      <c r="AR5066" s="78"/>
      <c r="AS5066" s="78"/>
      <c r="AT5066" s="79"/>
      <c r="AU5066" s="79"/>
      <c r="AV5066" s="79"/>
      <c r="AW5066" s="79"/>
      <c r="AX5066" s="79"/>
      <c r="AZ5066" s="81"/>
      <c r="BB5066" s="5"/>
      <c r="BC5066" s="5"/>
      <c r="BD5066" s="5"/>
      <c r="BE5066" s="5"/>
      <c r="BF5066" s="5"/>
      <c r="BG5066" s="5"/>
      <c r="BH5066" s="5"/>
      <c r="BI5066" s="5"/>
      <c r="BJ5066" s="5"/>
      <c r="BK5066" s="5"/>
      <c r="BL5066" s="5"/>
      <c r="BM5066" s="5"/>
      <c r="BN5066" s="5"/>
      <c r="BO5066" s="5"/>
      <c r="BP5066" s="5"/>
    </row>
    <row r="5067" spans="35:68" x14ac:dyDescent="0.25">
      <c r="AI5067" s="49"/>
      <c r="AJ5067" s="78"/>
      <c r="AK5067" s="79"/>
      <c r="AL5067" s="79"/>
      <c r="AM5067" s="79"/>
      <c r="AN5067" s="79"/>
      <c r="AO5067" s="79"/>
      <c r="AP5067" s="79"/>
      <c r="AQ5067" s="79"/>
      <c r="AR5067" s="78"/>
      <c r="AS5067" s="78"/>
      <c r="AT5067" s="79"/>
      <c r="AU5067" s="79"/>
      <c r="AV5067" s="79"/>
      <c r="AW5067" s="79"/>
      <c r="AX5067" s="79"/>
      <c r="AZ5067" s="81"/>
      <c r="BB5067" s="5"/>
      <c r="BC5067" s="5"/>
      <c r="BD5067" s="5"/>
      <c r="BE5067" s="5"/>
      <c r="BF5067" s="5"/>
      <c r="BG5067" s="5"/>
      <c r="BH5067" s="5"/>
      <c r="BI5067" s="5"/>
      <c r="BJ5067" s="5"/>
      <c r="BK5067" s="5"/>
      <c r="BL5067" s="5"/>
      <c r="BM5067" s="5"/>
      <c r="BN5067" s="5"/>
      <c r="BO5067" s="5"/>
      <c r="BP5067" s="5"/>
    </row>
    <row r="5068" spans="35:68" x14ac:dyDescent="0.25">
      <c r="AI5068" s="49"/>
      <c r="AJ5068" s="78"/>
      <c r="AK5068" s="79"/>
      <c r="AL5068" s="79"/>
      <c r="AM5068" s="79"/>
      <c r="AN5068" s="79"/>
      <c r="AO5068" s="79"/>
      <c r="AP5068" s="79"/>
      <c r="AQ5068" s="79"/>
      <c r="AR5068" s="78"/>
      <c r="AS5068" s="78"/>
      <c r="AT5068" s="79"/>
      <c r="AU5068" s="79"/>
      <c r="AV5068" s="79"/>
      <c r="AW5068" s="79"/>
      <c r="AX5068" s="79"/>
      <c r="AZ5068" s="81"/>
      <c r="BB5068" s="5"/>
      <c r="BC5068" s="5"/>
      <c r="BD5068" s="5"/>
      <c r="BE5068" s="5"/>
      <c r="BF5068" s="5"/>
      <c r="BG5068" s="5"/>
      <c r="BH5068" s="5"/>
      <c r="BI5068" s="5"/>
      <c r="BJ5068" s="5"/>
      <c r="BK5068" s="5"/>
      <c r="BL5068" s="5"/>
      <c r="BM5068" s="5"/>
      <c r="BN5068" s="5"/>
      <c r="BO5068" s="5"/>
      <c r="BP5068" s="5"/>
    </row>
    <row r="5069" spans="35:68" x14ac:dyDescent="0.25">
      <c r="AI5069" s="49"/>
      <c r="AJ5069" s="78"/>
      <c r="AK5069" s="79"/>
      <c r="AL5069" s="79"/>
      <c r="AM5069" s="79"/>
      <c r="AN5069" s="79"/>
      <c r="AO5069" s="79"/>
      <c r="AP5069" s="79"/>
      <c r="AQ5069" s="79"/>
      <c r="AR5069" s="78"/>
      <c r="AS5069" s="78"/>
      <c r="AT5069" s="79"/>
      <c r="AU5069" s="79"/>
      <c r="AV5069" s="79"/>
      <c r="AW5069" s="79"/>
      <c r="AX5069" s="79"/>
      <c r="AZ5069" s="81"/>
      <c r="BB5069" s="5"/>
      <c r="BC5069" s="5"/>
      <c r="BD5069" s="5"/>
      <c r="BE5069" s="5"/>
      <c r="BF5069" s="5"/>
      <c r="BG5069" s="5"/>
      <c r="BH5069" s="5"/>
      <c r="BI5069" s="5"/>
      <c r="BJ5069" s="5"/>
      <c r="BK5069" s="5"/>
      <c r="BL5069" s="5"/>
      <c r="BM5069" s="5"/>
      <c r="BN5069" s="5"/>
      <c r="BO5069" s="5"/>
      <c r="BP5069" s="5"/>
    </row>
    <row r="5070" spans="35:68" x14ac:dyDescent="0.25">
      <c r="AI5070" s="49"/>
      <c r="AJ5070" s="78"/>
      <c r="AK5070" s="79"/>
      <c r="AL5070" s="79"/>
      <c r="AM5070" s="79"/>
      <c r="AN5070" s="79"/>
      <c r="AO5070" s="79"/>
      <c r="AP5070" s="79"/>
      <c r="AQ5070" s="79"/>
      <c r="AR5070" s="78"/>
      <c r="AS5070" s="78"/>
      <c r="AT5070" s="79"/>
      <c r="AU5070" s="79"/>
      <c r="AV5070" s="79"/>
      <c r="AW5070" s="79"/>
      <c r="AX5070" s="79"/>
      <c r="AZ5070" s="81"/>
      <c r="BB5070" s="5"/>
      <c r="BC5070" s="5"/>
      <c r="BD5070" s="5"/>
      <c r="BE5070" s="5"/>
      <c r="BF5070" s="5"/>
      <c r="BG5070" s="5"/>
      <c r="BH5070" s="5"/>
      <c r="BI5070" s="5"/>
      <c r="BJ5070" s="5"/>
      <c r="BK5070" s="5"/>
      <c r="BL5070" s="5"/>
      <c r="BM5070" s="5"/>
      <c r="BN5070" s="5"/>
      <c r="BO5070" s="5"/>
      <c r="BP5070" s="5"/>
    </row>
    <row r="5071" spans="35:68" x14ac:dyDescent="0.25">
      <c r="AI5071" s="49"/>
      <c r="AJ5071" s="78"/>
      <c r="AK5071" s="79"/>
      <c r="AL5071" s="79"/>
      <c r="AM5071" s="79"/>
      <c r="AN5071" s="79"/>
      <c r="AO5071" s="79"/>
      <c r="AP5071" s="79"/>
      <c r="AQ5071" s="79"/>
      <c r="AR5071" s="78"/>
      <c r="AS5071" s="78"/>
      <c r="AT5071" s="79"/>
      <c r="AU5071" s="79"/>
      <c r="AV5071" s="79"/>
      <c r="AW5071" s="79"/>
      <c r="AX5071" s="79"/>
      <c r="AZ5071" s="81"/>
      <c r="BB5071" s="5"/>
      <c r="BC5071" s="5"/>
      <c r="BD5071" s="5"/>
      <c r="BE5071" s="5"/>
      <c r="BF5071" s="5"/>
      <c r="BG5071" s="5"/>
      <c r="BH5071" s="5"/>
      <c r="BI5071" s="5"/>
      <c r="BJ5071" s="5"/>
      <c r="BK5071" s="5"/>
      <c r="BL5071" s="5"/>
      <c r="BM5071" s="5"/>
      <c r="BN5071" s="5"/>
      <c r="BO5071" s="5"/>
      <c r="BP5071" s="5"/>
    </row>
    <row r="5072" spans="35:68" x14ac:dyDescent="0.25">
      <c r="AI5072" s="49"/>
      <c r="AJ5072" s="78"/>
      <c r="AK5072" s="79"/>
      <c r="AL5072" s="79"/>
      <c r="AM5072" s="79"/>
      <c r="AN5072" s="79"/>
      <c r="AO5072" s="79"/>
      <c r="AP5072" s="79"/>
      <c r="AQ5072" s="79"/>
      <c r="AR5072" s="78"/>
      <c r="AS5072" s="78"/>
      <c r="AT5072" s="79"/>
      <c r="AU5072" s="79"/>
      <c r="AV5072" s="79"/>
      <c r="AW5072" s="79"/>
      <c r="AX5072" s="79"/>
      <c r="AZ5072" s="81"/>
      <c r="BB5072" s="5"/>
      <c r="BC5072" s="5"/>
      <c r="BD5072" s="5"/>
      <c r="BE5072" s="5"/>
      <c r="BF5072" s="5"/>
      <c r="BG5072" s="5"/>
      <c r="BH5072" s="5"/>
      <c r="BI5072" s="5"/>
      <c r="BJ5072" s="5"/>
      <c r="BK5072" s="5"/>
      <c r="BL5072" s="5"/>
      <c r="BM5072" s="5"/>
      <c r="BN5072" s="5"/>
      <c r="BO5072" s="5"/>
      <c r="BP5072" s="5"/>
    </row>
    <row r="5073" spans="35:68" x14ac:dyDescent="0.25">
      <c r="AI5073" s="49"/>
      <c r="AJ5073" s="78"/>
      <c r="AK5073" s="79"/>
      <c r="AL5073" s="79"/>
      <c r="AM5073" s="79"/>
      <c r="AN5073" s="79"/>
      <c r="AO5073" s="79"/>
      <c r="AP5073" s="79"/>
      <c r="AQ5073" s="79"/>
      <c r="AR5073" s="78"/>
      <c r="AS5073" s="78"/>
      <c r="AT5073" s="79"/>
      <c r="AU5073" s="79"/>
      <c r="AV5073" s="79"/>
      <c r="AW5073" s="79"/>
      <c r="AX5073" s="79"/>
      <c r="AZ5073" s="81"/>
      <c r="BB5073" s="5"/>
      <c r="BC5073" s="5"/>
      <c r="BD5073" s="5"/>
      <c r="BE5073" s="5"/>
      <c r="BF5073" s="5"/>
      <c r="BG5073" s="5"/>
      <c r="BH5073" s="5"/>
      <c r="BI5073" s="5"/>
      <c r="BJ5073" s="5"/>
      <c r="BK5073" s="5"/>
      <c r="BL5073" s="5"/>
      <c r="BM5073" s="5"/>
      <c r="BN5073" s="5"/>
      <c r="BO5073" s="5"/>
      <c r="BP5073" s="5"/>
    </row>
    <row r="5074" spans="35:68" x14ac:dyDescent="0.25">
      <c r="AI5074" s="49"/>
      <c r="AJ5074" s="78"/>
      <c r="AK5074" s="79"/>
      <c r="AL5074" s="79"/>
      <c r="AM5074" s="79"/>
      <c r="AN5074" s="79"/>
      <c r="AO5074" s="79"/>
      <c r="AP5074" s="79"/>
      <c r="AQ5074" s="79"/>
      <c r="AR5074" s="78"/>
      <c r="AS5074" s="78"/>
      <c r="AT5074" s="79"/>
      <c r="AU5074" s="79"/>
      <c r="AV5074" s="79"/>
      <c r="AW5074" s="79"/>
      <c r="AX5074" s="79"/>
      <c r="AZ5074" s="81"/>
      <c r="BB5074" s="5"/>
      <c r="BC5074" s="5"/>
      <c r="BD5074" s="5"/>
      <c r="BE5074" s="5"/>
      <c r="BF5074" s="5"/>
      <c r="BG5074" s="5"/>
      <c r="BH5074" s="5"/>
      <c r="BI5074" s="5"/>
      <c r="BJ5074" s="5"/>
      <c r="BK5074" s="5"/>
      <c r="BL5074" s="5"/>
      <c r="BM5074" s="5"/>
      <c r="BN5074" s="5"/>
      <c r="BO5074" s="5"/>
      <c r="BP5074" s="5"/>
    </row>
    <row r="5075" spans="35:68" x14ac:dyDescent="0.25">
      <c r="AI5075" s="49"/>
      <c r="AJ5075" s="78"/>
      <c r="AK5075" s="79"/>
      <c r="AL5075" s="79"/>
      <c r="AM5075" s="79"/>
      <c r="AN5075" s="79"/>
      <c r="AO5075" s="79"/>
      <c r="AP5075" s="79"/>
      <c r="AQ5075" s="79"/>
      <c r="AR5075" s="78"/>
      <c r="AS5075" s="78"/>
      <c r="AT5075" s="79"/>
      <c r="AU5075" s="79"/>
      <c r="AV5075" s="79"/>
      <c r="AW5075" s="79"/>
      <c r="AX5075" s="79"/>
      <c r="AZ5075" s="81"/>
      <c r="BB5075" s="5"/>
      <c r="BC5075" s="5"/>
      <c r="BD5075" s="5"/>
      <c r="BE5075" s="5"/>
      <c r="BF5075" s="5"/>
      <c r="BG5075" s="5"/>
      <c r="BH5075" s="5"/>
      <c r="BI5075" s="5"/>
      <c r="BJ5075" s="5"/>
      <c r="BK5075" s="5"/>
      <c r="BL5075" s="5"/>
      <c r="BM5075" s="5"/>
      <c r="BN5075" s="5"/>
      <c r="BO5075" s="5"/>
      <c r="BP5075" s="5"/>
    </row>
    <row r="5076" spans="35:68" x14ac:dyDescent="0.25">
      <c r="AI5076" s="49"/>
      <c r="AJ5076" s="78"/>
      <c r="AK5076" s="79"/>
      <c r="AL5076" s="79"/>
      <c r="AM5076" s="79"/>
      <c r="AN5076" s="79"/>
      <c r="AO5076" s="79"/>
      <c r="AP5076" s="79"/>
      <c r="AQ5076" s="79"/>
      <c r="AR5076" s="78"/>
      <c r="AS5076" s="78"/>
      <c r="AT5076" s="79"/>
      <c r="AU5076" s="79"/>
      <c r="AV5076" s="79"/>
      <c r="AW5076" s="79"/>
      <c r="AX5076" s="79"/>
      <c r="AZ5076" s="81"/>
      <c r="BB5076" s="5"/>
      <c r="BC5076" s="5"/>
      <c r="BD5076" s="5"/>
      <c r="BE5076" s="5"/>
      <c r="BF5076" s="5"/>
      <c r="BG5076" s="5"/>
      <c r="BH5076" s="5"/>
      <c r="BI5076" s="5"/>
      <c r="BJ5076" s="5"/>
      <c r="BK5076" s="5"/>
      <c r="BL5076" s="5"/>
      <c r="BM5076" s="5"/>
      <c r="BN5076" s="5"/>
      <c r="BO5076" s="5"/>
      <c r="BP5076" s="5"/>
    </row>
    <row r="5077" spans="35:68" x14ac:dyDescent="0.25">
      <c r="AI5077" s="49"/>
      <c r="AJ5077" s="78"/>
      <c r="AK5077" s="79"/>
      <c r="AL5077" s="79"/>
      <c r="AM5077" s="79"/>
      <c r="AN5077" s="79"/>
      <c r="AO5077" s="79"/>
      <c r="AP5077" s="79"/>
      <c r="AQ5077" s="79"/>
      <c r="AR5077" s="78"/>
      <c r="AS5077" s="78"/>
      <c r="AT5077" s="79"/>
      <c r="AU5077" s="79"/>
      <c r="AV5077" s="79"/>
      <c r="AW5077" s="79"/>
      <c r="AX5077" s="79"/>
      <c r="AZ5077" s="81"/>
      <c r="BB5077" s="5"/>
      <c r="BC5077" s="5"/>
      <c r="BD5077" s="5"/>
      <c r="BE5077" s="5"/>
      <c r="BF5077" s="5"/>
      <c r="BG5077" s="5"/>
      <c r="BH5077" s="5"/>
      <c r="BI5077" s="5"/>
      <c r="BJ5077" s="5"/>
      <c r="BK5077" s="5"/>
      <c r="BL5077" s="5"/>
      <c r="BM5077" s="5"/>
      <c r="BN5077" s="5"/>
      <c r="BO5077" s="5"/>
      <c r="BP5077" s="5"/>
    </row>
    <row r="5078" spans="35:68" x14ac:dyDescent="0.25">
      <c r="AI5078" s="49"/>
      <c r="AJ5078" s="78"/>
      <c r="AK5078" s="79"/>
      <c r="AL5078" s="79"/>
      <c r="AM5078" s="79"/>
      <c r="AN5078" s="79"/>
      <c r="AO5078" s="79"/>
      <c r="AP5078" s="79"/>
      <c r="AQ5078" s="79"/>
      <c r="AR5078" s="78"/>
      <c r="AS5078" s="78"/>
      <c r="AT5078" s="79"/>
      <c r="AU5078" s="79"/>
      <c r="AV5078" s="79"/>
      <c r="AW5078" s="79"/>
      <c r="AX5078" s="79"/>
      <c r="AZ5078" s="81"/>
      <c r="BB5078" s="5"/>
      <c r="BC5078" s="5"/>
      <c r="BD5078" s="5"/>
      <c r="BE5078" s="5"/>
      <c r="BF5078" s="5"/>
      <c r="BG5078" s="5"/>
      <c r="BH5078" s="5"/>
      <c r="BI5078" s="5"/>
      <c r="BJ5078" s="5"/>
      <c r="BK5078" s="5"/>
      <c r="BL5078" s="5"/>
      <c r="BM5078" s="5"/>
      <c r="BN5078" s="5"/>
      <c r="BO5078" s="5"/>
      <c r="BP5078" s="5"/>
    </row>
    <row r="5079" spans="35:68" x14ac:dyDescent="0.25">
      <c r="AI5079" s="49"/>
      <c r="AJ5079" s="78"/>
      <c r="AK5079" s="79"/>
      <c r="AL5079" s="79"/>
      <c r="AM5079" s="79"/>
      <c r="AN5079" s="79"/>
      <c r="AO5079" s="79"/>
      <c r="AP5079" s="79"/>
      <c r="AQ5079" s="79"/>
      <c r="AR5079" s="78"/>
      <c r="AS5079" s="78"/>
      <c r="AT5079" s="79"/>
      <c r="AU5079" s="79"/>
      <c r="AV5079" s="79"/>
      <c r="AW5079" s="79"/>
      <c r="AX5079" s="79"/>
      <c r="AZ5079" s="81"/>
      <c r="BB5079" s="5"/>
      <c r="BC5079" s="5"/>
      <c r="BD5079" s="5"/>
      <c r="BE5079" s="5"/>
      <c r="BF5079" s="5"/>
      <c r="BG5079" s="5"/>
      <c r="BH5079" s="5"/>
      <c r="BI5079" s="5"/>
      <c r="BJ5079" s="5"/>
      <c r="BK5079" s="5"/>
      <c r="BL5079" s="5"/>
      <c r="BM5079" s="5"/>
      <c r="BN5079" s="5"/>
      <c r="BO5079" s="5"/>
      <c r="BP5079" s="5"/>
    </row>
    <row r="5080" spans="35:68" x14ac:dyDescent="0.25">
      <c r="AI5080" s="49"/>
      <c r="AJ5080" s="78"/>
      <c r="AK5080" s="79"/>
      <c r="AL5080" s="79"/>
      <c r="AM5080" s="79"/>
      <c r="AN5080" s="79"/>
      <c r="AO5080" s="79"/>
      <c r="AP5080" s="79"/>
      <c r="AQ5080" s="79"/>
      <c r="AR5080" s="78"/>
      <c r="AS5080" s="78"/>
      <c r="AT5080" s="79"/>
      <c r="AU5080" s="79"/>
      <c r="AV5080" s="79"/>
      <c r="AW5080" s="79"/>
      <c r="AX5080" s="79"/>
      <c r="AZ5080" s="81"/>
      <c r="BB5080" s="5"/>
      <c r="BC5080" s="5"/>
      <c r="BD5080" s="5"/>
      <c r="BE5080" s="5"/>
      <c r="BF5080" s="5"/>
      <c r="BG5080" s="5"/>
      <c r="BH5080" s="5"/>
      <c r="BI5080" s="5"/>
      <c r="BJ5080" s="5"/>
      <c r="BK5080" s="5"/>
      <c r="BL5080" s="5"/>
      <c r="BM5080" s="5"/>
      <c r="BN5080" s="5"/>
      <c r="BO5080" s="5"/>
      <c r="BP5080" s="5"/>
    </row>
    <row r="5081" spans="35:68" x14ac:dyDescent="0.25">
      <c r="AI5081" s="49"/>
      <c r="AJ5081" s="78"/>
      <c r="AK5081" s="79"/>
      <c r="AL5081" s="79"/>
      <c r="AM5081" s="79"/>
      <c r="AN5081" s="79"/>
      <c r="AO5081" s="79"/>
      <c r="AP5081" s="79"/>
      <c r="AQ5081" s="79"/>
      <c r="AR5081" s="78"/>
      <c r="AS5081" s="78"/>
      <c r="AT5081" s="79"/>
      <c r="AU5081" s="79"/>
      <c r="AV5081" s="79"/>
      <c r="AW5081" s="79"/>
      <c r="AX5081" s="79"/>
      <c r="AZ5081" s="81"/>
      <c r="BB5081" s="5"/>
      <c r="BC5081" s="5"/>
      <c r="BD5081" s="5"/>
      <c r="BE5081" s="5"/>
      <c r="BF5081" s="5"/>
      <c r="BG5081" s="5"/>
      <c r="BH5081" s="5"/>
      <c r="BI5081" s="5"/>
      <c r="BJ5081" s="5"/>
      <c r="BK5081" s="5"/>
      <c r="BL5081" s="5"/>
      <c r="BM5081" s="5"/>
      <c r="BN5081" s="5"/>
      <c r="BO5081" s="5"/>
      <c r="BP5081" s="5"/>
    </row>
    <row r="5082" spans="35:68" x14ac:dyDescent="0.25">
      <c r="AI5082" s="49"/>
      <c r="AJ5082" s="78"/>
      <c r="AK5082" s="79"/>
      <c r="AL5082" s="79"/>
      <c r="AM5082" s="79"/>
      <c r="AN5082" s="79"/>
      <c r="AO5082" s="79"/>
      <c r="AP5082" s="79"/>
      <c r="AQ5082" s="79"/>
      <c r="AR5082" s="78"/>
      <c r="AS5082" s="78"/>
      <c r="AT5082" s="79"/>
      <c r="AU5082" s="79"/>
      <c r="AV5082" s="79"/>
      <c r="AW5082" s="79"/>
      <c r="AX5082" s="79"/>
      <c r="AZ5082" s="81"/>
      <c r="BB5082" s="5"/>
      <c r="BC5082" s="5"/>
      <c r="BD5082" s="5"/>
      <c r="BE5082" s="5"/>
      <c r="BF5082" s="5"/>
      <c r="BG5082" s="5"/>
      <c r="BH5082" s="5"/>
      <c r="BI5082" s="5"/>
      <c r="BJ5082" s="5"/>
      <c r="BK5082" s="5"/>
      <c r="BL5082" s="5"/>
      <c r="BM5082" s="5"/>
      <c r="BN5082" s="5"/>
      <c r="BO5082" s="5"/>
      <c r="BP5082" s="5"/>
    </row>
    <row r="5083" spans="35:68" x14ac:dyDescent="0.25">
      <c r="AI5083" s="49"/>
      <c r="AJ5083" s="78"/>
      <c r="AK5083" s="79"/>
      <c r="AL5083" s="79"/>
      <c r="AM5083" s="79"/>
      <c r="AN5083" s="79"/>
      <c r="AO5083" s="79"/>
      <c r="AP5083" s="79"/>
      <c r="AQ5083" s="79"/>
      <c r="AR5083" s="78"/>
      <c r="AS5083" s="78"/>
      <c r="AT5083" s="79"/>
      <c r="AU5083" s="79"/>
      <c r="AV5083" s="79"/>
      <c r="AW5083" s="79"/>
      <c r="AX5083" s="79"/>
      <c r="AZ5083" s="81"/>
      <c r="BB5083" s="5"/>
      <c r="BC5083" s="5"/>
      <c r="BD5083" s="5"/>
      <c r="BE5083" s="5"/>
      <c r="BF5083" s="5"/>
      <c r="BG5083" s="5"/>
      <c r="BH5083" s="5"/>
      <c r="BI5083" s="5"/>
      <c r="BJ5083" s="5"/>
      <c r="BK5083" s="5"/>
      <c r="BL5083" s="5"/>
      <c r="BM5083" s="5"/>
      <c r="BN5083" s="5"/>
      <c r="BO5083" s="5"/>
      <c r="BP5083" s="5"/>
    </row>
    <row r="5084" spans="35:68" x14ac:dyDescent="0.25">
      <c r="AI5084" s="49"/>
      <c r="AJ5084" s="78"/>
      <c r="AK5084" s="79"/>
      <c r="AL5084" s="79"/>
      <c r="AM5084" s="79"/>
      <c r="AN5084" s="79"/>
      <c r="AO5084" s="79"/>
      <c r="AP5084" s="79"/>
      <c r="AQ5084" s="79"/>
      <c r="AR5084" s="78"/>
      <c r="AS5084" s="78"/>
      <c r="AT5084" s="79"/>
      <c r="AU5084" s="79"/>
      <c r="AV5084" s="79"/>
      <c r="AW5084" s="79"/>
      <c r="AX5084" s="79"/>
      <c r="AZ5084" s="81"/>
      <c r="BB5084" s="5"/>
      <c r="BC5084" s="5"/>
      <c r="BD5084" s="5"/>
      <c r="BE5084" s="5"/>
      <c r="BF5084" s="5"/>
      <c r="BG5084" s="5"/>
      <c r="BH5084" s="5"/>
      <c r="BI5084" s="5"/>
      <c r="BJ5084" s="5"/>
      <c r="BK5084" s="5"/>
      <c r="BL5084" s="5"/>
      <c r="BM5084" s="5"/>
      <c r="BN5084" s="5"/>
      <c r="BO5084" s="5"/>
      <c r="BP5084" s="5"/>
    </row>
    <row r="5085" spans="35:68" x14ac:dyDescent="0.25">
      <c r="AI5085" s="49"/>
      <c r="AJ5085" s="78"/>
      <c r="AK5085" s="79"/>
      <c r="AL5085" s="79"/>
      <c r="AM5085" s="79"/>
      <c r="AN5085" s="79"/>
      <c r="AO5085" s="79"/>
      <c r="AP5085" s="79"/>
      <c r="AQ5085" s="79"/>
      <c r="AR5085" s="78"/>
      <c r="AS5085" s="78"/>
      <c r="AT5085" s="79"/>
      <c r="AU5085" s="79"/>
      <c r="AV5085" s="79"/>
      <c r="AW5085" s="79"/>
      <c r="AX5085" s="79"/>
      <c r="AZ5085" s="81"/>
      <c r="BB5085" s="5"/>
      <c r="BC5085" s="5"/>
      <c r="BD5085" s="5"/>
      <c r="BE5085" s="5"/>
      <c r="BF5085" s="5"/>
      <c r="BG5085" s="5"/>
      <c r="BH5085" s="5"/>
      <c r="BI5085" s="5"/>
      <c r="BJ5085" s="5"/>
      <c r="BK5085" s="5"/>
      <c r="BL5085" s="5"/>
      <c r="BM5085" s="5"/>
      <c r="BN5085" s="5"/>
      <c r="BO5085" s="5"/>
      <c r="BP5085" s="5"/>
    </row>
    <row r="5086" spans="35:68" x14ac:dyDescent="0.25">
      <c r="AI5086" s="49"/>
      <c r="AJ5086" s="78"/>
      <c r="AK5086" s="79"/>
      <c r="AL5086" s="79"/>
      <c r="AM5086" s="79"/>
      <c r="AN5086" s="79"/>
      <c r="AO5086" s="79"/>
      <c r="AP5086" s="79"/>
      <c r="AQ5086" s="79"/>
      <c r="AR5086" s="78"/>
      <c r="AS5086" s="78"/>
      <c r="AT5086" s="79"/>
      <c r="AU5086" s="79"/>
      <c r="AV5086" s="79"/>
      <c r="AW5086" s="79"/>
      <c r="AX5086" s="79"/>
      <c r="AZ5086" s="81"/>
      <c r="BB5086" s="5"/>
      <c r="BC5086" s="5"/>
      <c r="BD5086" s="5"/>
      <c r="BE5086" s="5"/>
      <c r="BF5086" s="5"/>
      <c r="BG5086" s="5"/>
      <c r="BH5086" s="5"/>
      <c r="BI5086" s="5"/>
      <c r="BJ5086" s="5"/>
      <c r="BK5086" s="5"/>
      <c r="BL5086" s="5"/>
      <c r="BM5086" s="5"/>
      <c r="BN5086" s="5"/>
      <c r="BO5086" s="5"/>
      <c r="BP5086" s="5"/>
    </row>
    <row r="5087" spans="35:68" x14ac:dyDescent="0.25">
      <c r="AI5087" s="49"/>
      <c r="AJ5087" s="78"/>
      <c r="AK5087" s="79"/>
      <c r="AL5087" s="79"/>
      <c r="AM5087" s="79"/>
      <c r="AN5087" s="79"/>
      <c r="AO5087" s="79"/>
      <c r="AP5087" s="79"/>
      <c r="AQ5087" s="79"/>
      <c r="AR5087" s="78"/>
      <c r="AS5087" s="78"/>
      <c r="AT5087" s="79"/>
      <c r="AU5087" s="79"/>
      <c r="AV5087" s="79"/>
      <c r="AW5087" s="79"/>
      <c r="AX5087" s="79"/>
      <c r="AZ5087" s="81"/>
      <c r="BB5087" s="5"/>
      <c r="BC5087" s="5"/>
      <c r="BD5087" s="5"/>
      <c r="BE5087" s="5"/>
      <c r="BF5087" s="5"/>
      <c r="BG5087" s="5"/>
      <c r="BH5087" s="5"/>
      <c r="BI5087" s="5"/>
      <c r="BJ5087" s="5"/>
      <c r="BK5087" s="5"/>
      <c r="BL5087" s="5"/>
      <c r="BM5087" s="5"/>
      <c r="BN5087" s="5"/>
      <c r="BO5087" s="5"/>
      <c r="BP5087" s="5"/>
    </row>
    <row r="5088" spans="35:68" x14ac:dyDescent="0.25">
      <c r="AI5088" s="49"/>
      <c r="AJ5088" s="78"/>
      <c r="AK5088" s="79"/>
      <c r="AL5088" s="79"/>
      <c r="AM5088" s="79"/>
      <c r="AN5088" s="79"/>
      <c r="AO5088" s="79"/>
      <c r="AP5088" s="79"/>
      <c r="AQ5088" s="79"/>
      <c r="AR5088" s="78"/>
      <c r="AS5088" s="78"/>
      <c r="AT5088" s="79"/>
      <c r="AU5088" s="79"/>
      <c r="AV5088" s="79"/>
      <c r="AW5088" s="79"/>
      <c r="AX5088" s="79"/>
      <c r="AZ5088" s="81"/>
      <c r="BB5088" s="5"/>
      <c r="BC5088" s="5"/>
      <c r="BD5088" s="5"/>
      <c r="BE5088" s="5"/>
      <c r="BF5088" s="5"/>
      <c r="BG5088" s="5"/>
      <c r="BH5088" s="5"/>
      <c r="BI5088" s="5"/>
      <c r="BJ5088" s="5"/>
      <c r="BK5088" s="5"/>
      <c r="BL5088" s="5"/>
      <c r="BM5088" s="5"/>
      <c r="BN5088" s="5"/>
      <c r="BO5088" s="5"/>
      <c r="BP5088" s="5"/>
    </row>
    <row r="5089" spans="35:68" x14ac:dyDescent="0.25">
      <c r="AI5089" s="49"/>
      <c r="AJ5089" s="78"/>
      <c r="AK5089" s="79"/>
      <c r="AL5089" s="79"/>
      <c r="AM5089" s="79"/>
      <c r="AN5089" s="79"/>
      <c r="AO5089" s="79"/>
      <c r="AP5089" s="79"/>
      <c r="AQ5089" s="79"/>
      <c r="AR5089" s="78"/>
      <c r="AS5089" s="78"/>
      <c r="AT5089" s="79"/>
      <c r="AU5089" s="79"/>
      <c r="AV5089" s="79"/>
      <c r="AW5089" s="79"/>
      <c r="AX5089" s="79"/>
      <c r="AZ5089" s="81"/>
      <c r="BB5089" s="5"/>
      <c r="BC5089" s="5"/>
      <c r="BD5089" s="5"/>
      <c r="BE5089" s="5"/>
      <c r="BF5089" s="5"/>
      <c r="BG5089" s="5"/>
      <c r="BH5089" s="5"/>
      <c r="BI5089" s="5"/>
      <c r="BJ5089" s="5"/>
      <c r="BK5089" s="5"/>
      <c r="BL5089" s="5"/>
      <c r="BM5089" s="5"/>
      <c r="BN5089" s="5"/>
      <c r="BO5089" s="5"/>
      <c r="BP5089" s="5"/>
    </row>
    <row r="5090" spans="35:68" x14ac:dyDescent="0.25">
      <c r="AI5090" s="49"/>
      <c r="AJ5090" s="78"/>
      <c r="AK5090" s="79"/>
      <c r="AL5090" s="79"/>
      <c r="AM5090" s="79"/>
      <c r="AN5090" s="79"/>
      <c r="AO5090" s="79"/>
      <c r="AP5090" s="79"/>
      <c r="AQ5090" s="79"/>
      <c r="AR5090" s="78"/>
      <c r="AS5090" s="78"/>
      <c r="AT5090" s="79"/>
      <c r="AU5090" s="79"/>
      <c r="AV5090" s="79"/>
      <c r="AW5090" s="79"/>
      <c r="AX5090" s="79"/>
      <c r="AZ5090" s="81"/>
      <c r="BB5090" s="5"/>
      <c r="BC5090" s="5"/>
      <c r="BD5090" s="5"/>
      <c r="BE5090" s="5"/>
      <c r="BF5090" s="5"/>
      <c r="BG5090" s="5"/>
      <c r="BH5090" s="5"/>
      <c r="BI5090" s="5"/>
      <c r="BJ5090" s="5"/>
      <c r="BK5090" s="5"/>
      <c r="BL5090" s="5"/>
      <c r="BM5090" s="5"/>
      <c r="BN5090" s="5"/>
      <c r="BO5090" s="5"/>
      <c r="BP5090" s="5"/>
    </row>
    <row r="5091" spans="35:68" x14ac:dyDescent="0.25">
      <c r="AI5091" s="49"/>
      <c r="AJ5091" s="78"/>
      <c r="AK5091" s="79"/>
      <c r="AL5091" s="79"/>
      <c r="AM5091" s="79"/>
      <c r="AN5091" s="79"/>
      <c r="AO5091" s="79"/>
      <c r="AP5091" s="79"/>
      <c r="AQ5091" s="79"/>
      <c r="AR5091" s="78"/>
      <c r="AS5091" s="78"/>
      <c r="AT5091" s="79"/>
      <c r="AU5091" s="79"/>
      <c r="AV5091" s="79"/>
      <c r="AW5091" s="79"/>
      <c r="AX5091" s="79"/>
      <c r="AZ5091" s="81"/>
      <c r="BB5091" s="5"/>
      <c r="BC5091" s="5"/>
      <c r="BD5091" s="5"/>
      <c r="BE5091" s="5"/>
      <c r="BF5091" s="5"/>
      <c r="BG5091" s="5"/>
      <c r="BH5091" s="5"/>
      <c r="BI5091" s="5"/>
      <c r="BJ5091" s="5"/>
      <c r="BK5091" s="5"/>
      <c r="BL5091" s="5"/>
      <c r="BM5091" s="5"/>
      <c r="BN5091" s="5"/>
      <c r="BO5091" s="5"/>
      <c r="BP5091" s="5"/>
    </row>
    <row r="5092" spans="35:68" x14ac:dyDescent="0.25">
      <c r="AI5092" s="49"/>
      <c r="AJ5092" s="78"/>
      <c r="AK5092" s="79"/>
      <c r="AL5092" s="79"/>
      <c r="AM5092" s="79"/>
      <c r="AN5092" s="79"/>
      <c r="AO5092" s="79"/>
      <c r="AP5092" s="79"/>
      <c r="AQ5092" s="79"/>
      <c r="AR5092" s="78"/>
      <c r="AS5092" s="78"/>
      <c r="AT5092" s="79"/>
      <c r="AU5092" s="79"/>
      <c r="AV5092" s="79"/>
      <c r="AW5092" s="79"/>
      <c r="AX5092" s="79"/>
      <c r="AZ5092" s="81"/>
      <c r="BB5092" s="5"/>
      <c r="BC5092" s="5"/>
      <c r="BD5092" s="5"/>
      <c r="BE5092" s="5"/>
      <c r="BF5092" s="5"/>
      <c r="BG5092" s="5"/>
      <c r="BH5092" s="5"/>
      <c r="BI5092" s="5"/>
      <c r="BJ5092" s="5"/>
      <c r="BK5092" s="5"/>
      <c r="BL5092" s="5"/>
      <c r="BM5092" s="5"/>
      <c r="BN5092" s="5"/>
      <c r="BO5092" s="5"/>
      <c r="BP5092" s="5"/>
    </row>
    <row r="5093" spans="35:68" x14ac:dyDescent="0.25">
      <c r="AI5093" s="49"/>
      <c r="AJ5093" s="78"/>
      <c r="AK5093" s="79"/>
      <c r="AL5093" s="79"/>
      <c r="AM5093" s="79"/>
      <c r="AN5093" s="79"/>
      <c r="AO5093" s="79"/>
      <c r="AP5093" s="79"/>
      <c r="AQ5093" s="79"/>
      <c r="AR5093" s="78"/>
      <c r="AS5093" s="78"/>
      <c r="AT5093" s="79"/>
      <c r="AU5093" s="79"/>
      <c r="AV5093" s="79"/>
      <c r="AW5093" s="79"/>
      <c r="AX5093" s="79"/>
      <c r="AZ5093" s="81"/>
      <c r="BB5093" s="5"/>
      <c r="BC5093" s="5"/>
      <c r="BD5093" s="5"/>
      <c r="BE5093" s="5"/>
      <c r="BF5093" s="5"/>
      <c r="BG5093" s="5"/>
      <c r="BH5093" s="5"/>
      <c r="BI5093" s="5"/>
      <c r="BJ5093" s="5"/>
      <c r="BK5093" s="5"/>
      <c r="BL5093" s="5"/>
      <c r="BM5093" s="5"/>
      <c r="BN5093" s="5"/>
      <c r="BO5093" s="5"/>
      <c r="BP5093" s="5"/>
    </row>
    <row r="5094" spans="35:68" x14ac:dyDescent="0.25">
      <c r="AI5094" s="49"/>
      <c r="AJ5094" s="78"/>
      <c r="AK5094" s="79"/>
      <c r="AL5094" s="79"/>
      <c r="AM5094" s="79"/>
      <c r="AN5094" s="79"/>
      <c r="AO5094" s="79"/>
      <c r="AP5094" s="79"/>
      <c r="AQ5094" s="79"/>
      <c r="AR5094" s="78"/>
      <c r="AS5094" s="78"/>
      <c r="AT5094" s="79"/>
      <c r="AU5094" s="79"/>
      <c r="AV5094" s="79"/>
      <c r="AW5094" s="79"/>
      <c r="AX5094" s="79"/>
      <c r="AZ5094" s="81"/>
      <c r="BB5094" s="5"/>
      <c r="BC5094" s="5"/>
      <c r="BD5094" s="5"/>
      <c r="BE5094" s="5"/>
      <c r="BF5094" s="5"/>
      <c r="BG5094" s="5"/>
      <c r="BH5094" s="5"/>
      <c r="BI5094" s="5"/>
      <c r="BJ5094" s="5"/>
      <c r="BK5094" s="5"/>
      <c r="BL5094" s="5"/>
      <c r="BM5094" s="5"/>
      <c r="BN5094" s="5"/>
      <c r="BO5094" s="5"/>
      <c r="BP5094" s="5"/>
    </row>
    <row r="5095" spans="35:68" x14ac:dyDescent="0.25">
      <c r="AI5095" s="49"/>
      <c r="AJ5095" s="78"/>
      <c r="AK5095" s="79"/>
      <c r="AL5095" s="79"/>
      <c r="AM5095" s="79"/>
      <c r="AN5095" s="79"/>
      <c r="AO5095" s="79"/>
      <c r="AP5095" s="79"/>
      <c r="AQ5095" s="79"/>
      <c r="AR5095" s="78"/>
      <c r="AS5095" s="78"/>
      <c r="AT5095" s="79"/>
      <c r="AU5095" s="79"/>
      <c r="AV5095" s="79"/>
      <c r="AW5095" s="79"/>
      <c r="AX5095" s="79"/>
      <c r="AZ5095" s="81"/>
      <c r="BB5095" s="5"/>
      <c r="BC5095" s="5"/>
      <c r="BD5095" s="5"/>
      <c r="BE5095" s="5"/>
      <c r="BF5095" s="5"/>
      <c r="BG5095" s="5"/>
      <c r="BH5095" s="5"/>
      <c r="BI5095" s="5"/>
      <c r="BJ5095" s="5"/>
      <c r="BK5095" s="5"/>
      <c r="BL5095" s="5"/>
      <c r="BM5095" s="5"/>
      <c r="BN5095" s="5"/>
      <c r="BO5095" s="5"/>
      <c r="BP5095" s="5"/>
    </row>
    <row r="5096" spans="35:68" x14ac:dyDescent="0.25">
      <c r="AI5096" s="49"/>
      <c r="AJ5096" s="78"/>
      <c r="AK5096" s="79"/>
      <c r="AL5096" s="79"/>
      <c r="AM5096" s="79"/>
      <c r="AN5096" s="79"/>
      <c r="AO5096" s="79"/>
      <c r="AP5096" s="79"/>
      <c r="AQ5096" s="79"/>
      <c r="AR5096" s="78"/>
      <c r="AS5096" s="78"/>
      <c r="AT5096" s="79"/>
      <c r="AU5096" s="79"/>
      <c r="AV5096" s="79"/>
      <c r="AW5096" s="79"/>
      <c r="AX5096" s="79"/>
      <c r="AZ5096" s="81"/>
      <c r="BB5096" s="5"/>
      <c r="BC5096" s="5"/>
      <c r="BD5096" s="5"/>
      <c r="BE5096" s="5"/>
      <c r="BF5096" s="5"/>
      <c r="BG5096" s="5"/>
      <c r="BH5096" s="5"/>
      <c r="BI5096" s="5"/>
      <c r="BJ5096" s="5"/>
      <c r="BK5096" s="5"/>
      <c r="BL5096" s="5"/>
      <c r="BM5096" s="5"/>
      <c r="BN5096" s="5"/>
      <c r="BO5096" s="5"/>
      <c r="BP5096" s="5"/>
    </row>
    <row r="5097" spans="35:68" x14ac:dyDescent="0.25">
      <c r="AI5097" s="49"/>
      <c r="AJ5097" s="78"/>
      <c r="AK5097" s="79"/>
      <c r="AL5097" s="79"/>
      <c r="AM5097" s="79"/>
      <c r="AN5097" s="79"/>
      <c r="AO5097" s="79"/>
      <c r="AP5097" s="79"/>
      <c r="AQ5097" s="79"/>
      <c r="AR5097" s="78"/>
      <c r="AS5097" s="78"/>
      <c r="AT5097" s="79"/>
      <c r="AU5097" s="79"/>
      <c r="AV5097" s="79"/>
      <c r="AW5097" s="79"/>
      <c r="AX5097" s="79"/>
      <c r="AZ5097" s="81"/>
      <c r="BB5097" s="5"/>
      <c r="BC5097" s="5"/>
      <c r="BD5097" s="5"/>
      <c r="BE5097" s="5"/>
      <c r="BF5097" s="5"/>
      <c r="BG5097" s="5"/>
      <c r="BH5097" s="5"/>
      <c r="BI5097" s="5"/>
      <c r="BJ5097" s="5"/>
      <c r="BK5097" s="5"/>
      <c r="BL5097" s="5"/>
      <c r="BM5097" s="5"/>
      <c r="BN5097" s="5"/>
      <c r="BO5097" s="5"/>
      <c r="BP5097" s="5"/>
    </row>
    <row r="5098" spans="35:68" x14ac:dyDescent="0.25">
      <c r="AI5098" s="49"/>
      <c r="AJ5098" s="78"/>
      <c r="AK5098" s="79"/>
      <c r="AL5098" s="79"/>
      <c r="AM5098" s="79"/>
      <c r="AN5098" s="79"/>
      <c r="AO5098" s="79"/>
      <c r="AP5098" s="79"/>
      <c r="AQ5098" s="79"/>
      <c r="AR5098" s="78"/>
      <c r="AS5098" s="78"/>
      <c r="AT5098" s="79"/>
      <c r="AU5098" s="79"/>
      <c r="AV5098" s="79"/>
      <c r="AW5098" s="79"/>
      <c r="AX5098" s="79"/>
      <c r="AZ5098" s="81"/>
      <c r="BB5098" s="5"/>
      <c r="BC5098" s="5"/>
      <c r="BD5098" s="5"/>
      <c r="BE5098" s="5"/>
      <c r="BF5098" s="5"/>
      <c r="BG5098" s="5"/>
      <c r="BH5098" s="5"/>
      <c r="BI5098" s="5"/>
      <c r="BJ5098" s="5"/>
      <c r="BK5098" s="5"/>
      <c r="BL5098" s="5"/>
      <c r="BM5098" s="5"/>
      <c r="BN5098" s="5"/>
      <c r="BO5098" s="5"/>
      <c r="BP5098" s="5"/>
    </row>
    <row r="5099" spans="35:68" x14ac:dyDescent="0.25">
      <c r="AI5099" s="49"/>
      <c r="AJ5099" s="78"/>
      <c r="AK5099" s="79"/>
      <c r="AL5099" s="79"/>
      <c r="AM5099" s="79"/>
      <c r="AN5099" s="79"/>
      <c r="AO5099" s="79"/>
      <c r="AP5099" s="79"/>
      <c r="AQ5099" s="79"/>
      <c r="AR5099" s="78"/>
      <c r="AS5099" s="78"/>
      <c r="AT5099" s="79"/>
      <c r="AU5099" s="79"/>
      <c r="AV5099" s="79"/>
      <c r="AW5099" s="79"/>
      <c r="AX5099" s="79"/>
      <c r="AZ5099" s="81"/>
      <c r="BB5099" s="5"/>
      <c r="BC5099" s="5"/>
      <c r="BD5099" s="5"/>
      <c r="BE5099" s="5"/>
      <c r="BF5099" s="5"/>
      <c r="BG5099" s="5"/>
      <c r="BH5099" s="5"/>
      <c r="BI5099" s="5"/>
      <c r="BJ5099" s="5"/>
      <c r="BK5099" s="5"/>
      <c r="BL5099" s="5"/>
      <c r="BM5099" s="5"/>
      <c r="BN5099" s="5"/>
      <c r="BO5099" s="5"/>
      <c r="BP5099" s="5"/>
    </row>
    <row r="5100" spans="35:68" x14ac:dyDescent="0.25">
      <c r="AI5100" s="49"/>
      <c r="AJ5100" s="78"/>
      <c r="AK5100" s="79"/>
      <c r="AL5100" s="79"/>
      <c r="AM5100" s="79"/>
      <c r="AN5100" s="79"/>
      <c r="AO5100" s="79"/>
      <c r="AP5100" s="79"/>
      <c r="AQ5100" s="79"/>
      <c r="AR5100" s="78"/>
      <c r="AS5100" s="78"/>
      <c r="AT5100" s="79"/>
      <c r="AU5100" s="79"/>
      <c r="AV5100" s="79"/>
      <c r="AW5100" s="79"/>
      <c r="AX5100" s="79"/>
      <c r="AZ5100" s="81"/>
      <c r="BB5100" s="5"/>
      <c r="BC5100" s="5"/>
      <c r="BD5100" s="5"/>
      <c r="BE5100" s="5"/>
      <c r="BF5100" s="5"/>
      <c r="BG5100" s="5"/>
      <c r="BH5100" s="5"/>
      <c r="BI5100" s="5"/>
      <c r="BJ5100" s="5"/>
      <c r="BK5100" s="5"/>
      <c r="BL5100" s="5"/>
      <c r="BM5100" s="5"/>
      <c r="BN5100" s="5"/>
      <c r="BO5100" s="5"/>
      <c r="BP5100" s="5"/>
    </row>
    <row r="5101" spans="35:68" x14ac:dyDescent="0.25">
      <c r="AI5101" s="49"/>
      <c r="AJ5101" s="78"/>
      <c r="AK5101" s="79"/>
      <c r="AL5101" s="79"/>
      <c r="AM5101" s="79"/>
      <c r="AN5101" s="79"/>
      <c r="AO5101" s="79"/>
      <c r="AP5101" s="79"/>
      <c r="AQ5101" s="79"/>
      <c r="AR5101" s="78"/>
      <c r="AS5101" s="78"/>
      <c r="AT5101" s="79"/>
      <c r="AU5101" s="79"/>
      <c r="AV5101" s="79"/>
      <c r="AW5101" s="79"/>
      <c r="AX5101" s="79"/>
      <c r="AZ5101" s="81"/>
      <c r="BB5101" s="5"/>
      <c r="BC5101" s="5"/>
      <c r="BD5101" s="5"/>
      <c r="BE5101" s="5"/>
      <c r="BF5101" s="5"/>
      <c r="BG5101" s="5"/>
      <c r="BH5101" s="5"/>
      <c r="BI5101" s="5"/>
      <c r="BJ5101" s="5"/>
      <c r="BK5101" s="5"/>
      <c r="BL5101" s="5"/>
      <c r="BM5101" s="5"/>
      <c r="BN5101" s="5"/>
      <c r="BO5101" s="5"/>
      <c r="BP5101" s="5"/>
    </row>
    <row r="5102" spans="35:68" x14ac:dyDescent="0.25">
      <c r="AI5102" s="49"/>
      <c r="AJ5102" s="78"/>
      <c r="AK5102" s="79"/>
      <c r="AL5102" s="79"/>
      <c r="AM5102" s="79"/>
      <c r="AN5102" s="79"/>
      <c r="AO5102" s="79"/>
      <c r="AP5102" s="79"/>
      <c r="AQ5102" s="79"/>
      <c r="AR5102" s="78"/>
      <c r="AS5102" s="78"/>
      <c r="AT5102" s="79"/>
      <c r="AU5102" s="79"/>
      <c r="AV5102" s="79"/>
      <c r="AW5102" s="79"/>
      <c r="AX5102" s="79"/>
      <c r="AZ5102" s="81"/>
      <c r="BB5102" s="5"/>
      <c r="BC5102" s="5"/>
      <c r="BD5102" s="5"/>
      <c r="BE5102" s="5"/>
      <c r="BF5102" s="5"/>
      <c r="BG5102" s="5"/>
      <c r="BH5102" s="5"/>
      <c r="BI5102" s="5"/>
      <c r="BJ5102" s="5"/>
      <c r="BK5102" s="5"/>
      <c r="BL5102" s="5"/>
      <c r="BM5102" s="5"/>
      <c r="BN5102" s="5"/>
      <c r="BO5102" s="5"/>
      <c r="BP5102" s="5"/>
    </row>
    <row r="5103" spans="35:68" x14ac:dyDescent="0.25">
      <c r="AI5103" s="49"/>
      <c r="AJ5103" s="78"/>
      <c r="AK5103" s="79"/>
      <c r="AL5103" s="79"/>
      <c r="AM5103" s="79"/>
      <c r="AN5103" s="79"/>
      <c r="AO5103" s="79"/>
      <c r="AP5103" s="79"/>
      <c r="AQ5103" s="79"/>
      <c r="AR5103" s="78"/>
      <c r="AS5103" s="78"/>
      <c r="AT5103" s="79"/>
      <c r="AU5103" s="79"/>
      <c r="AV5103" s="79"/>
      <c r="AW5103" s="79"/>
      <c r="AX5103" s="79"/>
      <c r="AZ5103" s="81"/>
      <c r="BB5103" s="5"/>
      <c r="BC5103" s="5"/>
      <c r="BD5103" s="5"/>
      <c r="BE5103" s="5"/>
      <c r="BF5103" s="5"/>
      <c r="BG5103" s="5"/>
      <c r="BH5103" s="5"/>
      <c r="BI5103" s="5"/>
      <c r="BJ5103" s="5"/>
      <c r="BK5103" s="5"/>
      <c r="BL5103" s="5"/>
      <c r="BM5103" s="5"/>
      <c r="BN5103" s="5"/>
      <c r="BO5103" s="5"/>
      <c r="BP5103" s="5"/>
    </row>
    <row r="5104" spans="35:68" x14ac:dyDescent="0.25">
      <c r="AI5104" s="49"/>
      <c r="AJ5104" s="78"/>
      <c r="AK5104" s="79"/>
      <c r="AL5104" s="79"/>
      <c r="AM5104" s="79"/>
      <c r="AN5104" s="79"/>
      <c r="AO5104" s="79"/>
      <c r="AP5104" s="79"/>
      <c r="AQ5104" s="79"/>
      <c r="AR5104" s="78"/>
      <c r="AS5104" s="78"/>
      <c r="AT5104" s="79"/>
      <c r="AU5104" s="79"/>
      <c r="AV5104" s="79"/>
      <c r="AW5104" s="79"/>
      <c r="AX5104" s="79"/>
      <c r="AZ5104" s="81"/>
      <c r="BB5104" s="5"/>
      <c r="BC5104" s="5"/>
      <c r="BD5104" s="5"/>
      <c r="BE5104" s="5"/>
      <c r="BF5104" s="5"/>
      <c r="BG5104" s="5"/>
      <c r="BH5104" s="5"/>
      <c r="BI5104" s="5"/>
      <c r="BJ5104" s="5"/>
      <c r="BK5104" s="5"/>
      <c r="BL5104" s="5"/>
      <c r="BM5104" s="5"/>
      <c r="BN5104" s="5"/>
      <c r="BO5104" s="5"/>
      <c r="BP5104" s="5"/>
    </row>
    <row r="5105" spans="35:68" x14ac:dyDescent="0.25">
      <c r="AI5105" s="49"/>
      <c r="AJ5105" s="78"/>
      <c r="AK5105" s="79"/>
      <c r="AL5105" s="79"/>
      <c r="AM5105" s="79"/>
      <c r="AN5105" s="79"/>
      <c r="AO5105" s="79"/>
      <c r="AP5105" s="79"/>
      <c r="AQ5105" s="79"/>
      <c r="AR5105" s="78"/>
      <c r="AS5105" s="78"/>
      <c r="AT5105" s="79"/>
      <c r="AU5105" s="79"/>
      <c r="AV5105" s="79"/>
      <c r="AW5105" s="79"/>
      <c r="AX5105" s="79"/>
      <c r="AZ5105" s="81"/>
      <c r="BB5105" s="5"/>
      <c r="BC5105" s="5"/>
      <c r="BD5105" s="5"/>
      <c r="BE5105" s="5"/>
      <c r="BF5105" s="5"/>
      <c r="BG5105" s="5"/>
      <c r="BH5105" s="5"/>
      <c r="BI5105" s="5"/>
      <c r="BJ5105" s="5"/>
      <c r="BK5105" s="5"/>
      <c r="BL5105" s="5"/>
      <c r="BM5105" s="5"/>
      <c r="BN5105" s="5"/>
      <c r="BO5105" s="5"/>
      <c r="BP5105" s="5"/>
    </row>
    <row r="5106" spans="35:68" x14ac:dyDescent="0.25">
      <c r="AI5106" s="49"/>
      <c r="AJ5106" s="78"/>
      <c r="AK5106" s="79"/>
      <c r="AL5106" s="79"/>
      <c r="AM5106" s="79"/>
      <c r="AN5106" s="79"/>
      <c r="AO5106" s="79"/>
      <c r="AP5106" s="79"/>
      <c r="AQ5106" s="79"/>
      <c r="AR5106" s="78"/>
      <c r="AS5106" s="78"/>
      <c r="AT5106" s="79"/>
      <c r="AU5106" s="79"/>
      <c r="AV5106" s="79"/>
      <c r="AW5106" s="79"/>
      <c r="AX5106" s="79"/>
      <c r="AZ5106" s="81"/>
      <c r="BB5106" s="5"/>
      <c r="BC5106" s="5"/>
      <c r="BD5106" s="5"/>
      <c r="BE5106" s="5"/>
      <c r="BF5106" s="5"/>
      <c r="BG5106" s="5"/>
      <c r="BH5106" s="5"/>
      <c r="BI5106" s="5"/>
      <c r="BJ5106" s="5"/>
      <c r="BK5106" s="5"/>
      <c r="BL5106" s="5"/>
      <c r="BM5106" s="5"/>
      <c r="BN5106" s="5"/>
      <c r="BO5106" s="5"/>
      <c r="BP5106" s="5"/>
    </row>
    <row r="5107" spans="35:68" x14ac:dyDescent="0.25">
      <c r="AI5107" s="49"/>
      <c r="AJ5107" s="78"/>
      <c r="AK5107" s="79"/>
      <c r="AL5107" s="79"/>
      <c r="AM5107" s="79"/>
      <c r="AN5107" s="79"/>
      <c r="AO5107" s="79"/>
      <c r="AP5107" s="79"/>
      <c r="AQ5107" s="79"/>
      <c r="AR5107" s="78"/>
      <c r="AS5107" s="78"/>
      <c r="AT5107" s="79"/>
      <c r="AU5107" s="79"/>
      <c r="AV5107" s="79"/>
      <c r="AW5107" s="79"/>
      <c r="AX5107" s="79"/>
      <c r="AZ5107" s="81"/>
      <c r="BB5107" s="5"/>
      <c r="BC5107" s="5"/>
      <c r="BD5107" s="5"/>
      <c r="BE5107" s="5"/>
      <c r="BF5107" s="5"/>
      <c r="BG5107" s="5"/>
      <c r="BH5107" s="5"/>
      <c r="BI5107" s="5"/>
      <c r="BJ5107" s="5"/>
      <c r="BK5107" s="5"/>
      <c r="BL5107" s="5"/>
      <c r="BM5107" s="5"/>
      <c r="BN5107" s="5"/>
      <c r="BO5107" s="5"/>
      <c r="BP5107" s="5"/>
    </row>
    <row r="5108" spans="35:68" x14ac:dyDescent="0.25">
      <c r="AI5108" s="49"/>
      <c r="AJ5108" s="78"/>
      <c r="AK5108" s="79"/>
      <c r="AL5108" s="79"/>
      <c r="AM5108" s="79"/>
      <c r="AN5108" s="79"/>
      <c r="AO5108" s="79"/>
      <c r="AP5108" s="79"/>
      <c r="AQ5108" s="79"/>
      <c r="AR5108" s="78"/>
      <c r="AS5108" s="78"/>
      <c r="AT5108" s="79"/>
      <c r="AU5108" s="79"/>
      <c r="AV5108" s="79"/>
      <c r="AW5108" s="79"/>
      <c r="AX5108" s="79"/>
      <c r="AZ5108" s="81"/>
      <c r="BB5108" s="5"/>
      <c r="BC5108" s="5"/>
      <c r="BD5108" s="5"/>
      <c r="BE5108" s="5"/>
      <c r="BF5108" s="5"/>
      <c r="BG5108" s="5"/>
      <c r="BH5108" s="5"/>
      <c r="BI5108" s="5"/>
      <c r="BJ5108" s="5"/>
      <c r="BK5108" s="5"/>
      <c r="BL5108" s="5"/>
      <c r="BM5108" s="5"/>
      <c r="BN5108" s="5"/>
      <c r="BO5108" s="5"/>
      <c r="BP5108" s="5"/>
    </row>
    <row r="5109" spans="35:68" x14ac:dyDescent="0.25">
      <c r="AI5109" s="49"/>
      <c r="AJ5109" s="78"/>
      <c r="AK5109" s="79"/>
      <c r="AL5109" s="79"/>
      <c r="AM5109" s="79"/>
      <c r="AN5109" s="79"/>
      <c r="AO5109" s="79"/>
      <c r="AP5109" s="79"/>
      <c r="AQ5109" s="79"/>
      <c r="AR5109" s="78"/>
      <c r="AS5109" s="78"/>
      <c r="AT5109" s="79"/>
      <c r="AU5109" s="79"/>
      <c r="AV5109" s="79"/>
      <c r="AW5109" s="79"/>
      <c r="AX5109" s="79"/>
      <c r="AZ5109" s="81"/>
      <c r="BB5109" s="5"/>
      <c r="BC5109" s="5"/>
      <c r="BD5109" s="5"/>
      <c r="BE5109" s="5"/>
      <c r="BF5109" s="5"/>
      <c r="BG5109" s="5"/>
      <c r="BH5109" s="5"/>
      <c r="BI5109" s="5"/>
      <c r="BJ5109" s="5"/>
      <c r="BK5109" s="5"/>
      <c r="BL5109" s="5"/>
      <c r="BM5109" s="5"/>
      <c r="BN5109" s="5"/>
      <c r="BO5109" s="5"/>
      <c r="BP5109" s="5"/>
    </row>
    <row r="5110" spans="35:68" x14ac:dyDescent="0.25">
      <c r="AI5110" s="49"/>
      <c r="AJ5110" s="78"/>
      <c r="AK5110" s="79"/>
      <c r="AL5110" s="79"/>
      <c r="AM5110" s="79"/>
      <c r="AN5110" s="79"/>
      <c r="AO5110" s="79"/>
      <c r="AP5110" s="79"/>
      <c r="AQ5110" s="79"/>
      <c r="AR5110" s="78"/>
      <c r="AS5110" s="78"/>
      <c r="AT5110" s="79"/>
      <c r="AU5110" s="79"/>
      <c r="AV5110" s="79"/>
      <c r="AW5110" s="79"/>
      <c r="AX5110" s="79"/>
      <c r="AZ5110" s="81"/>
      <c r="BB5110" s="5"/>
      <c r="BC5110" s="5"/>
      <c r="BD5110" s="5"/>
      <c r="BE5110" s="5"/>
      <c r="BF5110" s="5"/>
      <c r="BG5110" s="5"/>
      <c r="BH5110" s="5"/>
      <c r="BI5110" s="5"/>
      <c r="BJ5110" s="5"/>
      <c r="BK5110" s="5"/>
      <c r="BL5110" s="5"/>
      <c r="BM5110" s="5"/>
      <c r="BN5110" s="5"/>
      <c r="BO5110" s="5"/>
      <c r="BP5110" s="5"/>
    </row>
    <row r="5111" spans="35:68" x14ac:dyDescent="0.25">
      <c r="AI5111" s="49"/>
      <c r="AJ5111" s="78"/>
      <c r="AK5111" s="79"/>
      <c r="AL5111" s="79"/>
      <c r="AM5111" s="79"/>
      <c r="AN5111" s="79"/>
      <c r="AO5111" s="79"/>
      <c r="AP5111" s="79"/>
      <c r="AQ5111" s="79"/>
      <c r="AR5111" s="78"/>
      <c r="AS5111" s="78"/>
      <c r="AT5111" s="79"/>
      <c r="AU5111" s="79"/>
      <c r="AV5111" s="79"/>
      <c r="AW5111" s="79"/>
      <c r="AX5111" s="79"/>
      <c r="AZ5111" s="81"/>
      <c r="BB5111" s="5"/>
      <c r="BC5111" s="5"/>
      <c r="BD5111" s="5"/>
      <c r="BE5111" s="5"/>
      <c r="BF5111" s="5"/>
      <c r="BG5111" s="5"/>
      <c r="BH5111" s="5"/>
      <c r="BI5111" s="5"/>
      <c r="BJ5111" s="5"/>
      <c r="BK5111" s="5"/>
      <c r="BL5111" s="5"/>
      <c r="BM5111" s="5"/>
      <c r="BN5111" s="5"/>
      <c r="BO5111" s="5"/>
      <c r="BP5111" s="5"/>
    </row>
    <row r="5112" spans="35:68" x14ac:dyDescent="0.25">
      <c r="AI5112" s="49"/>
      <c r="AJ5112" s="78"/>
      <c r="AK5112" s="79"/>
      <c r="AL5112" s="79"/>
      <c r="AM5112" s="79"/>
      <c r="AN5112" s="79"/>
      <c r="AO5112" s="79"/>
      <c r="AP5112" s="79"/>
      <c r="AQ5112" s="79"/>
      <c r="AR5112" s="78"/>
      <c r="AS5112" s="78"/>
      <c r="AT5112" s="79"/>
      <c r="AU5112" s="79"/>
      <c r="AV5112" s="79"/>
      <c r="AW5112" s="79"/>
      <c r="AX5112" s="79"/>
      <c r="AZ5112" s="81"/>
      <c r="BB5112" s="5"/>
      <c r="BC5112" s="5"/>
      <c r="BD5112" s="5"/>
      <c r="BE5112" s="5"/>
      <c r="BF5112" s="5"/>
      <c r="BG5112" s="5"/>
      <c r="BH5112" s="5"/>
      <c r="BI5112" s="5"/>
      <c r="BJ5112" s="5"/>
      <c r="BK5112" s="5"/>
      <c r="BL5112" s="5"/>
      <c r="BM5112" s="5"/>
      <c r="BN5112" s="5"/>
      <c r="BO5112" s="5"/>
      <c r="BP5112" s="5"/>
    </row>
    <row r="5113" spans="35:68" x14ac:dyDescent="0.25">
      <c r="AI5113" s="49"/>
      <c r="AJ5113" s="78"/>
      <c r="AK5113" s="79"/>
      <c r="AL5113" s="79"/>
      <c r="AM5113" s="79"/>
      <c r="AN5113" s="79"/>
      <c r="AO5113" s="79"/>
      <c r="AP5113" s="79"/>
      <c r="AQ5113" s="79"/>
      <c r="AR5113" s="78"/>
      <c r="AS5113" s="78"/>
      <c r="AT5113" s="79"/>
      <c r="AU5113" s="79"/>
      <c r="AV5113" s="79"/>
      <c r="AW5113" s="79"/>
      <c r="AX5113" s="79"/>
      <c r="AZ5113" s="81"/>
      <c r="BB5113" s="5"/>
      <c r="BC5113" s="5"/>
      <c r="BD5113" s="5"/>
      <c r="BE5113" s="5"/>
      <c r="BF5113" s="5"/>
      <c r="BG5113" s="5"/>
      <c r="BH5113" s="5"/>
      <c r="BI5113" s="5"/>
      <c r="BJ5113" s="5"/>
      <c r="BK5113" s="5"/>
      <c r="BL5113" s="5"/>
      <c r="BM5113" s="5"/>
      <c r="BN5113" s="5"/>
      <c r="BO5113" s="5"/>
      <c r="BP5113" s="5"/>
    </row>
    <row r="5114" spans="35:68" x14ac:dyDescent="0.25">
      <c r="AI5114" s="49"/>
      <c r="AJ5114" s="78"/>
      <c r="AK5114" s="79"/>
      <c r="AL5114" s="79"/>
      <c r="AM5114" s="79"/>
      <c r="AN5114" s="79"/>
      <c r="AO5114" s="79"/>
      <c r="AP5114" s="79"/>
      <c r="AQ5114" s="79"/>
      <c r="AR5114" s="78"/>
      <c r="AS5114" s="78"/>
      <c r="AT5114" s="79"/>
      <c r="AU5114" s="79"/>
      <c r="AV5114" s="79"/>
      <c r="AW5114" s="79"/>
      <c r="AX5114" s="79"/>
      <c r="AZ5114" s="81"/>
      <c r="BB5114" s="5"/>
      <c r="BC5114" s="5"/>
      <c r="BD5114" s="5"/>
      <c r="BE5114" s="5"/>
      <c r="BF5114" s="5"/>
      <c r="BG5114" s="5"/>
      <c r="BH5114" s="5"/>
      <c r="BI5114" s="5"/>
      <c r="BJ5114" s="5"/>
      <c r="BK5114" s="5"/>
      <c r="BL5114" s="5"/>
      <c r="BM5114" s="5"/>
      <c r="BN5114" s="5"/>
      <c r="BO5114" s="5"/>
      <c r="BP5114" s="5"/>
    </row>
    <row r="5115" spans="35:68" x14ac:dyDescent="0.25">
      <c r="AI5115" s="49"/>
      <c r="AJ5115" s="78"/>
      <c r="AK5115" s="79"/>
      <c r="AL5115" s="79"/>
      <c r="AM5115" s="79"/>
      <c r="AN5115" s="79"/>
      <c r="AO5115" s="79"/>
      <c r="AP5115" s="79"/>
      <c r="AQ5115" s="79"/>
      <c r="AR5115" s="78"/>
      <c r="AS5115" s="78"/>
      <c r="AT5115" s="79"/>
      <c r="AU5115" s="79"/>
      <c r="AV5115" s="79"/>
      <c r="AW5115" s="79"/>
      <c r="AX5115" s="79"/>
      <c r="AZ5115" s="81"/>
      <c r="BB5115" s="5"/>
      <c r="BC5115" s="5"/>
      <c r="BD5115" s="5"/>
      <c r="BE5115" s="5"/>
      <c r="BF5115" s="5"/>
      <c r="BG5115" s="5"/>
      <c r="BH5115" s="5"/>
      <c r="BI5115" s="5"/>
      <c r="BJ5115" s="5"/>
      <c r="BK5115" s="5"/>
      <c r="BL5115" s="5"/>
      <c r="BM5115" s="5"/>
      <c r="BN5115" s="5"/>
      <c r="BO5115" s="5"/>
      <c r="BP5115" s="5"/>
    </row>
    <row r="5116" spans="35:68" x14ac:dyDescent="0.25">
      <c r="AI5116" s="49"/>
      <c r="AJ5116" s="78"/>
      <c r="AK5116" s="79"/>
      <c r="AL5116" s="79"/>
      <c r="AM5116" s="79"/>
      <c r="AN5116" s="79"/>
      <c r="AO5116" s="79"/>
      <c r="AP5116" s="79"/>
      <c r="AQ5116" s="79"/>
      <c r="AR5116" s="78"/>
      <c r="AS5116" s="78"/>
      <c r="AT5116" s="79"/>
      <c r="AU5116" s="79"/>
      <c r="AV5116" s="79"/>
      <c r="AW5116" s="79"/>
      <c r="AX5116" s="79"/>
      <c r="AZ5116" s="81"/>
      <c r="BB5116" s="5"/>
      <c r="BC5116" s="5"/>
      <c r="BD5116" s="5"/>
      <c r="BE5116" s="5"/>
      <c r="BF5116" s="5"/>
      <c r="BG5116" s="5"/>
      <c r="BH5116" s="5"/>
      <c r="BI5116" s="5"/>
      <c r="BJ5116" s="5"/>
      <c r="BK5116" s="5"/>
      <c r="BL5116" s="5"/>
      <c r="BM5116" s="5"/>
      <c r="BN5116" s="5"/>
      <c r="BO5116" s="5"/>
      <c r="BP5116" s="5"/>
    </row>
    <row r="5117" spans="35:68" x14ac:dyDescent="0.25">
      <c r="AI5117" s="49"/>
      <c r="AJ5117" s="78"/>
      <c r="AK5117" s="79"/>
      <c r="AL5117" s="79"/>
      <c r="AM5117" s="79"/>
      <c r="AN5117" s="79"/>
      <c r="AO5117" s="79"/>
      <c r="AP5117" s="79"/>
      <c r="AQ5117" s="79"/>
      <c r="AR5117" s="78"/>
      <c r="AS5117" s="78"/>
      <c r="AT5117" s="79"/>
      <c r="AU5117" s="79"/>
      <c r="AV5117" s="79"/>
      <c r="AW5117" s="79"/>
      <c r="AX5117" s="79"/>
      <c r="AZ5117" s="81"/>
      <c r="BB5117" s="5"/>
      <c r="BC5117" s="5"/>
      <c r="BD5117" s="5"/>
      <c r="BE5117" s="5"/>
      <c r="BF5117" s="5"/>
      <c r="BG5117" s="5"/>
      <c r="BH5117" s="5"/>
      <c r="BI5117" s="5"/>
      <c r="BJ5117" s="5"/>
      <c r="BK5117" s="5"/>
      <c r="BL5117" s="5"/>
      <c r="BM5117" s="5"/>
      <c r="BN5117" s="5"/>
      <c r="BO5117" s="5"/>
      <c r="BP5117" s="5"/>
    </row>
    <row r="5118" spans="35:68" x14ac:dyDescent="0.25">
      <c r="AI5118" s="49"/>
      <c r="AJ5118" s="78"/>
      <c r="AK5118" s="79"/>
      <c r="AL5118" s="79"/>
      <c r="AM5118" s="79"/>
      <c r="AN5118" s="79"/>
      <c r="AO5118" s="79"/>
      <c r="AP5118" s="79"/>
      <c r="AQ5118" s="79"/>
      <c r="AR5118" s="78"/>
      <c r="AS5118" s="78"/>
      <c r="AT5118" s="79"/>
      <c r="AU5118" s="79"/>
      <c r="AV5118" s="79"/>
      <c r="AW5118" s="79"/>
      <c r="AX5118" s="79"/>
      <c r="AZ5118" s="81"/>
      <c r="BB5118" s="5"/>
      <c r="BC5118" s="5"/>
      <c r="BD5118" s="5"/>
      <c r="BE5118" s="5"/>
      <c r="BF5118" s="5"/>
      <c r="BG5118" s="5"/>
      <c r="BH5118" s="5"/>
      <c r="BI5118" s="5"/>
      <c r="BJ5118" s="5"/>
      <c r="BK5118" s="5"/>
      <c r="BL5118" s="5"/>
      <c r="BM5118" s="5"/>
      <c r="BN5118" s="5"/>
      <c r="BO5118" s="5"/>
      <c r="BP5118" s="5"/>
    </row>
    <row r="5119" spans="35:68" x14ac:dyDescent="0.25">
      <c r="AI5119" s="49"/>
      <c r="AJ5119" s="78"/>
      <c r="AK5119" s="79"/>
      <c r="AL5119" s="79"/>
      <c r="AM5119" s="79"/>
      <c r="AN5119" s="79"/>
      <c r="AO5119" s="79"/>
      <c r="AP5119" s="79"/>
      <c r="AQ5119" s="79"/>
      <c r="AR5119" s="78"/>
      <c r="AS5119" s="78"/>
      <c r="AT5119" s="79"/>
      <c r="AU5119" s="79"/>
      <c r="AV5119" s="79"/>
      <c r="AW5119" s="79"/>
      <c r="AX5119" s="79"/>
      <c r="AZ5119" s="81"/>
      <c r="BB5119" s="5"/>
      <c r="BC5119" s="5"/>
      <c r="BD5119" s="5"/>
      <c r="BE5119" s="5"/>
      <c r="BF5119" s="5"/>
      <c r="BG5119" s="5"/>
      <c r="BH5119" s="5"/>
      <c r="BI5119" s="5"/>
      <c r="BJ5119" s="5"/>
      <c r="BK5119" s="5"/>
      <c r="BL5119" s="5"/>
      <c r="BM5119" s="5"/>
      <c r="BN5119" s="5"/>
      <c r="BO5119" s="5"/>
      <c r="BP5119" s="5"/>
    </row>
    <row r="5120" spans="35:68" x14ac:dyDescent="0.25">
      <c r="AI5120" s="49"/>
      <c r="AJ5120" s="78"/>
      <c r="AK5120" s="79"/>
      <c r="AL5120" s="79"/>
      <c r="AM5120" s="79"/>
      <c r="AN5120" s="79"/>
      <c r="AO5120" s="79"/>
      <c r="AP5120" s="79"/>
      <c r="AQ5120" s="79"/>
      <c r="AR5120" s="78"/>
      <c r="AS5120" s="78"/>
      <c r="AT5120" s="79"/>
      <c r="AU5120" s="79"/>
      <c r="AV5120" s="79"/>
      <c r="AW5120" s="79"/>
      <c r="AX5120" s="79"/>
      <c r="AZ5120" s="81"/>
      <c r="BB5120" s="5"/>
      <c r="BC5120" s="5"/>
      <c r="BD5120" s="5"/>
      <c r="BE5120" s="5"/>
      <c r="BF5120" s="5"/>
      <c r="BG5120" s="5"/>
      <c r="BH5120" s="5"/>
      <c r="BI5120" s="5"/>
      <c r="BJ5120" s="5"/>
      <c r="BK5120" s="5"/>
      <c r="BL5120" s="5"/>
      <c r="BM5120" s="5"/>
      <c r="BN5120" s="5"/>
      <c r="BO5120" s="5"/>
      <c r="BP5120" s="5"/>
    </row>
    <row r="5121" spans="35:68" x14ac:dyDescent="0.25">
      <c r="AI5121" s="49"/>
      <c r="AJ5121" s="78"/>
      <c r="AK5121" s="79"/>
      <c r="AL5121" s="79"/>
      <c r="AM5121" s="79"/>
      <c r="AN5121" s="79"/>
      <c r="AO5121" s="79"/>
      <c r="AP5121" s="79"/>
      <c r="AQ5121" s="79"/>
      <c r="AR5121" s="78"/>
      <c r="AS5121" s="78"/>
      <c r="AT5121" s="79"/>
      <c r="AU5121" s="79"/>
      <c r="AV5121" s="79"/>
      <c r="AW5121" s="79"/>
      <c r="AX5121" s="79"/>
      <c r="AZ5121" s="81"/>
      <c r="BB5121" s="5"/>
      <c r="BC5121" s="5"/>
      <c r="BD5121" s="5"/>
      <c r="BE5121" s="5"/>
      <c r="BF5121" s="5"/>
      <c r="BG5121" s="5"/>
      <c r="BH5121" s="5"/>
      <c r="BI5121" s="5"/>
      <c r="BJ5121" s="5"/>
      <c r="BK5121" s="5"/>
      <c r="BL5121" s="5"/>
      <c r="BM5121" s="5"/>
      <c r="BN5121" s="5"/>
      <c r="BO5121" s="5"/>
      <c r="BP5121" s="5"/>
    </row>
    <row r="5122" spans="35:68" x14ac:dyDescent="0.25">
      <c r="AI5122" s="49"/>
      <c r="AJ5122" s="78"/>
      <c r="AK5122" s="79"/>
      <c r="AL5122" s="79"/>
      <c r="AM5122" s="79"/>
      <c r="AN5122" s="79"/>
      <c r="AO5122" s="79"/>
      <c r="AP5122" s="79"/>
      <c r="AQ5122" s="79"/>
      <c r="AR5122" s="78"/>
      <c r="AS5122" s="78"/>
      <c r="AT5122" s="79"/>
      <c r="AU5122" s="79"/>
      <c r="AV5122" s="79"/>
      <c r="AW5122" s="79"/>
      <c r="AX5122" s="79"/>
      <c r="AZ5122" s="81"/>
      <c r="BB5122" s="5"/>
      <c r="BC5122" s="5"/>
      <c r="BD5122" s="5"/>
      <c r="BE5122" s="5"/>
      <c r="BF5122" s="5"/>
      <c r="BG5122" s="5"/>
      <c r="BH5122" s="5"/>
      <c r="BI5122" s="5"/>
      <c r="BJ5122" s="5"/>
      <c r="BK5122" s="5"/>
      <c r="BL5122" s="5"/>
      <c r="BM5122" s="5"/>
      <c r="BN5122" s="5"/>
      <c r="BO5122" s="5"/>
      <c r="BP5122" s="5"/>
    </row>
    <row r="5123" spans="35:68" x14ac:dyDescent="0.25">
      <c r="AI5123" s="49"/>
      <c r="AJ5123" s="78"/>
      <c r="AK5123" s="79"/>
      <c r="AL5123" s="79"/>
      <c r="AM5123" s="79"/>
      <c r="AN5123" s="79"/>
      <c r="AO5123" s="79"/>
      <c r="AP5123" s="79"/>
      <c r="AQ5123" s="79"/>
      <c r="AR5123" s="78"/>
      <c r="AS5123" s="78"/>
      <c r="AT5123" s="79"/>
      <c r="AU5123" s="79"/>
      <c r="AV5123" s="79"/>
      <c r="AW5123" s="79"/>
      <c r="AX5123" s="79"/>
      <c r="AZ5123" s="81"/>
      <c r="BB5123" s="5"/>
      <c r="BC5123" s="5"/>
      <c r="BD5123" s="5"/>
      <c r="BE5123" s="5"/>
      <c r="BF5123" s="5"/>
      <c r="BG5123" s="5"/>
      <c r="BH5123" s="5"/>
      <c r="BI5123" s="5"/>
      <c r="BJ5123" s="5"/>
      <c r="BK5123" s="5"/>
      <c r="BL5123" s="5"/>
      <c r="BM5123" s="5"/>
      <c r="BN5123" s="5"/>
      <c r="BO5123" s="5"/>
      <c r="BP5123" s="5"/>
    </row>
    <row r="5124" spans="35:68" x14ac:dyDescent="0.25">
      <c r="AI5124" s="49"/>
      <c r="AJ5124" s="78"/>
      <c r="AK5124" s="79"/>
      <c r="AL5124" s="79"/>
      <c r="AM5124" s="79"/>
      <c r="AN5124" s="79"/>
      <c r="AO5124" s="79"/>
      <c r="AP5124" s="79"/>
      <c r="AQ5124" s="79"/>
      <c r="AR5124" s="78"/>
      <c r="AS5124" s="78"/>
      <c r="AT5124" s="79"/>
      <c r="AU5124" s="79"/>
      <c r="AV5124" s="79"/>
      <c r="AW5124" s="79"/>
      <c r="AX5124" s="79"/>
      <c r="AZ5124" s="81"/>
      <c r="BB5124" s="5"/>
      <c r="BC5124" s="5"/>
      <c r="BD5124" s="5"/>
      <c r="BE5124" s="5"/>
      <c r="BF5124" s="5"/>
      <c r="BG5124" s="5"/>
      <c r="BH5124" s="5"/>
      <c r="BI5124" s="5"/>
      <c r="BJ5124" s="5"/>
      <c r="BK5124" s="5"/>
      <c r="BL5124" s="5"/>
      <c r="BM5124" s="5"/>
      <c r="BN5124" s="5"/>
      <c r="BO5124" s="5"/>
      <c r="BP5124" s="5"/>
    </row>
    <row r="5125" spans="35:68" x14ac:dyDescent="0.25">
      <c r="AI5125" s="49"/>
      <c r="AJ5125" s="78"/>
      <c r="AK5125" s="79"/>
      <c r="AL5125" s="79"/>
      <c r="AM5125" s="79"/>
      <c r="AN5125" s="79"/>
      <c r="AO5125" s="79"/>
      <c r="AP5125" s="79"/>
      <c r="AQ5125" s="79"/>
      <c r="AR5125" s="78"/>
      <c r="AS5125" s="78"/>
      <c r="AT5125" s="79"/>
      <c r="AU5125" s="79"/>
      <c r="AV5125" s="79"/>
      <c r="AW5125" s="79"/>
      <c r="AX5125" s="79"/>
      <c r="AZ5125" s="81"/>
      <c r="BB5125" s="5"/>
      <c r="BC5125" s="5"/>
      <c r="BD5125" s="5"/>
      <c r="BE5125" s="5"/>
      <c r="BF5125" s="5"/>
      <c r="BG5125" s="5"/>
      <c r="BH5125" s="5"/>
      <c r="BI5125" s="5"/>
      <c r="BJ5125" s="5"/>
      <c r="BK5125" s="5"/>
      <c r="BL5125" s="5"/>
      <c r="BM5125" s="5"/>
      <c r="BN5125" s="5"/>
      <c r="BO5125" s="5"/>
      <c r="BP5125" s="5"/>
    </row>
    <row r="5126" spans="35:68" x14ac:dyDescent="0.25">
      <c r="AI5126" s="49"/>
      <c r="AJ5126" s="78"/>
      <c r="AK5126" s="79"/>
      <c r="AL5126" s="79"/>
      <c r="AM5126" s="79"/>
      <c r="AN5126" s="79"/>
      <c r="AO5126" s="79"/>
      <c r="AP5126" s="79"/>
      <c r="AQ5126" s="79"/>
      <c r="AR5126" s="78"/>
      <c r="AS5126" s="78"/>
      <c r="AT5126" s="79"/>
      <c r="AU5126" s="79"/>
      <c r="AV5126" s="79"/>
      <c r="AW5126" s="79"/>
      <c r="AX5126" s="79"/>
      <c r="AZ5126" s="81"/>
      <c r="BB5126" s="5"/>
      <c r="BC5126" s="5"/>
      <c r="BD5126" s="5"/>
      <c r="BE5126" s="5"/>
      <c r="BF5126" s="5"/>
      <c r="BG5126" s="5"/>
      <c r="BH5126" s="5"/>
      <c r="BI5126" s="5"/>
      <c r="BJ5126" s="5"/>
      <c r="BK5126" s="5"/>
      <c r="BL5126" s="5"/>
      <c r="BM5126" s="5"/>
      <c r="BN5126" s="5"/>
      <c r="BO5126" s="5"/>
      <c r="BP5126" s="5"/>
    </row>
    <row r="5127" spans="35:68" x14ac:dyDescent="0.25">
      <c r="AI5127" s="49"/>
      <c r="AJ5127" s="78"/>
      <c r="AK5127" s="79"/>
      <c r="AL5127" s="79"/>
      <c r="AM5127" s="79"/>
      <c r="AN5127" s="79"/>
      <c r="AO5127" s="79"/>
      <c r="AP5127" s="79"/>
      <c r="AQ5127" s="79"/>
      <c r="AR5127" s="78"/>
      <c r="AS5127" s="78"/>
      <c r="AT5127" s="79"/>
      <c r="AU5127" s="79"/>
      <c r="AV5127" s="79"/>
      <c r="AW5127" s="79"/>
      <c r="AX5127" s="79"/>
      <c r="AZ5127" s="81"/>
      <c r="BB5127" s="5"/>
      <c r="BC5127" s="5"/>
      <c r="BD5127" s="5"/>
      <c r="BE5127" s="5"/>
      <c r="BF5127" s="5"/>
      <c r="BG5127" s="5"/>
      <c r="BH5127" s="5"/>
      <c r="BI5127" s="5"/>
      <c r="BJ5127" s="5"/>
      <c r="BK5127" s="5"/>
      <c r="BL5127" s="5"/>
      <c r="BM5127" s="5"/>
      <c r="BN5127" s="5"/>
      <c r="BO5127" s="5"/>
      <c r="BP5127" s="5"/>
    </row>
    <row r="5128" spans="35:68" x14ac:dyDescent="0.25">
      <c r="AI5128" s="49"/>
      <c r="AJ5128" s="78"/>
      <c r="AK5128" s="79"/>
      <c r="AL5128" s="79"/>
      <c r="AM5128" s="79"/>
      <c r="AN5128" s="79"/>
      <c r="AO5128" s="79"/>
      <c r="AP5128" s="79"/>
      <c r="AQ5128" s="79"/>
      <c r="AR5128" s="78"/>
      <c r="AS5128" s="78"/>
      <c r="AT5128" s="79"/>
      <c r="AU5128" s="79"/>
      <c r="AV5128" s="79"/>
      <c r="AW5128" s="79"/>
      <c r="AX5128" s="79"/>
      <c r="AZ5128" s="81"/>
      <c r="BB5128" s="5"/>
      <c r="BC5128" s="5"/>
      <c r="BD5128" s="5"/>
      <c r="BE5128" s="5"/>
      <c r="BF5128" s="5"/>
      <c r="BG5128" s="5"/>
      <c r="BH5128" s="5"/>
      <c r="BI5128" s="5"/>
      <c r="BJ5128" s="5"/>
      <c r="BK5128" s="5"/>
      <c r="BL5128" s="5"/>
      <c r="BM5128" s="5"/>
      <c r="BN5128" s="5"/>
      <c r="BO5128" s="5"/>
      <c r="BP5128" s="5"/>
    </row>
    <row r="5129" spans="35:68" x14ac:dyDescent="0.25">
      <c r="AI5129" s="49"/>
      <c r="AJ5129" s="78"/>
      <c r="AK5129" s="79"/>
      <c r="AL5129" s="79"/>
      <c r="AM5129" s="79"/>
      <c r="AN5129" s="79"/>
      <c r="AO5129" s="79"/>
      <c r="AP5129" s="79"/>
      <c r="AQ5129" s="79"/>
      <c r="AR5129" s="78"/>
      <c r="AS5129" s="78"/>
      <c r="AT5129" s="79"/>
      <c r="AU5129" s="79"/>
      <c r="AV5129" s="79"/>
      <c r="AW5129" s="79"/>
      <c r="AX5129" s="79"/>
      <c r="AZ5129" s="81"/>
      <c r="BB5129" s="5"/>
      <c r="BC5129" s="5"/>
      <c r="BD5129" s="5"/>
      <c r="BE5129" s="5"/>
      <c r="BF5129" s="5"/>
      <c r="BG5129" s="5"/>
      <c r="BH5129" s="5"/>
      <c r="BI5129" s="5"/>
      <c r="BJ5129" s="5"/>
      <c r="BK5129" s="5"/>
      <c r="BL5129" s="5"/>
      <c r="BM5129" s="5"/>
      <c r="BN5129" s="5"/>
      <c r="BO5129" s="5"/>
      <c r="BP5129" s="5"/>
    </row>
    <row r="5130" spans="35:68" x14ac:dyDescent="0.25">
      <c r="AI5130" s="49"/>
      <c r="AJ5130" s="78"/>
      <c r="AK5130" s="79"/>
      <c r="AL5130" s="79"/>
      <c r="AM5130" s="79"/>
      <c r="AN5130" s="79"/>
      <c r="AO5130" s="79"/>
      <c r="AP5130" s="79"/>
      <c r="AQ5130" s="79"/>
      <c r="AR5130" s="78"/>
      <c r="AS5130" s="78"/>
      <c r="AT5130" s="79"/>
      <c r="AU5130" s="79"/>
      <c r="AV5130" s="79"/>
      <c r="AW5130" s="79"/>
      <c r="AX5130" s="79"/>
      <c r="AZ5130" s="81"/>
      <c r="BB5130" s="5"/>
      <c r="BC5130" s="5"/>
      <c r="BD5130" s="5"/>
      <c r="BE5130" s="5"/>
      <c r="BF5130" s="5"/>
      <c r="BG5130" s="5"/>
      <c r="BH5130" s="5"/>
      <c r="BI5130" s="5"/>
      <c r="BJ5130" s="5"/>
      <c r="BK5130" s="5"/>
      <c r="BL5130" s="5"/>
      <c r="BM5130" s="5"/>
      <c r="BN5130" s="5"/>
      <c r="BO5130" s="5"/>
      <c r="BP5130" s="5"/>
    </row>
    <row r="5131" spans="35:68" x14ac:dyDescent="0.25">
      <c r="AI5131" s="49"/>
      <c r="AJ5131" s="78"/>
      <c r="AK5131" s="79"/>
      <c r="AL5131" s="79"/>
      <c r="AM5131" s="79"/>
      <c r="AN5131" s="79"/>
      <c r="AO5131" s="79"/>
      <c r="AP5131" s="79"/>
      <c r="AQ5131" s="79"/>
      <c r="AR5131" s="78"/>
      <c r="AS5131" s="78"/>
      <c r="AT5131" s="79"/>
      <c r="AU5131" s="79"/>
      <c r="AV5131" s="79"/>
      <c r="AW5131" s="79"/>
      <c r="AX5131" s="79"/>
      <c r="AZ5131" s="81"/>
      <c r="BB5131" s="5"/>
      <c r="BC5131" s="5"/>
      <c r="BD5131" s="5"/>
      <c r="BE5131" s="5"/>
      <c r="BF5131" s="5"/>
      <c r="BG5131" s="5"/>
      <c r="BH5131" s="5"/>
      <c r="BI5131" s="5"/>
      <c r="BJ5131" s="5"/>
      <c r="BK5131" s="5"/>
      <c r="BL5131" s="5"/>
      <c r="BM5131" s="5"/>
      <c r="BN5131" s="5"/>
      <c r="BO5131" s="5"/>
      <c r="BP5131" s="5"/>
    </row>
    <row r="5132" spans="35:68" x14ac:dyDescent="0.25">
      <c r="AI5132" s="49"/>
      <c r="AJ5132" s="78"/>
      <c r="AK5132" s="79"/>
      <c r="AL5132" s="79"/>
      <c r="AM5132" s="79"/>
      <c r="AN5132" s="79"/>
      <c r="AO5132" s="79"/>
      <c r="AP5132" s="79"/>
      <c r="AQ5132" s="79"/>
      <c r="AR5132" s="78"/>
      <c r="AS5132" s="78"/>
      <c r="AT5132" s="79"/>
      <c r="AU5132" s="79"/>
      <c r="AV5132" s="79"/>
      <c r="AW5132" s="79"/>
      <c r="AX5132" s="79"/>
      <c r="AZ5132" s="81"/>
      <c r="BB5132" s="5"/>
      <c r="BC5132" s="5"/>
      <c r="BD5132" s="5"/>
      <c r="BE5132" s="5"/>
      <c r="BF5132" s="5"/>
      <c r="BG5132" s="5"/>
      <c r="BH5132" s="5"/>
      <c r="BI5132" s="5"/>
      <c r="BJ5132" s="5"/>
      <c r="BK5132" s="5"/>
      <c r="BL5132" s="5"/>
      <c r="BM5132" s="5"/>
      <c r="BN5132" s="5"/>
      <c r="BO5132" s="5"/>
      <c r="BP5132" s="5"/>
    </row>
    <row r="5133" spans="35:68" x14ac:dyDescent="0.25">
      <c r="AI5133" s="49"/>
      <c r="AJ5133" s="78"/>
      <c r="AK5133" s="79"/>
      <c r="AL5133" s="79"/>
      <c r="AM5133" s="79"/>
      <c r="AN5133" s="79"/>
      <c r="AO5133" s="79"/>
      <c r="AP5133" s="79"/>
      <c r="AQ5133" s="79"/>
      <c r="AR5133" s="78"/>
      <c r="AS5133" s="78"/>
      <c r="AT5133" s="79"/>
      <c r="AU5133" s="79"/>
      <c r="AV5133" s="79"/>
      <c r="AW5133" s="79"/>
      <c r="AX5133" s="79"/>
      <c r="AZ5133" s="81"/>
      <c r="BB5133" s="5"/>
      <c r="BC5133" s="5"/>
      <c r="BD5133" s="5"/>
      <c r="BE5133" s="5"/>
      <c r="BF5133" s="5"/>
      <c r="BG5133" s="5"/>
      <c r="BH5133" s="5"/>
      <c r="BI5133" s="5"/>
      <c r="BJ5133" s="5"/>
      <c r="BK5133" s="5"/>
      <c r="BL5133" s="5"/>
      <c r="BM5133" s="5"/>
      <c r="BN5133" s="5"/>
      <c r="BO5133" s="5"/>
      <c r="BP5133" s="5"/>
    </row>
    <row r="5134" spans="35:68" x14ac:dyDescent="0.25">
      <c r="AI5134" s="49"/>
      <c r="AJ5134" s="78"/>
      <c r="AK5134" s="79"/>
      <c r="AL5134" s="79"/>
      <c r="AM5134" s="79"/>
      <c r="AN5134" s="79"/>
      <c r="AO5134" s="79"/>
      <c r="AP5134" s="79"/>
      <c r="AQ5134" s="79"/>
      <c r="AR5134" s="78"/>
      <c r="AS5134" s="78"/>
      <c r="AT5134" s="79"/>
      <c r="AU5134" s="79"/>
      <c r="AV5134" s="79"/>
      <c r="AW5134" s="79"/>
      <c r="AX5134" s="79"/>
      <c r="AZ5134" s="81"/>
      <c r="BB5134" s="5"/>
      <c r="BC5134" s="5"/>
      <c r="BD5134" s="5"/>
      <c r="BE5134" s="5"/>
      <c r="BF5134" s="5"/>
      <c r="BG5134" s="5"/>
      <c r="BH5134" s="5"/>
      <c r="BI5134" s="5"/>
      <c r="BJ5134" s="5"/>
      <c r="BK5134" s="5"/>
      <c r="BL5134" s="5"/>
      <c r="BM5134" s="5"/>
      <c r="BN5134" s="5"/>
      <c r="BO5134" s="5"/>
      <c r="BP5134" s="5"/>
    </row>
    <row r="5135" spans="35:68" x14ac:dyDescent="0.25">
      <c r="AI5135" s="49"/>
      <c r="AJ5135" s="78"/>
      <c r="AK5135" s="79"/>
      <c r="AL5135" s="79"/>
      <c r="AM5135" s="79"/>
      <c r="AN5135" s="79"/>
      <c r="AO5135" s="79"/>
      <c r="AP5135" s="79"/>
      <c r="AQ5135" s="79"/>
      <c r="AR5135" s="78"/>
      <c r="AS5135" s="78"/>
      <c r="AT5135" s="79"/>
      <c r="AU5135" s="79"/>
      <c r="AV5135" s="79"/>
      <c r="AW5135" s="79"/>
      <c r="AX5135" s="79"/>
      <c r="AZ5135" s="81"/>
      <c r="BB5135" s="5"/>
      <c r="BC5135" s="5"/>
      <c r="BD5135" s="5"/>
      <c r="BE5135" s="5"/>
      <c r="BF5135" s="5"/>
      <c r="BG5135" s="5"/>
      <c r="BH5135" s="5"/>
      <c r="BI5135" s="5"/>
      <c r="BJ5135" s="5"/>
      <c r="BK5135" s="5"/>
      <c r="BL5135" s="5"/>
      <c r="BM5135" s="5"/>
      <c r="BN5135" s="5"/>
      <c r="BO5135" s="5"/>
      <c r="BP5135" s="5"/>
    </row>
    <row r="5136" spans="35:68" x14ac:dyDescent="0.25">
      <c r="AI5136" s="49"/>
      <c r="AJ5136" s="78"/>
      <c r="AK5136" s="79"/>
      <c r="AL5136" s="79"/>
      <c r="AM5136" s="79"/>
      <c r="AN5136" s="79"/>
      <c r="AO5136" s="79"/>
      <c r="AP5136" s="79"/>
      <c r="AQ5136" s="79"/>
      <c r="AR5136" s="78"/>
      <c r="AS5136" s="78"/>
      <c r="AT5136" s="79"/>
      <c r="AU5136" s="79"/>
      <c r="AV5136" s="79"/>
      <c r="AW5136" s="79"/>
      <c r="AX5136" s="79"/>
      <c r="AZ5136" s="81"/>
      <c r="BB5136" s="5"/>
      <c r="BC5136" s="5"/>
      <c r="BD5136" s="5"/>
      <c r="BE5136" s="5"/>
      <c r="BF5136" s="5"/>
      <c r="BG5136" s="5"/>
      <c r="BH5136" s="5"/>
      <c r="BI5136" s="5"/>
      <c r="BJ5136" s="5"/>
      <c r="BK5136" s="5"/>
      <c r="BL5136" s="5"/>
      <c r="BM5136" s="5"/>
      <c r="BN5136" s="5"/>
      <c r="BO5136" s="5"/>
      <c r="BP5136" s="5"/>
    </row>
    <row r="5137" spans="35:68" x14ac:dyDescent="0.25">
      <c r="AI5137" s="49"/>
      <c r="AJ5137" s="78"/>
      <c r="AK5137" s="79"/>
      <c r="AL5137" s="79"/>
      <c r="AM5137" s="79"/>
      <c r="AN5137" s="79"/>
      <c r="AO5137" s="79"/>
      <c r="AP5137" s="79"/>
      <c r="AQ5137" s="79"/>
      <c r="AR5137" s="78"/>
      <c r="AS5137" s="78"/>
      <c r="AT5137" s="79"/>
      <c r="AU5137" s="79"/>
      <c r="AV5137" s="79"/>
      <c r="AW5137" s="79"/>
      <c r="AX5137" s="79"/>
      <c r="AZ5137" s="81"/>
      <c r="BB5137" s="5"/>
      <c r="BC5137" s="5"/>
      <c r="BD5137" s="5"/>
      <c r="BE5137" s="5"/>
      <c r="BF5137" s="5"/>
      <c r="BG5137" s="5"/>
      <c r="BH5137" s="5"/>
      <c r="BI5137" s="5"/>
      <c r="BJ5137" s="5"/>
      <c r="BK5137" s="5"/>
      <c r="BL5137" s="5"/>
      <c r="BM5137" s="5"/>
      <c r="BN5137" s="5"/>
      <c r="BO5137" s="5"/>
      <c r="BP5137" s="5"/>
    </row>
    <row r="5138" spans="35:68" x14ac:dyDescent="0.25">
      <c r="AI5138" s="49"/>
      <c r="AJ5138" s="78"/>
      <c r="AK5138" s="79"/>
      <c r="AL5138" s="79"/>
      <c r="AM5138" s="79"/>
      <c r="AN5138" s="79"/>
      <c r="AO5138" s="79"/>
      <c r="AP5138" s="79"/>
      <c r="AQ5138" s="79"/>
      <c r="AR5138" s="78"/>
      <c r="AS5138" s="78"/>
      <c r="AT5138" s="79"/>
      <c r="AU5138" s="79"/>
      <c r="AV5138" s="79"/>
      <c r="AW5138" s="79"/>
      <c r="AX5138" s="79"/>
      <c r="AZ5138" s="81"/>
      <c r="BB5138" s="5"/>
      <c r="BC5138" s="5"/>
      <c r="BD5138" s="5"/>
      <c r="BE5138" s="5"/>
      <c r="BF5138" s="5"/>
      <c r="BG5138" s="5"/>
      <c r="BH5138" s="5"/>
      <c r="BI5138" s="5"/>
      <c r="BJ5138" s="5"/>
      <c r="BK5138" s="5"/>
      <c r="BL5138" s="5"/>
      <c r="BM5138" s="5"/>
      <c r="BN5138" s="5"/>
      <c r="BO5138" s="5"/>
      <c r="BP5138" s="5"/>
    </row>
    <row r="5139" spans="35:68" x14ac:dyDescent="0.25">
      <c r="AI5139" s="49"/>
      <c r="AJ5139" s="78"/>
      <c r="AK5139" s="79"/>
      <c r="AL5139" s="79"/>
      <c r="AM5139" s="79"/>
      <c r="AN5139" s="79"/>
      <c r="AO5139" s="79"/>
      <c r="AP5139" s="79"/>
      <c r="AQ5139" s="79"/>
      <c r="AR5139" s="78"/>
      <c r="AS5139" s="78"/>
      <c r="AT5139" s="79"/>
      <c r="AU5139" s="79"/>
      <c r="AV5139" s="79"/>
      <c r="AW5139" s="79"/>
      <c r="AX5139" s="79"/>
      <c r="AZ5139" s="81"/>
      <c r="BB5139" s="5"/>
      <c r="BC5139" s="5"/>
      <c r="BD5139" s="5"/>
      <c r="BE5139" s="5"/>
      <c r="BF5139" s="5"/>
      <c r="BG5139" s="5"/>
      <c r="BH5139" s="5"/>
      <c r="BI5139" s="5"/>
      <c r="BJ5139" s="5"/>
      <c r="BK5139" s="5"/>
      <c r="BL5139" s="5"/>
      <c r="BM5139" s="5"/>
      <c r="BN5139" s="5"/>
      <c r="BO5139" s="5"/>
      <c r="BP5139" s="5"/>
    </row>
    <row r="5140" spans="35:68" x14ac:dyDescent="0.25">
      <c r="AI5140" s="49"/>
      <c r="AJ5140" s="78"/>
      <c r="AK5140" s="79"/>
      <c r="AL5140" s="79"/>
      <c r="AM5140" s="79"/>
      <c r="AN5140" s="79"/>
      <c r="AO5140" s="79"/>
      <c r="AP5140" s="79"/>
      <c r="AQ5140" s="79"/>
      <c r="AR5140" s="78"/>
      <c r="AS5140" s="78"/>
      <c r="AT5140" s="79"/>
      <c r="AU5140" s="79"/>
      <c r="AV5140" s="79"/>
      <c r="AW5140" s="79"/>
      <c r="AX5140" s="79"/>
      <c r="AZ5140" s="81"/>
      <c r="BB5140" s="5"/>
      <c r="BC5140" s="5"/>
      <c r="BD5140" s="5"/>
      <c r="BE5140" s="5"/>
      <c r="BF5140" s="5"/>
      <c r="BG5140" s="5"/>
      <c r="BH5140" s="5"/>
      <c r="BI5140" s="5"/>
      <c r="BJ5140" s="5"/>
      <c r="BK5140" s="5"/>
      <c r="BL5140" s="5"/>
      <c r="BM5140" s="5"/>
      <c r="BN5140" s="5"/>
      <c r="BO5140" s="5"/>
      <c r="BP5140" s="5"/>
    </row>
    <row r="5141" spans="35:68" x14ac:dyDescent="0.25">
      <c r="AI5141" s="49"/>
      <c r="AJ5141" s="78"/>
      <c r="AK5141" s="79"/>
      <c r="AL5141" s="79"/>
      <c r="AM5141" s="79"/>
      <c r="AN5141" s="79"/>
      <c r="AO5141" s="79"/>
      <c r="AP5141" s="79"/>
      <c r="AQ5141" s="79"/>
      <c r="AR5141" s="78"/>
      <c r="AS5141" s="78"/>
      <c r="AT5141" s="79"/>
      <c r="AU5141" s="79"/>
      <c r="AV5141" s="79"/>
      <c r="AW5141" s="79"/>
      <c r="AX5141" s="79"/>
      <c r="AZ5141" s="81"/>
      <c r="BB5141" s="5"/>
      <c r="BC5141" s="5"/>
      <c r="BD5141" s="5"/>
      <c r="BE5141" s="5"/>
      <c r="BF5141" s="5"/>
      <c r="BG5141" s="5"/>
      <c r="BH5141" s="5"/>
      <c r="BI5141" s="5"/>
      <c r="BJ5141" s="5"/>
      <c r="BK5141" s="5"/>
      <c r="BL5141" s="5"/>
      <c r="BM5141" s="5"/>
      <c r="BN5141" s="5"/>
      <c r="BO5141" s="5"/>
      <c r="BP5141" s="5"/>
    </row>
    <row r="5142" spans="35:68" x14ac:dyDescent="0.25">
      <c r="AI5142" s="49"/>
      <c r="AJ5142" s="78"/>
      <c r="AK5142" s="79"/>
      <c r="AL5142" s="79"/>
      <c r="AM5142" s="79"/>
      <c r="AN5142" s="79"/>
      <c r="AO5142" s="79"/>
      <c r="AP5142" s="79"/>
      <c r="AQ5142" s="79"/>
      <c r="AR5142" s="78"/>
      <c r="AS5142" s="78"/>
      <c r="AT5142" s="79"/>
      <c r="AU5142" s="79"/>
      <c r="AV5142" s="79"/>
      <c r="AW5142" s="79"/>
      <c r="AX5142" s="79"/>
      <c r="AZ5142" s="81"/>
      <c r="BB5142" s="5"/>
      <c r="BC5142" s="5"/>
      <c r="BD5142" s="5"/>
      <c r="BE5142" s="5"/>
      <c r="BF5142" s="5"/>
      <c r="BG5142" s="5"/>
      <c r="BH5142" s="5"/>
      <c r="BI5142" s="5"/>
      <c r="BJ5142" s="5"/>
      <c r="BK5142" s="5"/>
      <c r="BL5142" s="5"/>
      <c r="BM5142" s="5"/>
      <c r="BN5142" s="5"/>
      <c r="BO5142" s="5"/>
      <c r="BP5142" s="5"/>
    </row>
    <row r="5143" spans="35:68" x14ac:dyDescent="0.25">
      <c r="AI5143" s="49"/>
      <c r="AJ5143" s="78"/>
      <c r="AK5143" s="79"/>
      <c r="AL5143" s="79"/>
      <c r="AM5143" s="79"/>
      <c r="AN5143" s="79"/>
      <c r="AO5143" s="79"/>
      <c r="AP5143" s="79"/>
      <c r="AQ5143" s="79"/>
      <c r="AR5143" s="78"/>
      <c r="AS5143" s="78"/>
      <c r="AT5143" s="79"/>
      <c r="AU5143" s="79"/>
      <c r="AV5143" s="79"/>
      <c r="AW5143" s="79"/>
      <c r="AX5143" s="79"/>
      <c r="AZ5143" s="81"/>
      <c r="BB5143" s="5"/>
      <c r="BC5143" s="5"/>
      <c r="BD5143" s="5"/>
      <c r="BE5143" s="5"/>
      <c r="BF5143" s="5"/>
      <c r="BG5143" s="5"/>
      <c r="BH5143" s="5"/>
      <c r="BI5143" s="5"/>
      <c r="BJ5143" s="5"/>
      <c r="BK5143" s="5"/>
      <c r="BL5143" s="5"/>
      <c r="BM5143" s="5"/>
      <c r="BN5143" s="5"/>
      <c r="BO5143" s="5"/>
      <c r="BP5143" s="5"/>
    </row>
    <row r="5144" spans="35:68" x14ac:dyDescent="0.25">
      <c r="AI5144" s="49"/>
      <c r="AJ5144" s="78"/>
      <c r="AK5144" s="79"/>
      <c r="AL5144" s="79"/>
      <c r="AM5144" s="79"/>
      <c r="AN5144" s="79"/>
      <c r="AO5144" s="79"/>
      <c r="AP5144" s="79"/>
      <c r="AQ5144" s="79"/>
      <c r="AR5144" s="78"/>
      <c r="AS5144" s="78"/>
      <c r="AT5144" s="79"/>
      <c r="AU5144" s="79"/>
      <c r="AV5144" s="79"/>
      <c r="AW5144" s="79"/>
      <c r="AX5144" s="79"/>
      <c r="AZ5144" s="81"/>
      <c r="BB5144" s="5"/>
      <c r="BC5144" s="5"/>
      <c r="BD5144" s="5"/>
      <c r="BE5144" s="5"/>
      <c r="BF5144" s="5"/>
      <c r="BG5144" s="5"/>
      <c r="BH5144" s="5"/>
      <c r="BI5144" s="5"/>
      <c r="BJ5144" s="5"/>
      <c r="BK5144" s="5"/>
      <c r="BL5144" s="5"/>
      <c r="BM5144" s="5"/>
      <c r="BN5144" s="5"/>
      <c r="BO5144" s="5"/>
      <c r="BP5144" s="5"/>
    </row>
    <row r="5145" spans="35:68" x14ac:dyDescent="0.25">
      <c r="AI5145" s="49"/>
      <c r="AJ5145" s="78"/>
      <c r="AK5145" s="79"/>
      <c r="AL5145" s="79"/>
      <c r="AM5145" s="79"/>
      <c r="AN5145" s="79"/>
      <c r="AO5145" s="79"/>
      <c r="AP5145" s="79"/>
      <c r="AQ5145" s="79"/>
      <c r="AR5145" s="78"/>
      <c r="AS5145" s="78"/>
      <c r="AT5145" s="79"/>
      <c r="AU5145" s="79"/>
      <c r="AV5145" s="79"/>
      <c r="AW5145" s="79"/>
      <c r="AX5145" s="79"/>
      <c r="AZ5145" s="81"/>
      <c r="BB5145" s="5"/>
      <c r="BC5145" s="5"/>
      <c r="BD5145" s="5"/>
      <c r="BE5145" s="5"/>
      <c r="BF5145" s="5"/>
      <c r="BG5145" s="5"/>
      <c r="BH5145" s="5"/>
      <c r="BI5145" s="5"/>
      <c r="BJ5145" s="5"/>
      <c r="BK5145" s="5"/>
      <c r="BL5145" s="5"/>
      <c r="BM5145" s="5"/>
      <c r="BN5145" s="5"/>
      <c r="BO5145" s="5"/>
      <c r="BP5145" s="5"/>
    </row>
    <row r="5146" spans="35:68" x14ac:dyDescent="0.25">
      <c r="AI5146" s="49"/>
      <c r="AJ5146" s="78"/>
      <c r="AK5146" s="79"/>
      <c r="AL5146" s="79"/>
      <c r="AM5146" s="79"/>
      <c r="AN5146" s="79"/>
      <c r="AO5146" s="79"/>
      <c r="AP5146" s="79"/>
      <c r="AQ5146" s="79"/>
      <c r="AR5146" s="78"/>
      <c r="AS5146" s="78"/>
      <c r="AT5146" s="79"/>
      <c r="AU5146" s="79"/>
      <c r="AV5146" s="79"/>
      <c r="AW5146" s="79"/>
      <c r="AX5146" s="79"/>
      <c r="AZ5146" s="81"/>
      <c r="BB5146" s="5"/>
      <c r="BC5146" s="5"/>
      <c r="BD5146" s="5"/>
      <c r="BE5146" s="5"/>
      <c r="BF5146" s="5"/>
      <c r="BG5146" s="5"/>
      <c r="BH5146" s="5"/>
      <c r="BI5146" s="5"/>
      <c r="BJ5146" s="5"/>
      <c r="BK5146" s="5"/>
      <c r="BL5146" s="5"/>
      <c r="BM5146" s="5"/>
      <c r="BN5146" s="5"/>
      <c r="BO5146" s="5"/>
      <c r="BP5146" s="5"/>
    </row>
    <row r="5147" spans="35:68" x14ac:dyDescent="0.25">
      <c r="AI5147" s="49"/>
      <c r="AJ5147" s="78"/>
      <c r="AK5147" s="79"/>
      <c r="AL5147" s="79"/>
      <c r="AM5147" s="79"/>
      <c r="AN5147" s="79"/>
      <c r="AO5147" s="79"/>
      <c r="AP5147" s="79"/>
      <c r="AQ5147" s="79"/>
      <c r="AR5147" s="78"/>
      <c r="AS5147" s="78"/>
      <c r="AT5147" s="79"/>
      <c r="AU5147" s="79"/>
      <c r="AV5147" s="79"/>
      <c r="AW5147" s="79"/>
      <c r="AX5147" s="79"/>
      <c r="AZ5147" s="81"/>
      <c r="BB5147" s="5"/>
      <c r="BC5147" s="5"/>
      <c r="BD5147" s="5"/>
      <c r="BE5147" s="5"/>
      <c r="BF5147" s="5"/>
      <c r="BG5147" s="5"/>
      <c r="BH5147" s="5"/>
      <c r="BI5147" s="5"/>
      <c r="BJ5147" s="5"/>
      <c r="BK5147" s="5"/>
      <c r="BL5147" s="5"/>
      <c r="BM5147" s="5"/>
      <c r="BN5147" s="5"/>
      <c r="BO5147" s="5"/>
      <c r="BP5147" s="5"/>
    </row>
    <row r="5148" spans="35:68" x14ac:dyDescent="0.25">
      <c r="AI5148" s="49"/>
      <c r="AJ5148" s="78"/>
      <c r="AK5148" s="79"/>
      <c r="AL5148" s="79"/>
      <c r="AM5148" s="79"/>
      <c r="AN5148" s="79"/>
      <c r="AO5148" s="79"/>
      <c r="AP5148" s="79"/>
      <c r="AQ5148" s="79"/>
      <c r="AR5148" s="78"/>
      <c r="AS5148" s="78"/>
      <c r="AT5148" s="79"/>
      <c r="AU5148" s="79"/>
      <c r="AV5148" s="79"/>
      <c r="AW5148" s="79"/>
      <c r="AX5148" s="79"/>
      <c r="AZ5148" s="81"/>
      <c r="BB5148" s="5"/>
      <c r="BC5148" s="5"/>
      <c r="BD5148" s="5"/>
      <c r="BE5148" s="5"/>
      <c r="BF5148" s="5"/>
      <c r="BG5148" s="5"/>
      <c r="BH5148" s="5"/>
      <c r="BI5148" s="5"/>
      <c r="BJ5148" s="5"/>
      <c r="BK5148" s="5"/>
      <c r="BL5148" s="5"/>
      <c r="BM5148" s="5"/>
      <c r="BN5148" s="5"/>
      <c r="BO5148" s="5"/>
      <c r="BP5148" s="5"/>
    </row>
    <row r="5149" spans="35:68" x14ac:dyDescent="0.25">
      <c r="AI5149" s="49"/>
      <c r="AJ5149" s="78"/>
      <c r="AK5149" s="79"/>
      <c r="AL5149" s="79"/>
      <c r="AM5149" s="79"/>
      <c r="AN5149" s="79"/>
      <c r="AO5149" s="79"/>
      <c r="AP5149" s="79"/>
      <c r="AQ5149" s="79"/>
      <c r="AR5149" s="78"/>
      <c r="AS5149" s="78"/>
      <c r="AT5149" s="79"/>
      <c r="AU5149" s="79"/>
      <c r="AV5149" s="79"/>
      <c r="AW5149" s="79"/>
      <c r="AX5149" s="79"/>
      <c r="AZ5149" s="81"/>
      <c r="BB5149" s="5"/>
      <c r="BC5149" s="5"/>
      <c r="BD5149" s="5"/>
      <c r="BE5149" s="5"/>
      <c r="BF5149" s="5"/>
      <c r="BG5149" s="5"/>
      <c r="BH5149" s="5"/>
      <c r="BI5149" s="5"/>
      <c r="BJ5149" s="5"/>
      <c r="BK5149" s="5"/>
      <c r="BL5149" s="5"/>
      <c r="BM5149" s="5"/>
      <c r="BN5149" s="5"/>
      <c r="BO5149" s="5"/>
      <c r="BP5149" s="5"/>
    </row>
    <row r="5150" spans="35:68" x14ac:dyDescent="0.25">
      <c r="AI5150" s="49"/>
      <c r="AJ5150" s="78"/>
      <c r="AK5150" s="79"/>
      <c r="AL5150" s="79"/>
      <c r="AM5150" s="79"/>
      <c r="AN5150" s="79"/>
      <c r="AO5150" s="79"/>
      <c r="AP5150" s="79"/>
      <c r="AQ5150" s="79"/>
      <c r="AR5150" s="78"/>
      <c r="AS5150" s="78"/>
      <c r="AT5150" s="79"/>
      <c r="AU5150" s="79"/>
      <c r="AV5150" s="79"/>
      <c r="AW5150" s="79"/>
      <c r="AX5150" s="79"/>
      <c r="AZ5150" s="81"/>
      <c r="BB5150" s="5"/>
      <c r="BC5150" s="5"/>
      <c r="BD5150" s="5"/>
      <c r="BE5150" s="5"/>
      <c r="BF5150" s="5"/>
      <c r="BG5150" s="5"/>
      <c r="BH5150" s="5"/>
      <c r="BI5150" s="5"/>
      <c r="BJ5150" s="5"/>
      <c r="BK5150" s="5"/>
      <c r="BL5150" s="5"/>
      <c r="BM5150" s="5"/>
      <c r="BN5150" s="5"/>
      <c r="BO5150" s="5"/>
      <c r="BP5150" s="5"/>
    </row>
    <row r="5151" spans="35:68" x14ac:dyDescent="0.25">
      <c r="AI5151" s="49"/>
      <c r="AJ5151" s="78"/>
      <c r="AK5151" s="79"/>
      <c r="AL5151" s="79"/>
      <c r="AM5151" s="79"/>
      <c r="AN5151" s="79"/>
      <c r="AO5151" s="79"/>
      <c r="AP5151" s="79"/>
      <c r="AQ5151" s="79"/>
      <c r="AR5151" s="78"/>
      <c r="AS5151" s="78"/>
      <c r="AT5151" s="79"/>
      <c r="AU5151" s="79"/>
      <c r="AV5151" s="79"/>
      <c r="AW5151" s="79"/>
      <c r="AX5151" s="79"/>
      <c r="AZ5151" s="81"/>
      <c r="BB5151" s="5"/>
      <c r="BC5151" s="5"/>
      <c r="BD5151" s="5"/>
      <c r="BE5151" s="5"/>
      <c r="BF5151" s="5"/>
      <c r="BG5151" s="5"/>
      <c r="BH5151" s="5"/>
      <c r="BI5151" s="5"/>
      <c r="BJ5151" s="5"/>
      <c r="BK5151" s="5"/>
      <c r="BL5151" s="5"/>
      <c r="BM5151" s="5"/>
      <c r="BN5151" s="5"/>
      <c r="BO5151" s="5"/>
      <c r="BP5151" s="5"/>
    </row>
    <row r="5152" spans="35:68" x14ac:dyDescent="0.25">
      <c r="AI5152" s="49"/>
      <c r="AJ5152" s="78"/>
      <c r="AK5152" s="79"/>
      <c r="AL5152" s="79"/>
      <c r="AM5152" s="79"/>
      <c r="AN5152" s="79"/>
      <c r="AO5152" s="79"/>
      <c r="AP5152" s="79"/>
      <c r="AQ5152" s="79"/>
      <c r="AR5152" s="78"/>
      <c r="AS5152" s="78"/>
      <c r="AT5152" s="79"/>
      <c r="AU5152" s="79"/>
      <c r="AV5152" s="79"/>
      <c r="AW5152" s="79"/>
      <c r="AX5152" s="79"/>
      <c r="AZ5152" s="81"/>
      <c r="BB5152" s="5"/>
      <c r="BC5152" s="5"/>
      <c r="BD5152" s="5"/>
      <c r="BE5152" s="5"/>
      <c r="BF5152" s="5"/>
      <c r="BG5152" s="5"/>
      <c r="BH5152" s="5"/>
      <c r="BI5152" s="5"/>
      <c r="BJ5152" s="5"/>
      <c r="BK5152" s="5"/>
      <c r="BL5152" s="5"/>
      <c r="BM5152" s="5"/>
      <c r="BN5152" s="5"/>
      <c r="BO5152" s="5"/>
      <c r="BP5152" s="5"/>
    </row>
    <row r="5153" spans="35:68" x14ac:dyDescent="0.25">
      <c r="AI5153" s="49"/>
      <c r="AJ5153" s="78"/>
      <c r="AK5153" s="79"/>
      <c r="AL5153" s="79"/>
      <c r="AM5153" s="79"/>
      <c r="AN5153" s="79"/>
      <c r="AO5153" s="79"/>
      <c r="AP5153" s="79"/>
      <c r="AQ5153" s="79"/>
      <c r="AR5153" s="78"/>
      <c r="AS5153" s="78"/>
      <c r="AT5153" s="79"/>
      <c r="AU5153" s="79"/>
      <c r="AV5153" s="79"/>
      <c r="AW5153" s="79"/>
      <c r="AX5153" s="79"/>
      <c r="AZ5153" s="81"/>
      <c r="BB5153" s="5"/>
      <c r="BC5153" s="5"/>
      <c r="BD5153" s="5"/>
      <c r="BE5153" s="5"/>
      <c r="BF5153" s="5"/>
      <c r="BG5153" s="5"/>
      <c r="BH5153" s="5"/>
      <c r="BI5153" s="5"/>
      <c r="BJ5153" s="5"/>
      <c r="BK5153" s="5"/>
      <c r="BL5153" s="5"/>
      <c r="BM5153" s="5"/>
      <c r="BN5153" s="5"/>
      <c r="BO5153" s="5"/>
      <c r="BP5153" s="5"/>
    </row>
    <row r="5154" spans="35:68" x14ac:dyDescent="0.25">
      <c r="AI5154" s="49"/>
      <c r="AJ5154" s="78"/>
      <c r="AK5154" s="79"/>
      <c r="AL5154" s="79"/>
      <c r="AM5154" s="79"/>
      <c r="AN5154" s="79"/>
      <c r="AO5154" s="79"/>
      <c r="AP5154" s="79"/>
      <c r="AQ5154" s="79"/>
      <c r="AR5154" s="78"/>
      <c r="AS5154" s="78"/>
      <c r="AT5154" s="79"/>
      <c r="AU5154" s="79"/>
      <c r="AV5154" s="79"/>
      <c r="AW5154" s="79"/>
      <c r="AX5154" s="79"/>
      <c r="AZ5154" s="81"/>
      <c r="BB5154" s="5"/>
      <c r="BC5154" s="5"/>
      <c r="BD5154" s="5"/>
      <c r="BE5154" s="5"/>
      <c r="BF5154" s="5"/>
      <c r="BG5154" s="5"/>
      <c r="BH5154" s="5"/>
      <c r="BI5154" s="5"/>
      <c r="BJ5154" s="5"/>
      <c r="BK5154" s="5"/>
      <c r="BL5154" s="5"/>
      <c r="BM5154" s="5"/>
      <c r="BN5154" s="5"/>
      <c r="BO5154" s="5"/>
      <c r="BP5154" s="5"/>
    </row>
    <row r="5155" spans="35:68" x14ac:dyDescent="0.25">
      <c r="AI5155" s="49"/>
      <c r="AJ5155" s="78"/>
      <c r="AK5155" s="79"/>
      <c r="AL5155" s="79"/>
      <c r="AM5155" s="79"/>
      <c r="AN5155" s="79"/>
      <c r="AO5155" s="79"/>
      <c r="AP5155" s="79"/>
      <c r="AQ5155" s="79"/>
      <c r="AR5155" s="78"/>
      <c r="AS5155" s="78"/>
      <c r="AT5155" s="79"/>
      <c r="AU5155" s="79"/>
      <c r="AV5155" s="79"/>
      <c r="AW5155" s="79"/>
      <c r="AX5155" s="79"/>
      <c r="AZ5155" s="81"/>
      <c r="BB5155" s="5"/>
      <c r="BC5155" s="5"/>
      <c r="BD5155" s="5"/>
      <c r="BE5155" s="5"/>
      <c r="BF5155" s="5"/>
      <c r="BG5155" s="5"/>
      <c r="BH5155" s="5"/>
      <c r="BI5155" s="5"/>
      <c r="BJ5155" s="5"/>
      <c r="BK5155" s="5"/>
      <c r="BL5155" s="5"/>
      <c r="BM5155" s="5"/>
      <c r="BN5155" s="5"/>
      <c r="BO5155" s="5"/>
      <c r="BP5155" s="5"/>
    </row>
    <row r="5156" spans="35:68" x14ac:dyDescent="0.25">
      <c r="AI5156" s="49"/>
      <c r="AJ5156" s="78"/>
      <c r="AK5156" s="79"/>
      <c r="AL5156" s="79"/>
      <c r="AM5156" s="79"/>
      <c r="AN5156" s="79"/>
      <c r="AO5156" s="79"/>
      <c r="AP5156" s="79"/>
      <c r="AQ5156" s="79"/>
      <c r="AR5156" s="78"/>
      <c r="AS5156" s="78"/>
      <c r="AT5156" s="79"/>
      <c r="AU5156" s="79"/>
      <c r="AV5156" s="79"/>
      <c r="AW5156" s="79"/>
      <c r="AX5156" s="79"/>
      <c r="AZ5156" s="81"/>
      <c r="BB5156" s="5"/>
      <c r="BC5156" s="5"/>
      <c r="BD5156" s="5"/>
      <c r="BE5156" s="5"/>
      <c r="BF5156" s="5"/>
      <c r="BG5156" s="5"/>
      <c r="BH5156" s="5"/>
      <c r="BI5156" s="5"/>
      <c r="BJ5156" s="5"/>
      <c r="BK5156" s="5"/>
      <c r="BL5156" s="5"/>
      <c r="BM5156" s="5"/>
      <c r="BN5156" s="5"/>
      <c r="BO5156" s="5"/>
      <c r="BP5156" s="5"/>
    </row>
    <row r="5157" spans="35:68" x14ac:dyDescent="0.25">
      <c r="AI5157" s="49"/>
      <c r="AJ5157" s="78"/>
      <c r="AK5157" s="79"/>
      <c r="AL5157" s="79"/>
      <c r="AM5157" s="79"/>
      <c r="AN5157" s="79"/>
      <c r="AO5157" s="79"/>
      <c r="AP5157" s="79"/>
      <c r="AQ5157" s="79"/>
      <c r="AR5157" s="78"/>
      <c r="AS5157" s="78"/>
      <c r="AT5157" s="79"/>
      <c r="AU5157" s="79"/>
      <c r="AV5157" s="79"/>
      <c r="AW5157" s="79"/>
      <c r="AX5157" s="79"/>
      <c r="AZ5157" s="81"/>
      <c r="BB5157" s="5"/>
      <c r="BC5157" s="5"/>
      <c r="BD5157" s="5"/>
      <c r="BE5157" s="5"/>
      <c r="BF5157" s="5"/>
      <c r="BG5157" s="5"/>
      <c r="BH5157" s="5"/>
      <c r="BI5157" s="5"/>
      <c r="BJ5157" s="5"/>
      <c r="BK5157" s="5"/>
      <c r="BL5157" s="5"/>
      <c r="BM5157" s="5"/>
      <c r="BN5157" s="5"/>
      <c r="BO5157" s="5"/>
      <c r="BP5157" s="5"/>
    </row>
    <row r="5158" spans="35:68" x14ac:dyDescent="0.25">
      <c r="AI5158" s="49"/>
      <c r="AJ5158" s="78"/>
      <c r="AK5158" s="79"/>
      <c r="AL5158" s="79"/>
      <c r="AM5158" s="79"/>
      <c r="AN5158" s="79"/>
      <c r="AO5158" s="79"/>
      <c r="AP5158" s="79"/>
      <c r="AQ5158" s="79"/>
      <c r="AR5158" s="78"/>
      <c r="AS5158" s="78"/>
      <c r="AT5158" s="79"/>
      <c r="AU5158" s="79"/>
      <c r="AV5158" s="79"/>
      <c r="AW5158" s="79"/>
      <c r="AX5158" s="79"/>
      <c r="AZ5158" s="81"/>
      <c r="BB5158" s="5"/>
      <c r="BC5158" s="5"/>
      <c r="BD5158" s="5"/>
      <c r="BE5158" s="5"/>
      <c r="BF5158" s="5"/>
      <c r="BG5158" s="5"/>
      <c r="BH5158" s="5"/>
      <c r="BI5158" s="5"/>
      <c r="BJ5158" s="5"/>
      <c r="BK5158" s="5"/>
      <c r="BL5158" s="5"/>
      <c r="BM5158" s="5"/>
      <c r="BN5158" s="5"/>
      <c r="BO5158" s="5"/>
      <c r="BP5158" s="5"/>
    </row>
    <row r="5159" spans="35:68" x14ac:dyDescent="0.25">
      <c r="AI5159" s="49"/>
      <c r="AJ5159" s="78"/>
      <c r="AK5159" s="79"/>
      <c r="AL5159" s="79"/>
      <c r="AM5159" s="79"/>
      <c r="AN5159" s="79"/>
      <c r="AO5159" s="79"/>
      <c r="AP5159" s="79"/>
      <c r="AQ5159" s="79"/>
      <c r="AR5159" s="78"/>
      <c r="AS5159" s="78"/>
      <c r="AT5159" s="79"/>
      <c r="AU5159" s="79"/>
      <c r="AV5159" s="79"/>
      <c r="AW5159" s="79"/>
      <c r="AX5159" s="79"/>
      <c r="AZ5159" s="81"/>
      <c r="BB5159" s="5"/>
      <c r="BC5159" s="5"/>
      <c r="BD5159" s="5"/>
      <c r="BE5159" s="5"/>
      <c r="BF5159" s="5"/>
      <c r="BG5159" s="5"/>
      <c r="BH5159" s="5"/>
      <c r="BI5159" s="5"/>
      <c r="BJ5159" s="5"/>
      <c r="BK5159" s="5"/>
      <c r="BL5159" s="5"/>
      <c r="BM5159" s="5"/>
      <c r="BN5159" s="5"/>
      <c r="BO5159" s="5"/>
      <c r="BP5159" s="5"/>
    </row>
    <row r="5160" spans="35:68" x14ac:dyDescent="0.25">
      <c r="AI5160" s="49"/>
      <c r="AJ5160" s="78"/>
      <c r="AK5160" s="79"/>
      <c r="AL5160" s="79"/>
      <c r="AM5160" s="79"/>
      <c r="AN5160" s="79"/>
      <c r="AO5160" s="79"/>
      <c r="AP5160" s="79"/>
      <c r="AQ5160" s="79"/>
      <c r="AR5160" s="78"/>
      <c r="AS5160" s="78"/>
      <c r="AT5160" s="79"/>
      <c r="AU5160" s="79"/>
      <c r="AV5160" s="79"/>
      <c r="AW5160" s="79"/>
      <c r="AX5160" s="79"/>
      <c r="AZ5160" s="81"/>
      <c r="BB5160" s="5"/>
      <c r="BC5160" s="5"/>
      <c r="BD5160" s="5"/>
      <c r="BE5160" s="5"/>
      <c r="BF5160" s="5"/>
      <c r="BG5160" s="5"/>
      <c r="BH5160" s="5"/>
      <c r="BI5160" s="5"/>
      <c r="BJ5160" s="5"/>
      <c r="BK5160" s="5"/>
      <c r="BL5160" s="5"/>
      <c r="BM5160" s="5"/>
      <c r="BN5160" s="5"/>
      <c r="BO5160" s="5"/>
      <c r="BP5160" s="5"/>
    </row>
    <row r="5161" spans="35:68" x14ac:dyDescent="0.25">
      <c r="AI5161" s="49"/>
      <c r="AJ5161" s="78"/>
      <c r="AK5161" s="79"/>
      <c r="AL5161" s="79"/>
      <c r="AM5161" s="79"/>
      <c r="AN5161" s="79"/>
      <c r="AO5161" s="79"/>
      <c r="AP5161" s="79"/>
      <c r="AQ5161" s="79"/>
      <c r="AR5161" s="78"/>
      <c r="AS5161" s="78"/>
      <c r="AT5161" s="79"/>
      <c r="AU5161" s="79"/>
      <c r="AV5161" s="79"/>
      <c r="AW5161" s="79"/>
      <c r="AX5161" s="79"/>
      <c r="AZ5161" s="81"/>
      <c r="BB5161" s="5"/>
      <c r="BC5161" s="5"/>
      <c r="BD5161" s="5"/>
      <c r="BE5161" s="5"/>
      <c r="BF5161" s="5"/>
      <c r="BG5161" s="5"/>
      <c r="BH5161" s="5"/>
      <c r="BI5161" s="5"/>
      <c r="BJ5161" s="5"/>
      <c r="BK5161" s="5"/>
      <c r="BL5161" s="5"/>
      <c r="BM5161" s="5"/>
      <c r="BN5161" s="5"/>
      <c r="BO5161" s="5"/>
      <c r="BP5161" s="5"/>
    </row>
    <row r="5162" spans="35:68" x14ac:dyDescent="0.25">
      <c r="AI5162" s="49"/>
      <c r="AJ5162" s="78"/>
      <c r="AK5162" s="79"/>
      <c r="AL5162" s="79"/>
      <c r="AM5162" s="79"/>
      <c r="AN5162" s="79"/>
      <c r="AO5162" s="79"/>
      <c r="AP5162" s="79"/>
      <c r="AQ5162" s="79"/>
      <c r="AR5162" s="78"/>
      <c r="AS5162" s="78"/>
      <c r="AT5162" s="79"/>
      <c r="AU5162" s="79"/>
      <c r="AV5162" s="79"/>
      <c r="AW5162" s="79"/>
      <c r="AX5162" s="79"/>
      <c r="AZ5162" s="81"/>
      <c r="BB5162" s="5"/>
      <c r="BC5162" s="5"/>
      <c r="BD5162" s="5"/>
      <c r="BE5162" s="5"/>
      <c r="BF5162" s="5"/>
      <c r="BG5162" s="5"/>
      <c r="BH5162" s="5"/>
      <c r="BI5162" s="5"/>
      <c r="BJ5162" s="5"/>
      <c r="BK5162" s="5"/>
      <c r="BL5162" s="5"/>
      <c r="BM5162" s="5"/>
      <c r="BN5162" s="5"/>
      <c r="BO5162" s="5"/>
      <c r="BP5162" s="5"/>
    </row>
    <row r="5163" spans="35:68" x14ac:dyDescent="0.25">
      <c r="AI5163" s="49"/>
      <c r="AJ5163" s="78"/>
      <c r="AK5163" s="79"/>
      <c r="AL5163" s="79"/>
      <c r="AM5163" s="79"/>
      <c r="AN5163" s="79"/>
      <c r="AO5163" s="79"/>
      <c r="AP5163" s="79"/>
      <c r="AQ5163" s="79"/>
      <c r="AR5163" s="78"/>
      <c r="AS5163" s="78"/>
      <c r="AT5163" s="79"/>
      <c r="AU5163" s="79"/>
      <c r="AV5163" s="79"/>
      <c r="AW5163" s="79"/>
      <c r="AX5163" s="79"/>
      <c r="AZ5163" s="81"/>
      <c r="BB5163" s="5"/>
      <c r="BC5163" s="5"/>
      <c r="BD5163" s="5"/>
      <c r="BE5163" s="5"/>
      <c r="BF5163" s="5"/>
      <c r="BG5163" s="5"/>
      <c r="BH5163" s="5"/>
      <c r="BI5163" s="5"/>
      <c r="BJ5163" s="5"/>
      <c r="BK5163" s="5"/>
      <c r="BL5163" s="5"/>
      <c r="BM5163" s="5"/>
      <c r="BN5163" s="5"/>
      <c r="BO5163" s="5"/>
      <c r="BP5163" s="5"/>
    </row>
    <row r="5164" spans="35:68" x14ac:dyDescent="0.25">
      <c r="AI5164" s="49"/>
      <c r="AJ5164" s="78"/>
      <c r="AK5164" s="79"/>
      <c r="AL5164" s="79"/>
      <c r="AM5164" s="79"/>
      <c r="AN5164" s="79"/>
      <c r="AO5164" s="79"/>
      <c r="AP5164" s="79"/>
      <c r="AQ5164" s="79"/>
      <c r="AR5164" s="78"/>
      <c r="AS5164" s="78"/>
      <c r="AT5164" s="79"/>
      <c r="AU5164" s="79"/>
      <c r="AV5164" s="79"/>
      <c r="AW5164" s="79"/>
      <c r="AX5164" s="79"/>
      <c r="AZ5164" s="81"/>
      <c r="BB5164" s="5"/>
      <c r="BC5164" s="5"/>
      <c r="BD5164" s="5"/>
      <c r="BE5164" s="5"/>
      <c r="BF5164" s="5"/>
      <c r="BG5164" s="5"/>
      <c r="BH5164" s="5"/>
      <c r="BI5164" s="5"/>
      <c r="BJ5164" s="5"/>
      <c r="BK5164" s="5"/>
      <c r="BL5164" s="5"/>
      <c r="BM5164" s="5"/>
      <c r="BN5164" s="5"/>
      <c r="BO5164" s="5"/>
      <c r="BP5164" s="5"/>
    </row>
    <row r="5165" spans="35:68" x14ac:dyDescent="0.25">
      <c r="AI5165" s="49"/>
      <c r="AJ5165" s="78"/>
      <c r="AK5165" s="79"/>
      <c r="AL5165" s="79"/>
      <c r="AM5165" s="79"/>
      <c r="AN5165" s="79"/>
      <c r="AO5165" s="79"/>
      <c r="AP5165" s="79"/>
      <c r="AQ5165" s="79"/>
      <c r="AR5165" s="78"/>
      <c r="AS5165" s="78"/>
      <c r="AT5165" s="79"/>
      <c r="AU5165" s="79"/>
      <c r="AV5165" s="79"/>
      <c r="AW5165" s="79"/>
      <c r="AX5165" s="79"/>
      <c r="AZ5165" s="81"/>
      <c r="BB5165" s="5"/>
      <c r="BC5165" s="5"/>
      <c r="BD5165" s="5"/>
      <c r="BE5165" s="5"/>
      <c r="BF5165" s="5"/>
      <c r="BG5165" s="5"/>
      <c r="BH5165" s="5"/>
      <c r="BI5165" s="5"/>
      <c r="BJ5165" s="5"/>
      <c r="BK5165" s="5"/>
      <c r="BL5165" s="5"/>
      <c r="BM5165" s="5"/>
      <c r="BN5165" s="5"/>
      <c r="BO5165" s="5"/>
      <c r="BP5165" s="5"/>
    </row>
    <row r="5166" spans="35:68" x14ac:dyDescent="0.25">
      <c r="AI5166" s="49"/>
      <c r="AJ5166" s="78"/>
      <c r="AK5166" s="79"/>
      <c r="AL5166" s="79"/>
      <c r="AM5166" s="79"/>
      <c r="AN5166" s="79"/>
      <c r="AO5166" s="79"/>
      <c r="AP5166" s="79"/>
      <c r="AQ5166" s="79"/>
      <c r="AR5166" s="78"/>
      <c r="AS5166" s="78"/>
      <c r="AT5166" s="79"/>
      <c r="AU5166" s="79"/>
      <c r="AV5166" s="79"/>
      <c r="AW5166" s="79"/>
      <c r="AX5166" s="79"/>
      <c r="AZ5166" s="81"/>
      <c r="BB5166" s="5"/>
      <c r="BC5166" s="5"/>
      <c r="BD5166" s="5"/>
      <c r="BE5166" s="5"/>
      <c r="BF5166" s="5"/>
      <c r="BG5166" s="5"/>
      <c r="BH5166" s="5"/>
      <c r="BI5166" s="5"/>
      <c r="BJ5166" s="5"/>
      <c r="BK5166" s="5"/>
      <c r="BL5166" s="5"/>
      <c r="BM5166" s="5"/>
      <c r="BN5166" s="5"/>
      <c r="BO5166" s="5"/>
      <c r="BP5166" s="5"/>
    </row>
    <row r="5167" spans="35:68" x14ac:dyDescent="0.25">
      <c r="AI5167" s="49"/>
      <c r="AJ5167" s="78"/>
      <c r="AK5167" s="79"/>
      <c r="AL5167" s="79"/>
      <c r="AM5167" s="79"/>
      <c r="AN5167" s="79"/>
      <c r="AO5167" s="79"/>
      <c r="AP5167" s="79"/>
      <c r="AQ5167" s="79"/>
      <c r="AR5167" s="78"/>
      <c r="AS5167" s="78"/>
      <c r="AT5167" s="79"/>
      <c r="AU5167" s="79"/>
      <c r="AV5167" s="79"/>
      <c r="AW5167" s="79"/>
      <c r="AX5167" s="79"/>
      <c r="AZ5167" s="81"/>
      <c r="BB5167" s="5"/>
      <c r="BC5167" s="5"/>
      <c r="BD5167" s="5"/>
      <c r="BE5167" s="5"/>
      <c r="BF5167" s="5"/>
      <c r="BG5167" s="5"/>
      <c r="BH5167" s="5"/>
      <c r="BI5167" s="5"/>
      <c r="BJ5167" s="5"/>
      <c r="BK5167" s="5"/>
      <c r="BL5167" s="5"/>
      <c r="BM5167" s="5"/>
      <c r="BN5167" s="5"/>
      <c r="BO5167" s="5"/>
      <c r="BP5167" s="5"/>
    </row>
    <row r="5168" spans="35:68" x14ac:dyDescent="0.25">
      <c r="AI5168" s="49"/>
      <c r="AJ5168" s="78"/>
      <c r="AK5168" s="79"/>
      <c r="AL5168" s="79"/>
      <c r="AM5168" s="79"/>
      <c r="AN5168" s="79"/>
      <c r="AO5168" s="79"/>
      <c r="AP5168" s="79"/>
      <c r="AQ5168" s="79"/>
      <c r="AR5168" s="78"/>
      <c r="AS5168" s="78"/>
      <c r="AT5168" s="79"/>
      <c r="AU5168" s="79"/>
      <c r="AV5168" s="79"/>
      <c r="AW5168" s="79"/>
      <c r="AX5168" s="79"/>
      <c r="AZ5168" s="81"/>
      <c r="BB5168" s="5"/>
      <c r="BC5168" s="5"/>
      <c r="BD5168" s="5"/>
      <c r="BE5168" s="5"/>
      <c r="BF5168" s="5"/>
      <c r="BG5168" s="5"/>
      <c r="BH5168" s="5"/>
      <c r="BI5168" s="5"/>
      <c r="BJ5168" s="5"/>
      <c r="BK5168" s="5"/>
      <c r="BL5168" s="5"/>
      <c r="BM5168" s="5"/>
      <c r="BN5168" s="5"/>
      <c r="BO5168" s="5"/>
      <c r="BP5168" s="5"/>
    </row>
    <row r="5169" spans="35:68" x14ac:dyDescent="0.25">
      <c r="AI5169" s="49"/>
      <c r="AJ5169" s="78"/>
      <c r="AK5169" s="79"/>
      <c r="AL5169" s="79"/>
      <c r="AM5169" s="79"/>
      <c r="AN5169" s="79"/>
      <c r="AO5169" s="79"/>
      <c r="AP5169" s="79"/>
      <c r="AQ5169" s="79"/>
      <c r="AR5169" s="78"/>
      <c r="AS5169" s="78"/>
      <c r="AT5169" s="79"/>
      <c r="AU5169" s="79"/>
      <c r="AV5169" s="79"/>
      <c r="AW5169" s="79"/>
      <c r="AX5169" s="79"/>
      <c r="AZ5169" s="81"/>
      <c r="BB5169" s="5"/>
      <c r="BC5169" s="5"/>
      <c r="BD5169" s="5"/>
      <c r="BE5169" s="5"/>
      <c r="BF5169" s="5"/>
      <c r="BG5169" s="5"/>
      <c r="BH5169" s="5"/>
      <c r="BI5169" s="5"/>
      <c r="BJ5169" s="5"/>
      <c r="BK5169" s="5"/>
      <c r="BL5169" s="5"/>
      <c r="BM5169" s="5"/>
      <c r="BN5169" s="5"/>
      <c r="BO5169" s="5"/>
      <c r="BP5169" s="5"/>
    </row>
    <row r="5170" spans="35:68" x14ac:dyDescent="0.25">
      <c r="AI5170" s="49"/>
      <c r="AJ5170" s="78"/>
      <c r="AK5170" s="79"/>
      <c r="AL5170" s="79"/>
      <c r="AM5170" s="79"/>
      <c r="AN5170" s="79"/>
      <c r="AO5170" s="79"/>
      <c r="AP5170" s="79"/>
      <c r="AQ5170" s="79"/>
      <c r="AR5170" s="78"/>
      <c r="AS5170" s="78"/>
      <c r="AT5170" s="79"/>
      <c r="AU5170" s="79"/>
      <c r="AV5170" s="79"/>
      <c r="AW5170" s="79"/>
      <c r="AX5170" s="79"/>
      <c r="AZ5170" s="81"/>
      <c r="BB5170" s="5"/>
      <c r="BC5170" s="5"/>
      <c r="BD5170" s="5"/>
      <c r="BE5170" s="5"/>
      <c r="BF5170" s="5"/>
      <c r="BG5170" s="5"/>
      <c r="BH5170" s="5"/>
      <c r="BI5170" s="5"/>
      <c r="BJ5170" s="5"/>
      <c r="BK5170" s="5"/>
      <c r="BL5170" s="5"/>
      <c r="BM5170" s="5"/>
      <c r="BN5170" s="5"/>
      <c r="BO5170" s="5"/>
      <c r="BP5170" s="5"/>
    </row>
    <row r="5171" spans="35:68" x14ac:dyDescent="0.25">
      <c r="AI5171" s="49"/>
      <c r="AJ5171" s="78"/>
      <c r="AK5171" s="79"/>
      <c r="AL5171" s="79"/>
      <c r="AM5171" s="79"/>
      <c r="AN5171" s="79"/>
      <c r="AO5171" s="79"/>
      <c r="AP5171" s="79"/>
      <c r="AQ5171" s="79"/>
      <c r="AR5171" s="78"/>
      <c r="AS5171" s="78"/>
      <c r="AT5171" s="79"/>
      <c r="AU5171" s="79"/>
      <c r="AV5171" s="79"/>
      <c r="AW5171" s="79"/>
      <c r="AX5171" s="79"/>
      <c r="AZ5171" s="81"/>
      <c r="BB5171" s="5"/>
      <c r="BC5171" s="5"/>
      <c r="BD5171" s="5"/>
      <c r="BE5171" s="5"/>
      <c r="BF5171" s="5"/>
      <c r="BG5171" s="5"/>
      <c r="BH5171" s="5"/>
      <c r="BI5171" s="5"/>
      <c r="BJ5171" s="5"/>
      <c r="BK5171" s="5"/>
      <c r="BL5171" s="5"/>
      <c r="BM5171" s="5"/>
      <c r="BN5171" s="5"/>
      <c r="BO5171" s="5"/>
      <c r="BP5171" s="5"/>
    </row>
    <row r="5172" spans="35:68" x14ac:dyDescent="0.25">
      <c r="AI5172" s="49"/>
      <c r="AJ5172" s="78"/>
      <c r="AK5172" s="79"/>
      <c r="AL5172" s="79"/>
      <c r="AM5172" s="79"/>
      <c r="AN5172" s="79"/>
      <c r="AO5172" s="79"/>
      <c r="AP5172" s="79"/>
      <c r="AQ5172" s="79"/>
      <c r="AR5172" s="78"/>
      <c r="AS5172" s="78"/>
      <c r="AT5172" s="79"/>
      <c r="AU5172" s="79"/>
      <c r="AV5172" s="79"/>
      <c r="AW5172" s="79"/>
      <c r="AX5172" s="79"/>
      <c r="AZ5172" s="81"/>
      <c r="BB5172" s="5"/>
      <c r="BC5172" s="5"/>
      <c r="BD5172" s="5"/>
      <c r="BE5172" s="5"/>
      <c r="BF5172" s="5"/>
      <c r="BG5172" s="5"/>
      <c r="BH5172" s="5"/>
      <c r="BI5172" s="5"/>
      <c r="BJ5172" s="5"/>
      <c r="BK5172" s="5"/>
      <c r="BL5172" s="5"/>
      <c r="BM5172" s="5"/>
      <c r="BN5172" s="5"/>
      <c r="BO5172" s="5"/>
      <c r="BP5172" s="5"/>
    </row>
    <row r="5173" spans="35:68" x14ac:dyDescent="0.25">
      <c r="AI5173" s="49"/>
      <c r="AJ5173" s="78"/>
      <c r="AK5173" s="79"/>
      <c r="AL5173" s="79"/>
      <c r="AM5173" s="79"/>
      <c r="AN5173" s="79"/>
      <c r="AO5173" s="79"/>
      <c r="AP5173" s="79"/>
      <c r="AQ5173" s="79"/>
      <c r="AR5173" s="78"/>
      <c r="AS5173" s="78"/>
      <c r="AT5173" s="79"/>
      <c r="AU5173" s="79"/>
      <c r="AV5173" s="79"/>
      <c r="AW5173" s="79"/>
      <c r="AX5173" s="79"/>
      <c r="AZ5173" s="81"/>
      <c r="BB5173" s="5"/>
      <c r="BC5173" s="5"/>
      <c r="BD5173" s="5"/>
      <c r="BE5173" s="5"/>
      <c r="BF5173" s="5"/>
      <c r="BG5173" s="5"/>
      <c r="BH5173" s="5"/>
      <c r="BI5173" s="5"/>
      <c r="BJ5173" s="5"/>
      <c r="BK5173" s="5"/>
      <c r="BL5173" s="5"/>
      <c r="BM5173" s="5"/>
      <c r="BN5173" s="5"/>
      <c r="BO5173" s="5"/>
      <c r="BP5173" s="5"/>
    </row>
    <row r="5174" spans="35:68" x14ac:dyDescent="0.25">
      <c r="AI5174" s="49"/>
      <c r="AJ5174" s="78"/>
      <c r="AK5174" s="79"/>
      <c r="AL5174" s="79"/>
      <c r="AM5174" s="79"/>
      <c r="AN5174" s="79"/>
      <c r="AO5174" s="79"/>
      <c r="AP5174" s="79"/>
      <c r="AQ5174" s="79"/>
      <c r="AR5174" s="78"/>
      <c r="AS5174" s="78"/>
      <c r="AT5174" s="79"/>
      <c r="AU5174" s="79"/>
      <c r="AV5174" s="79"/>
      <c r="AW5174" s="79"/>
      <c r="AX5174" s="79"/>
      <c r="AZ5174" s="81"/>
      <c r="BB5174" s="5"/>
      <c r="BC5174" s="5"/>
      <c r="BD5174" s="5"/>
      <c r="BE5174" s="5"/>
      <c r="BF5174" s="5"/>
      <c r="BG5174" s="5"/>
      <c r="BH5174" s="5"/>
      <c r="BI5174" s="5"/>
      <c r="BJ5174" s="5"/>
      <c r="BK5174" s="5"/>
      <c r="BL5174" s="5"/>
      <c r="BM5174" s="5"/>
      <c r="BN5174" s="5"/>
      <c r="BO5174" s="5"/>
      <c r="BP5174" s="5"/>
    </row>
    <row r="5175" spans="35:68" x14ac:dyDescent="0.25">
      <c r="AI5175" s="49"/>
      <c r="AJ5175" s="78"/>
      <c r="AK5175" s="79"/>
      <c r="AL5175" s="79"/>
      <c r="AM5175" s="79"/>
      <c r="AN5175" s="79"/>
      <c r="AO5175" s="79"/>
      <c r="AP5175" s="79"/>
      <c r="AQ5175" s="79"/>
      <c r="AR5175" s="78"/>
      <c r="AS5175" s="78"/>
      <c r="AT5175" s="79"/>
      <c r="AU5175" s="79"/>
      <c r="AV5175" s="79"/>
      <c r="AW5175" s="79"/>
      <c r="AX5175" s="79"/>
      <c r="AZ5175" s="81"/>
      <c r="BB5175" s="5"/>
      <c r="BC5175" s="5"/>
      <c r="BD5175" s="5"/>
      <c r="BE5175" s="5"/>
      <c r="BF5175" s="5"/>
      <c r="BG5175" s="5"/>
      <c r="BH5175" s="5"/>
      <c r="BI5175" s="5"/>
      <c r="BJ5175" s="5"/>
      <c r="BK5175" s="5"/>
      <c r="BL5175" s="5"/>
      <c r="BM5175" s="5"/>
      <c r="BN5175" s="5"/>
      <c r="BO5175" s="5"/>
      <c r="BP5175" s="5"/>
    </row>
    <row r="5176" spans="35:68" x14ac:dyDescent="0.25">
      <c r="AI5176" s="49"/>
      <c r="AJ5176" s="78"/>
      <c r="AK5176" s="79"/>
      <c r="AL5176" s="79"/>
      <c r="AM5176" s="79"/>
      <c r="AN5176" s="79"/>
      <c r="AO5176" s="79"/>
      <c r="AP5176" s="79"/>
      <c r="AQ5176" s="79"/>
      <c r="AR5176" s="78"/>
      <c r="AS5176" s="78"/>
      <c r="AT5176" s="79"/>
      <c r="AU5176" s="79"/>
      <c r="AV5176" s="79"/>
      <c r="AW5176" s="79"/>
      <c r="AX5176" s="79"/>
      <c r="AZ5176" s="81"/>
      <c r="BB5176" s="5"/>
      <c r="BC5176" s="5"/>
      <c r="BD5176" s="5"/>
      <c r="BE5176" s="5"/>
      <c r="BF5176" s="5"/>
      <c r="BG5176" s="5"/>
      <c r="BH5176" s="5"/>
      <c r="BI5176" s="5"/>
      <c r="BJ5176" s="5"/>
      <c r="BK5176" s="5"/>
      <c r="BL5176" s="5"/>
      <c r="BM5176" s="5"/>
      <c r="BN5176" s="5"/>
      <c r="BO5176" s="5"/>
      <c r="BP5176" s="5"/>
    </row>
    <row r="5177" spans="35:68" x14ac:dyDescent="0.25">
      <c r="AI5177" s="49"/>
      <c r="AJ5177" s="78"/>
      <c r="AK5177" s="79"/>
      <c r="AL5177" s="79"/>
      <c r="AM5177" s="79"/>
      <c r="AN5177" s="79"/>
      <c r="AO5177" s="79"/>
      <c r="AP5177" s="79"/>
      <c r="AQ5177" s="79"/>
      <c r="AR5177" s="78"/>
      <c r="AS5177" s="78"/>
      <c r="AT5177" s="79"/>
      <c r="AU5177" s="79"/>
      <c r="AV5177" s="79"/>
      <c r="AW5177" s="79"/>
      <c r="AX5177" s="79"/>
      <c r="AZ5177" s="81"/>
      <c r="BB5177" s="5"/>
      <c r="BC5177" s="5"/>
      <c r="BD5177" s="5"/>
      <c r="BE5177" s="5"/>
      <c r="BF5177" s="5"/>
      <c r="BG5177" s="5"/>
      <c r="BH5177" s="5"/>
      <c r="BI5177" s="5"/>
      <c r="BJ5177" s="5"/>
      <c r="BK5177" s="5"/>
      <c r="BL5177" s="5"/>
      <c r="BM5177" s="5"/>
      <c r="BN5177" s="5"/>
      <c r="BO5177" s="5"/>
      <c r="BP5177" s="5"/>
    </row>
    <row r="5178" spans="35:68" x14ac:dyDescent="0.25">
      <c r="AI5178" s="49"/>
      <c r="AJ5178" s="78"/>
      <c r="AK5178" s="79"/>
      <c r="AL5178" s="79"/>
      <c r="AM5178" s="79"/>
      <c r="AN5178" s="79"/>
      <c r="AO5178" s="79"/>
      <c r="AP5178" s="79"/>
      <c r="AQ5178" s="79"/>
      <c r="AR5178" s="78"/>
      <c r="AS5178" s="78"/>
      <c r="AT5178" s="79"/>
      <c r="AU5178" s="79"/>
      <c r="AV5178" s="79"/>
      <c r="AW5178" s="79"/>
      <c r="AX5178" s="79"/>
      <c r="AZ5178" s="81"/>
      <c r="BB5178" s="5"/>
      <c r="BC5178" s="5"/>
      <c r="BD5178" s="5"/>
      <c r="BE5178" s="5"/>
      <c r="BF5178" s="5"/>
      <c r="BG5178" s="5"/>
      <c r="BH5178" s="5"/>
      <c r="BI5178" s="5"/>
      <c r="BJ5178" s="5"/>
      <c r="BK5178" s="5"/>
      <c r="BL5178" s="5"/>
      <c r="BM5178" s="5"/>
      <c r="BN5178" s="5"/>
      <c r="BO5178" s="5"/>
      <c r="BP5178" s="5"/>
    </row>
    <row r="5179" spans="35:68" x14ac:dyDescent="0.25">
      <c r="AI5179" s="49"/>
      <c r="AJ5179" s="78"/>
      <c r="AK5179" s="79"/>
      <c r="AL5179" s="79"/>
      <c r="AM5179" s="79"/>
      <c r="AN5179" s="79"/>
      <c r="AO5179" s="79"/>
      <c r="AP5179" s="79"/>
      <c r="AQ5179" s="79"/>
      <c r="AR5179" s="78"/>
      <c r="AS5179" s="78"/>
      <c r="AT5179" s="79"/>
      <c r="AU5179" s="79"/>
      <c r="AV5179" s="79"/>
      <c r="AW5179" s="79"/>
      <c r="AX5179" s="79"/>
      <c r="AZ5179" s="81"/>
      <c r="BB5179" s="5"/>
      <c r="BC5179" s="5"/>
      <c r="BD5179" s="5"/>
      <c r="BE5179" s="5"/>
      <c r="BF5179" s="5"/>
      <c r="BG5179" s="5"/>
      <c r="BH5179" s="5"/>
      <c r="BI5179" s="5"/>
      <c r="BJ5179" s="5"/>
      <c r="BK5179" s="5"/>
      <c r="BL5179" s="5"/>
      <c r="BM5179" s="5"/>
      <c r="BN5179" s="5"/>
      <c r="BO5179" s="5"/>
      <c r="BP5179" s="5"/>
    </row>
    <row r="5180" spans="35:68" x14ac:dyDescent="0.25">
      <c r="AI5180" s="49"/>
      <c r="AJ5180" s="78"/>
      <c r="AK5180" s="79"/>
      <c r="AL5180" s="79"/>
      <c r="AM5180" s="79"/>
      <c r="AN5180" s="79"/>
      <c r="AO5180" s="79"/>
      <c r="AP5180" s="79"/>
      <c r="AQ5180" s="79"/>
      <c r="AR5180" s="78"/>
      <c r="AS5180" s="78"/>
      <c r="AT5180" s="79"/>
      <c r="AU5180" s="79"/>
      <c r="AV5180" s="79"/>
      <c r="AW5180" s="79"/>
      <c r="AX5180" s="79"/>
      <c r="AZ5180" s="81"/>
      <c r="BB5180" s="5"/>
      <c r="BC5180" s="5"/>
      <c r="BD5180" s="5"/>
      <c r="BE5180" s="5"/>
      <c r="BF5180" s="5"/>
      <c r="BG5180" s="5"/>
      <c r="BH5180" s="5"/>
      <c r="BI5180" s="5"/>
      <c r="BJ5180" s="5"/>
      <c r="BK5180" s="5"/>
      <c r="BL5180" s="5"/>
      <c r="BM5180" s="5"/>
      <c r="BN5180" s="5"/>
      <c r="BO5180" s="5"/>
      <c r="BP5180" s="5"/>
    </row>
    <row r="5181" spans="35:68" x14ac:dyDescent="0.25">
      <c r="AI5181" s="49"/>
      <c r="AJ5181" s="78"/>
      <c r="AK5181" s="79"/>
      <c r="AL5181" s="79"/>
      <c r="AM5181" s="79"/>
      <c r="AN5181" s="79"/>
      <c r="AO5181" s="79"/>
      <c r="AP5181" s="79"/>
      <c r="AQ5181" s="79"/>
      <c r="AR5181" s="78"/>
      <c r="AS5181" s="78"/>
      <c r="AT5181" s="79"/>
      <c r="AU5181" s="79"/>
      <c r="AV5181" s="79"/>
      <c r="AW5181" s="79"/>
      <c r="AX5181" s="79"/>
      <c r="AZ5181" s="81"/>
      <c r="BB5181" s="5"/>
      <c r="BC5181" s="5"/>
      <c r="BD5181" s="5"/>
      <c r="BE5181" s="5"/>
      <c r="BF5181" s="5"/>
      <c r="BG5181" s="5"/>
      <c r="BH5181" s="5"/>
      <c r="BI5181" s="5"/>
      <c r="BJ5181" s="5"/>
      <c r="BK5181" s="5"/>
      <c r="BL5181" s="5"/>
      <c r="BM5181" s="5"/>
      <c r="BN5181" s="5"/>
      <c r="BO5181" s="5"/>
      <c r="BP5181" s="5"/>
    </row>
    <row r="5182" spans="35:68" x14ac:dyDescent="0.25">
      <c r="AI5182" s="49"/>
      <c r="AJ5182" s="78"/>
      <c r="AK5182" s="79"/>
      <c r="AL5182" s="79"/>
      <c r="AM5182" s="79"/>
      <c r="AN5182" s="79"/>
      <c r="AO5182" s="79"/>
      <c r="AP5182" s="79"/>
      <c r="AQ5182" s="79"/>
      <c r="AR5182" s="78"/>
      <c r="AS5182" s="78"/>
      <c r="AT5182" s="79"/>
      <c r="AU5182" s="79"/>
      <c r="AV5182" s="79"/>
      <c r="AW5182" s="79"/>
      <c r="AX5182" s="79"/>
      <c r="AZ5182" s="81"/>
      <c r="BB5182" s="5"/>
      <c r="BC5182" s="5"/>
      <c r="BD5182" s="5"/>
      <c r="BE5182" s="5"/>
      <c r="BF5182" s="5"/>
      <c r="BG5182" s="5"/>
      <c r="BH5182" s="5"/>
      <c r="BI5182" s="5"/>
      <c r="BJ5182" s="5"/>
      <c r="BK5182" s="5"/>
      <c r="BL5182" s="5"/>
      <c r="BM5182" s="5"/>
      <c r="BN5182" s="5"/>
      <c r="BO5182" s="5"/>
      <c r="BP5182" s="5"/>
    </row>
    <row r="5183" spans="35:68" x14ac:dyDescent="0.25">
      <c r="AI5183" s="49"/>
      <c r="AJ5183" s="78"/>
      <c r="AK5183" s="79"/>
      <c r="AL5183" s="79"/>
      <c r="AM5183" s="79"/>
      <c r="AN5183" s="79"/>
      <c r="AO5183" s="79"/>
      <c r="AP5183" s="79"/>
      <c r="AQ5183" s="79"/>
      <c r="AR5183" s="78"/>
      <c r="AS5183" s="78"/>
      <c r="AT5183" s="79"/>
      <c r="AU5183" s="79"/>
      <c r="AV5183" s="79"/>
      <c r="AW5183" s="79"/>
      <c r="AX5183" s="79"/>
      <c r="AZ5183" s="81"/>
      <c r="BB5183" s="5"/>
      <c r="BC5183" s="5"/>
      <c r="BD5183" s="5"/>
      <c r="BE5183" s="5"/>
      <c r="BF5183" s="5"/>
      <c r="BG5183" s="5"/>
      <c r="BH5183" s="5"/>
      <c r="BI5183" s="5"/>
      <c r="BJ5183" s="5"/>
      <c r="BK5183" s="5"/>
      <c r="BL5183" s="5"/>
      <c r="BM5183" s="5"/>
      <c r="BN5183" s="5"/>
      <c r="BO5183" s="5"/>
      <c r="BP5183" s="5"/>
    </row>
    <row r="5184" spans="35:68" x14ac:dyDescent="0.25">
      <c r="AI5184" s="49"/>
      <c r="AJ5184" s="78"/>
      <c r="AK5184" s="79"/>
      <c r="AL5184" s="79"/>
      <c r="AM5184" s="79"/>
      <c r="AN5184" s="79"/>
      <c r="AO5184" s="79"/>
      <c r="AP5184" s="79"/>
      <c r="AQ5184" s="79"/>
      <c r="AR5184" s="78"/>
      <c r="AS5184" s="78"/>
      <c r="AT5184" s="79"/>
      <c r="AU5184" s="79"/>
      <c r="AV5184" s="79"/>
      <c r="AW5184" s="79"/>
      <c r="AX5184" s="79"/>
      <c r="AZ5184" s="81"/>
      <c r="BB5184" s="5"/>
      <c r="BC5184" s="5"/>
      <c r="BD5184" s="5"/>
      <c r="BE5184" s="5"/>
      <c r="BF5184" s="5"/>
      <c r="BG5184" s="5"/>
      <c r="BH5184" s="5"/>
      <c r="BI5184" s="5"/>
      <c r="BJ5184" s="5"/>
      <c r="BK5184" s="5"/>
      <c r="BL5184" s="5"/>
      <c r="BM5184" s="5"/>
      <c r="BN5184" s="5"/>
      <c r="BO5184" s="5"/>
      <c r="BP5184" s="5"/>
    </row>
    <row r="5185" spans="35:68" x14ac:dyDescent="0.25">
      <c r="AI5185" s="49"/>
      <c r="AJ5185" s="78"/>
      <c r="AK5185" s="79"/>
      <c r="AL5185" s="79"/>
      <c r="AM5185" s="79"/>
      <c r="AN5185" s="79"/>
      <c r="AO5185" s="79"/>
      <c r="AP5185" s="79"/>
      <c r="AQ5185" s="79"/>
      <c r="AR5185" s="78"/>
      <c r="AS5185" s="78"/>
      <c r="AT5185" s="79"/>
      <c r="AU5185" s="79"/>
      <c r="AV5185" s="79"/>
      <c r="AW5185" s="79"/>
      <c r="AX5185" s="79"/>
      <c r="AZ5185" s="81"/>
      <c r="BB5185" s="5"/>
      <c r="BC5185" s="5"/>
      <c r="BD5185" s="5"/>
      <c r="BE5185" s="5"/>
      <c r="BF5185" s="5"/>
      <c r="BG5185" s="5"/>
      <c r="BH5185" s="5"/>
      <c r="BI5185" s="5"/>
      <c r="BJ5185" s="5"/>
      <c r="BK5185" s="5"/>
      <c r="BL5185" s="5"/>
      <c r="BM5185" s="5"/>
      <c r="BN5185" s="5"/>
      <c r="BO5185" s="5"/>
      <c r="BP5185" s="5"/>
    </row>
    <row r="5186" spans="35:68" x14ac:dyDescent="0.25">
      <c r="AI5186" s="49"/>
      <c r="AJ5186" s="78"/>
      <c r="AK5186" s="79"/>
      <c r="AL5186" s="79"/>
      <c r="AM5186" s="79"/>
      <c r="AN5186" s="79"/>
      <c r="AO5186" s="79"/>
      <c r="AP5186" s="79"/>
      <c r="AQ5186" s="79"/>
      <c r="AR5186" s="78"/>
      <c r="AS5186" s="78"/>
      <c r="AT5186" s="79"/>
      <c r="AU5186" s="79"/>
      <c r="AV5186" s="79"/>
      <c r="AW5186" s="79"/>
      <c r="AX5186" s="79"/>
      <c r="AZ5186" s="81"/>
      <c r="BB5186" s="5"/>
      <c r="BC5186" s="5"/>
      <c r="BD5186" s="5"/>
      <c r="BE5186" s="5"/>
      <c r="BF5186" s="5"/>
      <c r="BG5186" s="5"/>
      <c r="BH5186" s="5"/>
      <c r="BI5186" s="5"/>
      <c r="BJ5186" s="5"/>
      <c r="BK5186" s="5"/>
      <c r="BL5186" s="5"/>
      <c r="BM5186" s="5"/>
      <c r="BN5186" s="5"/>
      <c r="BO5186" s="5"/>
      <c r="BP5186" s="5"/>
    </row>
    <row r="5187" spans="35:68" x14ac:dyDescent="0.25">
      <c r="AI5187" s="49"/>
      <c r="AJ5187" s="78"/>
      <c r="AK5187" s="79"/>
      <c r="AL5187" s="79"/>
      <c r="AM5187" s="79"/>
      <c r="AN5187" s="79"/>
      <c r="AO5187" s="79"/>
      <c r="AP5187" s="79"/>
      <c r="AQ5187" s="79"/>
      <c r="AR5187" s="78"/>
      <c r="AS5187" s="78"/>
      <c r="AT5187" s="79"/>
      <c r="AU5187" s="79"/>
      <c r="AV5187" s="79"/>
      <c r="AW5187" s="79"/>
      <c r="AX5187" s="79"/>
      <c r="AZ5187" s="81"/>
      <c r="BB5187" s="5"/>
      <c r="BC5187" s="5"/>
      <c r="BD5187" s="5"/>
      <c r="BE5187" s="5"/>
      <c r="BF5187" s="5"/>
      <c r="BG5187" s="5"/>
      <c r="BH5187" s="5"/>
      <c r="BI5187" s="5"/>
      <c r="BJ5187" s="5"/>
      <c r="BK5187" s="5"/>
      <c r="BL5187" s="5"/>
      <c r="BM5187" s="5"/>
      <c r="BN5187" s="5"/>
      <c r="BO5187" s="5"/>
      <c r="BP5187" s="5"/>
    </row>
    <row r="5188" spans="35:68" x14ac:dyDescent="0.25">
      <c r="AI5188" s="49"/>
      <c r="AJ5188" s="78"/>
      <c r="AK5188" s="79"/>
      <c r="AL5188" s="79"/>
      <c r="AM5188" s="79"/>
      <c r="AN5188" s="79"/>
      <c r="AO5188" s="79"/>
      <c r="AP5188" s="79"/>
      <c r="AQ5188" s="79"/>
      <c r="AR5188" s="78"/>
      <c r="AS5188" s="78"/>
      <c r="AT5188" s="79"/>
      <c r="AU5188" s="79"/>
      <c r="AV5188" s="79"/>
      <c r="AW5188" s="79"/>
      <c r="AX5188" s="79"/>
      <c r="AZ5188" s="81"/>
      <c r="BB5188" s="5"/>
      <c r="BC5188" s="5"/>
      <c r="BD5188" s="5"/>
      <c r="BE5188" s="5"/>
      <c r="BF5188" s="5"/>
      <c r="BG5188" s="5"/>
      <c r="BH5188" s="5"/>
      <c r="BI5188" s="5"/>
      <c r="BJ5188" s="5"/>
      <c r="BK5188" s="5"/>
      <c r="BL5188" s="5"/>
      <c r="BM5188" s="5"/>
      <c r="BN5188" s="5"/>
      <c r="BO5188" s="5"/>
      <c r="BP5188" s="5"/>
    </row>
    <row r="5189" spans="35:68" x14ac:dyDescent="0.25">
      <c r="AI5189" s="49"/>
      <c r="AJ5189" s="78"/>
      <c r="AK5189" s="79"/>
      <c r="AL5189" s="79"/>
      <c r="AM5189" s="79"/>
      <c r="AN5189" s="79"/>
      <c r="AO5189" s="79"/>
      <c r="AP5189" s="79"/>
      <c r="AQ5189" s="79"/>
      <c r="AR5189" s="78"/>
      <c r="AS5189" s="78"/>
      <c r="AT5189" s="79"/>
      <c r="AU5189" s="79"/>
      <c r="AV5189" s="79"/>
      <c r="AW5189" s="79"/>
      <c r="AX5189" s="79"/>
      <c r="AZ5189" s="81"/>
      <c r="BB5189" s="5"/>
      <c r="BC5189" s="5"/>
      <c r="BD5189" s="5"/>
      <c r="BE5189" s="5"/>
      <c r="BF5189" s="5"/>
      <c r="BG5189" s="5"/>
      <c r="BH5189" s="5"/>
      <c r="BI5189" s="5"/>
      <c r="BJ5189" s="5"/>
      <c r="BK5189" s="5"/>
      <c r="BL5189" s="5"/>
      <c r="BM5189" s="5"/>
      <c r="BN5189" s="5"/>
      <c r="BO5189" s="5"/>
      <c r="BP5189" s="5"/>
    </row>
    <row r="5190" spans="35:68" x14ac:dyDescent="0.25">
      <c r="AI5190" s="49"/>
      <c r="AJ5190" s="78"/>
      <c r="AK5190" s="79"/>
      <c r="AL5190" s="79"/>
      <c r="AM5190" s="79"/>
      <c r="AN5190" s="79"/>
      <c r="AO5190" s="79"/>
      <c r="AP5190" s="79"/>
      <c r="AQ5190" s="79"/>
      <c r="AR5190" s="78"/>
      <c r="AS5190" s="78"/>
      <c r="AT5190" s="79"/>
      <c r="AU5190" s="79"/>
      <c r="AV5190" s="79"/>
      <c r="AW5190" s="79"/>
      <c r="AX5190" s="79"/>
      <c r="AZ5190" s="81"/>
      <c r="BB5190" s="5"/>
      <c r="BC5190" s="5"/>
      <c r="BD5190" s="5"/>
      <c r="BE5190" s="5"/>
      <c r="BF5190" s="5"/>
      <c r="BG5190" s="5"/>
      <c r="BH5190" s="5"/>
      <c r="BI5190" s="5"/>
      <c r="BJ5190" s="5"/>
      <c r="BK5190" s="5"/>
      <c r="BL5190" s="5"/>
      <c r="BM5190" s="5"/>
      <c r="BN5190" s="5"/>
      <c r="BO5190" s="5"/>
      <c r="BP5190" s="5"/>
    </row>
    <row r="5191" spans="35:68" x14ac:dyDescent="0.25">
      <c r="AI5191" s="49"/>
      <c r="AJ5191" s="78"/>
      <c r="AK5191" s="79"/>
      <c r="AL5191" s="79"/>
      <c r="AM5191" s="79"/>
      <c r="AN5191" s="79"/>
      <c r="AO5191" s="79"/>
      <c r="AP5191" s="79"/>
      <c r="AQ5191" s="79"/>
      <c r="AR5191" s="78"/>
      <c r="AS5191" s="78"/>
      <c r="AT5191" s="79"/>
      <c r="AU5191" s="79"/>
      <c r="AV5191" s="79"/>
      <c r="AW5191" s="79"/>
      <c r="AX5191" s="79"/>
      <c r="AZ5191" s="81"/>
      <c r="BB5191" s="5"/>
      <c r="BC5191" s="5"/>
      <c r="BD5191" s="5"/>
      <c r="BE5191" s="5"/>
      <c r="BF5191" s="5"/>
      <c r="BG5191" s="5"/>
      <c r="BH5191" s="5"/>
      <c r="BI5191" s="5"/>
      <c r="BJ5191" s="5"/>
      <c r="BK5191" s="5"/>
      <c r="BL5191" s="5"/>
      <c r="BM5191" s="5"/>
      <c r="BN5191" s="5"/>
      <c r="BO5191" s="5"/>
      <c r="BP5191" s="5"/>
    </row>
    <row r="5192" spans="35:68" x14ac:dyDescent="0.25">
      <c r="AI5192" s="49"/>
      <c r="AJ5192" s="78"/>
      <c r="AK5192" s="79"/>
      <c r="AL5192" s="79"/>
      <c r="AM5192" s="79"/>
      <c r="AN5192" s="79"/>
      <c r="AO5192" s="79"/>
      <c r="AP5192" s="79"/>
      <c r="AQ5192" s="79"/>
      <c r="AR5192" s="78"/>
      <c r="AS5192" s="78"/>
      <c r="AT5192" s="79"/>
      <c r="AU5192" s="79"/>
      <c r="AV5192" s="79"/>
      <c r="AW5192" s="79"/>
      <c r="AX5192" s="79"/>
      <c r="AZ5192" s="81"/>
      <c r="BB5192" s="5"/>
      <c r="BC5192" s="5"/>
      <c r="BD5192" s="5"/>
      <c r="BE5192" s="5"/>
      <c r="BF5192" s="5"/>
      <c r="BG5192" s="5"/>
      <c r="BH5192" s="5"/>
      <c r="BI5192" s="5"/>
      <c r="BJ5192" s="5"/>
      <c r="BK5192" s="5"/>
      <c r="BL5192" s="5"/>
      <c r="BM5192" s="5"/>
      <c r="BN5192" s="5"/>
      <c r="BO5192" s="5"/>
      <c r="BP5192" s="5"/>
    </row>
    <row r="5193" spans="35:68" x14ac:dyDescent="0.25">
      <c r="AI5193" s="49"/>
      <c r="AJ5193" s="78"/>
      <c r="AK5193" s="79"/>
      <c r="AL5193" s="79"/>
      <c r="AM5193" s="79"/>
      <c r="AN5193" s="79"/>
      <c r="AO5193" s="79"/>
      <c r="AP5193" s="79"/>
      <c r="AQ5193" s="79"/>
      <c r="AR5193" s="78"/>
      <c r="AS5193" s="78"/>
      <c r="AT5193" s="79"/>
      <c r="AU5193" s="79"/>
      <c r="AV5193" s="79"/>
      <c r="AW5193" s="79"/>
      <c r="AX5193" s="79"/>
      <c r="AZ5193" s="81"/>
      <c r="BB5193" s="5"/>
      <c r="BC5193" s="5"/>
      <c r="BD5193" s="5"/>
      <c r="BE5193" s="5"/>
      <c r="BF5193" s="5"/>
      <c r="BG5193" s="5"/>
      <c r="BH5193" s="5"/>
      <c r="BI5193" s="5"/>
      <c r="BJ5193" s="5"/>
      <c r="BK5193" s="5"/>
      <c r="BL5193" s="5"/>
      <c r="BM5193" s="5"/>
      <c r="BN5193" s="5"/>
      <c r="BO5193" s="5"/>
      <c r="BP5193" s="5"/>
    </row>
    <row r="5194" spans="35:68" x14ac:dyDescent="0.25">
      <c r="AI5194" s="49"/>
      <c r="AJ5194" s="78"/>
      <c r="AK5194" s="79"/>
      <c r="AL5194" s="79"/>
      <c r="AM5194" s="79"/>
      <c r="AN5194" s="79"/>
      <c r="AO5194" s="79"/>
      <c r="AP5194" s="79"/>
      <c r="AQ5194" s="79"/>
      <c r="AR5194" s="78"/>
      <c r="AS5194" s="78"/>
      <c r="AT5194" s="79"/>
      <c r="AU5194" s="79"/>
      <c r="AV5194" s="79"/>
      <c r="AW5194" s="79"/>
      <c r="AX5194" s="79"/>
      <c r="AZ5194" s="81"/>
      <c r="BB5194" s="5"/>
      <c r="BC5194" s="5"/>
      <c r="BD5194" s="5"/>
      <c r="BE5194" s="5"/>
      <c r="BF5194" s="5"/>
      <c r="BG5194" s="5"/>
      <c r="BH5194" s="5"/>
      <c r="BI5194" s="5"/>
      <c r="BJ5194" s="5"/>
      <c r="BK5194" s="5"/>
      <c r="BL5194" s="5"/>
      <c r="BM5194" s="5"/>
      <c r="BN5194" s="5"/>
      <c r="BO5194" s="5"/>
      <c r="BP5194" s="5"/>
    </row>
    <row r="5195" spans="35:68" x14ac:dyDescent="0.25">
      <c r="AI5195" s="49"/>
      <c r="AJ5195" s="78"/>
      <c r="AK5195" s="79"/>
      <c r="AL5195" s="79"/>
      <c r="AM5195" s="79"/>
      <c r="AN5195" s="79"/>
      <c r="AO5195" s="79"/>
      <c r="AP5195" s="79"/>
      <c r="AQ5195" s="79"/>
      <c r="AR5195" s="78"/>
      <c r="AS5195" s="78"/>
      <c r="AT5195" s="79"/>
      <c r="AU5195" s="79"/>
      <c r="AV5195" s="79"/>
      <c r="AW5195" s="79"/>
      <c r="AX5195" s="79"/>
      <c r="AZ5195" s="81"/>
      <c r="BB5195" s="5"/>
      <c r="BC5195" s="5"/>
      <c r="BD5195" s="5"/>
      <c r="BE5195" s="5"/>
      <c r="BF5195" s="5"/>
      <c r="BG5195" s="5"/>
      <c r="BH5195" s="5"/>
      <c r="BI5195" s="5"/>
      <c r="BJ5195" s="5"/>
      <c r="BK5195" s="5"/>
      <c r="BL5195" s="5"/>
      <c r="BM5195" s="5"/>
      <c r="BN5195" s="5"/>
      <c r="BO5195" s="5"/>
      <c r="BP5195" s="5"/>
    </row>
    <row r="5196" spans="35:68" x14ac:dyDescent="0.25">
      <c r="AI5196" s="49"/>
      <c r="AJ5196" s="78"/>
      <c r="AK5196" s="79"/>
      <c r="AL5196" s="79"/>
      <c r="AM5196" s="79"/>
      <c r="AN5196" s="79"/>
      <c r="AO5196" s="79"/>
      <c r="AP5196" s="79"/>
      <c r="AQ5196" s="79"/>
      <c r="AR5196" s="78"/>
      <c r="AS5196" s="78"/>
      <c r="AT5196" s="79"/>
      <c r="AU5196" s="79"/>
      <c r="AV5196" s="79"/>
      <c r="AW5196" s="79"/>
      <c r="AX5196" s="79"/>
      <c r="AZ5196" s="81"/>
      <c r="BB5196" s="5"/>
      <c r="BC5196" s="5"/>
      <c r="BD5196" s="5"/>
      <c r="BE5196" s="5"/>
      <c r="BF5196" s="5"/>
      <c r="BG5196" s="5"/>
      <c r="BH5196" s="5"/>
      <c r="BI5196" s="5"/>
      <c r="BJ5196" s="5"/>
      <c r="BK5196" s="5"/>
      <c r="BL5196" s="5"/>
      <c r="BM5196" s="5"/>
      <c r="BN5196" s="5"/>
      <c r="BO5196" s="5"/>
      <c r="BP5196" s="5"/>
    </row>
    <row r="5197" spans="35:68" x14ac:dyDescent="0.25">
      <c r="AI5197" s="49"/>
      <c r="AJ5197" s="78"/>
      <c r="AK5197" s="79"/>
      <c r="AL5197" s="79"/>
      <c r="AM5197" s="79"/>
      <c r="AN5197" s="79"/>
      <c r="AO5197" s="79"/>
      <c r="AP5197" s="79"/>
      <c r="AQ5197" s="79"/>
      <c r="AR5197" s="78"/>
      <c r="AS5197" s="78"/>
      <c r="AT5197" s="79"/>
      <c r="AU5197" s="79"/>
      <c r="AV5197" s="79"/>
      <c r="AW5197" s="79"/>
      <c r="AX5197" s="79"/>
      <c r="AZ5197" s="81"/>
      <c r="BB5197" s="5"/>
      <c r="BC5197" s="5"/>
      <c r="BD5197" s="5"/>
      <c r="BE5197" s="5"/>
      <c r="BF5197" s="5"/>
      <c r="BG5197" s="5"/>
      <c r="BH5197" s="5"/>
      <c r="BI5197" s="5"/>
      <c r="BJ5197" s="5"/>
      <c r="BK5197" s="5"/>
      <c r="BL5197" s="5"/>
      <c r="BM5197" s="5"/>
      <c r="BN5197" s="5"/>
      <c r="BO5197" s="5"/>
      <c r="BP5197" s="5"/>
    </row>
    <row r="5198" spans="35:68" x14ac:dyDescent="0.25">
      <c r="AI5198" s="49"/>
      <c r="AJ5198" s="78"/>
      <c r="AK5198" s="79"/>
      <c r="AL5198" s="79"/>
      <c r="AM5198" s="79"/>
      <c r="AN5198" s="79"/>
      <c r="AO5198" s="79"/>
      <c r="AP5198" s="79"/>
      <c r="AQ5198" s="79"/>
      <c r="AR5198" s="78"/>
      <c r="AS5198" s="78"/>
      <c r="AT5198" s="79"/>
      <c r="AU5198" s="79"/>
      <c r="AV5198" s="79"/>
      <c r="AW5198" s="79"/>
      <c r="AX5198" s="79"/>
      <c r="AZ5198" s="81"/>
      <c r="BB5198" s="5"/>
      <c r="BC5198" s="5"/>
      <c r="BD5198" s="5"/>
      <c r="BE5198" s="5"/>
      <c r="BF5198" s="5"/>
      <c r="BG5198" s="5"/>
      <c r="BH5198" s="5"/>
      <c r="BI5198" s="5"/>
      <c r="BJ5198" s="5"/>
      <c r="BK5198" s="5"/>
      <c r="BL5198" s="5"/>
      <c r="BM5198" s="5"/>
      <c r="BN5198" s="5"/>
      <c r="BO5198" s="5"/>
      <c r="BP5198" s="5"/>
    </row>
    <row r="5199" spans="35:68" x14ac:dyDescent="0.25">
      <c r="AI5199" s="49"/>
      <c r="AJ5199" s="78"/>
      <c r="AK5199" s="79"/>
      <c r="AL5199" s="79"/>
      <c r="AM5199" s="79"/>
      <c r="AN5199" s="79"/>
      <c r="AO5199" s="79"/>
      <c r="AP5199" s="79"/>
      <c r="AQ5199" s="79"/>
      <c r="AR5199" s="78"/>
      <c r="AS5199" s="78"/>
      <c r="AT5199" s="79"/>
      <c r="AU5199" s="79"/>
      <c r="AV5199" s="79"/>
      <c r="AW5199" s="79"/>
      <c r="AX5199" s="79"/>
      <c r="AZ5199" s="81"/>
      <c r="BB5199" s="5"/>
      <c r="BC5199" s="5"/>
      <c r="BD5199" s="5"/>
      <c r="BE5199" s="5"/>
      <c r="BF5199" s="5"/>
      <c r="BG5199" s="5"/>
      <c r="BH5199" s="5"/>
      <c r="BI5199" s="5"/>
      <c r="BJ5199" s="5"/>
      <c r="BK5199" s="5"/>
      <c r="BL5199" s="5"/>
      <c r="BM5199" s="5"/>
      <c r="BN5199" s="5"/>
      <c r="BO5199" s="5"/>
      <c r="BP5199" s="5"/>
    </row>
    <row r="5200" spans="35:68" x14ac:dyDescent="0.25">
      <c r="AI5200" s="49"/>
      <c r="AJ5200" s="78"/>
      <c r="AK5200" s="79"/>
      <c r="AL5200" s="79"/>
      <c r="AM5200" s="79"/>
      <c r="AN5200" s="79"/>
      <c r="AO5200" s="79"/>
      <c r="AP5200" s="79"/>
      <c r="AQ5200" s="79"/>
      <c r="AR5200" s="78"/>
      <c r="AS5200" s="78"/>
      <c r="AT5200" s="79"/>
      <c r="AU5200" s="79"/>
      <c r="AV5200" s="79"/>
      <c r="AW5200" s="79"/>
      <c r="AX5200" s="79"/>
      <c r="AZ5200" s="81"/>
      <c r="BB5200" s="5"/>
      <c r="BC5200" s="5"/>
      <c r="BD5200" s="5"/>
      <c r="BE5200" s="5"/>
      <c r="BF5200" s="5"/>
      <c r="BG5200" s="5"/>
      <c r="BH5200" s="5"/>
      <c r="BI5200" s="5"/>
      <c r="BJ5200" s="5"/>
      <c r="BK5200" s="5"/>
      <c r="BL5200" s="5"/>
      <c r="BM5200" s="5"/>
      <c r="BN5200" s="5"/>
      <c r="BO5200" s="5"/>
      <c r="BP5200" s="5"/>
    </row>
    <row r="5201" spans="35:68" x14ac:dyDescent="0.25">
      <c r="AI5201" s="49"/>
      <c r="AJ5201" s="78"/>
      <c r="AK5201" s="79"/>
      <c r="AL5201" s="79"/>
      <c r="AM5201" s="79"/>
      <c r="AN5201" s="79"/>
      <c r="AO5201" s="79"/>
      <c r="AP5201" s="79"/>
      <c r="AQ5201" s="79"/>
      <c r="AR5201" s="78"/>
      <c r="AS5201" s="78"/>
      <c r="AT5201" s="79"/>
      <c r="AU5201" s="79"/>
      <c r="AV5201" s="79"/>
      <c r="AW5201" s="79"/>
      <c r="AX5201" s="79"/>
      <c r="AZ5201" s="81"/>
      <c r="BB5201" s="5"/>
      <c r="BC5201" s="5"/>
      <c r="BD5201" s="5"/>
      <c r="BE5201" s="5"/>
      <c r="BF5201" s="5"/>
      <c r="BG5201" s="5"/>
      <c r="BH5201" s="5"/>
      <c r="BI5201" s="5"/>
      <c r="BJ5201" s="5"/>
      <c r="BK5201" s="5"/>
      <c r="BL5201" s="5"/>
      <c r="BM5201" s="5"/>
      <c r="BN5201" s="5"/>
      <c r="BO5201" s="5"/>
      <c r="BP5201" s="5"/>
    </row>
    <row r="5202" spans="35:68" x14ac:dyDescent="0.25">
      <c r="AI5202" s="49"/>
      <c r="AJ5202" s="78"/>
      <c r="AK5202" s="79"/>
      <c r="AL5202" s="79"/>
      <c r="AM5202" s="79"/>
      <c r="AN5202" s="79"/>
      <c r="AO5202" s="79"/>
      <c r="AP5202" s="79"/>
      <c r="AQ5202" s="79"/>
      <c r="AR5202" s="78"/>
      <c r="AS5202" s="78"/>
      <c r="AT5202" s="79"/>
      <c r="AU5202" s="79"/>
      <c r="AV5202" s="79"/>
      <c r="AW5202" s="79"/>
      <c r="AX5202" s="79"/>
      <c r="AZ5202" s="81"/>
      <c r="BB5202" s="5"/>
      <c r="BC5202" s="5"/>
      <c r="BD5202" s="5"/>
      <c r="BE5202" s="5"/>
      <c r="BF5202" s="5"/>
      <c r="BG5202" s="5"/>
      <c r="BH5202" s="5"/>
      <c r="BI5202" s="5"/>
      <c r="BJ5202" s="5"/>
      <c r="BK5202" s="5"/>
      <c r="BL5202" s="5"/>
      <c r="BM5202" s="5"/>
      <c r="BN5202" s="5"/>
      <c r="BO5202" s="5"/>
      <c r="BP5202" s="5"/>
    </row>
    <row r="5203" spans="35:68" x14ac:dyDescent="0.25">
      <c r="AI5203" s="49"/>
      <c r="AJ5203" s="78"/>
      <c r="AK5203" s="79"/>
      <c r="AL5203" s="79"/>
      <c r="AM5203" s="79"/>
      <c r="AN5203" s="79"/>
      <c r="AO5203" s="79"/>
      <c r="AP5203" s="79"/>
      <c r="AQ5203" s="79"/>
      <c r="AR5203" s="78"/>
      <c r="AS5203" s="78"/>
      <c r="AT5203" s="79"/>
      <c r="AU5203" s="79"/>
      <c r="AV5203" s="79"/>
      <c r="AW5203" s="79"/>
      <c r="AX5203" s="79"/>
      <c r="AZ5203" s="81"/>
      <c r="BB5203" s="5"/>
      <c r="BC5203" s="5"/>
      <c r="BD5203" s="5"/>
      <c r="BE5203" s="5"/>
      <c r="BF5203" s="5"/>
      <c r="BG5203" s="5"/>
      <c r="BH5203" s="5"/>
      <c r="BI5203" s="5"/>
      <c r="BJ5203" s="5"/>
      <c r="BK5203" s="5"/>
      <c r="BL5203" s="5"/>
      <c r="BM5203" s="5"/>
      <c r="BN5203" s="5"/>
      <c r="BO5203" s="5"/>
      <c r="BP5203" s="5"/>
    </row>
    <row r="5204" spans="35:68" x14ac:dyDescent="0.25">
      <c r="AI5204" s="49"/>
      <c r="AJ5204" s="78"/>
      <c r="AK5204" s="79"/>
      <c r="AL5204" s="79"/>
      <c r="AM5204" s="79"/>
      <c r="AN5204" s="79"/>
      <c r="AO5204" s="79"/>
      <c r="AP5204" s="79"/>
      <c r="AQ5204" s="79"/>
      <c r="AR5204" s="78"/>
      <c r="AS5204" s="78"/>
      <c r="AT5204" s="79"/>
      <c r="AU5204" s="79"/>
      <c r="AV5204" s="79"/>
      <c r="AW5204" s="79"/>
      <c r="AX5204" s="79"/>
      <c r="AZ5204" s="81"/>
      <c r="BB5204" s="5"/>
      <c r="BC5204" s="5"/>
      <c r="BD5204" s="5"/>
      <c r="BE5204" s="5"/>
      <c r="BF5204" s="5"/>
      <c r="BG5204" s="5"/>
      <c r="BH5204" s="5"/>
      <c r="BI5204" s="5"/>
      <c r="BJ5204" s="5"/>
      <c r="BK5204" s="5"/>
      <c r="BL5204" s="5"/>
      <c r="BM5204" s="5"/>
      <c r="BN5204" s="5"/>
      <c r="BO5204" s="5"/>
      <c r="BP5204" s="5"/>
    </row>
    <row r="5205" spans="35:68" x14ac:dyDescent="0.25">
      <c r="AI5205" s="49"/>
      <c r="AJ5205" s="78"/>
      <c r="AK5205" s="79"/>
      <c r="AL5205" s="79"/>
      <c r="AM5205" s="79"/>
      <c r="AN5205" s="79"/>
      <c r="AO5205" s="79"/>
      <c r="AP5205" s="79"/>
      <c r="AQ5205" s="79"/>
      <c r="AR5205" s="78"/>
      <c r="AS5205" s="78"/>
      <c r="AT5205" s="79"/>
      <c r="AU5205" s="79"/>
      <c r="AV5205" s="79"/>
      <c r="AW5205" s="79"/>
      <c r="AX5205" s="79"/>
      <c r="AZ5205" s="81"/>
      <c r="BB5205" s="5"/>
      <c r="BC5205" s="5"/>
      <c r="BD5205" s="5"/>
      <c r="BE5205" s="5"/>
      <c r="BF5205" s="5"/>
      <c r="BG5205" s="5"/>
      <c r="BH5205" s="5"/>
      <c r="BI5205" s="5"/>
      <c r="BJ5205" s="5"/>
      <c r="BK5205" s="5"/>
      <c r="BL5205" s="5"/>
      <c r="BM5205" s="5"/>
      <c r="BN5205" s="5"/>
      <c r="BO5205" s="5"/>
      <c r="BP5205" s="5"/>
    </row>
    <row r="5206" spans="35:68" x14ac:dyDescent="0.25">
      <c r="AI5206" s="49"/>
      <c r="AJ5206" s="78"/>
      <c r="AK5206" s="79"/>
      <c r="AL5206" s="79"/>
      <c r="AM5206" s="79"/>
      <c r="AN5206" s="79"/>
      <c r="AO5206" s="79"/>
      <c r="AP5206" s="79"/>
      <c r="AQ5206" s="79"/>
      <c r="AR5206" s="78"/>
      <c r="AS5206" s="78"/>
      <c r="AT5206" s="79"/>
      <c r="AU5206" s="79"/>
      <c r="AV5206" s="79"/>
      <c r="AW5206" s="79"/>
      <c r="AX5206" s="79"/>
      <c r="AZ5206" s="81"/>
      <c r="BB5206" s="5"/>
      <c r="BC5206" s="5"/>
      <c r="BD5206" s="5"/>
      <c r="BE5206" s="5"/>
      <c r="BF5206" s="5"/>
      <c r="BG5206" s="5"/>
      <c r="BH5206" s="5"/>
      <c r="BI5206" s="5"/>
      <c r="BJ5206" s="5"/>
      <c r="BK5206" s="5"/>
      <c r="BL5206" s="5"/>
      <c r="BM5206" s="5"/>
      <c r="BN5206" s="5"/>
      <c r="BO5206" s="5"/>
      <c r="BP5206" s="5"/>
    </row>
    <row r="5207" spans="35:68" x14ac:dyDescent="0.25">
      <c r="AI5207" s="49"/>
      <c r="AJ5207" s="78"/>
      <c r="AK5207" s="79"/>
      <c r="AL5207" s="79"/>
      <c r="AM5207" s="79"/>
      <c r="AN5207" s="79"/>
      <c r="AO5207" s="79"/>
      <c r="AP5207" s="79"/>
      <c r="AQ5207" s="79"/>
      <c r="AR5207" s="78"/>
      <c r="AS5207" s="78"/>
      <c r="AT5207" s="79"/>
      <c r="AU5207" s="79"/>
      <c r="AV5207" s="79"/>
      <c r="AW5207" s="79"/>
      <c r="AX5207" s="79"/>
      <c r="AZ5207" s="81"/>
      <c r="BB5207" s="5"/>
      <c r="BC5207" s="5"/>
      <c r="BD5207" s="5"/>
      <c r="BE5207" s="5"/>
      <c r="BF5207" s="5"/>
      <c r="BG5207" s="5"/>
      <c r="BH5207" s="5"/>
      <c r="BI5207" s="5"/>
      <c r="BJ5207" s="5"/>
      <c r="BK5207" s="5"/>
      <c r="BL5207" s="5"/>
      <c r="BM5207" s="5"/>
      <c r="BN5207" s="5"/>
      <c r="BO5207" s="5"/>
      <c r="BP5207" s="5"/>
    </row>
    <row r="5208" spans="35:68" x14ac:dyDescent="0.25">
      <c r="AI5208" s="49"/>
      <c r="AJ5208" s="78"/>
      <c r="AK5208" s="79"/>
      <c r="AL5208" s="79"/>
      <c r="AM5208" s="79"/>
      <c r="AN5208" s="79"/>
      <c r="AO5208" s="79"/>
      <c r="AP5208" s="79"/>
      <c r="AQ5208" s="79"/>
      <c r="AR5208" s="78"/>
      <c r="AS5208" s="78"/>
      <c r="AT5208" s="79"/>
      <c r="AU5208" s="79"/>
      <c r="AV5208" s="79"/>
      <c r="AW5208" s="79"/>
      <c r="AX5208" s="79"/>
      <c r="AZ5208" s="81"/>
      <c r="BB5208" s="5"/>
      <c r="BC5208" s="5"/>
      <c r="BD5208" s="5"/>
      <c r="BE5208" s="5"/>
      <c r="BF5208" s="5"/>
      <c r="BG5208" s="5"/>
      <c r="BH5208" s="5"/>
      <c r="BI5208" s="5"/>
      <c r="BJ5208" s="5"/>
      <c r="BK5208" s="5"/>
      <c r="BL5208" s="5"/>
      <c r="BM5208" s="5"/>
      <c r="BN5208" s="5"/>
      <c r="BO5208" s="5"/>
      <c r="BP5208" s="5"/>
    </row>
    <row r="5209" spans="35:68" x14ac:dyDescent="0.25">
      <c r="AI5209" s="49"/>
      <c r="AJ5209" s="78"/>
      <c r="AK5209" s="79"/>
      <c r="AL5209" s="79"/>
      <c r="AM5209" s="79"/>
      <c r="AN5209" s="79"/>
      <c r="AO5209" s="79"/>
      <c r="AP5209" s="79"/>
      <c r="AQ5209" s="79"/>
      <c r="AR5209" s="78"/>
      <c r="AS5209" s="78"/>
      <c r="AT5209" s="79"/>
      <c r="AU5209" s="79"/>
      <c r="AV5209" s="79"/>
      <c r="AW5209" s="79"/>
      <c r="AX5209" s="79"/>
      <c r="AZ5209" s="81"/>
      <c r="BB5209" s="5"/>
      <c r="BC5209" s="5"/>
      <c r="BD5209" s="5"/>
      <c r="BE5209" s="5"/>
      <c r="BF5209" s="5"/>
      <c r="BG5209" s="5"/>
      <c r="BH5209" s="5"/>
      <c r="BI5209" s="5"/>
      <c r="BJ5209" s="5"/>
      <c r="BK5209" s="5"/>
      <c r="BL5209" s="5"/>
      <c r="BM5209" s="5"/>
      <c r="BN5209" s="5"/>
      <c r="BO5209" s="5"/>
      <c r="BP5209" s="5"/>
    </row>
    <row r="5210" spans="35:68" x14ac:dyDescent="0.25">
      <c r="AI5210" s="49"/>
      <c r="AJ5210" s="78"/>
      <c r="AK5210" s="79"/>
      <c r="AL5210" s="79"/>
      <c r="AM5210" s="79"/>
      <c r="AN5210" s="79"/>
      <c r="AO5210" s="79"/>
      <c r="AP5210" s="79"/>
      <c r="AQ5210" s="79"/>
      <c r="AR5210" s="78"/>
      <c r="AS5210" s="78"/>
      <c r="AT5210" s="79"/>
      <c r="AU5210" s="79"/>
      <c r="AV5210" s="79"/>
      <c r="AW5210" s="79"/>
      <c r="AX5210" s="79"/>
      <c r="AZ5210" s="81"/>
      <c r="BB5210" s="5"/>
      <c r="BC5210" s="5"/>
      <c r="BD5210" s="5"/>
      <c r="BE5210" s="5"/>
      <c r="BF5210" s="5"/>
      <c r="BG5210" s="5"/>
      <c r="BH5210" s="5"/>
      <c r="BI5210" s="5"/>
      <c r="BJ5210" s="5"/>
      <c r="BK5210" s="5"/>
      <c r="BL5210" s="5"/>
      <c r="BM5210" s="5"/>
      <c r="BN5210" s="5"/>
      <c r="BO5210" s="5"/>
      <c r="BP5210" s="5"/>
    </row>
    <row r="5211" spans="35:68" x14ac:dyDescent="0.25">
      <c r="AI5211" s="49"/>
      <c r="AJ5211" s="78"/>
      <c r="AK5211" s="79"/>
      <c r="AL5211" s="79"/>
      <c r="AM5211" s="79"/>
      <c r="AN5211" s="79"/>
      <c r="AO5211" s="79"/>
      <c r="AP5211" s="79"/>
      <c r="AQ5211" s="79"/>
      <c r="AR5211" s="78"/>
      <c r="AS5211" s="78"/>
      <c r="AT5211" s="79"/>
      <c r="AU5211" s="79"/>
      <c r="AV5211" s="79"/>
      <c r="AW5211" s="79"/>
      <c r="AX5211" s="79"/>
      <c r="AZ5211" s="81"/>
      <c r="BB5211" s="5"/>
      <c r="BC5211" s="5"/>
      <c r="BD5211" s="5"/>
      <c r="BE5211" s="5"/>
      <c r="BF5211" s="5"/>
      <c r="BG5211" s="5"/>
      <c r="BH5211" s="5"/>
      <c r="BI5211" s="5"/>
      <c r="BJ5211" s="5"/>
      <c r="BK5211" s="5"/>
      <c r="BL5211" s="5"/>
      <c r="BM5211" s="5"/>
      <c r="BN5211" s="5"/>
      <c r="BO5211" s="5"/>
      <c r="BP5211" s="5"/>
    </row>
    <row r="5212" spans="35:68" x14ac:dyDescent="0.25">
      <c r="AI5212" s="49"/>
      <c r="AJ5212" s="78"/>
      <c r="AK5212" s="79"/>
      <c r="AL5212" s="79"/>
      <c r="AM5212" s="79"/>
      <c r="AN5212" s="79"/>
      <c r="AO5212" s="79"/>
      <c r="AP5212" s="79"/>
      <c r="AQ5212" s="79"/>
      <c r="AR5212" s="78"/>
      <c r="AS5212" s="78"/>
      <c r="AT5212" s="79"/>
      <c r="AU5212" s="79"/>
      <c r="AV5212" s="79"/>
      <c r="AW5212" s="79"/>
      <c r="AX5212" s="79"/>
      <c r="AZ5212" s="81"/>
      <c r="BB5212" s="5"/>
      <c r="BC5212" s="5"/>
      <c r="BD5212" s="5"/>
      <c r="BE5212" s="5"/>
      <c r="BF5212" s="5"/>
      <c r="BG5212" s="5"/>
      <c r="BH5212" s="5"/>
      <c r="BI5212" s="5"/>
      <c r="BJ5212" s="5"/>
      <c r="BK5212" s="5"/>
      <c r="BL5212" s="5"/>
      <c r="BM5212" s="5"/>
      <c r="BN5212" s="5"/>
      <c r="BO5212" s="5"/>
      <c r="BP5212" s="5"/>
    </row>
    <row r="5213" spans="35:68" x14ac:dyDescent="0.25">
      <c r="AI5213" s="49"/>
      <c r="AJ5213" s="78"/>
      <c r="AK5213" s="79"/>
      <c r="AL5213" s="79"/>
      <c r="AM5213" s="79"/>
      <c r="AN5213" s="79"/>
      <c r="AO5213" s="79"/>
      <c r="AP5213" s="79"/>
      <c r="AQ5213" s="79"/>
      <c r="AR5213" s="78"/>
      <c r="AS5213" s="78"/>
      <c r="AT5213" s="79"/>
      <c r="AU5213" s="79"/>
      <c r="AV5213" s="79"/>
      <c r="AW5213" s="79"/>
      <c r="AX5213" s="79"/>
      <c r="AZ5213" s="81"/>
      <c r="BB5213" s="5"/>
      <c r="BC5213" s="5"/>
      <c r="BD5213" s="5"/>
      <c r="BE5213" s="5"/>
      <c r="BF5213" s="5"/>
      <c r="BG5213" s="5"/>
      <c r="BH5213" s="5"/>
      <c r="BI5213" s="5"/>
      <c r="BJ5213" s="5"/>
      <c r="BK5213" s="5"/>
      <c r="BL5213" s="5"/>
      <c r="BM5213" s="5"/>
      <c r="BN5213" s="5"/>
      <c r="BO5213" s="5"/>
      <c r="BP5213" s="5"/>
    </row>
    <row r="5214" spans="35:68" x14ac:dyDescent="0.25">
      <c r="AI5214" s="49"/>
      <c r="AJ5214" s="78"/>
      <c r="AK5214" s="79"/>
      <c r="AL5214" s="79"/>
      <c r="AM5214" s="79"/>
      <c r="AN5214" s="79"/>
      <c r="AO5214" s="79"/>
      <c r="AP5214" s="79"/>
      <c r="AQ5214" s="79"/>
      <c r="AR5214" s="78"/>
      <c r="AS5214" s="78"/>
      <c r="AT5214" s="79"/>
      <c r="AU5214" s="79"/>
      <c r="AV5214" s="79"/>
      <c r="AW5214" s="79"/>
      <c r="AX5214" s="79"/>
      <c r="AZ5214" s="81"/>
      <c r="BB5214" s="5"/>
      <c r="BC5214" s="5"/>
      <c r="BD5214" s="5"/>
      <c r="BE5214" s="5"/>
      <c r="BF5214" s="5"/>
      <c r="BG5214" s="5"/>
      <c r="BH5214" s="5"/>
      <c r="BI5214" s="5"/>
      <c r="BJ5214" s="5"/>
      <c r="BK5214" s="5"/>
      <c r="BL5214" s="5"/>
      <c r="BM5214" s="5"/>
      <c r="BN5214" s="5"/>
      <c r="BO5214" s="5"/>
      <c r="BP5214" s="5"/>
    </row>
    <row r="5215" spans="35:68" x14ac:dyDescent="0.25">
      <c r="AI5215" s="49"/>
      <c r="AJ5215" s="78"/>
      <c r="AK5215" s="79"/>
      <c r="AL5215" s="79"/>
      <c r="AM5215" s="79"/>
      <c r="AN5215" s="79"/>
      <c r="AO5215" s="79"/>
      <c r="AP5215" s="79"/>
      <c r="AQ5215" s="79"/>
      <c r="AR5215" s="78"/>
      <c r="AS5215" s="78"/>
      <c r="AT5215" s="79"/>
      <c r="AU5215" s="79"/>
      <c r="AV5215" s="79"/>
      <c r="AW5215" s="79"/>
      <c r="AX5215" s="79"/>
      <c r="AZ5215" s="81"/>
      <c r="BB5215" s="5"/>
      <c r="BC5215" s="5"/>
      <c r="BD5215" s="5"/>
      <c r="BE5215" s="5"/>
      <c r="BF5215" s="5"/>
      <c r="BG5215" s="5"/>
      <c r="BH5215" s="5"/>
      <c r="BI5215" s="5"/>
      <c r="BJ5215" s="5"/>
      <c r="BK5215" s="5"/>
      <c r="BL5215" s="5"/>
      <c r="BM5215" s="5"/>
      <c r="BN5215" s="5"/>
      <c r="BO5215" s="5"/>
      <c r="BP5215" s="5"/>
    </row>
    <row r="5216" spans="35:68" x14ac:dyDescent="0.25">
      <c r="AI5216" s="49"/>
      <c r="AJ5216" s="78"/>
      <c r="AK5216" s="79"/>
      <c r="AL5216" s="79"/>
      <c r="AM5216" s="79"/>
      <c r="AN5216" s="79"/>
      <c r="AO5216" s="79"/>
      <c r="AP5216" s="79"/>
      <c r="AQ5216" s="79"/>
      <c r="AR5216" s="78"/>
      <c r="AS5216" s="78"/>
      <c r="AT5216" s="79"/>
      <c r="AU5216" s="79"/>
      <c r="AV5216" s="79"/>
      <c r="AW5216" s="79"/>
      <c r="AX5216" s="79"/>
      <c r="AZ5216" s="81"/>
      <c r="BB5216" s="5"/>
      <c r="BC5216" s="5"/>
      <c r="BD5216" s="5"/>
      <c r="BE5216" s="5"/>
      <c r="BF5216" s="5"/>
      <c r="BG5216" s="5"/>
      <c r="BH5216" s="5"/>
      <c r="BI5216" s="5"/>
      <c r="BJ5216" s="5"/>
      <c r="BK5216" s="5"/>
      <c r="BL5216" s="5"/>
      <c r="BM5216" s="5"/>
      <c r="BN5216" s="5"/>
      <c r="BO5216" s="5"/>
      <c r="BP5216" s="5"/>
    </row>
    <row r="5217" spans="35:68" x14ac:dyDescent="0.25">
      <c r="AI5217" s="49"/>
      <c r="AJ5217" s="78"/>
      <c r="AK5217" s="79"/>
      <c r="AL5217" s="79"/>
      <c r="AM5217" s="79"/>
      <c r="AN5217" s="79"/>
      <c r="AO5217" s="79"/>
      <c r="AP5217" s="79"/>
      <c r="AQ5217" s="79"/>
      <c r="AR5217" s="78"/>
      <c r="AS5217" s="78"/>
      <c r="AT5217" s="79"/>
      <c r="AU5217" s="79"/>
      <c r="AV5217" s="79"/>
      <c r="AW5217" s="79"/>
      <c r="AX5217" s="79"/>
      <c r="AZ5217" s="81"/>
      <c r="BB5217" s="5"/>
      <c r="BC5217" s="5"/>
      <c r="BD5217" s="5"/>
      <c r="BE5217" s="5"/>
      <c r="BF5217" s="5"/>
      <c r="BG5217" s="5"/>
      <c r="BH5217" s="5"/>
      <c r="BI5217" s="5"/>
      <c r="BJ5217" s="5"/>
      <c r="BK5217" s="5"/>
      <c r="BL5217" s="5"/>
      <c r="BM5217" s="5"/>
      <c r="BN5217" s="5"/>
      <c r="BO5217" s="5"/>
      <c r="BP5217" s="5"/>
    </row>
    <row r="5218" spans="35:68" x14ac:dyDescent="0.25">
      <c r="AI5218" s="49"/>
      <c r="AJ5218" s="78"/>
      <c r="AK5218" s="79"/>
      <c r="AL5218" s="79"/>
      <c r="AM5218" s="79"/>
      <c r="AN5218" s="79"/>
      <c r="AO5218" s="79"/>
      <c r="AP5218" s="79"/>
      <c r="AQ5218" s="79"/>
      <c r="AR5218" s="78"/>
      <c r="AS5218" s="78"/>
      <c r="AT5218" s="79"/>
      <c r="AU5218" s="79"/>
      <c r="AV5218" s="79"/>
      <c r="AW5218" s="79"/>
      <c r="AX5218" s="79"/>
      <c r="AZ5218" s="81"/>
      <c r="BB5218" s="5"/>
      <c r="BC5218" s="5"/>
      <c r="BD5218" s="5"/>
      <c r="BE5218" s="5"/>
      <c r="BF5218" s="5"/>
      <c r="BG5218" s="5"/>
      <c r="BH5218" s="5"/>
      <c r="BI5218" s="5"/>
      <c r="BJ5218" s="5"/>
      <c r="BK5218" s="5"/>
      <c r="BL5218" s="5"/>
      <c r="BM5218" s="5"/>
      <c r="BN5218" s="5"/>
      <c r="BO5218" s="5"/>
      <c r="BP5218" s="5"/>
    </row>
    <row r="5219" spans="35:68" x14ac:dyDescent="0.25">
      <c r="AI5219" s="49"/>
      <c r="AJ5219" s="78"/>
      <c r="AK5219" s="79"/>
      <c r="AL5219" s="79"/>
      <c r="AM5219" s="79"/>
      <c r="AN5219" s="79"/>
      <c r="AO5219" s="79"/>
      <c r="AP5219" s="79"/>
      <c r="AQ5219" s="79"/>
      <c r="AR5219" s="78"/>
      <c r="AS5219" s="78"/>
      <c r="AT5219" s="79"/>
      <c r="AU5219" s="79"/>
      <c r="AV5219" s="79"/>
      <c r="AW5219" s="79"/>
      <c r="AX5219" s="79"/>
      <c r="AZ5219" s="81"/>
      <c r="BB5219" s="5"/>
      <c r="BC5219" s="5"/>
      <c r="BD5219" s="5"/>
      <c r="BE5219" s="5"/>
      <c r="BF5219" s="5"/>
      <c r="BG5219" s="5"/>
      <c r="BH5219" s="5"/>
      <c r="BI5219" s="5"/>
      <c r="BJ5219" s="5"/>
      <c r="BK5219" s="5"/>
      <c r="BL5219" s="5"/>
      <c r="BM5219" s="5"/>
      <c r="BN5219" s="5"/>
      <c r="BO5219" s="5"/>
      <c r="BP5219" s="5"/>
    </row>
    <row r="5220" spans="35:68" x14ac:dyDescent="0.25">
      <c r="AI5220" s="49"/>
      <c r="AJ5220" s="78"/>
      <c r="AK5220" s="79"/>
      <c r="AL5220" s="79"/>
      <c r="AM5220" s="79"/>
      <c r="AN5220" s="79"/>
      <c r="AO5220" s="79"/>
      <c r="AP5220" s="79"/>
      <c r="AQ5220" s="79"/>
      <c r="AR5220" s="78"/>
      <c r="AS5220" s="78"/>
      <c r="AT5220" s="79"/>
      <c r="AU5220" s="79"/>
      <c r="AV5220" s="79"/>
      <c r="AW5220" s="79"/>
      <c r="AX5220" s="79"/>
      <c r="AZ5220" s="81"/>
      <c r="BB5220" s="5"/>
      <c r="BC5220" s="5"/>
      <c r="BD5220" s="5"/>
      <c r="BE5220" s="5"/>
      <c r="BF5220" s="5"/>
      <c r="BG5220" s="5"/>
      <c r="BH5220" s="5"/>
      <c r="BI5220" s="5"/>
      <c r="BJ5220" s="5"/>
      <c r="BK5220" s="5"/>
      <c r="BL5220" s="5"/>
      <c r="BM5220" s="5"/>
      <c r="BN5220" s="5"/>
      <c r="BO5220" s="5"/>
      <c r="BP5220" s="5"/>
    </row>
    <row r="5221" spans="35:68" x14ac:dyDescent="0.25">
      <c r="AI5221" s="49"/>
      <c r="AJ5221" s="78"/>
      <c r="AK5221" s="79"/>
      <c r="AL5221" s="79"/>
      <c r="AM5221" s="79"/>
      <c r="AN5221" s="79"/>
      <c r="AO5221" s="79"/>
      <c r="AP5221" s="79"/>
      <c r="AQ5221" s="79"/>
      <c r="AR5221" s="78"/>
      <c r="AS5221" s="78"/>
      <c r="AT5221" s="79"/>
      <c r="AU5221" s="79"/>
      <c r="AV5221" s="79"/>
      <c r="AW5221" s="79"/>
      <c r="AX5221" s="79"/>
      <c r="AZ5221" s="81"/>
      <c r="BB5221" s="5"/>
      <c r="BC5221" s="5"/>
      <c r="BD5221" s="5"/>
      <c r="BE5221" s="5"/>
      <c r="BF5221" s="5"/>
      <c r="BG5221" s="5"/>
      <c r="BH5221" s="5"/>
      <c r="BI5221" s="5"/>
      <c r="BJ5221" s="5"/>
      <c r="BK5221" s="5"/>
      <c r="BL5221" s="5"/>
      <c r="BM5221" s="5"/>
      <c r="BN5221" s="5"/>
      <c r="BO5221" s="5"/>
      <c r="BP5221" s="5"/>
    </row>
    <row r="5222" spans="35:68" x14ac:dyDescent="0.25">
      <c r="AI5222" s="49"/>
      <c r="AJ5222" s="78"/>
      <c r="AK5222" s="79"/>
      <c r="AL5222" s="79"/>
      <c r="AM5222" s="79"/>
      <c r="AN5222" s="79"/>
      <c r="AO5222" s="79"/>
      <c r="AP5222" s="79"/>
      <c r="AQ5222" s="79"/>
      <c r="AR5222" s="78"/>
      <c r="AS5222" s="78"/>
      <c r="AT5222" s="79"/>
      <c r="AU5222" s="79"/>
      <c r="AV5222" s="79"/>
      <c r="AW5222" s="79"/>
      <c r="AX5222" s="79"/>
      <c r="AZ5222" s="81"/>
      <c r="BB5222" s="5"/>
      <c r="BC5222" s="5"/>
      <c r="BD5222" s="5"/>
      <c r="BE5222" s="5"/>
      <c r="BF5222" s="5"/>
      <c r="BG5222" s="5"/>
      <c r="BH5222" s="5"/>
      <c r="BI5222" s="5"/>
      <c r="BJ5222" s="5"/>
      <c r="BK5222" s="5"/>
      <c r="BL5222" s="5"/>
      <c r="BM5222" s="5"/>
      <c r="BN5222" s="5"/>
      <c r="BO5222" s="5"/>
      <c r="BP5222" s="5"/>
    </row>
    <row r="5223" spans="35:68" x14ac:dyDescent="0.25">
      <c r="AI5223" s="49"/>
      <c r="AJ5223" s="78"/>
      <c r="AK5223" s="79"/>
      <c r="AL5223" s="79"/>
      <c r="AM5223" s="79"/>
      <c r="AN5223" s="79"/>
      <c r="AO5223" s="79"/>
      <c r="AP5223" s="79"/>
      <c r="AQ5223" s="79"/>
      <c r="AR5223" s="78"/>
      <c r="AS5223" s="78"/>
      <c r="AT5223" s="79"/>
      <c r="AU5223" s="79"/>
      <c r="AV5223" s="79"/>
      <c r="AW5223" s="79"/>
      <c r="AX5223" s="79"/>
      <c r="AZ5223" s="81"/>
      <c r="BB5223" s="5"/>
      <c r="BC5223" s="5"/>
      <c r="BD5223" s="5"/>
      <c r="BE5223" s="5"/>
      <c r="BF5223" s="5"/>
      <c r="BG5223" s="5"/>
      <c r="BH5223" s="5"/>
      <c r="BI5223" s="5"/>
      <c r="BJ5223" s="5"/>
      <c r="BK5223" s="5"/>
      <c r="BL5223" s="5"/>
      <c r="BM5223" s="5"/>
      <c r="BN5223" s="5"/>
      <c r="BO5223" s="5"/>
      <c r="BP5223" s="5"/>
    </row>
    <row r="5224" spans="35:68" x14ac:dyDescent="0.25">
      <c r="AI5224" s="49"/>
      <c r="AJ5224" s="78"/>
      <c r="AK5224" s="79"/>
      <c r="AL5224" s="79"/>
      <c r="AM5224" s="79"/>
      <c r="AN5224" s="79"/>
      <c r="AO5224" s="79"/>
      <c r="AP5224" s="79"/>
      <c r="AQ5224" s="79"/>
      <c r="AR5224" s="78"/>
      <c r="AS5224" s="78"/>
      <c r="AT5224" s="79"/>
      <c r="AU5224" s="79"/>
      <c r="AV5224" s="79"/>
      <c r="AW5224" s="79"/>
      <c r="AX5224" s="79"/>
      <c r="AZ5224" s="81"/>
      <c r="BB5224" s="5"/>
      <c r="BC5224" s="5"/>
      <c r="BD5224" s="5"/>
      <c r="BE5224" s="5"/>
      <c r="BF5224" s="5"/>
      <c r="BG5224" s="5"/>
      <c r="BH5224" s="5"/>
      <c r="BI5224" s="5"/>
      <c r="BJ5224" s="5"/>
      <c r="BK5224" s="5"/>
      <c r="BL5224" s="5"/>
      <c r="BM5224" s="5"/>
      <c r="BN5224" s="5"/>
      <c r="BO5224" s="5"/>
      <c r="BP5224" s="5"/>
    </row>
    <row r="5225" spans="35:68" x14ac:dyDescent="0.25">
      <c r="AI5225" s="49"/>
      <c r="AJ5225" s="78"/>
      <c r="AK5225" s="79"/>
      <c r="AL5225" s="79"/>
      <c r="AM5225" s="79"/>
      <c r="AN5225" s="79"/>
      <c r="AO5225" s="79"/>
      <c r="AP5225" s="79"/>
      <c r="AQ5225" s="79"/>
      <c r="AR5225" s="78"/>
      <c r="AS5225" s="78"/>
      <c r="AT5225" s="79"/>
      <c r="AU5225" s="79"/>
      <c r="AV5225" s="79"/>
      <c r="AW5225" s="79"/>
      <c r="AX5225" s="79"/>
      <c r="AZ5225" s="81"/>
      <c r="BB5225" s="5"/>
      <c r="BC5225" s="5"/>
      <c r="BD5225" s="5"/>
      <c r="BE5225" s="5"/>
      <c r="BF5225" s="5"/>
      <c r="BG5225" s="5"/>
      <c r="BH5225" s="5"/>
      <c r="BI5225" s="5"/>
      <c r="BJ5225" s="5"/>
      <c r="BK5225" s="5"/>
      <c r="BL5225" s="5"/>
      <c r="BM5225" s="5"/>
      <c r="BN5225" s="5"/>
      <c r="BO5225" s="5"/>
      <c r="BP5225" s="5"/>
    </row>
    <row r="5226" spans="35:68" x14ac:dyDescent="0.25">
      <c r="AI5226" s="49"/>
      <c r="AJ5226" s="78"/>
      <c r="AK5226" s="79"/>
      <c r="AL5226" s="79"/>
      <c r="AM5226" s="79"/>
      <c r="AN5226" s="79"/>
      <c r="AO5226" s="79"/>
      <c r="AP5226" s="79"/>
      <c r="AQ5226" s="79"/>
      <c r="AR5226" s="78"/>
      <c r="AS5226" s="78"/>
      <c r="AT5226" s="79"/>
      <c r="AU5226" s="79"/>
      <c r="AV5226" s="79"/>
      <c r="AW5226" s="79"/>
      <c r="AX5226" s="79"/>
      <c r="AZ5226" s="81"/>
      <c r="BB5226" s="5"/>
      <c r="BC5226" s="5"/>
      <c r="BD5226" s="5"/>
      <c r="BE5226" s="5"/>
      <c r="BF5226" s="5"/>
      <c r="BG5226" s="5"/>
      <c r="BH5226" s="5"/>
      <c r="BI5226" s="5"/>
      <c r="BJ5226" s="5"/>
      <c r="BK5226" s="5"/>
      <c r="BL5226" s="5"/>
      <c r="BM5226" s="5"/>
      <c r="BN5226" s="5"/>
      <c r="BO5226" s="5"/>
      <c r="BP5226" s="5"/>
    </row>
    <row r="5227" spans="35:68" x14ac:dyDescent="0.25">
      <c r="AI5227" s="49"/>
      <c r="AJ5227" s="78"/>
      <c r="AK5227" s="79"/>
      <c r="AL5227" s="79"/>
      <c r="AM5227" s="79"/>
      <c r="AN5227" s="79"/>
      <c r="AO5227" s="79"/>
      <c r="AP5227" s="79"/>
      <c r="AQ5227" s="79"/>
      <c r="AR5227" s="78"/>
      <c r="AS5227" s="78"/>
      <c r="AT5227" s="79"/>
      <c r="AU5227" s="79"/>
      <c r="AV5227" s="79"/>
      <c r="AW5227" s="79"/>
      <c r="AX5227" s="79"/>
      <c r="AZ5227" s="81"/>
      <c r="BB5227" s="5"/>
      <c r="BC5227" s="5"/>
      <c r="BD5227" s="5"/>
      <c r="BE5227" s="5"/>
      <c r="BF5227" s="5"/>
      <c r="BG5227" s="5"/>
      <c r="BH5227" s="5"/>
      <c r="BI5227" s="5"/>
      <c r="BJ5227" s="5"/>
      <c r="BK5227" s="5"/>
      <c r="BL5227" s="5"/>
      <c r="BM5227" s="5"/>
      <c r="BN5227" s="5"/>
      <c r="BO5227" s="5"/>
      <c r="BP5227" s="5"/>
    </row>
    <row r="5228" spans="35:68" x14ac:dyDescent="0.25">
      <c r="AI5228" s="49"/>
      <c r="AJ5228" s="78"/>
      <c r="AK5228" s="79"/>
      <c r="AL5228" s="79"/>
      <c r="AM5228" s="79"/>
      <c r="AN5228" s="79"/>
      <c r="AO5228" s="79"/>
      <c r="AP5228" s="79"/>
      <c r="AQ5228" s="79"/>
      <c r="AR5228" s="78"/>
      <c r="AS5228" s="78"/>
      <c r="AT5228" s="79"/>
      <c r="AU5228" s="79"/>
      <c r="AV5228" s="79"/>
      <c r="AW5228" s="79"/>
      <c r="AX5228" s="79"/>
      <c r="AZ5228" s="81"/>
      <c r="BB5228" s="5"/>
      <c r="BC5228" s="5"/>
      <c r="BD5228" s="5"/>
      <c r="BE5228" s="5"/>
      <c r="BF5228" s="5"/>
      <c r="BG5228" s="5"/>
      <c r="BH5228" s="5"/>
      <c r="BI5228" s="5"/>
      <c r="BJ5228" s="5"/>
      <c r="BK5228" s="5"/>
      <c r="BL5228" s="5"/>
      <c r="BM5228" s="5"/>
      <c r="BN5228" s="5"/>
      <c r="BO5228" s="5"/>
      <c r="BP5228" s="5"/>
    </row>
    <row r="5229" spans="35:68" x14ac:dyDescent="0.25">
      <c r="AI5229" s="49"/>
      <c r="AJ5229" s="78"/>
      <c r="AK5229" s="79"/>
      <c r="AL5229" s="79"/>
      <c r="AM5229" s="79"/>
      <c r="AN5229" s="79"/>
      <c r="AO5229" s="79"/>
      <c r="AP5229" s="79"/>
      <c r="AQ5229" s="79"/>
      <c r="AR5229" s="78"/>
      <c r="AS5229" s="78"/>
      <c r="AT5229" s="79"/>
      <c r="AU5229" s="79"/>
      <c r="AV5229" s="79"/>
      <c r="AW5229" s="79"/>
      <c r="AX5229" s="79"/>
      <c r="AZ5229" s="81"/>
      <c r="BB5229" s="5"/>
      <c r="BC5229" s="5"/>
      <c r="BD5229" s="5"/>
      <c r="BE5229" s="5"/>
      <c r="BF5229" s="5"/>
      <c r="BG5229" s="5"/>
      <c r="BH5229" s="5"/>
      <c r="BI5229" s="5"/>
      <c r="BJ5229" s="5"/>
      <c r="BK5229" s="5"/>
      <c r="BL5229" s="5"/>
      <c r="BM5229" s="5"/>
      <c r="BN5229" s="5"/>
      <c r="BO5229" s="5"/>
      <c r="BP5229" s="5"/>
    </row>
    <row r="5230" spans="35:68" x14ac:dyDescent="0.25">
      <c r="AI5230" s="49"/>
      <c r="AJ5230" s="78"/>
      <c r="AK5230" s="79"/>
      <c r="AL5230" s="79"/>
      <c r="AM5230" s="79"/>
      <c r="AN5230" s="79"/>
      <c r="AO5230" s="79"/>
      <c r="AP5230" s="79"/>
      <c r="AQ5230" s="79"/>
      <c r="AR5230" s="78"/>
      <c r="AS5230" s="78"/>
      <c r="AT5230" s="79"/>
      <c r="AU5230" s="79"/>
      <c r="AV5230" s="79"/>
      <c r="AW5230" s="79"/>
      <c r="AX5230" s="79"/>
      <c r="AZ5230" s="81"/>
      <c r="BB5230" s="5"/>
      <c r="BC5230" s="5"/>
      <c r="BD5230" s="5"/>
      <c r="BE5230" s="5"/>
      <c r="BF5230" s="5"/>
      <c r="BG5230" s="5"/>
      <c r="BH5230" s="5"/>
      <c r="BI5230" s="5"/>
      <c r="BJ5230" s="5"/>
      <c r="BK5230" s="5"/>
      <c r="BL5230" s="5"/>
      <c r="BM5230" s="5"/>
      <c r="BN5230" s="5"/>
      <c r="BO5230" s="5"/>
      <c r="BP5230" s="5"/>
    </row>
    <row r="5231" spans="35:68" x14ac:dyDescent="0.25">
      <c r="AI5231" s="49"/>
      <c r="AJ5231" s="78"/>
      <c r="AK5231" s="79"/>
      <c r="AL5231" s="79"/>
      <c r="AM5231" s="79"/>
      <c r="AN5231" s="79"/>
      <c r="AO5231" s="79"/>
      <c r="AP5231" s="79"/>
      <c r="AQ5231" s="79"/>
      <c r="AR5231" s="78"/>
      <c r="AS5231" s="78"/>
      <c r="AT5231" s="79"/>
      <c r="AU5231" s="79"/>
      <c r="AV5231" s="79"/>
      <c r="AW5231" s="79"/>
      <c r="AX5231" s="79"/>
      <c r="AZ5231" s="81"/>
      <c r="BB5231" s="5"/>
      <c r="BC5231" s="5"/>
      <c r="BD5231" s="5"/>
      <c r="BE5231" s="5"/>
      <c r="BF5231" s="5"/>
      <c r="BG5231" s="5"/>
      <c r="BH5231" s="5"/>
      <c r="BI5231" s="5"/>
      <c r="BJ5231" s="5"/>
      <c r="BK5231" s="5"/>
      <c r="BL5231" s="5"/>
      <c r="BM5231" s="5"/>
      <c r="BN5231" s="5"/>
      <c r="BO5231" s="5"/>
      <c r="BP5231" s="5"/>
    </row>
    <row r="5232" spans="35:68" x14ac:dyDescent="0.25">
      <c r="AI5232" s="49"/>
      <c r="AJ5232" s="78"/>
      <c r="AK5232" s="79"/>
      <c r="AL5232" s="79"/>
      <c r="AM5232" s="79"/>
      <c r="AN5232" s="79"/>
      <c r="AO5232" s="79"/>
      <c r="AP5232" s="79"/>
      <c r="AQ5232" s="79"/>
      <c r="AR5232" s="78"/>
      <c r="AS5232" s="78"/>
      <c r="AT5232" s="79"/>
      <c r="AU5232" s="79"/>
      <c r="AV5232" s="79"/>
      <c r="AW5232" s="79"/>
      <c r="AX5232" s="79"/>
      <c r="AZ5232" s="81"/>
      <c r="BB5232" s="5"/>
      <c r="BC5232" s="5"/>
      <c r="BD5232" s="5"/>
      <c r="BE5232" s="5"/>
      <c r="BF5232" s="5"/>
      <c r="BG5232" s="5"/>
      <c r="BH5232" s="5"/>
      <c r="BI5232" s="5"/>
      <c r="BJ5232" s="5"/>
      <c r="BK5232" s="5"/>
      <c r="BL5232" s="5"/>
      <c r="BM5232" s="5"/>
      <c r="BN5232" s="5"/>
      <c r="BO5232" s="5"/>
      <c r="BP5232" s="5"/>
    </row>
    <row r="5233" spans="35:68" x14ac:dyDescent="0.25">
      <c r="AI5233" s="49"/>
      <c r="AJ5233" s="78"/>
      <c r="AK5233" s="79"/>
      <c r="AL5233" s="79"/>
      <c r="AM5233" s="79"/>
      <c r="AN5233" s="79"/>
      <c r="AO5233" s="79"/>
      <c r="AP5233" s="79"/>
      <c r="AQ5233" s="79"/>
      <c r="AR5233" s="78"/>
      <c r="AS5233" s="78"/>
      <c r="AT5233" s="79"/>
      <c r="AU5233" s="79"/>
      <c r="AV5233" s="79"/>
      <c r="AW5233" s="79"/>
      <c r="AX5233" s="79"/>
      <c r="AZ5233" s="81"/>
      <c r="BB5233" s="5"/>
      <c r="BC5233" s="5"/>
      <c r="BD5233" s="5"/>
      <c r="BE5233" s="5"/>
      <c r="BF5233" s="5"/>
      <c r="BG5233" s="5"/>
      <c r="BH5233" s="5"/>
      <c r="BI5233" s="5"/>
      <c r="BJ5233" s="5"/>
      <c r="BK5233" s="5"/>
      <c r="BL5233" s="5"/>
      <c r="BM5233" s="5"/>
      <c r="BN5233" s="5"/>
      <c r="BO5233" s="5"/>
      <c r="BP5233" s="5"/>
    </row>
    <row r="5234" spans="35:68" x14ac:dyDescent="0.25">
      <c r="AI5234" s="49"/>
      <c r="AJ5234" s="78"/>
      <c r="AK5234" s="79"/>
      <c r="AL5234" s="79"/>
      <c r="AM5234" s="79"/>
      <c r="AN5234" s="79"/>
      <c r="AO5234" s="79"/>
      <c r="AP5234" s="79"/>
      <c r="AQ5234" s="79"/>
      <c r="AR5234" s="78"/>
      <c r="AS5234" s="78"/>
      <c r="AT5234" s="79"/>
      <c r="AU5234" s="79"/>
      <c r="AV5234" s="79"/>
      <c r="AW5234" s="79"/>
      <c r="AX5234" s="79"/>
      <c r="AZ5234" s="81"/>
      <c r="BB5234" s="5"/>
      <c r="BC5234" s="5"/>
      <c r="BD5234" s="5"/>
      <c r="BE5234" s="5"/>
      <c r="BF5234" s="5"/>
      <c r="BG5234" s="5"/>
      <c r="BH5234" s="5"/>
      <c r="BI5234" s="5"/>
      <c r="BJ5234" s="5"/>
      <c r="BK5234" s="5"/>
      <c r="BL5234" s="5"/>
      <c r="BM5234" s="5"/>
      <c r="BN5234" s="5"/>
      <c r="BO5234" s="5"/>
      <c r="BP5234" s="5"/>
    </row>
    <row r="5235" spans="35:68" x14ac:dyDescent="0.25">
      <c r="AI5235" s="49"/>
      <c r="AJ5235" s="78"/>
      <c r="AK5235" s="79"/>
      <c r="AL5235" s="79"/>
      <c r="AM5235" s="79"/>
      <c r="AN5235" s="79"/>
      <c r="AO5235" s="79"/>
      <c r="AP5235" s="79"/>
      <c r="AQ5235" s="79"/>
      <c r="AR5235" s="78"/>
      <c r="AS5235" s="78"/>
      <c r="AT5235" s="79"/>
      <c r="AU5235" s="79"/>
      <c r="AV5235" s="79"/>
      <c r="AW5235" s="79"/>
      <c r="AX5235" s="79"/>
      <c r="AZ5235" s="81"/>
      <c r="BB5235" s="5"/>
      <c r="BC5235" s="5"/>
      <c r="BD5235" s="5"/>
      <c r="BE5235" s="5"/>
      <c r="BF5235" s="5"/>
      <c r="BG5235" s="5"/>
      <c r="BH5235" s="5"/>
      <c r="BI5235" s="5"/>
      <c r="BJ5235" s="5"/>
      <c r="BK5235" s="5"/>
      <c r="BL5235" s="5"/>
      <c r="BM5235" s="5"/>
      <c r="BN5235" s="5"/>
      <c r="BO5235" s="5"/>
      <c r="BP5235" s="5"/>
    </row>
    <row r="5236" spans="35:68" x14ac:dyDescent="0.25">
      <c r="AI5236" s="49"/>
      <c r="AJ5236" s="78"/>
      <c r="AK5236" s="79"/>
      <c r="AL5236" s="79"/>
      <c r="AM5236" s="79"/>
      <c r="AN5236" s="79"/>
      <c r="AO5236" s="79"/>
      <c r="AP5236" s="79"/>
      <c r="AQ5236" s="79"/>
      <c r="AR5236" s="78"/>
      <c r="AS5236" s="78"/>
      <c r="AT5236" s="79"/>
      <c r="AU5236" s="79"/>
      <c r="AV5236" s="79"/>
      <c r="AW5236" s="79"/>
      <c r="AX5236" s="79"/>
      <c r="AZ5236" s="81"/>
      <c r="BB5236" s="5"/>
      <c r="BC5236" s="5"/>
      <c r="BD5236" s="5"/>
      <c r="BE5236" s="5"/>
      <c r="BF5236" s="5"/>
      <c r="BG5236" s="5"/>
      <c r="BH5236" s="5"/>
      <c r="BI5236" s="5"/>
      <c r="BJ5236" s="5"/>
      <c r="BK5236" s="5"/>
      <c r="BL5236" s="5"/>
      <c r="BM5236" s="5"/>
      <c r="BN5236" s="5"/>
      <c r="BO5236" s="5"/>
      <c r="BP5236" s="5"/>
    </row>
    <row r="5237" spans="35:68" x14ac:dyDescent="0.25">
      <c r="AI5237" s="49"/>
      <c r="AJ5237" s="78"/>
      <c r="AK5237" s="79"/>
      <c r="AL5237" s="79"/>
      <c r="AM5237" s="79"/>
      <c r="AN5237" s="79"/>
      <c r="AO5237" s="79"/>
      <c r="AP5237" s="79"/>
      <c r="AQ5237" s="79"/>
      <c r="AR5237" s="78"/>
      <c r="AS5237" s="78"/>
      <c r="AT5237" s="79"/>
      <c r="AU5237" s="79"/>
      <c r="AV5237" s="79"/>
      <c r="AW5237" s="79"/>
      <c r="AX5237" s="79"/>
      <c r="AZ5237" s="81"/>
      <c r="BB5237" s="5"/>
      <c r="BC5237" s="5"/>
      <c r="BD5237" s="5"/>
      <c r="BE5237" s="5"/>
      <c r="BF5237" s="5"/>
      <c r="BG5237" s="5"/>
      <c r="BH5237" s="5"/>
      <c r="BI5237" s="5"/>
      <c r="BJ5237" s="5"/>
      <c r="BK5237" s="5"/>
      <c r="BL5237" s="5"/>
      <c r="BM5237" s="5"/>
      <c r="BN5237" s="5"/>
      <c r="BO5237" s="5"/>
      <c r="BP5237" s="5"/>
    </row>
    <row r="5238" spans="35:68" x14ac:dyDescent="0.25">
      <c r="AI5238" s="49"/>
      <c r="AJ5238" s="78"/>
      <c r="AK5238" s="79"/>
      <c r="AL5238" s="79"/>
      <c r="AM5238" s="79"/>
      <c r="AN5238" s="79"/>
      <c r="AO5238" s="79"/>
      <c r="AP5238" s="79"/>
      <c r="AQ5238" s="79"/>
      <c r="AR5238" s="78"/>
      <c r="AS5238" s="78"/>
      <c r="AT5238" s="79"/>
      <c r="AU5238" s="79"/>
      <c r="AV5238" s="79"/>
      <c r="AW5238" s="79"/>
      <c r="AX5238" s="79"/>
      <c r="AZ5238" s="81"/>
      <c r="BB5238" s="5"/>
      <c r="BC5238" s="5"/>
      <c r="BD5238" s="5"/>
      <c r="BE5238" s="5"/>
      <c r="BF5238" s="5"/>
      <c r="BG5238" s="5"/>
      <c r="BH5238" s="5"/>
      <c r="BI5238" s="5"/>
      <c r="BJ5238" s="5"/>
      <c r="BK5238" s="5"/>
      <c r="BL5238" s="5"/>
      <c r="BM5238" s="5"/>
      <c r="BN5238" s="5"/>
      <c r="BO5238" s="5"/>
      <c r="BP5238" s="5"/>
    </row>
    <row r="5239" spans="35:68" x14ac:dyDescent="0.25">
      <c r="AI5239" s="49"/>
      <c r="AJ5239" s="78"/>
      <c r="AK5239" s="79"/>
      <c r="AL5239" s="79"/>
      <c r="AM5239" s="79"/>
      <c r="AN5239" s="79"/>
      <c r="AO5239" s="79"/>
      <c r="AP5239" s="79"/>
      <c r="AQ5239" s="79"/>
      <c r="AR5239" s="78"/>
      <c r="AS5239" s="78"/>
      <c r="AT5239" s="79"/>
      <c r="AU5239" s="79"/>
      <c r="AV5239" s="79"/>
      <c r="AW5239" s="79"/>
      <c r="AX5239" s="79"/>
      <c r="AZ5239" s="81"/>
      <c r="BB5239" s="5"/>
      <c r="BC5239" s="5"/>
      <c r="BD5239" s="5"/>
      <c r="BE5239" s="5"/>
      <c r="BF5239" s="5"/>
      <c r="BG5239" s="5"/>
      <c r="BH5239" s="5"/>
      <c r="BI5239" s="5"/>
      <c r="BJ5239" s="5"/>
      <c r="BK5239" s="5"/>
      <c r="BL5239" s="5"/>
      <c r="BM5239" s="5"/>
      <c r="BN5239" s="5"/>
      <c r="BO5239" s="5"/>
      <c r="BP5239" s="5"/>
    </row>
    <row r="5240" spans="35:68" x14ac:dyDescent="0.25">
      <c r="AI5240" s="49"/>
      <c r="AJ5240" s="78"/>
      <c r="AK5240" s="79"/>
      <c r="AL5240" s="79"/>
      <c r="AM5240" s="79"/>
      <c r="AN5240" s="79"/>
      <c r="AO5240" s="79"/>
      <c r="AP5240" s="79"/>
      <c r="AQ5240" s="79"/>
      <c r="AR5240" s="78"/>
      <c r="AS5240" s="78"/>
      <c r="AT5240" s="79"/>
      <c r="AU5240" s="79"/>
      <c r="AV5240" s="79"/>
      <c r="AW5240" s="79"/>
      <c r="AX5240" s="79"/>
      <c r="AZ5240" s="81"/>
      <c r="BB5240" s="5"/>
      <c r="BC5240" s="5"/>
      <c r="BD5240" s="5"/>
      <c r="BE5240" s="5"/>
      <c r="BF5240" s="5"/>
      <c r="BG5240" s="5"/>
      <c r="BH5240" s="5"/>
      <c r="BI5240" s="5"/>
      <c r="BJ5240" s="5"/>
      <c r="BK5240" s="5"/>
      <c r="BL5240" s="5"/>
      <c r="BM5240" s="5"/>
      <c r="BN5240" s="5"/>
      <c r="BO5240" s="5"/>
      <c r="BP5240" s="5"/>
    </row>
    <row r="5241" spans="35:68" x14ac:dyDescent="0.25">
      <c r="AI5241" s="49"/>
      <c r="AJ5241" s="78"/>
      <c r="AK5241" s="79"/>
      <c r="AL5241" s="79"/>
      <c r="AM5241" s="79"/>
      <c r="AN5241" s="79"/>
      <c r="AO5241" s="79"/>
      <c r="AP5241" s="79"/>
      <c r="AQ5241" s="79"/>
      <c r="AR5241" s="78"/>
      <c r="AS5241" s="78"/>
      <c r="AT5241" s="79"/>
      <c r="AU5241" s="79"/>
      <c r="AV5241" s="79"/>
      <c r="AW5241" s="79"/>
      <c r="AX5241" s="79"/>
      <c r="AZ5241" s="81"/>
      <c r="BB5241" s="5"/>
      <c r="BC5241" s="5"/>
      <c r="BD5241" s="5"/>
      <c r="BE5241" s="5"/>
      <c r="BF5241" s="5"/>
      <c r="BG5241" s="5"/>
      <c r="BH5241" s="5"/>
      <c r="BI5241" s="5"/>
      <c r="BJ5241" s="5"/>
      <c r="BK5241" s="5"/>
      <c r="BL5241" s="5"/>
      <c r="BM5241" s="5"/>
      <c r="BN5241" s="5"/>
      <c r="BO5241" s="5"/>
      <c r="BP5241" s="5"/>
    </row>
    <row r="5242" spans="35:68" x14ac:dyDescent="0.25">
      <c r="AI5242" s="49"/>
      <c r="AJ5242" s="78"/>
      <c r="AK5242" s="79"/>
      <c r="AL5242" s="79"/>
      <c r="AM5242" s="79"/>
      <c r="AN5242" s="79"/>
      <c r="AO5242" s="79"/>
      <c r="AP5242" s="79"/>
      <c r="AQ5242" s="79"/>
      <c r="AR5242" s="78"/>
      <c r="AS5242" s="78"/>
      <c r="AT5242" s="79"/>
      <c r="AU5242" s="79"/>
      <c r="AV5242" s="79"/>
      <c r="AW5242" s="79"/>
      <c r="AX5242" s="79"/>
      <c r="AZ5242" s="81"/>
      <c r="BB5242" s="5"/>
      <c r="BC5242" s="5"/>
      <c r="BD5242" s="5"/>
      <c r="BE5242" s="5"/>
      <c r="BF5242" s="5"/>
      <c r="BG5242" s="5"/>
      <c r="BH5242" s="5"/>
      <c r="BI5242" s="5"/>
      <c r="BJ5242" s="5"/>
      <c r="BK5242" s="5"/>
      <c r="BL5242" s="5"/>
      <c r="BM5242" s="5"/>
      <c r="BN5242" s="5"/>
      <c r="BO5242" s="5"/>
      <c r="BP5242" s="5"/>
    </row>
    <row r="5243" spans="35:68" x14ac:dyDescent="0.25">
      <c r="AI5243" s="49"/>
      <c r="AJ5243" s="78"/>
      <c r="AK5243" s="79"/>
      <c r="AL5243" s="79"/>
      <c r="AM5243" s="79"/>
      <c r="AN5243" s="79"/>
      <c r="AO5243" s="79"/>
      <c r="AP5243" s="79"/>
      <c r="AQ5243" s="79"/>
      <c r="AR5243" s="78"/>
      <c r="AS5243" s="78"/>
      <c r="AT5243" s="79"/>
      <c r="AU5243" s="79"/>
      <c r="AV5243" s="79"/>
      <c r="AW5243" s="79"/>
      <c r="AX5243" s="79"/>
      <c r="AZ5243" s="81"/>
      <c r="BB5243" s="5"/>
      <c r="BC5243" s="5"/>
      <c r="BD5243" s="5"/>
      <c r="BE5243" s="5"/>
      <c r="BF5243" s="5"/>
      <c r="BG5243" s="5"/>
      <c r="BH5243" s="5"/>
      <c r="BI5243" s="5"/>
      <c r="BJ5243" s="5"/>
      <c r="BK5243" s="5"/>
      <c r="BL5243" s="5"/>
      <c r="BM5243" s="5"/>
      <c r="BN5243" s="5"/>
      <c r="BO5243" s="5"/>
      <c r="BP5243" s="5"/>
    </row>
    <row r="5244" spans="35:68" x14ac:dyDescent="0.25">
      <c r="AI5244" s="49"/>
      <c r="AJ5244" s="78"/>
      <c r="AK5244" s="79"/>
      <c r="AL5244" s="79"/>
      <c r="AM5244" s="79"/>
      <c r="AN5244" s="79"/>
      <c r="AO5244" s="79"/>
      <c r="AP5244" s="79"/>
      <c r="AQ5244" s="79"/>
      <c r="AR5244" s="78"/>
      <c r="AS5244" s="78"/>
      <c r="AT5244" s="79"/>
      <c r="AU5244" s="79"/>
      <c r="AV5244" s="79"/>
      <c r="AW5244" s="79"/>
      <c r="AX5244" s="79"/>
      <c r="AZ5244" s="81"/>
      <c r="BB5244" s="5"/>
      <c r="BC5244" s="5"/>
      <c r="BD5244" s="5"/>
      <c r="BE5244" s="5"/>
      <c r="BF5244" s="5"/>
      <c r="BG5244" s="5"/>
      <c r="BH5244" s="5"/>
      <c r="BI5244" s="5"/>
      <c r="BJ5244" s="5"/>
      <c r="BK5244" s="5"/>
      <c r="BL5244" s="5"/>
      <c r="BM5244" s="5"/>
      <c r="BN5244" s="5"/>
      <c r="BO5244" s="5"/>
      <c r="BP5244" s="5"/>
    </row>
    <row r="5245" spans="35:68" x14ac:dyDescent="0.25">
      <c r="AI5245" s="49"/>
      <c r="AJ5245" s="78"/>
      <c r="AK5245" s="79"/>
      <c r="AL5245" s="79"/>
      <c r="AM5245" s="79"/>
      <c r="AN5245" s="79"/>
      <c r="AO5245" s="79"/>
      <c r="AP5245" s="79"/>
      <c r="AQ5245" s="79"/>
      <c r="AR5245" s="78"/>
      <c r="AS5245" s="78"/>
      <c r="AT5245" s="79"/>
      <c r="AU5245" s="79"/>
      <c r="AV5245" s="79"/>
      <c r="AW5245" s="79"/>
      <c r="AX5245" s="79"/>
      <c r="AZ5245" s="81"/>
      <c r="BB5245" s="5"/>
      <c r="BC5245" s="5"/>
      <c r="BD5245" s="5"/>
      <c r="BE5245" s="5"/>
      <c r="BF5245" s="5"/>
      <c r="BG5245" s="5"/>
      <c r="BH5245" s="5"/>
      <c r="BI5245" s="5"/>
      <c r="BJ5245" s="5"/>
      <c r="BK5245" s="5"/>
      <c r="BL5245" s="5"/>
      <c r="BM5245" s="5"/>
      <c r="BN5245" s="5"/>
      <c r="BO5245" s="5"/>
      <c r="BP5245" s="5"/>
    </row>
    <row r="5246" spans="35:68" x14ac:dyDescent="0.25">
      <c r="AI5246" s="49"/>
      <c r="AJ5246" s="78"/>
      <c r="AK5246" s="79"/>
      <c r="AL5246" s="79"/>
      <c r="AM5246" s="79"/>
      <c r="AN5246" s="79"/>
      <c r="AO5246" s="79"/>
      <c r="AP5246" s="79"/>
      <c r="AQ5246" s="79"/>
      <c r="AR5246" s="78"/>
      <c r="AS5246" s="78"/>
      <c r="AT5246" s="79"/>
      <c r="AU5246" s="79"/>
      <c r="AV5246" s="79"/>
      <c r="AW5246" s="79"/>
      <c r="AX5246" s="79"/>
      <c r="AZ5246" s="81"/>
      <c r="BB5246" s="5"/>
      <c r="BC5246" s="5"/>
      <c r="BD5246" s="5"/>
      <c r="BE5246" s="5"/>
      <c r="BF5246" s="5"/>
      <c r="BG5246" s="5"/>
      <c r="BH5246" s="5"/>
      <c r="BI5246" s="5"/>
      <c r="BJ5246" s="5"/>
      <c r="BK5246" s="5"/>
      <c r="BL5246" s="5"/>
      <c r="BM5246" s="5"/>
      <c r="BN5246" s="5"/>
      <c r="BO5246" s="5"/>
      <c r="BP5246" s="5"/>
    </row>
    <row r="5247" spans="35:68" x14ac:dyDescent="0.25">
      <c r="AI5247" s="49"/>
      <c r="AJ5247" s="78"/>
      <c r="AK5247" s="79"/>
      <c r="AL5247" s="79"/>
      <c r="AM5247" s="79"/>
      <c r="AN5247" s="79"/>
      <c r="AO5247" s="79"/>
      <c r="AP5247" s="79"/>
      <c r="AQ5247" s="79"/>
      <c r="AR5247" s="78"/>
      <c r="AS5247" s="78"/>
      <c r="AT5247" s="79"/>
      <c r="AU5247" s="79"/>
      <c r="AV5247" s="79"/>
      <c r="AW5247" s="79"/>
      <c r="AX5247" s="79"/>
      <c r="AZ5247" s="81"/>
      <c r="BB5247" s="5"/>
      <c r="BC5247" s="5"/>
      <c r="BD5247" s="5"/>
      <c r="BE5247" s="5"/>
      <c r="BF5247" s="5"/>
      <c r="BG5247" s="5"/>
      <c r="BH5247" s="5"/>
      <c r="BI5247" s="5"/>
      <c r="BJ5247" s="5"/>
      <c r="BK5247" s="5"/>
      <c r="BL5247" s="5"/>
      <c r="BM5247" s="5"/>
      <c r="BN5247" s="5"/>
      <c r="BO5247" s="5"/>
      <c r="BP5247" s="5"/>
    </row>
    <row r="5248" spans="35:68" x14ac:dyDescent="0.25">
      <c r="AI5248" s="49"/>
      <c r="AJ5248" s="78"/>
      <c r="AK5248" s="79"/>
      <c r="AL5248" s="79"/>
      <c r="AM5248" s="79"/>
      <c r="AN5248" s="79"/>
      <c r="AO5248" s="79"/>
      <c r="AP5248" s="79"/>
      <c r="AQ5248" s="79"/>
      <c r="AR5248" s="78"/>
      <c r="AS5248" s="78"/>
      <c r="AT5248" s="79"/>
      <c r="AU5248" s="79"/>
      <c r="AV5248" s="79"/>
      <c r="AW5248" s="79"/>
      <c r="AX5248" s="79"/>
      <c r="AZ5248" s="81"/>
      <c r="BB5248" s="5"/>
      <c r="BC5248" s="5"/>
      <c r="BD5248" s="5"/>
      <c r="BE5248" s="5"/>
      <c r="BF5248" s="5"/>
      <c r="BG5248" s="5"/>
      <c r="BH5248" s="5"/>
      <c r="BI5248" s="5"/>
      <c r="BJ5248" s="5"/>
      <c r="BK5248" s="5"/>
      <c r="BL5248" s="5"/>
      <c r="BM5248" s="5"/>
      <c r="BN5248" s="5"/>
      <c r="BO5248" s="5"/>
      <c r="BP5248" s="5"/>
    </row>
    <row r="5249" spans="35:68" x14ac:dyDescent="0.25">
      <c r="AI5249" s="49"/>
      <c r="AJ5249" s="78"/>
      <c r="AK5249" s="79"/>
      <c r="AL5249" s="79"/>
      <c r="AM5249" s="79"/>
      <c r="AN5249" s="79"/>
      <c r="AO5249" s="79"/>
      <c r="AP5249" s="79"/>
      <c r="AQ5249" s="79"/>
      <c r="AR5249" s="78"/>
      <c r="AS5249" s="78"/>
      <c r="AT5249" s="79"/>
      <c r="AU5249" s="79"/>
      <c r="AV5249" s="79"/>
      <c r="AW5249" s="79"/>
      <c r="AX5249" s="79"/>
      <c r="AZ5249" s="81"/>
      <c r="BB5249" s="5"/>
      <c r="BC5249" s="5"/>
      <c r="BD5249" s="5"/>
      <c r="BE5249" s="5"/>
      <c r="BF5249" s="5"/>
      <c r="BG5249" s="5"/>
      <c r="BH5249" s="5"/>
      <c r="BI5249" s="5"/>
      <c r="BJ5249" s="5"/>
      <c r="BK5249" s="5"/>
      <c r="BL5249" s="5"/>
      <c r="BM5249" s="5"/>
      <c r="BN5249" s="5"/>
      <c r="BO5249" s="5"/>
      <c r="BP5249" s="5"/>
    </row>
    <row r="5250" spans="35:68" x14ac:dyDescent="0.25">
      <c r="AI5250" s="49"/>
      <c r="AJ5250" s="78"/>
      <c r="AK5250" s="79"/>
      <c r="AL5250" s="79"/>
      <c r="AM5250" s="79"/>
      <c r="AN5250" s="79"/>
      <c r="AO5250" s="79"/>
      <c r="AP5250" s="79"/>
      <c r="AQ5250" s="79"/>
      <c r="AR5250" s="78"/>
      <c r="AS5250" s="78"/>
      <c r="AT5250" s="79"/>
      <c r="AU5250" s="79"/>
      <c r="AV5250" s="79"/>
      <c r="AW5250" s="79"/>
      <c r="AX5250" s="79"/>
      <c r="AZ5250" s="81"/>
      <c r="BB5250" s="5"/>
      <c r="BC5250" s="5"/>
      <c r="BD5250" s="5"/>
      <c r="BE5250" s="5"/>
      <c r="BF5250" s="5"/>
      <c r="BG5250" s="5"/>
      <c r="BH5250" s="5"/>
      <c r="BI5250" s="5"/>
      <c r="BJ5250" s="5"/>
      <c r="BK5250" s="5"/>
      <c r="BL5250" s="5"/>
      <c r="BM5250" s="5"/>
      <c r="BN5250" s="5"/>
      <c r="BO5250" s="5"/>
      <c r="BP5250" s="5"/>
    </row>
    <row r="5251" spans="35:68" x14ac:dyDescent="0.25">
      <c r="AI5251" s="49"/>
      <c r="AJ5251" s="78"/>
      <c r="AK5251" s="79"/>
      <c r="AL5251" s="79"/>
      <c r="AM5251" s="79"/>
      <c r="AN5251" s="79"/>
      <c r="AO5251" s="79"/>
      <c r="AP5251" s="79"/>
      <c r="AQ5251" s="79"/>
      <c r="AR5251" s="78"/>
      <c r="AS5251" s="78"/>
      <c r="AT5251" s="79"/>
      <c r="AU5251" s="79"/>
      <c r="AV5251" s="79"/>
      <c r="AW5251" s="79"/>
      <c r="AX5251" s="79"/>
      <c r="AZ5251" s="81"/>
      <c r="BB5251" s="5"/>
      <c r="BC5251" s="5"/>
      <c r="BD5251" s="5"/>
      <c r="BE5251" s="5"/>
      <c r="BF5251" s="5"/>
      <c r="BG5251" s="5"/>
      <c r="BH5251" s="5"/>
      <c r="BI5251" s="5"/>
      <c r="BJ5251" s="5"/>
      <c r="BK5251" s="5"/>
      <c r="BL5251" s="5"/>
      <c r="BM5251" s="5"/>
      <c r="BN5251" s="5"/>
      <c r="BO5251" s="5"/>
      <c r="BP5251" s="5"/>
    </row>
    <row r="5252" spans="35:68" x14ac:dyDescent="0.25">
      <c r="AI5252" s="49"/>
      <c r="AJ5252" s="78"/>
      <c r="AK5252" s="79"/>
      <c r="AL5252" s="79"/>
      <c r="AM5252" s="79"/>
      <c r="AN5252" s="79"/>
      <c r="AO5252" s="79"/>
      <c r="AP5252" s="79"/>
      <c r="AQ5252" s="79"/>
      <c r="AR5252" s="78"/>
      <c r="AS5252" s="78"/>
      <c r="AT5252" s="79"/>
      <c r="AU5252" s="79"/>
      <c r="AV5252" s="79"/>
      <c r="AW5252" s="79"/>
      <c r="AX5252" s="79"/>
      <c r="AZ5252" s="81"/>
      <c r="BB5252" s="5"/>
      <c r="BC5252" s="5"/>
      <c r="BD5252" s="5"/>
      <c r="BE5252" s="5"/>
      <c r="BF5252" s="5"/>
      <c r="BG5252" s="5"/>
      <c r="BH5252" s="5"/>
      <c r="BI5252" s="5"/>
      <c r="BJ5252" s="5"/>
      <c r="BK5252" s="5"/>
      <c r="BL5252" s="5"/>
      <c r="BM5252" s="5"/>
      <c r="BN5252" s="5"/>
      <c r="BO5252" s="5"/>
      <c r="BP5252" s="5"/>
    </row>
    <row r="5253" spans="35:68" x14ac:dyDescent="0.25">
      <c r="AI5253" s="49"/>
      <c r="AJ5253" s="78"/>
      <c r="AK5253" s="79"/>
      <c r="AL5253" s="79"/>
      <c r="AM5253" s="79"/>
      <c r="AN5253" s="79"/>
      <c r="AO5253" s="79"/>
      <c r="AP5253" s="79"/>
      <c r="AQ5253" s="79"/>
      <c r="AR5253" s="78"/>
      <c r="AS5253" s="78"/>
      <c r="AT5253" s="79"/>
      <c r="AU5253" s="79"/>
      <c r="AV5253" s="79"/>
      <c r="AW5253" s="79"/>
      <c r="AX5253" s="79"/>
      <c r="AZ5253" s="81"/>
      <c r="BB5253" s="5"/>
      <c r="BC5253" s="5"/>
      <c r="BD5253" s="5"/>
      <c r="BE5253" s="5"/>
      <c r="BF5253" s="5"/>
      <c r="BG5253" s="5"/>
      <c r="BH5253" s="5"/>
      <c r="BI5253" s="5"/>
      <c r="BJ5253" s="5"/>
      <c r="BK5253" s="5"/>
      <c r="BL5253" s="5"/>
      <c r="BM5253" s="5"/>
      <c r="BN5253" s="5"/>
      <c r="BO5253" s="5"/>
      <c r="BP5253" s="5"/>
    </row>
    <row r="5254" spans="35:68" x14ac:dyDescent="0.25">
      <c r="AI5254" s="49"/>
      <c r="AJ5254" s="78"/>
      <c r="AK5254" s="79"/>
      <c r="AL5254" s="79"/>
      <c r="AM5254" s="79"/>
      <c r="AN5254" s="79"/>
      <c r="AO5254" s="79"/>
      <c r="AP5254" s="79"/>
      <c r="AQ5254" s="79"/>
      <c r="AR5254" s="78"/>
      <c r="AS5254" s="78"/>
      <c r="AT5254" s="79"/>
      <c r="AU5254" s="79"/>
      <c r="AV5254" s="79"/>
      <c r="AW5254" s="79"/>
      <c r="AX5254" s="79"/>
      <c r="AZ5254" s="81"/>
      <c r="BB5254" s="5"/>
      <c r="BC5254" s="5"/>
      <c r="BD5254" s="5"/>
      <c r="BE5254" s="5"/>
      <c r="BF5254" s="5"/>
      <c r="BG5254" s="5"/>
      <c r="BH5254" s="5"/>
      <c r="BI5254" s="5"/>
      <c r="BJ5254" s="5"/>
      <c r="BK5254" s="5"/>
      <c r="BL5254" s="5"/>
      <c r="BM5254" s="5"/>
      <c r="BN5254" s="5"/>
      <c r="BO5254" s="5"/>
      <c r="BP5254" s="5"/>
    </row>
    <row r="5255" spans="35:68" x14ac:dyDescent="0.25">
      <c r="AI5255" s="49"/>
      <c r="AJ5255" s="78"/>
      <c r="AK5255" s="79"/>
      <c r="AL5255" s="79"/>
      <c r="AM5255" s="79"/>
      <c r="AN5255" s="79"/>
      <c r="AO5255" s="79"/>
      <c r="AP5255" s="79"/>
      <c r="AQ5255" s="79"/>
      <c r="AR5255" s="78"/>
      <c r="AS5255" s="78"/>
      <c r="AT5255" s="79"/>
      <c r="AU5255" s="79"/>
      <c r="AV5255" s="79"/>
      <c r="AW5255" s="79"/>
      <c r="AX5255" s="79"/>
      <c r="AZ5255" s="81"/>
      <c r="BB5255" s="5"/>
      <c r="BC5255" s="5"/>
      <c r="BD5255" s="5"/>
      <c r="BE5255" s="5"/>
      <c r="BF5255" s="5"/>
      <c r="BG5255" s="5"/>
      <c r="BH5255" s="5"/>
      <c r="BI5255" s="5"/>
      <c r="BJ5255" s="5"/>
      <c r="BK5255" s="5"/>
      <c r="BL5255" s="5"/>
      <c r="BM5255" s="5"/>
      <c r="BN5255" s="5"/>
      <c r="BO5255" s="5"/>
      <c r="BP5255" s="5"/>
    </row>
    <row r="5256" spans="35:68" x14ac:dyDescent="0.25">
      <c r="AI5256" s="49"/>
      <c r="AJ5256" s="78"/>
      <c r="AK5256" s="79"/>
      <c r="AL5256" s="79"/>
      <c r="AM5256" s="79"/>
      <c r="AN5256" s="79"/>
      <c r="AO5256" s="79"/>
      <c r="AP5256" s="79"/>
      <c r="AQ5256" s="79"/>
      <c r="AR5256" s="78"/>
      <c r="AS5256" s="78"/>
      <c r="AT5256" s="79"/>
      <c r="AU5256" s="79"/>
      <c r="AV5256" s="79"/>
      <c r="AW5256" s="79"/>
      <c r="AX5256" s="79"/>
      <c r="AZ5256" s="81"/>
      <c r="BB5256" s="5"/>
      <c r="BC5256" s="5"/>
      <c r="BD5256" s="5"/>
      <c r="BE5256" s="5"/>
      <c r="BF5256" s="5"/>
      <c r="BG5256" s="5"/>
      <c r="BH5256" s="5"/>
      <c r="BI5256" s="5"/>
      <c r="BJ5256" s="5"/>
      <c r="BK5256" s="5"/>
      <c r="BL5256" s="5"/>
      <c r="BM5256" s="5"/>
      <c r="BN5256" s="5"/>
      <c r="BO5256" s="5"/>
      <c r="BP5256" s="5"/>
    </row>
    <row r="5257" spans="35:68" x14ac:dyDescent="0.25">
      <c r="AI5257" s="49"/>
      <c r="AJ5257" s="78"/>
      <c r="AK5257" s="79"/>
      <c r="AL5257" s="79"/>
      <c r="AM5257" s="79"/>
      <c r="AN5257" s="79"/>
      <c r="AO5257" s="79"/>
      <c r="AP5257" s="79"/>
      <c r="AQ5257" s="79"/>
      <c r="AR5257" s="78"/>
      <c r="AS5257" s="78"/>
      <c r="AT5257" s="79"/>
      <c r="AU5257" s="79"/>
      <c r="AV5257" s="79"/>
      <c r="AW5257" s="79"/>
      <c r="AX5257" s="79"/>
      <c r="AZ5257" s="81"/>
      <c r="BB5257" s="5"/>
      <c r="BC5257" s="5"/>
      <c r="BD5257" s="5"/>
      <c r="BE5257" s="5"/>
      <c r="BF5257" s="5"/>
      <c r="BG5257" s="5"/>
      <c r="BH5257" s="5"/>
      <c r="BI5257" s="5"/>
      <c r="BJ5257" s="5"/>
      <c r="BK5257" s="5"/>
      <c r="BL5257" s="5"/>
      <c r="BM5257" s="5"/>
      <c r="BN5257" s="5"/>
      <c r="BO5257" s="5"/>
      <c r="BP5257" s="5"/>
    </row>
    <row r="5258" spans="35:68" x14ac:dyDescent="0.25">
      <c r="AI5258" s="49"/>
      <c r="AJ5258" s="78"/>
      <c r="AK5258" s="79"/>
      <c r="AL5258" s="79"/>
      <c r="AM5258" s="79"/>
      <c r="AN5258" s="79"/>
      <c r="AO5258" s="79"/>
      <c r="AP5258" s="79"/>
      <c r="AQ5258" s="79"/>
      <c r="AR5258" s="78"/>
      <c r="AS5258" s="78"/>
      <c r="AT5258" s="79"/>
      <c r="AU5258" s="79"/>
      <c r="AV5258" s="79"/>
      <c r="AW5258" s="79"/>
      <c r="AX5258" s="79"/>
      <c r="AZ5258" s="81"/>
      <c r="BB5258" s="5"/>
      <c r="BC5258" s="5"/>
      <c r="BD5258" s="5"/>
      <c r="BE5258" s="5"/>
      <c r="BF5258" s="5"/>
      <c r="BG5258" s="5"/>
      <c r="BH5258" s="5"/>
      <c r="BI5258" s="5"/>
      <c r="BJ5258" s="5"/>
      <c r="BK5258" s="5"/>
      <c r="BL5258" s="5"/>
      <c r="BM5258" s="5"/>
      <c r="BN5258" s="5"/>
      <c r="BO5258" s="5"/>
      <c r="BP5258" s="5"/>
    </row>
    <row r="5259" spans="35:68" x14ac:dyDescent="0.25">
      <c r="AI5259" s="49"/>
      <c r="AJ5259" s="78"/>
      <c r="AK5259" s="79"/>
      <c r="AL5259" s="79"/>
      <c r="AM5259" s="79"/>
      <c r="AN5259" s="79"/>
      <c r="AO5259" s="79"/>
      <c r="AP5259" s="79"/>
      <c r="AQ5259" s="79"/>
      <c r="AR5259" s="78"/>
      <c r="AS5259" s="78"/>
      <c r="AT5259" s="79"/>
      <c r="AU5259" s="79"/>
      <c r="AV5259" s="79"/>
      <c r="AW5259" s="79"/>
      <c r="AX5259" s="79"/>
      <c r="AZ5259" s="81"/>
      <c r="BB5259" s="5"/>
      <c r="BC5259" s="5"/>
      <c r="BD5259" s="5"/>
      <c r="BE5259" s="5"/>
      <c r="BF5259" s="5"/>
      <c r="BG5259" s="5"/>
      <c r="BH5259" s="5"/>
      <c r="BI5259" s="5"/>
      <c r="BJ5259" s="5"/>
      <c r="BK5259" s="5"/>
      <c r="BL5259" s="5"/>
      <c r="BM5259" s="5"/>
      <c r="BN5259" s="5"/>
      <c r="BO5259" s="5"/>
      <c r="BP5259" s="5"/>
    </row>
    <row r="5260" spans="35:68" x14ac:dyDescent="0.25">
      <c r="AI5260" s="49"/>
      <c r="AJ5260" s="78"/>
      <c r="AK5260" s="79"/>
      <c r="AL5260" s="79"/>
      <c r="AM5260" s="79"/>
      <c r="AN5260" s="79"/>
      <c r="AO5260" s="79"/>
      <c r="AP5260" s="79"/>
      <c r="AQ5260" s="79"/>
      <c r="AR5260" s="78"/>
      <c r="AS5260" s="78"/>
      <c r="AT5260" s="79"/>
      <c r="AU5260" s="79"/>
      <c r="AV5260" s="79"/>
      <c r="AW5260" s="79"/>
      <c r="AX5260" s="79"/>
      <c r="AZ5260" s="81"/>
      <c r="BB5260" s="5"/>
      <c r="BC5260" s="5"/>
      <c r="BD5260" s="5"/>
      <c r="BE5260" s="5"/>
      <c r="BF5260" s="5"/>
      <c r="BG5260" s="5"/>
      <c r="BH5260" s="5"/>
      <c r="BI5260" s="5"/>
      <c r="BJ5260" s="5"/>
      <c r="BK5260" s="5"/>
      <c r="BL5260" s="5"/>
      <c r="BM5260" s="5"/>
      <c r="BN5260" s="5"/>
      <c r="BO5260" s="5"/>
      <c r="BP5260" s="5"/>
    </row>
    <row r="5261" spans="35:68" x14ac:dyDescent="0.25">
      <c r="AI5261" s="49"/>
      <c r="AJ5261" s="78"/>
      <c r="AK5261" s="79"/>
      <c r="AL5261" s="79"/>
      <c r="AM5261" s="79"/>
      <c r="AN5261" s="79"/>
      <c r="AO5261" s="79"/>
      <c r="AP5261" s="79"/>
      <c r="AQ5261" s="79"/>
      <c r="AR5261" s="78"/>
      <c r="AS5261" s="78"/>
      <c r="AT5261" s="79"/>
      <c r="AU5261" s="79"/>
      <c r="AV5261" s="79"/>
      <c r="AW5261" s="79"/>
      <c r="AX5261" s="79"/>
      <c r="AZ5261" s="81"/>
      <c r="BB5261" s="5"/>
      <c r="BC5261" s="5"/>
      <c r="BD5261" s="5"/>
      <c r="BE5261" s="5"/>
      <c r="BF5261" s="5"/>
      <c r="BG5261" s="5"/>
      <c r="BH5261" s="5"/>
      <c r="BI5261" s="5"/>
      <c r="BJ5261" s="5"/>
      <c r="BK5261" s="5"/>
      <c r="BL5261" s="5"/>
      <c r="BM5261" s="5"/>
      <c r="BN5261" s="5"/>
      <c r="BO5261" s="5"/>
      <c r="BP5261" s="5"/>
    </row>
    <row r="5262" spans="35:68" x14ac:dyDescent="0.25">
      <c r="AI5262" s="49"/>
      <c r="AJ5262" s="78"/>
      <c r="AK5262" s="79"/>
      <c r="AL5262" s="79"/>
      <c r="AM5262" s="79"/>
      <c r="AN5262" s="79"/>
      <c r="AO5262" s="79"/>
      <c r="AP5262" s="79"/>
      <c r="AQ5262" s="79"/>
      <c r="AR5262" s="78"/>
      <c r="AS5262" s="78"/>
      <c r="AT5262" s="79"/>
      <c r="AU5262" s="79"/>
      <c r="AV5262" s="79"/>
      <c r="AW5262" s="79"/>
      <c r="AX5262" s="79"/>
      <c r="AZ5262" s="81"/>
      <c r="BB5262" s="5"/>
      <c r="BC5262" s="5"/>
      <c r="BD5262" s="5"/>
      <c r="BE5262" s="5"/>
      <c r="BF5262" s="5"/>
      <c r="BG5262" s="5"/>
      <c r="BH5262" s="5"/>
      <c r="BI5262" s="5"/>
      <c r="BJ5262" s="5"/>
      <c r="BK5262" s="5"/>
      <c r="BL5262" s="5"/>
      <c r="BM5262" s="5"/>
      <c r="BN5262" s="5"/>
      <c r="BO5262" s="5"/>
      <c r="BP5262" s="5"/>
    </row>
    <row r="5263" spans="35:68" x14ac:dyDescent="0.25">
      <c r="AI5263" s="49"/>
      <c r="AJ5263" s="78"/>
      <c r="AK5263" s="79"/>
      <c r="AL5263" s="79"/>
      <c r="AM5263" s="79"/>
      <c r="AN5263" s="79"/>
      <c r="AO5263" s="79"/>
      <c r="AP5263" s="79"/>
      <c r="AQ5263" s="79"/>
      <c r="AR5263" s="78"/>
      <c r="AS5263" s="78"/>
      <c r="AT5263" s="79"/>
      <c r="AU5263" s="79"/>
      <c r="AV5263" s="79"/>
      <c r="AW5263" s="79"/>
      <c r="AX5263" s="79"/>
      <c r="AZ5263" s="81"/>
      <c r="BB5263" s="5"/>
      <c r="BC5263" s="5"/>
      <c r="BD5263" s="5"/>
      <c r="BE5263" s="5"/>
      <c r="BF5263" s="5"/>
      <c r="BG5263" s="5"/>
      <c r="BH5263" s="5"/>
      <c r="BI5263" s="5"/>
      <c r="BJ5263" s="5"/>
      <c r="BK5263" s="5"/>
      <c r="BL5263" s="5"/>
      <c r="BM5263" s="5"/>
      <c r="BN5263" s="5"/>
      <c r="BO5263" s="5"/>
      <c r="BP5263" s="5"/>
    </row>
    <row r="5264" spans="35:68" x14ac:dyDescent="0.25">
      <c r="AI5264" s="49"/>
      <c r="AJ5264" s="78"/>
      <c r="AK5264" s="79"/>
      <c r="AL5264" s="79"/>
      <c r="AM5264" s="79"/>
      <c r="AN5264" s="79"/>
      <c r="AO5264" s="79"/>
      <c r="AP5264" s="79"/>
      <c r="AQ5264" s="79"/>
      <c r="AR5264" s="78"/>
      <c r="AS5264" s="78"/>
      <c r="AT5264" s="79"/>
      <c r="AU5264" s="79"/>
      <c r="AV5264" s="79"/>
      <c r="AW5264" s="79"/>
      <c r="AX5264" s="79"/>
      <c r="AZ5264" s="81"/>
      <c r="BB5264" s="5"/>
      <c r="BC5264" s="5"/>
      <c r="BD5264" s="5"/>
      <c r="BE5264" s="5"/>
      <c r="BF5264" s="5"/>
      <c r="BG5264" s="5"/>
      <c r="BH5264" s="5"/>
      <c r="BI5264" s="5"/>
      <c r="BJ5264" s="5"/>
      <c r="BK5264" s="5"/>
      <c r="BL5264" s="5"/>
      <c r="BM5264" s="5"/>
      <c r="BN5264" s="5"/>
      <c r="BO5264" s="5"/>
      <c r="BP5264" s="5"/>
    </row>
    <row r="5265" spans="35:68" x14ac:dyDescent="0.25">
      <c r="AI5265" s="49"/>
      <c r="AJ5265" s="78"/>
      <c r="AK5265" s="79"/>
      <c r="AL5265" s="79"/>
      <c r="AM5265" s="79"/>
      <c r="AN5265" s="79"/>
      <c r="AO5265" s="79"/>
      <c r="AP5265" s="79"/>
      <c r="AQ5265" s="79"/>
      <c r="AR5265" s="78"/>
      <c r="AS5265" s="78"/>
      <c r="AT5265" s="79"/>
      <c r="AU5265" s="79"/>
      <c r="AV5265" s="79"/>
      <c r="AW5265" s="79"/>
      <c r="AX5265" s="79"/>
      <c r="AZ5265" s="81"/>
      <c r="BB5265" s="5"/>
      <c r="BC5265" s="5"/>
      <c r="BD5265" s="5"/>
      <c r="BE5265" s="5"/>
      <c r="BF5265" s="5"/>
      <c r="BG5265" s="5"/>
      <c r="BH5265" s="5"/>
      <c r="BI5265" s="5"/>
      <c r="BJ5265" s="5"/>
      <c r="BK5265" s="5"/>
      <c r="BL5265" s="5"/>
      <c r="BM5265" s="5"/>
      <c r="BN5265" s="5"/>
      <c r="BO5265" s="5"/>
      <c r="BP5265" s="5"/>
    </row>
    <row r="5266" spans="35:68" x14ac:dyDescent="0.25">
      <c r="AI5266" s="49"/>
      <c r="AJ5266" s="78"/>
      <c r="AK5266" s="79"/>
      <c r="AL5266" s="79"/>
      <c r="AM5266" s="79"/>
      <c r="AN5266" s="79"/>
      <c r="AO5266" s="79"/>
      <c r="AP5266" s="79"/>
      <c r="AQ5266" s="79"/>
      <c r="AR5266" s="78"/>
      <c r="AS5266" s="78"/>
      <c r="AT5266" s="79"/>
      <c r="AU5266" s="79"/>
      <c r="AV5266" s="79"/>
      <c r="AW5266" s="79"/>
      <c r="AX5266" s="79"/>
      <c r="AZ5266" s="81"/>
      <c r="BB5266" s="5"/>
      <c r="BC5266" s="5"/>
      <c r="BD5266" s="5"/>
      <c r="BE5266" s="5"/>
      <c r="BF5266" s="5"/>
      <c r="BG5266" s="5"/>
      <c r="BH5266" s="5"/>
      <c r="BI5266" s="5"/>
      <c r="BJ5266" s="5"/>
      <c r="BK5266" s="5"/>
      <c r="BL5266" s="5"/>
      <c r="BM5266" s="5"/>
      <c r="BN5266" s="5"/>
      <c r="BO5266" s="5"/>
      <c r="BP5266" s="5"/>
    </row>
    <row r="5267" spans="35:68" x14ac:dyDescent="0.25">
      <c r="AI5267" s="49"/>
      <c r="AJ5267" s="78"/>
      <c r="AK5267" s="79"/>
      <c r="AL5267" s="79"/>
      <c r="AM5267" s="79"/>
      <c r="AN5267" s="79"/>
      <c r="AO5267" s="79"/>
      <c r="AP5267" s="79"/>
      <c r="AQ5267" s="79"/>
      <c r="AR5267" s="78"/>
      <c r="AS5267" s="78"/>
      <c r="AT5267" s="79"/>
      <c r="AU5267" s="79"/>
      <c r="AV5267" s="79"/>
      <c r="AW5267" s="79"/>
      <c r="AX5267" s="79"/>
      <c r="AZ5267" s="81"/>
      <c r="BB5267" s="5"/>
      <c r="BC5267" s="5"/>
      <c r="BD5267" s="5"/>
      <c r="BE5267" s="5"/>
      <c r="BF5267" s="5"/>
      <c r="BG5267" s="5"/>
      <c r="BH5267" s="5"/>
      <c r="BI5267" s="5"/>
      <c r="BJ5267" s="5"/>
      <c r="BK5267" s="5"/>
      <c r="BL5267" s="5"/>
      <c r="BM5267" s="5"/>
      <c r="BN5267" s="5"/>
      <c r="BO5267" s="5"/>
      <c r="BP5267" s="5"/>
    </row>
    <row r="5268" spans="35:68" x14ac:dyDescent="0.25">
      <c r="AI5268" s="49"/>
      <c r="AJ5268" s="78"/>
      <c r="AK5268" s="79"/>
      <c r="AL5268" s="79"/>
      <c r="AM5268" s="79"/>
      <c r="AN5268" s="79"/>
      <c r="AO5268" s="79"/>
      <c r="AP5268" s="79"/>
      <c r="AQ5268" s="79"/>
      <c r="AR5268" s="78"/>
      <c r="AS5268" s="78"/>
      <c r="AT5268" s="79"/>
      <c r="AU5268" s="79"/>
      <c r="AV5268" s="79"/>
      <c r="AW5268" s="79"/>
      <c r="AX5268" s="79"/>
      <c r="AZ5268" s="81"/>
      <c r="BB5268" s="5"/>
      <c r="BC5268" s="5"/>
      <c r="BD5268" s="5"/>
      <c r="BE5268" s="5"/>
      <c r="BF5268" s="5"/>
      <c r="BG5268" s="5"/>
      <c r="BH5268" s="5"/>
      <c r="BI5268" s="5"/>
      <c r="BJ5268" s="5"/>
      <c r="BK5268" s="5"/>
      <c r="BL5268" s="5"/>
      <c r="BM5268" s="5"/>
      <c r="BN5268" s="5"/>
      <c r="BO5268" s="5"/>
      <c r="BP5268" s="5"/>
    </row>
    <row r="5269" spans="35:68" x14ac:dyDescent="0.25">
      <c r="AI5269" s="49"/>
      <c r="AJ5269" s="78"/>
      <c r="AK5269" s="79"/>
      <c r="AL5269" s="79"/>
      <c r="AM5269" s="79"/>
      <c r="AN5269" s="79"/>
      <c r="AO5269" s="79"/>
      <c r="AP5269" s="79"/>
      <c r="AQ5269" s="79"/>
      <c r="AR5269" s="78"/>
      <c r="AS5269" s="78"/>
      <c r="AT5269" s="79"/>
      <c r="AU5269" s="79"/>
      <c r="AV5269" s="79"/>
      <c r="AW5269" s="79"/>
      <c r="AX5269" s="79"/>
      <c r="AZ5269" s="81"/>
      <c r="BB5269" s="5"/>
      <c r="BC5269" s="5"/>
      <c r="BD5269" s="5"/>
      <c r="BE5269" s="5"/>
      <c r="BF5269" s="5"/>
      <c r="BG5269" s="5"/>
      <c r="BH5269" s="5"/>
      <c r="BI5269" s="5"/>
      <c r="BJ5269" s="5"/>
      <c r="BK5269" s="5"/>
      <c r="BL5269" s="5"/>
      <c r="BM5269" s="5"/>
      <c r="BN5269" s="5"/>
      <c r="BO5269" s="5"/>
      <c r="BP5269" s="5"/>
    </row>
    <row r="5270" spans="35:68" x14ac:dyDescent="0.25">
      <c r="AI5270" s="49"/>
      <c r="AJ5270" s="78"/>
      <c r="AK5270" s="79"/>
      <c r="AL5270" s="79"/>
      <c r="AM5270" s="79"/>
      <c r="AN5270" s="79"/>
      <c r="AO5270" s="79"/>
      <c r="AP5270" s="79"/>
      <c r="AQ5270" s="79"/>
      <c r="AR5270" s="78"/>
      <c r="AS5270" s="78"/>
      <c r="AT5270" s="79"/>
      <c r="AU5270" s="79"/>
      <c r="AV5270" s="79"/>
      <c r="AW5270" s="79"/>
      <c r="AX5270" s="79"/>
      <c r="AZ5270" s="81"/>
      <c r="BB5270" s="5"/>
      <c r="BC5270" s="5"/>
      <c r="BD5270" s="5"/>
      <c r="BE5270" s="5"/>
      <c r="BF5270" s="5"/>
      <c r="BG5270" s="5"/>
      <c r="BH5270" s="5"/>
      <c r="BI5270" s="5"/>
      <c r="BJ5270" s="5"/>
      <c r="BK5270" s="5"/>
      <c r="BL5270" s="5"/>
      <c r="BM5270" s="5"/>
      <c r="BN5270" s="5"/>
      <c r="BO5270" s="5"/>
      <c r="BP5270" s="5"/>
    </row>
    <row r="5271" spans="35:68" x14ac:dyDescent="0.25">
      <c r="AI5271" s="49"/>
      <c r="AJ5271" s="78"/>
      <c r="AK5271" s="79"/>
      <c r="AL5271" s="79"/>
      <c r="AM5271" s="79"/>
      <c r="AN5271" s="79"/>
      <c r="AO5271" s="79"/>
      <c r="AP5271" s="79"/>
      <c r="AQ5271" s="79"/>
      <c r="AR5271" s="78"/>
      <c r="AS5271" s="78"/>
      <c r="AT5271" s="79"/>
      <c r="AU5271" s="79"/>
      <c r="AV5271" s="79"/>
      <c r="AW5271" s="79"/>
      <c r="AX5271" s="79"/>
      <c r="AZ5271" s="81"/>
      <c r="BB5271" s="5"/>
      <c r="BC5271" s="5"/>
      <c r="BD5271" s="5"/>
      <c r="BE5271" s="5"/>
      <c r="BF5271" s="5"/>
      <c r="BG5271" s="5"/>
      <c r="BH5271" s="5"/>
      <c r="BI5271" s="5"/>
      <c r="BJ5271" s="5"/>
      <c r="BK5271" s="5"/>
      <c r="BL5271" s="5"/>
      <c r="BM5271" s="5"/>
      <c r="BN5271" s="5"/>
      <c r="BO5271" s="5"/>
      <c r="BP5271" s="5"/>
    </row>
    <row r="5272" spans="35:68" x14ac:dyDescent="0.25">
      <c r="AI5272" s="49"/>
      <c r="AJ5272" s="78"/>
      <c r="AK5272" s="79"/>
      <c r="AL5272" s="79"/>
      <c r="AM5272" s="79"/>
      <c r="AN5272" s="79"/>
      <c r="AO5272" s="79"/>
      <c r="AP5272" s="79"/>
      <c r="AQ5272" s="79"/>
      <c r="AR5272" s="78"/>
      <c r="AS5272" s="78"/>
      <c r="AT5272" s="79"/>
      <c r="AU5272" s="79"/>
      <c r="AV5272" s="79"/>
      <c r="AW5272" s="79"/>
      <c r="AX5272" s="79"/>
      <c r="AZ5272" s="81"/>
      <c r="BB5272" s="5"/>
      <c r="BC5272" s="5"/>
      <c r="BD5272" s="5"/>
      <c r="BE5272" s="5"/>
      <c r="BF5272" s="5"/>
      <c r="BG5272" s="5"/>
      <c r="BH5272" s="5"/>
      <c r="BI5272" s="5"/>
      <c r="BJ5272" s="5"/>
      <c r="BK5272" s="5"/>
      <c r="BL5272" s="5"/>
      <c r="BM5272" s="5"/>
      <c r="BN5272" s="5"/>
      <c r="BO5272" s="5"/>
      <c r="BP5272" s="5"/>
    </row>
    <row r="5273" spans="35:68" x14ac:dyDescent="0.25">
      <c r="AI5273" s="49"/>
      <c r="AJ5273" s="78"/>
      <c r="AK5273" s="79"/>
      <c r="AL5273" s="79"/>
      <c r="AM5273" s="79"/>
      <c r="AN5273" s="79"/>
      <c r="AO5273" s="79"/>
      <c r="AP5273" s="79"/>
      <c r="AQ5273" s="79"/>
      <c r="AR5273" s="78"/>
      <c r="AS5273" s="78"/>
      <c r="AT5273" s="79"/>
      <c r="AU5273" s="79"/>
      <c r="AV5273" s="79"/>
      <c r="AW5273" s="79"/>
      <c r="AX5273" s="79"/>
      <c r="AZ5273" s="81"/>
      <c r="BB5273" s="5"/>
      <c r="BC5273" s="5"/>
      <c r="BD5273" s="5"/>
      <c r="BE5273" s="5"/>
      <c r="BF5273" s="5"/>
      <c r="BG5273" s="5"/>
      <c r="BH5273" s="5"/>
      <c r="BI5273" s="5"/>
      <c r="BJ5273" s="5"/>
      <c r="BK5273" s="5"/>
      <c r="BL5273" s="5"/>
      <c r="BM5273" s="5"/>
      <c r="BN5273" s="5"/>
      <c r="BO5273" s="5"/>
      <c r="BP5273" s="5"/>
    </row>
    <row r="5274" spans="35:68" x14ac:dyDescent="0.25">
      <c r="AI5274" s="49"/>
      <c r="AJ5274" s="78"/>
      <c r="AK5274" s="79"/>
      <c r="AL5274" s="79"/>
      <c r="AM5274" s="79"/>
      <c r="AN5274" s="79"/>
      <c r="AO5274" s="79"/>
      <c r="AP5274" s="79"/>
      <c r="AQ5274" s="79"/>
      <c r="AR5274" s="78"/>
      <c r="AS5274" s="78"/>
      <c r="AT5274" s="79"/>
      <c r="AU5274" s="79"/>
      <c r="AV5274" s="79"/>
      <c r="AW5274" s="79"/>
      <c r="AX5274" s="79"/>
      <c r="AZ5274" s="81"/>
      <c r="BB5274" s="5"/>
      <c r="BC5274" s="5"/>
      <c r="BD5274" s="5"/>
      <c r="BE5274" s="5"/>
      <c r="BF5274" s="5"/>
      <c r="BG5274" s="5"/>
      <c r="BH5274" s="5"/>
      <c r="BI5274" s="5"/>
      <c r="BJ5274" s="5"/>
      <c r="BK5274" s="5"/>
      <c r="BL5274" s="5"/>
      <c r="BM5274" s="5"/>
      <c r="BN5274" s="5"/>
      <c r="BO5274" s="5"/>
      <c r="BP5274" s="5"/>
    </row>
    <row r="5275" spans="35:68" x14ac:dyDescent="0.25">
      <c r="AI5275" s="49"/>
      <c r="AJ5275" s="78"/>
      <c r="AK5275" s="79"/>
      <c r="AL5275" s="79"/>
      <c r="AM5275" s="79"/>
      <c r="AN5275" s="79"/>
      <c r="AO5275" s="79"/>
      <c r="AP5275" s="79"/>
      <c r="AQ5275" s="79"/>
      <c r="AR5275" s="78"/>
      <c r="AS5275" s="78"/>
      <c r="AT5275" s="79"/>
      <c r="AU5275" s="79"/>
      <c r="AV5275" s="79"/>
      <c r="AW5275" s="79"/>
      <c r="AX5275" s="79"/>
      <c r="AZ5275" s="81"/>
      <c r="BB5275" s="5"/>
      <c r="BC5275" s="5"/>
      <c r="BD5275" s="5"/>
      <c r="BE5275" s="5"/>
      <c r="BF5275" s="5"/>
      <c r="BG5275" s="5"/>
      <c r="BH5275" s="5"/>
      <c r="BI5275" s="5"/>
      <c r="BJ5275" s="5"/>
      <c r="BK5275" s="5"/>
      <c r="BL5275" s="5"/>
      <c r="BM5275" s="5"/>
      <c r="BN5275" s="5"/>
      <c r="BO5275" s="5"/>
      <c r="BP5275" s="5"/>
    </row>
    <row r="5276" spans="35:68" x14ac:dyDescent="0.25">
      <c r="AI5276" s="49"/>
      <c r="AJ5276" s="78"/>
      <c r="AK5276" s="79"/>
      <c r="AL5276" s="79"/>
      <c r="AM5276" s="79"/>
      <c r="AN5276" s="79"/>
      <c r="AO5276" s="79"/>
      <c r="AP5276" s="79"/>
      <c r="AQ5276" s="79"/>
      <c r="AR5276" s="78"/>
      <c r="AS5276" s="78"/>
      <c r="AT5276" s="79"/>
      <c r="AU5276" s="79"/>
      <c r="AV5276" s="79"/>
      <c r="AW5276" s="79"/>
      <c r="AX5276" s="79"/>
      <c r="AZ5276" s="81"/>
      <c r="BB5276" s="5"/>
      <c r="BC5276" s="5"/>
      <c r="BD5276" s="5"/>
      <c r="BE5276" s="5"/>
      <c r="BF5276" s="5"/>
      <c r="BG5276" s="5"/>
      <c r="BH5276" s="5"/>
      <c r="BI5276" s="5"/>
      <c r="BJ5276" s="5"/>
      <c r="BK5276" s="5"/>
      <c r="BL5276" s="5"/>
      <c r="BM5276" s="5"/>
      <c r="BN5276" s="5"/>
      <c r="BO5276" s="5"/>
      <c r="BP5276" s="5"/>
    </row>
    <row r="5277" spans="35:68" x14ac:dyDescent="0.25">
      <c r="AI5277" s="49"/>
      <c r="AJ5277" s="78"/>
      <c r="AK5277" s="79"/>
      <c r="AL5277" s="79"/>
      <c r="AM5277" s="79"/>
      <c r="AN5277" s="79"/>
      <c r="AO5277" s="79"/>
      <c r="AP5277" s="79"/>
      <c r="AQ5277" s="79"/>
      <c r="AR5277" s="78"/>
      <c r="AS5277" s="78"/>
      <c r="AT5277" s="79"/>
      <c r="AU5277" s="79"/>
      <c r="AV5277" s="79"/>
      <c r="AW5277" s="79"/>
      <c r="AX5277" s="79"/>
      <c r="AZ5277" s="81"/>
      <c r="BB5277" s="5"/>
      <c r="BC5277" s="5"/>
      <c r="BD5277" s="5"/>
      <c r="BE5277" s="5"/>
      <c r="BF5277" s="5"/>
      <c r="BG5277" s="5"/>
      <c r="BH5277" s="5"/>
      <c r="BI5277" s="5"/>
      <c r="BJ5277" s="5"/>
      <c r="BK5277" s="5"/>
      <c r="BL5277" s="5"/>
      <c r="BM5277" s="5"/>
      <c r="BN5277" s="5"/>
      <c r="BO5277" s="5"/>
      <c r="BP5277" s="5"/>
    </row>
    <row r="5278" spans="35:68" x14ac:dyDescent="0.25">
      <c r="AI5278" s="49"/>
      <c r="AJ5278" s="78"/>
      <c r="AK5278" s="79"/>
      <c r="AL5278" s="79"/>
      <c r="AM5278" s="79"/>
      <c r="AN5278" s="79"/>
      <c r="AO5278" s="79"/>
      <c r="AP5278" s="79"/>
      <c r="AQ5278" s="79"/>
      <c r="AR5278" s="78"/>
      <c r="AS5278" s="78"/>
      <c r="AT5278" s="79"/>
      <c r="AU5278" s="79"/>
      <c r="AV5278" s="79"/>
      <c r="AW5278" s="79"/>
      <c r="AX5278" s="79"/>
      <c r="AZ5278" s="81"/>
      <c r="BB5278" s="5"/>
      <c r="BC5278" s="5"/>
      <c r="BD5278" s="5"/>
      <c r="BE5278" s="5"/>
      <c r="BF5278" s="5"/>
      <c r="BG5278" s="5"/>
      <c r="BH5278" s="5"/>
      <c r="BI5278" s="5"/>
      <c r="BJ5278" s="5"/>
      <c r="BK5278" s="5"/>
      <c r="BL5278" s="5"/>
      <c r="BM5278" s="5"/>
      <c r="BN5278" s="5"/>
      <c r="BO5278" s="5"/>
      <c r="BP5278" s="5"/>
    </row>
    <row r="5279" spans="35:68" x14ac:dyDescent="0.25">
      <c r="AI5279" s="49"/>
      <c r="AJ5279" s="78"/>
      <c r="AK5279" s="79"/>
      <c r="AL5279" s="79"/>
      <c r="AM5279" s="79"/>
      <c r="AN5279" s="79"/>
      <c r="AO5279" s="79"/>
      <c r="AP5279" s="79"/>
      <c r="AQ5279" s="79"/>
      <c r="AR5279" s="78"/>
      <c r="AS5279" s="78"/>
      <c r="AT5279" s="79"/>
      <c r="AU5279" s="79"/>
      <c r="AV5279" s="79"/>
      <c r="AW5279" s="79"/>
      <c r="AX5279" s="79"/>
      <c r="AZ5279" s="81"/>
      <c r="BB5279" s="5"/>
      <c r="BC5279" s="5"/>
      <c r="BD5279" s="5"/>
      <c r="BE5279" s="5"/>
      <c r="BF5279" s="5"/>
      <c r="BG5279" s="5"/>
      <c r="BH5279" s="5"/>
      <c r="BI5279" s="5"/>
      <c r="BJ5279" s="5"/>
      <c r="BK5279" s="5"/>
      <c r="BL5279" s="5"/>
      <c r="BM5279" s="5"/>
      <c r="BN5279" s="5"/>
      <c r="BO5279" s="5"/>
      <c r="BP5279" s="5"/>
    </row>
    <row r="5280" spans="35:68" x14ac:dyDescent="0.25">
      <c r="AI5280" s="49"/>
      <c r="AJ5280" s="78"/>
      <c r="AK5280" s="79"/>
      <c r="AL5280" s="79"/>
      <c r="AM5280" s="79"/>
      <c r="AN5280" s="79"/>
      <c r="AO5280" s="79"/>
      <c r="AP5280" s="79"/>
      <c r="AQ5280" s="79"/>
      <c r="AR5280" s="78"/>
      <c r="AS5280" s="78"/>
      <c r="AT5280" s="79"/>
      <c r="AU5280" s="79"/>
      <c r="AV5280" s="79"/>
      <c r="AW5280" s="79"/>
      <c r="AX5280" s="79"/>
      <c r="AZ5280" s="81"/>
      <c r="BB5280" s="5"/>
      <c r="BC5280" s="5"/>
      <c r="BD5280" s="5"/>
      <c r="BE5280" s="5"/>
      <c r="BF5280" s="5"/>
      <c r="BG5280" s="5"/>
      <c r="BH5280" s="5"/>
      <c r="BI5280" s="5"/>
      <c r="BJ5280" s="5"/>
      <c r="BK5280" s="5"/>
      <c r="BL5280" s="5"/>
      <c r="BM5280" s="5"/>
      <c r="BN5280" s="5"/>
      <c r="BO5280" s="5"/>
      <c r="BP5280" s="5"/>
    </row>
    <row r="5281" spans="35:68" x14ac:dyDescent="0.25">
      <c r="AI5281" s="49"/>
      <c r="AJ5281" s="78"/>
      <c r="AK5281" s="79"/>
      <c r="AL5281" s="79"/>
      <c r="AM5281" s="79"/>
      <c r="AN5281" s="79"/>
      <c r="AO5281" s="79"/>
      <c r="AP5281" s="79"/>
      <c r="AQ5281" s="79"/>
      <c r="AR5281" s="78"/>
      <c r="AS5281" s="78"/>
      <c r="AT5281" s="79"/>
      <c r="AU5281" s="79"/>
      <c r="AV5281" s="79"/>
      <c r="AW5281" s="79"/>
      <c r="AX5281" s="79"/>
      <c r="AZ5281" s="81"/>
      <c r="BB5281" s="5"/>
      <c r="BC5281" s="5"/>
      <c r="BD5281" s="5"/>
      <c r="BE5281" s="5"/>
      <c r="BF5281" s="5"/>
      <c r="BG5281" s="5"/>
      <c r="BH5281" s="5"/>
      <c r="BI5281" s="5"/>
      <c r="BJ5281" s="5"/>
      <c r="BK5281" s="5"/>
      <c r="BL5281" s="5"/>
      <c r="BM5281" s="5"/>
      <c r="BN5281" s="5"/>
      <c r="BO5281" s="5"/>
      <c r="BP5281" s="5"/>
    </row>
    <row r="5282" spans="35:68" x14ac:dyDescent="0.25">
      <c r="AI5282" s="49"/>
      <c r="AJ5282" s="78"/>
      <c r="AK5282" s="79"/>
      <c r="AL5282" s="79"/>
      <c r="AM5282" s="79"/>
      <c r="AN5282" s="79"/>
      <c r="AO5282" s="79"/>
      <c r="AP5282" s="79"/>
      <c r="AQ5282" s="79"/>
      <c r="AR5282" s="78"/>
      <c r="AS5282" s="78"/>
      <c r="AT5282" s="79"/>
      <c r="AU5282" s="79"/>
      <c r="AV5282" s="79"/>
      <c r="AW5282" s="79"/>
      <c r="AX5282" s="79"/>
      <c r="AZ5282" s="81"/>
      <c r="BB5282" s="5"/>
      <c r="BC5282" s="5"/>
      <c r="BD5282" s="5"/>
      <c r="BE5282" s="5"/>
      <c r="BF5282" s="5"/>
      <c r="BG5282" s="5"/>
      <c r="BH5282" s="5"/>
      <c r="BI5282" s="5"/>
      <c r="BJ5282" s="5"/>
      <c r="BK5282" s="5"/>
      <c r="BL5282" s="5"/>
      <c r="BM5282" s="5"/>
      <c r="BN5282" s="5"/>
      <c r="BO5282" s="5"/>
      <c r="BP5282" s="5"/>
    </row>
    <row r="5283" spans="35:68" x14ac:dyDescent="0.25">
      <c r="AI5283" s="49"/>
      <c r="AJ5283" s="78"/>
      <c r="AK5283" s="79"/>
      <c r="AL5283" s="79"/>
      <c r="AM5283" s="79"/>
      <c r="AN5283" s="79"/>
      <c r="AO5283" s="79"/>
      <c r="AP5283" s="79"/>
      <c r="AQ5283" s="79"/>
      <c r="AR5283" s="78"/>
      <c r="AS5283" s="78"/>
      <c r="AT5283" s="79"/>
      <c r="AU5283" s="79"/>
      <c r="AV5283" s="79"/>
      <c r="AW5283" s="79"/>
      <c r="AX5283" s="79"/>
      <c r="AZ5283" s="81"/>
      <c r="BB5283" s="5"/>
      <c r="BC5283" s="5"/>
      <c r="BD5283" s="5"/>
      <c r="BE5283" s="5"/>
      <c r="BF5283" s="5"/>
      <c r="BG5283" s="5"/>
      <c r="BH5283" s="5"/>
      <c r="BI5283" s="5"/>
      <c r="BJ5283" s="5"/>
      <c r="BK5283" s="5"/>
      <c r="BL5283" s="5"/>
      <c r="BM5283" s="5"/>
      <c r="BN5283" s="5"/>
      <c r="BO5283" s="5"/>
      <c r="BP5283" s="5"/>
    </row>
    <row r="5284" spans="35:68" x14ac:dyDescent="0.25">
      <c r="AI5284" s="49"/>
      <c r="AJ5284" s="78"/>
      <c r="AK5284" s="79"/>
      <c r="AL5284" s="79"/>
      <c r="AM5284" s="79"/>
      <c r="AN5284" s="79"/>
      <c r="AO5284" s="79"/>
      <c r="AP5284" s="79"/>
      <c r="AQ5284" s="79"/>
      <c r="AR5284" s="78"/>
      <c r="AS5284" s="78"/>
      <c r="AT5284" s="79"/>
      <c r="AU5284" s="79"/>
      <c r="AV5284" s="79"/>
      <c r="AW5284" s="79"/>
      <c r="AX5284" s="79"/>
      <c r="AZ5284" s="81"/>
      <c r="BB5284" s="5"/>
      <c r="BC5284" s="5"/>
      <c r="BD5284" s="5"/>
      <c r="BE5284" s="5"/>
      <c r="BF5284" s="5"/>
      <c r="BG5284" s="5"/>
      <c r="BH5284" s="5"/>
      <c r="BI5284" s="5"/>
      <c r="BJ5284" s="5"/>
      <c r="BK5284" s="5"/>
      <c r="BL5284" s="5"/>
      <c r="BM5284" s="5"/>
      <c r="BN5284" s="5"/>
      <c r="BO5284" s="5"/>
      <c r="BP5284" s="5"/>
    </row>
    <row r="5285" spans="35:68" x14ac:dyDescent="0.25">
      <c r="AI5285" s="49"/>
      <c r="AJ5285" s="78"/>
      <c r="AK5285" s="79"/>
      <c r="AL5285" s="79"/>
      <c r="AM5285" s="79"/>
      <c r="AN5285" s="79"/>
      <c r="AO5285" s="79"/>
      <c r="AP5285" s="79"/>
      <c r="AQ5285" s="79"/>
      <c r="AR5285" s="78"/>
      <c r="AS5285" s="78"/>
      <c r="AT5285" s="79"/>
      <c r="AU5285" s="79"/>
      <c r="AV5285" s="79"/>
      <c r="AW5285" s="79"/>
      <c r="AX5285" s="79"/>
      <c r="AZ5285" s="81"/>
      <c r="BB5285" s="5"/>
      <c r="BC5285" s="5"/>
      <c r="BD5285" s="5"/>
      <c r="BE5285" s="5"/>
      <c r="BF5285" s="5"/>
      <c r="BG5285" s="5"/>
      <c r="BH5285" s="5"/>
      <c r="BI5285" s="5"/>
      <c r="BJ5285" s="5"/>
      <c r="BK5285" s="5"/>
      <c r="BL5285" s="5"/>
      <c r="BM5285" s="5"/>
      <c r="BN5285" s="5"/>
      <c r="BO5285" s="5"/>
      <c r="BP5285" s="5"/>
    </row>
    <row r="5286" spans="35:68" x14ac:dyDescent="0.25">
      <c r="AI5286" s="49"/>
      <c r="AJ5286" s="78"/>
      <c r="AK5286" s="79"/>
      <c r="AL5286" s="79"/>
      <c r="AM5286" s="79"/>
      <c r="AN5286" s="79"/>
      <c r="AO5286" s="79"/>
      <c r="AP5286" s="79"/>
      <c r="AQ5286" s="79"/>
      <c r="AR5286" s="78"/>
      <c r="AS5286" s="78"/>
      <c r="AT5286" s="79"/>
      <c r="AU5286" s="79"/>
      <c r="AV5286" s="79"/>
      <c r="AW5286" s="79"/>
      <c r="AX5286" s="79"/>
      <c r="AZ5286" s="81"/>
      <c r="BB5286" s="5"/>
      <c r="BC5286" s="5"/>
      <c r="BD5286" s="5"/>
      <c r="BE5286" s="5"/>
      <c r="BF5286" s="5"/>
      <c r="BG5286" s="5"/>
      <c r="BH5286" s="5"/>
      <c r="BI5286" s="5"/>
      <c r="BJ5286" s="5"/>
      <c r="BK5286" s="5"/>
      <c r="BL5286" s="5"/>
      <c r="BM5286" s="5"/>
      <c r="BN5286" s="5"/>
      <c r="BO5286" s="5"/>
      <c r="BP5286" s="5"/>
    </row>
    <row r="5287" spans="35:68" x14ac:dyDescent="0.25">
      <c r="AI5287" s="49"/>
      <c r="AJ5287" s="78"/>
      <c r="AK5287" s="79"/>
      <c r="AL5287" s="79"/>
      <c r="AM5287" s="79"/>
      <c r="AN5287" s="79"/>
      <c r="AO5287" s="79"/>
      <c r="AP5287" s="79"/>
      <c r="AQ5287" s="79"/>
      <c r="AR5287" s="78"/>
      <c r="AS5287" s="78"/>
      <c r="AT5287" s="79"/>
      <c r="AU5287" s="79"/>
      <c r="AV5287" s="79"/>
      <c r="AW5287" s="79"/>
      <c r="AX5287" s="79"/>
      <c r="AZ5287" s="81"/>
      <c r="BB5287" s="5"/>
      <c r="BC5287" s="5"/>
      <c r="BD5287" s="5"/>
      <c r="BE5287" s="5"/>
      <c r="BF5287" s="5"/>
      <c r="BG5287" s="5"/>
      <c r="BH5287" s="5"/>
      <c r="BI5287" s="5"/>
      <c r="BJ5287" s="5"/>
      <c r="BK5287" s="5"/>
      <c r="BL5287" s="5"/>
      <c r="BM5287" s="5"/>
      <c r="BN5287" s="5"/>
      <c r="BO5287" s="5"/>
      <c r="BP5287" s="5"/>
    </row>
    <row r="5288" spans="35:68" x14ac:dyDescent="0.25">
      <c r="AI5288" s="49"/>
      <c r="AJ5288" s="78"/>
      <c r="AK5288" s="79"/>
      <c r="AL5288" s="79"/>
      <c r="AM5288" s="79"/>
      <c r="AN5288" s="79"/>
      <c r="AO5288" s="79"/>
      <c r="AP5288" s="79"/>
      <c r="AQ5288" s="79"/>
      <c r="AR5288" s="78"/>
      <c r="AS5288" s="78"/>
      <c r="AT5288" s="79"/>
      <c r="AU5288" s="79"/>
      <c r="AV5288" s="79"/>
      <c r="AW5288" s="79"/>
      <c r="AX5288" s="79"/>
      <c r="AZ5288" s="81"/>
      <c r="BB5288" s="5"/>
      <c r="BC5288" s="5"/>
      <c r="BD5288" s="5"/>
      <c r="BE5288" s="5"/>
      <c r="BF5288" s="5"/>
      <c r="BG5288" s="5"/>
      <c r="BH5288" s="5"/>
      <c r="BI5288" s="5"/>
      <c r="BJ5288" s="5"/>
      <c r="BK5288" s="5"/>
      <c r="BL5288" s="5"/>
      <c r="BM5288" s="5"/>
      <c r="BN5288" s="5"/>
      <c r="BO5288" s="5"/>
      <c r="BP5288" s="5"/>
    </row>
    <row r="5289" spans="35:68" x14ac:dyDescent="0.25">
      <c r="AI5289" s="49"/>
      <c r="AJ5289" s="78"/>
      <c r="AK5289" s="79"/>
      <c r="AL5289" s="79"/>
      <c r="AM5289" s="79"/>
      <c r="AN5289" s="79"/>
      <c r="AO5289" s="79"/>
      <c r="AP5289" s="79"/>
      <c r="AQ5289" s="79"/>
      <c r="AR5289" s="78"/>
      <c r="AS5289" s="78"/>
      <c r="AT5289" s="79"/>
      <c r="AU5289" s="79"/>
      <c r="AV5289" s="79"/>
      <c r="AW5289" s="79"/>
      <c r="AX5289" s="79"/>
      <c r="AZ5289" s="81"/>
      <c r="BB5289" s="5"/>
      <c r="BC5289" s="5"/>
      <c r="BD5289" s="5"/>
      <c r="BE5289" s="5"/>
      <c r="BF5289" s="5"/>
      <c r="BG5289" s="5"/>
      <c r="BH5289" s="5"/>
      <c r="BI5289" s="5"/>
      <c r="BJ5289" s="5"/>
      <c r="BK5289" s="5"/>
      <c r="BL5289" s="5"/>
      <c r="BM5289" s="5"/>
      <c r="BN5289" s="5"/>
      <c r="BO5289" s="5"/>
      <c r="BP5289" s="5"/>
    </row>
    <row r="5290" spans="35:68" x14ac:dyDescent="0.25">
      <c r="AI5290" s="49"/>
      <c r="AJ5290" s="78"/>
      <c r="AK5290" s="79"/>
      <c r="AL5290" s="79"/>
      <c r="AM5290" s="79"/>
      <c r="AN5290" s="79"/>
      <c r="AO5290" s="79"/>
      <c r="AP5290" s="79"/>
      <c r="AQ5290" s="79"/>
      <c r="AR5290" s="78"/>
      <c r="AS5290" s="78"/>
      <c r="AT5290" s="79"/>
      <c r="AU5290" s="79"/>
      <c r="AV5290" s="79"/>
      <c r="AW5290" s="79"/>
      <c r="AX5290" s="79"/>
      <c r="AZ5290" s="81"/>
      <c r="BB5290" s="5"/>
      <c r="BC5290" s="5"/>
      <c r="BD5290" s="5"/>
      <c r="BE5290" s="5"/>
      <c r="BF5290" s="5"/>
      <c r="BG5290" s="5"/>
      <c r="BH5290" s="5"/>
      <c r="BI5290" s="5"/>
      <c r="BJ5290" s="5"/>
      <c r="BK5290" s="5"/>
      <c r="BL5290" s="5"/>
      <c r="BM5290" s="5"/>
      <c r="BN5290" s="5"/>
      <c r="BO5290" s="5"/>
      <c r="BP5290" s="5"/>
    </row>
    <row r="5291" spans="35:68" x14ac:dyDescent="0.25">
      <c r="AI5291" s="49"/>
      <c r="AJ5291" s="78"/>
      <c r="AK5291" s="79"/>
      <c r="AL5291" s="79"/>
      <c r="AM5291" s="79"/>
      <c r="AN5291" s="79"/>
      <c r="AO5291" s="79"/>
      <c r="AP5291" s="79"/>
      <c r="AQ5291" s="79"/>
      <c r="AR5291" s="78"/>
      <c r="AS5291" s="78"/>
      <c r="AT5291" s="79"/>
      <c r="AU5291" s="79"/>
      <c r="AV5291" s="79"/>
      <c r="AW5291" s="79"/>
      <c r="AX5291" s="79"/>
      <c r="AZ5291" s="81"/>
      <c r="BB5291" s="5"/>
      <c r="BC5291" s="5"/>
      <c r="BD5291" s="5"/>
      <c r="BE5291" s="5"/>
      <c r="BF5291" s="5"/>
      <c r="BG5291" s="5"/>
      <c r="BH5291" s="5"/>
      <c r="BI5291" s="5"/>
      <c r="BJ5291" s="5"/>
      <c r="BK5291" s="5"/>
      <c r="BL5291" s="5"/>
      <c r="BM5291" s="5"/>
      <c r="BN5291" s="5"/>
      <c r="BO5291" s="5"/>
      <c r="BP5291" s="5"/>
    </row>
    <row r="5292" spans="35:68" x14ac:dyDescent="0.25">
      <c r="AI5292" s="49"/>
      <c r="AJ5292" s="78"/>
      <c r="AK5292" s="79"/>
      <c r="AL5292" s="79"/>
      <c r="AM5292" s="79"/>
      <c r="AN5292" s="79"/>
      <c r="AO5292" s="79"/>
      <c r="AP5292" s="79"/>
      <c r="AQ5292" s="79"/>
      <c r="AR5292" s="78"/>
      <c r="AS5292" s="78"/>
      <c r="AT5292" s="79"/>
      <c r="AU5292" s="79"/>
      <c r="AV5292" s="79"/>
      <c r="AW5292" s="79"/>
      <c r="AX5292" s="79"/>
      <c r="AZ5292" s="81"/>
      <c r="BB5292" s="5"/>
      <c r="BC5292" s="5"/>
      <c r="BD5292" s="5"/>
      <c r="BE5292" s="5"/>
      <c r="BF5292" s="5"/>
      <c r="BG5292" s="5"/>
      <c r="BH5292" s="5"/>
      <c r="BI5292" s="5"/>
      <c r="BJ5292" s="5"/>
      <c r="BK5292" s="5"/>
      <c r="BL5292" s="5"/>
      <c r="BM5292" s="5"/>
      <c r="BN5292" s="5"/>
      <c r="BO5292" s="5"/>
      <c r="BP5292" s="5"/>
    </row>
    <row r="5293" spans="35:68" x14ac:dyDescent="0.25">
      <c r="AI5293" s="49"/>
      <c r="AJ5293" s="78"/>
      <c r="AK5293" s="79"/>
      <c r="AL5293" s="79"/>
      <c r="AM5293" s="79"/>
      <c r="AN5293" s="79"/>
      <c r="AO5293" s="79"/>
      <c r="AP5293" s="79"/>
      <c r="AQ5293" s="79"/>
      <c r="AR5293" s="78"/>
      <c r="AS5293" s="78"/>
      <c r="AT5293" s="79"/>
      <c r="AU5293" s="79"/>
      <c r="AV5293" s="79"/>
      <c r="AW5293" s="79"/>
      <c r="AX5293" s="79"/>
      <c r="AZ5293" s="81"/>
      <c r="BB5293" s="5"/>
      <c r="BC5293" s="5"/>
      <c r="BD5293" s="5"/>
      <c r="BE5293" s="5"/>
      <c r="BF5293" s="5"/>
      <c r="BG5293" s="5"/>
      <c r="BH5293" s="5"/>
      <c r="BI5293" s="5"/>
      <c r="BJ5293" s="5"/>
      <c r="BK5293" s="5"/>
      <c r="BL5293" s="5"/>
      <c r="BM5293" s="5"/>
      <c r="BN5293" s="5"/>
      <c r="BO5293" s="5"/>
      <c r="BP5293" s="5"/>
    </row>
    <row r="5294" spans="35:68" x14ac:dyDescent="0.25">
      <c r="AI5294" s="49"/>
      <c r="AJ5294" s="78"/>
      <c r="AK5294" s="79"/>
      <c r="AL5294" s="79"/>
      <c r="AM5294" s="79"/>
      <c r="AN5294" s="79"/>
      <c r="AO5294" s="79"/>
      <c r="AP5294" s="79"/>
      <c r="AQ5294" s="79"/>
      <c r="AR5294" s="78"/>
      <c r="AS5294" s="78"/>
      <c r="AT5294" s="79"/>
      <c r="AU5294" s="79"/>
      <c r="AV5294" s="79"/>
      <c r="AW5294" s="79"/>
      <c r="AX5294" s="79"/>
      <c r="AZ5294" s="81"/>
      <c r="BB5294" s="5"/>
      <c r="BC5294" s="5"/>
      <c r="BD5294" s="5"/>
      <c r="BE5294" s="5"/>
      <c r="BF5294" s="5"/>
      <c r="BG5294" s="5"/>
      <c r="BH5294" s="5"/>
      <c r="BI5294" s="5"/>
      <c r="BJ5294" s="5"/>
      <c r="BK5294" s="5"/>
      <c r="BL5294" s="5"/>
      <c r="BM5294" s="5"/>
      <c r="BN5294" s="5"/>
      <c r="BO5294" s="5"/>
      <c r="BP5294" s="5"/>
    </row>
    <row r="5295" spans="35:68" x14ac:dyDescent="0.25">
      <c r="AI5295" s="49"/>
      <c r="AJ5295" s="78"/>
      <c r="AK5295" s="79"/>
      <c r="AL5295" s="79"/>
      <c r="AM5295" s="79"/>
      <c r="AN5295" s="79"/>
      <c r="AO5295" s="79"/>
      <c r="AP5295" s="79"/>
      <c r="AQ5295" s="79"/>
      <c r="AR5295" s="78"/>
      <c r="AS5295" s="78"/>
      <c r="AT5295" s="79"/>
      <c r="AU5295" s="79"/>
      <c r="AV5295" s="79"/>
      <c r="AW5295" s="79"/>
      <c r="AX5295" s="79"/>
      <c r="AZ5295" s="81"/>
      <c r="BB5295" s="5"/>
      <c r="BC5295" s="5"/>
      <c r="BD5295" s="5"/>
      <c r="BE5295" s="5"/>
      <c r="BF5295" s="5"/>
      <c r="BG5295" s="5"/>
      <c r="BH5295" s="5"/>
      <c r="BI5295" s="5"/>
      <c r="BJ5295" s="5"/>
      <c r="BK5295" s="5"/>
      <c r="BL5295" s="5"/>
      <c r="BM5295" s="5"/>
      <c r="BN5295" s="5"/>
      <c r="BO5295" s="5"/>
      <c r="BP5295" s="5"/>
    </row>
    <row r="5296" spans="35:68" x14ac:dyDescent="0.25">
      <c r="AI5296" s="49"/>
      <c r="AJ5296" s="78"/>
      <c r="AK5296" s="79"/>
      <c r="AL5296" s="79"/>
      <c r="AM5296" s="79"/>
      <c r="AN5296" s="79"/>
      <c r="AO5296" s="79"/>
      <c r="AP5296" s="79"/>
      <c r="AQ5296" s="79"/>
      <c r="AR5296" s="78"/>
      <c r="AS5296" s="78"/>
      <c r="AT5296" s="79"/>
      <c r="AU5296" s="79"/>
      <c r="AV5296" s="79"/>
      <c r="AW5296" s="79"/>
      <c r="AX5296" s="79"/>
      <c r="AZ5296" s="81"/>
      <c r="BB5296" s="5"/>
      <c r="BC5296" s="5"/>
      <c r="BD5296" s="5"/>
      <c r="BE5296" s="5"/>
      <c r="BF5296" s="5"/>
      <c r="BG5296" s="5"/>
      <c r="BH5296" s="5"/>
      <c r="BI5296" s="5"/>
      <c r="BJ5296" s="5"/>
      <c r="BK5296" s="5"/>
      <c r="BL5296" s="5"/>
      <c r="BM5296" s="5"/>
      <c r="BN5296" s="5"/>
      <c r="BO5296" s="5"/>
      <c r="BP5296" s="5"/>
    </row>
    <row r="5297" spans="35:68" x14ac:dyDescent="0.25">
      <c r="AI5297" s="49"/>
      <c r="AJ5297" s="78"/>
      <c r="AK5297" s="79"/>
      <c r="AL5297" s="79"/>
      <c r="AM5297" s="79"/>
      <c r="AN5297" s="79"/>
      <c r="AO5297" s="79"/>
      <c r="AP5297" s="79"/>
      <c r="AQ5297" s="79"/>
      <c r="AR5297" s="78"/>
      <c r="AS5297" s="78"/>
      <c r="AT5297" s="79"/>
      <c r="AU5297" s="79"/>
      <c r="AV5297" s="79"/>
      <c r="AW5297" s="79"/>
      <c r="AX5297" s="79"/>
      <c r="AZ5297" s="81"/>
      <c r="BB5297" s="5"/>
      <c r="BC5297" s="5"/>
      <c r="BD5297" s="5"/>
      <c r="BE5297" s="5"/>
      <c r="BF5297" s="5"/>
      <c r="BG5297" s="5"/>
      <c r="BH5297" s="5"/>
      <c r="BI5297" s="5"/>
      <c r="BJ5297" s="5"/>
      <c r="BK5297" s="5"/>
      <c r="BL5297" s="5"/>
      <c r="BM5297" s="5"/>
      <c r="BN5297" s="5"/>
      <c r="BO5297" s="5"/>
      <c r="BP5297" s="5"/>
    </row>
    <row r="5298" spans="35:68" x14ac:dyDescent="0.25">
      <c r="AI5298" s="49"/>
      <c r="AJ5298" s="78"/>
      <c r="AK5298" s="79"/>
      <c r="AL5298" s="79"/>
      <c r="AM5298" s="79"/>
      <c r="AN5298" s="79"/>
      <c r="AO5298" s="79"/>
      <c r="AP5298" s="79"/>
      <c r="AQ5298" s="79"/>
      <c r="AR5298" s="78"/>
      <c r="AS5298" s="78"/>
      <c r="AT5298" s="79"/>
      <c r="AU5298" s="79"/>
      <c r="AV5298" s="79"/>
      <c r="AW5298" s="79"/>
      <c r="AX5298" s="79"/>
      <c r="AZ5298" s="81"/>
      <c r="BB5298" s="5"/>
      <c r="BC5298" s="5"/>
      <c r="BD5298" s="5"/>
      <c r="BE5298" s="5"/>
      <c r="BF5298" s="5"/>
      <c r="BG5298" s="5"/>
      <c r="BH5298" s="5"/>
      <c r="BI5298" s="5"/>
      <c r="BJ5298" s="5"/>
      <c r="BK5298" s="5"/>
      <c r="BL5298" s="5"/>
      <c r="BM5298" s="5"/>
      <c r="BN5298" s="5"/>
      <c r="BO5298" s="5"/>
      <c r="BP5298" s="5"/>
    </row>
    <row r="5299" spans="35:68" x14ac:dyDescent="0.25">
      <c r="AI5299" s="49"/>
      <c r="AJ5299" s="78"/>
      <c r="AK5299" s="79"/>
      <c r="AL5299" s="79"/>
      <c r="AM5299" s="79"/>
      <c r="AN5299" s="79"/>
      <c r="AO5299" s="79"/>
      <c r="AP5299" s="79"/>
      <c r="AQ5299" s="79"/>
      <c r="AR5299" s="78"/>
      <c r="AS5299" s="78"/>
      <c r="AT5299" s="79"/>
      <c r="AU5299" s="79"/>
      <c r="AV5299" s="79"/>
      <c r="AW5299" s="79"/>
      <c r="AX5299" s="79"/>
      <c r="AZ5299" s="81"/>
      <c r="BB5299" s="5"/>
      <c r="BC5299" s="5"/>
      <c r="BD5299" s="5"/>
      <c r="BE5299" s="5"/>
      <c r="BF5299" s="5"/>
      <c r="BG5299" s="5"/>
      <c r="BH5299" s="5"/>
      <c r="BI5299" s="5"/>
      <c r="BJ5299" s="5"/>
      <c r="BK5299" s="5"/>
      <c r="BL5299" s="5"/>
      <c r="BM5299" s="5"/>
      <c r="BN5299" s="5"/>
      <c r="BO5299" s="5"/>
      <c r="BP5299" s="5"/>
    </row>
    <row r="5300" spans="35:68" x14ac:dyDescent="0.25">
      <c r="AI5300" s="49"/>
      <c r="AJ5300" s="78"/>
      <c r="AK5300" s="79"/>
      <c r="AL5300" s="79"/>
      <c r="AM5300" s="79"/>
      <c r="AN5300" s="79"/>
      <c r="AO5300" s="79"/>
      <c r="AP5300" s="79"/>
      <c r="AQ5300" s="79"/>
      <c r="AR5300" s="78"/>
      <c r="AS5300" s="78"/>
      <c r="AT5300" s="79"/>
      <c r="AU5300" s="79"/>
      <c r="AV5300" s="79"/>
      <c r="AW5300" s="79"/>
      <c r="AX5300" s="79"/>
      <c r="AZ5300" s="81"/>
      <c r="BB5300" s="5"/>
      <c r="BC5300" s="5"/>
      <c r="BD5300" s="5"/>
      <c r="BE5300" s="5"/>
      <c r="BF5300" s="5"/>
      <c r="BG5300" s="5"/>
      <c r="BH5300" s="5"/>
      <c r="BI5300" s="5"/>
      <c r="BJ5300" s="5"/>
      <c r="BK5300" s="5"/>
      <c r="BL5300" s="5"/>
      <c r="BM5300" s="5"/>
      <c r="BN5300" s="5"/>
      <c r="BO5300" s="5"/>
      <c r="BP5300" s="5"/>
    </row>
    <row r="5301" spans="35:68" x14ac:dyDescent="0.25">
      <c r="AI5301" s="49"/>
      <c r="AJ5301" s="78"/>
      <c r="AK5301" s="79"/>
      <c r="AL5301" s="79"/>
      <c r="AM5301" s="79"/>
      <c r="AN5301" s="79"/>
      <c r="AO5301" s="79"/>
      <c r="AP5301" s="79"/>
      <c r="AQ5301" s="79"/>
      <c r="AR5301" s="78"/>
      <c r="AS5301" s="78"/>
      <c r="AT5301" s="79"/>
      <c r="AU5301" s="79"/>
      <c r="AV5301" s="79"/>
      <c r="AW5301" s="79"/>
      <c r="AX5301" s="79"/>
      <c r="AZ5301" s="81"/>
      <c r="BB5301" s="5"/>
      <c r="BC5301" s="5"/>
      <c r="BD5301" s="5"/>
      <c r="BE5301" s="5"/>
      <c r="BF5301" s="5"/>
      <c r="BG5301" s="5"/>
      <c r="BH5301" s="5"/>
      <c r="BI5301" s="5"/>
      <c r="BJ5301" s="5"/>
      <c r="BK5301" s="5"/>
      <c r="BL5301" s="5"/>
      <c r="BM5301" s="5"/>
      <c r="BN5301" s="5"/>
      <c r="BO5301" s="5"/>
      <c r="BP5301" s="5"/>
    </row>
    <row r="5302" spans="35:68" x14ac:dyDescent="0.25">
      <c r="AI5302" s="49"/>
      <c r="AJ5302" s="78"/>
      <c r="AK5302" s="79"/>
      <c r="AL5302" s="79"/>
      <c r="AM5302" s="79"/>
      <c r="AN5302" s="79"/>
      <c r="AO5302" s="79"/>
      <c r="AP5302" s="79"/>
      <c r="AQ5302" s="79"/>
      <c r="AR5302" s="78"/>
      <c r="AS5302" s="78"/>
      <c r="AT5302" s="79"/>
      <c r="AU5302" s="79"/>
      <c r="AV5302" s="79"/>
      <c r="AW5302" s="79"/>
      <c r="AX5302" s="79"/>
      <c r="AZ5302" s="81"/>
      <c r="BB5302" s="5"/>
      <c r="BC5302" s="5"/>
      <c r="BD5302" s="5"/>
      <c r="BE5302" s="5"/>
      <c r="BF5302" s="5"/>
      <c r="BG5302" s="5"/>
      <c r="BH5302" s="5"/>
      <c r="BI5302" s="5"/>
      <c r="BJ5302" s="5"/>
      <c r="BK5302" s="5"/>
      <c r="BL5302" s="5"/>
      <c r="BM5302" s="5"/>
      <c r="BN5302" s="5"/>
      <c r="BO5302" s="5"/>
      <c r="BP5302" s="5"/>
    </row>
    <row r="5303" spans="35:68" x14ac:dyDescent="0.25">
      <c r="AI5303" s="49"/>
      <c r="AJ5303" s="78"/>
      <c r="AK5303" s="79"/>
      <c r="AL5303" s="79"/>
      <c r="AM5303" s="79"/>
      <c r="AN5303" s="79"/>
      <c r="AO5303" s="79"/>
      <c r="AP5303" s="79"/>
      <c r="AQ5303" s="79"/>
      <c r="AR5303" s="78"/>
      <c r="AS5303" s="78"/>
      <c r="AT5303" s="79"/>
      <c r="AU5303" s="79"/>
      <c r="AV5303" s="79"/>
      <c r="AW5303" s="79"/>
      <c r="AX5303" s="79"/>
      <c r="AZ5303" s="81"/>
      <c r="BB5303" s="5"/>
      <c r="BC5303" s="5"/>
      <c r="BD5303" s="5"/>
      <c r="BE5303" s="5"/>
      <c r="BF5303" s="5"/>
      <c r="BG5303" s="5"/>
      <c r="BH5303" s="5"/>
      <c r="BI5303" s="5"/>
      <c r="BJ5303" s="5"/>
      <c r="BK5303" s="5"/>
      <c r="BL5303" s="5"/>
      <c r="BM5303" s="5"/>
      <c r="BN5303" s="5"/>
      <c r="BO5303" s="5"/>
      <c r="BP5303" s="5"/>
    </row>
    <row r="5304" spans="35:68" x14ac:dyDescent="0.25">
      <c r="AI5304" s="49"/>
      <c r="AJ5304" s="78"/>
      <c r="AK5304" s="79"/>
      <c r="AL5304" s="79"/>
      <c r="AM5304" s="79"/>
      <c r="AN5304" s="79"/>
      <c r="AO5304" s="79"/>
      <c r="AP5304" s="79"/>
      <c r="AQ5304" s="79"/>
      <c r="AR5304" s="78"/>
      <c r="AS5304" s="78"/>
      <c r="AT5304" s="79"/>
      <c r="AU5304" s="79"/>
      <c r="AV5304" s="79"/>
      <c r="AW5304" s="79"/>
      <c r="AX5304" s="79"/>
      <c r="AZ5304" s="81"/>
      <c r="BB5304" s="5"/>
      <c r="BC5304" s="5"/>
      <c r="BD5304" s="5"/>
      <c r="BE5304" s="5"/>
      <c r="BF5304" s="5"/>
      <c r="BG5304" s="5"/>
      <c r="BH5304" s="5"/>
      <c r="BI5304" s="5"/>
      <c r="BJ5304" s="5"/>
      <c r="BK5304" s="5"/>
      <c r="BL5304" s="5"/>
      <c r="BM5304" s="5"/>
      <c r="BN5304" s="5"/>
      <c r="BO5304" s="5"/>
      <c r="BP5304" s="5"/>
    </row>
    <row r="5305" spans="35:68" x14ac:dyDescent="0.25">
      <c r="AI5305" s="49"/>
      <c r="AJ5305" s="78"/>
      <c r="AK5305" s="79"/>
      <c r="AL5305" s="79"/>
      <c r="AM5305" s="79"/>
      <c r="AN5305" s="79"/>
      <c r="AO5305" s="79"/>
      <c r="AP5305" s="79"/>
      <c r="AQ5305" s="79"/>
      <c r="AR5305" s="78"/>
      <c r="AS5305" s="78"/>
      <c r="AT5305" s="79"/>
      <c r="AU5305" s="79"/>
      <c r="AV5305" s="79"/>
      <c r="AW5305" s="79"/>
      <c r="AX5305" s="79"/>
      <c r="AZ5305" s="81"/>
      <c r="BB5305" s="5"/>
      <c r="BC5305" s="5"/>
      <c r="BD5305" s="5"/>
      <c r="BE5305" s="5"/>
      <c r="BF5305" s="5"/>
      <c r="BG5305" s="5"/>
      <c r="BH5305" s="5"/>
      <c r="BI5305" s="5"/>
      <c r="BJ5305" s="5"/>
      <c r="BK5305" s="5"/>
      <c r="BL5305" s="5"/>
      <c r="BM5305" s="5"/>
      <c r="BN5305" s="5"/>
      <c r="BO5305" s="5"/>
      <c r="BP5305" s="5"/>
    </row>
    <row r="5306" spans="35:68" x14ac:dyDescent="0.25">
      <c r="AI5306" s="49"/>
      <c r="AJ5306" s="78"/>
      <c r="AK5306" s="79"/>
      <c r="AL5306" s="79"/>
      <c r="AM5306" s="79"/>
      <c r="AN5306" s="79"/>
      <c r="AO5306" s="79"/>
      <c r="AP5306" s="79"/>
      <c r="AQ5306" s="79"/>
      <c r="AR5306" s="78"/>
      <c r="AS5306" s="78"/>
      <c r="AT5306" s="79"/>
      <c r="AU5306" s="79"/>
      <c r="AV5306" s="79"/>
      <c r="AW5306" s="79"/>
      <c r="AX5306" s="79"/>
      <c r="AZ5306" s="81"/>
      <c r="BB5306" s="5"/>
      <c r="BC5306" s="5"/>
      <c r="BD5306" s="5"/>
      <c r="BE5306" s="5"/>
      <c r="BF5306" s="5"/>
      <c r="BG5306" s="5"/>
      <c r="BH5306" s="5"/>
      <c r="BI5306" s="5"/>
      <c r="BJ5306" s="5"/>
      <c r="BK5306" s="5"/>
      <c r="BL5306" s="5"/>
      <c r="BM5306" s="5"/>
      <c r="BN5306" s="5"/>
      <c r="BO5306" s="5"/>
      <c r="BP5306" s="5"/>
    </row>
    <row r="5307" spans="35:68" x14ac:dyDescent="0.25">
      <c r="AI5307" s="49"/>
      <c r="AJ5307" s="78"/>
      <c r="AK5307" s="79"/>
      <c r="AL5307" s="79"/>
      <c r="AM5307" s="79"/>
      <c r="AN5307" s="79"/>
      <c r="AO5307" s="79"/>
      <c r="AP5307" s="79"/>
      <c r="AQ5307" s="79"/>
      <c r="AR5307" s="78"/>
      <c r="AS5307" s="78"/>
      <c r="AT5307" s="79"/>
      <c r="AU5307" s="79"/>
      <c r="AV5307" s="79"/>
      <c r="AW5307" s="79"/>
      <c r="AX5307" s="79"/>
      <c r="AZ5307" s="81"/>
      <c r="BB5307" s="5"/>
      <c r="BC5307" s="5"/>
      <c r="BD5307" s="5"/>
      <c r="BE5307" s="5"/>
      <c r="BF5307" s="5"/>
      <c r="BG5307" s="5"/>
      <c r="BH5307" s="5"/>
      <c r="BI5307" s="5"/>
      <c r="BJ5307" s="5"/>
      <c r="BK5307" s="5"/>
      <c r="BL5307" s="5"/>
      <c r="BM5307" s="5"/>
      <c r="BN5307" s="5"/>
      <c r="BO5307" s="5"/>
      <c r="BP5307" s="5"/>
    </row>
    <row r="5308" spans="35:68" x14ac:dyDescent="0.25">
      <c r="AI5308" s="49"/>
      <c r="AJ5308" s="78"/>
      <c r="AK5308" s="79"/>
      <c r="AL5308" s="79"/>
      <c r="AM5308" s="79"/>
      <c r="AN5308" s="79"/>
      <c r="AO5308" s="79"/>
      <c r="AP5308" s="79"/>
      <c r="AQ5308" s="79"/>
      <c r="AR5308" s="78"/>
      <c r="AS5308" s="78"/>
      <c r="AT5308" s="79"/>
      <c r="AU5308" s="79"/>
      <c r="AV5308" s="79"/>
      <c r="AW5308" s="79"/>
      <c r="AX5308" s="79"/>
      <c r="AZ5308" s="81"/>
      <c r="BB5308" s="5"/>
      <c r="BC5308" s="5"/>
      <c r="BD5308" s="5"/>
      <c r="BE5308" s="5"/>
      <c r="BF5308" s="5"/>
      <c r="BG5308" s="5"/>
      <c r="BH5308" s="5"/>
      <c r="BI5308" s="5"/>
      <c r="BJ5308" s="5"/>
      <c r="BK5308" s="5"/>
      <c r="BL5308" s="5"/>
      <c r="BM5308" s="5"/>
      <c r="BN5308" s="5"/>
      <c r="BO5308" s="5"/>
      <c r="BP5308" s="5"/>
    </row>
    <row r="5309" spans="35:68" x14ac:dyDescent="0.25">
      <c r="AI5309" s="49"/>
      <c r="AJ5309" s="78"/>
      <c r="AK5309" s="79"/>
      <c r="AL5309" s="79"/>
      <c r="AM5309" s="79"/>
      <c r="AN5309" s="79"/>
      <c r="AO5309" s="79"/>
      <c r="AP5309" s="79"/>
      <c r="AQ5309" s="79"/>
      <c r="AR5309" s="78"/>
      <c r="AS5309" s="78"/>
      <c r="AT5309" s="79"/>
      <c r="AU5309" s="79"/>
      <c r="AV5309" s="79"/>
      <c r="AW5309" s="79"/>
      <c r="AX5309" s="79"/>
      <c r="AZ5309" s="81"/>
      <c r="BB5309" s="5"/>
      <c r="BC5309" s="5"/>
      <c r="BD5309" s="5"/>
      <c r="BE5309" s="5"/>
      <c r="BF5309" s="5"/>
      <c r="BG5309" s="5"/>
      <c r="BH5309" s="5"/>
      <c r="BI5309" s="5"/>
      <c r="BJ5309" s="5"/>
      <c r="BK5309" s="5"/>
      <c r="BL5309" s="5"/>
      <c r="BM5309" s="5"/>
      <c r="BN5309" s="5"/>
      <c r="BO5309" s="5"/>
      <c r="BP5309" s="5"/>
    </row>
    <row r="5310" spans="35:68" x14ac:dyDescent="0.25">
      <c r="AI5310" s="49"/>
      <c r="AJ5310" s="78"/>
      <c r="AK5310" s="79"/>
      <c r="AL5310" s="79"/>
      <c r="AM5310" s="79"/>
      <c r="AN5310" s="79"/>
      <c r="AO5310" s="79"/>
      <c r="AP5310" s="79"/>
      <c r="AQ5310" s="79"/>
      <c r="AR5310" s="78"/>
      <c r="AS5310" s="78"/>
      <c r="AT5310" s="79"/>
      <c r="AU5310" s="79"/>
      <c r="AV5310" s="79"/>
      <c r="AW5310" s="79"/>
      <c r="AX5310" s="79"/>
      <c r="AZ5310" s="81"/>
      <c r="BB5310" s="5"/>
      <c r="BC5310" s="5"/>
      <c r="BD5310" s="5"/>
      <c r="BE5310" s="5"/>
      <c r="BF5310" s="5"/>
      <c r="BG5310" s="5"/>
      <c r="BH5310" s="5"/>
      <c r="BI5310" s="5"/>
      <c r="BJ5310" s="5"/>
      <c r="BK5310" s="5"/>
      <c r="BL5310" s="5"/>
      <c r="BM5310" s="5"/>
      <c r="BN5310" s="5"/>
      <c r="BO5310" s="5"/>
      <c r="BP5310" s="5"/>
    </row>
    <row r="5311" spans="35:68" x14ac:dyDescent="0.25">
      <c r="AI5311" s="49"/>
      <c r="AJ5311" s="78"/>
      <c r="AK5311" s="79"/>
      <c r="AL5311" s="79"/>
      <c r="AM5311" s="79"/>
      <c r="AN5311" s="79"/>
      <c r="AO5311" s="79"/>
      <c r="AP5311" s="79"/>
      <c r="AQ5311" s="79"/>
      <c r="AR5311" s="78"/>
      <c r="AS5311" s="78"/>
      <c r="AT5311" s="79"/>
      <c r="AU5311" s="79"/>
      <c r="AV5311" s="79"/>
      <c r="AW5311" s="79"/>
      <c r="AX5311" s="79"/>
      <c r="AZ5311" s="81"/>
      <c r="BB5311" s="5"/>
      <c r="BC5311" s="5"/>
      <c r="BD5311" s="5"/>
      <c r="BE5311" s="5"/>
      <c r="BF5311" s="5"/>
      <c r="BG5311" s="5"/>
      <c r="BH5311" s="5"/>
      <c r="BI5311" s="5"/>
      <c r="BJ5311" s="5"/>
      <c r="BK5311" s="5"/>
      <c r="BL5311" s="5"/>
      <c r="BM5311" s="5"/>
      <c r="BN5311" s="5"/>
      <c r="BO5311" s="5"/>
      <c r="BP5311" s="5"/>
    </row>
    <row r="5312" spans="35:68" x14ac:dyDescent="0.25">
      <c r="AI5312" s="49"/>
      <c r="AJ5312" s="78"/>
      <c r="AK5312" s="79"/>
      <c r="AL5312" s="79"/>
      <c r="AM5312" s="79"/>
      <c r="AN5312" s="79"/>
      <c r="AO5312" s="79"/>
      <c r="AP5312" s="79"/>
      <c r="AQ5312" s="79"/>
      <c r="AR5312" s="78"/>
      <c r="AS5312" s="78"/>
      <c r="AT5312" s="79"/>
      <c r="AU5312" s="79"/>
      <c r="AV5312" s="79"/>
      <c r="AW5312" s="79"/>
      <c r="AX5312" s="79"/>
      <c r="AZ5312" s="81"/>
      <c r="BB5312" s="5"/>
      <c r="BC5312" s="5"/>
      <c r="BD5312" s="5"/>
      <c r="BE5312" s="5"/>
      <c r="BF5312" s="5"/>
      <c r="BG5312" s="5"/>
      <c r="BH5312" s="5"/>
      <c r="BI5312" s="5"/>
      <c r="BJ5312" s="5"/>
      <c r="BK5312" s="5"/>
      <c r="BL5312" s="5"/>
      <c r="BM5312" s="5"/>
      <c r="BN5312" s="5"/>
      <c r="BO5312" s="5"/>
      <c r="BP5312" s="5"/>
    </row>
    <row r="5313" spans="35:68" x14ac:dyDescent="0.25">
      <c r="AI5313" s="49"/>
      <c r="AJ5313" s="78"/>
      <c r="AK5313" s="79"/>
      <c r="AL5313" s="79"/>
      <c r="AM5313" s="79"/>
      <c r="AN5313" s="79"/>
      <c r="AO5313" s="79"/>
      <c r="AP5313" s="79"/>
      <c r="AQ5313" s="79"/>
      <c r="AR5313" s="78"/>
      <c r="AS5313" s="78"/>
      <c r="AT5313" s="79"/>
      <c r="AU5313" s="79"/>
      <c r="AV5313" s="79"/>
      <c r="AW5313" s="79"/>
      <c r="AX5313" s="79"/>
      <c r="AZ5313" s="81"/>
      <c r="BB5313" s="5"/>
      <c r="BC5313" s="5"/>
      <c r="BD5313" s="5"/>
      <c r="BE5313" s="5"/>
      <c r="BF5313" s="5"/>
      <c r="BG5313" s="5"/>
      <c r="BH5313" s="5"/>
      <c r="BI5313" s="5"/>
      <c r="BJ5313" s="5"/>
      <c r="BK5313" s="5"/>
      <c r="BL5313" s="5"/>
      <c r="BM5313" s="5"/>
      <c r="BN5313" s="5"/>
      <c r="BO5313" s="5"/>
      <c r="BP5313" s="5"/>
    </row>
    <row r="5314" spans="35:68" x14ac:dyDescent="0.25">
      <c r="AI5314" s="49"/>
      <c r="AJ5314" s="78"/>
      <c r="AK5314" s="79"/>
      <c r="AL5314" s="79"/>
      <c r="AM5314" s="79"/>
      <c r="AN5314" s="79"/>
      <c r="AO5314" s="79"/>
      <c r="AP5314" s="79"/>
      <c r="AQ5314" s="79"/>
      <c r="AR5314" s="78"/>
      <c r="AS5314" s="78"/>
      <c r="AT5314" s="79"/>
      <c r="AU5314" s="79"/>
      <c r="AV5314" s="79"/>
      <c r="AW5314" s="79"/>
      <c r="AX5314" s="79"/>
      <c r="AZ5314" s="81"/>
      <c r="BB5314" s="5"/>
      <c r="BC5314" s="5"/>
      <c r="BD5314" s="5"/>
      <c r="BE5314" s="5"/>
      <c r="BF5314" s="5"/>
      <c r="BG5314" s="5"/>
      <c r="BH5314" s="5"/>
      <c r="BI5314" s="5"/>
      <c r="BJ5314" s="5"/>
      <c r="BK5314" s="5"/>
      <c r="BL5314" s="5"/>
      <c r="BM5314" s="5"/>
      <c r="BN5314" s="5"/>
      <c r="BO5314" s="5"/>
      <c r="BP5314" s="5"/>
    </row>
    <row r="5315" spans="35:68" x14ac:dyDescent="0.25">
      <c r="AI5315" s="49"/>
      <c r="AJ5315" s="78"/>
      <c r="AK5315" s="79"/>
      <c r="AL5315" s="79"/>
      <c r="AM5315" s="79"/>
      <c r="AN5315" s="79"/>
      <c r="AO5315" s="79"/>
      <c r="AP5315" s="79"/>
      <c r="AQ5315" s="79"/>
      <c r="AR5315" s="78"/>
      <c r="AS5315" s="78"/>
      <c r="AT5315" s="79"/>
      <c r="AU5315" s="79"/>
      <c r="AV5315" s="79"/>
      <c r="AW5315" s="79"/>
      <c r="AX5315" s="79"/>
      <c r="AZ5315" s="81"/>
      <c r="BB5315" s="5"/>
      <c r="BC5315" s="5"/>
      <c r="BD5315" s="5"/>
      <c r="BE5315" s="5"/>
      <c r="BF5315" s="5"/>
      <c r="BG5315" s="5"/>
      <c r="BH5315" s="5"/>
      <c r="BI5315" s="5"/>
      <c r="BJ5315" s="5"/>
      <c r="BK5315" s="5"/>
      <c r="BL5315" s="5"/>
      <c r="BM5315" s="5"/>
      <c r="BN5315" s="5"/>
      <c r="BO5315" s="5"/>
      <c r="BP5315" s="5"/>
    </row>
    <row r="5316" spans="35:68" x14ac:dyDescent="0.25">
      <c r="AI5316" s="49"/>
      <c r="AJ5316" s="78"/>
      <c r="AK5316" s="79"/>
      <c r="AL5316" s="79"/>
      <c r="AM5316" s="79"/>
      <c r="AN5316" s="79"/>
      <c r="AO5316" s="79"/>
      <c r="AP5316" s="79"/>
      <c r="AQ5316" s="79"/>
      <c r="AR5316" s="78"/>
      <c r="AS5316" s="78"/>
      <c r="AT5316" s="79"/>
      <c r="AU5316" s="79"/>
      <c r="AV5316" s="79"/>
      <c r="AW5316" s="79"/>
      <c r="AX5316" s="79"/>
      <c r="AZ5316" s="81"/>
      <c r="BB5316" s="5"/>
      <c r="BC5316" s="5"/>
      <c r="BD5316" s="5"/>
      <c r="BE5316" s="5"/>
      <c r="BF5316" s="5"/>
      <c r="BG5316" s="5"/>
      <c r="BH5316" s="5"/>
      <c r="BI5316" s="5"/>
      <c r="BJ5316" s="5"/>
      <c r="BK5316" s="5"/>
      <c r="BL5316" s="5"/>
      <c r="BM5316" s="5"/>
      <c r="BN5316" s="5"/>
      <c r="BO5316" s="5"/>
      <c r="BP5316" s="5"/>
    </row>
    <row r="5317" spans="35:68" x14ac:dyDescent="0.25">
      <c r="AI5317" s="49"/>
      <c r="AJ5317" s="78"/>
      <c r="AK5317" s="79"/>
      <c r="AL5317" s="79"/>
      <c r="AM5317" s="79"/>
      <c r="AN5317" s="79"/>
      <c r="AO5317" s="79"/>
      <c r="AP5317" s="79"/>
      <c r="AQ5317" s="79"/>
      <c r="AR5317" s="78"/>
      <c r="AS5317" s="78"/>
      <c r="AT5317" s="79"/>
      <c r="AU5317" s="79"/>
      <c r="AV5317" s="79"/>
      <c r="AW5317" s="79"/>
      <c r="AX5317" s="79"/>
      <c r="AZ5317" s="81"/>
      <c r="BB5317" s="5"/>
      <c r="BC5317" s="5"/>
      <c r="BD5317" s="5"/>
      <c r="BE5317" s="5"/>
      <c r="BF5317" s="5"/>
      <c r="BG5317" s="5"/>
      <c r="BH5317" s="5"/>
      <c r="BI5317" s="5"/>
      <c r="BJ5317" s="5"/>
      <c r="BK5317" s="5"/>
      <c r="BL5317" s="5"/>
      <c r="BM5317" s="5"/>
      <c r="BN5317" s="5"/>
      <c r="BO5317" s="5"/>
      <c r="BP5317" s="5"/>
    </row>
    <row r="5318" spans="35:68" x14ac:dyDescent="0.25">
      <c r="AI5318" s="49"/>
      <c r="AJ5318" s="78"/>
      <c r="AK5318" s="79"/>
      <c r="AL5318" s="79"/>
      <c r="AM5318" s="79"/>
      <c r="AN5318" s="79"/>
      <c r="AO5318" s="79"/>
      <c r="AP5318" s="79"/>
      <c r="AQ5318" s="79"/>
      <c r="AR5318" s="78"/>
      <c r="AS5318" s="78"/>
      <c r="AT5318" s="79"/>
      <c r="AU5318" s="79"/>
      <c r="AV5318" s="79"/>
      <c r="AW5318" s="79"/>
      <c r="AX5318" s="79"/>
      <c r="AZ5318" s="81"/>
      <c r="BB5318" s="5"/>
      <c r="BC5318" s="5"/>
      <c r="BD5318" s="5"/>
      <c r="BE5318" s="5"/>
      <c r="BF5318" s="5"/>
      <c r="BG5318" s="5"/>
      <c r="BH5318" s="5"/>
      <c r="BI5318" s="5"/>
      <c r="BJ5318" s="5"/>
      <c r="BK5318" s="5"/>
      <c r="BL5318" s="5"/>
      <c r="BM5318" s="5"/>
      <c r="BN5318" s="5"/>
      <c r="BO5318" s="5"/>
      <c r="BP5318" s="5"/>
    </row>
    <row r="5319" spans="35:68" x14ac:dyDescent="0.25">
      <c r="AI5319" s="49"/>
      <c r="AJ5319" s="78"/>
      <c r="AK5319" s="79"/>
      <c r="AL5319" s="79"/>
      <c r="AM5319" s="79"/>
      <c r="AN5319" s="79"/>
      <c r="AO5319" s="79"/>
      <c r="AP5319" s="79"/>
      <c r="AQ5319" s="79"/>
      <c r="AR5319" s="78"/>
      <c r="AS5319" s="78"/>
      <c r="AT5319" s="79"/>
      <c r="AU5319" s="79"/>
      <c r="AV5319" s="79"/>
      <c r="AW5319" s="79"/>
      <c r="AX5319" s="79"/>
      <c r="AZ5319" s="81"/>
      <c r="BB5319" s="5"/>
      <c r="BC5319" s="5"/>
      <c r="BD5319" s="5"/>
      <c r="BE5319" s="5"/>
      <c r="BF5319" s="5"/>
      <c r="BG5319" s="5"/>
      <c r="BH5319" s="5"/>
      <c r="BI5319" s="5"/>
      <c r="BJ5319" s="5"/>
      <c r="BK5319" s="5"/>
      <c r="BL5319" s="5"/>
      <c r="BM5319" s="5"/>
      <c r="BN5319" s="5"/>
      <c r="BO5319" s="5"/>
      <c r="BP5319" s="5"/>
    </row>
    <row r="5320" spans="35:68" x14ac:dyDescent="0.25">
      <c r="AI5320" s="49"/>
      <c r="AJ5320" s="78"/>
      <c r="AK5320" s="79"/>
      <c r="AL5320" s="79"/>
      <c r="AM5320" s="79"/>
      <c r="AN5320" s="79"/>
      <c r="AO5320" s="79"/>
      <c r="AP5320" s="79"/>
      <c r="AQ5320" s="79"/>
      <c r="AR5320" s="78"/>
      <c r="AS5320" s="78"/>
      <c r="AT5320" s="79"/>
      <c r="AU5320" s="79"/>
      <c r="AV5320" s="79"/>
      <c r="AW5320" s="79"/>
      <c r="AX5320" s="79"/>
      <c r="AZ5320" s="81"/>
      <c r="BB5320" s="5"/>
      <c r="BC5320" s="5"/>
      <c r="BD5320" s="5"/>
      <c r="BE5320" s="5"/>
      <c r="BF5320" s="5"/>
      <c r="BG5320" s="5"/>
      <c r="BH5320" s="5"/>
      <c r="BI5320" s="5"/>
      <c r="BJ5320" s="5"/>
      <c r="BK5320" s="5"/>
      <c r="BL5320" s="5"/>
      <c r="BM5320" s="5"/>
      <c r="BN5320" s="5"/>
      <c r="BO5320" s="5"/>
      <c r="BP5320" s="5"/>
    </row>
    <row r="5321" spans="35:68" x14ac:dyDescent="0.25">
      <c r="AI5321" s="49"/>
      <c r="AJ5321" s="78"/>
      <c r="AK5321" s="79"/>
      <c r="AL5321" s="79"/>
      <c r="AM5321" s="79"/>
      <c r="AN5321" s="79"/>
      <c r="AO5321" s="79"/>
      <c r="AP5321" s="79"/>
      <c r="AQ5321" s="79"/>
      <c r="AR5321" s="78"/>
      <c r="AS5321" s="78"/>
      <c r="AT5321" s="79"/>
      <c r="AU5321" s="79"/>
      <c r="AV5321" s="79"/>
      <c r="AW5321" s="79"/>
      <c r="AX5321" s="79"/>
      <c r="AZ5321" s="81"/>
      <c r="BB5321" s="5"/>
      <c r="BC5321" s="5"/>
      <c r="BD5321" s="5"/>
      <c r="BE5321" s="5"/>
      <c r="BF5321" s="5"/>
      <c r="BG5321" s="5"/>
      <c r="BH5321" s="5"/>
      <c r="BI5321" s="5"/>
      <c r="BJ5321" s="5"/>
      <c r="BK5321" s="5"/>
      <c r="BL5321" s="5"/>
      <c r="BM5321" s="5"/>
      <c r="BN5321" s="5"/>
      <c r="BO5321" s="5"/>
      <c r="BP5321" s="5"/>
    </row>
    <row r="5322" spans="35:68" x14ac:dyDescent="0.25">
      <c r="AI5322" s="49"/>
      <c r="AJ5322" s="78"/>
      <c r="AK5322" s="79"/>
      <c r="AL5322" s="79"/>
      <c r="AM5322" s="79"/>
      <c r="AN5322" s="79"/>
      <c r="AO5322" s="79"/>
      <c r="AP5322" s="79"/>
      <c r="AQ5322" s="79"/>
      <c r="AR5322" s="78"/>
      <c r="AS5322" s="78"/>
      <c r="AT5322" s="79"/>
      <c r="AU5322" s="79"/>
      <c r="AV5322" s="79"/>
      <c r="AW5322" s="79"/>
      <c r="AX5322" s="79"/>
      <c r="AZ5322" s="81"/>
      <c r="BB5322" s="5"/>
      <c r="BC5322" s="5"/>
      <c r="BD5322" s="5"/>
      <c r="BE5322" s="5"/>
      <c r="BF5322" s="5"/>
      <c r="BG5322" s="5"/>
      <c r="BH5322" s="5"/>
      <c r="BI5322" s="5"/>
      <c r="BJ5322" s="5"/>
      <c r="BK5322" s="5"/>
      <c r="BL5322" s="5"/>
      <c r="BM5322" s="5"/>
      <c r="BN5322" s="5"/>
      <c r="BO5322" s="5"/>
      <c r="BP5322" s="5"/>
    </row>
    <row r="5323" spans="35:68" x14ac:dyDescent="0.25">
      <c r="AI5323" s="49"/>
      <c r="AJ5323" s="78"/>
      <c r="AK5323" s="79"/>
      <c r="AL5323" s="79"/>
      <c r="AM5323" s="79"/>
      <c r="AN5323" s="79"/>
      <c r="AO5323" s="79"/>
      <c r="AP5323" s="79"/>
      <c r="AQ5323" s="79"/>
      <c r="AR5323" s="78"/>
      <c r="AS5323" s="78"/>
      <c r="AT5323" s="79"/>
      <c r="AU5323" s="79"/>
      <c r="AV5323" s="79"/>
      <c r="AW5323" s="79"/>
      <c r="AX5323" s="79"/>
      <c r="AZ5323" s="81"/>
      <c r="BB5323" s="5"/>
      <c r="BC5323" s="5"/>
      <c r="BD5323" s="5"/>
      <c r="BE5323" s="5"/>
      <c r="BF5323" s="5"/>
      <c r="BG5323" s="5"/>
      <c r="BH5323" s="5"/>
      <c r="BI5323" s="5"/>
      <c r="BJ5323" s="5"/>
      <c r="BK5323" s="5"/>
      <c r="BL5323" s="5"/>
      <c r="BM5323" s="5"/>
      <c r="BN5323" s="5"/>
      <c r="BO5323" s="5"/>
      <c r="BP5323" s="5"/>
    </row>
    <row r="5324" spans="35:68" x14ac:dyDescent="0.25">
      <c r="AI5324" s="49"/>
      <c r="AJ5324" s="78"/>
      <c r="AK5324" s="79"/>
      <c r="AL5324" s="79"/>
      <c r="AM5324" s="79"/>
      <c r="AN5324" s="79"/>
      <c r="AO5324" s="79"/>
      <c r="AP5324" s="79"/>
      <c r="AQ5324" s="79"/>
      <c r="AR5324" s="78"/>
      <c r="AS5324" s="78"/>
      <c r="AT5324" s="79"/>
      <c r="AU5324" s="79"/>
      <c r="AV5324" s="79"/>
      <c r="AW5324" s="79"/>
      <c r="AX5324" s="79"/>
      <c r="AZ5324" s="81"/>
      <c r="BB5324" s="5"/>
      <c r="BC5324" s="5"/>
      <c r="BD5324" s="5"/>
      <c r="BE5324" s="5"/>
      <c r="BF5324" s="5"/>
      <c r="BG5324" s="5"/>
      <c r="BH5324" s="5"/>
      <c r="BI5324" s="5"/>
      <c r="BJ5324" s="5"/>
      <c r="BK5324" s="5"/>
      <c r="BL5324" s="5"/>
      <c r="BM5324" s="5"/>
      <c r="BN5324" s="5"/>
      <c r="BO5324" s="5"/>
      <c r="BP5324" s="5"/>
    </row>
    <row r="5325" spans="35:68" x14ac:dyDescent="0.25">
      <c r="AI5325" s="49"/>
      <c r="AJ5325" s="78"/>
      <c r="AK5325" s="79"/>
      <c r="AL5325" s="79"/>
      <c r="AM5325" s="79"/>
      <c r="AN5325" s="79"/>
      <c r="AO5325" s="79"/>
      <c r="AP5325" s="79"/>
      <c r="AQ5325" s="79"/>
      <c r="AR5325" s="78"/>
      <c r="AS5325" s="78"/>
      <c r="AT5325" s="79"/>
      <c r="AU5325" s="79"/>
      <c r="AV5325" s="79"/>
      <c r="AW5325" s="79"/>
      <c r="AX5325" s="79"/>
      <c r="AZ5325" s="81"/>
      <c r="BB5325" s="5"/>
      <c r="BC5325" s="5"/>
      <c r="BD5325" s="5"/>
      <c r="BE5325" s="5"/>
      <c r="BF5325" s="5"/>
      <c r="BG5325" s="5"/>
      <c r="BH5325" s="5"/>
      <c r="BI5325" s="5"/>
      <c r="BJ5325" s="5"/>
      <c r="BK5325" s="5"/>
      <c r="BL5325" s="5"/>
      <c r="BM5325" s="5"/>
      <c r="BN5325" s="5"/>
      <c r="BO5325" s="5"/>
      <c r="BP5325" s="5"/>
    </row>
    <row r="5326" spans="35:68" x14ac:dyDescent="0.25">
      <c r="AI5326" s="49"/>
      <c r="AJ5326" s="78"/>
      <c r="AK5326" s="79"/>
      <c r="AL5326" s="79"/>
      <c r="AM5326" s="79"/>
      <c r="AN5326" s="79"/>
      <c r="AO5326" s="79"/>
      <c r="AP5326" s="79"/>
      <c r="AQ5326" s="79"/>
      <c r="AR5326" s="78"/>
      <c r="AS5326" s="78"/>
      <c r="AT5326" s="79"/>
      <c r="AU5326" s="79"/>
      <c r="AV5326" s="79"/>
      <c r="AW5326" s="79"/>
      <c r="AX5326" s="79"/>
      <c r="AZ5326" s="81"/>
      <c r="BB5326" s="5"/>
      <c r="BC5326" s="5"/>
      <c r="BD5326" s="5"/>
      <c r="BE5326" s="5"/>
      <c r="BF5326" s="5"/>
      <c r="BG5326" s="5"/>
      <c r="BH5326" s="5"/>
      <c r="BI5326" s="5"/>
      <c r="BJ5326" s="5"/>
      <c r="BK5326" s="5"/>
      <c r="BL5326" s="5"/>
      <c r="BM5326" s="5"/>
      <c r="BN5326" s="5"/>
      <c r="BO5326" s="5"/>
      <c r="BP5326" s="5"/>
    </row>
  </sheetData>
  <mergeCells count="18">
    <mergeCell ref="BL59:BZ59"/>
    <mergeCell ref="BG61:BG68"/>
    <mergeCell ref="BF66:BF68"/>
    <mergeCell ref="B1:P1"/>
    <mergeCell ref="S1:AG1"/>
    <mergeCell ref="S5:AG5"/>
    <mergeCell ref="AJ2:AX2"/>
    <mergeCell ref="BF29:BF39"/>
    <mergeCell ref="BB8:BB9"/>
    <mergeCell ref="BI41:BI44"/>
    <mergeCell ref="BF48:BF54"/>
    <mergeCell ref="BL30:BZ30"/>
    <mergeCell ref="BL48:BZ48"/>
    <mergeCell ref="BF70:BF76"/>
    <mergeCell ref="BE70:BE76"/>
    <mergeCell ref="BF55:BF57"/>
    <mergeCell ref="BG50:BG57"/>
    <mergeCell ref="BF59:BF65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D214-54E6-444A-A712-68B864F2F883}">
  <dimension ref="A1:T1934"/>
  <sheetViews>
    <sheetView zoomScale="70" zoomScaleNormal="70" workbookViewId="0">
      <pane ySplit="1" topLeftCell="A1887" activePane="bottomLeft" state="frozen"/>
      <selection pane="bottomLeft" activeCell="E1929" sqref="E1929"/>
    </sheetView>
  </sheetViews>
  <sheetFormatPr baseColWidth="10" defaultRowHeight="15" x14ac:dyDescent="0.25"/>
  <cols>
    <col min="1" max="1" width="11.85546875" bestFit="1" customWidth="1"/>
    <col min="20" max="20" width="11.85546875" bestFit="1" customWidth="1"/>
  </cols>
  <sheetData>
    <row r="1" spans="1:16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s="1">
        <v>41191</v>
      </c>
      <c r="B2">
        <v>6.82</v>
      </c>
      <c r="C2">
        <v>119.02</v>
      </c>
      <c r="D2">
        <v>4.58</v>
      </c>
      <c r="E2">
        <v>37.25</v>
      </c>
      <c r="F2">
        <v>5.68</v>
      </c>
      <c r="G2">
        <v>1.8</v>
      </c>
      <c r="H2">
        <v>8.3800000000000008</v>
      </c>
      <c r="I2">
        <v>30.32</v>
      </c>
      <c r="J2">
        <v>20.100000000000001</v>
      </c>
      <c r="K2">
        <v>7.35</v>
      </c>
      <c r="L2">
        <v>2.31</v>
      </c>
      <c r="M2">
        <v>3.52</v>
      </c>
      <c r="N2">
        <v>0.47</v>
      </c>
      <c r="O2">
        <v>2.96</v>
      </c>
      <c r="P2">
        <v>2.2999999999999998</v>
      </c>
    </row>
    <row r="3" spans="1:16" x14ac:dyDescent="0.25">
      <c r="A3" s="1">
        <v>41192</v>
      </c>
      <c r="B3">
        <v>6.86</v>
      </c>
      <c r="C3">
        <v>119.76</v>
      </c>
      <c r="D3">
        <v>4.5999999999999996</v>
      </c>
      <c r="E3">
        <v>37.049999999999997</v>
      </c>
      <c r="F3">
        <v>5.68</v>
      </c>
      <c r="G3">
        <v>1.79</v>
      </c>
      <c r="H3">
        <v>8.43</v>
      </c>
      <c r="I3">
        <v>30.51</v>
      </c>
      <c r="J3">
        <v>20.3</v>
      </c>
      <c r="K3">
        <v>7.46</v>
      </c>
      <c r="L3">
        <v>2.29</v>
      </c>
      <c r="M3">
        <v>3.51</v>
      </c>
      <c r="N3">
        <v>0.47</v>
      </c>
      <c r="O3">
        <v>2.97</v>
      </c>
      <c r="P3">
        <v>2.2599999999999998</v>
      </c>
    </row>
    <row r="4" spans="1:16" x14ac:dyDescent="0.25">
      <c r="A4" s="1">
        <v>41193</v>
      </c>
      <c r="B4">
        <v>6.9</v>
      </c>
      <c r="C4">
        <v>119.03</v>
      </c>
      <c r="D4">
        <v>4.59</v>
      </c>
      <c r="E4">
        <v>37.299999999999997</v>
      </c>
      <c r="F4">
        <v>5.77</v>
      </c>
      <c r="G4">
        <v>1.74</v>
      </c>
      <c r="H4">
        <v>8.43</v>
      </c>
      <c r="I4">
        <v>30.51</v>
      </c>
      <c r="J4">
        <v>20.09</v>
      </c>
      <c r="K4">
        <v>7.46</v>
      </c>
      <c r="L4">
        <v>2.31</v>
      </c>
      <c r="M4">
        <v>3.51</v>
      </c>
      <c r="N4">
        <v>0.47</v>
      </c>
      <c r="O4">
        <v>3.04</v>
      </c>
      <c r="P4">
        <v>2.2799999999999998</v>
      </c>
    </row>
    <row r="5" spans="1:16" x14ac:dyDescent="0.25">
      <c r="A5" s="1">
        <v>41194</v>
      </c>
      <c r="B5">
        <v>6.91</v>
      </c>
      <c r="C5">
        <v>117.78</v>
      </c>
      <c r="D5">
        <v>4.5599999999999996</v>
      </c>
      <c r="E5">
        <v>37.1</v>
      </c>
      <c r="F5">
        <v>5.77</v>
      </c>
      <c r="G5">
        <v>1.74</v>
      </c>
      <c r="H5">
        <v>8.57</v>
      </c>
      <c r="I5">
        <v>30.51</v>
      </c>
      <c r="J5">
        <v>20.2</v>
      </c>
      <c r="K5">
        <v>7.46</v>
      </c>
      <c r="L5">
        <v>2.29</v>
      </c>
      <c r="M5">
        <v>3.51</v>
      </c>
      <c r="N5">
        <v>0.48</v>
      </c>
      <c r="O5">
        <v>3.06</v>
      </c>
      <c r="P5">
        <v>2.21</v>
      </c>
    </row>
    <row r="6" spans="1:16" x14ac:dyDescent="0.25">
      <c r="A6" s="1">
        <v>41197</v>
      </c>
      <c r="B6">
        <v>6.91</v>
      </c>
      <c r="C6">
        <v>117.79</v>
      </c>
      <c r="D6">
        <v>4.5599999999999996</v>
      </c>
      <c r="E6">
        <v>36.6</v>
      </c>
      <c r="F6">
        <v>5.73</v>
      </c>
      <c r="G6">
        <v>1.76</v>
      </c>
      <c r="H6">
        <v>8.57</v>
      </c>
      <c r="I6">
        <v>30.64</v>
      </c>
      <c r="J6">
        <v>20.399999999999999</v>
      </c>
      <c r="K6">
        <v>7.51</v>
      </c>
      <c r="L6">
        <v>2.29</v>
      </c>
      <c r="M6">
        <v>3.51</v>
      </c>
      <c r="N6">
        <v>0.48</v>
      </c>
      <c r="O6">
        <v>3.08</v>
      </c>
      <c r="P6">
        <v>2.25</v>
      </c>
    </row>
    <row r="7" spans="1:16" x14ac:dyDescent="0.25">
      <c r="A7" s="1">
        <v>41198</v>
      </c>
      <c r="B7">
        <v>6.99</v>
      </c>
      <c r="C7">
        <v>118.39</v>
      </c>
      <c r="D7">
        <v>4.5599999999999996</v>
      </c>
      <c r="E7">
        <v>36.299999999999997</v>
      </c>
      <c r="F7">
        <v>5.77</v>
      </c>
      <c r="G7">
        <v>1.76</v>
      </c>
      <c r="H7">
        <v>8.66</v>
      </c>
      <c r="I7">
        <v>30.64</v>
      </c>
      <c r="J7">
        <v>20.399999999999999</v>
      </c>
      <c r="K7">
        <v>7.59</v>
      </c>
      <c r="L7">
        <v>2.3199999999999998</v>
      </c>
      <c r="M7">
        <v>3.51</v>
      </c>
      <c r="N7">
        <v>0.48</v>
      </c>
      <c r="O7">
        <v>3.11</v>
      </c>
      <c r="P7">
        <v>2.2599999999999998</v>
      </c>
    </row>
    <row r="8" spans="1:16" x14ac:dyDescent="0.25">
      <c r="A8" s="1">
        <v>41199</v>
      </c>
      <c r="B8">
        <v>7.06</v>
      </c>
      <c r="C8">
        <v>118.53</v>
      </c>
      <c r="D8">
        <v>4.5599999999999996</v>
      </c>
      <c r="E8">
        <v>36.700000000000003</v>
      </c>
      <c r="F8">
        <v>5.82</v>
      </c>
      <c r="G8">
        <v>1.75</v>
      </c>
      <c r="H8">
        <v>8.67</v>
      </c>
      <c r="I8">
        <v>30.42</v>
      </c>
      <c r="J8">
        <v>20.399999999999999</v>
      </c>
      <c r="K8">
        <v>7.59</v>
      </c>
      <c r="L8">
        <v>2.33</v>
      </c>
      <c r="M8">
        <v>3.49</v>
      </c>
      <c r="N8">
        <v>0.48</v>
      </c>
      <c r="O8">
        <v>3.11</v>
      </c>
      <c r="P8">
        <v>2.29</v>
      </c>
    </row>
    <row r="9" spans="1:16" x14ac:dyDescent="0.25">
      <c r="A9" s="1">
        <v>41200</v>
      </c>
      <c r="B9">
        <v>7.26</v>
      </c>
      <c r="C9">
        <v>117.82</v>
      </c>
      <c r="D9">
        <v>4.53</v>
      </c>
      <c r="E9">
        <v>36.15</v>
      </c>
      <c r="F9">
        <v>5.82</v>
      </c>
      <c r="G9">
        <v>1.75</v>
      </c>
      <c r="H9">
        <v>8.74</v>
      </c>
      <c r="I9">
        <v>30.42</v>
      </c>
      <c r="J9">
        <v>20.2</v>
      </c>
      <c r="K9">
        <v>7.64</v>
      </c>
      <c r="L9">
        <v>2.33</v>
      </c>
      <c r="M9">
        <v>3.47</v>
      </c>
      <c r="N9">
        <v>0.48</v>
      </c>
      <c r="O9">
        <v>3.11</v>
      </c>
      <c r="P9">
        <v>2.27</v>
      </c>
    </row>
    <row r="10" spans="1:16" x14ac:dyDescent="0.25">
      <c r="A10" s="1">
        <v>41201</v>
      </c>
      <c r="B10">
        <v>7.4</v>
      </c>
      <c r="C10">
        <v>118.44</v>
      </c>
      <c r="D10">
        <v>4.53</v>
      </c>
      <c r="E10">
        <v>36</v>
      </c>
      <c r="F10">
        <v>5.82</v>
      </c>
      <c r="G10">
        <v>1.75</v>
      </c>
      <c r="H10">
        <v>8.74</v>
      </c>
      <c r="I10">
        <v>30.42</v>
      </c>
      <c r="J10">
        <v>20</v>
      </c>
      <c r="K10">
        <v>7.69</v>
      </c>
      <c r="L10">
        <v>2.3199999999999998</v>
      </c>
      <c r="M10">
        <v>3.43</v>
      </c>
      <c r="N10">
        <v>0.47</v>
      </c>
      <c r="O10">
        <v>3.1</v>
      </c>
      <c r="P10">
        <v>2.27</v>
      </c>
    </row>
    <row r="11" spans="1:16" x14ac:dyDescent="0.25">
      <c r="A11" s="1">
        <v>41204</v>
      </c>
      <c r="B11">
        <v>7.51</v>
      </c>
      <c r="C11">
        <v>118.63</v>
      </c>
      <c r="D11">
        <v>4.53</v>
      </c>
      <c r="E11">
        <v>36.4</v>
      </c>
      <c r="F11">
        <v>5.82</v>
      </c>
      <c r="G11">
        <v>1.74</v>
      </c>
      <c r="H11">
        <v>8.67</v>
      </c>
      <c r="I11">
        <v>30.14</v>
      </c>
      <c r="J11">
        <v>19.8</v>
      </c>
      <c r="K11">
        <v>7.65</v>
      </c>
      <c r="L11">
        <v>2.29</v>
      </c>
      <c r="M11">
        <v>3.41</v>
      </c>
      <c r="N11">
        <v>0.47</v>
      </c>
      <c r="O11">
        <v>3.11</v>
      </c>
      <c r="P11">
        <v>2.27</v>
      </c>
    </row>
    <row r="12" spans="1:16" x14ac:dyDescent="0.25">
      <c r="A12" s="1">
        <v>41205</v>
      </c>
      <c r="B12">
        <v>7.39</v>
      </c>
      <c r="C12">
        <v>118.16</v>
      </c>
      <c r="D12">
        <v>4.46</v>
      </c>
      <c r="E12">
        <v>35.5</v>
      </c>
      <c r="F12">
        <v>5.73</v>
      </c>
      <c r="G12">
        <v>1.74</v>
      </c>
      <c r="H12">
        <v>8.67</v>
      </c>
      <c r="I12">
        <v>29.6</v>
      </c>
      <c r="J12">
        <v>19.399999999999999</v>
      </c>
      <c r="K12">
        <v>7.65</v>
      </c>
      <c r="L12">
        <v>2.2599999999999998</v>
      </c>
      <c r="M12">
        <v>3.31</v>
      </c>
      <c r="N12">
        <v>0.46</v>
      </c>
      <c r="O12">
        <v>3.08</v>
      </c>
      <c r="P12">
        <v>2.1800000000000002</v>
      </c>
    </row>
    <row r="13" spans="1:16" x14ac:dyDescent="0.25">
      <c r="A13" s="1">
        <v>41206</v>
      </c>
      <c r="B13">
        <v>7.28</v>
      </c>
      <c r="C13">
        <v>118.72</v>
      </c>
      <c r="D13">
        <v>4.46</v>
      </c>
      <c r="E13">
        <v>35</v>
      </c>
      <c r="F13">
        <v>5.7</v>
      </c>
      <c r="G13">
        <v>1.74</v>
      </c>
      <c r="H13">
        <v>8.6199999999999992</v>
      </c>
      <c r="I13">
        <v>29.6</v>
      </c>
      <c r="J13">
        <v>19.25</v>
      </c>
      <c r="K13">
        <v>7.64</v>
      </c>
      <c r="L13">
        <v>2.25</v>
      </c>
      <c r="M13">
        <v>3.31</v>
      </c>
      <c r="N13">
        <v>0.47</v>
      </c>
      <c r="O13">
        <v>3.07</v>
      </c>
      <c r="P13">
        <v>2.13</v>
      </c>
    </row>
    <row r="14" spans="1:16" x14ac:dyDescent="0.25">
      <c r="A14" s="1">
        <v>41207</v>
      </c>
      <c r="B14">
        <v>7.25</v>
      </c>
      <c r="C14">
        <v>120.56</v>
      </c>
      <c r="D14">
        <v>4.46</v>
      </c>
      <c r="E14">
        <v>35.299999999999997</v>
      </c>
      <c r="F14">
        <v>5.73</v>
      </c>
      <c r="G14">
        <v>1.74</v>
      </c>
      <c r="H14">
        <v>8.6199999999999992</v>
      </c>
      <c r="I14">
        <v>29.6</v>
      </c>
      <c r="J14">
        <v>19.2</v>
      </c>
      <c r="K14">
        <v>7.64</v>
      </c>
      <c r="L14">
        <v>2.27</v>
      </c>
      <c r="M14">
        <v>3.32</v>
      </c>
      <c r="N14">
        <v>0.47</v>
      </c>
      <c r="O14">
        <v>3.06</v>
      </c>
      <c r="P14">
        <v>2.12</v>
      </c>
    </row>
    <row r="15" spans="1:16" x14ac:dyDescent="0.25">
      <c r="A15" s="1">
        <v>41208</v>
      </c>
      <c r="B15">
        <v>7.16</v>
      </c>
      <c r="C15">
        <v>119.73</v>
      </c>
      <c r="D15">
        <v>4.46</v>
      </c>
      <c r="E15">
        <v>35.200000000000003</v>
      </c>
      <c r="F15">
        <v>5.7</v>
      </c>
      <c r="G15">
        <v>1.74</v>
      </c>
      <c r="H15">
        <v>8.6199999999999992</v>
      </c>
      <c r="I15">
        <v>29.41</v>
      </c>
      <c r="J15">
        <v>19.25</v>
      </c>
      <c r="K15">
        <v>7.62</v>
      </c>
      <c r="L15">
        <v>2.25</v>
      </c>
      <c r="M15">
        <v>3.26</v>
      </c>
      <c r="N15">
        <v>0.46</v>
      </c>
      <c r="O15">
        <v>3.05</v>
      </c>
      <c r="P15">
        <v>2.13</v>
      </c>
    </row>
    <row r="16" spans="1:16" x14ac:dyDescent="0.25">
      <c r="A16" s="1">
        <v>41211</v>
      </c>
      <c r="B16">
        <v>7.16</v>
      </c>
      <c r="C16">
        <v>119.67</v>
      </c>
      <c r="D16">
        <v>4.46</v>
      </c>
      <c r="E16">
        <v>35</v>
      </c>
      <c r="F16">
        <v>5.68</v>
      </c>
      <c r="G16">
        <v>1.74</v>
      </c>
      <c r="H16">
        <v>8.57</v>
      </c>
      <c r="I16">
        <v>29.6</v>
      </c>
      <c r="J16">
        <v>19.25</v>
      </c>
      <c r="K16">
        <v>7.62</v>
      </c>
      <c r="L16">
        <v>2.25</v>
      </c>
      <c r="M16">
        <v>3.28</v>
      </c>
      <c r="N16">
        <v>0.46</v>
      </c>
      <c r="O16">
        <v>3.04</v>
      </c>
      <c r="P16">
        <v>2.13</v>
      </c>
    </row>
    <row r="17" spans="1:16" x14ac:dyDescent="0.25">
      <c r="A17" s="1">
        <v>41212</v>
      </c>
      <c r="B17">
        <v>7.16</v>
      </c>
      <c r="C17">
        <v>119.67</v>
      </c>
      <c r="D17">
        <v>4.46</v>
      </c>
      <c r="E17">
        <v>35</v>
      </c>
      <c r="F17">
        <v>5.68</v>
      </c>
      <c r="G17">
        <v>1.73</v>
      </c>
      <c r="H17">
        <v>8.57</v>
      </c>
      <c r="I17">
        <v>29.6</v>
      </c>
      <c r="J17">
        <v>19.3</v>
      </c>
      <c r="K17">
        <v>7.62</v>
      </c>
      <c r="L17">
        <v>2.2400000000000002</v>
      </c>
      <c r="M17">
        <v>3.28</v>
      </c>
      <c r="N17">
        <v>0.46</v>
      </c>
      <c r="O17">
        <v>3.03</v>
      </c>
      <c r="P17">
        <v>2.14</v>
      </c>
    </row>
    <row r="18" spans="1:16" x14ac:dyDescent="0.25">
      <c r="A18" s="1">
        <v>41213</v>
      </c>
      <c r="B18">
        <v>7.16</v>
      </c>
      <c r="C18">
        <v>121.47</v>
      </c>
      <c r="D18">
        <v>4.46</v>
      </c>
      <c r="E18">
        <v>35.51</v>
      </c>
      <c r="F18">
        <v>5.82</v>
      </c>
      <c r="G18">
        <v>1.72</v>
      </c>
      <c r="H18">
        <v>8.7100000000000009</v>
      </c>
      <c r="I18">
        <v>29.14</v>
      </c>
      <c r="J18">
        <v>19.350000000000001</v>
      </c>
      <c r="K18">
        <v>7.62</v>
      </c>
      <c r="L18">
        <v>2.23</v>
      </c>
      <c r="M18">
        <v>3.31</v>
      </c>
      <c r="N18">
        <v>0.45</v>
      </c>
      <c r="O18">
        <v>3.03</v>
      </c>
      <c r="P18">
        <v>2.0299999999999998</v>
      </c>
    </row>
    <row r="19" spans="1:16" x14ac:dyDescent="0.25">
      <c r="A19" s="1">
        <v>41215</v>
      </c>
      <c r="B19">
        <v>7.32</v>
      </c>
      <c r="C19">
        <v>124.92</v>
      </c>
      <c r="D19">
        <v>4.46</v>
      </c>
      <c r="E19">
        <v>34.68</v>
      </c>
      <c r="F19">
        <v>5.79</v>
      </c>
      <c r="G19">
        <v>1.71</v>
      </c>
      <c r="H19">
        <v>8.67</v>
      </c>
      <c r="I19">
        <v>29.14</v>
      </c>
      <c r="J19">
        <v>19.350000000000001</v>
      </c>
      <c r="K19">
        <v>7.69</v>
      </c>
      <c r="L19">
        <v>2.21</v>
      </c>
      <c r="M19">
        <v>3.31</v>
      </c>
      <c r="N19">
        <v>0.45</v>
      </c>
      <c r="O19">
        <v>3.03</v>
      </c>
      <c r="P19">
        <v>2.12</v>
      </c>
    </row>
    <row r="20" spans="1:16" x14ac:dyDescent="0.25">
      <c r="A20" s="1">
        <v>41218</v>
      </c>
      <c r="B20">
        <v>7.39</v>
      </c>
      <c r="C20">
        <v>124.38</v>
      </c>
      <c r="D20">
        <v>4.49</v>
      </c>
      <c r="E20">
        <v>34.1</v>
      </c>
      <c r="F20">
        <v>5.87</v>
      </c>
      <c r="G20">
        <v>1.72</v>
      </c>
      <c r="H20">
        <v>8.7100000000000009</v>
      </c>
      <c r="I20">
        <v>29.32</v>
      </c>
      <c r="J20">
        <v>19.5</v>
      </c>
      <c r="K20">
        <v>7.69</v>
      </c>
      <c r="L20">
        <v>2.23</v>
      </c>
      <c r="M20">
        <v>3.31</v>
      </c>
      <c r="N20">
        <v>0.46</v>
      </c>
      <c r="O20">
        <v>3.03</v>
      </c>
      <c r="P20">
        <v>2.13</v>
      </c>
    </row>
    <row r="21" spans="1:16" x14ac:dyDescent="0.25">
      <c r="A21" s="1">
        <v>41219</v>
      </c>
      <c r="B21">
        <v>7.48</v>
      </c>
      <c r="C21">
        <v>125.82</v>
      </c>
      <c r="D21">
        <v>4.55</v>
      </c>
      <c r="E21">
        <v>35</v>
      </c>
      <c r="F21">
        <v>5.94</v>
      </c>
      <c r="G21">
        <v>1.73</v>
      </c>
      <c r="H21">
        <v>8.6999999999999993</v>
      </c>
      <c r="I21">
        <v>29.55</v>
      </c>
      <c r="J21">
        <v>19.420000000000002</v>
      </c>
      <c r="K21">
        <v>7.69</v>
      </c>
      <c r="L21">
        <v>2.21</v>
      </c>
      <c r="M21">
        <v>3.31</v>
      </c>
      <c r="N21">
        <v>0.45</v>
      </c>
      <c r="O21">
        <v>3.05</v>
      </c>
      <c r="P21">
        <v>2.0499999999999998</v>
      </c>
    </row>
    <row r="22" spans="1:16" x14ac:dyDescent="0.25">
      <c r="A22" s="1">
        <v>41220</v>
      </c>
      <c r="B22">
        <v>7.45</v>
      </c>
      <c r="C22">
        <v>123.64</v>
      </c>
      <c r="D22">
        <v>4.5599999999999996</v>
      </c>
      <c r="E22">
        <v>35.15</v>
      </c>
      <c r="F22">
        <v>6.02</v>
      </c>
      <c r="G22">
        <v>1.73</v>
      </c>
      <c r="H22">
        <v>8.6999999999999993</v>
      </c>
      <c r="I22">
        <v>29.14</v>
      </c>
      <c r="J22">
        <v>19.399999999999999</v>
      </c>
      <c r="K22">
        <v>7.7</v>
      </c>
      <c r="L22">
        <v>2.2400000000000002</v>
      </c>
      <c r="M22">
        <v>3.31</v>
      </c>
      <c r="N22">
        <v>0.45</v>
      </c>
      <c r="O22">
        <v>3.05</v>
      </c>
      <c r="P22">
        <v>2.02</v>
      </c>
    </row>
    <row r="23" spans="1:16" x14ac:dyDescent="0.25">
      <c r="A23" s="1">
        <v>41221</v>
      </c>
      <c r="B23">
        <v>7.5</v>
      </c>
      <c r="C23">
        <v>125.82</v>
      </c>
      <c r="D23">
        <v>4.54</v>
      </c>
      <c r="E23">
        <v>35.700000000000003</v>
      </c>
      <c r="F23">
        <v>6.04</v>
      </c>
      <c r="G23">
        <v>1.74</v>
      </c>
      <c r="H23">
        <v>8.6199999999999992</v>
      </c>
      <c r="I23">
        <v>29.51</v>
      </c>
      <c r="J23">
        <v>19.45</v>
      </c>
      <c r="K23">
        <v>7.7</v>
      </c>
      <c r="L23">
        <v>2.27</v>
      </c>
      <c r="M23">
        <v>3.31</v>
      </c>
      <c r="N23">
        <v>0.46</v>
      </c>
      <c r="O23">
        <v>3.08</v>
      </c>
      <c r="P23">
        <v>2.08</v>
      </c>
    </row>
    <row r="24" spans="1:16" x14ac:dyDescent="0.25">
      <c r="A24" s="1">
        <v>41222</v>
      </c>
      <c r="B24">
        <v>7.5</v>
      </c>
      <c r="C24">
        <v>128.18</v>
      </c>
      <c r="D24">
        <v>4.57</v>
      </c>
      <c r="E24">
        <v>35.79</v>
      </c>
      <c r="F24">
        <v>6.1</v>
      </c>
      <c r="G24">
        <v>1.75</v>
      </c>
      <c r="H24">
        <v>8.5299999999999994</v>
      </c>
      <c r="I24">
        <v>29.51</v>
      </c>
      <c r="J24">
        <v>19.399999999999999</v>
      </c>
      <c r="K24">
        <v>7.7</v>
      </c>
      <c r="L24">
        <v>2.25</v>
      </c>
      <c r="M24">
        <v>3.31</v>
      </c>
      <c r="N24">
        <v>0.46</v>
      </c>
      <c r="O24">
        <v>3.08</v>
      </c>
      <c r="P24">
        <v>2.0699999999999998</v>
      </c>
    </row>
    <row r="25" spans="1:16" x14ac:dyDescent="0.25">
      <c r="A25" s="1">
        <v>41225</v>
      </c>
      <c r="B25">
        <v>7.5</v>
      </c>
      <c r="C25">
        <v>129.6</v>
      </c>
      <c r="D25">
        <v>4.58</v>
      </c>
      <c r="E25">
        <v>35.67</v>
      </c>
      <c r="F25">
        <v>6.18</v>
      </c>
      <c r="G25">
        <v>1.76</v>
      </c>
      <c r="H25">
        <v>8.51</v>
      </c>
      <c r="I25">
        <v>29.41</v>
      </c>
      <c r="J25">
        <v>19.5</v>
      </c>
      <c r="K25">
        <v>7.82</v>
      </c>
      <c r="L25">
        <v>2.2200000000000002</v>
      </c>
      <c r="M25">
        <v>3.31</v>
      </c>
      <c r="N25">
        <v>0.46</v>
      </c>
      <c r="O25">
        <v>3.08</v>
      </c>
      <c r="P25">
        <v>2.0699999999999998</v>
      </c>
    </row>
    <row r="26" spans="1:16" x14ac:dyDescent="0.25">
      <c r="A26" s="1">
        <v>41226</v>
      </c>
      <c r="B26">
        <v>7.55</v>
      </c>
      <c r="C26">
        <v>129.6</v>
      </c>
      <c r="D26">
        <v>4.63</v>
      </c>
      <c r="E26">
        <v>35.450000000000003</v>
      </c>
      <c r="F26">
        <v>6.3</v>
      </c>
      <c r="G26">
        <v>1.74</v>
      </c>
      <c r="H26">
        <v>8.5399999999999991</v>
      </c>
      <c r="I26">
        <v>29.87</v>
      </c>
      <c r="J26">
        <v>19.7</v>
      </c>
      <c r="K26">
        <v>7.92</v>
      </c>
      <c r="L26">
        <v>2.21</v>
      </c>
      <c r="M26">
        <v>3.31</v>
      </c>
      <c r="N26">
        <v>0.44</v>
      </c>
      <c r="O26">
        <v>3.18</v>
      </c>
      <c r="P26">
        <v>2.09</v>
      </c>
    </row>
    <row r="27" spans="1:16" x14ac:dyDescent="0.25">
      <c r="A27" s="1">
        <v>41227</v>
      </c>
      <c r="B27">
        <v>7.55</v>
      </c>
      <c r="C27">
        <v>128.66</v>
      </c>
      <c r="D27">
        <v>4.5599999999999996</v>
      </c>
      <c r="E27">
        <v>33.5</v>
      </c>
      <c r="F27">
        <v>6.3</v>
      </c>
      <c r="G27">
        <v>1.74</v>
      </c>
      <c r="H27">
        <v>8.5399999999999991</v>
      </c>
      <c r="I27">
        <v>29.6</v>
      </c>
      <c r="J27">
        <v>19.5</v>
      </c>
      <c r="K27">
        <v>7.92</v>
      </c>
      <c r="L27">
        <v>2.15</v>
      </c>
      <c r="M27">
        <v>3.29</v>
      </c>
      <c r="N27">
        <v>0.43</v>
      </c>
      <c r="O27">
        <v>3.16</v>
      </c>
      <c r="P27">
        <v>1.98</v>
      </c>
    </row>
    <row r="28" spans="1:16" x14ac:dyDescent="0.25">
      <c r="A28" s="1">
        <v>41228</v>
      </c>
      <c r="B28">
        <v>7.59</v>
      </c>
      <c r="C28">
        <v>127.97</v>
      </c>
      <c r="D28">
        <v>4.62</v>
      </c>
      <c r="E28">
        <v>33.450000000000003</v>
      </c>
      <c r="F28">
        <v>6.3</v>
      </c>
      <c r="G28">
        <v>1.71</v>
      </c>
      <c r="H28">
        <v>8.5299999999999994</v>
      </c>
      <c r="I28">
        <v>29.96</v>
      </c>
      <c r="J28">
        <v>19.5</v>
      </c>
      <c r="K28">
        <v>7.92</v>
      </c>
      <c r="L28">
        <v>2.14</v>
      </c>
      <c r="M28">
        <v>3.26</v>
      </c>
      <c r="N28">
        <v>0.42</v>
      </c>
      <c r="O28">
        <v>3.12</v>
      </c>
      <c r="P28">
        <v>1.74</v>
      </c>
    </row>
    <row r="29" spans="1:16" x14ac:dyDescent="0.25">
      <c r="A29" s="1">
        <v>41229</v>
      </c>
      <c r="B29">
        <v>7.64</v>
      </c>
      <c r="C29">
        <v>128.99</v>
      </c>
      <c r="D29">
        <v>4.58</v>
      </c>
      <c r="E29">
        <v>33.29</v>
      </c>
      <c r="F29">
        <v>6.15</v>
      </c>
      <c r="G29">
        <v>1.7</v>
      </c>
      <c r="H29">
        <v>8.5500000000000007</v>
      </c>
      <c r="I29">
        <v>29.6</v>
      </c>
      <c r="J29">
        <v>19.5</v>
      </c>
      <c r="K29">
        <v>7.92</v>
      </c>
      <c r="L29">
        <v>2.14</v>
      </c>
      <c r="M29">
        <v>3.22</v>
      </c>
      <c r="N29">
        <v>0.43</v>
      </c>
      <c r="O29">
        <v>3.14</v>
      </c>
      <c r="P29">
        <v>1.75</v>
      </c>
    </row>
    <row r="30" spans="1:16" x14ac:dyDescent="0.25">
      <c r="A30" s="1">
        <v>41232</v>
      </c>
      <c r="B30">
        <v>7.79</v>
      </c>
      <c r="C30">
        <v>130.93</v>
      </c>
      <c r="D30">
        <v>4.67</v>
      </c>
      <c r="E30">
        <v>33.799999999999997</v>
      </c>
      <c r="F30">
        <v>6.35</v>
      </c>
      <c r="G30">
        <v>1.7</v>
      </c>
      <c r="H30">
        <v>8.64</v>
      </c>
      <c r="I30">
        <v>29.78</v>
      </c>
      <c r="J30">
        <v>19.5</v>
      </c>
      <c r="K30">
        <v>7.96</v>
      </c>
      <c r="L30">
        <v>2.13</v>
      </c>
      <c r="M30">
        <v>3.22</v>
      </c>
      <c r="N30">
        <v>0.43</v>
      </c>
      <c r="O30">
        <v>3.22</v>
      </c>
      <c r="P30">
        <v>1.77</v>
      </c>
    </row>
    <row r="31" spans="1:16" x14ac:dyDescent="0.25">
      <c r="A31" s="1">
        <v>41233</v>
      </c>
      <c r="B31">
        <v>7.79</v>
      </c>
      <c r="C31">
        <v>130.93</v>
      </c>
      <c r="D31">
        <v>4.6900000000000004</v>
      </c>
      <c r="E31">
        <v>33.299999999999997</v>
      </c>
      <c r="F31">
        <v>6.41</v>
      </c>
      <c r="G31">
        <v>1.7</v>
      </c>
      <c r="H31">
        <v>8.82</v>
      </c>
      <c r="I31">
        <v>29.78</v>
      </c>
      <c r="J31">
        <v>19.5</v>
      </c>
      <c r="K31">
        <v>7.96</v>
      </c>
      <c r="L31">
        <v>2.13</v>
      </c>
      <c r="M31">
        <v>3.23</v>
      </c>
      <c r="N31">
        <v>0.43</v>
      </c>
      <c r="O31">
        <v>3.2</v>
      </c>
      <c r="P31">
        <v>1.75</v>
      </c>
    </row>
    <row r="32" spans="1:16" x14ac:dyDescent="0.25">
      <c r="A32" s="1">
        <v>41234</v>
      </c>
      <c r="B32">
        <v>7.84</v>
      </c>
      <c r="C32">
        <v>131.85</v>
      </c>
      <c r="D32">
        <v>4.7300000000000004</v>
      </c>
      <c r="E32">
        <v>33.799999999999997</v>
      </c>
      <c r="F32">
        <v>6.4</v>
      </c>
      <c r="G32">
        <v>1.7</v>
      </c>
      <c r="H32">
        <v>8.8800000000000008</v>
      </c>
      <c r="I32">
        <v>30.05</v>
      </c>
      <c r="J32">
        <v>19.5</v>
      </c>
      <c r="K32">
        <v>7.95</v>
      </c>
      <c r="L32">
        <v>2.1</v>
      </c>
      <c r="M32">
        <v>3.18</v>
      </c>
      <c r="N32">
        <v>0.42</v>
      </c>
      <c r="O32">
        <v>3.2</v>
      </c>
      <c r="P32">
        <v>1.77</v>
      </c>
    </row>
    <row r="33" spans="1:16" x14ac:dyDescent="0.25">
      <c r="A33" s="1">
        <v>41235</v>
      </c>
      <c r="B33">
        <v>7.86</v>
      </c>
      <c r="C33">
        <v>131.97</v>
      </c>
      <c r="D33">
        <v>4.7300000000000004</v>
      </c>
      <c r="E33">
        <v>33.799999999999997</v>
      </c>
      <c r="F33">
        <v>6.4</v>
      </c>
      <c r="G33">
        <v>1.7</v>
      </c>
      <c r="H33">
        <v>8.83</v>
      </c>
      <c r="I33">
        <v>29.96</v>
      </c>
      <c r="J33">
        <v>19.7</v>
      </c>
      <c r="K33">
        <v>7.96</v>
      </c>
      <c r="L33">
        <v>2.09</v>
      </c>
      <c r="M33">
        <v>3.23</v>
      </c>
      <c r="N33">
        <v>0.42</v>
      </c>
      <c r="O33">
        <v>3.2</v>
      </c>
      <c r="P33">
        <v>1.79</v>
      </c>
    </row>
    <row r="34" spans="1:16" x14ac:dyDescent="0.25">
      <c r="A34" s="1">
        <v>41236</v>
      </c>
      <c r="B34">
        <v>7.89</v>
      </c>
      <c r="C34">
        <v>130.93</v>
      </c>
      <c r="D34">
        <v>4.7300000000000004</v>
      </c>
      <c r="E34">
        <v>34</v>
      </c>
      <c r="F34">
        <v>6.35</v>
      </c>
      <c r="G34">
        <v>1.7</v>
      </c>
      <c r="H34">
        <v>8.83</v>
      </c>
      <c r="I34">
        <v>30.05</v>
      </c>
      <c r="J34">
        <v>19.600000000000001</v>
      </c>
      <c r="K34">
        <v>7.92</v>
      </c>
      <c r="L34">
        <v>2.08</v>
      </c>
      <c r="M34">
        <v>3.18</v>
      </c>
      <c r="N34">
        <v>0.43</v>
      </c>
      <c r="O34">
        <v>3.2</v>
      </c>
      <c r="P34">
        <v>1.88</v>
      </c>
    </row>
    <row r="35" spans="1:16" x14ac:dyDescent="0.25">
      <c r="A35" s="1">
        <v>41239</v>
      </c>
      <c r="B35">
        <v>7.98</v>
      </c>
      <c r="C35">
        <v>131.63999999999999</v>
      </c>
      <c r="D35">
        <v>4.7699999999999996</v>
      </c>
      <c r="E35">
        <v>33.92</v>
      </c>
      <c r="F35">
        <v>6.39</v>
      </c>
      <c r="G35">
        <v>1.7</v>
      </c>
      <c r="H35">
        <v>8.9600000000000009</v>
      </c>
      <c r="I35">
        <v>30.53</v>
      </c>
      <c r="J35">
        <v>19.7</v>
      </c>
      <c r="K35">
        <v>7.96</v>
      </c>
      <c r="L35">
        <v>2.0699999999999998</v>
      </c>
      <c r="M35">
        <v>3.16</v>
      </c>
      <c r="N35">
        <v>0.43</v>
      </c>
      <c r="O35">
        <v>3.19</v>
      </c>
      <c r="P35">
        <v>1.9</v>
      </c>
    </row>
    <row r="36" spans="1:16" x14ac:dyDescent="0.25">
      <c r="A36" s="1">
        <v>41240</v>
      </c>
      <c r="B36">
        <v>7.89</v>
      </c>
      <c r="C36">
        <v>130.55000000000001</v>
      </c>
      <c r="D36">
        <v>4.7699999999999996</v>
      </c>
      <c r="E36">
        <v>33</v>
      </c>
      <c r="F36">
        <v>6.4</v>
      </c>
      <c r="G36">
        <v>1.69</v>
      </c>
      <c r="H36">
        <v>9.16</v>
      </c>
      <c r="I36">
        <v>30.51</v>
      </c>
      <c r="J36">
        <v>19.850000000000001</v>
      </c>
      <c r="K36">
        <v>7.92</v>
      </c>
      <c r="L36">
        <v>1.99</v>
      </c>
      <c r="M36">
        <v>3.18</v>
      </c>
      <c r="N36">
        <v>0.43</v>
      </c>
      <c r="O36">
        <v>3.17</v>
      </c>
      <c r="P36">
        <v>2</v>
      </c>
    </row>
    <row r="37" spans="1:16" x14ac:dyDescent="0.25">
      <c r="A37" s="1">
        <v>41241</v>
      </c>
      <c r="B37">
        <v>7.84</v>
      </c>
      <c r="C37">
        <v>130.57</v>
      </c>
      <c r="D37">
        <v>4.79</v>
      </c>
      <c r="E37">
        <v>32.82</v>
      </c>
      <c r="F37">
        <v>6.4</v>
      </c>
      <c r="G37">
        <v>1.7</v>
      </c>
      <c r="H37">
        <v>9.1999999999999993</v>
      </c>
      <c r="I37">
        <v>30.51</v>
      </c>
      <c r="J37">
        <v>19.850000000000001</v>
      </c>
      <c r="K37">
        <v>7.92</v>
      </c>
      <c r="L37">
        <v>1.99</v>
      </c>
      <c r="M37">
        <v>3.14</v>
      </c>
      <c r="N37">
        <v>0.43</v>
      </c>
      <c r="O37">
        <v>3.13</v>
      </c>
      <c r="P37">
        <v>1.95</v>
      </c>
    </row>
    <row r="38" spans="1:16" x14ac:dyDescent="0.25">
      <c r="A38" s="1">
        <v>41242</v>
      </c>
      <c r="B38">
        <v>7.94</v>
      </c>
      <c r="C38">
        <v>132.82</v>
      </c>
      <c r="D38">
        <v>4.79</v>
      </c>
      <c r="E38">
        <v>33.18</v>
      </c>
      <c r="F38">
        <v>6.35</v>
      </c>
      <c r="G38">
        <v>1.7</v>
      </c>
      <c r="H38">
        <v>9.1999999999999993</v>
      </c>
      <c r="I38">
        <v>31.05</v>
      </c>
      <c r="J38">
        <v>20</v>
      </c>
      <c r="K38">
        <v>7.92</v>
      </c>
      <c r="L38">
        <v>1.99</v>
      </c>
      <c r="M38">
        <v>3.14</v>
      </c>
      <c r="N38">
        <v>0.43</v>
      </c>
      <c r="O38">
        <v>3.13</v>
      </c>
      <c r="P38">
        <v>1.98</v>
      </c>
    </row>
    <row r="39" spans="1:16" x14ac:dyDescent="0.25">
      <c r="A39" s="1">
        <v>41243</v>
      </c>
      <c r="B39">
        <v>7.81</v>
      </c>
      <c r="C39">
        <v>132.44</v>
      </c>
      <c r="D39">
        <v>4.79</v>
      </c>
      <c r="E39">
        <v>32.25</v>
      </c>
      <c r="F39">
        <v>6.35</v>
      </c>
      <c r="G39">
        <v>1.7</v>
      </c>
      <c r="H39">
        <v>9.16</v>
      </c>
      <c r="I39">
        <v>31.51</v>
      </c>
      <c r="J39">
        <v>20.399999999999999</v>
      </c>
      <c r="K39">
        <v>7.91</v>
      </c>
      <c r="L39">
        <v>1.93</v>
      </c>
      <c r="M39">
        <v>3.13</v>
      </c>
      <c r="N39">
        <v>0.42</v>
      </c>
      <c r="O39">
        <v>3.11</v>
      </c>
      <c r="P39">
        <v>1.98</v>
      </c>
    </row>
    <row r="40" spans="1:16" x14ac:dyDescent="0.25">
      <c r="A40" s="1">
        <v>41246</v>
      </c>
      <c r="B40">
        <v>7.9</v>
      </c>
      <c r="C40">
        <v>131.02000000000001</v>
      </c>
      <c r="D40">
        <v>4.8899999999999997</v>
      </c>
      <c r="E40">
        <v>32.4</v>
      </c>
      <c r="F40">
        <v>6.55</v>
      </c>
      <c r="G40">
        <v>1.71</v>
      </c>
      <c r="H40">
        <v>9.16</v>
      </c>
      <c r="I40">
        <v>31.87</v>
      </c>
      <c r="J40">
        <v>20.5</v>
      </c>
      <c r="K40">
        <v>7.92</v>
      </c>
      <c r="L40">
        <v>1.99</v>
      </c>
      <c r="M40">
        <v>3.16</v>
      </c>
      <c r="N40">
        <v>0.43</v>
      </c>
      <c r="O40">
        <v>3.11</v>
      </c>
      <c r="P40">
        <v>2.06</v>
      </c>
    </row>
    <row r="41" spans="1:16" x14ac:dyDescent="0.25">
      <c r="A41" s="1">
        <v>41247</v>
      </c>
      <c r="B41">
        <v>7.98</v>
      </c>
      <c r="C41">
        <v>130.55000000000001</v>
      </c>
      <c r="D41">
        <v>4.9000000000000004</v>
      </c>
      <c r="E41">
        <v>32.450000000000003</v>
      </c>
      <c r="F41">
        <v>6.55</v>
      </c>
      <c r="G41">
        <v>1.71</v>
      </c>
      <c r="H41">
        <v>9.08</v>
      </c>
      <c r="I41">
        <v>32.06</v>
      </c>
      <c r="J41">
        <v>20.7</v>
      </c>
      <c r="K41">
        <v>7.91</v>
      </c>
      <c r="L41">
        <v>2.0299999999999998</v>
      </c>
      <c r="M41">
        <v>3.16</v>
      </c>
      <c r="N41">
        <v>0.42</v>
      </c>
      <c r="O41">
        <v>3.09</v>
      </c>
      <c r="P41">
        <v>2.06</v>
      </c>
    </row>
    <row r="42" spans="1:16" x14ac:dyDescent="0.25">
      <c r="A42" s="1">
        <v>41248</v>
      </c>
      <c r="B42">
        <v>7.98</v>
      </c>
      <c r="C42">
        <v>130.07</v>
      </c>
      <c r="D42">
        <v>4.92</v>
      </c>
      <c r="E42">
        <v>32.299999999999997</v>
      </c>
      <c r="F42">
        <v>6.55</v>
      </c>
      <c r="G42">
        <v>1.7</v>
      </c>
      <c r="H42">
        <v>9.07</v>
      </c>
      <c r="I42">
        <v>32.159999999999997</v>
      </c>
      <c r="J42">
        <v>21</v>
      </c>
      <c r="K42">
        <v>7.92</v>
      </c>
      <c r="L42">
        <v>2.06</v>
      </c>
      <c r="M42">
        <v>3.14</v>
      </c>
      <c r="N42">
        <v>0.43</v>
      </c>
      <c r="O42">
        <v>3.09</v>
      </c>
      <c r="P42">
        <v>2.02</v>
      </c>
    </row>
    <row r="43" spans="1:16" x14ac:dyDescent="0.25">
      <c r="A43" s="1">
        <v>41249</v>
      </c>
      <c r="B43">
        <v>7.96</v>
      </c>
      <c r="C43">
        <v>130.88</v>
      </c>
      <c r="D43">
        <v>4.92</v>
      </c>
      <c r="E43">
        <v>33</v>
      </c>
      <c r="F43">
        <v>6.5</v>
      </c>
      <c r="G43">
        <v>1.7</v>
      </c>
      <c r="H43">
        <v>9.25</v>
      </c>
      <c r="I43">
        <v>32.24</v>
      </c>
      <c r="J43">
        <v>21</v>
      </c>
      <c r="K43">
        <v>7.92</v>
      </c>
      <c r="L43">
        <v>2.06</v>
      </c>
      <c r="M43">
        <v>3.14</v>
      </c>
      <c r="N43">
        <v>0.43</v>
      </c>
      <c r="O43">
        <v>3.09</v>
      </c>
      <c r="P43">
        <v>2.0099999999999998</v>
      </c>
    </row>
    <row r="44" spans="1:16" x14ac:dyDescent="0.25">
      <c r="A44" s="1">
        <v>41250</v>
      </c>
      <c r="B44">
        <v>7.89</v>
      </c>
      <c r="C44">
        <v>129.13</v>
      </c>
      <c r="D44">
        <v>4.91</v>
      </c>
      <c r="E44">
        <v>33.5</v>
      </c>
      <c r="F44">
        <v>6.36</v>
      </c>
      <c r="G44">
        <v>1.62</v>
      </c>
      <c r="H44">
        <v>9.16</v>
      </c>
      <c r="I44">
        <v>31.87</v>
      </c>
      <c r="J44">
        <v>21</v>
      </c>
      <c r="K44">
        <v>7.99</v>
      </c>
      <c r="L44">
        <v>1.99</v>
      </c>
      <c r="M44">
        <v>3.07</v>
      </c>
      <c r="N44">
        <v>0.41</v>
      </c>
      <c r="O44">
        <v>3.07</v>
      </c>
      <c r="P44">
        <v>2.02</v>
      </c>
    </row>
    <row r="45" spans="1:16" x14ac:dyDescent="0.25">
      <c r="A45" s="1">
        <v>41253</v>
      </c>
      <c r="B45">
        <v>7.84</v>
      </c>
      <c r="C45">
        <v>129.72999999999999</v>
      </c>
      <c r="D45">
        <v>4.8499999999999996</v>
      </c>
      <c r="E45">
        <v>33.700000000000003</v>
      </c>
      <c r="F45">
        <v>6.35</v>
      </c>
      <c r="G45">
        <v>1.65</v>
      </c>
      <c r="H45">
        <v>9.16</v>
      </c>
      <c r="I45">
        <v>30.96</v>
      </c>
      <c r="J45">
        <v>21</v>
      </c>
      <c r="K45">
        <v>7.93</v>
      </c>
      <c r="L45">
        <v>1.99</v>
      </c>
      <c r="M45">
        <v>3.07</v>
      </c>
      <c r="N45">
        <v>0.41</v>
      </c>
      <c r="O45">
        <v>3.07</v>
      </c>
      <c r="P45">
        <v>2</v>
      </c>
    </row>
    <row r="46" spans="1:16" x14ac:dyDescent="0.25">
      <c r="A46" s="1">
        <v>41254</v>
      </c>
      <c r="B46">
        <v>7.84</v>
      </c>
      <c r="C46">
        <v>131.12</v>
      </c>
      <c r="D46">
        <v>4.8899999999999997</v>
      </c>
      <c r="E46">
        <v>33.950000000000003</v>
      </c>
      <c r="F46">
        <v>6.4</v>
      </c>
      <c r="G46">
        <v>1.7</v>
      </c>
      <c r="H46">
        <v>9.16</v>
      </c>
      <c r="I46">
        <v>31.05</v>
      </c>
      <c r="J46">
        <v>21</v>
      </c>
      <c r="K46">
        <v>7.99</v>
      </c>
      <c r="L46">
        <v>2.0299999999999998</v>
      </c>
      <c r="M46">
        <v>3.07</v>
      </c>
      <c r="N46">
        <v>0.4</v>
      </c>
      <c r="O46">
        <v>3.08</v>
      </c>
      <c r="P46">
        <v>2.0099999999999998</v>
      </c>
    </row>
    <row r="47" spans="1:16" x14ac:dyDescent="0.25">
      <c r="A47" s="1">
        <v>41255</v>
      </c>
      <c r="B47">
        <v>7.75</v>
      </c>
      <c r="C47">
        <v>133.1</v>
      </c>
      <c r="D47">
        <v>4.8600000000000003</v>
      </c>
      <c r="E47">
        <v>35.15</v>
      </c>
      <c r="F47">
        <v>6.35</v>
      </c>
      <c r="G47">
        <v>1.71</v>
      </c>
      <c r="H47">
        <v>9.09</v>
      </c>
      <c r="I47">
        <v>30.32</v>
      </c>
      <c r="J47">
        <v>20.96</v>
      </c>
      <c r="K47">
        <v>8</v>
      </c>
      <c r="L47">
        <v>2.0299999999999998</v>
      </c>
      <c r="M47">
        <v>3.06</v>
      </c>
      <c r="N47">
        <v>0.4</v>
      </c>
      <c r="O47">
        <v>3.11</v>
      </c>
      <c r="P47">
        <v>2.0099999999999998</v>
      </c>
    </row>
    <row r="48" spans="1:16" x14ac:dyDescent="0.25">
      <c r="A48" s="1">
        <v>41256</v>
      </c>
      <c r="B48">
        <v>7.75</v>
      </c>
      <c r="C48">
        <v>133.66999999999999</v>
      </c>
      <c r="D48">
        <v>4.8600000000000003</v>
      </c>
      <c r="E48">
        <v>34.4</v>
      </c>
      <c r="F48">
        <v>6.3</v>
      </c>
      <c r="G48">
        <v>1.7</v>
      </c>
      <c r="H48">
        <v>9.1</v>
      </c>
      <c r="I48">
        <v>31.69</v>
      </c>
      <c r="J48">
        <v>20.99</v>
      </c>
      <c r="K48">
        <v>8</v>
      </c>
      <c r="L48">
        <v>2.0099999999999998</v>
      </c>
      <c r="M48">
        <v>3.02</v>
      </c>
      <c r="N48">
        <v>0.39</v>
      </c>
      <c r="O48">
        <v>3.1</v>
      </c>
      <c r="P48">
        <v>1.9690000000000001</v>
      </c>
    </row>
    <row r="49" spans="1:16" x14ac:dyDescent="0.25">
      <c r="A49" s="1">
        <v>41257</v>
      </c>
      <c r="B49">
        <v>7.94</v>
      </c>
      <c r="C49">
        <v>133.38999999999999</v>
      </c>
      <c r="D49">
        <v>4.87</v>
      </c>
      <c r="E49">
        <v>34.53</v>
      </c>
      <c r="F49">
        <v>6.33</v>
      </c>
      <c r="G49">
        <v>1.7</v>
      </c>
      <c r="H49">
        <v>9.19</v>
      </c>
      <c r="I49">
        <v>31.69</v>
      </c>
      <c r="J49">
        <v>20.86</v>
      </c>
      <c r="K49">
        <v>8.02</v>
      </c>
      <c r="L49">
        <v>2</v>
      </c>
      <c r="M49">
        <v>3.04</v>
      </c>
      <c r="N49">
        <v>0.4</v>
      </c>
      <c r="O49">
        <v>3.1</v>
      </c>
      <c r="P49">
        <v>1.9530000000000001</v>
      </c>
    </row>
    <row r="50" spans="1:16" x14ac:dyDescent="0.25">
      <c r="A50" s="1">
        <v>41260</v>
      </c>
      <c r="B50">
        <v>7.8</v>
      </c>
      <c r="C50">
        <v>134.33000000000001</v>
      </c>
      <c r="D50">
        <v>4.87</v>
      </c>
      <c r="E50">
        <v>35</v>
      </c>
      <c r="F50">
        <v>6.4</v>
      </c>
      <c r="G50">
        <v>1.7</v>
      </c>
      <c r="H50">
        <v>9.11</v>
      </c>
      <c r="I50">
        <v>31.05</v>
      </c>
      <c r="J50">
        <v>20.95</v>
      </c>
      <c r="K50">
        <v>8.02</v>
      </c>
      <c r="L50">
        <v>2.0099999999999998</v>
      </c>
      <c r="M50">
        <v>3.02</v>
      </c>
      <c r="N50">
        <v>0.4</v>
      </c>
      <c r="O50">
        <v>3.1</v>
      </c>
      <c r="P50">
        <v>1.9610000000000001</v>
      </c>
    </row>
    <row r="51" spans="1:16" x14ac:dyDescent="0.25">
      <c r="A51" s="1">
        <v>41261</v>
      </c>
      <c r="B51">
        <v>7.94</v>
      </c>
      <c r="C51">
        <v>136.22</v>
      </c>
      <c r="D51">
        <v>4.8600000000000003</v>
      </c>
      <c r="E51">
        <v>35.5</v>
      </c>
      <c r="F51">
        <v>6.45</v>
      </c>
      <c r="G51">
        <v>1.7</v>
      </c>
      <c r="H51">
        <v>9.1999999999999993</v>
      </c>
      <c r="I51">
        <v>31.42</v>
      </c>
      <c r="J51">
        <v>20.95</v>
      </c>
      <c r="K51">
        <v>8.01</v>
      </c>
      <c r="L51">
        <v>2.04</v>
      </c>
      <c r="M51">
        <v>3</v>
      </c>
      <c r="N51">
        <v>0.4</v>
      </c>
      <c r="O51">
        <v>3.13</v>
      </c>
      <c r="P51">
        <v>1.984</v>
      </c>
    </row>
    <row r="52" spans="1:16" x14ac:dyDescent="0.25">
      <c r="A52" s="1">
        <v>41262</v>
      </c>
      <c r="B52">
        <v>7.89</v>
      </c>
      <c r="C52">
        <v>137.16999999999999</v>
      </c>
      <c r="D52">
        <v>4.8600000000000003</v>
      </c>
      <c r="E52">
        <v>35</v>
      </c>
      <c r="F52">
        <v>6.45</v>
      </c>
      <c r="G52">
        <v>1.7</v>
      </c>
      <c r="H52">
        <v>9.1999999999999993</v>
      </c>
      <c r="I52">
        <v>31.69</v>
      </c>
      <c r="J52">
        <v>20.95</v>
      </c>
      <c r="K52">
        <v>8.02</v>
      </c>
      <c r="L52">
        <v>2.08</v>
      </c>
      <c r="M52">
        <v>2.99</v>
      </c>
      <c r="N52">
        <v>0.4</v>
      </c>
      <c r="O52">
        <v>3.13</v>
      </c>
      <c r="P52">
        <v>2</v>
      </c>
    </row>
    <row r="53" spans="1:16" x14ac:dyDescent="0.25">
      <c r="A53" s="1">
        <v>41263</v>
      </c>
      <c r="B53">
        <v>7.89</v>
      </c>
      <c r="C53">
        <v>138.59</v>
      </c>
      <c r="D53">
        <v>4.9000000000000004</v>
      </c>
      <c r="E53">
        <v>34.630000000000003</v>
      </c>
      <c r="F53">
        <v>6.45</v>
      </c>
      <c r="G53">
        <v>1.7</v>
      </c>
      <c r="H53">
        <v>9.24</v>
      </c>
      <c r="I53">
        <v>32.1</v>
      </c>
      <c r="J53">
        <v>20.9</v>
      </c>
      <c r="K53">
        <v>8.02</v>
      </c>
      <c r="L53">
        <v>2.08</v>
      </c>
      <c r="M53">
        <v>3.01</v>
      </c>
      <c r="N53">
        <v>0.4</v>
      </c>
      <c r="O53">
        <v>3.14</v>
      </c>
      <c r="P53">
        <v>1.992</v>
      </c>
    </row>
    <row r="54" spans="1:16" x14ac:dyDescent="0.25">
      <c r="A54" s="1">
        <v>41264</v>
      </c>
      <c r="B54">
        <v>7.85</v>
      </c>
      <c r="C54">
        <v>138.78</v>
      </c>
      <c r="D54">
        <v>4.92</v>
      </c>
      <c r="E54">
        <v>35</v>
      </c>
      <c r="F54">
        <v>6.45</v>
      </c>
      <c r="G54">
        <v>1.71</v>
      </c>
      <c r="H54">
        <v>9.35</v>
      </c>
      <c r="I54">
        <v>32.24</v>
      </c>
      <c r="J54">
        <v>20.85</v>
      </c>
      <c r="K54">
        <v>8.0500000000000007</v>
      </c>
      <c r="L54">
        <v>2.08</v>
      </c>
      <c r="M54">
        <v>2.94</v>
      </c>
      <c r="N54">
        <v>0.41</v>
      </c>
      <c r="O54">
        <v>3.14</v>
      </c>
      <c r="P54">
        <v>1.992</v>
      </c>
    </row>
    <row r="55" spans="1:16" x14ac:dyDescent="0.25">
      <c r="A55" s="1">
        <v>41267</v>
      </c>
      <c r="B55">
        <v>7.84</v>
      </c>
      <c r="C55">
        <v>138.59</v>
      </c>
      <c r="D55">
        <v>4.95</v>
      </c>
      <c r="E55">
        <v>34.4</v>
      </c>
      <c r="F55">
        <v>6.45</v>
      </c>
      <c r="G55">
        <v>1.71</v>
      </c>
      <c r="H55">
        <v>9.35</v>
      </c>
      <c r="I55">
        <v>32.24</v>
      </c>
      <c r="J55">
        <v>20.85</v>
      </c>
      <c r="K55">
        <v>8.0500000000000007</v>
      </c>
      <c r="L55">
        <v>2.08</v>
      </c>
      <c r="M55">
        <v>2.92</v>
      </c>
      <c r="N55">
        <v>0.41</v>
      </c>
      <c r="O55">
        <v>3.14</v>
      </c>
      <c r="P55">
        <v>1.992</v>
      </c>
    </row>
    <row r="56" spans="1:16" x14ac:dyDescent="0.25">
      <c r="A56" s="1">
        <v>41269</v>
      </c>
      <c r="B56">
        <v>7.84</v>
      </c>
      <c r="C56">
        <v>138.59</v>
      </c>
      <c r="D56">
        <v>5.03</v>
      </c>
      <c r="E56">
        <v>34.700000000000003</v>
      </c>
      <c r="F56">
        <v>6.45</v>
      </c>
      <c r="G56">
        <v>1.6180000000000001</v>
      </c>
      <c r="H56">
        <v>9.35</v>
      </c>
      <c r="I56">
        <v>32.24</v>
      </c>
      <c r="J56">
        <v>20.85</v>
      </c>
      <c r="K56">
        <v>8.0500000000000007</v>
      </c>
      <c r="L56">
        <v>2.1</v>
      </c>
      <c r="M56">
        <v>2.88</v>
      </c>
      <c r="N56">
        <v>0.42</v>
      </c>
      <c r="O56">
        <v>3.19</v>
      </c>
      <c r="P56">
        <v>1.984</v>
      </c>
    </row>
    <row r="57" spans="1:16" x14ac:dyDescent="0.25">
      <c r="A57" s="1">
        <v>41270</v>
      </c>
      <c r="B57">
        <v>7.84</v>
      </c>
      <c r="C57">
        <v>138.12</v>
      </c>
      <c r="D57">
        <v>5.15</v>
      </c>
      <c r="E57">
        <v>35.700000000000003</v>
      </c>
      <c r="F57">
        <v>6.5</v>
      </c>
      <c r="G57">
        <v>1.6180000000000001</v>
      </c>
      <c r="H57">
        <v>9.35</v>
      </c>
      <c r="I57">
        <v>32.78</v>
      </c>
      <c r="J57">
        <v>20.81</v>
      </c>
      <c r="K57">
        <v>8.06</v>
      </c>
      <c r="L57">
        <v>2.13</v>
      </c>
      <c r="M57">
        <v>2.86</v>
      </c>
      <c r="N57">
        <v>0.42</v>
      </c>
      <c r="O57">
        <v>3.15</v>
      </c>
      <c r="P57">
        <v>2.008</v>
      </c>
    </row>
    <row r="58" spans="1:16" x14ac:dyDescent="0.25">
      <c r="A58" s="1">
        <v>41271</v>
      </c>
      <c r="B58">
        <v>7.98</v>
      </c>
      <c r="C58">
        <v>138.12</v>
      </c>
      <c r="D58">
        <v>5.23</v>
      </c>
      <c r="E58">
        <v>35.6</v>
      </c>
      <c r="F58">
        <v>6.65</v>
      </c>
      <c r="G58">
        <v>1.6259999999999999</v>
      </c>
      <c r="H58">
        <v>9.34</v>
      </c>
      <c r="I58">
        <v>32.78</v>
      </c>
      <c r="J58">
        <v>20.95</v>
      </c>
      <c r="K58">
        <v>8.06</v>
      </c>
      <c r="L58">
        <v>2.1800000000000002</v>
      </c>
      <c r="M58">
        <v>2.86</v>
      </c>
      <c r="N58">
        <v>0.43</v>
      </c>
      <c r="O58">
        <v>3.18</v>
      </c>
      <c r="P58">
        <v>2.0640000000000001</v>
      </c>
    </row>
    <row r="59" spans="1:16" x14ac:dyDescent="0.25">
      <c r="A59" s="1">
        <v>41274</v>
      </c>
      <c r="B59">
        <v>8.08</v>
      </c>
      <c r="C59">
        <v>138.12</v>
      </c>
      <c r="D59">
        <v>5.23</v>
      </c>
      <c r="E59">
        <v>35.6</v>
      </c>
      <c r="F59">
        <v>6.7</v>
      </c>
      <c r="G59">
        <v>1.641</v>
      </c>
      <c r="H59">
        <v>9.4</v>
      </c>
      <c r="I59">
        <v>32.6</v>
      </c>
      <c r="J59">
        <v>20.95</v>
      </c>
      <c r="K59">
        <v>8.06</v>
      </c>
      <c r="L59">
        <v>2.23</v>
      </c>
      <c r="M59">
        <v>2.86</v>
      </c>
      <c r="N59">
        <v>0.43</v>
      </c>
      <c r="O59">
        <v>3.17</v>
      </c>
      <c r="P59">
        <v>2.0640000000000001</v>
      </c>
    </row>
    <row r="60" spans="1:16" x14ac:dyDescent="0.25">
      <c r="A60" s="1">
        <v>41276</v>
      </c>
      <c r="B60">
        <v>8.18</v>
      </c>
      <c r="C60">
        <v>138.59</v>
      </c>
      <c r="D60">
        <v>5.29</v>
      </c>
      <c r="E60">
        <v>36.1</v>
      </c>
      <c r="F60">
        <v>6.7</v>
      </c>
      <c r="G60">
        <v>1.6850000000000001</v>
      </c>
      <c r="H60">
        <v>9.4600000000000009</v>
      </c>
      <c r="I60">
        <v>33.06</v>
      </c>
      <c r="J60">
        <v>20.95</v>
      </c>
      <c r="K60">
        <v>8.16</v>
      </c>
      <c r="L60">
        <v>2.25</v>
      </c>
      <c r="M60">
        <v>2.86</v>
      </c>
      <c r="N60">
        <v>0.43</v>
      </c>
      <c r="O60">
        <v>3.23</v>
      </c>
      <c r="P60">
        <v>2.0960000000000001</v>
      </c>
    </row>
    <row r="61" spans="1:16" x14ac:dyDescent="0.25">
      <c r="A61" s="1">
        <v>41277</v>
      </c>
      <c r="B61">
        <v>8.2799999999999994</v>
      </c>
      <c r="C61">
        <v>142.28</v>
      </c>
      <c r="D61">
        <v>5.34</v>
      </c>
      <c r="E61">
        <v>35.5</v>
      </c>
      <c r="F61">
        <v>6.79</v>
      </c>
      <c r="G61">
        <v>1.6779999999999999</v>
      </c>
      <c r="H61">
        <v>9.69</v>
      </c>
      <c r="I61">
        <v>33.24</v>
      </c>
      <c r="J61">
        <v>20.95</v>
      </c>
      <c r="K61">
        <v>8.18</v>
      </c>
      <c r="L61">
        <v>2.21</v>
      </c>
      <c r="M61">
        <v>2.84</v>
      </c>
      <c r="N61">
        <v>0.43</v>
      </c>
      <c r="O61">
        <v>3.29</v>
      </c>
      <c r="P61">
        <v>2.1120000000000001</v>
      </c>
    </row>
    <row r="62" spans="1:16" x14ac:dyDescent="0.25">
      <c r="A62" s="1">
        <v>41278</v>
      </c>
      <c r="B62">
        <v>8.4700000000000006</v>
      </c>
      <c r="C62">
        <v>142.85</v>
      </c>
      <c r="D62">
        <v>5.42</v>
      </c>
      <c r="E62">
        <v>35</v>
      </c>
      <c r="F62">
        <v>7.04</v>
      </c>
      <c r="G62">
        <v>1.671</v>
      </c>
      <c r="H62">
        <v>9.74</v>
      </c>
      <c r="I62">
        <v>33.24</v>
      </c>
      <c r="J62">
        <v>20.95</v>
      </c>
      <c r="K62">
        <v>8.18</v>
      </c>
      <c r="L62">
        <v>2.2000000000000002</v>
      </c>
      <c r="M62">
        <v>2.81</v>
      </c>
      <c r="N62">
        <v>0.43</v>
      </c>
      <c r="O62">
        <v>3.35</v>
      </c>
      <c r="P62">
        <v>2.1040000000000001</v>
      </c>
    </row>
    <row r="63" spans="1:16" x14ac:dyDescent="0.25">
      <c r="A63" s="1">
        <v>41281</v>
      </c>
      <c r="B63">
        <v>8.3800000000000008</v>
      </c>
      <c r="C63">
        <v>141.24</v>
      </c>
      <c r="D63">
        <v>5.46</v>
      </c>
      <c r="E63">
        <v>35</v>
      </c>
      <c r="F63">
        <v>7.11</v>
      </c>
      <c r="G63">
        <v>1.6930000000000001</v>
      </c>
      <c r="H63">
        <v>9.7799999999999994</v>
      </c>
      <c r="I63">
        <v>33.29</v>
      </c>
      <c r="J63">
        <v>20.95</v>
      </c>
      <c r="K63">
        <v>8.1999999999999993</v>
      </c>
      <c r="L63">
        <v>2.1800000000000002</v>
      </c>
      <c r="M63">
        <v>2.81</v>
      </c>
      <c r="N63">
        <v>0.47</v>
      </c>
      <c r="O63">
        <v>3.36</v>
      </c>
      <c r="P63">
        <v>2.1040000000000001</v>
      </c>
    </row>
    <row r="64" spans="1:16" x14ac:dyDescent="0.25">
      <c r="A64" s="1">
        <v>41282</v>
      </c>
      <c r="B64">
        <v>8.3800000000000008</v>
      </c>
      <c r="C64">
        <v>142.94</v>
      </c>
      <c r="D64">
        <v>5.46</v>
      </c>
      <c r="E64">
        <v>34.5</v>
      </c>
      <c r="F64">
        <v>7.08</v>
      </c>
      <c r="G64">
        <v>1.6930000000000001</v>
      </c>
      <c r="H64">
        <v>9.83</v>
      </c>
      <c r="I64">
        <v>33.92</v>
      </c>
      <c r="J64">
        <v>20.95</v>
      </c>
      <c r="K64">
        <v>8.1999999999999993</v>
      </c>
      <c r="L64">
        <v>2.15</v>
      </c>
      <c r="M64">
        <v>2.84</v>
      </c>
      <c r="N64">
        <v>0.51</v>
      </c>
      <c r="O64">
        <v>3.52</v>
      </c>
      <c r="P64">
        <v>2.1360000000000001</v>
      </c>
    </row>
    <row r="65" spans="1:16" x14ac:dyDescent="0.25">
      <c r="A65" s="1">
        <v>41283</v>
      </c>
      <c r="B65">
        <v>8.3699999999999992</v>
      </c>
      <c r="C65">
        <v>142.85</v>
      </c>
      <c r="D65">
        <v>5.46</v>
      </c>
      <c r="E65">
        <v>34.5</v>
      </c>
      <c r="F65">
        <v>7.01</v>
      </c>
      <c r="G65">
        <v>1.708</v>
      </c>
      <c r="H65">
        <v>10.220000000000001</v>
      </c>
      <c r="I65">
        <v>34.700000000000003</v>
      </c>
      <c r="J65">
        <v>20.95</v>
      </c>
      <c r="K65">
        <v>8.2899999999999991</v>
      </c>
      <c r="L65">
        <v>2.16</v>
      </c>
      <c r="M65">
        <v>2.84</v>
      </c>
      <c r="N65">
        <v>0.49</v>
      </c>
      <c r="O65">
        <v>3.57</v>
      </c>
      <c r="P65">
        <v>2.1680000000000001</v>
      </c>
    </row>
    <row r="66" spans="1:16" x14ac:dyDescent="0.25">
      <c r="A66" s="1">
        <v>41284</v>
      </c>
      <c r="B66">
        <v>8.42</v>
      </c>
      <c r="C66">
        <v>147.58000000000001</v>
      </c>
      <c r="D66">
        <v>5.47</v>
      </c>
      <c r="E66">
        <v>35</v>
      </c>
      <c r="F66">
        <v>6.94</v>
      </c>
      <c r="G66">
        <v>1.768</v>
      </c>
      <c r="H66">
        <v>10.220000000000001</v>
      </c>
      <c r="I66">
        <v>34.97</v>
      </c>
      <c r="J66">
        <v>20.95</v>
      </c>
      <c r="K66">
        <v>8.2899999999999991</v>
      </c>
      <c r="L66">
        <v>2.23</v>
      </c>
      <c r="M66">
        <v>2.83</v>
      </c>
      <c r="N66">
        <v>0.49</v>
      </c>
      <c r="O66">
        <v>3.57</v>
      </c>
      <c r="P66">
        <v>2.2160000000000002</v>
      </c>
    </row>
    <row r="67" spans="1:16" x14ac:dyDescent="0.25">
      <c r="A67" s="1">
        <v>41285</v>
      </c>
      <c r="B67">
        <v>8.4700000000000006</v>
      </c>
      <c r="C67">
        <v>145.91</v>
      </c>
      <c r="D67">
        <v>5.48</v>
      </c>
      <c r="E67">
        <v>35.35</v>
      </c>
      <c r="F67">
        <v>6.89</v>
      </c>
      <c r="G67">
        <v>1.76</v>
      </c>
      <c r="H67">
        <v>10.37</v>
      </c>
      <c r="I67">
        <v>35.700000000000003</v>
      </c>
      <c r="J67">
        <v>20.95</v>
      </c>
      <c r="K67">
        <v>8.39</v>
      </c>
      <c r="L67">
        <v>2.25</v>
      </c>
      <c r="M67">
        <v>2.82</v>
      </c>
      <c r="N67">
        <v>0.49</v>
      </c>
      <c r="O67">
        <v>3.57</v>
      </c>
      <c r="P67">
        <v>2.2080000000000002</v>
      </c>
    </row>
    <row r="68" spans="1:16" x14ac:dyDescent="0.25">
      <c r="A68" s="1">
        <v>41288</v>
      </c>
      <c r="B68">
        <v>8.49</v>
      </c>
      <c r="C68">
        <v>147.1</v>
      </c>
      <c r="D68">
        <v>5.48</v>
      </c>
      <c r="E68">
        <v>35.35</v>
      </c>
      <c r="F68">
        <v>6.94</v>
      </c>
      <c r="G68">
        <v>1.768</v>
      </c>
      <c r="H68">
        <v>10.56</v>
      </c>
      <c r="I68">
        <v>35.520000000000003</v>
      </c>
      <c r="J68">
        <v>20.95</v>
      </c>
      <c r="K68">
        <v>8.43</v>
      </c>
      <c r="L68">
        <v>2.25</v>
      </c>
      <c r="M68">
        <v>2.81</v>
      </c>
      <c r="N68">
        <v>0.48</v>
      </c>
      <c r="O68">
        <v>3.5</v>
      </c>
      <c r="P68">
        <v>2.1920000000000002</v>
      </c>
    </row>
    <row r="69" spans="1:16" x14ac:dyDescent="0.25">
      <c r="A69" s="1">
        <v>41289</v>
      </c>
      <c r="B69">
        <v>8.52</v>
      </c>
      <c r="C69">
        <v>144.74</v>
      </c>
      <c r="D69">
        <v>5.5</v>
      </c>
      <c r="E69">
        <v>35</v>
      </c>
      <c r="F69">
        <v>6.83</v>
      </c>
      <c r="G69">
        <v>1.738</v>
      </c>
      <c r="H69">
        <v>10.31</v>
      </c>
      <c r="I69">
        <v>35.880000000000003</v>
      </c>
      <c r="J69">
        <v>21.05</v>
      </c>
      <c r="K69">
        <v>8.48</v>
      </c>
      <c r="L69">
        <v>2.25</v>
      </c>
      <c r="M69">
        <v>2.79</v>
      </c>
      <c r="N69">
        <v>0.47</v>
      </c>
      <c r="O69">
        <v>3.5</v>
      </c>
      <c r="P69">
        <v>2.1920000000000002</v>
      </c>
    </row>
    <row r="70" spans="1:16" x14ac:dyDescent="0.25">
      <c r="A70" s="1">
        <v>41290</v>
      </c>
      <c r="B70">
        <v>8.52</v>
      </c>
      <c r="C70">
        <v>147.94999999999999</v>
      </c>
      <c r="D70">
        <v>5.52</v>
      </c>
      <c r="E70">
        <v>35</v>
      </c>
      <c r="F70">
        <v>6.83</v>
      </c>
      <c r="G70">
        <v>1.7450000000000001</v>
      </c>
      <c r="H70">
        <v>10.37</v>
      </c>
      <c r="I70">
        <v>35.700000000000003</v>
      </c>
      <c r="J70">
        <v>21.4</v>
      </c>
      <c r="K70">
        <v>8.3800000000000008</v>
      </c>
      <c r="L70">
        <v>2.25</v>
      </c>
      <c r="M70">
        <v>2.79</v>
      </c>
      <c r="N70">
        <v>0.48</v>
      </c>
      <c r="O70">
        <v>3.5</v>
      </c>
      <c r="P70">
        <v>2.1680000000000001</v>
      </c>
    </row>
    <row r="71" spans="1:16" x14ac:dyDescent="0.25">
      <c r="A71" s="1">
        <v>41291</v>
      </c>
      <c r="B71">
        <v>8.57</v>
      </c>
      <c r="C71">
        <v>151.27000000000001</v>
      </c>
      <c r="D71">
        <v>5.51</v>
      </c>
      <c r="E71">
        <v>35.21</v>
      </c>
      <c r="F71">
        <v>6.79</v>
      </c>
      <c r="G71">
        <v>1.7450000000000001</v>
      </c>
      <c r="H71">
        <v>10.46</v>
      </c>
      <c r="I71">
        <v>35.520000000000003</v>
      </c>
      <c r="J71">
        <v>21.5</v>
      </c>
      <c r="K71">
        <v>8.31</v>
      </c>
      <c r="L71">
        <v>2.25</v>
      </c>
      <c r="M71">
        <v>2.74</v>
      </c>
      <c r="N71">
        <v>0.48</v>
      </c>
      <c r="O71">
        <v>3.48</v>
      </c>
      <c r="P71">
        <v>2.1760000000000002</v>
      </c>
    </row>
    <row r="72" spans="1:16" x14ac:dyDescent="0.25">
      <c r="A72" s="1">
        <v>41292</v>
      </c>
      <c r="B72">
        <v>8.58</v>
      </c>
      <c r="C72">
        <v>148.05000000000001</v>
      </c>
      <c r="D72">
        <v>5.52</v>
      </c>
      <c r="E72">
        <v>35.5</v>
      </c>
      <c r="F72">
        <v>6.89</v>
      </c>
      <c r="G72">
        <v>1.7450000000000001</v>
      </c>
      <c r="H72">
        <v>10.56</v>
      </c>
      <c r="I72">
        <v>35.520000000000003</v>
      </c>
      <c r="J72">
        <v>22.1</v>
      </c>
      <c r="K72">
        <v>8.2899999999999991</v>
      </c>
      <c r="L72">
        <v>2.23</v>
      </c>
      <c r="M72">
        <v>2.68</v>
      </c>
      <c r="N72">
        <v>0.47</v>
      </c>
      <c r="O72">
        <v>3.5</v>
      </c>
      <c r="P72">
        <v>2.1360000000000001</v>
      </c>
    </row>
    <row r="73" spans="1:16" x14ac:dyDescent="0.25">
      <c r="A73" s="1">
        <v>41295</v>
      </c>
      <c r="B73">
        <v>8.6199999999999992</v>
      </c>
      <c r="C73">
        <v>148.05000000000001</v>
      </c>
      <c r="D73">
        <v>5.53</v>
      </c>
      <c r="E73">
        <v>35</v>
      </c>
      <c r="F73">
        <v>6.89</v>
      </c>
      <c r="G73">
        <v>1.7450000000000001</v>
      </c>
      <c r="H73">
        <v>10.51</v>
      </c>
      <c r="I73">
        <v>35.520000000000003</v>
      </c>
      <c r="J73">
        <v>22.2</v>
      </c>
      <c r="K73">
        <v>8.2899999999999991</v>
      </c>
      <c r="L73">
        <v>2.23</v>
      </c>
      <c r="M73">
        <v>2.68</v>
      </c>
      <c r="N73">
        <v>0.47</v>
      </c>
      <c r="O73">
        <v>3.5</v>
      </c>
      <c r="P73">
        <v>2.1440000000000001</v>
      </c>
    </row>
    <row r="74" spans="1:16" x14ac:dyDescent="0.25">
      <c r="A74" s="1">
        <v>41296</v>
      </c>
      <c r="B74">
        <v>8.67</v>
      </c>
      <c r="C74">
        <v>149.75</v>
      </c>
      <c r="D74">
        <v>5.53</v>
      </c>
      <c r="E74">
        <v>35</v>
      </c>
      <c r="F74">
        <v>6.74</v>
      </c>
      <c r="G74">
        <v>1.7450000000000001</v>
      </c>
      <c r="H74">
        <v>10.25</v>
      </c>
      <c r="I74">
        <v>34.61</v>
      </c>
      <c r="J74">
        <v>22.6</v>
      </c>
      <c r="K74">
        <v>8.1199999999999992</v>
      </c>
      <c r="L74">
        <v>2.1800000000000002</v>
      </c>
      <c r="M74">
        <v>2.56</v>
      </c>
      <c r="N74">
        <v>0.49</v>
      </c>
      <c r="O74">
        <v>3.53</v>
      </c>
      <c r="P74">
        <v>2.1440000000000001</v>
      </c>
    </row>
    <row r="75" spans="1:16" x14ac:dyDescent="0.25">
      <c r="A75" s="1">
        <v>41297</v>
      </c>
      <c r="B75">
        <v>8.81</v>
      </c>
      <c r="C75">
        <v>149.47</v>
      </c>
      <c r="D75">
        <v>5.56</v>
      </c>
      <c r="E75">
        <v>33.200000000000003</v>
      </c>
      <c r="F75">
        <v>6.84</v>
      </c>
      <c r="G75">
        <v>1.7969999999999999</v>
      </c>
      <c r="H75">
        <v>10.32</v>
      </c>
      <c r="I75">
        <v>34.61</v>
      </c>
      <c r="J75">
        <v>22.7</v>
      </c>
      <c r="K75">
        <v>8.1</v>
      </c>
      <c r="L75">
        <v>2.2000000000000002</v>
      </c>
      <c r="M75">
        <v>2.54</v>
      </c>
      <c r="N75">
        <v>0.49</v>
      </c>
      <c r="O75">
        <v>3.59</v>
      </c>
      <c r="P75">
        <v>2.1360000000000001</v>
      </c>
    </row>
    <row r="76" spans="1:16" x14ac:dyDescent="0.25">
      <c r="A76" s="1">
        <v>41298</v>
      </c>
      <c r="B76">
        <v>8.82</v>
      </c>
      <c r="C76">
        <v>149.37</v>
      </c>
      <c r="D76">
        <v>5.57</v>
      </c>
      <c r="E76">
        <v>31.61</v>
      </c>
      <c r="F76">
        <v>6.89</v>
      </c>
      <c r="G76">
        <v>1.7969999999999999</v>
      </c>
      <c r="H76">
        <v>10.33</v>
      </c>
      <c r="I76">
        <v>34.97</v>
      </c>
      <c r="J76">
        <v>23</v>
      </c>
      <c r="K76">
        <v>8.0500000000000007</v>
      </c>
      <c r="L76">
        <v>2.17</v>
      </c>
      <c r="M76">
        <v>2.5</v>
      </c>
      <c r="N76">
        <v>0.49</v>
      </c>
      <c r="O76">
        <v>3.66</v>
      </c>
      <c r="P76">
        <v>2.1120000000000001</v>
      </c>
    </row>
    <row r="77" spans="1:16" x14ac:dyDescent="0.25">
      <c r="A77" s="1">
        <v>41299</v>
      </c>
      <c r="B77">
        <v>8.76</v>
      </c>
      <c r="C77">
        <v>146.54</v>
      </c>
      <c r="D77">
        <v>5.56</v>
      </c>
      <c r="E77">
        <v>31.5</v>
      </c>
      <c r="F77">
        <v>6.79</v>
      </c>
      <c r="G77">
        <v>1.7969999999999999</v>
      </c>
      <c r="H77">
        <v>10.34</v>
      </c>
      <c r="I77">
        <v>35.520000000000003</v>
      </c>
      <c r="J77">
        <v>23</v>
      </c>
      <c r="K77">
        <v>8.0500000000000007</v>
      </c>
      <c r="L77">
        <v>2.16</v>
      </c>
      <c r="M77">
        <v>2.4500000000000002</v>
      </c>
      <c r="N77">
        <v>0.48</v>
      </c>
      <c r="O77">
        <v>3.62</v>
      </c>
      <c r="P77">
        <v>2.0880000000000001</v>
      </c>
    </row>
    <row r="78" spans="1:16" x14ac:dyDescent="0.25">
      <c r="A78" s="1">
        <v>41302</v>
      </c>
      <c r="B78">
        <v>8.4700000000000006</v>
      </c>
      <c r="C78">
        <v>146.35</v>
      </c>
      <c r="D78">
        <v>5.5</v>
      </c>
      <c r="E78">
        <v>30.45</v>
      </c>
      <c r="F78">
        <v>6.65</v>
      </c>
      <c r="G78">
        <v>1.7749999999999999</v>
      </c>
      <c r="H78">
        <v>10.06</v>
      </c>
      <c r="I78">
        <v>34.61</v>
      </c>
      <c r="J78">
        <v>23</v>
      </c>
      <c r="K78">
        <v>8.0399999999999991</v>
      </c>
      <c r="L78">
        <v>2.1</v>
      </c>
      <c r="M78">
        <v>2.4</v>
      </c>
      <c r="N78">
        <v>0.47</v>
      </c>
      <c r="O78">
        <v>3.5</v>
      </c>
      <c r="P78">
        <v>2.08</v>
      </c>
    </row>
    <row r="79" spans="1:16" x14ac:dyDescent="0.25">
      <c r="A79" s="1">
        <v>41303</v>
      </c>
      <c r="B79">
        <v>8.57</v>
      </c>
      <c r="C79">
        <v>149.07</v>
      </c>
      <c r="D79">
        <v>5.46</v>
      </c>
      <c r="E79">
        <v>30.4</v>
      </c>
      <c r="F79">
        <v>6.69</v>
      </c>
      <c r="G79">
        <v>1.76</v>
      </c>
      <c r="H79">
        <v>9.99</v>
      </c>
      <c r="I79">
        <v>35.06</v>
      </c>
      <c r="J79">
        <v>23</v>
      </c>
      <c r="K79">
        <v>8.0500000000000007</v>
      </c>
      <c r="L79">
        <v>2.1</v>
      </c>
      <c r="M79">
        <v>2.4</v>
      </c>
      <c r="N79">
        <v>0.47</v>
      </c>
      <c r="O79">
        <v>3.49</v>
      </c>
      <c r="P79">
        <v>2.0720000000000001</v>
      </c>
    </row>
    <row r="80" spans="1:16" x14ac:dyDescent="0.25">
      <c r="A80" s="1">
        <v>41304</v>
      </c>
      <c r="B80">
        <v>8.57</v>
      </c>
      <c r="C80">
        <v>147.58000000000001</v>
      </c>
      <c r="D80">
        <v>5.54</v>
      </c>
      <c r="E80">
        <v>30.02</v>
      </c>
      <c r="F80">
        <v>6.82</v>
      </c>
      <c r="G80">
        <v>1.782</v>
      </c>
      <c r="H80">
        <v>10.17</v>
      </c>
      <c r="I80">
        <v>35.520000000000003</v>
      </c>
      <c r="J80">
        <v>23.2</v>
      </c>
      <c r="K80">
        <v>8.1999999999999993</v>
      </c>
      <c r="L80">
        <v>2.17</v>
      </c>
      <c r="M80">
        <v>2.5</v>
      </c>
      <c r="N80">
        <v>0.49</v>
      </c>
      <c r="O80">
        <v>3.54</v>
      </c>
      <c r="P80">
        <v>2.1040000000000001</v>
      </c>
    </row>
    <row r="81" spans="1:16" x14ac:dyDescent="0.25">
      <c r="A81" s="1">
        <v>41305</v>
      </c>
      <c r="B81">
        <v>8.58</v>
      </c>
      <c r="C81">
        <v>147.46</v>
      </c>
      <c r="D81">
        <v>5.58</v>
      </c>
      <c r="E81">
        <v>29.7</v>
      </c>
      <c r="F81">
        <v>6.86</v>
      </c>
      <c r="G81">
        <v>1.8420000000000001</v>
      </c>
      <c r="H81">
        <v>10.51</v>
      </c>
      <c r="I81">
        <v>35.06</v>
      </c>
      <c r="J81">
        <v>23.2</v>
      </c>
      <c r="K81">
        <v>8.26</v>
      </c>
      <c r="L81">
        <v>2.2000000000000002</v>
      </c>
      <c r="M81">
        <v>2.61</v>
      </c>
      <c r="N81">
        <v>0.49</v>
      </c>
      <c r="O81">
        <v>3.62</v>
      </c>
      <c r="P81">
        <v>2.12</v>
      </c>
    </row>
    <row r="82" spans="1:16" x14ac:dyDescent="0.25">
      <c r="A82" s="1">
        <v>41306</v>
      </c>
      <c r="B82">
        <v>8.6199999999999992</v>
      </c>
      <c r="C82">
        <v>150.04</v>
      </c>
      <c r="D82">
        <v>5.66</v>
      </c>
      <c r="E82">
        <v>29.7</v>
      </c>
      <c r="F82">
        <v>6.94</v>
      </c>
      <c r="G82">
        <v>1.9390000000000001</v>
      </c>
      <c r="H82">
        <v>10.66</v>
      </c>
      <c r="I82">
        <v>35.33</v>
      </c>
      <c r="J82">
        <v>23.5</v>
      </c>
      <c r="K82">
        <v>8.34</v>
      </c>
      <c r="L82">
        <v>2.2599999999999998</v>
      </c>
      <c r="M82">
        <v>2.71</v>
      </c>
      <c r="N82">
        <v>0.51</v>
      </c>
      <c r="O82">
        <v>3.64</v>
      </c>
      <c r="P82">
        <v>2.1280000000000001</v>
      </c>
    </row>
    <row r="83" spans="1:16" x14ac:dyDescent="0.25">
      <c r="A83" s="1">
        <v>41309</v>
      </c>
      <c r="B83">
        <v>8.6199999999999992</v>
      </c>
      <c r="C83">
        <v>141.9</v>
      </c>
      <c r="D83">
        <v>4.7489999999999997</v>
      </c>
      <c r="E83">
        <v>29.2</v>
      </c>
      <c r="F83">
        <v>6.87</v>
      </c>
      <c r="G83">
        <v>1.909</v>
      </c>
      <c r="H83">
        <v>10.81</v>
      </c>
      <c r="I83">
        <v>35.35</v>
      </c>
      <c r="J83">
        <v>24</v>
      </c>
      <c r="K83">
        <v>8.43</v>
      </c>
      <c r="L83">
        <v>2.25</v>
      </c>
      <c r="M83">
        <v>2.8</v>
      </c>
      <c r="N83">
        <v>0.51</v>
      </c>
      <c r="O83">
        <v>3.61</v>
      </c>
      <c r="P83">
        <v>2.12</v>
      </c>
    </row>
    <row r="84" spans="1:16" x14ac:dyDescent="0.25">
      <c r="A84" s="1">
        <v>41310</v>
      </c>
      <c r="B84">
        <v>8.81</v>
      </c>
      <c r="C84">
        <v>135.28</v>
      </c>
      <c r="D84">
        <v>4.7290000000000001</v>
      </c>
      <c r="E84">
        <v>28.3</v>
      </c>
      <c r="F84">
        <v>6.89</v>
      </c>
      <c r="G84">
        <v>1.9319999999999999</v>
      </c>
      <c r="H84">
        <v>11.09</v>
      </c>
      <c r="I84">
        <v>35.51</v>
      </c>
      <c r="J84">
        <v>24.09</v>
      </c>
      <c r="K84">
        <v>8.34</v>
      </c>
      <c r="L84">
        <v>2.31</v>
      </c>
      <c r="M84">
        <v>2.95</v>
      </c>
      <c r="N84">
        <v>0.51</v>
      </c>
      <c r="O84">
        <v>3.63</v>
      </c>
      <c r="P84">
        <v>2.1520000000000001</v>
      </c>
    </row>
    <row r="85" spans="1:16" x14ac:dyDescent="0.25">
      <c r="A85" s="1">
        <v>41311</v>
      </c>
      <c r="B85">
        <v>8.77</v>
      </c>
      <c r="C85">
        <v>137.66999999999999</v>
      </c>
      <c r="D85">
        <v>4.7290000000000001</v>
      </c>
      <c r="E85">
        <v>28.55</v>
      </c>
      <c r="F85">
        <v>6.89</v>
      </c>
      <c r="G85">
        <v>1.954</v>
      </c>
      <c r="H85">
        <v>11.04</v>
      </c>
      <c r="I85">
        <v>35.42</v>
      </c>
      <c r="J85">
        <v>24.5</v>
      </c>
      <c r="K85">
        <v>8.33</v>
      </c>
      <c r="L85">
        <v>2.42</v>
      </c>
      <c r="M85">
        <v>2.9</v>
      </c>
      <c r="N85">
        <v>0.54</v>
      </c>
      <c r="O85">
        <v>3.61</v>
      </c>
      <c r="P85">
        <v>2.1040000000000001</v>
      </c>
    </row>
    <row r="86" spans="1:16" x14ac:dyDescent="0.25">
      <c r="A86" s="1">
        <v>41312</v>
      </c>
      <c r="B86">
        <v>8.81</v>
      </c>
      <c r="C86">
        <v>139.16</v>
      </c>
      <c r="D86">
        <v>4.6829999999999998</v>
      </c>
      <c r="E86">
        <v>28.71</v>
      </c>
      <c r="F86">
        <v>6.89</v>
      </c>
      <c r="G86">
        <v>1.9690000000000001</v>
      </c>
      <c r="H86">
        <v>11.02</v>
      </c>
      <c r="I86">
        <v>35.61</v>
      </c>
      <c r="J86">
        <v>25</v>
      </c>
      <c r="K86">
        <v>8.43</v>
      </c>
      <c r="L86">
        <v>2.42</v>
      </c>
      <c r="M86">
        <v>2.86</v>
      </c>
      <c r="N86">
        <v>0.54</v>
      </c>
      <c r="O86">
        <v>3.59</v>
      </c>
      <c r="P86">
        <v>2.0880000000000001</v>
      </c>
    </row>
    <row r="87" spans="1:16" x14ac:dyDescent="0.25">
      <c r="A87" s="1">
        <v>41313</v>
      </c>
      <c r="B87">
        <v>8.91</v>
      </c>
      <c r="C87">
        <v>138.79</v>
      </c>
      <c r="D87">
        <v>4.7160000000000002</v>
      </c>
      <c r="E87">
        <v>28.55</v>
      </c>
      <c r="F87">
        <v>6.89</v>
      </c>
      <c r="G87">
        <v>1.984</v>
      </c>
      <c r="H87">
        <v>11.04</v>
      </c>
      <c r="I87">
        <v>35.880000000000003</v>
      </c>
      <c r="J87">
        <v>24.5</v>
      </c>
      <c r="K87">
        <v>8.43</v>
      </c>
      <c r="L87">
        <v>2.4300000000000002</v>
      </c>
      <c r="M87">
        <v>2.82</v>
      </c>
      <c r="N87">
        <v>0.53</v>
      </c>
      <c r="O87">
        <v>3.57</v>
      </c>
      <c r="P87">
        <v>2.0960000000000001</v>
      </c>
    </row>
    <row r="88" spans="1:16" x14ac:dyDescent="0.25">
      <c r="A88" s="1">
        <v>41316</v>
      </c>
      <c r="B88">
        <v>8.91</v>
      </c>
      <c r="C88">
        <v>138.16</v>
      </c>
      <c r="D88">
        <v>4.7160000000000002</v>
      </c>
      <c r="E88">
        <v>27.3</v>
      </c>
      <c r="F88">
        <v>6.89</v>
      </c>
      <c r="G88">
        <v>1.9690000000000001</v>
      </c>
      <c r="H88">
        <v>11.05</v>
      </c>
      <c r="I88">
        <v>35.65</v>
      </c>
      <c r="J88">
        <v>23.5</v>
      </c>
      <c r="K88">
        <v>8.48</v>
      </c>
      <c r="L88">
        <v>2.41</v>
      </c>
      <c r="M88">
        <v>2.77</v>
      </c>
      <c r="N88">
        <v>0.51</v>
      </c>
      <c r="O88">
        <v>3.62</v>
      </c>
      <c r="P88">
        <v>2.1120000000000001</v>
      </c>
    </row>
    <row r="89" spans="1:16" x14ac:dyDescent="0.25">
      <c r="A89" s="1">
        <v>41317</v>
      </c>
      <c r="B89">
        <v>8.98</v>
      </c>
      <c r="C89">
        <v>140.01</v>
      </c>
      <c r="D89">
        <v>4.7089999999999996</v>
      </c>
      <c r="E89">
        <v>27.2</v>
      </c>
      <c r="F89">
        <v>6.89</v>
      </c>
      <c r="G89">
        <v>1.984</v>
      </c>
      <c r="H89">
        <v>10.95</v>
      </c>
      <c r="I89">
        <v>35.880000000000003</v>
      </c>
      <c r="J89">
        <v>22</v>
      </c>
      <c r="K89">
        <v>8.57</v>
      </c>
      <c r="L89">
        <v>2.39</v>
      </c>
      <c r="M89">
        <v>2.74</v>
      </c>
      <c r="N89">
        <v>0.52</v>
      </c>
      <c r="O89">
        <v>3.63</v>
      </c>
      <c r="P89">
        <v>2.1040000000000001</v>
      </c>
    </row>
    <row r="90" spans="1:16" x14ac:dyDescent="0.25">
      <c r="A90" s="1">
        <v>41318</v>
      </c>
      <c r="B90">
        <v>9.0299999999999994</v>
      </c>
      <c r="C90">
        <v>141</v>
      </c>
      <c r="D90">
        <v>4.7160000000000002</v>
      </c>
      <c r="E90">
        <v>27.1</v>
      </c>
      <c r="F90">
        <v>6.88</v>
      </c>
      <c r="G90">
        <v>2.0139999999999998</v>
      </c>
      <c r="H90">
        <v>11.04</v>
      </c>
      <c r="I90">
        <v>35.880000000000003</v>
      </c>
      <c r="J90">
        <v>23.5</v>
      </c>
      <c r="K90">
        <v>8.57</v>
      </c>
      <c r="L90">
        <v>2.36</v>
      </c>
      <c r="M90">
        <v>2.2759999999999998</v>
      </c>
      <c r="N90">
        <v>0.52</v>
      </c>
      <c r="O90">
        <v>3.66</v>
      </c>
      <c r="P90">
        <v>2.1040000000000001</v>
      </c>
    </row>
    <row r="91" spans="1:16" x14ac:dyDescent="0.25">
      <c r="A91" s="1">
        <v>41319</v>
      </c>
      <c r="B91">
        <v>8.92</v>
      </c>
      <c r="C91">
        <v>139.58000000000001</v>
      </c>
      <c r="D91">
        <v>4.7160000000000002</v>
      </c>
      <c r="E91">
        <v>27.44</v>
      </c>
      <c r="F91">
        <v>6.7</v>
      </c>
      <c r="G91">
        <v>2.0139999999999998</v>
      </c>
      <c r="H91">
        <v>10.97</v>
      </c>
      <c r="I91">
        <v>35.97</v>
      </c>
      <c r="J91">
        <v>23.4</v>
      </c>
      <c r="K91">
        <v>8.58</v>
      </c>
      <c r="L91">
        <v>2.36</v>
      </c>
      <c r="M91">
        <v>2.2349999999999999</v>
      </c>
      <c r="N91">
        <v>0.49</v>
      </c>
      <c r="O91">
        <v>3.59</v>
      </c>
      <c r="P91">
        <v>2.0880000000000001</v>
      </c>
    </row>
    <row r="92" spans="1:16" x14ac:dyDescent="0.25">
      <c r="A92" s="1">
        <v>41320</v>
      </c>
      <c r="B92">
        <v>8.82</v>
      </c>
      <c r="C92">
        <v>139.06</v>
      </c>
      <c r="D92">
        <v>4.6890000000000001</v>
      </c>
      <c r="E92">
        <v>27.15</v>
      </c>
      <c r="F92">
        <v>6.7</v>
      </c>
      <c r="G92">
        <v>1.962</v>
      </c>
      <c r="H92">
        <v>10.9</v>
      </c>
      <c r="I92">
        <v>35.65</v>
      </c>
      <c r="J92">
        <v>23.4</v>
      </c>
      <c r="K92">
        <v>8.58</v>
      </c>
      <c r="L92">
        <v>2.34</v>
      </c>
      <c r="M92">
        <v>2.2349999999999999</v>
      </c>
      <c r="N92">
        <v>0.49</v>
      </c>
      <c r="O92">
        <v>3.56</v>
      </c>
      <c r="P92">
        <v>2.016</v>
      </c>
    </row>
    <row r="93" spans="1:16" x14ac:dyDescent="0.25">
      <c r="A93" s="1">
        <v>41323</v>
      </c>
      <c r="B93">
        <v>8.76</v>
      </c>
      <c r="C93">
        <v>138.12</v>
      </c>
      <c r="D93">
        <v>4.6689999999999996</v>
      </c>
      <c r="E93">
        <v>27.5</v>
      </c>
      <c r="F93">
        <v>6.7</v>
      </c>
      <c r="G93">
        <v>1.962</v>
      </c>
      <c r="H93">
        <v>10.67</v>
      </c>
      <c r="I93">
        <v>35.65</v>
      </c>
      <c r="J93">
        <v>23.4</v>
      </c>
      <c r="K93">
        <v>8.57</v>
      </c>
      <c r="L93">
        <v>2.35</v>
      </c>
      <c r="M93">
        <v>2.2349999999999999</v>
      </c>
      <c r="N93">
        <v>0.49</v>
      </c>
      <c r="O93">
        <v>3.56</v>
      </c>
      <c r="P93">
        <v>1.992</v>
      </c>
    </row>
    <row r="94" spans="1:16" x14ac:dyDescent="0.25">
      <c r="A94" s="1">
        <v>41324</v>
      </c>
      <c r="B94">
        <v>8.76</v>
      </c>
      <c r="C94">
        <v>139.63</v>
      </c>
      <c r="D94">
        <v>4.7489999999999997</v>
      </c>
      <c r="E94">
        <v>27</v>
      </c>
      <c r="F94">
        <v>6.79</v>
      </c>
      <c r="G94">
        <v>2.0289999999999999</v>
      </c>
      <c r="H94">
        <v>10.81</v>
      </c>
      <c r="I94">
        <v>35.880000000000003</v>
      </c>
      <c r="J94">
        <v>23.47</v>
      </c>
      <c r="K94">
        <v>8.57</v>
      </c>
      <c r="L94">
        <v>2.3199999999999998</v>
      </c>
      <c r="M94">
        <v>2.2349999999999999</v>
      </c>
      <c r="N94">
        <v>0.48</v>
      </c>
      <c r="O94">
        <v>3.54</v>
      </c>
      <c r="P94">
        <v>2.016</v>
      </c>
    </row>
    <row r="95" spans="1:16" x14ac:dyDescent="0.25">
      <c r="A95" s="1">
        <v>41325</v>
      </c>
      <c r="B95">
        <v>8.9600000000000009</v>
      </c>
      <c r="C95">
        <v>139.06</v>
      </c>
      <c r="D95">
        <v>4.7489999999999997</v>
      </c>
      <c r="E95">
        <v>26</v>
      </c>
      <c r="F95">
        <v>6.79</v>
      </c>
      <c r="G95">
        <v>2.0579999999999998</v>
      </c>
      <c r="H95">
        <v>11.09</v>
      </c>
      <c r="I95">
        <v>35.97</v>
      </c>
      <c r="J95">
        <v>24.5</v>
      </c>
      <c r="K95">
        <v>8.52</v>
      </c>
      <c r="L95">
        <v>2.2799999999999998</v>
      </c>
      <c r="M95">
        <v>2.2109999999999999</v>
      </c>
      <c r="N95">
        <v>0.47</v>
      </c>
      <c r="O95">
        <v>3.56</v>
      </c>
      <c r="P95">
        <v>2.016</v>
      </c>
    </row>
    <row r="96" spans="1:16" x14ac:dyDescent="0.25">
      <c r="A96" s="1">
        <v>41326</v>
      </c>
      <c r="B96">
        <v>8.9600000000000009</v>
      </c>
      <c r="C96">
        <v>136.22999999999999</v>
      </c>
      <c r="D96">
        <v>4.7220000000000004</v>
      </c>
      <c r="E96">
        <v>26.1</v>
      </c>
      <c r="F96">
        <v>6.89</v>
      </c>
      <c r="G96">
        <v>2.0510000000000002</v>
      </c>
      <c r="H96">
        <v>11.09</v>
      </c>
      <c r="I96">
        <v>35.97</v>
      </c>
      <c r="J96">
        <v>24.49</v>
      </c>
      <c r="K96">
        <v>8.52</v>
      </c>
      <c r="L96">
        <v>2.2799999999999998</v>
      </c>
      <c r="M96">
        <v>2.2109999999999999</v>
      </c>
      <c r="N96">
        <v>0.46</v>
      </c>
      <c r="O96">
        <v>3.56</v>
      </c>
      <c r="P96">
        <v>2</v>
      </c>
    </row>
    <row r="97" spans="1:16" x14ac:dyDescent="0.25">
      <c r="A97" s="1">
        <v>41327</v>
      </c>
      <c r="B97">
        <v>8.91</v>
      </c>
      <c r="C97">
        <v>138.97</v>
      </c>
      <c r="D97">
        <v>4.7220000000000004</v>
      </c>
      <c r="E97">
        <v>25.9</v>
      </c>
      <c r="F97">
        <v>6.96</v>
      </c>
      <c r="G97">
        <v>2.0880000000000001</v>
      </c>
      <c r="H97">
        <v>11.19</v>
      </c>
      <c r="I97">
        <v>35.97</v>
      </c>
      <c r="J97">
        <v>24</v>
      </c>
      <c r="K97">
        <v>8.5399999999999991</v>
      </c>
      <c r="L97">
        <v>2.19</v>
      </c>
      <c r="M97">
        <v>2.2109999999999999</v>
      </c>
      <c r="N97">
        <v>0.45</v>
      </c>
      <c r="O97">
        <v>3.61</v>
      </c>
      <c r="P97">
        <v>1.984</v>
      </c>
    </row>
    <row r="98" spans="1:16" x14ac:dyDescent="0.25">
      <c r="A98" s="1">
        <v>41330</v>
      </c>
      <c r="B98">
        <v>8.81</v>
      </c>
      <c r="C98">
        <v>139.84</v>
      </c>
      <c r="D98">
        <v>4.7350000000000003</v>
      </c>
      <c r="E98">
        <v>26</v>
      </c>
      <c r="F98">
        <v>6.99</v>
      </c>
      <c r="G98">
        <v>2.0659999999999998</v>
      </c>
      <c r="H98">
        <v>11.19</v>
      </c>
      <c r="I98">
        <v>35.97</v>
      </c>
      <c r="J98">
        <v>24</v>
      </c>
      <c r="K98">
        <v>8.52</v>
      </c>
      <c r="L98">
        <v>2.25</v>
      </c>
      <c r="M98">
        <v>2.2109999999999999</v>
      </c>
      <c r="N98">
        <v>0.45</v>
      </c>
      <c r="O98">
        <v>3.61</v>
      </c>
      <c r="P98">
        <v>1.9610000000000001</v>
      </c>
    </row>
    <row r="99" spans="1:16" x14ac:dyDescent="0.25">
      <c r="A99" s="1">
        <v>41331</v>
      </c>
      <c r="B99">
        <v>8.86</v>
      </c>
      <c r="C99">
        <v>139.54</v>
      </c>
      <c r="D99">
        <v>4.782</v>
      </c>
      <c r="E99">
        <v>26.55</v>
      </c>
      <c r="F99">
        <v>6.99</v>
      </c>
      <c r="G99">
        <v>2.0659999999999998</v>
      </c>
      <c r="H99">
        <v>11.29</v>
      </c>
      <c r="I99">
        <v>35.97</v>
      </c>
      <c r="J99">
        <v>24</v>
      </c>
      <c r="K99">
        <v>8.5299999999999994</v>
      </c>
      <c r="L99">
        <v>2.27</v>
      </c>
      <c r="M99">
        <v>2.2349999999999999</v>
      </c>
      <c r="N99">
        <v>0.45</v>
      </c>
      <c r="O99">
        <v>3.62</v>
      </c>
      <c r="P99">
        <v>1.9690000000000001</v>
      </c>
    </row>
    <row r="100" spans="1:16" x14ac:dyDescent="0.25">
      <c r="A100" s="1">
        <v>41332</v>
      </c>
      <c r="B100">
        <v>8.92</v>
      </c>
      <c r="C100">
        <v>140.94999999999999</v>
      </c>
      <c r="D100">
        <v>4.8140000000000001</v>
      </c>
      <c r="E100">
        <v>26</v>
      </c>
      <c r="F100">
        <v>6.92</v>
      </c>
      <c r="G100">
        <v>2.0880000000000001</v>
      </c>
      <c r="H100">
        <v>11.29</v>
      </c>
      <c r="I100">
        <v>35.93</v>
      </c>
      <c r="J100">
        <v>24</v>
      </c>
      <c r="K100">
        <v>8.57</v>
      </c>
      <c r="L100">
        <v>2.2599999999999998</v>
      </c>
      <c r="M100">
        <v>2.2349999999999999</v>
      </c>
      <c r="N100">
        <v>0.45</v>
      </c>
      <c r="O100">
        <v>3.64</v>
      </c>
      <c r="P100">
        <v>1.921</v>
      </c>
    </row>
    <row r="101" spans="1:16" x14ac:dyDescent="0.25">
      <c r="A101" s="1">
        <v>41333</v>
      </c>
      <c r="B101">
        <v>8.76</v>
      </c>
      <c r="C101">
        <v>140.94999999999999</v>
      </c>
      <c r="D101">
        <v>4.7489999999999997</v>
      </c>
      <c r="E101">
        <v>25.6</v>
      </c>
      <c r="F101">
        <v>6.93</v>
      </c>
      <c r="G101">
        <v>2.081</v>
      </c>
      <c r="H101">
        <v>11.06</v>
      </c>
      <c r="I101">
        <v>35.92</v>
      </c>
      <c r="J101">
        <v>23.52</v>
      </c>
      <c r="K101">
        <v>8.65</v>
      </c>
      <c r="L101">
        <v>2.2599999999999998</v>
      </c>
      <c r="M101">
        <v>2.2349999999999999</v>
      </c>
      <c r="N101">
        <v>0.45</v>
      </c>
      <c r="O101">
        <v>3.59</v>
      </c>
      <c r="P101">
        <v>1.905</v>
      </c>
    </row>
    <row r="102" spans="1:16" x14ac:dyDescent="0.25">
      <c r="A102" s="1">
        <v>41334</v>
      </c>
      <c r="B102">
        <v>9.01</v>
      </c>
      <c r="C102">
        <v>142.85</v>
      </c>
      <c r="D102">
        <v>4.8339999999999996</v>
      </c>
      <c r="E102">
        <v>25.4</v>
      </c>
      <c r="F102">
        <v>6.99</v>
      </c>
      <c r="G102">
        <v>2.081</v>
      </c>
      <c r="H102">
        <v>11.26</v>
      </c>
      <c r="I102">
        <v>36.340000000000003</v>
      </c>
      <c r="J102">
        <v>23.5</v>
      </c>
      <c r="K102">
        <v>8.76</v>
      </c>
      <c r="L102">
        <v>2.25</v>
      </c>
      <c r="M102">
        <v>2.2349999999999999</v>
      </c>
      <c r="N102">
        <v>0.47</v>
      </c>
      <c r="O102">
        <v>3.65</v>
      </c>
      <c r="P102">
        <v>1.881</v>
      </c>
    </row>
    <row r="103" spans="1:16" x14ac:dyDescent="0.25">
      <c r="A103" s="1">
        <v>41337</v>
      </c>
      <c r="B103">
        <v>9.01</v>
      </c>
      <c r="C103">
        <v>144.36000000000001</v>
      </c>
      <c r="D103">
        <v>4.8869999999999996</v>
      </c>
      <c r="E103">
        <v>24.59</v>
      </c>
      <c r="F103">
        <v>6.96</v>
      </c>
      <c r="G103">
        <v>2.0659999999999998</v>
      </c>
      <c r="H103">
        <v>11.14</v>
      </c>
      <c r="I103">
        <v>35.97</v>
      </c>
      <c r="J103">
        <v>23.5</v>
      </c>
      <c r="K103">
        <v>8.67</v>
      </c>
      <c r="L103">
        <v>2.1800000000000002</v>
      </c>
      <c r="M103">
        <v>2.1539999999999999</v>
      </c>
      <c r="N103">
        <v>0.48</v>
      </c>
      <c r="O103">
        <v>3.66</v>
      </c>
      <c r="P103">
        <v>1.833</v>
      </c>
    </row>
    <row r="104" spans="1:16" x14ac:dyDescent="0.25">
      <c r="A104" s="1">
        <v>41338</v>
      </c>
      <c r="B104">
        <v>9.1</v>
      </c>
      <c r="C104">
        <v>147.57</v>
      </c>
      <c r="D104">
        <v>4.9459999999999997</v>
      </c>
      <c r="E104">
        <v>24.5</v>
      </c>
      <c r="F104">
        <v>6.94</v>
      </c>
      <c r="G104">
        <v>2.081</v>
      </c>
      <c r="H104">
        <v>11.33</v>
      </c>
      <c r="I104">
        <v>36.43</v>
      </c>
      <c r="J104">
        <v>23.5</v>
      </c>
      <c r="K104">
        <v>8.82</v>
      </c>
      <c r="L104">
        <v>2.16</v>
      </c>
      <c r="M104">
        <v>2.1379999999999999</v>
      </c>
      <c r="N104">
        <v>0.47</v>
      </c>
      <c r="O104">
        <v>3.69</v>
      </c>
      <c r="P104">
        <v>1.841</v>
      </c>
    </row>
    <row r="105" spans="1:16" x14ac:dyDescent="0.25">
      <c r="A105" s="1">
        <v>41339</v>
      </c>
      <c r="B105">
        <v>9.31</v>
      </c>
      <c r="C105">
        <v>149.47</v>
      </c>
      <c r="D105">
        <v>4.9790000000000001</v>
      </c>
      <c r="E105">
        <v>25.48</v>
      </c>
      <c r="F105">
        <v>7.04</v>
      </c>
      <c r="G105">
        <v>2.081</v>
      </c>
      <c r="H105">
        <v>11.43</v>
      </c>
      <c r="I105">
        <v>36.43</v>
      </c>
      <c r="J105">
        <v>23.75</v>
      </c>
      <c r="K105">
        <v>8.82</v>
      </c>
      <c r="L105">
        <v>2.13</v>
      </c>
      <c r="M105">
        <v>1.992</v>
      </c>
      <c r="N105">
        <v>0.47</v>
      </c>
      <c r="O105">
        <v>3.71</v>
      </c>
      <c r="P105">
        <v>1.8169999999999999</v>
      </c>
    </row>
    <row r="106" spans="1:16" x14ac:dyDescent="0.25">
      <c r="A106" s="1">
        <v>41340</v>
      </c>
      <c r="B106">
        <v>9.3699999999999992</v>
      </c>
      <c r="C106">
        <v>150.41</v>
      </c>
      <c r="D106">
        <v>4.9790000000000001</v>
      </c>
      <c r="E106">
        <v>25.25</v>
      </c>
      <c r="F106">
        <v>6.96</v>
      </c>
      <c r="G106">
        <v>2.0659999999999998</v>
      </c>
      <c r="H106">
        <v>11.33</v>
      </c>
      <c r="I106">
        <v>35.97</v>
      </c>
      <c r="J106">
        <v>23.75</v>
      </c>
      <c r="K106">
        <v>8.66</v>
      </c>
      <c r="L106">
        <v>2.0699999999999998</v>
      </c>
      <c r="M106">
        <v>2.032</v>
      </c>
      <c r="N106">
        <v>0.46</v>
      </c>
      <c r="O106">
        <v>3.66</v>
      </c>
      <c r="P106">
        <v>1.7849999999999999</v>
      </c>
    </row>
    <row r="107" spans="1:16" x14ac:dyDescent="0.25">
      <c r="A107" s="1">
        <v>41341</v>
      </c>
      <c r="B107">
        <v>9.35</v>
      </c>
      <c r="C107">
        <v>149.47</v>
      </c>
      <c r="D107">
        <v>4.9459999999999997</v>
      </c>
      <c r="E107">
        <v>24.95</v>
      </c>
      <c r="F107">
        <v>7.04</v>
      </c>
      <c r="G107">
        <v>2.1030000000000002</v>
      </c>
      <c r="H107">
        <v>11.48</v>
      </c>
      <c r="I107">
        <v>35.97</v>
      </c>
      <c r="J107">
        <v>23.6</v>
      </c>
      <c r="K107">
        <v>8.66</v>
      </c>
      <c r="L107">
        <v>2.0499999999999998</v>
      </c>
      <c r="M107">
        <v>1.9510000000000001</v>
      </c>
      <c r="N107">
        <v>0.45</v>
      </c>
      <c r="O107">
        <v>3.69</v>
      </c>
      <c r="P107">
        <v>1.8009999999999999</v>
      </c>
    </row>
    <row r="108" spans="1:16" x14ac:dyDescent="0.25">
      <c r="A108" s="1">
        <v>41344</v>
      </c>
      <c r="B108">
        <v>9.4</v>
      </c>
      <c r="C108">
        <v>148.33000000000001</v>
      </c>
      <c r="D108">
        <v>4.9459999999999997</v>
      </c>
      <c r="E108">
        <v>24.83</v>
      </c>
      <c r="F108">
        <v>7.04</v>
      </c>
      <c r="G108">
        <v>2.1030000000000002</v>
      </c>
      <c r="H108">
        <v>11.48</v>
      </c>
      <c r="I108">
        <v>36.06</v>
      </c>
      <c r="J108">
        <v>23.75</v>
      </c>
      <c r="K108">
        <v>8.66</v>
      </c>
      <c r="L108">
        <v>2.0699999999999998</v>
      </c>
      <c r="M108">
        <v>1.9510000000000001</v>
      </c>
      <c r="N108">
        <v>0.45</v>
      </c>
      <c r="O108">
        <v>3.71</v>
      </c>
      <c r="P108">
        <v>1.7929999999999999</v>
      </c>
    </row>
    <row r="109" spans="1:16" x14ac:dyDescent="0.25">
      <c r="A109" s="1">
        <v>41345</v>
      </c>
      <c r="B109">
        <v>9.26</v>
      </c>
      <c r="C109">
        <v>149.08000000000001</v>
      </c>
      <c r="D109">
        <v>4.9130000000000003</v>
      </c>
      <c r="E109">
        <v>25.25</v>
      </c>
      <c r="F109">
        <v>7.09</v>
      </c>
      <c r="G109">
        <v>2.0960000000000001</v>
      </c>
      <c r="H109">
        <v>11.24</v>
      </c>
      <c r="I109">
        <v>36.24</v>
      </c>
      <c r="J109">
        <v>23.6</v>
      </c>
      <c r="K109">
        <v>8.7100000000000009</v>
      </c>
      <c r="L109">
        <v>2.0499999999999998</v>
      </c>
      <c r="M109">
        <v>1.829</v>
      </c>
      <c r="N109">
        <v>0.44</v>
      </c>
      <c r="O109">
        <v>3.75</v>
      </c>
      <c r="P109">
        <v>1.7529999999999999</v>
      </c>
    </row>
    <row r="110" spans="1:16" x14ac:dyDescent="0.25">
      <c r="A110" s="1">
        <v>41346</v>
      </c>
      <c r="B110">
        <v>9.01</v>
      </c>
      <c r="C110">
        <v>149.75</v>
      </c>
      <c r="D110">
        <v>4.9130000000000003</v>
      </c>
      <c r="E110">
        <v>24.8</v>
      </c>
      <c r="F110">
        <v>7.04</v>
      </c>
      <c r="G110">
        <v>2.0139999999999998</v>
      </c>
      <c r="H110">
        <v>11.02</v>
      </c>
      <c r="I110">
        <v>35.97</v>
      </c>
      <c r="J110">
        <v>23.6</v>
      </c>
      <c r="K110">
        <v>8.57</v>
      </c>
      <c r="L110">
        <v>1.94</v>
      </c>
      <c r="M110">
        <v>1.6830000000000001</v>
      </c>
      <c r="N110">
        <v>0.43</v>
      </c>
      <c r="O110">
        <v>3.64</v>
      </c>
      <c r="P110">
        <v>1.7529999999999999</v>
      </c>
    </row>
    <row r="111" spans="1:16" x14ac:dyDescent="0.25">
      <c r="A111" s="1">
        <v>41347</v>
      </c>
      <c r="B111">
        <v>8.7899999999999991</v>
      </c>
      <c r="C111">
        <v>150.41</v>
      </c>
      <c r="D111">
        <v>4.782</v>
      </c>
      <c r="E111">
        <v>24.5</v>
      </c>
      <c r="F111">
        <v>7.19</v>
      </c>
      <c r="G111">
        <v>1.962</v>
      </c>
      <c r="H111">
        <v>11.04</v>
      </c>
      <c r="I111">
        <v>36.24</v>
      </c>
      <c r="J111">
        <v>23.6</v>
      </c>
      <c r="K111">
        <v>8.52</v>
      </c>
      <c r="L111">
        <v>1.99</v>
      </c>
      <c r="M111">
        <v>1.7070000000000001</v>
      </c>
      <c r="N111">
        <v>0.43</v>
      </c>
      <c r="O111">
        <v>3.64</v>
      </c>
      <c r="P111">
        <v>1.8009999999999999</v>
      </c>
    </row>
    <row r="112" spans="1:16" x14ac:dyDescent="0.25">
      <c r="A112" s="1">
        <v>41348</v>
      </c>
      <c r="B112">
        <v>8.99</v>
      </c>
      <c r="C112">
        <v>150.88999999999999</v>
      </c>
      <c r="D112">
        <v>4.6500000000000004</v>
      </c>
      <c r="E112">
        <v>25</v>
      </c>
      <c r="F112">
        <v>7.21</v>
      </c>
      <c r="G112">
        <v>1.962</v>
      </c>
      <c r="H112">
        <v>11.14</v>
      </c>
      <c r="I112">
        <v>36.43</v>
      </c>
      <c r="J112">
        <v>23.6</v>
      </c>
      <c r="K112">
        <v>8.6</v>
      </c>
      <c r="L112">
        <v>2.04</v>
      </c>
      <c r="M112">
        <v>1.788</v>
      </c>
      <c r="N112">
        <v>0.44</v>
      </c>
      <c r="O112">
        <v>3.7</v>
      </c>
      <c r="P112">
        <v>1.929</v>
      </c>
    </row>
    <row r="113" spans="1:16" x14ac:dyDescent="0.25">
      <c r="A113" s="1">
        <v>41351</v>
      </c>
      <c r="B113">
        <v>9.15</v>
      </c>
      <c r="C113">
        <v>149.94</v>
      </c>
      <c r="D113">
        <v>4.7489999999999997</v>
      </c>
      <c r="E113">
        <v>25.58</v>
      </c>
      <c r="F113">
        <v>7.21</v>
      </c>
      <c r="G113">
        <v>1.946</v>
      </c>
      <c r="H113">
        <v>11.13</v>
      </c>
      <c r="I113">
        <v>36.42</v>
      </c>
      <c r="J113">
        <v>23.6</v>
      </c>
      <c r="K113">
        <v>8.6</v>
      </c>
      <c r="L113">
        <v>2.02</v>
      </c>
      <c r="M113">
        <v>1.772</v>
      </c>
      <c r="N113">
        <v>0.44</v>
      </c>
      <c r="O113">
        <v>3.69</v>
      </c>
      <c r="P113">
        <v>1.897</v>
      </c>
    </row>
    <row r="114" spans="1:16" x14ac:dyDescent="0.25">
      <c r="A114" s="1">
        <v>41352</v>
      </c>
      <c r="B114">
        <v>9.15</v>
      </c>
      <c r="C114">
        <v>150.13</v>
      </c>
      <c r="D114">
        <v>4.782</v>
      </c>
      <c r="E114">
        <v>25</v>
      </c>
      <c r="F114">
        <v>7.21</v>
      </c>
      <c r="G114">
        <v>1.865</v>
      </c>
      <c r="H114">
        <v>11</v>
      </c>
      <c r="I114">
        <v>35.53</v>
      </c>
      <c r="J114">
        <v>23.5</v>
      </c>
      <c r="K114">
        <v>8.6</v>
      </c>
      <c r="L114">
        <v>1.99</v>
      </c>
      <c r="M114">
        <v>1.74</v>
      </c>
      <c r="N114">
        <v>0.43</v>
      </c>
      <c r="O114">
        <v>3.64</v>
      </c>
      <c r="P114">
        <v>1.833</v>
      </c>
    </row>
    <row r="115" spans="1:16" x14ac:dyDescent="0.25">
      <c r="A115" s="1">
        <v>41353</v>
      </c>
      <c r="B115">
        <v>9.06</v>
      </c>
      <c r="C115">
        <v>151.36000000000001</v>
      </c>
      <c r="D115">
        <v>4.782</v>
      </c>
      <c r="E115">
        <v>25.1</v>
      </c>
      <c r="F115">
        <v>7.25</v>
      </c>
      <c r="G115">
        <v>1.8939999999999999</v>
      </c>
      <c r="H115">
        <v>11.04</v>
      </c>
      <c r="I115">
        <v>35.33</v>
      </c>
      <c r="J115">
        <v>23.6</v>
      </c>
      <c r="K115">
        <v>8.67</v>
      </c>
      <c r="L115">
        <v>2.0099999999999998</v>
      </c>
      <c r="M115">
        <v>1.74</v>
      </c>
      <c r="N115">
        <v>0.43</v>
      </c>
      <c r="O115">
        <v>3.65</v>
      </c>
      <c r="P115">
        <v>1.873</v>
      </c>
    </row>
    <row r="116" spans="1:16" x14ac:dyDescent="0.25">
      <c r="A116" s="1">
        <v>41354</v>
      </c>
      <c r="B116">
        <v>9.06</v>
      </c>
      <c r="C116">
        <v>150.58000000000001</v>
      </c>
      <c r="D116">
        <v>4.8140000000000001</v>
      </c>
      <c r="E116">
        <v>26.33</v>
      </c>
      <c r="F116">
        <v>7.31</v>
      </c>
      <c r="G116">
        <v>1.909</v>
      </c>
      <c r="H116">
        <v>11.07</v>
      </c>
      <c r="I116">
        <v>35.33</v>
      </c>
      <c r="J116">
        <v>23.8</v>
      </c>
      <c r="K116">
        <v>8.85</v>
      </c>
      <c r="L116">
        <v>2.0099999999999998</v>
      </c>
      <c r="M116">
        <v>1.748</v>
      </c>
      <c r="N116">
        <v>0.45</v>
      </c>
      <c r="O116">
        <v>3.69</v>
      </c>
      <c r="P116">
        <v>1.865</v>
      </c>
    </row>
    <row r="117" spans="1:16" x14ac:dyDescent="0.25">
      <c r="A117" s="1">
        <v>41355</v>
      </c>
      <c r="B117">
        <v>9.18</v>
      </c>
      <c r="C117">
        <v>150.6</v>
      </c>
      <c r="D117">
        <v>4.8410000000000002</v>
      </c>
      <c r="E117">
        <v>25.75</v>
      </c>
      <c r="F117">
        <v>7.48</v>
      </c>
      <c r="G117">
        <v>1.946</v>
      </c>
      <c r="H117">
        <v>11.1</v>
      </c>
      <c r="I117">
        <v>36.340000000000003</v>
      </c>
      <c r="J117">
        <v>23.6</v>
      </c>
      <c r="K117">
        <v>8.7899999999999991</v>
      </c>
      <c r="L117">
        <v>2.0499999999999998</v>
      </c>
      <c r="M117">
        <v>1.748</v>
      </c>
      <c r="N117">
        <v>0.45</v>
      </c>
      <c r="O117">
        <v>3.7</v>
      </c>
      <c r="P117">
        <v>1.8169999999999999</v>
      </c>
    </row>
    <row r="118" spans="1:16" x14ac:dyDescent="0.25">
      <c r="A118" s="1">
        <v>41358</v>
      </c>
      <c r="B118">
        <v>9.1999999999999993</v>
      </c>
      <c r="C118">
        <v>151.36000000000001</v>
      </c>
      <c r="D118">
        <v>4.8140000000000001</v>
      </c>
      <c r="E118">
        <v>25.28</v>
      </c>
      <c r="F118">
        <v>7.48</v>
      </c>
      <c r="G118">
        <v>1.946</v>
      </c>
      <c r="H118">
        <v>10.98</v>
      </c>
      <c r="I118">
        <v>35.61</v>
      </c>
      <c r="J118">
        <v>23.6</v>
      </c>
      <c r="K118">
        <v>8.75</v>
      </c>
      <c r="L118">
        <v>2.08</v>
      </c>
      <c r="M118">
        <v>1.788</v>
      </c>
      <c r="N118">
        <v>0.45</v>
      </c>
      <c r="O118">
        <v>3.64</v>
      </c>
      <c r="P118">
        <v>1.7849999999999999</v>
      </c>
    </row>
    <row r="119" spans="1:16" x14ac:dyDescent="0.25">
      <c r="A119" s="1">
        <v>41359</v>
      </c>
      <c r="B119">
        <v>9.3000000000000007</v>
      </c>
      <c r="C119">
        <v>152.31</v>
      </c>
      <c r="D119">
        <v>4.7880000000000003</v>
      </c>
      <c r="E119">
        <v>25.4</v>
      </c>
      <c r="F119">
        <v>7.38</v>
      </c>
      <c r="G119">
        <v>1.954</v>
      </c>
      <c r="H119">
        <v>11</v>
      </c>
      <c r="I119">
        <v>35.61</v>
      </c>
      <c r="J119">
        <v>23.7</v>
      </c>
      <c r="K119">
        <v>8.9600000000000009</v>
      </c>
      <c r="L119">
        <v>2.13</v>
      </c>
      <c r="M119">
        <v>1.796</v>
      </c>
      <c r="N119">
        <v>0.45</v>
      </c>
      <c r="O119">
        <v>3.64</v>
      </c>
      <c r="P119">
        <v>1.7849999999999999</v>
      </c>
    </row>
    <row r="120" spans="1:16" x14ac:dyDescent="0.25">
      <c r="A120" s="1">
        <v>41360</v>
      </c>
      <c r="B120">
        <v>9.4</v>
      </c>
      <c r="C120">
        <v>152.68</v>
      </c>
      <c r="D120">
        <v>4.782</v>
      </c>
      <c r="E120">
        <v>25.4</v>
      </c>
      <c r="F120">
        <v>7.38</v>
      </c>
      <c r="G120">
        <v>1.9990000000000001</v>
      </c>
      <c r="H120">
        <v>11.04</v>
      </c>
      <c r="I120">
        <v>36.43</v>
      </c>
      <c r="J120">
        <v>23.9</v>
      </c>
      <c r="K120">
        <v>8.8000000000000007</v>
      </c>
      <c r="L120">
        <v>2.13</v>
      </c>
      <c r="M120">
        <v>1.796</v>
      </c>
      <c r="N120">
        <v>0.45</v>
      </c>
      <c r="O120">
        <v>3.64</v>
      </c>
      <c r="P120">
        <v>1.7609999999999999</v>
      </c>
    </row>
    <row r="121" spans="1:16" x14ac:dyDescent="0.25">
      <c r="A121" s="1">
        <v>41365</v>
      </c>
      <c r="B121">
        <v>9.64</v>
      </c>
      <c r="C121">
        <v>155.47999999999999</v>
      </c>
      <c r="D121">
        <v>4.7489999999999997</v>
      </c>
      <c r="E121">
        <v>25.3</v>
      </c>
      <c r="F121">
        <v>7.43</v>
      </c>
      <c r="G121">
        <v>1.976</v>
      </c>
      <c r="H121">
        <v>11.21</v>
      </c>
      <c r="I121">
        <v>36.43</v>
      </c>
      <c r="J121">
        <v>23.9</v>
      </c>
      <c r="K121">
        <v>8.7899999999999991</v>
      </c>
      <c r="L121">
        <v>2.12</v>
      </c>
      <c r="M121">
        <v>1.772</v>
      </c>
      <c r="N121">
        <v>0.46</v>
      </c>
      <c r="O121">
        <v>3.65</v>
      </c>
      <c r="P121">
        <v>1.8009999999999999</v>
      </c>
    </row>
    <row r="122" spans="1:16" x14ac:dyDescent="0.25">
      <c r="A122" s="1">
        <v>41366</v>
      </c>
      <c r="B122">
        <v>9.5399999999999991</v>
      </c>
      <c r="C122">
        <v>155.13999999999999</v>
      </c>
      <c r="D122">
        <v>4.7549999999999999</v>
      </c>
      <c r="E122">
        <v>25.1</v>
      </c>
      <c r="F122">
        <v>7.36</v>
      </c>
      <c r="G122">
        <v>1.976</v>
      </c>
      <c r="H122">
        <v>10.99</v>
      </c>
      <c r="I122">
        <v>36.43</v>
      </c>
      <c r="J122">
        <v>23.9</v>
      </c>
      <c r="K122">
        <v>8.8000000000000007</v>
      </c>
      <c r="L122">
        <v>2.0499999999999998</v>
      </c>
      <c r="M122">
        <v>1.764</v>
      </c>
      <c r="N122">
        <v>0.46</v>
      </c>
      <c r="O122">
        <v>3.67</v>
      </c>
      <c r="P122">
        <v>1.7769999999999999</v>
      </c>
    </row>
    <row r="123" spans="1:16" x14ac:dyDescent="0.25">
      <c r="A123" s="1">
        <v>41367</v>
      </c>
      <c r="B123">
        <v>9.59</v>
      </c>
      <c r="C123">
        <v>152.12</v>
      </c>
      <c r="D123">
        <v>4.8479999999999999</v>
      </c>
      <c r="E123">
        <v>24.3</v>
      </c>
      <c r="F123">
        <v>7.38</v>
      </c>
      <c r="G123">
        <v>1.976</v>
      </c>
      <c r="H123">
        <v>10.91</v>
      </c>
      <c r="I123">
        <v>36.43</v>
      </c>
      <c r="J123">
        <v>23.51</v>
      </c>
      <c r="K123">
        <v>8.8000000000000007</v>
      </c>
      <c r="L123">
        <v>2.0099999999999998</v>
      </c>
      <c r="M123">
        <v>1.7070000000000001</v>
      </c>
      <c r="N123">
        <v>0.47</v>
      </c>
      <c r="O123">
        <v>3.67</v>
      </c>
      <c r="P123">
        <v>1.7769999999999999</v>
      </c>
    </row>
    <row r="124" spans="1:16" x14ac:dyDescent="0.25">
      <c r="A124" s="1">
        <v>41368</v>
      </c>
      <c r="B124">
        <v>9.59</v>
      </c>
      <c r="C124">
        <v>150.41</v>
      </c>
      <c r="D124">
        <v>4.8140000000000001</v>
      </c>
      <c r="E124">
        <v>25.02</v>
      </c>
      <c r="F124">
        <v>7.38</v>
      </c>
      <c r="G124">
        <v>1.976</v>
      </c>
      <c r="H124">
        <v>10.92</v>
      </c>
      <c r="I124">
        <v>36.06</v>
      </c>
      <c r="J124">
        <v>23.7</v>
      </c>
      <c r="K124">
        <v>8.84</v>
      </c>
      <c r="L124">
        <v>2.0299999999999998</v>
      </c>
      <c r="M124">
        <v>1.6830000000000001</v>
      </c>
      <c r="N124">
        <v>0.49</v>
      </c>
      <c r="O124">
        <v>3.69</v>
      </c>
      <c r="P124">
        <v>1.7769999999999999</v>
      </c>
    </row>
    <row r="125" spans="1:16" x14ac:dyDescent="0.25">
      <c r="A125" s="1">
        <v>41369</v>
      </c>
      <c r="B125">
        <v>9.59</v>
      </c>
      <c r="C125">
        <v>149.47</v>
      </c>
      <c r="D125">
        <v>4.782</v>
      </c>
      <c r="E125">
        <v>24.9</v>
      </c>
      <c r="F125">
        <v>7.29</v>
      </c>
      <c r="G125">
        <v>1.9390000000000001</v>
      </c>
      <c r="H125">
        <v>10.91</v>
      </c>
      <c r="I125">
        <v>35.97</v>
      </c>
      <c r="J125">
        <v>23.7</v>
      </c>
      <c r="K125">
        <v>8.84</v>
      </c>
      <c r="L125">
        <v>1.97</v>
      </c>
      <c r="M125">
        <v>1.6659999999999999</v>
      </c>
      <c r="N125">
        <v>0.47</v>
      </c>
      <c r="O125">
        <v>3.66</v>
      </c>
      <c r="P125">
        <v>1.7529999999999999</v>
      </c>
    </row>
    <row r="126" spans="1:16" x14ac:dyDescent="0.25">
      <c r="A126" s="1">
        <v>41372</v>
      </c>
      <c r="B126">
        <v>9.59</v>
      </c>
      <c r="C126">
        <v>151.36000000000001</v>
      </c>
      <c r="D126">
        <v>4.782</v>
      </c>
      <c r="E126">
        <v>24</v>
      </c>
      <c r="F126">
        <v>7.24</v>
      </c>
      <c r="G126">
        <v>1.9239999999999999</v>
      </c>
      <c r="H126">
        <v>10.93</v>
      </c>
      <c r="I126">
        <v>36.43</v>
      </c>
      <c r="J126">
        <v>23.8</v>
      </c>
      <c r="K126">
        <v>8.84</v>
      </c>
      <c r="L126">
        <v>1.94</v>
      </c>
      <c r="M126">
        <v>1.6659999999999999</v>
      </c>
      <c r="N126">
        <v>0.47</v>
      </c>
      <c r="O126">
        <v>3.66</v>
      </c>
      <c r="P126">
        <v>1.746</v>
      </c>
    </row>
    <row r="127" spans="1:16" x14ac:dyDescent="0.25">
      <c r="A127" s="1">
        <v>41373</v>
      </c>
      <c r="B127">
        <v>9.4499999999999993</v>
      </c>
      <c r="C127">
        <v>150.41</v>
      </c>
      <c r="D127">
        <v>4.7489999999999997</v>
      </c>
      <c r="E127">
        <v>25</v>
      </c>
      <c r="F127">
        <v>7.24</v>
      </c>
      <c r="G127">
        <v>1.9390000000000001</v>
      </c>
      <c r="H127">
        <v>10.81</v>
      </c>
      <c r="I127">
        <v>36.43</v>
      </c>
      <c r="J127">
        <v>23.85</v>
      </c>
      <c r="K127">
        <v>8.84</v>
      </c>
      <c r="L127">
        <v>1.99</v>
      </c>
      <c r="M127">
        <v>1.7070000000000001</v>
      </c>
      <c r="N127">
        <v>0.44</v>
      </c>
      <c r="O127">
        <v>3.69</v>
      </c>
      <c r="P127">
        <v>1.7789999999999999</v>
      </c>
    </row>
    <row r="128" spans="1:16" x14ac:dyDescent="0.25">
      <c r="A128" s="1">
        <v>41374</v>
      </c>
      <c r="B128">
        <v>9.59</v>
      </c>
      <c r="C128">
        <v>150.41</v>
      </c>
      <c r="D128">
        <v>4.7679999999999998</v>
      </c>
      <c r="E128">
        <v>25</v>
      </c>
      <c r="F128">
        <v>7.19</v>
      </c>
      <c r="G128">
        <v>1.9239999999999999</v>
      </c>
      <c r="H128">
        <v>11.04</v>
      </c>
      <c r="I128">
        <v>36.06</v>
      </c>
      <c r="J128">
        <v>23.6</v>
      </c>
      <c r="K128">
        <v>8.8699999999999992</v>
      </c>
      <c r="L128">
        <v>1.99</v>
      </c>
      <c r="M128">
        <v>1.6659999999999999</v>
      </c>
      <c r="N128">
        <v>0.44</v>
      </c>
      <c r="O128">
        <v>3.71</v>
      </c>
      <c r="P128">
        <v>1.7709999999999999</v>
      </c>
    </row>
    <row r="129" spans="1:16" x14ac:dyDescent="0.25">
      <c r="A129" s="1">
        <v>41375</v>
      </c>
      <c r="B129">
        <v>9.59</v>
      </c>
      <c r="C129">
        <v>150.22999999999999</v>
      </c>
      <c r="D129">
        <v>4.7949999999999999</v>
      </c>
      <c r="E129">
        <v>24.25</v>
      </c>
      <c r="F129">
        <v>7.23</v>
      </c>
      <c r="G129">
        <v>1.9319999999999999</v>
      </c>
      <c r="H129">
        <v>11.04</v>
      </c>
      <c r="I129">
        <v>36.79</v>
      </c>
      <c r="J129">
        <v>23.61</v>
      </c>
      <c r="K129">
        <v>8.98</v>
      </c>
      <c r="L129">
        <v>2.0099999999999998</v>
      </c>
      <c r="M129">
        <v>1.6579999999999999</v>
      </c>
      <c r="N129">
        <v>0.44</v>
      </c>
      <c r="O129">
        <v>3.72</v>
      </c>
      <c r="P129">
        <v>1.7549999999999999</v>
      </c>
    </row>
    <row r="130" spans="1:16" x14ac:dyDescent="0.25">
      <c r="A130" s="1">
        <v>41376</v>
      </c>
      <c r="B130">
        <v>9.58</v>
      </c>
      <c r="C130">
        <v>148.35</v>
      </c>
      <c r="D130">
        <v>4.8140000000000001</v>
      </c>
      <c r="E130">
        <v>23.56</v>
      </c>
      <c r="F130">
        <v>7.24</v>
      </c>
      <c r="G130">
        <v>1.9239999999999999</v>
      </c>
      <c r="H130">
        <v>11.14</v>
      </c>
      <c r="I130">
        <v>36.79</v>
      </c>
      <c r="J130">
        <v>23.9</v>
      </c>
      <c r="K130">
        <v>8.9600000000000009</v>
      </c>
      <c r="L130">
        <v>2.0099999999999998</v>
      </c>
      <c r="M130">
        <v>1.6259999999999999</v>
      </c>
      <c r="N130">
        <v>0.44</v>
      </c>
      <c r="O130">
        <v>3.73</v>
      </c>
      <c r="P130">
        <v>1.73</v>
      </c>
    </row>
    <row r="131" spans="1:16" x14ac:dyDescent="0.25">
      <c r="A131" s="1">
        <v>41379</v>
      </c>
      <c r="B131">
        <v>9.58</v>
      </c>
      <c r="C131">
        <v>147.72</v>
      </c>
      <c r="D131">
        <v>4.7549999999999999</v>
      </c>
      <c r="E131">
        <v>21.8</v>
      </c>
      <c r="F131">
        <v>7.16</v>
      </c>
      <c r="G131">
        <v>1.8720000000000001</v>
      </c>
      <c r="H131">
        <v>11.14</v>
      </c>
      <c r="I131">
        <v>36.06</v>
      </c>
      <c r="J131">
        <v>23.6</v>
      </c>
      <c r="K131">
        <v>8.92</v>
      </c>
      <c r="L131">
        <v>1.99</v>
      </c>
      <c r="M131">
        <v>1.512</v>
      </c>
      <c r="N131">
        <v>0.43</v>
      </c>
      <c r="O131">
        <v>3.64</v>
      </c>
      <c r="P131">
        <v>1.617</v>
      </c>
    </row>
    <row r="132" spans="1:16" x14ac:dyDescent="0.25">
      <c r="A132" s="1">
        <v>41380</v>
      </c>
      <c r="B132">
        <v>9.66</v>
      </c>
      <c r="C132">
        <v>146.96</v>
      </c>
      <c r="D132">
        <v>4.8010000000000002</v>
      </c>
      <c r="E132">
        <v>21.2</v>
      </c>
      <c r="F132">
        <v>7.21</v>
      </c>
      <c r="G132">
        <v>1.917</v>
      </c>
      <c r="H132">
        <v>11.24</v>
      </c>
      <c r="I132">
        <v>36.24</v>
      </c>
      <c r="J132">
        <v>23.6</v>
      </c>
      <c r="K132">
        <v>8.92</v>
      </c>
      <c r="L132">
        <v>1.98</v>
      </c>
      <c r="M132">
        <v>1.544</v>
      </c>
      <c r="N132">
        <v>0.42</v>
      </c>
      <c r="O132">
        <v>3.65</v>
      </c>
      <c r="P132">
        <v>1.649</v>
      </c>
    </row>
    <row r="133" spans="1:16" x14ac:dyDescent="0.25">
      <c r="A133" s="1">
        <v>41381</v>
      </c>
      <c r="B133">
        <v>9.6199999999999992</v>
      </c>
      <c r="C133">
        <v>142.1</v>
      </c>
      <c r="D133">
        <v>4.7869999999999999</v>
      </c>
      <c r="E133">
        <v>20.3</v>
      </c>
      <c r="F133">
        <v>7.15</v>
      </c>
      <c r="G133">
        <v>1.895</v>
      </c>
      <c r="H133">
        <v>11.04</v>
      </c>
      <c r="I133">
        <v>35.97</v>
      </c>
      <c r="J133">
        <v>23.5</v>
      </c>
      <c r="K133">
        <v>9.06</v>
      </c>
      <c r="L133">
        <v>1.93</v>
      </c>
      <c r="M133">
        <v>1.52</v>
      </c>
      <c r="N133">
        <v>0.4</v>
      </c>
      <c r="O133">
        <v>3.61</v>
      </c>
      <c r="P133">
        <v>1.617</v>
      </c>
    </row>
    <row r="134" spans="1:16" x14ac:dyDescent="0.25">
      <c r="A134" s="1">
        <v>41382</v>
      </c>
      <c r="B134">
        <v>9.5399999999999991</v>
      </c>
      <c r="C134">
        <v>139.59</v>
      </c>
      <c r="D134">
        <v>4.7320000000000002</v>
      </c>
      <c r="E134">
        <v>20.5</v>
      </c>
      <c r="F134">
        <v>7.19</v>
      </c>
      <c r="G134">
        <v>1.857</v>
      </c>
      <c r="H134">
        <v>10.95</v>
      </c>
      <c r="I134">
        <v>35.15</v>
      </c>
      <c r="J134">
        <v>23.5</v>
      </c>
      <c r="K134">
        <v>9.07</v>
      </c>
      <c r="L134">
        <v>1.88</v>
      </c>
      <c r="M134">
        <v>1.488</v>
      </c>
      <c r="N134">
        <v>0.4</v>
      </c>
      <c r="O134">
        <v>3.59</v>
      </c>
      <c r="P134">
        <v>1.633</v>
      </c>
    </row>
    <row r="135" spans="1:16" x14ac:dyDescent="0.25">
      <c r="A135" s="1">
        <v>41383</v>
      </c>
      <c r="B135">
        <v>9.49</v>
      </c>
      <c r="C135">
        <v>139.44999999999999</v>
      </c>
      <c r="D135">
        <v>4.7389999999999999</v>
      </c>
      <c r="E135">
        <v>20.8</v>
      </c>
      <c r="F135">
        <v>7.24</v>
      </c>
      <c r="G135">
        <v>1.849</v>
      </c>
      <c r="H135">
        <v>11.03</v>
      </c>
      <c r="I135">
        <v>35.06</v>
      </c>
      <c r="J135">
        <v>23.6</v>
      </c>
      <c r="K135">
        <v>9.06</v>
      </c>
      <c r="L135">
        <v>1.82</v>
      </c>
      <c r="M135">
        <v>1.488</v>
      </c>
      <c r="N135">
        <v>0.41</v>
      </c>
      <c r="O135">
        <v>3.59</v>
      </c>
      <c r="P135">
        <v>1.601</v>
      </c>
    </row>
    <row r="136" spans="1:16" x14ac:dyDescent="0.25">
      <c r="A136" s="1">
        <v>41386</v>
      </c>
      <c r="B136">
        <v>9.56</v>
      </c>
      <c r="C136">
        <v>141</v>
      </c>
      <c r="D136">
        <v>4.7320000000000002</v>
      </c>
      <c r="E136">
        <v>21.12</v>
      </c>
      <c r="F136">
        <v>7.17</v>
      </c>
      <c r="G136">
        <v>1.849</v>
      </c>
      <c r="H136">
        <v>10.95</v>
      </c>
      <c r="I136">
        <v>34.880000000000003</v>
      </c>
      <c r="J136">
        <v>23.6</v>
      </c>
      <c r="K136">
        <v>9.06</v>
      </c>
      <c r="L136">
        <v>1.8</v>
      </c>
      <c r="M136">
        <v>1.488</v>
      </c>
      <c r="N136">
        <v>0.4</v>
      </c>
      <c r="O136">
        <v>3.59</v>
      </c>
      <c r="P136">
        <v>1.569</v>
      </c>
    </row>
    <row r="137" spans="1:16" x14ac:dyDescent="0.25">
      <c r="A137" s="1">
        <v>41387</v>
      </c>
      <c r="B137">
        <v>9.7100000000000009</v>
      </c>
      <c r="C137">
        <v>140.22</v>
      </c>
      <c r="D137">
        <v>4.7320000000000002</v>
      </c>
      <c r="E137">
        <v>20.52</v>
      </c>
      <c r="F137">
        <v>7.15</v>
      </c>
      <c r="G137">
        <v>1.857</v>
      </c>
      <c r="H137">
        <v>10.93</v>
      </c>
      <c r="I137">
        <v>34.880000000000003</v>
      </c>
      <c r="J137">
        <v>23.61</v>
      </c>
      <c r="K137">
        <v>9.11</v>
      </c>
      <c r="L137">
        <v>1.73</v>
      </c>
      <c r="M137">
        <v>1.488</v>
      </c>
      <c r="N137">
        <v>0.4</v>
      </c>
      <c r="O137">
        <v>3.69</v>
      </c>
      <c r="P137">
        <v>1.536</v>
      </c>
    </row>
    <row r="138" spans="1:16" x14ac:dyDescent="0.25">
      <c r="A138" s="1">
        <v>41388</v>
      </c>
      <c r="B138">
        <v>9.67</v>
      </c>
      <c r="C138">
        <v>141.85</v>
      </c>
      <c r="D138">
        <v>4.766</v>
      </c>
      <c r="E138">
        <v>21.06</v>
      </c>
      <c r="F138">
        <v>7.17</v>
      </c>
      <c r="G138">
        <v>1.8340000000000001</v>
      </c>
      <c r="H138">
        <v>11.05</v>
      </c>
      <c r="I138">
        <v>33.92</v>
      </c>
      <c r="J138">
        <v>24</v>
      </c>
      <c r="K138">
        <v>9.06</v>
      </c>
      <c r="L138">
        <v>1.74</v>
      </c>
      <c r="M138">
        <v>1.488</v>
      </c>
      <c r="N138">
        <v>0.38</v>
      </c>
      <c r="O138">
        <v>3.72</v>
      </c>
      <c r="P138">
        <v>1.464</v>
      </c>
    </row>
    <row r="139" spans="1:16" x14ac:dyDescent="0.25">
      <c r="A139" s="1">
        <v>41389</v>
      </c>
      <c r="B139">
        <v>10.050000000000001</v>
      </c>
      <c r="C139">
        <v>144.55000000000001</v>
      </c>
      <c r="D139">
        <v>4.76</v>
      </c>
      <c r="E139">
        <v>21.88</v>
      </c>
      <c r="F139">
        <v>7.19</v>
      </c>
      <c r="G139">
        <v>1.88</v>
      </c>
      <c r="H139">
        <v>11.44</v>
      </c>
      <c r="I139">
        <v>34.15</v>
      </c>
      <c r="J139">
        <v>24</v>
      </c>
      <c r="K139">
        <v>8.9700000000000006</v>
      </c>
      <c r="L139">
        <v>1.78</v>
      </c>
      <c r="M139">
        <v>1.488</v>
      </c>
      <c r="N139">
        <v>0.4</v>
      </c>
      <c r="O139">
        <v>3.84</v>
      </c>
      <c r="P139">
        <v>1.504</v>
      </c>
    </row>
    <row r="140" spans="1:16" x14ac:dyDescent="0.25">
      <c r="A140" s="1">
        <v>41390</v>
      </c>
      <c r="B140">
        <v>9.76</v>
      </c>
      <c r="C140">
        <v>144.26</v>
      </c>
      <c r="D140">
        <v>4.76</v>
      </c>
      <c r="E140">
        <v>20.6</v>
      </c>
      <c r="F140">
        <v>7.2</v>
      </c>
      <c r="G140">
        <v>1.819</v>
      </c>
      <c r="H140">
        <v>11.3</v>
      </c>
      <c r="I140">
        <v>33.479999999999997</v>
      </c>
      <c r="J140">
        <v>23.61</v>
      </c>
      <c r="K140">
        <v>9.06</v>
      </c>
      <c r="L140">
        <v>1.73</v>
      </c>
      <c r="M140">
        <v>1.4390000000000001</v>
      </c>
      <c r="N140">
        <v>0.4</v>
      </c>
      <c r="O140">
        <v>3.8</v>
      </c>
      <c r="P140">
        <v>1.4390000000000001</v>
      </c>
    </row>
    <row r="141" spans="1:16" x14ac:dyDescent="0.25">
      <c r="A141" s="1">
        <v>41393</v>
      </c>
      <c r="B141">
        <v>9.7899999999999991</v>
      </c>
      <c r="C141">
        <v>144.26</v>
      </c>
      <c r="D141">
        <v>4.76</v>
      </c>
      <c r="E141">
        <v>21.01</v>
      </c>
      <c r="F141">
        <v>7.24</v>
      </c>
      <c r="G141">
        <v>1.8340000000000001</v>
      </c>
      <c r="H141">
        <v>11.26</v>
      </c>
      <c r="I141">
        <v>33.51</v>
      </c>
      <c r="J141">
        <v>24</v>
      </c>
      <c r="K141">
        <v>9.06</v>
      </c>
      <c r="L141">
        <v>1.74</v>
      </c>
      <c r="M141">
        <v>1.4630000000000001</v>
      </c>
      <c r="N141">
        <v>0.39</v>
      </c>
      <c r="O141">
        <v>3.85</v>
      </c>
      <c r="P141">
        <v>1.4390000000000001</v>
      </c>
    </row>
    <row r="142" spans="1:16" x14ac:dyDescent="0.25">
      <c r="A142" s="1">
        <v>41394</v>
      </c>
      <c r="B142">
        <v>9.76</v>
      </c>
      <c r="C142">
        <v>143.78</v>
      </c>
      <c r="D142">
        <v>4.6630000000000003</v>
      </c>
      <c r="E142">
        <v>19.8</v>
      </c>
      <c r="F142">
        <v>7.29</v>
      </c>
      <c r="G142">
        <v>1.75</v>
      </c>
      <c r="H142">
        <v>11.25</v>
      </c>
      <c r="I142">
        <v>33.51</v>
      </c>
      <c r="J142">
        <v>24</v>
      </c>
      <c r="K142">
        <v>8.92</v>
      </c>
      <c r="L142">
        <v>1.59</v>
      </c>
      <c r="M142">
        <v>1.3819999999999999</v>
      </c>
      <c r="N142">
        <v>0.38</v>
      </c>
      <c r="O142">
        <v>3.86</v>
      </c>
      <c r="P142">
        <v>1.375</v>
      </c>
    </row>
    <row r="143" spans="1:16" x14ac:dyDescent="0.25">
      <c r="A143" s="1">
        <v>41396</v>
      </c>
      <c r="B143">
        <v>9.9600000000000009</v>
      </c>
      <c r="C143">
        <v>143.01</v>
      </c>
      <c r="D143">
        <v>4.718</v>
      </c>
      <c r="E143">
        <v>20.2</v>
      </c>
      <c r="F143">
        <v>7.33</v>
      </c>
      <c r="G143">
        <v>1.8029999999999999</v>
      </c>
      <c r="H143">
        <v>11.59</v>
      </c>
      <c r="I143">
        <v>33.31</v>
      </c>
      <c r="J143">
        <v>22</v>
      </c>
      <c r="K143">
        <v>8.8699999999999992</v>
      </c>
      <c r="L143">
        <v>1.61</v>
      </c>
      <c r="M143">
        <v>1.4139999999999999</v>
      </c>
      <c r="N143">
        <v>0.36</v>
      </c>
      <c r="O143">
        <v>3.87</v>
      </c>
      <c r="P143">
        <v>1.367</v>
      </c>
    </row>
    <row r="144" spans="1:16" x14ac:dyDescent="0.25">
      <c r="A144" s="1">
        <v>41397</v>
      </c>
      <c r="B144">
        <v>10.15</v>
      </c>
      <c r="C144">
        <v>143.01</v>
      </c>
      <c r="D144">
        <v>4.78</v>
      </c>
      <c r="E144">
        <v>20.07</v>
      </c>
      <c r="F144">
        <v>7.41</v>
      </c>
      <c r="G144">
        <v>1.8260000000000001</v>
      </c>
      <c r="H144">
        <v>11.98</v>
      </c>
      <c r="I144">
        <v>33.64</v>
      </c>
      <c r="J144">
        <v>22.75</v>
      </c>
      <c r="K144">
        <v>8.9700000000000006</v>
      </c>
      <c r="L144">
        <v>1.66</v>
      </c>
      <c r="M144">
        <v>1.4630000000000001</v>
      </c>
      <c r="N144">
        <v>0.36</v>
      </c>
      <c r="O144">
        <v>3.88</v>
      </c>
      <c r="P144">
        <v>1.3420000000000001</v>
      </c>
    </row>
    <row r="145" spans="1:16" x14ac:dyDescent="0.25">
      <c r="A145" s="1">
        <v>41400</v>
      </c>
      <c r="B145">
        <v>10.25</v>
      </c>
      <c r="C145">
        <v>143.1</v>
      </c>
      <c r="D145">
        <v>4.8209999999999997</v>
      </c>
      <c r="E145">
        <v>19.75</v>
      </c>
      <c r="F145">
        <v>7.57</v>
      </c>
      <c r="G145">
        <v>1.819</v>
      </c>
      <c r="H145">
        <v>12.04</v>
      </c>
      <c r="I145">
        <v>33.64</v>
      </c>
      <c r="J145">
        <v>22.5</v>
      </c>
      <c r="K145">
        <v>9.11</v>
      </c>
      <c r="L145">
        <v>1.71</v>
      </c>
      <c r="M145">
        <v>1.4630000000000001</v>
      </c>
      <c r="N145">
        <v>0.38</v>
      </c>
      <c r="O145">
        <v>3.92</v>
      </c>
      <c r="P145">
        <v>1.3180000000000001</v>
      </c>
    </row>
    <row r="146" spans="1:16" x14ac:dyDescent="0.25">
      <c r="A146" s="1">
        <v>41401</v>
      </c>
      <c r="B146">
        <v>10.14</v>
      </c>
      <c r="C146">
        <v>149.6</v>
      </c>
      <c r="D146">
        <v>4.835</v>
      </c>
      <c r="E146">
        <v>19.12</v>
      </c>
      <c r="F146">
        <v>7.5</v>
      </c>
      <c r="G146">
        <v>1.78</v>
      </c>
      <c r="H146">
        <v>12.38</v>
      </c>
      <c r="I146">
        <v>34.729999999999997</v>
      </c>
      <c r="J146">
        <v>22.5</v>
      </c>
      <c r="K146">
        <v>9.23</v>
      </c>
      <c r="L146">
        <v>1.66</v>
      </c>
      <c r="M146">
        <v>1.4630000000000001</v>
      </c>
      <c r="N146">
        <v>0.35</v>
      </c>
      <c r="O146">
        <v>3.97</v>
      </c>
      <c r="P146">
        <v>1.2130000000000001</v>
      </c>
    </row>
    <row r="147" spans="1:16" x14ac:dyDescent="0.25">
      <c r="A147" s="1">
        <v>41402</v>
      </c>
      <c r="B147">
        <v>10.15</v>
      </c>
      <c r="C147">
        <v>147.91</v>
      </c>
      <c r="D147">
        <v>4.883</v>
      </c>
      <c r="E147">
        <v>19.510000000000002</v>
      </c>
      <c r="F147">
        <v>7.53</v>
      </c>
      <c r="G147">
        <v>1.8029999999999999</v>
      </c>
      <c r="H147">
        <v>12.56</v>
      </c>
      <c r="I147">
        <v>34.729999999999997</v>
      </c>
      <c r="J147">
        <v>23</v>
      </c>
      <c r="K147">
        <v>9.23</v>
      </c>
      <c r="L147">
        <v>1.71</v>
      </c>
      <c r="M147">
        <v>1.4550000000000001</v>
      </c>
      <c r="N147">
        <v>0.35</v>
      </c>
      <c r="O147">
        <v>4.05</v>
      </c>
      <c r="P147">
        <v>1.1890000000000001</v>
      </c>
    </row>
    <row r="148" spans="1:16" x14ac:dyDescent="0.25">
      <c r="A148" s="1">
        <v>41403</v>
      </c>
      <c r="B148">
        <v>10.15</v>
      </c>
      <c r="C148">
        <v>144.31</v>
      </c>
      <c r="D148">
        <v>4.9240000000000004</v>
      </c>
      <c r="E148">
        <v>19.739999999999998</v>
      </c>
      <c r="F148">
        <v>7.58</v>
      </c>
      <c r="G148">
        <v>1.8029999999999999</v>
      </c>
      <c r="H148">
        <v>12.5</v>
      </c>
      <c r="I148">
        <v>35.21</v>
      </c>
      <c r="J148">
        <v>23</v>
      </c>
      <c r="K148">
        <v>9.23</v>
      </c>
      <c r="L148">
        <v>1.71</v>
      </c>
      <c r="M148">
        <v>1.4550000000000001</v>
      </c>
      <c r="N148">
        <v>0.37</v>
      </c>
      <c r="O148">
        <v>4.0599999999999996</v>
      </c>
      <c r="P148">
        <v>1.2689999999999999</v>
      </c>
    </row>
    <row r="149" spans="1:16" x14ac:dyDescent="0.25">
      <c r="A149" s="1">
        <v>41404</v>
      </c>
      <c r="B149">
        <v>10.14</v>
      </c>
      <c r="C149">
        <v>144.35</v>
      </c>
      <c r="D149">
        <v>4.8559999999999999</v>
      </c>
      <c r="E149">
        <v>19.649999999999999</v>
      </c>
      <c r="F149">
        <v>7.59</v>
      </c>
      <c r="G149">
        <v>1.788</v>
      </c>
      <c r="H149">
        <v>12.43</v>
      </c>
      <c r="I149">
        <v>35.979999999999997</v>
      </c>
      <c r="J149">
        <v>23</v>
      </c>
      <c r="K149">
        <v>9.16</v>
      </c>
      <c r="L149">
        <v>1.7</v>
      </c>
      <c r="M149">
        <v>1.4550000000000001</v>
      </c>
      <c r="N149">
        <v>0.37</v>
      </c>
      <c r="O149">
        <v>4.05</v>
      </c>
      <c r="P149">
        <v>1.3340000000000001</v>
      </c>
    </row>
    <row r="150" spans="1:16" x14ac:dyDescent="0.25">
      <c r="A150" s="1">
        <v>41407</v>
      </c>
      <c r="B150">
        <v>10.25</v>
      </c>
      <c r="C150">
        <v>144.26</v>
      </c>
      <c r="D150">
        <v>4.9379999999999997</v>
      </c>
      <c r="E150">
        <v>19.649999999999999</v>
      </c>
      <c r="F150">
        <v>7.59</v>
      </c>
      <c r="G150">
        <v>1.8029999999999999</v>
      </c>
      <c r="H150">
        <v>12.38</v>
      </c>
      <c r="I150">
        <v>35.99</v>
      </c>
      <c r="J150">
        <v>23</v>
      </c>
      <c r="K150">
        <v>9.25</v>
      </c>
      <c r="L150">
        <v>1.74</v>
      </c>
      <c r="M150">
        <v>1.4550000000000001</v>
      </c>
      <c r="N150">
        <v>0.38</v>
      </c>
      <c r="O150">
        <v>4.1399999999999997</v>
      </c>
      <c r="P150">
        <v>1.35</v>
      </c>
    </row>
    <row r="151" spans="1:16" x14ac:dyDescent="0.25">
      <c r="A151" s="1">
        <v>41408</v>
      </c>
      <c r="B151">
        <v>10.050000000000001</v>
      </c>
      <c r="C151">
        <v>143.19999999999999</v>
      </c>
      <c r="D151">
        <v>4.8559999999999999</v>
      </c>
      <c r="E151">
        <v>19.5</v>
      </c>
      <c r="F151">
        <v>7.38</v>
      </c>
      <c r="G151">
        <v>1.742</v>
      </c>
      <c r="H151">
        <v>12.38</v>
      </c>
      <c r="I151">
        <v>36.299999999999997</v>
      </c>
      <c r="J151">
        <v>23</v>
      </c>
      <c r="K151">
        <v>9.15</v>
      </c>
      <c r="L151">
        <v>1.62</v>
      </c>
      <c r="M151">
        <v>1.4059999999999999</v>
      </c>
      <c r="N151">
        <v>0.37</v>
      </c>
      <c r="O151">
        <v>4.09</v>
      </c>
      <c r="P151">
        <v>1.2450000000000001</v>
      </c>
    </row>
    <row r="152" spans="1:16" x14ac:dyDescent="0.25">
      <c r="A152" s="1">
        <v>41409</v>
      </c>
      <c r="B152">
        <v>9.56</v>
      </c>
      <c r="C152">
        <v>141.9</v>
      </c>
      <c r="D152">
        <v>4.6630000000000003</v>
      </c>
      <c r="E152">
        <v>18.100000000000001</v>
      </c>
      <c r="F152">
        <v>7.38</v>
      </c>
      <c r="G152">
        <v>1.681</v>
      </c>
      <c r="H152">
        <v>11.85</v>
      </c>
      <c r="I152">
        <v>35.43</v>
      </c>
      <c r="J152">
        <v>23.2</v>
      </c>
      <c r="K152">
        <v>9.15</v>
      </c>
      <c r="L152">
        <v>1.57</v>
      </c>
      <c r="M152">
        <v>1.3009999999999999</v>
      </c>
      <c r="N152">
        <v>0.38</v>
      </c>
      <c r="O152">
        <v>4.08</v>
      </c>
      <c r="P152">
        <v>1.2370000000000001</v>
      </c>
    </row>
    <row r="153" spans="1:16" x14ac:dyDescent="0.25">
      <c r="A153" s="1">
        <v>41410</v>
      </c>
      <c r="B153">
        <v>9.27</v>
      </c>
      <c r="C153">
        <v>139.84</v>
      </c>
      <c r="D153">
        <v>4.492</v>
      </c>
      <c r="E153">
        <v>17.95</v>
      </c>
      <c r="F153">
        <v>7.09</v>
      </c>
      <c r="G153">
        <v>1.6120000000000001</v>
      </c>
      <c r="H153">
        <v>11.18</v>
      </c>
      <c r="I153">
        <v>32.75</v>
      </c>
      <c r="J153">
        <v>23</v>
      </c>
      <c r="K153">
        <v>9.08</v>
      </c>
      <c r="L153">
        <v>1.42</v>
      </c>
      <c r="M153">
        <v>1.252</v>
      </c>
      <c r="N153">
        <v>0.36</v>
      </c>
      <c r="O153">
        <v>3.82</v>
      </c>
      <c r="P153">
        <v>1.1319999999999999</v>
      </c>
    </row>
    <row r="154" spans="1:16" x14ac:dyDescent="0.25">
      <c r="A154" s="1">
        <v>41411</v>
      </c>
      <c r="B154">
        <v>9.31</v>
      </c>
      <c r="C154">
        <v>142.07</v>
      </c>
      <c r="D154">
        <v>4.5259999999999998</v>
      </c>
      <c r="E154">
        <v>17.7</v>
      </c>
      <c r="F154">
        <v>7.02</v>
      </c>
      <c r="G154">
        <v>1.643</v>
      </c>
      <c r="H154">
        <v>11.3</v>
      </c>
      <c r="I154">
        <v>33.5</v>
      </c>
      <c r="J154">
        <v>22.8</v>
      </c>
      <c r="K154">
        <v>9.17</v>
      </c>
      <c r="L154">
        <v>1.46</v>
      </c>
      <c r="M154">
        <v>1.2190000000000001</v>
      </c>
      <c r="N154">
        <v>0.36</v>
      </c>
      <c r="O154">
        <v>3.93</v>
      </c>
      <c r="P154">
        <v>1.1719999999999999</v>
      </c>
    </row>
    <row r="155" spans="1:16" x14ac:dyDescent="0.25">
      <c r="A155" s="1">
        <v>41414</v>
      </c>
      <c r="B155">
        <v>9.48</v>
      </c>
      <c r="C155">
        <v>142.05000000000001</v>
      </c>
      <c r="D155">
        <v>4.5670000000000002</v>
      </c>
      <c r="E155">
        <v>18.55</v>
      </c>
      <c r="F155">
        <v>7.14</v>
      </c>
      <c r="G155">
        <v>1.6579999999999999</v>
      </c>
      <c r="H155">
        <v>11.36</v>
      </c>
      <c r="I155">
        <v>33.5</v>
      </c>
      <c r="J155">
        <v>22.8</v>
      </c>
      <c r="K155">
        <v>9.17</v>
      </c>
      <c r="L155">
        <v>1.48</v>
      </c>
      <c r="M155">
        <v>1.2190000000000001</v>
      </c>
      <c r="N155">
        <v>0.36</v>
      </c>
      <c r="O155">
        <v>3.93</v>
      </c>
      <c r="P155">
        <v>1.1719999999999999</v>
      </c>
    </row>
    <row r="156" spans="1:16" x14ac:dyDescent="0.25">
      <c r="A156" s="1">
        <v>41415</v>
      </c>
      <c r="B156">
        <v>9.76</v>
      </c>
      <c r="C156">
        <v>140.44</v>
      </c>
      <c r="D156">
        <v>4.7320000000000002</v>
      </c>
      <c r="E156">
        <v>17.850000000000001</v>
      </c>
      <c r="F156">
        <v>7.14</v>
      </c>
      <c r="G156">
        <v>1.6579999999999999</v>
      </c>
      <c r="H156">
        <v>11.4</v>
      </c>
      <c r="I156">
        <v>33.69</v>
      </c>
      <c r="J156">
        <v>22.8</v>
      </c>
      <c r="K156">
        <v>9.17</v>
      </c>
      <c r="L156">
        <v>1.49</v>
      </c>
      <c r="M156">
        <v>1.2190000000000001</v>
      </c>
      <c r="N156">
        <v>0.38</v>
      </c>
      <c r="O156">
        <v>3.95</v>
      </c>
      <c r="P156">
        <v>1.2130000000000001</v>
      </c>
    </row>
    <row r="157" spans="1:16" x14ac:dyDescent="0.25">
      <c r="A157" s="1">
        <v>41416</v>
      </c>
      <c r="B157">
        <v>9.76</v>
      </c>
      <c r="C157">
        <v>141.37</v>
      </c>
      <c r="D157">
        <v>4.78</v>
      </c>
      <c r="E157">
        <v>18.2</v>
      </c>
      <c r="F157">
        <v>7.33</v>
      </c>
      <c r="G157">
        <v>1.704</v>
      </c>
      <c r="H157">
        <v>11.63</v>
      </c>
      <c r="I157">
        <v>33.69</v>
      </c>
      <c r="J157">
        <v>22.4</v>
      </c>
      <c r="K157">
        <v>9.17</v>
      </c>
      <c r="L157">
        <v>1.5</v>
      </c>
      <c r="M157">
        <v>1.2190000000000001</v>
      </c>
      <c r="N157">
        <v>0.36</v>
      </c>
      <c r="O157">
        <v>3.9</v>
      </c>
      <c r="P157">
        <v>1.2210000000000001</v>
      </c>
    </row>
    <row r="158" spans="1:16" x14ac:dyDescent="0.25">
      <c r="A158" s="1">
        <v>41417</v>
      </c>
      <c r="B158">
        <v>9.68</v>
      </c>
      <c r="C158">
        <v>141.37</v>
      </c>
      <c r="D158">
        <v>4.6980000000000004</v>
      </c>
      <c r="E158">
        <v>18.899999999999999</v>
      </c>
      <c r="F158">
        <v>7.33</v>
      </c>
      <c r="G158">
        <v>1.696</v>
      </c>
      <c r="H158">
        <v>11.63</v>
      </c>
      <c r="I158">
        <v>33.69</v>
      </c>
      <c r="J158">
        <v>22.5</v>
      </c>
      <c r="K158">
        <v>9.17</v>
      </c>
      <c r="L158">
        <v>1.46</v>
      </c>
      <c r="M158">
        <v>1.2190000000000001</v>
      </c>
      <c r="N158">
        <v>0.36</v>
      </c>
      <c r="O158">
        <v>3.89</v>
      </c>
      <c r="P158">
        <v>1.1970000000000001</v>
      </c>
    </row>
    <row r="159" spans="1:16" x14ac:dyDescent="0.25">
      <c r="A159" s="1">
        <v>41418</v>
      </c>
      <c r="B159">
        <v>9.76</v>
      </c>
      <c r="C159">
        <v>139.21</v>
      </c>
      <c r="D159">
        <v>4.6360000000000001</v>
      </c>
      <c r="E159">
        <v>18.899999999999999</v>
      </c>
      <c r="F159">
        <v>7.15</v>
      </c>
      <c r="G159">
        <v>1.681</v>
      </c>
      <c r="H159">
        <v>11.35</v>
      </c>
      <c r="I159">
        <v>34.26</v>
      </c>
      <c r="J159">
        <v>22.5</v>
      </c>
      <c r="K159">
        <v>9.17</v>
      </c>
      <c r="L159">
        <v>1.37</v>
      </c>
      <c r="M159">
        <v>1.179</v>
      </c>
      <c r="N159">
        <v>0.36</v>
      </c>
      <c r="O159">
        <v>3.86</v>
      </c>
      <c r="P159">
        <v>1.1559999999999999</v>
      </c>
    </row>
    <row r="160" spans="1:16" x14ac:dyDescent="0.25">
      <c r="A160" s="1">
        <v>41421</v>
      </c>
      <c r="B160">
        <v>9.7100000000000009</v>
      </c>
      <c r="C160">
        <v>139.21</v>
      </c>
      <c r="D160">
        <v>4.6219999999999999</v>
      </c>
      <c r="E160">
        <v>18.899999999999999</v>
      </c>
      <c r="F160">
        <v>7.14</v>
      </c>
      <c r="G160">
        <v>1.6579999999999999</v>
      </c>
      <c r="H160">
        <v>11.34</v>
      </c>
      <c r="I160">
        <v>34.26</v>
      </c>
      <c r="J160">
        <v>22.5</v>
      </c>
      <c r="K160">
        <v>9.17</v>
      </c>
      <c r="L160">
        <v>1.39</v>
      </c>
      <c r="M160">
        <v>1.179</v>
      </c>
      <c r="N160">
        <v>0.36</v>
      </c>
      <c r="O160">
        <v>3.82</v>
      </c>
      <c r="P160">
        <v>1.139</v>
      </c>
    </row>
    <row r="161" spans="1:16" x14ac:dyDescent="0.25">
      <c r="A161" s="1">
        <v>41422</v>
      </c>
      <c r="B161">
        <v>9.6999999999999993</v>
      </c>
      <c r="C161">
        <v>138.97</v>
      </c>
      <c r="D161">
        <v>4.5739999999999998</v>
      </c>
      <c r="E161">
        <v>18.190000000000001</v>
      </c>
      <c r="F161">
        <v>7.15</v>
      </c>
      <c r="G161">
        <v>1.65</v>
      </c>
      <c r="H161">
        <v>11.3</v>
      </c>
      <c r="I161">
        <v>34.159999999999997</v>
      </c>
      <c r="J161">
        <v>22.2</v>
      </c>
      <c r="K161">
        <v>9.18</v>
      </c>
      <c r="L161">
        <v>1.36</v>
      </c>
      <c r="M161">
        <v>1.1379999999999999</v>
      </c>
      <c r="N161">
        <v>0.35</v>
      </c>
      <c r="O161">
        <v>3.79</v>
      </c>
      <c r="P161">
        <v>1.139</v>
      </c>
    </row>
    <row r="162" spans="1:16" x14ac:dyDescent="0.25">
      <c r="A162" s="1">
        <v>41423</v>
      </c>
      <c r="B162">
        <v>9.6</v>
      </c>
      <c r="C162">
        <v>138.28</v>
      </c>
      <c r="D162">
        <v>4.4779999999999998</v>
      </c>
      <c r="E162">
        <v>18</v>
      </c>
      <c r="F162">
        <v>7.04</v>
      </c>
      <c r="G162">
        <v>1.62</v>
      </c>
      <c r="H162">
        <v>10.94</v>
      </c>
      <c r="I162">
        <v>34.159999999999997</v>
      </c>
      <c r="J162">
        <v>22</v>
      </c>
      <c r="K162">
        <v>9.11</v>
      </c>
      <c r="L162">
        <v>1.34</v>
      </c>
      <c r="M162">
        <v>1.097</v>
      </c>
      <c r="N162">
        <v>0.35</v>
      </c>
      <c r="O162">
        <v>3.73</v>
      </c>
      <c r="P162">
        <v>1.103</v>
      </c>
    </row>
    <row r="163" spans="1:16" x14ac:dyDescent="0.25">
      <c r="A163" s="1">
        <v>41424</v>
      </c>
      <c r="B163">
        <v>9.44</v>
      </c>
      <c r="C163">
        <v>140.22</v>
      </c>
      <c r="D163">
        <v>4.4779999999999998</v>
      </c>
      <c r="E163">
        <v>18.5</v>
      </c>
      <c r="F163">
        <v>7.01</v>
      </c>
      <c r="G163">
        <v>1.589</v>
      </c>
      <c r="H163">
        <v>10.8</v>
      </c>
      <c r="I163">
        <v>33.32</v>
      </c>
      <c r="J163">
        <v>21.5</v>
      </c>
      <c r="K163">
        <v>9.08</v>
      </c>
      <c r="L163">
        <v>1.29</v>
      </c>
      <c r="M163">
        <v>1.0569999999999999</v>
      </c>
      <c r="N163">
        <v>0.36</v>
      </c>
      <c r="O163">
        <v>3.68</v>
      </c>
      <c r="P163">
        <v>1.085</v>
      </c>
    </row>
    <row r="164" spans="1:16" x14ac:dyDescent="0.25">
      <c r="A164" s="1">
        <v>41425</v>
      </c>
      <c r="B164">
        <v>9.15</v>
      </c>
      <c r="C164">
        <v>135.79</v>
      </c>
      <c r="D164">
        <v>4.4779999999999998</v>
      </c>
      <c r="E164">
        <v>17.899999999999999</v>
      </c>
      <c r="F164">
        <v>6.84</v>
      </c>
      <c r="G164">
        <v>1.5509999999999999</v>
      </c>
      <c r="H164">
        <v>10.66</v>
      </c>
      <c r="I164">
        <v>31.71</v>
      </c>
      <c r="J164">
        <v>20.96</v>
      </c>
      <c r="K164">
        <v>9.08</v>
      </c>
      <c r="L164">
        <v>1.26</v>
      </c>
      <c r="M164">
        <v>1.0569999999999999</v>
      </c>
      <c r="N164">
        <v>0.36</v>
      </c>
      <c r="O164">
        <v>3.7</v>
      </c>
      <c r="P164">
        <v>1.085</v>
      </c>
    </row>
    <row r="165" spans="1:16" x14ac:dyDescent="0.25">
      <c r="A165" s="1">
        <v>41428</v>
      </c>
      <c r="B165">
        <v>9.02</v>
      </c>
      <c r="C165">
        <v>132.05000000000001</v>
      </c>
      <c r="D165">
        <v>4.4580000000000002</v>
      </c>
      <c r="E165">
        <v>18.5</v>
      </c>
      <c r="F165">
        <v>6.65</v>
      </c>
      <c r="G165">
        <v>1.5429999999999999</v>
      </c>
      <c r="H165">
        <v>10.61</v>
      </c>
      <c r="I165">
        <v>32.119999999999997</v>
      </c>
      <c r="J165">
        <v>21.2</v>
      </c>
      <c r="K165">
        <v>9.1199999999999992</v>
      </c>
      <c r="L165">
        <v>1.23</v>
      </c>
      <c r="M165">
        <v>1.04</v>
      </c>
      <c r="N165">
        <v>0.37</v>
      </c>
      <c r="O165">
        <v>3.7</v>
      </c>
      <c r="P165">
        <v>1.014</v>
      </c>
    </row>
    <row r="166" spans="1:16" x14ac:dyDescent="0.25">
      <c r="A166" s="1">
        <v>41429</v>
      </c>
      <c r="B166">
        <v>9.1300000000000008</v>
      </c>
      <c r="C166">
        <v>135.03</v>
      </c>
      <c r="D166">
        <v>4.492</v>
      </c>
      <c r="E166">
        <v>18.48</v>
      </c>
      <c r="F166">
        <v>6.81</v>
      </c>
      <c r="G166">
        <v>1.5509999999999999</v>
      </c>
      <c r="H166">
        <v>11.1</v>
      </c>
      <c r="I166">
        <v>32.130000000000003</v>
      </c>
      <c r="J166">
        <v>21</v>
      </c>
      <c r="K166">
        <v>9.31</v>
      </c>
      <c r="L166">
        <v>1.26</v>
      </c>
      <c r="M166">
        <v>1.0489999999999999</v>
      </c>
      <c r="N166">
        <v>0.37</v>
      </c>
      <c r="O166">
        <v>3.75</v>
      </c>
      <c r="P166">
        <v>1.014</v>
      </c>
    </row>
    <row r="167" spans="1:16" x14ac:dyDescent="0.25">
      <c r="A167" s="1">
        <v>41430</v>
      </c>
      <c r="B167">
        <v>9.48</v>
      </c>
      <c r="C167">
        <v>132.96</v>
      </c>
      <c r="D167">
        <v>4.423</v>
      </c>
      <c r="E167">
        <v>18.27</v>
      </c>
      <c r="F167">
        <v>6.94</v>
      </c>
      <c r="G167">
        <v>1.536</v>
      </c>
      <c r="H167">
        <v>11</v>
      </c>
      <c r="I167">
        <v>32.159999999999997</v>
      </c>
      <c r="J167">
        <v>21</v>
      </c>
      <c r="K167">
        <v>9.1199999999999992</v>
      </c>
      <c r="L167">
        <v>1.28</v>
      </c>
      <c r="M167">
        <v>1.0489999999999999</v>
      </c>
      <c r="N167">
        <v>0.36</v>
      </c>
      <c r="O167">
        <v>3.7</v>
      </c>
      <c r="P167">
        <v>1.0669999999999999</v>
      </c>
    </row>
    <row r="168" spans="1:16" x14ac:dyDescent="0.25">
      <c r="A168" s="1">
        <v>41431</v>
      </c>
      <c r="B168">
        <v>9.56</v>
      </c>
      <c r="C168">
        <v>130.22</v>
      </c>
      <c r="D168">
        <v>4.4580000000000002</v>
      </c>
      <c r="E168">
        <v>18.3</v>
      </c>
      <c r="F168">
        <v>6.94</v>
      </c>
      <c r="G168">
        <v>1.5129999999999999</v>
      </c>
      <c r="H168">
        <v>11</v>
      </c>
      <c r="I168">
        <v>32.159999999999997</v>
      </c>
      <c r="J168">
        <v>20.99</v>
      </c>
      <c r="K168">
        <v>9.14</v>
      </c>
      <c r="L168">
        <v>1.26</v>
      </c>
      <c r="M168">
        <v>1.0489999999999999</v>
      </c>
      <c r="N168">
        <v>0.36</v>
      </c>
      <c r="O168">
        <v>3.65</v>
      </c>
      <c r="P168">
        <v>1.0669999999999999</v>
      </c>
    </row>
    <row r="169" spans="1:16" x14ac:dyDescent="0.25">
      <c r="A169" s="1">
        <v>41432</v>
      </c>
      <c r="B169">
        <v>9.56</v>
      </c>
      <c r="C169">
        <v>130.79</v>
      </c>
      <c r="D169">
        <v>4.4580000000000002</v>
      </c>
      <c r="E169">
        <v>17.8</v>
      </c>
      <c r="F169">
        <v>6.94</v>
      </c>
      <c r="G169">
        <v>1.528</v>
      </c>
      <c r="H169">
        <v>11.15</v>
      </c>
      <c r="I169">
        <v>32.07</v>
      </c>
      <c r="J169">
        <v>20.99</v>
      </c>
      <c r="K169">
        <v>9.1999999999999993</v>
      </c>
      <c r="L169">
        <v>1.32</v>
      </c>
      <c r="M169">
        <v>1.1140000000000001</v>
      </c>
      <c r="N169">
        <v>0.37</v>
      </c>
      <c r="O169">
        <v>3.65</v>
      </c>
      <c r="P169">
        <v>1.1559999999999999</v>
      </c>
    </row>
    <row r="170" spans="1:16" x14ac:dyDescent="0.25">
      <c r="A170" s="1">
        <v>41435</v>
      </c>
      <c r="B170">
        <v>9.5500000000000007</v>
      </c>
      <c r="C170">
        <v>130.99</v>
      </c>
      <c r="D170">
        <v>4.4779999999999998</v>
      </c>
      <c r="E170">
        <v>17.7</v>
      </c>
      <c r="F170">
        <v>7.06</v>
      </c>
      <c r="G170">
        <v>1.5129999999999999</v>
      </c>
      <c r="H170">
        <v>11.32</v>
      </c>
      <c r="I170">
        <v>32.159999999999997</v>
      </c>
      <c r="J170">
        <v>20</v>
      </c>
      <c r="K170">
        <v>9.07</v>
      </c>
      <c r="L170">
        <v>1.36</v>
      </c>
      <c r="M170">
        <v>1.1140000000000001</v>
      </c>
      <c r="N170">
        <v>0.38</v>
      </c>
      <c r="O170">
        <v>3.67</v>
      </c>
      <c r="P170">
        <v>1.2270000000000001</v>
      </c>
    </row>
    <row r="171" spans="1:16" x14ac:dyDescent="0.25">
      <c r="A171" s="1">
        <v>41436</v>
      </c>
      <c r="B171">
        <v>9.31</v>
      </c>
      <c r="C171">
        <v>129.83000000000001</v>
      </c>
      <c r="D171">
        <v>4.3890000000000002</v>
      </c>
      <c r="E171">
        <v>17.399999999999999</v>
      </c>
      <c r="F171">
        <v>6.83</v>
      </c>
      <c r="G171">
        <v>1.498</v>
      </c>
      <c r="H171">
        <v>10.9</v>
      </c>
      <c r="I171">
        <v>31.88</v>
      </c>
      <c r="J171">
        <v>19.5</v>
      </c>
      <c r="K171">
        <v>8.92</v>
      </c>
      <c r="L171">
        <v>1.29</v>
      </c>
      <c r="M171">
        <v>1.0569999999999999</v>
      </c>
      <c r="N171">
        <v>0.37</v>
      </c>
      <c r="O171">
        <v>3.6</v>
      </c>
      <c r="P171">
        <v>1.139</v>
      </c>
    </row>
    <row r="172" spans="1:16" x14ac:dyDescent="0.25">
      <c r="A172" s="1">
        <v>41437</v>
      </c>
      <c r="B172">
        <v>8.9700000000000006</v>
      </c>
      <c r="C172">
        <v>126.23</v>
      </c>
      <c r="D172">
        <v>4.3959999999999999</v>
      </c>
      <c r="E172">
        <v>17.399999999999999</v>
      </c>
      <c r="F172">
        <v>6.85</v>
      </c>
      <c r="G172">
        <v>1.528</v>
      </c>
      <c r="H172">
        <v>10.87</v>
      </c>
      <c r="I172">
        <v>32.08</v>
      </c>
      <c r="J172">
        <v>19.5</v>
      </c>
      <c r="K172">
        <v>8.7799999999999994</v>
      </c>
      <c r="L172">
        <v>1.32</v>
      </c>
      <c r="M172">
        <v>1.0649999999999999</v>
      </c>
      <c r="N172">
        <v>0.38</v>
      </c>
      <c r="O172">
        <v>3.65</v>
      </c>
      <c r="P172">
        <v>1.165</v>
      </c>
    </row>
    <row r="173" spans="1:16" x14ac:dyDescent="0.25">
      <c r="A173" s="1">
        <v>41438</v>
      </c>
      <c r="B173">
        <v>9.4499999999999993</v>
      </c>
      <c r="C173">
        <v>123.63</v>
      </c>
      <c r="D173">
        <v>4.5259999999999998</v>
      </c>
      <c r="E173">
        <v>17.940000000000001</v>
      </c>
      <c r="F173">
        <v>7.13</v>
      </c>
      <c r="G173">
        <v>1.589</v>
      </c>
      <c r="H173">
        <v>11.49</v>
      </c>
      <c r="I173">
        <v>32.64</v>
      </c>
      <c r="J173">
        <v>19.5</v>
      </c>
      <c r="K173">
        <v>9.0500000000000007</v>
      </c>
      <c r="L173">
        <v>1.33</v>
      </c>
      <c r="M173">
        <v>1.0649999999999999</v>
      </c>
      <c r="N173">
        <v>0.43</v>
      </c>
      <c r="O173">
        <v>3.79</v>
      </c>
      <c r="P173">
        <v>1.2010000000000001</v>
      </c>
    </row>
    <row r="174" spans="1:16" x14ac:dyDescent="0.25">
      <c r="A174" s="1">
        <v>41439</v>
      </c>
      <c r="B174">
        <v>9.66</v>
      </c>
      <c r="C174">
        <v>124.06</v>
      </c>
      <c r="D174">
        <v>4.5259999999999998</v>
      </c>
      <c r="E174">
        <v>17.2</v>
      </c>
      <c r="F174">
        <v>7.19</v>
      </c>
      <c r="G174">
        <v>1.605</v>
      </c>
      <c r="H174">
        <v>11.54</v>
      </c>
      <c r="I174">
        <v>33.32</v>
      </c>
      <c r="J174">
        <v>19.5</v>
      </c>
      <c r="K174">
        <v>9.15</v>
      </c>
      <c r="L174">
        <v>1.35</v>
      </c>
      <c r="M174">
        <v>1.081</v>
      </c>
      <c r="N174">
        <v>0.46</v>
      </c>
      <c r="O174">
        <v>3.78</v>
      </c>
      <c r="P174">
        <v>1.21</v>
      </c>
    </row>
    <row r="175" spans="1:16" x14ac:dyDescent="0.25">
      <c r="A175" s="1">
        <v>41442</v>
      </c>
      <c r="B175">
        <v>9.76</v>
      </c>
      <c r="C175">
        <v>126.95</v>
      </c>
      <c r="D175">
        <v>4.5739999999999998</v>
      </c>
      <c r="E175">
        <v>17.309999999999999</v>
      </c>
      <c r="F175">
        <v>7.33</v>
      </c>
      <c r="G175">
        <v>1.627</v>
      </c>
      <c r="H175">
        <v>11.79</v>
      </c>
      <c r="I175">
        <v>33.78</v>
      </c>
      <c r="J175">
        <v>19.5</v>
      </c>
      <c r="K175">
        <v>9.24</v>
      </c>
      <c r="L175">
        <v>1.35</v>
      </c>
      <c r="M175">
        <v>1.081</v>
      </c>
      <c r="N175">
        <v>0.49</v>
      </c>
      <c r="O175">
        <v>3.85</v>
      </c>
      <c r="P175">
        <v>1.2270000000000001</v>
      </c>
    </row>
    <row r="176" spans="1:16" x14ac:dyDescent="0.25">
      <c r="A176" s="1">
        <v>41443</v>
      </c>
      <c r="B176">
        <v>9.8000000000000007</v>
      </c>
      <c r="C176">
        <v>126.95</v>
      </c>
      <c r="D176">
        <v>4.6289999999999996</v>
      </c>
      <c r="E176">
        <v>17.309999999999999</v>
      </c>
      <c r="F176">
        <v>7.42</v>
      </c>
      <c r="G176">
        <v>1.635</v>
      </c>
      <c r="H176">
        <v>11.97</v>
      </c>
      <c r="I176">
        <v>33.78</v>
      </c>
      <c r="J176">
        <v>19.45</v>
      </c>
      <c r="K176">
        <v>9.2899999999999991</v>
      </c>
      <c r="L176">
        <v>1.31</v>
      </c>
      <c r="M176">
        <v>1.081</v>
      </c>
      <c r="N176">
        <v>0.48</v>
      </c>
      <c r="O176">
        <v>3.9</v>
      </c>
      <c r="P176">
        <v>1.218</v>
      </c>
    </row>
    <row r="177" spans="1:16" x14ac:dyDescent="0.25">
      <c r="A177" s="1">
        <v>41444</v>
      </c>
      <c r="B177">
        <v>9.86</v>
      </c>
      <c r="C177">
        <v>126.95</v>
      </c>
      <c r="D177">
        <v>4.6289999999999996</v>
      </c>
      <c r="E177">
        <v>17.41</v>
      </c>
      <c r="F177">
        <v>7.42</v>
      </c>
      <c r="G177">
        <v>1.627</v>
      </c>
      <c r="H177">
        <v>11.99</v>
      </c>
      <c r="I177">
        <v>33.78</v>
      </c>
      <c r="J177">
        <v>19.45</v>
      </c>
      <c r="K177">
        <v>9.3800000000000008</v>
      </c>
      <c r="L177">
        <v>1.29</v>
      </c>
      <c r="M177">
        <v>1.073</v>
      </c>
      <c r="N177">
        <v>0.44</v>
      </c>
      <c r="O177">
        <v>3.9</v>
      </c>
      <c r="P177">
        <v>1.1919999999999999</v>
      </c>
    </row>
    <row r="178" spans="1:16" x14ac:dyDescent="0.25">
      <c r="A178" s="1">
        <v>41445</v>
      </c>
      <c r="B178">
        <v>9.56</v>
      </c>
      <c r="C178">
        <v>119.74</v>
      </c>
      <c r="D178">
        <v>4.5259999999999998</v>
      </c>
      <c r="E178">
        <v>16.8</v>
      </c>
      <c r="F178">
        <v>7.24</v>
      </c>
      <c r="G178">
        <v>1.605</v>
      </c>
      <c r="H178">
        <v>11.63</v>
      </c>
      <c r="I178">
        <v>32.83</v>
      </c>
      <c r="J178">
        <v>19.39</v>
      </c>
      <c r="K178">
        <v>9.24</v>
      </c>
      <c r="L178">
        <v>1.25</v>
      </c>
      <c r="M178">
        <v>1.032</v>
      </c>
      <c r="N178">
        <v>0.43</v>
      </c>
      <c r="O178">
        <v>3.75</v>
      </c>
      <c r="P178">
        <v>1.147</v>
      </c>
    </row>
    <row r="179" spans="1:16" x14ac:dyDescent="0.25">
      <c r="A179" s="1">
        <v>41446</v>
      </c>
      <c r="B179">
        <v>9.51</v>
      </c>
      <c r="C179">
        <v>120.22</v>
      </c>
      <c r="D179">
        <v>4.5259999999999998</v>
      </c>
      <c r="E179">
        <v>15.2</v>
      </c>
      <c r="F179">
        <v>6.89</v>
      </c>
      <c r="G179">
        <v>1.5820000000000001</v>
      </c>
      <c r="H179">
        <v>11.01</v>
      </c>
      <c r="I179">
        <v>32.729999999999997</v>
      </c>
      <c r="J179">
        <v>18</v>
      </c>
      <c r="K179">
        <v>9.19</v>
      </c>
      <c r="L179">
        <v>1.28</v>
      </c>
      <c r="M179">
        <v>1.0489999999999999</v>
      </c>
      <c r="N179">
        <v>0.44</v>
      </c>
      <c r="O179">
        <v>3.68</v>
      </c>
      <c r="P179">
        <v>1.139</v>
      </c>
    </row>
    <row r="180" spans="1:16" x14ac:dyDescent="0.25">
      <c r="A180" s="1">
        <v>41449</v>
      </c>
      <c r="B180">
        <v>9.36</v>
      </c>
      <c r="C180">
        <v>118</v>
      </c>
      <c r="D180">
        <v>4.5259999999999998</v>
      </c>
      <c r="E180">
        <v>15.01</v>
      </c>
      <c r="F180">
        <v>6.86</v>
      </c>
      <c r="G180">
        <v>1.528</v>
      </c>
      <c r="H180">
        <v>10.31</v>
      </c>
      <c r="I180">
        <v>32.729999999999997</v>
      </c>
      <c r="J180">
        <v>18</v>
      </c>
      <c r="K180">
        <v>9.15</v>
      </c>
      <c r="L180">
        <v>1.23</v>
      </c>
      <c r="M180">
        <v>1.0489999999999999</v>
      </c>
      <c r="N180">
        <v>0.41</v>
      </c>
      <c r="O180">
        <v>3.6</v>
      </c>
      <c r="P180">
        <v>1.1120000000000001</v>
      </c>
    </row>
    <row r="181" spans="1:16" x14ac:dyDescent="0.25">
      <c r="A181" s="1">
        <v>41450</v>
      </c>
      <c r="B181">
        <v>9.34</v>
      </c>
      <c r="C181">
        <v>120.17</v>
      </c>
      <c r="D181">
        <v>4.5190000000000001</v>
      </c>
      <c r="E181">
        <v>14.42</v>
      </c>
      <c r="F181">
        <v>6.88</v>
      </c>
      <c r="G181">
        <v>1.5429999999999999</v>
      </c>
      <c r="H181">
        <v>10.52</v>
      </c>
      <c r="I181">
        <v>32.15</v>
      </c>
      <c r="J181">
        <v>18.5</v>
      </c>
      <c r="K181">
        <v>9.15</v>
      </c>
      <c r="L181">
        <v>1.23</v>
      </c>
      <c r="M181">
        <v>1.0569999999999999</v>
      </c>
      <c r="N181">
        <v>0.43</v>
      </c>
      <c r="O181">
        <v>3.61</v>
      </c>
      <c r="P181">
        <v>1.103</v>
      </c>
    </row>
    <row r="182" spans="1:16" x14ac:dyDescent="0.25">
      <c r="A182" s="1">
        <v>41451</v>
      </c>
      <c r="B182">
        <v>9.17</v>
      </c>
      <c r="C182">
        <v>120.68</v>
      </c>
      <c r="D182">
        <v>4.5259999999999998</v>
      </c>
      <c r="E182">
        <v>13.69</v>
      </c>
      <c r="F182">
        <v>7</v>
      </c>
      <c r="G182">
        <v>1.5589999999999999</v>
      </c>
      <c r="H182">
        <v>10.82</v>
      </c>
      <c r="I182">
        <v>32.19</v>
      </c>
      <c r="J182">
        <v>18.5</v>
      </c>
      <c r="K182">
        <v>9.42</v>
      </c>
      <c r="L182">
        <v>1.22</v>
      </c>
      <c r="M182">
        <v>1.04</v>
      </c>
      <c r="N182">
        <v>0.43</v>
      </c>
      <c r="O182">
        <v>3.7</v>
      </c>
      <c r="P182">
        <v>1.085</v>
      </c>
    </row>
    <row r="183" spans="1:16" x14ac:dyDescent="0.25">
      <c r="A183" s="1">
        <v>41452</v>
      </c>
      <c r="B183">
        <v>8.9700000000000006</v>
      </c>
      <c r="C183">
        <v>123.1</v>
      </c>
      <c r="D183">
        <v>4.492</v>
      </c>
      <c r="E183">
        <v>13.8</v>
      </c>
      <c r="F183">
        <v>7</v>
      </c>
      <c r="G183">
        <v>1.5740000000000001</v>
      </c>
      <c r="H183">
        <v>10.81</v>
      </c>
      <c r="I183">
        <v>31.42</v>
      </c>
      <c r="J183">
        <v>18.5</v>
      </c>
      <c r="K183">
        <v>9.42</v>
      </c>
      <c r="L183">
        <v>1.21</v>
      </c>
      <c r="M183">
        <v>1.0489999999999999</v>
      </c>
      <c r="N183">
        <v>0.45</v>
      </c>
      <c r="O183">
        <v>3.75</v>
      </c>
      <c r="P183">
        <v>1.0760000000000001</v>
      </c>
    </row>
    <row r="184" spans="1:16" x14ac:dyDescent="0.25">
      <c r="A184" s="1">
        <v>41453</v>
      </c>
      <c r="B184">
        <v>9.2200000000000006</v>
      </c>
      <c r="C184">
        <v>123.28</v>
      </c>
      <c r="D184">
        <v>4.3410000000000002</v>
      </c>
      <c r="E184">
        <v>14.86</v>
      </c>
      <c r="F184">
        <v>7</v>
      </c>
      <c r="G184">
        <v>1.605</v>
      </c>
      <c r="H184">
        <v>10.82</v>
      </c>
      <c r="I184">
        <v>31.4</v>
      </c>
      <c r="J184">
        <v>18.5</v>
      </c>
      <c r="K184">
        <v>9.48</v>
      </c>
      <c r="L184">
        <v>1.26</v>
      </c>
      <c r="M184">
        <v>1.04</v>
      </c>
      <c r="N184">
        <v>0.46</v>
      </c>
      <c r="O184">
        <v>3.75</v>
      </c>
      <c r="P184">
        <v>1.1559999999999999</v>
      </c>
    </row>
    <row r="185" spans="1:16" x14ac:dyDescent="0.25">
      <c r="A185" s="1">
        <v>41456</v>
      </c>
      <c r="B185">
        <v>9.4600000000000009</v>
      </c>
      <c r="C185">
        <v>123.1</v>
      </c>
      <c r="D185">
        <v>4.3890000000000002</v>
      </c>
      <c r="E185">
        <v>15</v>
      </c>
      <c r="F185">
        <v>6.99</v>
      </c>
      <c r="G185">
        <v>1.597</v>
      </c>
      <c r="H185">
        <v>10.91</v>
      </c>
      <c r="I185">
        <v>30.93</v>
      </c>
      <c r="J185">
        <v>18</v>
      </c>
      <c r="K185">
        <v>9.49</v>
      </c>
      <c r="L185">
        <v>1.27</v>
      </c>
      <c r="M185">
        <v>1.0489999999999999</v>
      </c>
      <c r="N185">
        <v>0.49</v>
      </c>
      <c r="O185">
        <v>3.69</v>
      </c>
      <c r="P185">
        <v>1.0940000000000001</v>
      </c>
    </row>
    <row r="186" spans="1:16" x14ac:dyDescent="0.25">
      <c r="A186" s="1">
        <v>41457</v>
      </c>
      <c r="B186">
        <v>9.51</v>
      </c>
      <c r="C186">
        <v>121.66</v>
      </c>
      <c r="D186">
        <v>4.3550000000000004</v>
      </c>
      <c r="E186">
        <v>14.7</v>
      </c>
      <c r="F186">
        <v>7.05</v>
      </c>
      <c r="G186">
        <v>1.5660000000000001</v>
      </c>
      <c r="H186">
        <v>11</v>
      </c>
      <c r="I186">
        <v>30.45</v>
      </c>
      <c r="J186">
        <v>18</v>
      </c>
      <c r="K186">
        <v>9.49</v>
      </c>
      <c r="L186">
        <v>1.26</v>
      </c>
      <c r="M186">
        <v>1.0489999999999999</v>
      </c>
      <c r="N186">
        <v>0.46</v>
      </c>
      <c r="O186">
        <v>3.65</v>
      </c>
      <c r="P186">
        <v>1.085</v>
      </c>
    </row>
    <row r="187" spans="1:16" x14ac:dyDescent="0.25">
      <c r="A187" s="1">
        <v>41458</v>
      </c>
      <c r="B187">
        <v>9.4600000000000009</v>
      </c>
      <c r="C187">
        <v>119.45</v>
      </c>
      <c r="D187">
        <v>4.3550000000000004</v>
      </c>
      <c r="E187">
        <v>14.5</v>
      </c>
      <c r="F187">
        <v>7</v>
      </c>
      <c r="G187">
        <v>1.5429999999999999</v>
      </c>
      <c r="H187">
        <v>10.95</v>
      </c>
      <c r="I187">
        <v>30.45</v>
      </c>
      <c r="J187">
        <v>17.8</v>
      </c>
      <c r="K187">
        <v>9.52</v>
      </c>
      <c r="L187">
        <v>1.25</v>
      </c>
      <c r="M187">
        <v>1.0489999999999999</v>
      </c>
      <c r="N187">
        <v>0.47</v>
      </c>
      <c r="O187">
        <v>3.62</v>
      </c>
      <c r="P187">
        <v>1.1120000000000001</v>
      </c>
    </row>
    <row r="188" spans="1:16" x14ac:dyDescent="0.25">
      <c r="A188" s="1">
        <v>41459</v>
      </c>
      <c r="B188">
        <v>9.4600000000000009</v>
      </c>
      <c r="C188">
        <v>119.45</v>
      </c>
      <c r="D188">
        <v>4.3620000000000001</v>
      </c>
      <c r="E188">
        <v>14.5</v>
      </c>
      <c r="F188">
        <v>7</v>
      </c>
      <c r="G188">
        <v>1.52</v>
      </c>
      <c r="H188">
        <v>10.81</v>
      </c>
      <c r="I188">
        <v>30.45</v>
      </c>
      <c r="J188">
        <v>17.510000000000002</v>
      </c>
      <c r="K188">
        <v>9.5</v>
      </c>
      <c r="L188">
        <v>1.25</v>
      </c>
      <c r="M188">
        <v>1.0489999999999999</v>
      </c>
      <c r="N188">
        <v>0.48</v>
      </c>
      <c r="O188">
        <v>3.62</v>
      </c>
      <c r="P188">
        <v>1.085</v>
      </c>
    </row>
    <row r="189" spans="1:16" x14ac:dyDescent="0.25">
      <c r="A189" s="1">
        <v>41460</v>
      </c>
      <c r="B189">
        <v>9.56</v>
      </c>
      <c r="C189">
        <v>119.06</v>
      </c>
      <c r="D189">
        <v>4.3550000000000004</v>
      </c>
      <c r="E189">
        <v>14.25</v>
      </c>
      <c r="F189">
        <v>6.84</v>
      </c>
      <c r="G189">
        <v>1.5129999999999999</v>
      </c>
      <c r="H189">
        <v>10.61</v>
      </c>
      <c r="I189">
        <v>29.5</v>
      </c>
      <c r="J189">
        <v>17.5</v>
      </c>
      <c r="K189">
        <v>9.5</v>
      </c>
      <c r="L189">
        <v>1.24</v>
      </c>
      <c r="M189">
        <v>1.016</v>
      </c>
      <c r="N189">
        <v>0.48</v>
      </c>
      <c r="O189">
        <v>3.6</v>
      </c>
      <c r="P189">
        <v>1.0580000000000001</v>
      </c>
    </row>
    <row r="190" spans="1:16" x14ac:dyDescent="0.25">
      <c r="A190" s="1">
        <v>41463</v>
      </c>
      <c r="B190">
        <v>9.56</v>
      </c>
      <c r="C190">
        <v>114.93</v>
      </c>
      <c r="D190">
        <v>3.508</v>
      </c>
      <c r="E190">
        <v>14.5</v>
      </c>
      <c r="F190">
        <v>6.84</v>
      </c>
      <c r="G190">
        <v>1.4750000000000001</v>
      </c>
      <c r="H190">
        <v>10.61</v>
      </c>
      <c r="I190">
        <v>29.26</v>
      </c>
      <c r="J190">
        <v>17.5</v>
      </c>
      <c r="K190">
        <v>9.24</v>
      </c>
      <c r="L190">
        <v>1.24</v>
      </c>
      <c r="M190">
        <v>1.016</v>
      </c>
      <c r="N190">
        <v>0.49</v>
      </c>
      <c r="O190">
        <v>3.6</v>
      </c>
      <c r="P190">
        <v>1.0580000000000001</v>
      </c>
    </row>
    <row r="191" spans="1:16" x14ac:dyDescent="0.25">
      <c r="A191" s="1">
        <v>41464</v>
      </c>
      <c r="B191">
        <v>9.51</v>
      </c>
      <c r="C191">
        <v>113.48</v>
      </c>
      <c r="D191">
        <v>3.452</v>
      </c>
      <c r="E191">
        <v>14</v>
      </c>
      <c r="F191">
        <v>6.62</v>
      </c>
      <c r="G191">
        <v>1.4359999999999999</v>
      </c>
      <c r="H191">
        <v>10.71</v>
      </c>
      <c r="I191">
        <v>28.55</v>
      </c>
      <c r="J191">
        <v>17.5</v>
      </c>
      <c r="K191">
        <v>9.0500000000000007</v>
      </c>
      <c r="L191">
        <v>1.23</v>
      </c>
      <c r="M191">
        <v>0.97599999999999998</v>
      </c>
      <c r="N191">
        <v>0.47</v>
      </c>
      <c r="O191">
        <v>3.56</v>
      </c>
      <c r="P191">
        <v>1.032</v>
      </c>
    </row>
    <row r="192" spans="1:16" x14ac:dyDescent="0.25">
      <c r="A192" s="1">
        <v>41465</v>
      </c>
      <c r="B192">
        <v>9.41</v>
      </c>
      <c r="C192">
        <v>107.65</v>
      </c>
      <c r="D192">
        <v>3.34</v>
      </c>
      <c r="E192">
        <v>13.6</v>
      </c>
      <c r="F192">
        <v>6.55</v>
      </c>
      <c r="G192">
        <v>1.375</v>
      </c>
      <c r="H192">
        <v>10.71</v>
      </c>
      <c r="I192">
        <v>27.6</v>
      </c>
      <c r="J192">
        <v>17</v>
      </c>
      <c r="K192">
        <v>9.0500000000000007</v>
      </c>
      <c r="L192">
        <v>1.22</v>
      </c>
      <c r="M192">
        <v>0.97599999999999998</v>
      </c>
      <c r="N192">
        <v>0.45</v>
      </c>
      <c r="O192">
        <v>3.55</v>
      </c>
      <c r="P192">
        <v>1.014</v>
      </c>
    </row>
    <row r="193" spans="1:16" x14ac:dyDescent="0.25">
      <c r="A193" s="1">
        <v>41466</v>
      </c>
      <c r="B193">
        <v>9.4499999999999993</v>
      </c>
      <c r="C193">
        <v>113.82</v>
      </c>
      <c r="D193">
        <v>3.3849999999999998</v>
      </c>
      <c r="E193">
        <v>14.37</v>
      </c>
      <c r="F193">
        <v>6.4</v>
      </c>
      <c r="G193">
        <v>1.421</v>
      </c>
      <c r="H193">
        <v>10.76</v>
      </c>
      <c r="I193">
        <v>28.55</v>
      </c>
      <c r="J193">
        <v>17.350000000000001</v>
      </c>
      <c r="K193">
        <v>9.1</v>
      </c>
      <c r="L193">
        <v>1.22</v>
      </c>
      <c r="M193">
        <v>0.95899999999999996</v>
      </c>
      <c r="N193">
        <v>0.44</v>
      </c>
      <c r="O193">
        <v>3.57</v>
      </c>
      <c r="P193">
        <v>1.0229999999999999</v>
      </c>
    </row>
    <row r="194" spans="1:16" x14ac:dyDescent="0.25">
      <c r="A194" s="1">
        <v>41467</v>
      </c>
      <c r="B194">
        <v>9.41</v>
      </c>
      <c r="C194">
        <v>113.19</v>
      </c>
      <c r="D194">
        <v>3.3679999999999999</v>
      </c>
      <c r="E194">
        <v>14.2</v>
      </c>
      <c r="F194">
        <v>6.45</v>
      </c>
      <c r="G194">
        <v>1.413</v>
      </c>
      <c r="H194">
        <v>10.9</v>
      </c>
      <c r="I194">
        <v>28.26</v>
      </c>
      <c r="J194">
        <v>17.350000000000001</v>
      </c>
      <c r="K194">
        <v>9.1</v>
      </c>
      <c r="L194">
        <v>1.22</v>
      </c>
      <c r="M194">
        <v>0.95899999999999996</v>
      </c>
      <c r="N194">
        <v>0.46</v>
      </c>
      <c r="O194">
        <v>3.54</v>
      </c>
      <c r="P194">
        <v>1.0229999999999999</v>
      </c>
    </row>
    <row r="195" spans="1:16" x14ac:dyDescent="0.25">
      <c r="A195" s="1">
        <v>41470</v>
      </c>
      <c r="B195">
        <v>9.31</v>
      </c>
      <c r="C195">
        <v>114.54</v>
      </c>
      <c r="D195">
        <v>3.3340000000000001</v>
      </c>
      <c r="E195">
        <v>14</v>
      </c>
      <c r="F195">
        <v>6.43</v>
      </c>
      <c r="G195">
        <v>1.4059999999999999</v>
      </c>
      <c r="H195">
        <v>10.9</v>
      </c>
      <c r="I195">
        <v>28.26</v>
      </c>
      <c r="J195">
        <v>17.350000000000001</v>
      </c>
      <c r="K195">
        <v>9.08</v>
      </c>
      <c r="L195">
        <v>1.21</v>
      </c>
      <c r="M195">
        <v>0.95899999999999996</v>
      </c>
      <c r="N195">
        <v>0.46</v>
      </c>
      <c r="O195">
        <v>3.54</v>
      </c>
      <c r="P195">
        <v>1.0669999999999999</v>
      </c>
    </row>
    <row r="196" spans="1:16" x14ac:dyDescent="0.25">
      <c r="A196" s="1">
        <v>41471</v>
      </c>
      <c r="B196">
        <v>9.06</v>
      </c>
      <c r="C196">
        <v>115.12</v>
      </c>
      <c r="D196">
        <v>3.3119999999999998</v>
      </c>
      <c r="E196">
        <v>14</v>
      </c>
      <c r="F196">
        <v>6.5</v>
      </c>
      <c r="G196">
        <v>1.4359999999999999</v>
      </c>
      <c r="H196">
        <v>10.95</v>
      </c>
      <c r="I196">
        <v>28.26</v>
      </c>
      <c r="J196">
        <v>17.25</v>
      </c>
      <c r="K196">
        <v>9.08</v>
      </c>
      <c r="L196">
        <v>1.19</v>
      </c>
      <c r="M196">
        <v>0.94299999999999995</v>
      </c>
      <c r="N196">
        <v>0.48</v>
      </c>
      <c r="O196">
        <v>3.58</v>
      </c>
      <c r="P196">
        <v>1.0580000000000001</v>
      </c>
    </row>
    <row r="197" spans="1:16" x14ac:dyDescent="0.25">
      <c r="A197" s="1">
        <v>41472</v>
      </c>
      <c r="B197">
        <v>9.06</v>
      </c>
      <c r="C197">
        <v>113.48</v>
      </c>
      <c r="D197">
        <v>3.3170000000000002</v>
      </c>
      <c r="E197">
        <v>14.15</v>
      </c>
      <c r="F197">
        <v>6.89</v>
      </c>
      <c r="G197">
        <v>1.49</v>
      </c>
      <c r="H197">
        <v>11.05</v>
      </c>
      <c r="I197">
        <v>28.54</v>
      </c>
      <c r="J197">
        <v>17.25</v>
      </c>
      <c r="K197">
        <v>9</v>
      </c>
      <c r="L197">
        <v>1.18</v>
      </c>
      <c r="M197">
        <v>0.95099999999999996</v>
      </c>
      <c r="N197">
        <v>0.47</v>
      </c>
      <c r="O197">
        <v>3.7</v>
      </c>
      <c r="P197">
        <v>1.0669999999999999</v>
      </c>
    </row>
    <row r="198" spans="1:16" x14ac:dyDescent="0.25">
      <c r="A198" s="1">
        <v>41473</v>
      </c>
      <c r="B198">
        <v>9.1199999999999992</v>
      </c>
      <c r="C198">
        <v>111.56</v>
      </c>
      <c r="D198">
        <v>3.3170000000000002</v>
      </c>
      <c r="E198">
        <v>13.7</v>
      </c>
      <c r="F198">
        <v>6.89</v>
      </c>
      <c r="G198">
        <v>1.5129999999999999</v>
      </c>
      <c r="H198">
        <v>11.49</v>
      </c>
      <c r="I198">
        <v>28.55</v>
      </c>
      <c r="J198">
        <v>17</v>
      </c>
      <c r="K198">
        <v>9</v>
      </c>
      <c r="L198">
        <v>1.19</v>
      </c>
      <c r="M198">
        <v>0.95099999999999996</v>
      </c>
      <c r="N198">
        <v>0.44</v>
      </c>
      <c r="O198">
        <v>3.72</v>
      </c>
      <c r="P198">
        <v>1.0760000000000001</v>
      </c>
    </row>
    <row r="199" spans="1:16" x14ac:dyDescent="0.25">
      <c r="A199" s="1">
        <v>41474</v>
      </c>
      <c r="B199">
        <v>9.1199999999999992</v>
      </c>
      <c r="C199">
        <v>109.49</v>
      </c>
      <c r="D199">
        <v>3.2</v>
      </c>
      <c r="E199">
        <v>13.6</v>
      </c>
      <c r="F199">
        <v>6.89</v>
      </c>
      <c r="G199">
        <v>1.5049999999999999</v>
      </c>
      <c r="H199">
        <v>11.69</v>
      </c>
      <c r="I199">
        <v>27.13</v>
      </c>
      <c r="J199">
        <v>16.899999999999999</v>
      </c>
      <c r="K199">
        <v>8.91</v>
      </c>
      <c r="L199">
        <v>1.1499999999999999</v>
      </c>
      <c r="M199">
        <v>0.95099999999999996</v>
      </c>
      <c r="N199">
        <v>0.44</v>
      </c>
      <c r="O199">
        <v>3.75</v>
      </c>
      <c r="P199">
        <v>1.0580000000000001</v>
      </c>
    </row>
    <row r="200" spans="1:16" x14ac:dyDescent="0.25">
      <c r="A200" s="1">
        <v>41477</v>
      </c>
      <c r="B200">
        <v>8.9700000000000006</v>
      </c>
      <c r="C200">
        <v>113.35</v>
      </c>
      <c r="D200">
        <v>3.2</v>
      </c>
      <c r="E200">
        <v>14.31</v>
      </c>
      <c r="F200">
        <v>6.89</v>
      </c>
      <c r="G200">
        <v>1.4750000000000001</v>
      </c>
      <c r="H200">
        <v>11.79</v>
      </c>
      <c r="I200">
        <v>27.13</v>
      </c>
      <c r="J200">
        <v>16.899999999999999</v>
      </c>
      <c r="K200">
        <v>9</v>
      </c>
      <c r="L200">
        <v>1.18</v>
      </c>
      <c r="M200">
        <v>0.95099999999999996</v>
      </c>
      <c r="N200">
        <v>0.44</v>
      </c>
      <c r="O200">
        <v>3.72</v>
      </c>
      <c r="P200">
        <v>1.0580000000000001</v>
      </c>
    </row>
    <row r="201" spans="1:16" x14ac:dyDescent="0.25">
      <c r="A201" s="1">
        <v>41478</v>
      </c>
      <c r="B201">
        <v>8.8699999999999992</v>
      </c>
      <c r="C201">
        <v>115.52</v>
      </c>
      <c r="D201">
        <v>3.2559999999999998</v>
      </c>
      <c r="E201">
        <v>15.03</v>
      </c>
      <c r="F201">
        <v>6.78</v>
      </c>
      <c r="G201">
        <v>1.452</v>
      </c>
      <c r="H201">
        <v>12.03</v>
      </c>
      <c r="I201">
        <v>27.12</v>
      </c>
      <c r="J201">
        <v>16.899999999999999</v>
      </c>
      <c r="K201">
        <v>8.9499999999999993</v>
      </c>
      <c r="L201">
        <v>1.18</v>
      </c>
      <c r="M201">
        <v>0.95899999999999996</v>
      </c>
      <c r="N201">
        <v>0.44</v>
      </c>
      <c r="O201">
        <v>3.77</v>
      </c>
      <c r="P201">
        <v>1.0580000000000001</v>
      </c>
    </row>
    <row r="202" spans="1:16" x14ac:dyDescent="0.25">
      <c r="A202" s="1">
        <v>41479</v>
      </c>
      <c r="B202">
        <v>8.76</v>
      </c>
      <c r="C202">
        <v>113.77</v>
      </c>
      <c r="D202">
        <v>3.2559999999999998</v>
      </c>
      <c r="E202">
        <v>14.69</v>
      </c>
      <c r="F202">
        <v>6.74</v>
      </c>
      <c r="G202">
        <v>1.413</v>
      </c>
      <c r="H202">
        <v>11.66</v>
      </c>
      <c r="I202">
        <v>27.12</v>
      </c>
      <c r="J202">
        <v>16.899999999999999</v>
      </c>
      <c r="K202">
        <v>9</v>
      </c>
      <c r="L202">
        <v>1.1599999999999999</v>
      </c>
      <c r="M202">
        <v>0.96699999999999997</v>
      </c>
      <c r="N202">
        <v>0.43</v>
      </c>
      <c r="O202">
        <v>3.7</v>
      </c>
      <c r="P202">
        <v>1.0669999999999999</v>
      </c>
    </row>
    <row r="203" spans="1:16" x14ac:dyDescent="0.25">
      <c r="A203" s="1">
        <v>41480</v>
      </c>
      <c r="B203">
        <v>8.7200000000000006</v>
      </c>
      <c r="C203">
        <v>112.52</v>
      </c>
      <c r="D203">
        <v>3.2280000000000002</v>
      </c>
      <c r="E203">
        <v>14.85</v>
      </c>
      <c r="F203">
        <v>6.74</v>
      </c>
      <c r="G203">
        <v>1.3939999999999999</v>
      </c>
      <c r="H203">
        <v>11.49</v>
      </c>
      <c r="I203">
        <v>27.36</v>
      </c>
      <c r="J203">
        <v>16.899999999999999</v>
      </c>
      <c r="K203">
        <v>9</v>
      </c>
      <c r="L203">
        <v>1.1499999999999999</v>
      </c>
      <c r="M203">
        <v>0.96699999999999997</v>
      </c>
      <c r="N203">
        <v>0.43</v>
      </c>
      <c r="O203">
        <v>3.76</v>
      </c>
      <c r="P203">
        <v>1.05</v>
      </c>
    </row>
    <row r="204" spans="1:16" x14ac:dyDescent="0.25">
      <c r="A204" s="1">
        <v>41481</v>
      </c>
      <c r="B204">
        <v>8.6199999999999992</v>
      </c>
      <c r="C204">
        <v>113.29</v>
      </c>
      <c r="D204">
        <v>3.1709999999999998</v>
      </c>
      <c r="E204">
        <v>14.85</v>
      </c>
      <c r="F204">
        <v>6.67</v>
      </c>
      <c r="G204">
        <v>1.448</v>
      </c>
      <c r="H204">
        <v>11.49</v>
      </c>
      <c r="I204">
        <v>28.07</v>
      </c>
      <c r="J204">
        <v>16.899999999999999</v>
      </c>
      <c r="K204">
        <v>9</v>
      </c>
      <c r="L204">
        <v>1.1499999999999999</v>
      </c>
      <c r="M204">
        <v>0.93500000000000005</v>
      </c>
      <c r="N204">
        <v>0.43</v>
      </c>
      <c r="O204">
        <v>3.8</v>
      </c>
      <c r="P204">
        <v>1.0669999999999999</v>
      </c>
    </row>
    <row r="205" spans="1:16" x14ac:dyDescent="0.25">
      <c r="A205" s="1">
        <v>41485</v>
      </c>
      <c r="B205">
        <v>8.5500000000000007</v>
      </c>
      <c r="C205">
        <v>115.21</v>
      </c>
      <c r="D205">
        <v>3.149</v>
      </c>
      <c r="E205">
        <v>14.39</v>
      </c>
      <c r="F205">
        <v>6.65</v>
      </c>
      <c r="G205">
        <v>1.448</v>
      </c>
      <c r="H205">
        <v>11.27</v>
      </c>
      <c r="I205">
        <v>27.86</v>
      </c>
      <c r="J205">
        <v>16.899999999999999</v>
      </c>
      <c r="K205">
        <v>8.99</v>
      </c>
      <c r="L205">
        <v>1.1100000000000001</v>
      </c>
      <c r="M205">
        <v>0.91900000000000004</v>
      </c>
      <c r="N205">
        <v>0.42</v>
      </c>
      <c r="O205">
        <v>3.79</v>
      </c>
      <c r="P205">
        <v>1.0580000000000001</v>
      </c>
    </row>
    <row r="206" spans="1:16" x14ac:dyDescent="0.25">
      <c r="A206" s="1">
        <v>41486</v>
      </c>
      <c r="B206">
        <v>8.49</v>
      </c>
      <c r="C206">
        <v>114.44</v>
      </c>
      <c r="D206">
        <v>3.2</v>
      </c>
      <c r="E206">
        <v>13.92</v>
      </c>
      <c r="F206">
        <v>6.89</v>
      </c>
      <c r="G206">
        <v>1.484</v>
      </c>
      <c r="H206">
        <v>11.49</v>
      </c>
      <c r="I206">
        <v>27.6</v>
      </c>
      <c r="J206">
        <v>16.7</v>
      </c>
      <c r="K206">
        <v>8.89</v>
      </c>
      <c r="L206">
        <v>1.1299999999999999</v>
      </c>
      <c r="M206">
        <v>0.93500000000000005</v>
      </c>
      <c r="N206">
        <v>0.41</v>
      </c>
      <c r="O206">
        <v>3.85</v>
      </c>
      <c r="P206">
        <v>1.0409999999999999</v>
      </c>
    </row>
    <row r="207" spans="1:16" x14ac:dyDescent="0.25">
      <c r="A207" s="1">
        <v>41487</v>
      </c>
      <c r="B207">
        <v>8.92</v>
      </c>
      <c r="C207">
        <v>115.89</v>
      </c>
      <c r="D207">
        <v>3.2</v>
      </c>
      <c r="E207">
        <v>13.75</v>
      </c>
      <c r="F207">
        <v>7.04</v>
      </c>
      <c r="G207">
        <v>1.52</v>
      </c>
      <c r="H207">
        <v>11.49</v>
      </c>
      <c r="I207">
        <v>28.55</v>
      </c>
      <c r="J207">
        <v>16.600000000000001</v>
      </c>
      <c r="K207">
        <v>8.91</v>
      </c>
      <c r="L207">
        <v>1.1599999999999999</v>
      </c>
      <c r="M207">
        <v>1.04</v>
      </c>
      <c r="N207">
        <v>0.42</v>
      </c>
      <c r="O207">
        <v>3.8</v>
      </c>
      <c r="P207">
        <v>1.0669999999999999</v>
      </c>
    </row>
    <row r="208" spans="1:16" x14ac:dyDescent="0.25">
      <c r="A208" s="1">
        <v>41488</v>
      </c>
      <c r="B208">
        <v>8.76</v>
      </c>
      <c r="C208">
        <v>116.18</v>
      </c>
      <c r="D208">
        <v>3.222</v>
      </c>
      <c r="E208">
        <v>12.8</v>
      </c>
      <c r="F208">
        <v>6.91</v>
      </c>
      <c r="G208">
        <v>1.52</v>
      </c>
      <c r="H208">
        <v>11.4</v>
      </c>
      <c r="I208">
        <v>28.55</v>
      </c>
      <c r="J208">
        <v>16.899999999999999</v>
      </c>
      <c r="K208">
        <v>8.91</v>
      </c>
      <c r="L208">
        <v>1.1599999999999999</v>
      </c>
      <c r="M208">
        <v>1.0649999999999999</v>
      </c>
      <c r="N208">
        <v>0.43</v>
      </c>
      <c r="O208">
        <v>3.8</v>
      </c>
      <c r="P208">
        <v>1.0669999999999999</v>
      </c>
    </row>
    <row r="209" spans="1:16" x14ac:dyDescent="0.25">
      <c r="A209" s="1">
        <v>41491</v>
      </c>
      <c r="B209">
        <v>8.82</v>
      </c>
      <c r="C209">
        <v>118.48</v>
      </c>
      <c r="D209">
        <v>3.1709999999999998</v>
      </c>
      <c r="E209">
        <v>12.69</v>
      </c>
      <c r="F209">
        <v>6.9</v>
      </c>
      <c r="G209">
        <v>1.4930000000000001</v>
      </c>
      <c r="H209">
        <v>11.3</v>
      </c>
      <c r="I209">
        <v>28.55</v>
      </c>
      <c r="J209">
        <v>16.899999999999999</v>
      </c>
      <c r="K209">
        <v>8.92</v>
      </c>
      <c r="L209">
        <v>1.1200000000000001</v>
      </c>
      <c r="M209">
        <v>1.0649999999999999</v>
      </c>
      <c r="N209">
        <v>0.43</v>
      </c>
      <c r="O209">
        <v>3.8</v>
      </c>
      <c r="P209">
        <v>1.0669999999999999</v>
      </c>
    </row>
    <row r="210" spans="1:16" x14ac:dyDescent="0.25">
      <c r="A210" s="1">
        <v>41492</v>
      </c>
      <c r="B210">
        <v>8.8699999999999992</v>
      </c>
      <c r="C210">
        <v>118.29</v>
      </c>
      <c r="D210">
        <v>3.2</v>
      </c>
      <c r="E210">
        <v>11.8</v>
      </c>
      <c r="F210">
        <v>6.9</v>
      </c>
      <c r="G210">
        <v>1.4930000000000001</v>
      </c>
      <c r="H210">
        <v>11.3</v>
      </c>
      <c r="I210">
        <v>29.02</v>
      </c>
      <c r="J210">
        <v>16.8</v>
      </c>
      <c r="K210">
        <v>8.92</v>
      </c>
      <c r="L210">
        <v>1.1100000000000001</v>
      </c>
      <c r="M210">
        <v>1.0569999999999999</v>
      </c>
      <c r="N210">
        <v>0.41</v>
      </c>
      <c r="O210">
        <v>3.8</v>
      </c>
      <c r="P210">
        <v>1.032</v>
      </c>
    </row>
    <row r="211" spans="1:16" x14ac:dyDescent="0.25">
      <c r="A211" s="1">
        <v>41493</v>
      </c>
      <c r="B211">
        <v>8.86</v>
      </c>
      <c r="C211">
        <v>118.29</v>
      </c>
      <c r="D211">
        <v>3.2559999999999998</v>
      </c>
      <c r="E211">
        <v>11.7</v>
      </c>
      <c r="F211">
        <v>6.9</v>
      </c>
      <c r="G211">
        <v>1.484</v>
      </c>
      <c r="H211">
        <v>11.3</v>
      </c>
      <c r="I211">
        <v>29.02</v>
      </c>
      <c r="J211">
        <v>16.8</v>
      </c>
      <c r="K211">
        <v>8.9499999999999993</v>
      </c>
      <c r="L211">
        <v>1.1100000000000001</v>
      </c>
      <c r="M211">
        <v>1.0569999999999999</v>
      </c>
      <c r="N211">
        <v>0.41</v>
      </c>
      <c r="O211">
        <v>3.8</v>
      </c>
      <c r="P211">
        <v>1.0580000000000001</v>
      </c>
    </row>
    <row r="212" spans="1:16" x14ac:dyDescent="0.25">
      <c r="A212" s="1">
        <v>41494</v>
      </c>
      <c r="B212">
        <v>8.77</v>
      </c>
      <c r="C212">
        <v>117.33</v>
      </c>
      <c r="D212">
        <v>3.3119999999999998</v>
      </c>
      <c r="E212">
        <v>12.15</v>
      </c>
      <c r="F212">
        <v>6.89</v>
      </c>
      <c r="G212">
        <v>1.4750000000000001</v>
      </c>
      <c r="H212">
        <v>11.4</v>
      </c>
      <c r="I212">
        <v>28.55</v>
      </c>
      <c r="J212">
        <v>16.8</v>
      </c>
      <c r="K212">
        <v>8.99</v>
      </c>
      <c r="L212">
        <v>1.1200000000000001</v>
      </c>
      <c r="M212">
        <v>1.0569999999999999</v>
      </c>
      <c r="N212">
        <v>0.42</v>
      </c>
      <c r="O212">
        <v>3.79</v>
      </c>
      <c r="P212">
        <v>1.0669999999999999</v>
      </c>
    </row>
    <row r="213" spans="1:16" x14ac:dyDescent="0.25">
      <c r="A213" s="1">
        <v>41495</v>
      </c>
      <c r="B213">
        <v>8.77</v>
      </c>
      <c r="C213">
        <v>120.24</v>
      </c>
      <c r="D213">
        <v>3.3849999999999998</v>
      </c>
      <c r="E213">
        <v>12.85</v>
      </c>
      <c r="F213">
        <v>6.96</v>
      </c>
      <c r="G213">
        <v>1.538</v>
      </c>
      <c r="H213">
        <v>11.05</v>
      </c>
      <c r="I213">
        <v>29.31</v>
      </c>
      <c r="J213">
        <v>16.8</v>
      </c>
      <c r="K213">
        <v>9.07</v>
      </c>
      <c r="L213">
        <v>1.1299999999999999</v>
      </c>
      <c r="M213">
        <v>1.1459999999999999</v>
      </c>
      <c r="N213">
        <v>0.42</v>
      </c>
      <c r="O213">
        <v>3.91</v>
      </c>
      <c r="P213">
        <v>1.0669999999999999</v>
      </c>
    </row>
    <row r="214" spans="1:16" x14ac:dyDescent="0.25">
      <c r="A214" s="1">
        <v>41498</v>
      </c>
      <c r="B214">
        <v>8.86</v>
      </c>
      <c r="C214">
        <v>125.99</v>
      </c>
      <c r="D214">
        <v>3.5030000000000001</v>
      </c>
      <c r="E214">
        <v>13.13</v>
      </c>
      <c r="F214">
        <v>7.14</v>
      </c>
      <c r="G214">
        <v>1.6359999999999999</v>
      </c>
      <c r="H214">
        <v>11.4</v>
      </c>
      <c r="I214">
        <v>29.98</v>
      </c>
      <c r="J214">
        <v>16.75</v>
      </c>
      <c r="K214">
        <v>9.24</v>
      </c>
      <c r="L214">
        <v>1.18</v>
      </c>
      <c r="M214">
        <v>1.26</v>
      </c>
      <c r="N214">
        <v>0.43</v>
      </c>
      <c r="O214">
        <v>4</v>
      </c>
      <c r="P214">
        <v>1.1299999999999999</v>
      </c>
    </row>
    <row r="215" spans="1:16" x14ac:dyDescent="0.25">
      <c r="A215" s="1">
        <v>41499</v>
      </c>
      <c r="B215">
        <v>8.8800000000000008</v>
      </c>
      <c r="C215">
        <v>127.81</v>
      </c>
      <c r="D215">
        <v>3.4969999999999999</v>
      </c>
      <c r="E215">
        <v>12.75</v>
      </c>
      <c r="F215">
        <v>7.19</v>
      </c>
      <c r="G215">
        <v>1.6990000000000001</v>
      </c>
      <c r="H215">
        <v>11.49</v>
      </c>
      <c r="I215">
        <v>29.98</v>
      </c>
      <c r="J215">
        <v>16.850000000000001</v>
      </c>
      <c r="K215">
        <v>9.34</v>
      </c>
      <c r="L215">
        <v>1.21</v>
      </c>
      <c r="M215">
        <v>1.325</v>
      </c>
      <c r="N215">
        <v>0.41</v>
      </c>
      <c r="O215">
        <v>3.97</v>
      </c>
      <c r="P215">
        <v>1.1559999999999999</v>
      </c>
    </row>
    <row r="216" spans="1:16" x14ac:dyDescent="0.25">
      <c r="A216" s="1">
        <v>41500</v>
      </c>
      <c r="B216">
        <v>8.92</v>
      </c>
      <c r="C216">
        <v>126.23</v>
      </c>
      <c r="D216">
        <v>3.48</v>
      </c>
      <c r="E216">
        <v>13.1</v>
      </c>
      <c r="F216">
        <v>7.19</v>
      </c>
      <c r="G216">
        <v>1.69</v>
      </c>
      <c r="H216">
        <v>11.57</v>
      </c>
      <c r="I216">
        <v>29.98</v>
      </c>
      <c r="J216">
        <v>16.850000000000001</v>
      </c>
      <c r="K216">
        <v>9.2899999999999991</v>
      </c>
      <c r="L216">
        <v>1.19</v>
      </c>
      <c r="M216">
        <v>1.333</v>
      </c>
      <c r="N216">
        <v>0.42</v>
      </c>
      <c r="O216">
        <v>3.96</v>
      </c>
      <c r="P216">
        <v>1.165</v>
      </c>
    </row>
    <row r="217" spans="1:16" x14ac:dyDescent="0.25">
      <c r="A217" s="1">
        <v>41501</v>
      </c>
      <c r="B217">
        <v>8.9700000000000006</v>
      </c>
      <c r="C217">
        <v>125.07</v>
      </c>
      <c r="D217">
        <v>3.3959999999999999</v>
      </c>
      <c r="E217">
        <v>13.6</v>
      </c>
      <c r="F217">
        <v>7.17</v>
      </c>
      <c r="G217">
        <v>1.69</v>
      </c>
      <c r="H217">
        <v>11.59</v>
      </c>
      <c r="I217">
        <v>29.98</v>
      </c>
      <c r="J217">
        <v>16.850000000000001</v>
      </c>
      <c r="K217">
        <v>8.9499999999999993</v>
      </c>
      <c r="L217">
        <v>1.1499999999999999</v>
      </c>
      <c r="M217">
        <v>1.349</v>
      </c>
      <c r="N217">
        <v>0.41</v>
      </c>
      <c r="O217">
        <v>3.96</v>
      </c>
      <c r="P217">
        <v>1.165</v>
      </c>
    </row>
    <row r="218" spans="1:16" x14ac:dyDescent="0.25">
      <c r="A218" s="1">
        <v>41502</v>
      </c>
      <c r="B218">
        <v>8.9700000000000006</v>
      </c>
      <c r="C218">
        <v>124.06</v>
      </c>
      <c r="D218">
        <v>3.3959999999999999</v>
      </c>
      <c r="E218">
        <v>13.9</v>
      </c>
      <c r="F218">
        <v>7.17</v>
      </c>
      <c r="G218">
        <v>1.69</v>
      </c>
      <c r="H218">
        <v>11.58</v>
      </c>
      <c r="I218">
        <v>29.98</v>
      </c>
      <c r="J218">
        <v>16.850000000000001</v>
      </c>
      <c r="K218">
        <v>8.9499999999999993</v>
      </c>
      <c r="L218">
        <v>1.18</v>
      </c>
      <c r="M218">
        <v>1.325</v>
      </c>
      <c r="N218">
        <v>0.4</v>
      </c>
      <c r="O218">
        <v>3.96</v>
      </c>
      <c r="P218">
        <v>1.1919999999999999</v>
      </c>
    </row>
    <row r="219" spans="1:16" x14ac:dyDescent="0.25">
      <c r="A219" s="1">
        <v>41505</v>
      </c>
      <c r="B219">
        <v>8.9700000000000006</v>
      </c>
      <c r="C219">
        <v>121.18</v>
      </c>
      <c r="D219">
        <v>3.39</v>
      </c>
      <c r="E219">
        <v>13.75</v>
      </c>
      <c r="F219">
        <v>7.14</v>
      </c>
      <c r="G219">
        <v>1.69</v>
      </c>
      <c r="H219">
        <v>11.49</v>
      </c>
      <c r="I219">
        <v>29.98</v>
      </c>
      <c r="J219">
        <v>16.850000000000001</v>
      </c>
      <c r="K219">
        <v>8.9499999999999993</v>
      </c>
      <c r="L219">
        <v>1.18</v>
      </c>
      <c r="M219">
        <v>1.325</v>
      </c>
      <c r="N219">
        <v>0.42</v>
      </c>
      <c r="O219">
        <v>3.9</v>
      </c>
      <c r="P219">
        <v>1.1919999999999999</v>
      </c>
    </row>
    <row r="220" spans="1:16" x14ac:dyDescent="0.25">
      <c r="A220" s="1">
        <v>41506</v>
      </c>
      <c r="B220">
        <v>8.99</v>
      </c>
      <c r="C220">
        <v>122.14</v>
      </c>
      <c r="D220">
        <v>3.39</v>
      </c>
      <c r="E220">
        <v>14.3</v>
      </c>
      <c r="F220">
        <v>7.15</v>
      </c>
      <c r="G220">
        <v>1.69</v>
      </c>
      <c r="H220">
        <v>11.52</v>
      </c>
      <c r="I220">
        <v>29.98</v>
      </c>
      <c r="J220">
        <v>16.7</v>
      </c>
      <c r="K220">
        <v>8.86</v>
      </c>
      <c r="L220">
        <v>1.2</v>
      </c>
      <c r="M220">
        <v>1.325</v>
      </c>
      <c r="N220">
        <v>0.44</v>
      </c>
      <c r="O220">
        <v>3.91</v>
      </c>
      <c r="P220">
        <v>1.2450000000000001</v>
      </c>
    </row>
    <row r="221" spans="1:16" x14ac:dyDescent="0.25">
      <c r="A221" s="1">
        <v>41507</v>
      </c>
      <c r="B221">
        <v>9.01</v>
      </c>
      <c r="C221">
        <v>118.58</v>
      </c>
      <c r="D221">
        <v>3.39</v>
      </c>
      <c r="E221">
        <v>13.8</v>
      </c>
      <c r="F221">
        <v>7.29</v>
      </c>
      <c r="G221">
        <v>1.69</v>
      </c>
      <c r="H221">
        <v>11.44</v>
      </c>
      <c r="I221">
        <v>29.83</v>
      </c>
      <c r="J221">
        <v>16.7</v>
      </c>
      <c r="K221">
        <v>8.86</v>
      </c>
      <c r="L221">
        <v>1.2</v>
      </c>
      <c r="M221">
        <v>1.325</v>
      </c>
      <c r="N221">
        <v>0.42</v>
      </c>
      <c r="O221">
        <v>3.91</v>
      </c>
      <c r="P221">
        <v>1.2450000000000001</v>
      </c>
    </row>
    <row r="222" spans="1:16" x14ac:dyDescent="0.25">
      <c r="A222" s="1">
        <v>41508</v>
      </c>
      <c r="B222">
        <v>9.07</v>
      </c>
      <c r="C222">
        <v>120.1</v>
      </c>
      <c r="D222">
        <v>3.39</v>
      </c>
      <c r="E222">
        <v>13.8</v>
      </c>
      <c r="F222">
        <v>7.29</v>
      </c>
      <c r="G222">
        <v>1.681</v>
      </c>
      <c r="H222">
        <v>11.49</v>
      </c>
      <c r="I222">
        <v>29.83</v>
      </c>
      <c r="J222">
        <v>16.7</v>
      </c>
      <c r="K222">
        <v>8.91</v>
      </c>
      <c r="L222">
        <v>1.24</v>
      </c>
      <c r="M222">
        <v>1.3169999999999999</v>
      </c>
      <c r="N222">
        <v>0.43</v>
      </c>
      <c r="O222">
        <v>3.86</v>
      </c>
      <c r="P222">
        <v>1.2450000000000001</v>
      </c>
    </row>
    <row r="223" spans="1:16" x14ac:dyDescent="0.25">
      <c r="A223" s="1">
        <v>41509</v>
      </c>
      <c r="B223">
        <v>9.0399999999999991</v>
      </c>
      <c r="C223">
        <v>121.81</v>
      </c>
      <c r="D223">
        <v>3.452</v>
      </c>
      <c r="E223">
        <v>14.03</v>
      </c>
      <c r="F223">
        <v>7.28</v>
      </c>
      <c r="G223">
        <v>1.69</v>
      </c>
      <c r="H223">
        <v>11.49</v>
      </c>
      <c r="I223">
        <v>29.26</v>
      </c>
      <c r="J223">
        <v>16.5</v>
      </c>
      <c r="K223">
        <v>8.93</v>
      </c>
      <c r="L223">
        <v>1.26</v>
      </c>
      <c r="M223">
        <v>1.357</v>
      </c>
      <c r="N223">
        <v>0.45</v>
      </c>
      <c r="O223">
        <v>3.81</v>
      </c>
      <c r="P223">
        <v>1.2450000000000001</v>
      </c>
    </row>
    <row r="224" spans="1:16" x14ac:dyDescent="0.25">
      <c r="A224" s="1">
        <v>41512</v>
      </c>
      <c r="B224">
        <v>9.09</v>
      </c>
      <c r="C224">
        <v>120.22</v>
      </c>
      <c r="D224">
        <v>3.536</v>
      </c>
      <c r="E224">
        <v>13.9</v>
      </c>
      <c r="F224">
        <v>7.19</v>
      </c>
      <c r="G224">
        <v>1.6990000000000001</v>
      </c>
      <c r="H224">
        <v>11.35</v>
      </c>
      <c r="I224">
        <v>29.02</v>
      </c>
      <c r="J224">
        <v>16.010000000000002</v>
      </c>
      <c r="K224">
        <v>8.9600000000000009</v>
      </c>
      <c r="L224">
        <v>1.3</v>
      </c>
      <c r="M224">
        <v>1.423</v>
      </c>
      <c r="N224">
        <v>0.43</v>
      </c>
      <c r="O224">
        <v>3.86</v>
      </c>
      <c r="P224">
        <v>1.2629999999999999</v>
      </c>
    </row>
    <row r="225" spans="1:16" x14ac:dyDescent="0.25">
      <c r="A225" s="1">
        <v>41513</v>
      </c>
      <c r="B225">
        <v>9.1</v>
      </c>
      <c r="C225">
        <v>117.33</v>
      </c>
      <c r="D225">
        <v>3.4630000000000001</v>
      </c>
      <c r="E225">
        <v>13.35</v>
      </c>
      <c r="F225">
        <v>6.75</v>
      </c>
      <c r="G225">
        <v>1.663</v>
      </c>
      <c r="H225">
        <v>10.95</v>
      </c>
      <c r="I225">
        <v>28.6</v>
      </c>
      <c r="J225">
        <v>16.010000000000002</v>
      </c>
      <c r="K225">
        <v>8.91</v>
      </c>
      <c r="L225">
        <v>1.3</v>
      </c>
      <c r="M225">
        <v>1.423</v>
      </c>
      <c r="N225">
        <v>0.43</v>
      </c>
      <c r="O225">
        <v>3.86</v>
      </c>
      <c r="P225">
        <v>1.236</v>
      </c>
    </row>
    <row r="226" spans="1:16" x14ac:dyDescent="0.25">
      <c r="A226" s="1">
        <v>41514</v>
      </c>
      <c r="B226">
        <v>9.19</v>
      </c>
      <c r="C226">
        <v>116.44</v>
      </c>
      <c r="D226">
        <v>3.4129999999999998</v>
      </c>
      <c r="E226">
        <v>12.64</v>
      </c>
      <c r="F226">
        <v>6.85</v>
      </c>
      <c r="G226">
        <v>1.6539999999999999</v>
      </c>
      <c r="H226">
        <v>10.81</v>
      </c>
      <c r="I226">
        <v>29.02</v>
      </c>
      <c r="J226">
        <v>16.010000000000002</v>
      </c>
      <c r="K226">
        <v>8.91</v>
      </c>
      <c r="L226">
        <v>1.28</v>
      </c>
      <c r="M226">
        <v>1.423</v>
      </c>
      <c r="N226">
        <v>0.43</v>
      </c>
      <c r="O226">
        <v>3.86</v>
      </c>
      <c r="P226">
        <v>1.218</v>
      </c>
    </row>
    <row r="227" spans="1:16" x14ac:dyDescent="0.25">
      <c r="A227" s="1">
        <v>41515</v>
      </c>
      <c r="B227">
        <v>9.4</v>
      </c>
      <c r="C227">
        <v>117.81</v>
      </c>
      <c r="D227">
        <v>3.48</v>
      </c>
      <c r="E227">
        <v>12.39</v>
      </c>
      <c r="F227">
        <v>6.79</v>
      </c>
      <c r="G227">
        <v>1.645</v>
      </c>
      <c r="H227">
        <v>10.66</v>
      </c>
      <c r="I227">
        <v>29.69</v>
      </c>
      <c r="J227">
        <v>16.010000000000002</v>
      </c>
      <c r="K227">
        <v>9</v>
      </c>
      <c r="L227">
        <v>1.32</v>
      </c>
      <c r="M227">
        <v>1.4470000000000001</v>
      </c>
      <c r="N227">
        <v>0.44</v>
      </c>
      <c r="O227">
        <v>3.86</v>
      </c>
      <c r="P227">
        <v>1.2270000000000001</v>
      </c>
    </row>
    <row r="228" spans="1:16" x14ac:dyDescent="0.25">
      <c r="A228" s="1">
        <v>41519</v>
      </c>
      <c r="B228">
        <v>9.4600000000000009</v>
      </c>
      <c r="C228">
        <v>116.66</v>
      </c>
      <c r="D228">
        <v>3.48</v>
      </c>
      <c r="E228">
        <v>12.4</v>
      </c>
      <c r="F228">
        <v>6.79</v>
      </c>
      <c r="G228">
        <v>1.681</v>
      </c>
      <c r="H228">
        <v>10.81</v>
      </c>
      <c r="I228">
        <v>29.69</v>
      </c>
      <c r="J228">
        <v>16.010000000000002</v>
      </c>
      <c r="K228">
        <v>9.2899999999999991</v>
      </c>
      <c r="L228">
        <v>1.32</v>
      </c>
      <c r="M228">
        <v>1.52</v>
      </c>
      <c r="N228">
        <v>0.44</v>
      </c>
      <c r="O228">
        <v>3.76</v>
      </c>
      <c r="P228">
        <v>1.2270000000000001</v>
      </c>
    </row>
    <row r="229" spans="1:16" x14ac:dyDescent="0.25">
      <c r="A229" s="1">
        <v>41520</v>
      </c>
      <c r="B229">
        <v>9.61</v>
      </c>
      <c r="C229">
        <v>115.89</v>
      </c>
      <c r="D229">
        <v>3.508</v>
      </c>
      <c r="E229">
        <v>12.71</v>
      </c>
      <c r="F229">
        <v>6.99</v>
      </c>
      <c r="G229">
        <v>1.6990000000000001</v>
      </c>
      <c r="H229">
        <v>11.12</v>
      </c>
      <c r="I229">
        <v>29.69</v>
      </c>
      <c r="J229">
        <v>16.010000000000002</v>
      </c>
      <c r="K229">
        <v>9.3000000000000007</v>
      </c>
      <c r="L229">
        <v>1.35</v>
      </c>
      <c r="M229">
        <v>1.585</v>
      </c>
      <c r="N229">
        <v>0.43</v>
      </c>
      <c r="O229">
        <v>3.81</v>
      </c>
      <c r="P229">
        <v>1.2450000000000001</v>
      </c>
    </row>
    <row r="230" spans="1:16" x14ac:dyDescent="0.25">
      <c r="A230" s="1">
        <v>41521</v>
      </c>
      <c r="B230">
        <v>9.56</v>
      </c>
      <c r="C230">
        <v>117.33</v>
      </c>
      <c r="D230">
        <v>3.5310000000000001</v>
      </c>
      <c r="E230">
        <v>12.75</v>
      </c>
      <c r="F230">
        <v>6.89</v>
      </c>
      <c r="G230">
        <v>1.7170000000000001</v>
      </c>
      <c r="H230">
        <v>11.27</v>
      </c>
      <c r="I230">
        <v>30.17</v>
      </c>
      <c r="J230">
        <v>16.2</v>
      </c>
      <c r="K230">
        <v>9.3000000000000007</v>
      </c>
      <c r="L230">
        <v>1.35</v>
      </c>
      <c r="M230">
        <v>1.6419999999999999</v>
      </c>
      <c r="N230">
        <v>0.42</v>
      </c>
      <c r="O230">
        <v>3.8</v>
      </c>
      <c r="P230">
        <v>1.2270000000000001</v>
      </c>
    </row>
    <row r="231" spans="1:16" x14ac:dyDescent="0.25">
      <c r="A231" s="1">
        <v>41522</v>
      </c>
      <c r="B231">
        <v>9.61</v>
      </c>
      <c r="C231">
        <v>119.74</v>
      </c>
      <c r="D231">
        <v>3.5249999999999999</v>
      </c>
      <c r="E231">
        <v>12.49</v>
      </c>
      <c r="F231">
        <v>6.89</v>
      </c>
      <c r="G231">
        <v>1.762</v>
      </c>
      <c r="H231">
        <v>11.28</v>
      </c>
      <c r="I231">
        <v>30.17</v>
      </c>
      <c r="J231">
        <v>16.2</v>
      </c>
      <c r="K231">
        <v>9.1</v>
      </c>
      <c r="L231">
        <v>1.36</v>
      </c>
      <c r="M231">
        <v>1.6579999999999999</v>
      </c>
      <c r="N231">
        <v>0.42</v>
      </c>
      <c r="O231">
        <v>3.79</v>
      </c>
      <c r="P231">
        <v>1.21</v>
      </c>
    </row>
    <row r="232" spans="1:16" x14ac:dyDescent="0.25">
      <c r="A232" s="1">
        <v>41523</v>
      </c>
      <c r="B232">
        <v>9.61</v>
      </c>
      <c r="C232">
        <v>120.65</v>
      </c>
      <c r="D232">
        <v>3.6320000000000001</v>
      </c>
      <c r="E232">
        <v>12.6</v>
      </c>
      <c r="F232">
        <v>6.89</v>
      </c>
      <c r="G232">
        <v>1.7709999999999999</v>
      </c>
      <c r="H232">
        <v>11.35</v>
      </c>
      <c r="I232">
        <v>30.17</v>
      </c>
      <c r="J232">
        <v>16.2</v>
      </c>
      <c r="K232">
        <v>9.24</v>
      </c>
      <c r="L232">
        <v>1.42</v>
      </c>
      <c r="M232">
        <v>1.6579999999999999</v>
      </c>
      <c r="N232">
        <v>0.41</v>
      </c>
      <c r="O232">
        <v>3.79</v>
      </c>
      <c r="P232">
        <v>1.236</v>
      </c>
    </row>
    <row r="233" spans="1:16" x14ac:dyDescent="0.25">
      <c r="A233" s="1">
        <v>41526</v>
      </c>
      <c r="B233">
        <v>9.66</v>
      </c>
      <c r="C233">
        <v>122.14</v>
      </c>
      <c r="D233">
        <v>3.6709999999999998</v>
      </c>
      <c r="E233">
        <v>12.41</v>
      </c>
      <c r="F233">
        <v>6.87</v>
      </c>
      <c r="G233">
        <v>1.7529999999999999</v>
      </c>
      <c r="H233">
        <v>11.54</v>
      </c>
      <c r="I233">
        <v>30.31</v>
      </c>
      <c r="J233">
        <v>16.2</v>
      </c>
      <c r="K233">
        <v>9.2899999999999991</v>
      </c>
      <c r="L233">
        <v>1.4</v>
      </c>
      <c r="M233">
        <v>1.6579999999999999</v>
      </c>
      <c r="N233">
        <v>0.42</v>
      </c>
      <c r="O233">
        <v>3.83</v>
      </c>
      <c r="P233">
        <v>1.2270000000000001</v>
      </c>
    </row>
    <row r="234" spans="1:16" x14ac:dyDescent="0.25">
      <c r="A234" s="1">
        <v>41527</v>
      </c>
      <c r="B234">
        <v>9.66</v>
      </c>
      <c r="C234">
        <v>123.09</v>
      </c>
      <c r="D234">
        <v>3.6709999999999998</v>
      </c>
      <c r="E234">
        <v>12.3</v>
      </c>
      <c r="F234">
        <v>6.9</v>
      </c>
      <c r="G234">
        <v>1.7709999999999999</v>
      </c>
      <c r="H234">
        <v>11.69</v>
      </c>
      <c r="I234">
        <v>29.74</v>
      </c>
      <c r="J234">
        <v>16.25</v>
      </c>
      <c r="K234">
        <v>9.2899999999999991</v>
      </c>
      <c r="L234">
        <v>1.47</v>
      </c>
      <c r="M234">
        <v>1.6579999999999999</v>
      </c>
      <c r="N234">
        <v>0.44</v>
      </c>
      <c r="O234">
        <v>3.86</v>
      </c>
      <c r="P234">
        <v>1.2270000000000001</v>
      </c>
    </row>
    <row r="235" spans="1:16" x14ac:dyDescent="0.25">
      <c r="A235" s="1">
        <v>41528</v>
      </c>
      <c r="B235">
        <v>9.56</v>
      </c>
      <c r="C235">
        <v>121.66</v>
      </c>
      <c r="D235">
        <v>3.6480000000000001</v>
      </c>
      <c r="E235">
        <v>12.18</v>
      </c>
      <c r="F235">
        <v>6.9</v>
      </c>
      <c r="G235">
        <v>1.78</v>
      </c>
      <c r="H235">
        <v>11.54</v>
      </c>
      <c r="I235">
        <v>29.69</v>
      </c>
      <c r="J235">
        <v>16.3</v>
      </c>
      <c r="K235">
        <v>9.2899999999999991</v>
      </c>
      <c r="L235">
        <v>1.44</v>
      </c>
      <c r="M235">
        <v>1.7070000000000001</v>
      </c>
      <c r="N235">
        <v>0.43</v>
      </c>
      <c r="O235">
        <v>3.86</v>
      </c>
      <c r="P235">
        <v>1.218</v>
      </c>
    </row>
    <row r="236" spans="1:16" x14ac:dyDescent="0.25">
      <c r="A236" s="1">
        <v>41529</v>
      </c>
      <c r="B236">
        <v>9.17</v>
      </c>
      <c r="C236">
        <v>121.66</v>
      </c>
      <c r="D236">
        <v>3.5920000000000001</v>
      </c>
      <c r="E236">
        <v>11.7</v>
      </c>
      <c r="F236">
        <v>6.84</v>
      </c>
      <c r="G236">
        <v>1.6990000000000001</v>
      </c>
      <c r="H236">
        <v>11.32</v>
      </c>
      <c r="I236">
        <v>28.38</v>
      </c>
      <c r="J236">
        <v>16.3</v>
      </c>
      <c r="K236">
        <v>9.1</v>
      </c>
      <c r="L236">
        <v>1.39</v>
      </c>
      <c r="M236">
        <v>1.675</v>
      </c>
      <c r="N236">
        <v>0.42</v>
      </c>
      <c r="O236">
        <v>3.71</v>
      </c>
      <c r="P236">
        <v>1.2010000000000001</v>
      </c>
    </row>
    <row r="237" spans="1:16" x14ac:dyDescent="0.25">
      <c r="A237" s="1">
        <v>41530</v>
      </c>
      <c r="B237">
        <v>9.07</v>
      </c>
      <c r="C237">
        <v>120.7</v>
      </c>
      <c r="D237">
        <v>3.5920000000000001</v>
      </c>
      <c r="E237">
        <v>11.59</v>
      </c>
      <c r="F237">
        <v>6.85</v>
      </c>
      <c r="G237">
        <v>1.708</v>
      </c>
      <c r="H237">
        <v>11.25</v>
      </c>
      <c r="I237">
        <v>28.55</v>
      </c>
      <c r="J237">
        <v>16.25</v>
      </c>
      <c r="K237">
        <v>9.19</v>
      </c>
      <c r="L237">
        <v>1.39</v>
      </c>
      <c r="M237">
        <v>1.675</v>
      </c>
      <c r="N237">
        <v>0.43</v>
      </c>
      <c r="O237">
        <v>3.71</v>
      </c>
      <c r="P237">
        <v>1.1739999999999999</v>
      </c>
    </row>
    <row r="238" spans="1:16" x14ac:dyDescent="0.25">
      <c r="A238" s="1">
        <v>41533</v>
      </c>
      <c r="B238">
        <v>9.19</v>
      </c>
      <c r="C238">
        <v>121.32</v>
      </c>
      <c r="D238">
        <v>3.5870000000000002</v>
      </c>
      <c r="E238">
        <v>11.35</v>
      </c>
      <c r="F238">
        <v>6.85</v>
      </c>
      <c r="G238">
        <v>1.708</v>
      </c>
      <c r="H238">
        <v>11.3</v>
      </c>
      <c r="I238">
        <v>29.47</v>
      </c>
      <c r="J238">
        <v>16.25</v>
      </c>
      <c r="K238">
        <v>9.2100000000000009</v>
      </c>
      <c r="L238">
        <v>1.39</v>
      </c>
      <c r="M238">
        <v>1.7070000000000001</v>
      </c>
      <c r="N238">
        <v>0.43</v>
      </c>
      <c r="O238">
        <v>3.73</v>
      </c>
      <c r="P238">
        <v>1.236</v>
      </c>
    </row>
    <row r="239" spans="1:16" x14ac:dyDescent="0.25">
      <c r="A239" s="1">
        <v>41534</v>
      </c>
      <c r="B239">
        <v>8.8699999999999992</v>
      </c>
      <c r="C239">
        <v>120.22</v>
      </c>
      <c r="D239">
        <v>3.4129999999999998</v>
      </c>
      <c r="E239">
        <v>11.4</v>
      </c>
      <c r="F239">
        <v>6.89</v>
      </c>
      <c r="G239">
        <v>1.69</v>
      </c>
      <c r="H239">
        <v>11.27</v>
      </c>
      <c r="I239">
        <v>29.02</v>
      </c>
      <c r="J239">
        <v>16.25</v>
      </c>
      <c r="K239">
        <v>9.06</v>
      </c>
      <c r="L239">
        <v>1.33</v>
      </c>
      <c r="M239">
        <v>1.6579999999999999</v>
      </c>
      <c r="N239">
        <v>0.41</v>
      </c>
      <c r="O239">
        <v>3.56</v>
      </c>
      <c r="P239">
        <v>1.147</v>
      </c>
    </row>
    <row r="240" spans="1:16" x14ac:dyDescent="0.25">
      <c r="A240" s="1">
        <v>41535</v>
      </c>
      <c r="B240">
        <v>8.65</v>
      </c>
      <c r="C240">
        <v>121.66</v>
      </c>
      <c r="D240">
        <v>3.351</v>
      </c>
      <c r="E240">
        <v>12.99</v>
      </c>
      <c r="F240">
        <v>6.6</v>
      </c>
      <c r="G240">
        <v>1.663</v>
      </c>
      <c r="H240">
        <v>11.15</v>
      </c>
      <c r="I240">
        <v>27.12</v>
      </c>
      <c r="J240">
        <v>16.25</v>
      </c>
      <c r="K240">
        <v>8.68</v>
      </c>
      <c r="L240">
        <v>1.25</v>
      </c>
      <c r="M240">
        <v>1.569</v>
      </c>
      <c r="N240">
        <v>0.4</v>
      </c>
      <c r="O240">
        <v>3.51</v>
      </c>
      <c r="P240">
        <v>1.1299999999999999</v>
      </c>
    </row>
    <row r="241" spans="1:16" x14ac:dyDescent="0.25">
      <c r="A241" s="1">
        <v>41536</v>
      </c>
      <c r="B241">
        <v>8.9700000000000006</v>
      </c>
      <c r="C241">
        <v>126.47</v>
      </c>
      <c r="D241">
        <v>3.43</v>
      </c>
      <c r="E241">
        <v>12.15</v>
      </c>
      <c r="F241">
        <v>6.79</v>
      </c>
      <c r="G241">
        <v>1.663</v>
      </c>
      <c r="H241">
        <v>11.25</v>
      </c>
      <c r="I241">
        <v>28.07</v>
      </c>
      <c r="J241">
        <v>16.25</v>
      </c>
      <c r="K241">
        <v>8.9600000000000009</v>
      </c>
      <c r="L241">
        <v>1.28</v>
      </c>
      <c r="M241">
        <v>1.6180000000000001</v>
      </c>
      <c r="N241">
        <v>0.4</v>
      </c>
      <c r="O241">
        <v>3.56</v>
      </c>
      <c r="P241">
        <v>1.147</v>
      </c>
    </row>
    <row r="242" spans="1:16" x14ac:dyDescent="0.25">
      <c r="A242" s="1">
        <v>41537</v>
      </c>
      <c r="B242">
        <v>8.83</v>
      </c>
      <c r="C242">
        <v>127.49</v>
      </c>
      <c r="D242">
        <v>3.4689999999999999</v>
      </c>
      <c r="E242">
        <v>11.7</v>
      </c>
      <c r="F242">
        <v>6.73</v>
      </c>
      <c r="G242">
        <v>1.6719999999999999</v>
      </c>
      <c r="H242">
        <v>11.3</v>
      </c>
      <c r="I242">
        <v>28.07</v>
      </c>
      <c r="J242">
        <v>16.25</v>
      </c>
      <c r="K242">
        <v>8.9600000000000009</v>
      </c>
      <c r="L242">
        <v>1.24</v>
      </c>
      <c r="M242">
        <v>1.577</v>
      </c>
      <c r="N242">
        <v>0.4</v>
      </c>
      <c r="O242">
        <v>3.61</v>
      </c>
      <c r="P242">
        <v>1.1559999999999999</v>
      </c>
    </row>
    <row r="243" spans="1:16" x14ac:dyDescent="0.25">
      <c r="A243" s="1">
        <v>41540</v>
      </c>
      <c r="B243">
        <v>8.9700000000000006</v>
      </c>
      <c r="C243">
        <v>125.41</v>
      </c>
      <c r="D243">
        <v>3.4689999999999999</v>
      </c>
      <c r="E243">
        <v>12.2</v>
      </c>
      <c r="F243">
        <v>6.72</v>
      </c>
      <c r="G243">
        <v>1.645</v>
      </c>
      <c r="H243">
        <v>11.29</v>
      </c>
      <c r="I243">
        <v>28.07</v>
      </c>
      <c r="J243">
        <v>16.25</v>
      </c>
      <c r="K243">
        <v>8.9600000000000009</v>
      </c>
      <c r="L243">
        <v>1.21</v>
      </c>
      <c r="M243">
        <v>1.569</v>
      </c>
      <c r="N243">
        <v>0.4</v>
      </c>
      <c r="O243">
        <v>3.51</v>
      </c>
      <c r="P243">
        <v>1.1559999999999999</v>
      </c>
    </row>
    <row r="244" spans="1:16" x14ac:dyDescent="0.25">
      <c r="A244" s="1">
        <v>41541</v>
      </c>
      <c r="B244">
        <v>8.9600000000000009</v>
      </c>
      <c r="C244">
        <v>125.02</v>
      </c>
      <c r="D244">
        <v>3.4689999999999999</v>
      </c>
      <c r="E244">
        <v>11.7</v>
      </c>
      <c r="F244">
        <v>6.72</v>
      </c>
      <c r="G244">
        <v>1.645</v>
      </c>
      <c r="H244">
        <v>11.3</v>
      </c>
      <c r="I244">
        <v>28.07</v>
      </c>
      <c r="J244">
        <v>16.25</v>
      </c>
      <c r="K244">
        <v>8.9600000000000009</v>
      </c>
      <c r="L244">
        <v>1.2</v>
      </c>
      <c r="M244">
        <v>1.5609999999999999</v>
      </c>
      <c r="N244">
        <v>0.38</v>
      </c>
      <c r="O244">
        <v>3.46</v>
      </c>
      <c r="P244">
        <v>1.1299999999999999</v>
      </c>
    </row>
    <row r="245" spans="1:16" x14ac:dyDescent="0.25">
      <c r="A245" s="1">
        <v>41542</v>
      </c>
      <c r="B245">
        <v>8.92</v>
      </c>
      <c r="C245">
        <v>125.98</v>
      </c>
      <c r="D245">
        <v>3.4689999999999999</v>
      </c>
      <c r="E245">
        <v>12.2</v>
      </c>
      <c r="F245">
        <v>6.72</v>
      </c>
      <c r="G245">
        <v>1.6539999999999999</v>
      </c>
      <c r="H245">
        <v>11.19</v>
      </c>
      <c r="I245">
        <v>28.07</v>
      </c>
      <c r="J245">
        <v>16.25</v>
      </c>
      <c r="K245">
        <v>8.9700000000000006</v>
      </c>
      <c r="L245">
        <v>1.22</v>
      </c>
      <c r="M245">
        <v>1.569</v>
      </c>
      <c r="N245">
        <v>0.38</v>
      </c>
      <c r="O245">
        <v>3.46</v>
      </c>
      <c r="P245">
        <v>1.139</v>
      </c>
    </row>
    <row r="246" spans="1:16" x14ac:dyDescent="0.25">
      <c r="A246" s="1">
        <v>41543</v>
      </c>
      <c r="B246">
        <v>8.7200000000000006</v>
      </c>
      <c r="C246">
        <v>123.25</v>
      </c>
      <c r="D246">
        <v>3.3570000000000002</v>
      </c>
      <c r="E246">
        <v>11.8</v>
      </c>
      <c r="F246">
        <v>6.6</v>
      </c>
      <c r="G246">
        <v>1.6359999999999999</v>
      </c>
      <c r="H246">
        <v>11.05</v>
      </c>
      <c r="I246">
        <v>28.07</v>
      </c>
      <c r="J246">
        <v>16.25</v>
      </c>
      <c r="K246">
        <v>8.9700000000000006</v>
      </c>
      <c r="L246">
        <v>1.22</v>
      </c>
      <c r="M246">
        <v>1.5529999999999999</v>
      </c>
      <c r="N246">
        <v>0.37</v>
      </c>
      <c r="O246">
        <v>3.47</v>
      </c>
      <c r="P246">
        <v>1.1299999999999999</v>
      </c>
    </row>
    <row r="247" spans="1:16" x14ac:dyDescent="0.25">
      <c r="A247" s="1">
        <v>41544</v>
      </c>
      <c r="B247">
        <v>8.8699999999999992</v>
      </c>
      <c r="C247">
        <v>122.14</v>
      </c>
      <c r="D247">
        <v>3.3679999999999999</v>
      </c>
      <c r="E247">
        <v>11.8</v>
      </c>
      <c r="F247">
        <v>6.6</v>
      </c>
      <c r="G247">
        <v>1.627</v>
      </c>
      <c r="H247">
        <v>10.95</v>
      </c>
      <c r="I247">
        <v>28.21</v>
      </c>
      <c r="J247">
        <v>16.649999999999999</v>
      </c>
      <c r="K247">
        <v>8.98</v>
      </c>
      <c r="L247">
        <v>1.23</v>
      </c>
      <c r="M247">
        <v>1.5529999999999999</v>
      </c>
      <c r="N247">
        <v>0.39</v>
      </c>
      <c r="O247">
        <v>3.47</v>
      </c>
      <c r="P247">
        <v>1.1299999999999999</v>
      </c>
    </row>
    <row r="248" spans="1:16" x14ac:dyDescent="0.25">
      <c r="A248" s="1">
        <v>41547</v>
      </c>
      <c r="B248">
        <v>8.77</v>
      </c>
      <c r="C248">
        <v>122.83</v>
      </c>
      <c r="D248">
        <v>3.351</v>
      </c>
      <c r="E248">
        <v>11.89</v>
      </c>
      <c r="F248">
        <v>6.6</v>
      </c>
      <c r="G248">
        <v>1.627</v>
      </c>
      <c r="H248">
        <v>10.85</v>
      </c>
      <c r="I248">
        <v>28.07</v>
      </c>
      <c r="J248">
        <v>16.75</v>
      </c>
      <c r="K248">
        <v>8.98</v>
      </c>
      <c r="L248">
        <v>1.22</v>
      </c>
      <c r="M248">
        <v>1.5529999999999999</v>
      </c>
      <c r="N248">
        <v>0.39</v>
      </c>
      <c r="O248">
        <v>3.54</v>
      </c>
      <c r="P248">
        <v>1.1120000000000001</v>
      </c>
    </row>
    <row r="249" spans="1:16" x14ac:dyDescent="0.25">
      <c r="A249" s="1">
        <v>41548</v>
      </c>
      <c r="B249">
        <v>8.77</v>
      </c>
      <c r="C249">
        <v>123.21</v>
      </c>
      <c r="D249">
        <v>3.3570000000000002</v>
      </c>
      <c r="E249">
        <v>11.5</v>
      </c>
      <c r="F249">
        <v>6.48</v>
      </c>
      <c r="G249">
        <v>1.6359999999999999</v>
      </c>
      <c r="H249">
        <v>10.9</v>
      </c>
      <c r="I249">
        <v>28.31</v>
      </c>
      <c r="J249">
        <v>16.75</v>
      </c>
      <c r="K249">
        <v>8.9600000000000009</v>
      </c>
      <c r="L249">
        <v>1.22</v>
      </c>
      <c r="M249">
        <v>1.569</v>
      </c>
      <c r="N249">
        <v>0.38</v>
      </c>
      <c r="O249">
        <v>3.54</v>
      </c>
      <c r="P249">
        <v>1.121</v>
      </c>
    </row>
    <row r="250" spans="1:16" x14ac:dyDescent="0.25">
      <c r="A250" s="1">
        <v>41549</v>
      </c>
      <c r="B250">
        <v>8.58</v>
      </c>
      <c r="C250">
        <v>124.69</v>
      </c>
      <c r="D250">
        <v>3.3570000000000002</v>
      </c>
      <c r="E250">
        <v>11.6</v>
      </c>
      <c r="F250">
        <v>6.5</v>
      </c>
      <c r="G250">
        <v>1.627</v>
      </c>
      <c r="H250">
        <v>10.9</v>
      </c>
      <c r="I250">
        <v>28.31</v>
      </c>
      <c r="J250">
        <v>16.75</v>
      </c>
      <c r="K250">
        <v>8.86</v>
      </c>
      <c r="L250">
        <v>1.24</v>
      </c>
      <c r="M250">
        <v>1.544</v>
      </c>
      <c r="N250">
        <v>0.37</v>
      </c>
      <c r="O250">
        <v>3.56</v>
      </c>
      <c r="P250">
        <v>1.1299999999999999</v>
      </c>
    </row>
    <row r="251" spans="1:16" x14ac:dyDescent="0.25">
      <c r="A251" s="1">
        <v>41550</v>
      </c>
      <c r="B251">
        <v>8.57</v>
      </c>
      <c r="C251">
        <v>125.55</v>
      </c>
      <c r="D251">
        <v>3.34</v>
      </c>
      <c r="E251">
        <v>11.6</v>
      </c>
      <c r="F251">
        <v>6.53</v>
      </c>
      <c r="G251">
        <v>1.591</v>
      </c>
      <c r="H251">
        <v>10.220000000000001</v>
      </c>
      <c r="I251">
        <v>28.31</v>
      </c>
      <c r="J251">
        <v>16.75</v>
      </c>
      <c r="K251">
        <v>8.76</v>
      </c>
      <c r="L251">
        <v>1.22</v>
      </c>
      <c r="M251">
        <v>1.544</v>
      </c>
      <c r="N251">
        <v>0.36</v>
      </c>
      <c r="O251">
        <v>3.58</v>
      </c>
      <c r="P251">
        <v>1.1299999999999999</v>
      </c>
    </row>
    <row r="252" spans="1:16" x14ac:dyDescent="0.25">
      <c r="A252" s="1">
        <v>41551</v>
      </c>
      <c r="B252">
        <v>8.5500000000000007</v>
      </c>
      <c r="C252">
        <v>125.19</v>
      </c>
      <c r="D252">
        <v>3.3119999999999998</v>
      </c>
      <c r="E252">
        <v>11.7</v>
      </c>
      <c r="F252">
        <v>6.55</v>
      </c>
      <c r="G252">
        <v>1.591</v>
      </c>
      <c r="H252">
        <v>10.76</v>
      </c>
      <c r="I252">
        <v>28.07</v>
      </c>
      <c r="J252">
        <v>16.75</v>
      </c>
      <c r="K252">
        <v>8.67</v>
      </c>
      <c r="L252">
        <v>1.2</v>
      </c>
      <c r="M252">
        <v>1.488</v>
      </c>
      <c r="N252">
        <v>0.36</v>
      </c>
      <c r="O252">
        <v>3.41</v>
      </c>
      <c r="P252">
        <v>1.121</v>
      </c>
    </row>
    <row r="253" spans="1:16" x14ac:dyDescent="0.25">
      <c r="A253" s="1">
        <v>41554</v>
      </c>
      <c r="B253">
        <v>8.5500000000000007</v>
      </c>
      <c r="C253">
        <v>126.47</v>
      </c>
      <c r="D253">
        <v>3.2949999999999999</v>
      </c>
      <c r="E253">
        <v>11.93</v>
      </c>
      <c r="F253">
        <v>6.58</v>
      </c>
      <c r="G253">
        <v>1.591</v>
      </c>
      <c r="H253">
        <v>10.67</v>
      </c>
      <c r="I253">
        <v>28.07</v>
      </c>
      <c r="J253">
        <v>17.100000000000001</v>
      </c>
      <c r="K253">
        <v>8.67</v>
      </c>
      <c r="L253">
        <v>1.2</v>
      </c>
      <c r="M253">
        <v>1.488</v>
      </c>
      <c r="N253">
        <v>0.36</v>
      </c>
      <c r="O253">
        <v>3.41</v>
      </c>
      <c r="P253">
        <v>1.1120000000000001</v>
      </c>
    </row>
    <row r="254" spans="1:16" x14ac:dyDescent="0.25">
      <c r="A254" s="1">
        <v>41556</v>
      </c>
      <c r="B254">
        <v>8.48</v>
      </c>
      <c r="C254">
        <v>129.83000000000001</v>
      </c>
      <c r="D254">
        <v>3.2839999999999998</v>
      </c>
      <c r="E254">
        <v>11.89</v>
      </c>
      <c r="F254">
        <v>6.53</v>
      </c>
      <c r="G254">
        <v>1.591</v>
      </c>
      <c r="H254">
        <v>10.67</v>
      </c>
      <c r="I254">
        <v>28.07</v>
      </c>
      <c r="J254">
        <v>16.8</v>
      </c>
      <c r="K254">
        <v>8.76</v>
      </c>
      <c r="L254">
        <v>1.23</v>
      </c>
      <c r="M254">
        <v>1.496</v>
      </c>
      <c r="N254">
        <v>0.36</v>
      </c>
      <c r="O254">
        <v>3.56</v>
      </c>
      <c r="P254">
        <v>1.121</v>
      </c>
    </row>
    <row r="255" spans="1:16" x14ac:dyDescent="0.25">
      <c r="A255" s="1">
        <v>41557</v>
      </c>
      <c r="B255">
        <v>8.4600000000000009</v>
      </c>
      <c r="C255">
        <v>132.04</v>
      </c>
      <c r="D255">
        <v>3.34</v>
      </c>
      <c r="E255">
        <v>11.89</v>
      </c>
      <c r="F255">
        <v>6.53</v>
      </c>
      <c r="G255">
        <v>1.583</v>
      </c>
      <c r="H255">
        <v>10.61</v>
      </c>
      <c r="I255">
        <v>28.07</v>
      </c>
      <c r="J255">
        <v>16.8</v>
      </c>
      <c r="K255">
        <v>8.74</v>
      </c>
      <c r="L255">
        <v>1.26</v>
      </c>
      <c r="M255">
        <v>1.488</v>
      </c>
      <c r="N255">
        <v>0.35</v>
      </c>
      <c r="O255">
        <v>3.54</v>
      </c>
      <c r="P255">
        <v>1.103</v>
      </c>
    </row>
    <row r="256" spans="1:16" x14ac:dyDescent="0.25">
      <c r="A256" s="1">
        <v>41558</v>
      </c>
      <c r="B256">
        <v>8.4600000000000009</v>
      </c>
      <c r="C256">
        <v>133.15</v>
      </c>
      <c r="D256">
        <v>3.34</v>
      </c>
      <c r="E256">
        <v>11.77</v>
      </c>
      <c r="F256">
        <v>6.48</v>
      </c>
      <c r="G256">
        <v>1.591</v>
      </c>
      <c r="H256">
        <v>10.56</v>
      </c>
      <c r="I256">
        <v>28.07</v>
      </c>
      <c r="J256">
        <v>16.5</v>
      </c>
      <c r="K256">
        <v>8.74</v>
      </c>
      <c r="L256">
        <v>1.26</v>
      </c>
      <c r="M256">
        <v>1.488</v>
      </c>
      <c r="N256">
        <v>0.37</v>
      </c>
      <c r="O256">
        <v>3.56</v>
      </c>
      <c r="P256">
        <v>1.121</v>
      </c>
    </row>
    <row r="257" spans="1:16" x14ac:dyDescent="0.25">
      <c r="A257" s="1">
        <v>41561</v>
      </c>
      <c r="B257">
        <v>8.33</v>
      </c>
      <c r="C257">
        <v>130.79</v>
      </c>
      <c r="D257">
        <v>3.3620000000000001</v>
      </c>
      <c r="E257">
        <v>12.14</v>
      </c>
      <c r="F257">
        <v>6.47</v>
      </c>
      <c r="G257">
        <v>1.591</v>
      </c>
      <c r="H257">
        <v>10.54</v>
      </c>
      <c r="I257">
        <v>28.07</v>
      </c>
      <c r="J257">
        <v>16.649999999999999</v>
      </c>
      <c r="K257">
        <v>8.67</v>
      </c>
      <c r="L257">
        <v>1.26</v>
      </c>
      <c r="M257">
        <v>1.488</v>
      </c>
      <c r="N257">
        <v>0.37</v>
      </c>
      <c r="O257">
        <v>3.46</v>
      </c>
      <c r="P257">
        <v>1.139</v>
      </c>
    </row>
    <row r="258" spans="1:16" x14ac:dyDescent="0.25">
      <c r="A258" s="1">
        <v>41562</v>
      </c>
      <c r="B258">
        <v>8.3800000000000008</v>
      </c>
      <c r="C258">
        <v>130.79</v>
      </c>
      <c r="D258">
        <v>3.3450000000000002</v>
      </c>
      <c r="E258">
        <v>12.45</v>
      </c>
      <c r="F258">
        <v>6.47</v>
      </c>
      <c r="G258">
        <v>1.609</v>
      </c>
      <c r="H258">
        <v>10.51</v>
      </c>
      <c r="I258">
        <v>28.02</v>
      </c>
      <c r="J258">
        <v>16.579999999999998</v>
      </c>
      <c r="K258">
        <v>8.74</v>
      </c>
      <c r="L258">
        <v>1.29</v>
      </c>
      <c r="M258">
        <v>1.488</v>
      </c>
      <c r="N258">
        <v>0.37</v>
      </c>
      <c r="O258">
        <v>3.41</v>
      </c>
      <c r="P258">
        <v>1.1559999999999999</v>
      </c>
    </row>
    <row r="259" spans="1:16" x14ac:dyDescent="0.25">
      <c r="A259" s="1">
        <v>41563</v>
      </c>
      <c r="B259">
        <v>8.3800000000000008</v>
      </c>
      <c r="C259">
        <v>129.83000000000001</v>
      </c>
      <c r="D259">
        <v>3.3450000000000002</v>
      </c>
      <c r="E259">
        <v>12.55</v>
      </c>
      <c r="F259">
        <v>6.47</v>
      </c>
      <c r="G259">
        <v>1.591</v>
      </c>
      <c r="H259">
        <v>10.56</v>
      </c>
      <c r="I259">
        <v>28.07</v>
      </c>
      <c r="J259">
        <v>16.5</v>
      </c>
      <c r="K259">
        <v>8.76</v>
      </c>
      <c r="L259">
        <v>1.29</v>
      </c>
      <c r="M259">
        <v>1.488</v>
      </c>
      <c r="N259">
        <v>0.37</v>
      </c>
      <c r="O259">
        <v>3.42</v>
      </c>
      <c r="P259">
        <v>1.1559999999999999</v>
      </c>
    </row>
    <row r="260" spans="1:16" x14ac:dyDescent="0.25">
      <c r="A260" s="1">
        <v>41564</v>
      </c>
      <c r="B260">
        <v>8.3800000000000008</v>
      </c>
      <c r="C260">
        <v>133.65</v>
      </c>
      <c r="D260">
        <v>3.34</v>
      </c>
      <c r="E260">
        <v>13.95</v>
      </c>
      <c r="F260">
        <v>6.35</v>
      </c>
      <c r="G260">
        <v>1.601</v>
      </c>
      <c r="H260">
        <v>10.51</v>
      </c>
      <c r="I260">
        <v>28.07</v>
      </c>
      <c r="J260">
        <v>16.5</v>
      </c>
      <c r="K260">
        <v>8.8800000000000008</v>
      </c>
      <c r="L260">
        <v>1.29</v>
      </c>
      <c r="M260">
        <v>1.4790000000000001</v>
      </c>
      <c r="N260">
        <v>0.38</v>
      </c>
      <c r="O260">
        <v>3.51</v>
      </c>
      <c r="P260">
        <v>1.165</v>
      </c>
    </row>
    <row r="261" spans="1:16" x14ac:dyDescent="0.25">
      <c r="A261" s="1">
        <v>41565</v>
      </c>
      <c r="B261">
        <v>8.3800000000000008</v>
      </c>
      <c r="C261">
        <v>132.72</v>
      </c>
      <c r="D261">
        <v>3.452</v>
      </c>
      <c r="E261">
        <v>13.6</v>
      </c>
      <c r="F261">
        <v>6.32</v>
      </c>
      <c r="G261">
        <v>1.601</v>
      </c>
      <c r="H261">
        <v>11.15</v>
      </c>
      <c r="I261">
        <v>28.31</v>
      </c>
      <c r="J261">
        <v>16.8</v>
      </c>
      <c r="K261">
        <v>9.31</v>
      </c>
      <c r="L261">
        <v>1.31</v>
      </c>
      <c r="M261">
        <v>1.512</v>
      </c>
      <c r="N261">
        <v>0.37</v>
      </c>
      <c r="O261">
        <v>3.56</v>
      </c>
      <c r="P261">
        <v>1.1739999999999999</v>
      </c>
    </row>
    <row r="262" spans="1:16" x14ac:dyDescent="0.25">
      <c r="A262" s="1">
        <v>41568</v>
      </c>
      <c r="B262">
        <v>8.39</v>
      </c>
      <c r="C262">
        <v>133.66999999999999</v>
      </c>
      <c r="D262">
        <v>3.4239999999999999</v>
      </c>
      <c r="E262">
        <v>13.85</v>
      </c>
      <c r="F262">
        <v>6.35</v>
      </c>
      <c r="G262">
        <v>1.573</v>
      </c>
      <c r="H262">
        <v>11.15</v>
      </c>
      <c r="I262">
        <v>28.55</v>
      </c>
      <c r="J262">
        <v>16.25</v>
      </c>
      <c r="K262">
        <v>9.35</v>
      </c>
      <c r="L262">
        <v>1.29</v>
      </c>
      <c r="M262">
        <v>1.528</v>
      </c>
      <c r="N262">
        <v>0.37</v>
      </c>
      <c r="O262">
        <v>3.56</v>
      </c>
      <c r="P262">
        <v>1.1559999999999999</v>
      </c>
    </row>
    <row r="263" spans="1:16" x14ac:dyDescent="0.25">
      <c r="A263" s="1">
        <v>41569</v>
      </c>
      <c r="B263">
        <v>8.39</v>
      </c>
      <c r="C263">
        <v>134.4</v>
      </c>
      <c r="D263">
        <v>3.536</v>
      </c>
      <c r="E263">
        <v>14.3</v>
      </c>
      <c r="F263">
        <v>6.3</v>
      </c>
      <c r="G263">
        <v>1.573</v>
      </c>
      <c r="H263">
        <v>11.2</v>
      </c>
      <c r="I263">
        <v>29.02</v>
      </c>
      <c r="J263">
        <v>16.25</v>
      </c>
      <c r="K263">
        <v>9.4</v>
      </c>
      <c r="L263">
        <v>1.31</v>
      </c>
      <c r="M263">
        <v>1.5609999999999999</v>
      </c>
      <c r="N263">
        <v>0.39</v>
      </c>
      <c r="O263">
        <v>3.58</v>
      </c>
      <c r="P263">
        <v>1.1830000000000001</v>
      </c>
    </row>
    <row r="264" spans="1:16" x14ac:dyDescent="0.25">
      <c r="A264" s="1">
        <v>41570</v>
      </c>
      <c r="B264">
        <v>8.39</v>
      </c>
      <c r="C264">
        <v>133.19999999999999</v>
      </c>
      <c r="D264">
        <v>3.5310000000000001</v>
      </c>
      <c r="E264">
        <v>14.18</v>
      </c>
      <c r="F264">
        <v>6.3</v>
      </c>
      <c r="G264">
        <v>1.583</v>
      </c>
      <c r="H264">
        <v>11.3</v>
      </c>
      <c r="I264">
        <v>29.5</v>
      </c>
      <c r="J264">
        <v>16.25</v>
      </c>
      <c r="K264">
        <v>9.4</v>
      </c>
      <c r="L264">
        <v>1.3</v>
      </c>
      <c r="M264">
        <v>1.5609999999999999</v>
      </c>
      <c r="N264">
        <v>0.38</v>
      </c>
      <c r="O264">
        <v>3.52</v>
      </c>
      <c r="P264">
        <v>1.1559999999999999</v>
      </c>
    </row>
    <row r="265" spans="1:16" x14ac:dyDescent="0.25">
      <c r="A265" s="1">
        <v>41571</v>
      </c>
      <c r="B265">
        <v>8.3699999999999992</v>
      </c>
      <c r="C265">
        <v>133.44</v>
      </c>
      <c r="D265">
        <v>3.5190000000000001</v>
      </c>
      <c r="E265">
        <v>14.4</v>
      </c>
      <c r="F265">
        <v>6.3</v>
      </c>
      <c r="G265">
        <v>1.573</v>
      </c>
      <c r="H265">
        <v>11.41</v>
      </c>
      <c r="I265">
        <v>30.12</v>
      </c>
      <c r="J265">
        <v>16.38</v>
      </c>
      <c r="K265">
        <v>9.4</v>
      </c>
      <c r="L265">
        <v>1.29</v>
      </c>
      <c r="M265">
        <v>1.601</v>
      </c>
      <c r="N265">
        <v>0.38</v>
      </c>
      <c r="O265">
        <v>3.46</v>
      </c>
      <c r="P265">
        <v>1.1559999999999999</v>
      </c>
    </row>
    <row r="266" spans="1:16" x14ac:dyDescent="0.25">
      <c r="A266" s="1">
        <v>41572</v>
      </c>
      <c r="B266">
        <v>8.3699999999999992</v>
      </c>
      <c r="C266">
        <v>133.31</v>
      </c>
      <c r="D266">
        <v>3.5190000000000001</v>
      </c>
      <c r="E266">
        <v>14.27</v>
      </c>
      <c r="F266">
        <v>6.35</v>
      </c>
      <c r="G266">
        <v>1.583</v>
      </c>
      <c r="H266">
        <v>11.59</v>
      </c>
      <c r="I266">
        <v>30.56</v>
      </c>
      <c r="J266">
        <v>16.28</v>
      </c>
      <c r="K266">
        <v>9.4</v>
      </c>
      <c r="L266">
        <v>1.28</v>
      </c>
      <c r="M266">
        <v>1.6259999999999999</v>
      </c>
      <c r="N266">
        <v>0.38</v>
      </c>
      <c r="O266">
        <v>3.43</v>
      </c>
      <c r="P266">
        <v>1.147</v>
      </c>
    </row>
    <row r="267" spans="1:16" x14ac:dyDescent="0.25">
      <c r="A267" s="1">
        <v>41575</v>
      </c>
      <c r="B267">
        <v>8.3800000000000008</v>
      </c>
      <c r="C267">
        <v>135.41</v>
      </c>
      <c r="D267">
        <v>3.5310000000000001</v>
      </c>
      <c r="E267">
        <v>14.7</v>
      </c>
      <c r="F267">
        <v>6.44</v>
      </c>
      <c r="G267">
        <v>1.583</v>
      </c>
      <c r="H267">
        <v>11.64</v>
      </c>
      <c r="I267">
        <v>30.93</v>
      </c>
      <c r="J267">
        <v>16.399999999999999</v>
      </c>
      <c r="K267">
        <v>9.4</v>
      </c>
      <c r="L267">
        <v>1.28</v>
      </c>
      <c r="M267">
        <v>1.6180000000000001</v>
      </c>
      <c r="N267">
        <v>0.38</v>
      </c>
      <c r="O267">
        <v>3.43</v>
      </c>
      <c r="P267">
        <v>1.139</v>
      </c>
    </row>
    <row r="268" spans="1:16" x14ac:dyDescent="0.25">
      <c r="A268" s="1">
        <v>41576</v>
      </c>
      <c r="B268">
        <v>8.48</v>
      </c>
      <c r="C268">
        <v>135.51</v>
      </c>
      <c r="D268">
        <v>3.5920000000000001</v>
      </c>
      <c r="E268">
        <v>14.7</v>
      </c>
      <c r="F268">
        <v>6.53</v>
      </c>
      <c r="G268">
        <v>1.6180000000000001</v>
      </c>
      <c r="H268">
        <v>11.62</v>
      </c>
      <c r="I268">
        <v>31.88</v>
      </c>
      <c r="J268">
        <v>16.489999999999998</v>
      </c>
      <c r="K268">
        <v>9.4499999999999993</v>
      </c>
      <c r="L268">
        <v>1.28</v>
      </c>
      <c r="M268">
        <v>1.6659999999999999</v>
      </c>
      <c r="N268">
        <v>0.38</v>
      </c>
      <c r="O268">
        <v>3.56</v>
      </c>
      <c r="P268">
        <v>1.1559999999999999</v>
      </c>
    </row>
    <row r="269" spans="1:16" x14ac:dyDescent="0.25">
      <c r="A269" s="1">
        <v>41577</v>
      </c>
      <c r="B269">
        <v>8.5299999999999994</v>
      </c>
      <c r="C269">
        <v>135.12</v>
      </c>
      <c r="D269">
        <v>3.6320000000000001</v>
      </c>
      <c r="E269">
        <v>14.58</v>
      </c>
      <c r="F269">
        <v>6.52</v>
      </c>
      <c r="G269">
        <v>1.627</v>
      </c>
      <c r="H269">
        <v>11.57</v>
      </c>
      <c r="I269">
        <v>31.97</v>
      </c>
      <c r="J269">
        <v>16.45</v>
      </c>
      <c r="K269">
        <v>9.4499999999999993</v>
      </c>
      <c r="L269">
        <v>1.32</v>
      </c>
      <c r="M269">
        <v>1.6830000000000001</v>
      </c>
      <c r="N269">
        <v>0.36</v>
      </c>
      <c r="O269">
        <v>3.56</v>
      </c>
      <c r="P269">
        <v>1.1739999999999999</v>
      </c>
    </row>
    <row r="270" spans="1:16" x14ac:dyDescent="0.25">
      <c r="A270" s="1">
        <v>41578</v>
      </c>
      <c r="B270">
        <v>8.5299999999999994</v>
      </c>
      <c r="C270">
        <v>132.53</v>
      </c>
      <c r="D270">
        <v>3.6819999999999999</v>
      </c>
      <c r="E270">
        <v>14.5</v>
      </c>
      <c r="F270">
        <v>6.52</v>
      </c>
      <c r="G270">
        <v>1.627</v>
      </c>
      <c r="H270">
        <v>11.84</v>
      </c>
      <c r="I270">
        <v>31.83</v>
      </c>
      <c r="J270">
        <v>16.5</v>
      </c>
      <c r="K270">
        <v>9.4</v>
      </c>
      <c r="L270">
        <v>1.36</v>
      </c>
      <c r="M270">
        <v>1.6830000000000001</v>
      </c>
      <c r="N270">
        <v>0.36</v>
      </c>
      <c r="O270">
        <v>3.58</v>
      </c>
      <c r="P270">
        <v>1.1559999999999999</v>
      </c>
    </row>
    <row r="271" spans="1:16" x14ac:dyDescent="0.25">
      <c r="A271" s="1">
        <v>41582</v>
      </c>
      <c r="B271">
        <v>8.58</v>
      </c>
      <c r="C271">
        <v>129.26</v>
      </c>
      <c r="D271">
        <v>3.6930000000000001</v>
      </c>
      <c r="E271">
        <v>14.1</v>
      </c>
      <c r="F271">
        <v>6.5</v>
      </c>
      <c r="G271">
        <v>1.663</v>
      </c>
      <c r="H271">
        <v>12.08</v>
      </c>
      <c r="I271">
        <v>31.9</v>
      </c>
      <c r="J271">
        <v>16.5</v>
      </c>
      <c r="K271">
        <v>9.4499999999999993</v>
      </c>
      <c r="L271">
        <v>1.39</v>
      </c>
      <c r="M271">
        <v>1.6659999999999999</v>
      </c>
      <c r="N271">
        <v>0.37</v>
      </c>
      <c r="O271">
        <v>3.63</v>
      </c>
      <c r="P271">
        <v>1.147</v>
      </c>
    </row>
    <row r="272" spans="1:16" x14ac:dyDescent="0.25">
      <c r="A272" s="1">
        <v>41583</v>
      </c>
      <c r="B272">
        <v>8.58</v>
      </c>
      <c r="C272">
        <v>129.83000000000001</v>
      </c>
      <c r="D272">
        <v>3.677</v>
      </c>
      <c r="E272">
        <v>14.39</v>
      </c>
      <c r="F272">
        <v>6.49</v>
      </c>
      <c r="G272">
        <v>1.663</v>
      </c>
      <c r="H272">
        <v>11.89</v>
      </c>
      <c r="I272">
        <v>31.85</v>
      </c>
      <c r="J272">
        <v>16.5</v>
      </c>
      <c r="K272">
        <v>9.39</v>
      </c>
      <c r="L272">
        <v>1.36</v>
      </c>
      <c r="M272">
        <v>1.6579999999999999</v>
      </c>
      <c r="N272">
        <v>0.37</v>
      </c>
      <c r="O272">
        <v>3.64</v>
      </c>
      <c r="P272">
        <v>1.1559999999999999</v>
      </c>
    </row>
    <row r="273" spans="1:16" x14ac:dyDescent="0.25">
      <c r="A273" s="1">
        <v>41584</v>
      </c>
      <c r="B273">
        <v>8.58</v>
      </c>
      <c r="C273">
        <v>130.22</v>
      </c>
      <c r="D273">
        <v>3.6480000000000001</v>
      </c>
      <c r="E273">
        <v>14.3</v>
      </c>
      <c r="F273">
        <v>6.47</v>
      </c>
      <c r="G273">
        <v>1.645</v>
      </c>
      <c r="H273">
        <v>11.79</v>
      </c>
      <c r="I273">
        <v>31.85</v>
      </c>
      <c r="J273">
        <v>16.7</v>
      </c>
      <c r="K273">
        <v>9.39</v>
      </c>
      <c r="L273">
        <v>1.36</v>
      </c>
      <c r="M273">
        <v>1.6579999999999999</v>
      </c>
      <c r="N273">
        <v>0.37</v>
      </c>
      <c r="O273">
        <v>3.64</v>
      </c>
      <c r="P273">
        <v>1.147</v>
      </c>
    </row>
    <row r="274" spans="1:16" x14ac:dyDescent="0.25">
      <c r="A274" s="1">
        <v>41585</v>
      </c>
      <c r="B274">
        <v>8.5299999999999994</v>
      </c>
      <c r="C274">
        <v>129.35</v>
      </c>
      <c r="D274">
        <v>3.6040000000000001</v>
      </c>
      <c r="E274">
        <v>14.2</v>
      </c>
      <c r="F274">
        <v>6.41</v>
      </c>
      <c r="G274">
        <v>1.6180000000000001</v>
      </c>
      <c r="H274">
        <v>11.69</v>
      </c>
      <c r="I274">
        <v>31.85</v>
      </c>
      <c r="J274">
        <v>16.7</v>
      </c>
      <c r="K274">
        <v>9.39</v>
      </c>
      <c r="L274">
        <v>1.36</v>
      </c>
      <c r="M274">
        <v>1.6259999999999999</v>
      </c>
      <c r="N274">
        <v>0.36</v>
      </c>
      <c r="O274">
        <v>3.64</v>
      </c>
      <c r="P274">
        <v>1.1299999999999999</v>
      </c>
    </row>
    <row r="275" spans="1:16" x14ac:dyDescent="0.25">
      <c r="A275" s="1">
        <v>41586</v>
      </c>
      <c r="B275">
        <v>8.43</v>
      </c>
      <c r="C275">
        <v>125.02</v>
      </c>
      <c r="D275">
        <v>3.5920000000000001</v>
      </c>
      <c r="E275">
        <v>13.95</v>
      </c>
      <c r="F275">
        <v>6.41</v>
      </c>
      <c r="G275">
        <v>1.609</v>
      </c>
      <c r="H275">
        <v>11.54</v>
      </c>
      <c r="I275">
        <v>31.16</v>
      </c>
      <c r="J275">
        <v>16.7</v>
      </c>
      <c r="K275">
        <v>9.1</v>
      </c>
      <c r="L275">
        <v>1.32</v>
      </c>
      <c r="M275">
        <v>1.585</v>
      </c>
      <c r="N275">
        <v>0.33</v>
      </c>
      <c r="O275">
        <v>3.62</v>
      </c>
      <c r="P275">
        <v>1.103</v>
      </c>
    </row>
    <row r="276" spans="1:16" x14ac:dyDescent="0.25">
      <c r="A276" s="1">
        <v>41589</v>
      </c>
      <c r="B276">
        <v>8.3800000000000008</v>
      </c>
      <c r="C276">
        <v>125.99</v>
      </c>
      <c r="D276">
        <v>3.57</v>
      </c>
      <c r="E276">
        <v>13.95</v>
      </c>
      <c r="F276">
        <v>6.47</v>
      </c>
      <c r="G276">
        <v>1.591</v>
      </c>
      <c r="H276">
        <v>11.49</v>
      </c>
      <c r="I276">
        <v>30.45</v>
      </c>
      <c r="J276">
        <v>16.7</v>
      </c>
      <c r="K276">
        <v>9.1</v>
      </c>
      <c r="L276">
        <v>1.32</v>
      </c>
      <c r="M276">
        <v>1.5609999999999999</v>
      </c>
      <c r="N276">
        <v>0.35</v>
      </c>
      <c r="O276">
        <v>3.62</v>
      </c>
      <c r="P276">
        <v>1.0940000000000001</v>
      </c>
    </row>
    <row r="277" spans="1:16" x14ac:dyDescent="0.25">
      <c r="A277" s="1">
        <v>41590</v>
      </c>
      <c r="B277">
        <v>8.43</v>
      </c>
      <c r="C277">
        <v>125.99</v>
      </c>
      <c r="D277">
        <v>3.536</v>
      </c>
      <c r="E277">
        <v>13.85</v>
      </c>
      <c r="F277">
        <v>6.42</v>
      </c>
      <c r="G277">
        <v>1.591</v>
      </c>
      <c r="H277">
        <v>11.51</v>
      </c>
      <c r="I277">
        <v>30.07</v>
      </c>
      <c r="J277">
        <v>16.399999999999999</v>
      </c>
      <c r="K277">
        <v>9.1</v>
      </c>
      <c r="L277">
        <v>1.31</v>
      </c>
      <c r="M277">
        <v>1.5609999999999999</v>
      </c>
      <c r="N277">
        <v>0.35</v>
      </c>
      <c r="O277">
        <v>3.62</v>
      </c>
      <c r="P277">
        <v>1.0940000000000001</v>
      </c>
    </row>
    <row r="278" spans="1:16" x14ac:dyDescent="0.25">
      <c r="A278" s="1">
        <v>41591</v>
      </c>
      <c r="B278">
        <v>8.3800000000000008</v>
      </c>
      <c r="C278">
        <v>125.99</v>
      </c>
      <c r="D278">
        <v>3.452</v>
      </c>
      <c r="E278">
        <v>13.75</v>
      </c>
      <c r="F278">
        <v>6.38</v>
      </c>
      <c r="G278">
        <v>1.583</v>
      </c>
      <c r="H278">
        <v>11.49</v>
      </c>
      <c r="I278">
        <v>29.49</v>
      </c>
      <c r="J278">
        <v>16.399999999999999</v>
      </c>
      <c r="K278">
        <v>8.91</v>
      </c>
      <c r="L278">
        <v>1.31</v>
      </c>
      <c r="M278">
        <v>1.528</v>
      </c>
      <c r="N278">
        <v>0.34</v>
      </c>
      <c r="O278">
        <v>3.47</v>
      </c>
      <c r="P278">
        <v>1.0760000000000001</v>
      </c>
    </row>
    <row r="279" spans="1:16" x14ac:dyDescent="0.25">
      <c r="A279" s="1">
        <v>41592</v>
      </c>
      <c r="B279">
        <v>8.3800000000000008</v>
      </c>
      <c r="C279">
        <v>125.29</v>
      </c>
      <c r="D279">
        <v>3.452</v>
      </c>
      <c r="E279">
        <v>13.82</v>
      </c>
      <c r="F279">
        <v>6.4</v>
      </c>
      <c r="G279">
        <v>1.573</v>
      </c>
      <c r="H279">
        <v>11.51</v>
      </c>
      <c r="I279">
        <v>29.12</v>
      </c>
      <c r="J279">
        <v>16.399999999999999</v>
      </c>
      <c r="K279">
        <v>8.92</v>
      </c>
      <c r="L279">
        <v>1.29</v>
      </c>
      <c r="M279">
        <v>1.528</v>
      </c>
      <c r="N279">
        <v>0.35</v>
      </c>
      <c r="O279">
        <v>3.47</v>
      </c>
      <c r="P279">
        <v>1.0669999999999999</v>
      </c>
    </row>
    <row r="280" spans="1:16" x14ac:dyDescent="0.25">
      <c r="A280" s="1">
        <v>41593</v>
      </c>
      <c r="B280">
        <v>8.3800000000000008</v>
      </c>
      <c r="C280">
        <v>127</v>
      </c>
      <c r="D280">
        <v>3.452</v>
      </c>
      <c r="E280">
        <v>13.62</v>
      </c>
      <c r="F280">
        <v>6.4</v>
      </c>
      <c r="G280">
        <v>1.556</v>
      </c>
      <c r="H280">
        <v>11.54</v>
      </c>
      <c r="I280">
        <v>29.12</v>
      </c>
      <c r="J280">
        <v>16.399999999999999</v>
      </c>
      <c r="K280">
        <v>9.15</v>
      </c>
      <c r="L280">
        <v>1.29</v>
      </c>
      <c r="M280">
        <v>1.528</v>
      </c>
      <c r="N280">
        <v>0.34</v>
      </c>
      <c r="O280">
        <v>3.49</v>
      </c>
      <c r="P280">
        <v>1.085</v>
      </c>
    </row>
    <row r="281" spans="1:16" x14ac:dyDescent="0.25">
      <c r="A281" s="1">
        <v>41596</v>
      </c>
      <c r="B281">
        <v>8.2799999999999994</v>
      </c>
      <c r="C281">
        <v>124.93</v>
      </c>
      <c r="D281">
        <v>3.4580000000000002</v>
      </c>
      <c r="E281">
        <v>13.62</v>
      </c>
      <c r="F281">
        <v>6.46</v>
      </c>
      <c r="G281">
        <v>1.556</v>
      </c>
      <c r="H281">
        <v>11.43</v>
      </c>
      <c r="I281">
        <v>29.05</v>
      </c>
      <c r="J281">
        <v>16.399999999999999</v>
      </c>
      <c r="K281">
        <v>9.11</v>
      </c>
      <c r="L281">
        <v>1.28</v>
      </c>
      <c r="M281">
        <v>1.544</v>
      </c>
      <c r="N281">
        <v>0.33</v>
      </c>
      <c r="O281">
        <v>3.48</v>
      </c>
      <c r="P281">
        <v>1.05</v>
      </c>
    </row>
    <row r="282" spans="1:16" x14ac:dyDescent="0.25">
      <c r="A282" s="1">
        <v>41597</v>
      </c>
      <c r="B282">
        <v>8.14</v>
      </c>
      <c r="C282">
        <v>123.1</v>
      </c>
      <c r="D282">
        <v>3.3450000000000002</v>
      </c>
      <c r="E282">
        <v>12.45</v>
      </c>
      <c r="F282">
        <v>6.45</v>
      </c>
      <c r="G282">
        <v>1.546</v>
      </c>
      <c r="H282">
        <v>11</v>
      </c>
      <c r="I282">
        <v>28.36</v>
      </c>
      <c r="J282">
        <v>16.2</v>
      </c>
      <c r="K282">
        <v>8.92</v>
      </c>
      <c r="L282">
        <v>1.28</v>
      </c>
      <c r="M282">
        <v>1.5609999999999999</v>
      </c>
      <c r="N282">
        <v>0.31</v>
      </c>
      <c r="O282">
        <v>3.42</v>
      </c>
      <c r="P282">
        <v>1.05</v>
      </c>
    </row>
    <row r="283" spans="1:16" x14ac:dyDescent="0.25">
      <c r="A283" s="1">
        <v>41598</v>
      </c>
      <c r="B283">
        <v>8.15</v>
      </c>
      <c r="C283">
        <v>120.22</v>
      </c>
      <c r="D283">
        <v>3.3340000000000001</v>
      </c>
      <c r="E283">
        <v>12.5</v>
      </c>
      <c r="F283">
        <v>6.35</v>
      </c>
      <c r="G283">
        <v>1.546</v>
      </c>
      <c r="H283">
        <v>11</v>
      </c>
      <c r="I283">
        <v>28.07</v>
      </c>
      <c r="J283">
        <v>16.2</v>
      </c>
      <c r="K283">
        <v>8.92</v>
      </c>
      <c r="L283">
        <v>1.28</v>
      </c>
      <c r="M283">
        <v>1.569</v>
      </c>
      <c r="N283">
        <v>0.31</v>
      </c>
      <c r="O283">
        <v>3.35</v>
      </c>
      <c r="P283">
        <v>1.0409999999999999</v>
      </c>
    </row>
    <row r="284" spans="1:16" x14ac:dyDescent="0.25">
      <c r="A284" s="1">
        <v>41599</v>
      </c>
      <c r="B284">
        <v>8.23</v>
      </c>
      <c r="C284">
        <v>120.22</v>
      </c>
      <c r="D284">
        <v>3.3450000000000002</v>
      </c>
      <c r="E284">
        <v>12</v>
      </c>
      <c r="F284">
        <v>6.35</v>
      </c>
      <c r="G284">
        <v>1.546</v>
      </c>
      <c r="H284">
        <v>11.12</v>
      </c>
      <c r="I284">
        <v>28.17</v>
      </c>
      <c r="J284">
        <v>16.399999999999999</v>
      </c>
      <c r="K284">
        <v>9.01</v>
      </c>
      <c r="L284">
        <v>1.28</v>
      </c>
      <c r="M284">
        <v>1.569</v>
      </c>
      <c r="N284">
        <v>0.32</v>
      </c>
      <c r="O284">
        <v>3.35</v>
      </c>
      <c r="P284">
        <v>1.0409999999999999</v>
      </c>
    </row>
    <row r="285" spans="1:16" x14ac:dyDescent="0.25">
      <c r="A285" s="1">
        <v>41600</v>
      </c>
      <c r="B285">
        <v>8.2799999999999994</v>
      </c>
      <c r="C285">
        <v>120.22</v>
      </c>
      <c r="D285">
        <v>3.3570000000000002</v>
      </c>
      <c r="E285">
        <v>12</v>
      </c>
      <c r="F285">
        <v>6.2</v>
      </c>
      <c r="G285">
        <v>1.546</v>
      </c>
      <c r="H285">
        <v>11.07</v>
      </c>
      <c r="I285">
        <v>28.17</v>
      </c>
      <c r="J285">
        <v>16.2</v>
      </c>
      <c r="K285">
        <v>9.01</v>
      </c>
      <c r="L285">
        <v>1.27</v>
      </c>
      <c r="M285">
        <v>1.5609999999999999</v>
      </c>
      <c r="N285">
        <v>0.32</v>
      </c>
      <c r="O285">
        <v>3.42</v>
      </c>
      <c r="P285">
        <v>1.0409999999999999</v>
      </c>
    </row>
    <row r="286" spans="1:16" x14ac:dyDescent="0.25">
      <c r="A286" s="1">
        <v>41603</v>
      </c>
      <c r="B286">
        <v>8.2799999999999994</v>
      </c>
      <c r="C286">
        <v>122.98</v>
      </c>
      <c r="D286">
        <v>3.3730000000000002</v>
      </c>
      <c r="E286">
        <v>11.67</v>
      </c>
      <c r="F286">
        <v>6.2</v>
      </c>
      <c r="G286">
        <v>1.546</v>
      </c>
      <c r="H286">
        <v>11</v>
      </c>
      <c r="I286">
        <v>28.17</v>
      </c>
      <c r="J286">
        <v>16.2</v>
      </c>
      <c r="K286">
        <v>9.01</v>
      </c>
      <c r="L286">
        <v>1.25</v>
      </c>
      <c r="M286">
        <v>1.5609999999999999</v>
      </c>
      <c r="N286">
        <v>0.32</v>
      </c>
      <c r="O286">
        <v>3.44</v>
      </c>
      <c r="P286">
        <v>1.0229999999999999</v>
      </c>
    </row>
    <row r="287" spans="1:16" x14ac:dyDescent="0.25">
      <c r="A287" s="1">
        <v>41604</v>
      </c>
      <c r="B287">
        <v>8.48</v>
      </c>
      <c r="C287">
        <v>122.83</v>
      </c>
      <c r="D287">
        <v>3.3679999999999999</v>
      </c>
      <c r="E287">
        <v>11.15</v>
      </c>
      <c r="F287">
        <v>6.19</v>
      </c>
      <c r="G287">
        <v>1.583</v>
      </c>
      <c r="H287">
        <v>11</v>
      </c>
      <c r="I287">
        <v>29.69</v>
      </c>
      <c r="J287">
        <v>16.3</v>
      </c>
      <c r="K287">
        <v>9.01</v>
      </c>
      <c r="L287">
        <v>1.27</v>
      </c>
      <c r="M287">
        <v>1.601</v>
      </c>
      <c r="N287">
        <v>0.33</v>
      </c>
      <c r="O287">
        <v>3.53</v>
      </c>
      <c r="P287">
        <v>1.0409999999999999</v>
      </c>
    </row>
    <row r="288" spans="1:16" x14ac:dyDescent="0.25">
      <c r="A288" s="1">
        <v>41605</v>
      </c>
      <c r="B288">
        <v>8.5299999999999994</v>
      </c>
      <c r="C288">
        <v>123.58</v>
      </c>
      <c r="D288">
        <v>3.3679999999999999</v>
      </c>
      <c r="E288">
        <v>11.5</v>
      </c>
      <c r="F288">
        <v>6.18</v>
      </c>
      <c r="G288">
        <v>1.5649999999999999</v>
      </c>
      <c r="H288">
        <v>10.95</v>
      </c>
      <c r="I288">
        <v>29.69</v>
      </c>
      <c r="J288">
        <v>16.2</v>
      </c>
      <c r="K288">
        <v>9.06</v>
      </c>
      <c r="L288">
        <v>1.26</v>
      </c>
      <c r="M288">
        <v>1.6259999999999999</v>
      </c>
      <c r="N288">
        <v>0.32</v>
      </c>
      <c r="O288">
        <v>3.45</v>
      </c>
      <c r="P288">
        <v>1.0229999999999999</v>
      </c>
    </row>
    <row r="289" spans="1:16" x14ac:dyDescent="0.25">
      <c r="A289" s="1">
        <v>41606</v>
      </c>
      <c r="B289">
        <v>8.5299999999999994</v>
      </c>
      <c r="C289">
        <v>123.58</v>
      </c>
      <c r="D289">
        <v>3.3679999999999999</v>
      </c>
      <c r="E289">
        <v>11.75</v>
      </c>
      <c r="F289">
        <v>6</v>
      </c>
      <c r="G289">
        <v>1.601</v>
      </c>
      <c r="H289">
        <v>10.76</v>
      </c>
      <c r="I289">
        <v>29.69</v>
      </c>
      <c r="J289">
        <v>16.2</v>
      </c>
      <c r="K289">
        <v>9.06</v>
      </c>
      <c r="L289">
        <v>1.25</v>
      </c>
      <c r="M289">
        <v>1.6259999999999999</v>
      </c>
      <c r="N289">
        <v>0.32</v>
      </c>
      <c r="O289">
        <v>3.45</v>
      </c>
      <c r="P289">
        <v>1.0049999999999999</v>
      </c>
    </row>
    <row r="290" spans="1:16" x14ac:dyDescent="0.25">
      <c r="A290" s="1">
        <v>41607</v>
      </c>
      <c r="B290">
        <v>8.5299999999999994</v>
      </c>
      <c r="C290">
        <v>123.68</v>
      </c>
      <c r="D290">
        <v>3.4239999999999999</v>
      </c>
      <c r="E290">
        <v>11.83</v>
      </c>
      <c r="F290">
        <v>5.85</v>
      </c>
      <c r="G290">
        <v>1.601</v>
      </c>
      <c r="H290">
        <v>10.81</v>
      </c>
      <c r="I290">
        <v>29.5</v>
      </c>
      <c r="J290">
        <v>16.2</v>
      </c>
      <c r="K290">
        <v>9.1999999999999993</v>
      </c>
      <c r="L290">
        <v>1.25</v>
      </c>
      <c r="M290">
        <v>1.65</v>
      </c>
      <c r="N290">
        <v>0.33</v>
      </c>
      <c r="O290">
        <v>3.51</v>
      </c>
      <c r="P290">
        <v>1.0049999999999999</v>
      </c>
    </row>
    <row r="291" spans="1:16" x14ac:dyDescent="0.25">
      <c r="A291" s="1">
        <v>41610</v>
      </c>
      <c r="B291">
        <v>8.58</v>
      </c>
      <c r="C291">
        <v>124.35</v>
      </c>
      <c r="D291">
        <v>3.4239999999999999</v>
      </c>
      <c r="E291">
        <v>11.2</v>
      </c>
      <c r="F291">
        <v>5.85</v>
      </c>
      <c r="G291">
        <v>1.627</v>
      </c>
      <c r="H291">
        <v>10.81</v>
      </c>
      <c r="I291">
        <v>29.5</v>
      </c>
      <c r="J291">
        <v>16.2</v>
      </c>
      <c r="K291">
        <v>9.25</v>
      </c>
      <c r="L291">
        <v>1.25</v>
      </c>
      <c r="M291">
        <v>1.6579999999999999</v>
      </c>
      <c r="N291">
        <v>0.33</v>
      </c>
      <c r="O291">
        <v>3.51</v>
      </c>
      <c r="P291">
        <v>0.996</v>
      </c>
    </row>
    <row r="292" spans="1:16" x14ac:dyDescent="0.25">
      <c r="A292" s="1">
        <v>41611</v>
      </c>
      <c r="B292">
        <v>8.59</v>
      </c>
      <c r="C292">
        <v>120.22</v>
      </c>
      <c r="D292">
        <v>3.3570000000000002</v>
      </c>
      <c r="E292">
        <v>11</v>
      </c>
      <c r="F292">
        <v>5.75</v>
      </c>
      <c r="G292">
        <v>1.6359999999999999</v>
      </c>
      <c r="H292">
        <v>10.44</v>
      </c>
      <c r="I292">
        <v>28.07</v>
      </c>
      <c r="J292">
        <v>16.2</v>
      </c>
      <c r="K292">
        <v>9.01</v>
      </c>
      <c r="L292">
        <v>1.23</v>
      </c>
      <c r="M292">
        <v>1.65</v>
      </c>
      <c r="N292">
        <v>0.31</v>
      </c>
      <c r="O292">
        <v>3.47</v>
      </c>
      <c r="P292">
        <v>0.97799999999999998</v>
      </c>
    </row>
    <row r="293" spans="1:16" x14ac:dyDescent="0.25">
      <c r="A293" s="1">
        <v>41612</v>
      </c>
      <c r="B293">
        <v>8.59</v>
      </c>
      <c r="C293">
        <v>121.95</v>
      </c>
      <c r="D293">
        <v>3.34</v>
      </c>
      <c r="E293">
        <v>11.03</v>
      </c>
      <c r="F293">
        <v>5.73</v>
      </c>
      <c r="G293">
        <v>1.601</v>
      </c>
      <c r="H293">
        <v>10.41</v>
      </c>
      <c r="I293">
        <v>28.07</v>
      </c>
      <c r="J293">
        <v>16.2</v>
      </c>
      <c r="K293">
        <v>9.01</v>
      </c>
      <c r="L293">
        <v>1.22</v>
      </c>
      <c r="M293">
        <v>1.6579999999999999</v>
      </c>
      <c r="N293">
        <v>0.31</v>
      </c>
      <c r="O293">
        <v>3.47</v>
      </c>
      <c r="P293">
        <v>0.96099999999999997</v>
      </c>
    </row>
    <row r="294" spans="1:16" x14ac:dyDescent="0.25">
      <c r="A294" s="1">
        <v>41613</v>
      </c>
      <c r="B294">
        <v>8.59</v>
      </c>
      <c r="C294">
        <v>122.15</v>
      </c>
      <c r="D294">
        <v>3.34</v>
      </c>
      <c r="E294">
        <v>11</v>
      </c>
      <c r="F294">
        <v>5.7</v>
      </c>
      <c r="G294">
        <v>1.6180000000000001</v>
      </c>
      <c r="H294">
        <v>10.41</v>
      </c>
      <c r="I294">
        <v>27.88</v>
      </c>
      <c r="J294">
        <v>16.05</v>
      </c>
      <c r="K294">
        <v>9.01</v>
      </c>
      <c r="L294">
        <v>1.2</v>
      </c>
      <c r="M294">
        <v>1.6579999999999999</v>
      </c>
      <c r="N294">
        <v>0.3</v>
      </c>
      <c r="O294">
        <v>3.47</v>
      </c>
      <c r="P294">
        <v>0.96099999999999997</v>
      </c>
    </row>
    <row r="295" spans="1:16" x14ac:dyDescent="0.25">
      <c r="A295" s="1">
        <v>41614</v>
      </c>
      <c r="B295">
        <v>8.59</v>
      </c>
      <c r="C295">
        <v>123.77</v>
      </c>
      <c r="D295">
        <v>3.4180000000000001</v>
      </c>
      <c r="E295">
        <v>10.98</v>
      </c>
      <c r="F295">
        <v>5.65</v>
      </c>
      <c r="G295">
        <v>1.645</v>
      </c>
      <c r="H295">
        <v>10.36</v>
      </c>
      <c r="I295">
        <v>28.93</v>
      </c>
      <c r="J295">
        <v>16</v>
      </c>
      <c r="K295">
        <v>8.98</v>
      </c>
      <c r="L295">
        <v>1.2</v>
      </c>
      <c r="M295">
        <v>1.6659999999999999</v>
      </c>
      <c r="N295">
        <v>0.3</v>
      </c>
      <c r="O295">
        <v>3.52</v>
      </c>
      <c r="P295">
        <v>0.96099999999999997</v>
      </c>
    </row>
    <row r="296" spans="1:16" x14ac:dyDescent="0.25">
      <c r="A296" s="1">
        <v>41617</v>
      </c>
      <c r="B296">
        <v>8.6199999999999992</v>
      </c>
      <c r="C296">
        <v>125.91</v>
      </c>
      <c r="D296">
        <v>3.43</v>
      </c>
      <c r="E296">
        <v>11</v>
      </c>
      <c r="F296">
        <v>5.57</v>
      </c>
      <c r="G296">
        <v>1.645</v>
      </c>
      <c r="H296">
        <v>10.31</v>
      </c>
      <c r="I296">
        <v>29.5</v>
      </c>
      <c r="J296">
        <v>16</v>
      </c>
      <c r="K296">
        <v>8.98</v>
      </c>
      <c r="L296">
        <v>1.21</v>
      </c>
      <c r="M296">
        <v>1.675</v>
      </c>
      <c r="N296">
        <v>0.3</v>
      </c>
      <c r="O296">
        <v>3.52</v>
      </c>
      <c r="P296">
        <v>0.95199999999999996</v>
      </c>
    </row>
    <row r="297" spans="1:16" x14ac:dyDescent="0.25">
      <c r="A297" s="1">
        <v>41618</v>
      </c>
      <c r="B297">
        <v>8.76</v>
      </c>
      <c r="C297">
        <v>126.93</v>
      </c>
      <c r="D297">
        <v>3.48</v>
      </c>
      <c r="E297">
        <v>11.65</v>
      </c>
      <c r="F297">
        <v>5.75</v>
      </c>
      <c r="G297">
        <v>1.708</v>
      </c>
      <c r="H297">
        <v>10.34</v>
      </c>
      <c r="I297">
        <v>30.09</v>
      </c>
      <c r="J297">
        <v>16</v>
      </c>
      <c r="K297">
        <v>8.94</v>
      </c>
      <c r="L297">
        <v>1.3</v>
      </c>
      <c r="M297">
        <v>1.7310000000000001</v>
      </c>
      <c r="N297">
        <v>0.31</v>
      </c>
      <c r="O297">
        <v>3.63</v>
      </c>
      <c r="P297">
        <v>0.98699999999999999</v>
      </c>
    </row>
    <row r="298" spans="1:16" x14ac:dyDescent="0.25">
      <c r="A298" s="1">
        <v>41619</v>
      </c>
      <c r="B298">
        <v>8.82</v>
      </c>
      <c r="C298">
        <v>124.74</v>
      </c>
      <c r="D298">
        <v>3.5310000000000001</v>
      </c>
      <c r="E298">
        <v>11.3</v>
      </c>
      <c r="F298">
        <v>5.78</v>
      </c>
      <c r="G298">
        <v>1.708</v>
      </c>
      <c r="H298">
        <v>10.38</v>
      </c>
      <c r="I298">
        <v>30.13</v>
      </c>
      <c r="J298">
        <v>15.9</v>
      </c>
      <c r="K298">
        <v>9.02</v>
      </c>
      <c r="L298">
        <v>1.36</v>
      </c>
      <c r="M298">
        <v>1.788</v>
      </c>
      <c r="N298">
        <v>0.31</v>
      </c>
      <c r="O298">
        <v>3.67</v>
      </c>
      <c r="P298">
        <v>0.96099999999999997</v>
      </c>
    </row>
    <row r="299" spans="1:16" x14ac:dyDescent="0.25">
      <c r="A299" s="1">
        <v>41620</v>
      </c>
      <c r="B299">
        <v>8.82</v>
      </c>
      <c r="C299">
        <v>125.02</v>
      </c>
      <c r="D299">
        <v>3.5310000000000001</v>
      </c>
      <c r="E299">
        <v>11.3</v>
      </c>
      <c r="F299">
        <v>5.69</v>
      </c>
      <c r="G299">
        <v>1.708</v>
      </c>
      <c r="H299">
        <v>10.71</v>
      </c>
      <c r="I299">
        <v>30.13</v>
      </c>
      <c r="J299">
        <v>15.9</v>
      </c>
      <c r="K299">
        <v>9.07</v>
      </c>
      <c r="L299">
        <v>1.39</v>
      </c>
      <c r="M299">
        <v>1.8049999999999999</v>
      </c>
      <c r="N299">
        <v>0.31</v>
      </c>
      <c r="O299">
        <v>3.72</v>
      </c>
      <c r="P299">
        <v>1.0049999999999999</v>
      </c>
    </row>
    <row r="300" spans="1:16" x14ac:dyDescent="0.25">
      <c r="A300" s="1">
        <v>41621</v>
      </c>
      <c r="B300">
        <v>8.77</v>
      </c>
      <c r="C300">
        <v>124.16</v>
      </c>
      <c r="D300">
        <v>3.5720000000000001</v>
      </c>
      <c r="E300">
        <v>11.1</v>
      </c>
      <c r="F300">
        <v>5.9</v>
      </c>
      <c r="G300">
        <v>1.681</v>
      </c>
      <c r="H300">
        <v>10.71</v>
      </c>
      <c r="I300">
        <v>30.13</v>
      </c>
      <c r="J300">
        <v>15.9</v>
      </c>
      <c r="K300">
        <v>9.2200000000000006</v>
      </c>
      <c r="L300">
        <v>1.36</v>
      </c>
      <c r="M300">
        <v>1.8049999999999999</v>
      </c>
      <c r="N300">
        <v>0.31</v>
      </c>
      <c r="O300">
        <v>3.7</v>
      </c>
      <c r="P300">
        <v>1.0409999999999999</v>
      </c>
    </row>
    <row r="301" spans="1:16" x14ac:dyDescent="0.25">
      <c r="A301" s="1">
        <v>41624</v>
      </c>
      <c r="B301">
        <v>8.74</v>
      </c>
      <c r="C301">
        <v>124.16</v>
      </c>
      <c r="D301">
        <v>3.6059999999999999</v>
      </c>
      <c r="E301">
        <v>11.24</v>
      </c>
      <c r="F301">
        <v>6</v>
      </c>
      <c r="G301">
        <v>1.6990000000000001</v>
      </c>
      <c r="H301">
        <v>11.2</v>
      </c>
      <c r="I301">
        <v>29.98</v>
      </c>
      <c r="J301">
        <v>15.9</v>
      </c>
      <c r="K301">
        <v>9.35</v>
      </c>
      <c r="L301">
        <v>1.39</v>
      </c>
      <c r="M301">
        <v>1.829</v>
      </c>
      <c r="N301">
        <v>0.32</v>
      </c>
      <c r="O301">
        <v>3.69</v>
      </c>
      <c r="P301">
        <v>1.1120000000000001</v>
      </c>
    </row>
    <row r="302" spans="1:16" x14ac:dyDescent="0.25">
      <c r="A302" s="1">
        <v>41625</v>
      </c>
      <c r="B302">
        <v>8.92</v>
      </c>
      <c r="C302">
        <v>125.02</v>
      </c>
      <c r="D302">
        <v>3.613</v>
      </c>
      <c r="E302">
        <v>11.2</v>
      </c>
      <c r="F302">
        <v>6.3</v>
      </c>
      <c r="G302">
        <v>1.7170000000000001</v>
      </c>
      <c r="H302">
        <v>11.59</v>
      </c>
      <c r="I302">
        <v>29.98</v>
      </c>
      <c r="J302">
        <v>15.9</v>
      </c>
      <c r="K302">
        <v>9.35</v>
      </c>
      <c r="L302">
        <v>1.37</v>
      </c>
      <c r="M302">
        <v>1.829</v>
      </c>
      <c r="N302">
        <v>0.32</v>
      </c>
      <c r="O302">
        <v>3.72</v>
      </c>
      <c r="P302">
        <v>1.147</v>
      </c>
    </row>
    <row r="303" spans="1:16" x14ac:dyDescent="0.25">
      <c r="A303" s="1">
        <v>41626</v>
      </c>
      <c r="B303">
        <v>8.8800000000000008</v>
      </c>
      <c r="C303">
        <v>125.99</v>
      </c>
      <c r="D303">
        <v>3.613</v>
      </c>
      <c r="E303">
        <v>11.2</v>
      </c>
      <c r="F303">
        <v>6.35</v>
      </c>
      <c r="G303">
        <v>1.681</v>
      </c>
      <c r="H303">
        <v>11.72</v>
      </c>
      <c r="I303">
        <v>29.73</v>
      </c>
      <c r="J303">
        <v>15.9</v>
      </c>
      <c r="K303">
        <v>9.31</v>
      </c>
      <c r="L303">
        <v>1.38</v>
      </c>
      <c r="M303">
        <v>1.829</v>
      </c>
      <c r="N303">
        <v>0.32</v>
      </c>
      <c r="O303">
        <v>3.69</v>
      </c>
      <c r="P303">
        <v>1.121</v>
      </c>
    </row>
    <row r="304" spans="1:16" x14ac:dyDescent="0.25">
      <c r="A304" s="1">
        <v>41627</v>
      </c>
      <c r="B304">
        <v>8.9700000000000006</v>
      </c>
      <c r="C304">
        <v>126.23</v>
      </c>
      <c r="D304">
        <v>3.613</v>
      </c>
      <c r="E304">
        <v>11</v>
      </c>
      <c r="F304">
        <v>6.33</v>
      </c>
      <c r="G304">
        <v>1.6539999999999999</v>
      </c>
      <c r="H304">
        <v>11.69</v>
      </c>
      <c r="I304">
        <v>30.12</v>
      </c>
      <c r="J304">
        <v>15.9</v>
      </c>
      <c r="K304">
        <v>9.26</v>
      </c>
      <c r="L304">
        <v>1.36</v>
      </c>
      <c r="M304">
        <v>1.764</v>
      </c>
      <c r="N304">
        <v>0.32</v>
      </c>
      <c r="O304">
        <v>3.7</v>
      </c>
      <c r="P304">
        <v>1.085</v>
      </c>
    </row>
    <row r="305" spans="1:16" x14ac:dyDescent="0.25">
      <c r="A305" s="1">
        <v>41628</v>
      </c>
      <c r="B305">
        <v>8.8800000000000008</v>
      </c>
      <c r="C305">
        <v>126.2</v>
      </c>
      <c r="D305">
        <v>3.613</v>
      </c>
      <c r="E305">
        <v>10.75</v>
      </c>
      <c r="F305">
        <v>6.3</v>
      </c>
      <c r="G305">
        <v>1.6539999999999999</v>
      </c>
      <c r="H305">
        <v>11.67</v>
      </c>
      <c r="I305">
        <v>29.88</v>
      </c>
      <c r="J305">
        <v>15.9</v>
      </c>
      <c r="K305">
        <v>9.1199999999999992</v>
      </c>
      <c r="L305">
        <v>1.32</v>
      </c>
      <c r="M305">
        <v>1.74</v>
      </c>
      <c r="N305">
        <v>0.31</v>
      </c>
      <c r="O305">
        <v>3.67</v>
      </c>
      <c r="P305">
        <v>1.0680000000000001</v>
      </c>
    </row>
    <row r="306" spans="1:16" x14ac:dyDescent="0.25">
      <c r="A306" s="1">
        <v>41631</v>
      </c>
      <c r="B306">
        <v>8.9700000000000006</v>
      </c>
      <c r="C306">
        <v>125.94</v>
      </c>
      <c r="D306">
        <v>3.6480000000000001</v>
      </c>
      <c r="E306">
        <v>10.8</v>
      </c>
      <c r="F306">
        <v>6.35</v>
      </c>
      <c r="G306">
        <v>1.6539999999999999</v>
      </c>
      <c r="H306">
        <v>11.69</v>
      </c>
      <c r="I306">
        <v>29.5</v>
      </c>
      <c r="J306">
        <v>15.9</v>
      </c>
      <c r="K306">
        <v>9.1199999999999992</v>
      </c>
      <c r="L306">
        <v>1.29</v>
      </c>
      <c r="M306">
        <v>1.74</v>
      </c>
      <c r="N306">
        <v>0.31</v>
      </c>
      <c r="O306">
        <v>3.67</v>
      </c>
      <c r="P306">
        <v>1.05</v>
      </c>
    </row>
    <row r="307" spans="1:16" x14ac:dyDescent="0.25">
      <c r="A307" s="1">
        <v>41632</v>
      </c>
      <c r="B307">
        <v>8.9700000000000006</v>
      </c>
      <c r="C307">
        <v>125.17</v>
      </c>
      <c r="D307">
        <v>3.6890000000000001</v>
      </c>
      <c r="E307">
        <v>10.7</v>
      </c>
      <c r="F307">
        <v>6.4</v>
      </c>
      <c r="G307">
        <v>1.708</v>
      </c>
      <c r="H307">
        <v>11.59</v>
      </c>
      <c r="I307">
        <v>29.88</v>
      </c>
      <c r="J307">
        <v>15.9</v>
      </c>
      <c r="K307">
        <v>8.92</v>
      </c>
      <c r="L307">
        <v>1.3</v>
      </c>
      <c r="M307">
        <v>1.74</v>
      </c>
      <c r="N307">
        <v>0.31</v>
      </c>
      <c r="O307">
        <v>3.74</v>
      </c>
      <c r="P307">
        <v>1.0409999999999999</v>
      </c>
    </row>
    <row r="308" spans="1:16" x14ac:dyDescent="0.25">
      <c r="A308" s="1">
        <v>41634</v>
      </c>
      <c r="B308">
        <v>8.9700000000000006</v>
      </c>
      <c r="C308">
        <v>125.02</v>
      </c>
      <c r="D308">
        <v>3.6819999999999999</v>
      </c>
      <c r="E308">
        <v>11.1</v>
      </c>
      <c r="F308">
        <v>6.4</v>
      </c>
      <c r="G308">
        <v>1.6990000000000001</v>
      </c>
      <c r="H308">
        <v>11.59</v>
      </c>
      <c r="I308">
        <v>29.88</v>
      </c>
      <c r="J308">
        <v>15.9</v>
      </c>
      <c r="K308">
        <v>9.07</v>
      </c>
      <c r="L308">
        <v>1.33</v>
      </c>
      <c r="M308">
        <v>1.74</v>
      </c>
      <c r="N308">
        <v>0.31</v>
      </c>
      <c r="O308">
        <v>3.72</v>
      </c>
      <c r="P308">
        <v>1.0409999999999999</v>
      </c>
    </row>
    <row r="309" spans="1:16" x14ac:dyDescent="0.25">
      <c r="A309" s="1">
        <v>41635</v>
      </c>
      <c r="B309">
        <v>8.9700000000000006</v>
      </c>
      <c r="C309">
        <v>125.02</v>
      </c>
      <c r="D309">
        <v>3.641</v>
      </c>
      <c r="E309">
        <v>11.26</v>
      </c>
      <c r="F309">
        <v>6.35</v>
      </c>
      <c r="G309">
        <v>1.69</v>
      </c>
      <c r="H309">
        <v>11.4</v>
      </c>
      <c r="I309">
        <v>29.49</v>
      </c>
      <c r="J309">
        <v>15.9</v>
      </c>
      <c r="K309">
        <v>9.08</v>
      </c>
      <c r="L309">
        <v>1.36</v>
      </c>
      <c r="M309">
        <v>1.7310000000000001</v>
      </c>
      <c r="N309">
        <v>0.3</v>
      </c>
      <c r="O309">
        <v>3.69</v>
      </c>
      <c r="P309">
        <v>1.0229999999999999</v>
      </c>
    </row>
    <row r="310" spans="1:16" x14ac:dyDescent="0.25">
      <c r="A310" s="1">
        <v>41638</v>
      </c>
      <c r="B310">
        <v>8.9700000000000006</v>
      </c>
      <c r="C310">
        <v>125.02</v>
      </c>
      <c r="D310">
        <v>3.641</v>
      </c>
      <c r="E310">
        <v>11.2</v>
      </c>
      <c r="F310">
        <v>6.36</v>
      </c>
      <c r="G310">
        <v>1.708</v>
      </c>
      <c r="H310">
        <v>11.64</v>
      </c>
      <c r="I310">
        <v>29.5</v>
      </c>
      <c r="J310">
        <v>15.9</v>
      </c>
      <c r="K310">
        <v>9.27</v>
      </c>
      <c r="L310">
        <v>1.39</v>
      </c>
      <c r="M310">
        <v>1.7150000000000001</v>
      </c>
      <c r="N310">
        <v>0.3</v>
      </c>
      <c r="O310">
        <v>3.69</v>
      </c>
      <c r="P310">
        <v>1.014</v>
      </c>
    </row>
    <row r="311" spans="1:16" x14ac:dyDescent="0.25">
      <c r="A311" s="1">
        <v>41639</v>
      </c>
      <c r="B311">
        <v>8.9700000000000006</v>
      </c>
      <c r="C311">
        <v>125.72</v>
      </c>
      <c r="D311">
        <v>3.641</v>
      </c>
      <c r="E311">
        <v>11.11</v>
      </c>
      <c r="F311">
        <v>6.35</v>
      </c>
      <c r="G311">
        <v>1.7350000000000001</v>
      </c>
      <c r="H311">
        <v>11.69</v>
      </c>
      <c r="I311">
        <v>29.5</v>
      </c>
      <c r="J311">
        <v>15.9</v>
      </c>
      <c r="K311">
        <v>9.27</v>
      </c>
      <c r="L311">
        <v>1.39</v>
      </c>
      <c r="M311">
        <v>1.7150000000000001</v>
      </c>
      <c r="N311">
        <v>0.3</v>
      </c>
      <c r="O311">
        <v>3.74</v>
      </c>
      <c r="P311">
        <v>1.0229999999999999</v>
      </c>
    </row>
    <row r="312" spans="1:16" x14ac:dyDescent="0.25">
      <c r="A312" s="1">
        <v>41641</v>
      </c>
      <c r="B312">
        <v>9.0299999999999994</v>
      </c>
      <c r="C312">
        <v>125.07</v>
      </c>
      <c r="D312">
        <v>3.5720000000000001</v>
      </c>
      <c r="E312">
        <v>11.42</v>
      </c>
      <c r="F312">
        <v>6.3</v>
      </c>
      <c r="G312">
        <v>1.6719999999999999</v>
      </c>
      <c r="H312">
        <v>11.79</v>
      </c>
      <c r="I312">
        <v>29.5</v>
      </c>
      <c r="J312">
        <v>15.9</v>
      </c>
      <c r="K312">
        <v>9.27</v>
      </c>
      <c r="L312">
        <v>1.4</v>
      </c>
      <c r="M312">
        <v>1.7150000000000001</v>
      </c>
      <c r="N312">
        <v>0.3</v>
      </c>
      <c r="O312">
        <v>3.74</v>
      </c>
      <c r="P312">
        <v>1.085</v>
      </c>
    </row>
    <row r="313" spans="1:16" x14ac:dyDescent="0.25">
      <c r="A313" s="1">
        <v>41642</v>
      </c>
      <c r="B313">
        <v>9.07</v>
      </c>
      <c r="C313">
        <v>125.75</v>
      </c>
      <c r="D313">
        <v>3.6749999999999998</v>
      </c>
      <c r="E313">
        <v>11.42</v>
      </c>
      <c r="F313">
        <v>6.4</v>
      </c>
      <c r="G313">
        <v>1.6719999999999999</v>
      </c>
      <c r="H313">
        <v>11.84</v>
      </c>
      <c r="I313">
        <v>29.5</v>
      </c>
      <c r="J313">
        <v>15.9</v>
      </c>
      <c r="K313">
        <v>9.27</v>
      </c>
      <c r="L313">
        <v>1.42</v>
      </c>
      <c r="M313">
        <v>1.7070000000000001</v>
      </c>
      <c r="N313">
        <v>0.3</v>
      </c>
      <c r="O313">
        <v>3.69</v>
      </c>
      <c r="P313">
        <v>1.103</v>
      </c>
    </row>
    <row r="314" spans="1:16" x14ac:dyDescent="0.25">
      <c r="A314" s="1">
        <v>41645</v>
      </c>
      <c r="B314">
        <v>9.27</v>
      </c>
      <c r="C314">
        <v>124.35</v>
      </c>
      <c r="D314">
        <v>3.6749999999999998</v>
      </c>
      <c r="E314">
        <v>11.4</v>
      </c>
      <c r="F314">
        <v>6.35</v>
      </c>
      <c r="G314">
        <v>1.663</v>
      </c>
      <c r="H314">
        <v>11.84</v>
      </c>
      <c r="I314">
        <v>29.51</v>
      </c>
      <c r="J314">
        <v>15.9</v>
      </c>
      <c r="K314">
        <v>9.26</v>
      </c>
      <c r="L314">
        <v>1.39</v>
      </c>
      <c r="M314">
        <v>1.7070000000000001</v>
      </c>
      <c r="N314">
        <v>0.3</v>
      </c>
      <c r="O314">
        <v>3.67</v>
      </c>
      <c r="P314">
        <v>1.103</v>
      </c>
    </row>
    <row r="315" spans="1:16" x14ac:dyDescent="0.25">
      <c r="A315" s="1">
        <v>41646</v>
      </c>
      <c r="B315">
        <v>9.2200000000000006</v>
      </c>
      <c r="C315">
        <v>126.27</v>
      </c>
      <c r="D315">
        <v>3.6749999999999998</v>
      </c>
      <c r="E315">
        <v>11.4</v>
      </c>
      <c r="F315">
        <v>6.41</v>
      </c>
      <c r="G315">
        <v>1.6539999999999999</v>
      </c>
      <c r="H315">
        <v>11.89</v>
      </c>
      <c r="I315">
        <v>29.74</v>
      </c>
      <c r="J315">
        <v>16</v>
      </c>
      <c r="K315">
        <v>9.17</v>
      </c>
      <c r="L315">
        <v>1.39</v>
      </c>
      <c r="M315">
        <v>1.7070000000000001</v>
      </c>
      <c r="N315">
        <v>0.28999999999999998</v>
      </c>
      <c r="O315">
        <v>3.67</v>
      </c>
      <c r="P315">
        <v>1.103</v>
      </c>
    </row>
    <row r="316" spans="1:16" x14ac:dyDescent="0.25">
      <c r="A316" s="1">
        <v>41647</v>
      </c>
      <c r="B316">
        <v>9.19</v>
      </c>
      <c r="C316">
        <v>125.31</v>
      </c>
      <c r="D316">
        <v>3.7090000000000001</v>
      </c>
      <c r="E316">
        <v>11.4</v>
      </c>
      <c r="F316">
        <v>6.47</v>
      </c>
      <c r="G316">
        <v>1.663</v>
      </c>
      <c r="H316">
        <v>11.96</v>
      </c>
      <c r="I316">
        <v>30.74</v>
      </c>
      <c r="J316">
        <v>16</v>
      </c>
      <c r="K316">
        <v>9.17</v>
      </c>
      <c r="L316">
        <v>1.39</v>
      </c>
      <c r="M316">
        <v>1.748</v>
      </c>
      <c r="N316">
        <v>0.3</v>
      </c>
      <c r="O316">
        <v>3.71</v>
      </c>
      <c r="P316">
        <v>1.095</v>
      </c>
    </row>
    <row r="317" spans="1:16" x14ac:dyDescent="0.25">
      <c r="A317" s="1">
        <v>41648</v>
      </c>
      <c r="B317">
        <v>9.15</v>
      </c>
      <c r="C317">
        <v>122.56</v>
      </c>
      <c r="D317">
        <v>3.7090000000000001</v>
      </c>
      <c r="E317">
        <v>12</v>
      </c>
      <c r="F317">
        <v>6.45</v>
      </c>
      <c r="G317">
        <v>1.708</v>
      </c>
      <c r="H317">
        <v>11.98</v>
      </c>
      <c r="I317">
        <v>30.74</v>
      </c>
      <c r="J317">
        <v>16</v>
      </c>
      <c r="K317">
        <v>9.17</v>
      </c>
      <c r="L317">
        <v>1.4</v>
      </c>
      <c r="M317">
        <v>1.78</v>
      </c>
      <c r="N317">
        <v>0.31</v>
      </c>
      <c r="O317">
        <v>3.72</v>
      </c>
      <c r="P317">
        <v>1.085</v>
      </c>
    </row>
    <row r="318" spans="1:16" x14ac:dyDescent="0.25">
      <c r="A318" s="1">
        <v>41649</v>
      </c>
      <c r="B318">
        <v>9.27</v>
      </c>
      <c r="C318">
        <v>126.27</v>
      </c>
      <c r="D318">
        <v>3.7160000000000002</v>
      </c>
      <c r="E318">
        <v>12</v>
      </c>
      <c r="F318">
        <v>6.45</v>
      </c>
      <c r="G318">
        <v>1.744</v>
      </c>
      <c r="H318">
        <v>12.08</v>
      </c>
      <c r="I318">
        <v>30.97</v>
      </c>
      <c r="J318">
        <v>16.100000000000001</v>
      </c>
      <c r="K318">
        <v>9.07</v>
      </c>
      <c r="L318">
        <v>1.43</v>
      </c>
      <c r="M318">
        <v>1.74</v>
      </c>
      <c r="N318">
        <v>0.31</v>
      </c>
      <c r="O318">
        <v>3.81</v>
      </c>
      <c r="P318">
        <v>1.103</v>
      </c>
    </row>
    <row r="319" spans="1:16" x14ac:dyDescent="0.25">
      <c r="A319" s="1">
        <v>41652</v>
      </c>
      <c r="B319">
        <v>9.17</v>
      </c>
      <c r="C319">
        <v>125.99</v>
      </c>
      <c r="D319">
        <v>3.7090000000000001</v>
      </c>
      <c r="E319">
        <v>11.78</v>
      </c>
      <c r="F319">
        <v>6.41</v>
      </c>
      <c r="G319">
        <v>1.7350000000000001</v>
      </c>
      <c r="H319">
        <v>11.98</v>
      </c>
      <c r="I319">
        <v>30.96</v>
      </c>
      <c r="J319">
        <v>16.04</v>
      </c>
      <c r="K319">
        <v>9.07</v>
      </c>
      <c r="L319">
        <v>1.47</v>
      </c>
      <c r="M319">
        <v>1.78</v>
      </c>
      <c r="N319">
        <v>0.3</v>
      </c>
      <c r="O319">
        <v>3.87</v>
      </c>
      <c r="P319">
        <v>1.113</v>
      </c>
    </row>
    <row r="320" spans="1:16" x14ac:dyDescent="0.25">
      <c r="A320" s="1">
        <v>41653</v>
      </c>
      <c r="B320">
        <v>9.17</v>
      </c>
      <c r="C320">
        <v>125.99</v>
      </c>
      <c r="D320">
        <v>3.7160000000000002</v>
      </c>
      <c r="E320">
        <v>11.87</v>
      </c>
      <c r="F320">
        <v>6.4</v>
      </c>
      <c r="G320">
        <v>1.6990000000000001</v>
      </c>
      <c r="H320">
        <v>12</v>
      </c>
      <c r="I320">
        <v>30.93</v>
      </c>
      <c r="J320">
        <v>16</v>
      </c>
      <c r="K320">
        <v>9.02</v>
      </c>
      <c r="L320">
        <v>1.47</v>
      </c>
      <c r="M320">
        <v>1.78</v>
      </c>
      <c r="N320">
        <v>0.3</v>
      </c>
      <c r="O320">
        <v>3.85</v>
      </c>
      <c r="P320">
        <v>1.1299999999999999</v>
      </c>
    </row>
    <row r="321" spans="1:16" x14ac:dyDescent="0.25">
      <c r="A321" s="1">
        <v>41654</v>
      </c>
      <c r="B321">
        <v>9.17</v>
      </c>
      <c r="C321">
        <v>126.37</v>
      </c>
      <c r="D321">
        <v>3.7160000000000002</v>
      </c>
      <c r="E321">
        <v>11.99</v>
      </c>
      <c r="F321">
        <v>6.47</v>
      </c>
      <c r="G321">
        <v>1.7170000000000001</v>
      </c>
      <c r="H321">
        <v>12.03</v>
      </c>
      <c r="I321">
        <v>30.93</v>
      </c>
      <c r="J321">
        <v>16</v>
      </c>
      <c r="K321">
        <v>9.07</v>
      </c>
      <c r="L321">
        <v>1.46</v>
      </c>
      <c r="M321">
        <v>1.78</v>
      </c>
      <c r="N321">
        <v>0.28999999999999998</v>
      </c>
      <c r="O321">
        <v>3.85</v>
      </c>
      <c r="P321">
        <v>1.1299999999999999</v>
      </c>
    </row>
    <row r="322" spans="1:16" x14ac:dyDescent="0.25">
      <c r="A322" s="1">
        <v>41655</v>
      </c>
      <c r="B322">
        <v>9.17</v>
      </c>
      <c r="C322">
        <v>126.11</v>
      </c>
      <c r="D322">
        <v>3.7160000000000002</v>
      </c>
      <c r="E322">
        <v>12.05</v>
      </c>
      <c r="F322">
        <v>6.47</v>
      </c>
      <c r="G322">
        <v>1.708</v>
      </c>
      <c r="H322">
        <v>11.98</v>
      </c>
      <c r="I322">
        <v>30.83</v>
      </c>
      <c r="J322">
        <v>15.9</v>
      </c>
      <c r="K322">
        <v>9.07</v>
      </c>
      <c r="L322">
        <v>1.5</v>
      </c>
      <c r="M322">
        <v>1.829</v>
      </c>
      <c r="N322">
        <v>0.28999999999999998</v>
      </c>
      <c r="O322">
        <v>3.84</v>
      </c>
      <c r="P322">
        <v>1.1299999999999999</v>
      </c>
    </row>
    <row r="323" spans="1:16" x14ac:dyDescent="0.25">
      <c r="A323" s="1">
        <v>41656</v>
      </c>
      <c r="B323">
        <v>9.27</v>
      </c>
      <c r="C323">
        <v>127</v>
      </c>
      <c r="D323">
        <v>3.8119999999999998</v>
      </c>
      <c r="E323">
        <v>12.32</v>
      </c>
      <c r="F323">
        <v>6.47</v>
      </c>
      <c r="G323">
        <v>1.708</v>
      </c>
      <c r="H323">
        <v>12.08</v>
      </c>
      <c r="I323">
        <v>30.83</v>
      </c>
      <c r="J323">
        <v>15.8</v>
      </c>
      <c r="K323">
        <v>8.9700000000000006</v>
      </c>
      <c r="L323">
        <v>1.5</v>
      </c>
      <c r="M323">
        <v>1.853</v>
      </c>
      <c r="N323">
        <v>0.28999999999999998</v>
      </c>
      <c r="O323">
        <v>3.78</v>
      </c>
      <c r="P323">
        <v>1.121</v>
      </c>
    </row>
    <row r="324" spans="1:16" x14ac:dyDescent="0.25">
      <c r="A324" s="1">
        <v>41659</v>
      </c>
      <c r="B324">
        <v>9.17</v>
      </c>
      <c r="C324">
        <v>127</v>
      </c>
      <c r="D324">
        <v>3.9159999999999999</v>
      </c>
      <c r="E324">
        <v>12.5</v>
      </c>
      <c r="F324">
        <v>6.46</v>
      </c>
      <c r="G324">
        <v>1.708</v>
      </c>
      <c r="H324">
        <v>12.01</v>
      </c>
      <c r="I324">
        <v>31.02</v>
      </c>
      <c r="J324">
        <v>15.8</v>
      </c>
      <c r="K324">
        <v>8.99</v>
      </c>
      <c r="L324">
        <v>1.6</v>
      </c>
      <c r="M324">
        <v>1.853</v>
      </c>
      <c r="N324">
        <v>0.28999999999999998</v>
      </c>
      <c r="O324">
        <v>3.75</v>
      </c>
      <c r="P324">
        <v>1.1299999999999999</v>
      </c>
    </row>
    <row r="325" spans="1:16" x14ac:dyDescent="0.25">
      <c r="A325" s="1">
        <v>41660</v>
      </c>
      <c r="B325">
        <v>9.15</v>
      </c>
      <c r="C325">
        <v>128.09</v>
      </c>
      <c r="D325">
        <v>3.8610000000000002</v>
      </c>
      <c r="E325">
        <v>12.49</v>
      </c>
      <c r="F325">
        <v>6.42</v>
      </c>
      <c r="G325">
        <v>1.69</v>
      </c>
      <c r="H325">
        <v>11.79</v>
      </c>
      <c r="I325">
        <v>30.93</v>
      </c>
      <c r="J325">
        <v>15.9</v>
      </c>
      <c r="K325">
        <v>8.99</v>
      </c>
      <c r="L325">
        <v>1.64</v>
      </c>
      <c r="M325">
        <v>1.91</v>
      </c>
      <c r="N325">
        <v>0.28999999999999998</v>
      </c>
      <c r="O325">
        <v>3.75</v>
      </c>
      <c r="P325">
        <v>1.1479999999999999</v>
      </c>
    </row>
    <row r="326" spans="1:16" x14ac:dyDescent="0.25">
      <c r="A326" s="1">
        <v>41661</v>
      </c>
      <c r="B326">
        <v>9.1199999999999992</v>
      </c>
      <c r="C326">
        <v>134.44999999999999</v>
      </c>
      <c r="D326">
        <v>3.806</v>
      </c>
      <c r="E326">
        <v>13</v>
      </c>
      <c r="F326">
        <v>6.4</v>
      </c>
      <c r="G326">
        <v>1.6719999999999999</v>
      </c>
      <c r="H326">
        <v>11.89</v>
      </c>
      <c r="I326">
        <v>31.31</v>
      </c>
      <c r="J326">
        <v>15.9</v>
      </c>
      <c r="K326">
        <v>8.99</v>
      </c>
      <c r="L326">
        <v>1.66</v>
      </c>
      <c r="M326">
        <v>1.91</v>
      </c>
      <c r="N326">
        <v>0.28000000000000003</v>
      </c>
      <c r="O326">
        <v>3.74</v>
      </c>
      <c r="P326">
        <v>1.1299999999999999</v>
      </c>
    </row>
    <row r="327" spans="1:16" x14ac:dyDescent="0.25">
      <c r="A327" s="1">
        <v>41662</v>
      </c>
      <c r="B327">
        <v>9.1</v>
      </c>
      <c r="C327">
        <v>134.44999999999999</v>
      </c>
      <c r="D327">
        <v>3.8119999999999998</v>
      </c>
      <c r="E327">
        <v>13.3</v>
      </c>
      <c r="F327">
        <v>6.25</v>
      </c>
      <c r="G327">
        <v>1.6719999999999999</v>
      </c>
      <c r="H327">
        <v>11.85</v>
      </c>
      <c r="I327">
        <v>31.54</v>
      </c>
      <c r="J327">
        <v>15.88</v>
      </c>
      <c r="K327">
        <v>8.99</v>
      </c>
      <c r="L327">
        <v>1.61</v>
      </c>
      <c r="M327">
        <v>1.91</v>
      </c>
      <c r="N327">
        <v>0.28000000000000003</v>
      </c>
      <c r="O327">
        <v>3.74</v>
      </c>
      <c r="P327">
        <v>1.121</v>
      </c>
    </row>
    <row r="328" spans="1:16" x14ac:dyDescent="0.25">
      <c r="A328" s="1">
        <v>41663</v>
      </c>
      <c r="B328">
        <v>9.06</v>
      </c>
      <c r="C328">
        <v>130.88999999999999</v>
      </c>
      <c r="D328">
        <v>3.7029999999999998</v>
      </c>
      <c r="E328">
        <v>13.15</v>
      </c>
      <c r="F328">
        <v>6</v>
      </c>
      <c r="G328">
        <v>1.6719999999999999</v>
      </c>
      <c r="H328">
        <v>11.6</v>
      </c>
      <c r="I328">
        <v>31.54</v>
      </c>
      <c r="J328">
        <v>15.65</v>
      </c>
      <c r="K328">
        <v>8.99</v>
      </c>
      <c r="L328">
        <v>1.55</v>
      </c>
      <c r="M328">
        <v>1.87</v>
      </c>
      <c r="N328">
        <v>0.28000000000000003</v>
      </c>
      <c r="O328">
        <v>3.64</v>
      </c>
      <c r="P328">
        <v>1.077</v>
      </c>
    </row>
    <row r="329" spans="1:16" x14ac:dyDescent="0.25">
      <c r="A329" s="1">
        <v>41666</v>
      </c>
      <c r="B329">
        <v>8.8699999999999992</v>
      </c>
      <c r="C329">
        <v>127.91</v>
      </c>
      <c r="D329">
        <v>3.778</v>
      </c>
      <c r="E329">
        <v>13</v>
      </c>
      <c r="F329">
        <v>6</v>
      </c>
      <c r="G329">
        <v>1.663</v>
      </c>
      <c r="H329">
        <v>11.4</v>
      </c>
      <c r="I329">
        <v>30.85</v>
      </c>
      <c r="J329">
        <v>15.65</v>
      </c>
      <c r="K329">
        <v>8.89</v>
      </c>
      <c r="L329">
        <v>1.51</v>
      </c>
      <c r="M329">
        <v>1.821</v>
      </c>
      <c r="N329">
        <v>0.27</v>
      </c>
      <c r="O329">
        <v>3.64</v>
      </c>
      <c r="P329">
        <v>1.0409999999999999</v>
      </c>
    </row>
    <row r="330" spans="1:16" x14ac:dyDescent="0.25">
      <c r="A330" s="1">
        <v>41667</v>
      </c>
      <c r="B330">
        <v>8.7200000000000006</v>
      </c>
      <c r="C330">
        <v>127.33</v>
      </c>
      <c r="D330">
        <v>3.7029999999999998</v>
      </c>
      <c r="E330">
        <v>13</v>
      </c>
      <c r="F330">
        <v>5.62</v>
      </c>
      <c r="G330">
        <v>1.627</v>
      </c>
      <c r="H330">
        <v>11.49</v>
      </c>
      <c r="I330">
        <v>29.98</v>
      </c>
      <c r="J330">
        <v>15.65</v>
      </c>
      <c r="K330">
        <v>8.8699999999999992</v>
      </c>
      <c r="L330">
        <v>1.54</v>
      </c>
      <c r="M330">
        <v>1.748</v>
      </c>
      <c r="N330">
        <v>0.27</v>
      </c>
      <c r="O330">
        <v>3.48</v>
      </c>
      <c r="P330">
        <v>1.0409999999999999</v>
      </c>
    </row>
    <row r="331" spans="1:16" x14ac:dyDescent="0.25">
      <c r="A331" s="1">
        <v>41668</v>
      </c>
      <c r="B331">
        <v>8.48</v>
      </c>
      <c r="C331">
        <v>125.02</v>
      </c>
      <c r="D331">
        <v>3.6749999999999998</v>
      </c>
      <c r="E331">
        <v>13</v>
      </c>
      <c r="F331">
        <v>5.4</v>
      </c>
      <c r="G331">
        <v>1.609</v>
      </c>
      <c r="H331">
        <v>11.1</v>
      </c>
      <c r="I331">
        <v>28.55</v>
      </c>
      <c r="J331">
        <v>15.65</v>
      </c>
      <c r="K331">
        <v>8.8699999999999992</v>
      </c>
      <c r="L331">
        <v>1.47</v>
      </c>
      <c r="M331">
        <v>1.6659999999999999</v>
      </c>
      <c r="N331">
        <v>0.26</v>
      </c>
      <c r="O331">
        <v>3.47</v>
      </c>
      <c r="P331">
        <v>1.0049999999999999</v>
      </c>
    </row>
    <row r="332" spans="1:16" x14ac:dyDescent="0.25">
      <c r="A332" s="1">
        <v>41669</v>
      </c>
      <c r="B332">
        <v>8.5299999999999994</v>
      </c>
      <c r="C332">
        <v>127.24</v>
      </c>
      <c r="D332">
        <v>3.6749999999999998</v>
      </c>
      <c r="E332">
        <v>12.85</v>
      </c>
      <c r="F332">
        <v>5.49</v>
      </c>
      <c r="G332">
        <v>1.609</v>
      </c>
      <c r="H332">
        <v>11.3</v>
      </c>
      <c r="I332">
        <v>29.04</v>
      </c>
      <c r="J332">
        <v>15.65</v>
      </c>
      <c r="K332">
        <v>8.92</v>
      </c>
      <c r="L332">
        <v>1.54</v>
      </c>
      <c r="M332">
        <v>1.7070000000000001</v>
      </c>
      <c r="N332">
        <v>0.26</v>
      </c>
      <c r="O332">
        <v>3.45</v>
      </c>
      <c r="P332">
        <v>1.0409999999999999</v>
      </c>
    </row>
    <row r="333" spans="1:16" x14ac:dyDescent="0.25">
      <c r="A333" s="1">
        <v>41670</v>
      </c>
      <c r="B333">
        <v>8.5299999999999994</v>
      </c>
      <c r="C333">
        <v>126.56</v>
      </c>
      <c r="D333">
        <v>3.778</v>
      </c>
      <c r="E333">
        <v>12.4</v>
      </c>
      <c r="F333">
        <v>5.46</v>
      </c>
      <c r="G333">
        <v>1.601</v>
      </c>
      <c r="H333">
        <v>11.69</v>
      </c>
      <c r="I333">
        <v>30.21</v>
      </c>
      <c r="J333">
        <v>15.65</v>
      </c>
      <c r="K333">
        <v>8.7200000000000006</v>
      </c>
      <c r="L333">
        <v>1.56</v>
      </c>
      <c r="M333">
        <v>1.6339999999999999</v>
      </c>
      <c r="N333">
        <v>0.26</v>
      </c>
      <c r="O333">
        <v>3.35</v>
      </c>
      <c r="P333">
        <v>1.0229999999999999</v>
      </c>
    </row>
    <row r="334" spans="1:16" x14ac:dyDescent="0.25">
      <c r="A334" s="1">
        <v>41673</v>
      </c>
      <c r="B334">
        <v>8.5</v>
      </c>
      <c r="C334">
        <v>122.14</v>
      </c>
      <c r="D334">
        <v>3.641</v>
      </c>
      <c r="E334">
        <v>12.1</v>
      </c>
      <c r="F334">
        <v>5.4</v>
      </c>
      <c r="G334">
        <v>1.546</v>
      </c>
      <c r="H334">
        <v>11.2</v>
      </c>
      <c r="I334">
        <v>29.5</v>
      </c>
      <c r="J334">
        <v>15.65</v>
      </c>
      <c r="K334">
        <v>8.7200000000000006</v>
      </c>
      <c r="L334">
        <v>1.5</v>
      </c>
      <c r="M334">
        <v>1.5609999999999999</v>
      </c>
      <c r="N334">
        <v>0.25</v>
      </c>
      <c r="O334">
        <v>3.27</v>
      </c>
      <c r="P334">
        <v>1.0049999999999999</v>
      </c>
    </row>
    <row r="335" spans="1:16" x14ac:dyDescent="0.25">
      <c r="A335" s="1">
        <v>41674</v>
      </c>
      <c r="B335">
        <v>8.5500000000000007</v>
      </c>
      <c r="C335">
        <v>123.29</v>
      </c>
      <c r="D335">
        <v>3.641</v>
      </c>
      <c r="E335">
        <v>11.49</v>
      </c>
      <c r="F335">
        <v>5.3</v>
      </c>
      <c r="G335">
        <v>1.538</v>
      </c>
      <c r="H335">
        <v>10.95</v>
      </c>
      <c r="I335">
        <v>29.5</v>
      </c>
      <c r="J335">
        <v>15.15</v>
      </c>
      <c r="K335">
        <v>8.52</v>
      </c>
      <c r="L335">
        <v>1.55</v>
      </c>
      <c r="M335">
        <v>1.5609999999999999</v>
      </c>
      <c r="N335">
        <v>0.25</v>
      </c>
      <c r="O335">
        <v>3.31</v>
      </c>
      <c r="P335">
        <v>1.014</v>
      </c>
    </row>
    <row r="336" spans="1:16" x14ac:dyDescent="0.25">
      <c r="A336" s="1">
        <v>41675</v>
      </c>
      <c r="B336">
        <v>8.5299999999999994</v>
      </c>
      <c r="C336">
        <v>120.22</v>
      </c>
      <c r="D336">
        <v>3.5720000000000001</v>
      </c>
      <c r="E336">
        <v>11.35</v>
      </c>
      <c r="F336">
        <v>5.35</v>
      </c>
      <c r="G336">
        <v>1.502</v>
      </c>
      <c r="H336">
        <v>10.73</v>
      </c>
      <c r="I336">
        <v>29.5</v>
      </c>
      <c r="J336">
        <v>15</v>
      </c>
      <c r="K336">
        <v>8.52</v>
      </c>
      <c r="L336">
        <v>1.51</v>
      </c>
      <c r="M336">
        <v>1.569</v>
      </c>
      <c r="N336">
        <v>0.25</v>
      </c>
      <c r="O336">
        <v>3.39</v>
      </c>
      <c r="P336">
        <v>1.032</v>
      </c>
    </row>
    <row r="337" spans="1:16" x14ac:dyDescent="0.25">
      <c r="A337" s="1">
        <v>41676</v>
      </c>
      <c r="B337">
        <v>8.5299999999999994</v>
      </c>
      <c r="C337">
        <v>121.13</v>
      </c>
      <c r="D337">
        <v>3.5720000000000001</v>
      </c>
      <c r="E337">
        <v>11.48</v>
      </c>
      <c r="F337">
        <v>5.36</v>
      </c>
      <c r="G337">
        <v>1.502</v>
      </c>
      <c r="H337">
        <v>10.85</v>
      </c>
      <c r="I337">
        <v>29.5</v>
      </c>
      <c r="J337">
        <v>14.7</v>
      </c>
      <c r="K337">
        <v>8.5399999999999991</v>
      </c>
      <c r="L337">
        <v>1.51</v>
      </c>
      <c r="M337">
        <v>1.6259999999999999</v>
      </c>
      <c r="N337">
        <v>0.25</v>
      </c>
      <c r="O337">
        <v>3.39</v>
      </c>
      <c r="P337">
        <v>1.032</v>
      </c>
    </row>
    <row r="338" spans="1:16" x14ac:dyDescent="0.25">
      <c r="A338" s="1">
        <v>41677</v>
      </c>
      <c r="B338">
        <v>8.5299999999999994</v>
      </c>
      <c r="C338">
        <v>120.7</v>
      </c>
      <c r="D338">
        <v>3.5720000000000001</v>
      </c>
      <c r="E338">
        <v>11.16</v>
      </c>
      <c r="F338">
        <v>5.36</v>
      </c>
      <c r="G338">
        <v>1.51</v>
      </c>
      <c r="H338">
        <v>10.81</v>
      </c>
      <c r="I338">
        <v>29.51</v>
      </c>
      <c r="J338">
        <v>14.7</v>
      </c>
      <c r="K338">
        <v>8.92</v>
      </c>
      <c r="L338">
        <v>1.55</v>
      </c>
      <c r="M338">
        <v>1.7070000000000001</v>
      </c>
      <c r="N338">
        <v>0.26</v>
      </c>
      <c r="O338">
        <v>3.41</v>
      </c>
      <c r="P338">
        <v>1.05</v>
      </c>
    </row>
    <row r="339" spans="1:16" x14ac:dyDescent="0.25">
      <c r="A339" s="1">
        <v>41680</v>
      </c>
      <c r="B339">
        <v>8.4600000000000009</v>
      </c>
      <c r="C339">
        <v>123.08</v>
      </c>
      <c r="D339">
        <v>3.5030000000000001</v>
      </c>
      <c r="E339">
        <v>11.89</v>
      </c>
      <c r="F339">
        <v>5.32</v>
      </c>
      <c r="G339">
        <v>1.484</v>
      </c>
      <c r="H339">
        <v>10.71</v>
      </c>
      <c r="I339">
        <v>29.5</v>
      </c>
      <c r="J339">
        <v>14.7</v>
      </c>
      <c r="K339">
        <v>8.94</v>
      </c>
      <c r="L339">
        <v>1.51</v>
      </c>
      <c r="M339">
        <v>1.6339999999999999</v>
      </c>
      <c r="N339">
        <v>0.25</v>
      </c>
      <c r="O339">
        <v>3.37</v>
      </c>
      <c r="P339">
        <v>1.032</v>
      </c>
    </row>
    <row r="340" spans="1:16" x14ac:dyDescent="0.25">
      <c r="A340" s="1">
        <v>41681</v>
      </c>
      <c r="B340">
        <v>8.3800000000000008</v>
      </c>
      <c r="C340">
        <v>127.62</v>
      </c>
      <c r="D340">
        <v>3.524</v>
      </c>
      <c r="E340">
        <v>12.33</v>
      </c>
      <c r="F340">
        <v>5.34</v>
      </c>
      <c r="G340">
        <v>1.484</v>
      </c>
      <c r="H340">
        <v>10.61</v>
      </c>
      <c r="I340">
        <v>29.5</v>
      </c>
      <c r="J340">
        <v>14.4</v>
      </c>
      <c r="K340">
        <v>9.0399999999999991</v>
      </c>
      <c r="L340">
        <v>1.52</v>
      </c>
      <c r="M340">
        <v>1.6339999999999999</v>
      </c>
      <c r="N340">
        <v>0.25</v>
      </c>
      <c r="O340">
        <v>3.34</v>
      </c>
      <c r="P340">
        <v>1.0229999999999999</v>
      </c>
    </row>
    <row r="341" spans="1:16" x14ac:dyDescent="0.25">
      <c r="A341" s="1">
        <v>41682</v>
      </c>
      <c r="B341">
        <v>8.3800000000000008</v>
      </c>
      <c r="C341">
        <v>127.4</v>
      </c>
      <c r="D341">
        <v>3.5310000000000001</v>
      </c>
      <c r="E341">
        <v>12.4</v>
      </c>
      <c r="F341">
        <v>5.39</v>
      </c>
      <c r="G341">
        <v>1.484</v>
      </c>
      <c r="H341">
        <v>10.95</v>
      </c>
      <c r="I341">
        <v>29.59</v>
      </c>
      <c r="J341">
        <v>14.3</v>
      </c>
      <c r="K341">
        <v>9.1199999999999992</v>
      </c>
      <c r="L341">
        <v>1.52</v>
      </c>
      <c r="M341">
        <v>1.7070000000000001</v>
      </c>
      <c r="N341">
        <v>0.25</v>
      </c>
      <c r="O341">
        <v>3.34</v>
      </c>
      <c r="P341">
        <v>1.014</v>
      </c>
    </row>
    <row r="342" spans="1:16" x14ac:dyDescent="0.25">
      <c r="A342" s="1">
        <v>41683</v>
      </c>
      <c r="B342">
        <v>8.3800000000000008</v>
      </c>
      <c r="C342">
        <v>126.56</v>
      </c>
      <c r="D342">
        <v>3.5649999999999999</v>
      </c>
      <c r="E342">
        <v>12.5</v>
      </c>
      <c r="F342">
        <v>5.38</v>
      </c>
      <c r="G342">
        <v>1.466</v>
      </c>
      <c r="H342">
        <v>10.95</v>
      </c>
      <c r="I342">
        <v>29.69</v>
      </c>
      <c r="J342">
        <v>14.3</v>
      </c>
      <c r="K342">
        <v>9.1199999999999992</v>
      </c>
      <c r="L342">
        <v>1.55</v>
      </c>
      <c r="M342">
        <v>1.7230000000000001</v>
      </c>
      <c r="N342">
        <v>0.24</v>
      </c>
      <c r="O342">
        <v>3.36</v>
      </c>
      <c r="P342">
        <v>1.0229999999999999</v>
      </c>
    </row>
    <row r="343" spans="1:16" x14ac:dyDescent="0.25">
      <c r="A343" s="1">
        <v>41684</v>
      </c>
      <c r="B343">
        <v>8.39</v>
      </c>
      <c r="C343">
        <v>127.91</v>
      </c>
      <c r="D343">
        <v>3.5790000000000002</v>
      </c>
      <c r="E343">
        <v>12.85</v>
      </c>
      <c r="F343">
        <v>5.37</v>
      </c>
      <c r="G343">
        <v>1.484</v>
      </c>
      <c r="H343">
        <v>11</v>
      </c>
      <c r="I343">
        <v>30.07</v>
      </c>
      <c r="J343">
        <v>14.3</v>
      </c>
      <c r="K343">
        <v>9.1199999999999992</v>
      </c>
      <c r="L343">
        <v>1.59</v>
      </c>
      <c r="M343">
        <v>1.748</v>
      </c>
      <c r="N343">
        <v>0.23</v>
      </c>
      <c r="O343">
        <v>3.36</v>
      </c>
      <c r="P343">
        <v>1.0229999999999999</v>
      </c>
    </row>
    <row r="344" spans="1:16" x14ac:dyDescent="0.25">
      <c r="A344" s="1">
        <v>41687</v>
      </c>
      <c r="B344">
        <v>8.44</v>
      </c>
      <c r="C344">
        <v>127.91</v>
      </c>
      <c r="D344">
        <v>3.6059999999999999</v>
      </c>
      <c r="E344">
        <v>13.07</v>
      </c>
      <c r="F344">
        <v>5.38</v>
      </c>
      <c r="G344">
        <v>1.502</v>
      </c>
      <c r="H344">
        <v>11.05</v>
      </c>
      <c r="I344">
        <v>29.98</v>
      </c>
      <c r="J344">
        <v>14.3</v>
      </c>
      <c r="K344">
        <v>9.1</v>
      </c>
      <c r="L344">
        <v>1.59</v>
      </c>
      <c r="M344">
        <v>1.748</v>
      </c>
      <c r="N344">
        <v>0.23</v>
      </c>
      <c r="O344">
        <v>3.36</v>
      </c>
      <c r="P344">
        <v>1.032</v>
      </c>
    </row>
    <row r="345" spans="1:16" x14ac:dyDescent="0.25">
      <c r="A345" s="1">
        <v>41688</v>
      </c>
      <c r="B345">
        <v>8.4700000000000006</v>
      </c>
      <c r="C345">
        <v>124.54</v>
      </c>
      <c r="D345">
        <v>3.6819999999999999</v>
      </c>
      <c r="E345">
        <v>13.07</v>
      </c>
      <c r="F345">
        <v>5.31</v>
      </c>
      <c r="G345">
        <v>1.4930000000000001</v>
      </c>
      <c r="H345">
        <v>10.66</v>
      </c>
      <c r="I345">
        <v>29.98</v>
      </c>
      <c r="J345">
        <v>14.3</v>
      </c>
      <c r="K345">
        <v>9.1</v>
      </c>
      <c r="L345">
        <v>1.63</v>
      </c>
      <c r="M345">
        <v>1.7150000000000001</v>
      </c>
      <c r="N345">
        <v>0.23</v>
      </c>
      <c r="O345">
        <v>3.33</v>
      </c>
      <c r="P345">
        <v>1.032</v>
      </c>
    </row>
    <row r="346" spans="1:16" x14ac:dyDescent="0.25">
      <c r="A346" s="1">
        <v>41689</v>
      </c>
      <c r="B346">
        <v>8.4700000000000006</v>
      </c>
      <c r="C346">
        <v>122.38</v>
      </c>
      <c r="D346">
        <v>3.641</v>
      </c>
      <c r="E346">
        <v>13</v>
      </c>
      <c r="F346">
        <v>5.37</v>
      </c>
      <c r="G346">
        <v>1.484</v>
      </c>
      <c r="H346">
        <v>10.5</v>
      </c>
      <c r="I346">
        <v>29.98</v>
      </c>
      <c r="J346">
        <v>14.3</v>
      </c>
      <c r="K346">
        <v>9.1199999999999992</v>
      </c>
      <c r="L346">
        <v>1.62</v>
      </c>
      <c r="M346">
        <v>1.7150000000000001</v>
      </c>
      <c r="N346">
        <v>0.23</v>
      </c>
      <c r="O346">
        <v>3.24</v>
      </c>
      <c r="P346">
        <v>1.0409999999999999</v>
      </c>
    </row>
    <row r="347" spans="1:16" x14ac:dyDescent="0.25">
      <c r="A347" s="1">
        <v>41690</v>
      </c>
      <c r="B347">
        <v>8.48</v>
      </c>
      <c r="C347">
        <v>121.18</v>
      </c>
      <c r="D347">
        <v>3.6749999999999998</v>
      </c>
      <c r="E347">
        <v>13.05</v>
      </c>
      <c r="F347">
        <v>5.34</v>
      </c>
      <c r="G347">
        <v>1.4750000000000001</v>
      </c>
      <c r="H347">
        <v>10.39</v>
      </c>
      <c r="I347">
        <v>29.98</v>
      </c>
      <c r="J347">
        <v>14.3</v>
      </c>
      <c r="K347">
        <v>9.14</v>
      </c>
      <c r="L347">
        <v>1.6</v>
      </c>
      <c r="M347">
        <v>1.7150000000000001</v>
      </c>
      <c r="N347">
        <v>0.23</v>
      </c>
      <c r="O347">
        <v>3.24</v>
      </c>
      <c r="P347">
        <v>1.0589999999999999</v>
      </c>
    </row>
    <row r="348" spans="1:16" x14ac:dyDescent="0.25">
      <c r="A348" s="1">
        <v>41691</v>
      </c>
      <c r="B348">
        <v>8.48</v>
      </c>
      <c r="C348">
        <v>123.31</v>
      </c>
      <c r="D348">
        <v>3.6749999999999998</v>
      </c>
      <c r="E348">
        <v>13.4</v>
      </c>
      <c r="F348">
        <v>5.35</v>
      </c>
      <c r="G348">
        <v>1.4750000000000001</v>
      </c>
      <c r="H348">
        <v>10.6</v>
      </c>
      <c r="I348">
        <v>29.98</v>
      </c>
      <c r="J348">
        <v>14.3</v>
      </c>
      <c r="K348">
        <v>9.16</v>
      </c>
      <c r="L348">
        <v>1.6</v>
      </c>
      <c r="M348">
        <v>1.7150000000000001</v>
      </c>
      <c r="N348">
        <v>0.23</v>
      </c>
      <c r="O348">
        <v>3.24</v>
      </c>
      <c r="P348">
        <v>1.077</v>
      </c>
    </row>
    <row r="349" spans="1:16" x14ac:dyDescent="0.25">
      <c r="A349" s="1">
        <v>41694</v>
      </c>
      <c r="B349">
        <v>8.3800000000000008</v>
      </c>
      <c r="C349">
        <v>126.75</v>
      </c>
      <c r="D349">
        <v>3.6819999999999999</v>
      </c>
      <c r="E349">
        <v>13.44</v>
      </c>
      <c r="F349">
        <v>5.35</v>
      </c>
      <c r="G349">
        <v>1.484</v>
      </c>
      <c r="H349">
        <v>10.76</v>
      </c>
      <c r="I349">
        <v>29.78</v>
      </c>
      <c r="J349">
        <v>14.05</v>
      </c>
      <c r="K349">
        <v>9.19</v>
      </c>
      <c r="L349">
        <v>1.6</v>
      </c>
      <c r="M349">
        <v>1.7150000000000001</v>
      </c>
      <c r="N349">
        <v>0.23</v>
      </c>
      <c r="O349">
        <v>3.24</v>
      </c>
      <c r="P349">
        <v>1.0589999999999999</v>
      </c>
    </row>
    <row r="350" spans="1:16" x14ac:dyDescent="0.25">
      <c r="A350" s="1">
        <v>41695</v>
      </c>
      <c r="B350">
        <v>8.44</v>
      </c>
      <c r="C350">
        <v>126.75</v>
      </c>
      <c r="D350">
        <v>3.7090000000000001</v>
      </c>
      <c r="E350">
        <v>13.2</v>
      </c>
      <c r="F350">
        <v>5.36</v>
      </c>
      <c r="G350">
        <v>1.4930000000000001</v>
      </c>
      <c r="H350">
        <v>10.71</v>
      </c>
      <c r="I350">
        <v>29.78</v>
      </c>
      <c r="J350">
        <v>14.05</v>
      </c>
      <c r="K350">
        <v>9.15</v>
      </c>
      <c r="L350">
        <v>1.58</v>
      </c>
      <c r="M350">
        <v>1.7150000000000001</v>
      </c>
      <c r="N350">
        <v>0.23</v>
      </c>
      <c r="O350">
        <v>3.24</v>
      </c>
      <c r="P350">
        <v>1.05</v>
      </c>
    </row>
    <row r="351" spans="1:16" x14ac:dyDescent="0.25">
      <c r="A351" s="1">
        <v>41696</v>
      </c>
      <c r="B351">
        <v>8.44</v>
      </c>
      <c r="C351">
        <v>124.09</v>
      </c>
      <c r="D351">
        <v>3.7090000000000001</v>
      </c>
      <c r="E351">
        <v>12.8</v>
      </c>
      <c r="F351">
        <v>5.35</v>
      </c>
      <c r="G351">
        <v>1.484</v>
      </c>
      <c r="H351">
        <v>10.6</v>
      </c>
      <c r="I351">
        <v>30.07</v>
      </c>
      <c r="J351">
        <v>14.01</v>
      </c>
      <c r="K351">
        <v>9.15</v>
      </c>
      <c r="L351">
        <v>1.59</v>
      </c>
      <c r="M351">
        <v>1.7230000000000001</v>
      </c>
      <c r="N351">
        <v>0.23</v>
      </c>
      <c r="O351">
        <v>3.24</v>
      </c>
      <c r="P351">
        <v>1.05</v>
      </c>
    </row>
    <row r="352" spans="1:16" x14ac:dyDescent="0.25">
      <c r="A352" s="1">
        <v>41697</v>
      </c>
      <c r="B352">
        <v>8.48</v>
      </c>
      <c r="C352">
        <v>124.06</v>
      </c>
      <c r="D352">
        <v>3.7440000000000002</v>
      </c>
      <c r="E352">
        <v>12.75</v>
      </c>
      <c r="F352">
        <v>5.25</v>
      </c>
      <c r="G352">
        <v>1.4930000000000001</v>
      </c>
      <c r="H352">
        <v>10.54</v>
      </c>
      <c r="I352">
        <v>30.11</v>
      </c>
      <c r="J352">
        <v>14.02</v>
      </c>
      <c r="K352">
        <v>9.1199999999999992</v>
      </c>
      <c r="L352">
        <v>1.59</v>
      </c>
      <c r="M352">
        <v>1.7230000000000001</v>
      </c>
      <c r="N352">
        <v>0.22</v>
      </c>
      <c r="O352">
        <v>3.28</v>
      </c>
      <c r="P352">
        <v>1.0409999999999999</v>
      </c>
    </row>
    <row r="353" spans="1:16" x14ac:dyDescent="0.25">
      <c r="A353" s="1">
        <v>41698</v>
      </c>
      <c r="B353">
        <v>8.5500000000000007</v>
      </c>
      <c r="C353">
        <v>125.02</v>
      </c>
      <c r="D353">
        <v>3.7919999999999998</v>
      </c>
      <c r="E353">
        <v>12.5</v>
      </c>
      <c r="F353">
        <v>5.3</v>
      </c>
      <c r="G353">
        <v>1.51</v>
      </c>
      <c r="H353">
        <v>10.56</v>
      </c>
      <c r="I353">
        <v>30.21</v>
      </c>
      <c r="J353">
        <v>14.4</v>
      </c>
      <c r="K353">
        <v>9.1</v>
      </c>
      <c r="L353">
        <v>1.61</v>
      </c>
      <c r="M353">
        <v>1.6910000000000001</v>
      </c>
      <c r="N353">
        <v>0.22</v>
      </c>
      <c r="O353">
        <v>3.33</v>
      </c>
      <c r="P353">
        <v>1.0589999999999999</v>
      </c>
    </row>
    <row r="354" spans="1:16" x14ac:dyDescent="0.25">
      <c r="A354" s="1">
        <v>41701</v>
      </c>
      <c r="B354">
        <v>8.48</v>
      </c>
      <c r="C354">
        <v>123.82</v>
      </c>
      <c r="D354">
        <v>3.7370000000000001</v>
      </c>
      <c r="E354">
        <v>13</v>
      </c>
      <c r="F354">
        <v>5.2</v>
      </c>
      <c r="G354">
        <v>1.484</v>
      </c>
      <c r="H354">
        <v>10.36</v>
      </c>
      <c r="I354">
        <v>29.69</v>
      </c>
      <c r="J354">
        <v>14.6</v>
      </c>
      <c r="K354">
        <v>8.9600000000000009</v>
      </c>
      <c r="L354">
        <v>1.61</v>
      </c>
      <c r="M354">
        <v>1.6339999999999999</v>
      </c>
      <c r="N354">
        <v>0.2</v>
      </c>
      <c r="O354">
        <v>3.32</v>
      </c>
      <c r="P354">
        <v>1.0229999999999999</v>
      </c>
    </row>
    <row r="355" spans="1:16" x14ac:dyDescent="0.25">
      <c r="A355" s="1">
        <v>41702</v>
      </c>
      <c r="B355">
        <v>8.43</v>
      </c>
      <c r="C355">
        <v>125.02</v>
      </c>
      <c r="D355">
        <v>3.7090000000000001</v>
      </c>
      <c r="E355">
        <v>12.85</v>
      </c>
      <c r="F355">
        <v>5.15</v>
      </c>
      <c r="G355">
        <v>1.502</v>
      </c>
      <c r="H355">
        <v>10.46</v>
      </c>
      <c r="I355">
        <v>29.5</v>
      </c>
      <c r="J355">
        <v>14.6</v>
      </c>
      <c r="K355">
        <v>8.9600000000000009</v>
      </c>
      <c r="L355">
        <v>1.61</v>
      </c>
      <c r="M355">
        <v>1.6419999999999999</v>
      </c>
      <c r="N355">
        <v>0.21</v>
      </c>
      <c r="O355">
        <v>3.29</v>
      </c>
      <c r="P355">
        <v>1.0229999999999999</v>
      </c>
    </row>
    <row r="356" spans="1:16" x14ac:dyDescent="0.25">
      <c r="A356" s="1">
        <v>41703</v>
      </c>
      <c r="B356">
        <v>8.39</v>
      </c>
      <c r="C356">
        <v>125.02</v>
      </c>
      <c r="D356">
        <v>3.6890000000000001</v>
      </c>
      <c r="E356">
        <v>12.85</v>
      </c>
      <c r="F356">
        <v>5.05</v>
      </c>
      <c r="G356">
        <v>1.51</v>
      </c>
      <c r="H356">
        <v>10.37</v>
      </c>
      <c r="I356">
        <v>29.26</v>
      </c>
      <c r="J356">
        <v>15.3</v>
      </c>
      <c r="K356">
        <v>8.82</v>
      </c>
      <c r="L356">
        <v>1.6</v>
      </c>
      <c r="M356">
        <v>1.6419999999999999</v>
      </c>
      <c r="N356">
        <v>0.2</v>
      </c>
      <c r="O356">
        <v>3.29</v>
      </c>
      <c r="P356">
        <v>1.0049999999999999</v>
      </c>
    </row>
    <row r="357" spans="1:16" x14ac:dyDescent="0.25">
      <c r="A357" s="1">
        <v>41704</v>
      </c>
      <c r="B357">
        <v>8.2799999999999994</v>
      </c>
      <c r="C357">
        <v>124.06</v>
      </c>
      <c r="D357">
        <v>3.6960000000000002</v>
      </c>
      <c r="E357">
        <v>12.85</v>
      </c>
      <c r="F357">
        <v>5.05</v>
      </c>
      <c r="G357">
        <v>1.502</v>
      </c>
      <c r="H357">
        <v>11.06</v>
      </c>
      <c r="I357">
        <v>29.12</v>
      </c>
      <c r="J357">
        <v>15.8</v>
      </c>
      <c r="K357">
        <v>8.7200000000000006</v>
      </c>
      <c r="L357">
        <v>1.59</v>
      </c>
      <c r="M357">
        <v>1.6659999999999999</v>
      </c>
      <c r="N357">
        <v>0.18</v>
      </c>
      <c r="O357">
        <v>3.29</v>
      </c>
      <c r="P357">
        <v>1.0409999999999999</v>
      </c>
    </row>
    <row r="358" spans="1:16" x14ac:dyDescent="0.25">
      <c r="A358" s="1">
        <v>41705</v>
      </c>
      <c r="B358">
        <v>8.23</v>
      </c>
      <c r="C358">
        <v>125.02</v>
      </c>
      <c r="D358">
        <v>3.641</v>
      </c>
      <c r="E358">
        <v>12.95</v>
      </c>
      <c r="F358">
        <v>5.15</v>
      </c>
      <c r="G358">
        <v>1.4930000000000001</v>
      </c>
      <c r="H358">
        <v>11.05</v>
      </c>
      <c r="I358">
        <v>29.04</v>
      </c>
      <c r="J358">
        <v>15.8</v>
      </c>
      <c r="K358">
        <v>8.7200000000000006</v>
      </c>
      <c r="L358">
        <v>1.59</v>
      </c>
      <c r="M358">
        <v>1.65</v>
      </c>
      <c r="N358">
        <v>0.19</v>
      </c>
      <c r="O358">
        <v>3.29</v>
      </c>
      <c r="P358">
        <v>1.032</v>
      </c>
    </row>
    <row r="359" spans="1:16" x14ac:dyDescent="0.25">
      <c r="A359" s="1">
        <v>41708</v>
      </c>
      <c r="B359">
        <v>8.33</v>
      </c>
      <c r="C359">
        <v>124.64</v>
      </c>
      <c r="D359">
        <v>3.641</v>
      </c>
      <c r="E359">
        <v>12.95</v>
      </c>
      <c r="F359">
        <v>5.2</v>
      </c>
      <c r="G359">
        <v>1.51</v>
      </c>
      <c r="H359">
        <v>10.9</v>
      </c>
      <c r="I359">
        <v>29.03</v>
      </c>
      <c r="J359">
        <v>15.83</v>
      </c>
      <c r="K359">
        <v>8.7200000000000006</v>
      </c>
      <c r="L359">
        <v>1.57</v>
      </c>
      <c r="M359">
        <v>1.6579999999999999</v>
      </c>
      <c r="N359">
        <v>0.2</v>
      </c>
      <c r="O359">
        <v>3.27</v>
      </c>
      <c r="P359">
        <v>1.014</v>
      </c>
    </row>
    <row r="360" spans="1:16" x14ac:dyDescent="0.25">
      <c r="A360" s="1">
        <v>41709</v>
      </c>
      <c r="B360">
        <v>8.3800000000000008</v>
      </c>
      <c r="C360">
        <v>123.1</v>
      </c>
      <c r="D360">
        <v>3.641</v>
      </c>
      <c r="E360">
        <v>12.85</v>
      </c>
      <c r="F360">
        <v>5.2</v>
      </c>
      <c r="G360">
        <v>1.52</v>
      </c>
      <c r="H360">
        <v>10.92</v>
      </c>
      <c r="I360">
        <v>29.03</v>
      </c>
      <c r="J360">
        <v>15.83</v>
      </c>
      <c r="K360">
        <v>8.77</v>
      </c>
      <c r="L360">
        <v>1.59</v>
      </c>
      <c r="M360">
        <v>1.6659999999999999</v>
      </c>
      <c r="N360">
        <v>0.22</v>
      </c>
      <c r="O360">
        <v>3.28</v>
      </c>
      <c r="P360">
        <v>1.032</v>
      </c>
    </row>
    <row r="361" spans="1:16" x14ac:dyDescent="0.25">
      <c r="A361" s="1">
        <v>41710</v>
      </c>
      <c r="B361">
        <v>8.3800000000000008</v>
      </c>
      <c r="C361">
        <v>122.81</v>
      </c>
      <c r="D361">
        <v>3.613</v>
      </c>
      <c r="E361">
        <v>12.72</v>
      </c>
      <c r="F361">
        <v>5.2</v>
      </c>
      <c r="G361">
        <v>1.502</v>
      </c>
      <c r="H361">
        <v>10.95</v>
      </c>
      <c r="I361">
        <v>29.5</v>
      </c>
      <c r="J361">
        <v>15.83</v>
      </c>
      <c r="K361">
        <v>8.8699999999999992</v>
      </c>
      <c r="L361">
        <v>1.58</v>
      </c>
      <c r="M361">
        <v>1.6990000000000001</v>
      </c>
      <c r="N361">
        <v>0.22</v>
      </c>
      <c r="O361">
        <v>3.3</v>
      </c>
      <c r="P361">
        <v>1.032</v>
      </c>
    </row>
    <row r="362" spans="1:16" x14ac:dyDescent="0.25">
      <c r="A362" s="1">
        <v>41711</v>
      </c>
      <c r="B362">
        <v>8.08</v>
      </c>
      <c r="C362">
        <v>120.89</v>
      </c>
      <c r="D362">
        <v>3.5720000000000001</v>
      </c>
      <c r="E362">
        <v>13.3</v>
      </c>
      <c r="F362">
        <v>5.15</v>
      </c>
      <c r="G362">
        <v>1.466</v>
      </c>
      <c r="H362">
        <v>10.9</v>
      </c>
      <c r="I362">
        <v>29.5</v>
      </c>
      <c r="J362">
        <v>15.2</v>
      </c>
      <c r="K362">
        <v>8.8699999999999992</v>
      </c>
      <c r="L362">
        <v>1.54</v>
      </c>
      <c r="M362">
        <v>1.6659999999999999</v>
      </c>
      <c r="N362">
        <v>0.2</v>
      </c>
      <c r="O362">
        <v>3.23</v>
      </c>
      <c r="P362">
        <v>1.0049999999999999</v>
      </c>
    </row>
    <row r="363" spans="1:16" x14ac:dyDescent="0.25">
      <c r="A363" s="1">
        <v>41712</v>
      </c>
      <c r="B363">
        <v>7.93</v>
      </c>
      <c r="C363">
        <v>122.14</v>
      </c>
      <c r="D363">
        <v>3.5720000000000001</v>
      </c>
      <c r="E363">
        <v>14</v>
      </c>
      <c r="F363">
        <v>5.05</v>
      </c>
      <c r="G363">
        <v>1.4390000000000001</v>
      </c>
      <c r="H363">
        <v>10.46</v>
      </c>
      <c r="I363">
        <v>29.5</v>
      </c>
      <c r="J363">
        <v>15.2</v>
      </c>
      <c r="K363">
        <v>8.8699999999999992</v>
      </c>
      <c r="L363">
        <v>1.53</v>
      </c>
      <c r="M363">
        <v>1.643</v>
      </c>
      <c r="N363">
        <v>0.21</v>
      </c>
      <c r="O363">
        <v>3.19</v>
      </c>
      <c r="P363">
        <v>1.0049999999999999</v>
      </c>
    </row>
    <row r="364" spans="1:16" x14ac:dyDescent="0.25">
      <c r="A364" s="1">
        <v>41715</v>
      </c>
      <c r="B364">
        <v>8.01</v>
      </c>
      <c r="C364">
        <v>122.33</v>
      </c>
      <c r="D364">
        <v>3.5720000000000001</v>
      </c>
      <c r="E364">
        <v>13.76</v>
      </c>
      <c r="F364">
        <v>5.0999999999999996</v>
      </c>
      <c r="G364">
        <v>1.4570000000000001</v>
      </c>
      <c r="H364">
        <v>10.51</v>
      </c>
      <c r="I364">
        <v>29.5</v>
      </c>
      <c r="J364">
        <v>15.28</v>
      </c>
      <c r="K364">
        <v>8.8699999999999992</v>
      </c>
      <c r="L364">
        <v>1.55</v>
      </c>
      <c r="M364">
        <v>1.6180000000000001</v>
      </c>
      <c r="N364">
        <v>0.21</v>
      </c>
      <c r="O364">
        <v>3.2</v>
      </c>
      <c r="P364">
        <v>1.0049999999999999</v>
      </c>
    </row>
    <row r="365" spans="1:16" x14ac:dyDescent="0.25">
      <c r="A365" s="1">
        <v>41716</v>
      </c>
      <c r="B365">
        <v>8.01</v>
      </c>
      <c r="C365">
        <v>123.1</v>
      </c>
      <c r="D365">
        <v>3.51</v>
      </c>
      <c r="E365">
        <v>13.32</v>
      </c>
      <c r="F365">
        <v>5</v>
      </c>
      <c r="G365">
        <v>1.4390000000000001</v>
      </c>
      <c r="H365">
        <v>10.44</v>
      </c>
      <c r="I365">
        <v>29.5</v>
      </c>
      <c r="J365">
        <v>15.05</v>
      </c>
      <c r="K365">
        <v>8.92</v>
      </c>
      <c r="L365">
        <v>1.55</v>
      </c>
      <c r="M365">
        <v>1.6180000000000001</v>
      </c>
      <c r="N365">
        <v>0.23</v>
      </c>
      <c r="O365">
        <v>3.09</v>
      </c>
      <c r="P365">
        <v>0.98699999999999999</v>
      </c>
    </row>
    <row r="366" spans="1:16" x14ac:dyDescent="0.25">
      <c r="A366" s="1">
        <v>41717</v>
      </c>
      <c r="B366">
        <v>8.01</v>
      </c>
      <c r="C366">
        <v>121.63</v>
      </c>
      <c r="D366">
        <v>3.51</v>
      </c>
      <c r="E366">
        <v>13.11</v>
      </c>
      <c r="F366">
        <v>5</v>
      </c>
      <c r="G366">
        <v>1.421</v>
      </c>
      <c r="H366">
        <v>10.029999999999999</v>
      </c>
      <c r="I366">
        <v>29.5</v>
      </c>
      <c r="J366">
        <v>15</v>
      </c>
      <c r="K366">
        <v>8.8000000000000007</v>
      </c>
      <c r="L366">
        <v>1.52</v>
      </c>
      <c r="M366">
        <v>1.56</v>
      </c>
      <c r="N366">
        <v>0.22</v>
      </c>
      <c r="O366">
        <v>3.11</v>
      </c>
      <c r="P366">
        <v>0.996</v>
      </c>
    </row>
    <row r="367" spans="1:16" x14ac:dyDescent="0.25">
      <c r="A367" s="1">
        <v>41718</v>
      </c>
      <c r="B367">
        <v>8.01</v>
      </c>
      <c r="C367">
        <v>123.26</v>
      </c>
      <c r="D367">
        <v>3.4689999999999999</v>
      </c>
      <c r="E367">
        <v>12.8</v>
      </c>
      <c r="F367">
        <v>5.05</v>
      </c>
      <c r="G367">
        <v>1.4119999999999999</v>
      </c>
      <c r="H367">
        <v>10.36</v>
      </c>
      <c r="I367">
        <v>30.07</v>
      </c>
      <c r="J367">
        <v>14.8</v>
      </c>
      <c r="K367">
        <v>8.7200000000000006</v>
      </c>
      <c r="L367">
        <v>1.5</v>
      </c>
      <c r="M367">
        <v>1.5349999999999999</v>
      </c>
      <c r="N367">
        <v>0.22</v>
      </c>
      <c r="O367">
        <v>3.11</v>
      </c>
      <c r="P367">
        <v>1.0049999999999999</v>
      </c>
    </row>
    <row r="368" spans="1:16" x14ac:dyDescent="0.25">
      <c r="A368" s="1">
        <v>41719</v>
      </c>
      <c r="B368">
        <v>7.89</v>
      </c>
      <c r="C368">
        <v>121.47</v>
      </c>
      <c r="D368">
        <v>3.49</v>
      </c>
      <c r="E368">
        <v>12.85</v>
      </c>
      <c r="F368">
        <v>5</v>
      </c>
      <c r="G368">
        <v>1.3939999999999999</v>
      </c>
      <c r="H368">
        <v>9.82</v>
      </c>
      <c r="I368">
        <v>30.07</v>
      </c>
      <c r="J368">
        <v>14.55</v>
      </c>
      <c r="K368">
        <v>8.92</v>
      </c>
      <c r="L368">
        <v>1.5</v>
      </c>
      <c r="M368">
        <v>1.5429999999999999</v>
      </c>
      <c r="N368">
        <v>0.24</v>
      </c>
      <c r="O368">
        <v>3.11</v>
      </c>
      <c r="P368">
        <v>0.98699999999999999</v>
      </c>
    </row>
    <row r="369" spans="1:16" x14ac:dyDescent="0.25">
      <c r="A369" s="1">
        <v>41722</v>
      </c>
      <c r="B369">
        <v>7.89</v>
      </c>
      <c r="C369">
        <v>121.08</v>
      </c>
      <c r="D369">
        <v>3.4969999999999999</v>
      </c>
      <c r="E369">
        <v>12.75</v>
      </c>
      <c r="F369">
        <v>4.95</v>
      </c>
      <c r="G369">
        <v>1.3939999999999999</v>
      </c>
      <c r="H369">
        <v>9.6199999999999992</v>
      </c>
      <c r="I369">
        <v>29.98</v>
      </c>
      <c r="J369">
        <v>14.55</v>
      </c>
      <c r="K369">
        <v>8.92</v>
      </c>
      <c r="L369">
        <v>1.49</v>
      </c>
      <c r="M369">
        <v>1.518</v>
      </c>
      <c r="N369">
        <v>0.24</v>
      </c>
      <c r="O369">
        <v>3.11</v>
      </c>
      <c r="P369">
        <v>0.98699999999999999</v>
      </c>
    </row>
    <row r="370" spans="1:16" x14ac:dyDescent="0.25">
      <c r="A370" s="1">
        <v>41723</v>
      </c>
      <c r="B370">
        <v>7.71</v>
      </c>
      <c r="C370">
        <v>123.1</v>
      </c>
      <c r="D370">
        <v>3.4969999999999999</v>
      </c>
      <c r="E370">
        <v>12.75</v>
      </c>
      <c r="F370">
        <v>4.99</v>
      </c>
      <c r="G370">
        <v>1.3759999999999999</v>
      </c>
      <c r="H370">
        <v>9.73</v>
      </c>
      <c r="I370">
        <v>29.98</v>
      </c>
      <c r="J370">
        <v>14.55</v>
      </c>
      <c r="K370">
        <v>8.94</v>
      </c>
      <c r="L370">
        <v>1.46</v>
      </c>
      <c r="M370">
        <v>1.4930000000000001</v>
      </c>
      <c r="N370">
        <v>0.22</v>
      </c>
      <c r="O370">
        <v>3.06</v>
      </c>
      <c r="P370">
        <v>0.95099999999999996</v>
      </c>
    </row>
    <row r="371" spans="1:16" x14ac:dyDescent="0.25">
      <c r="A371" s="1">
        <v>41724</v>
      </c>
      <c r="B371">
        <v>7.39</v>
      </c>
      <c r="C371">
        <v>124.83</v>
      </c>
      <c r="D371">
        <v>3.5030000000000001</v>
      </c>
      <c r="E371">
        <v>12.25</v>
      </c>
      <c r="F371">
        <v>4.91</v>
      </c>
      <c r="G371">
        <v>1.3129999999999999</v>
      </c>
      <c r="H371">
        <v>9.68</v>
      </c>
      <c r="I371">
        <v>29.74</v>
      </c>
      <c r="J371">
        <v>14.5</v>
      </c>
      <c r="K371">
        <v>8.9600000000000009</v>
      </c>
      <c r="L371">
        <v>1.46</v>
      </c>
      <c r="M371">
        <v>1.4930000000000001</v>
      </c>
      <c r="N371">
        <v>0.22</v>
      </c>
      <c r="O371">
        <v>3.06</v>
      </c>
      <c r="P371">
        <v>0.96</v>
      </c>
    </row>
    <row r="372" spans="1:16" x14ac:dyDescent="0.25">
      <c r="A372" s="1">
        <v>41725</v>
      </c>
      <c r="B372">
        <v>7.59</v>
      </c>
      <c r="C372">
        <v>126.71</v>
      </c>
      <c r="D372">
        <v>3.5030000000000001</v>
      </c>
      <c r="E372">
        <v>12.27</v>
      </c>
      <c r="F372">
        <v>4.9000000000000004</v>
      </c>
      <c r="G372">
        <v>1.3129999999999999</v>
      </c>
      <c r="H372">
        <v>9.48</v>
      </c>
      <c r="I372">
        <v>29.69</v>
      </c>
      <c r="J372">
        <v>14</v>
      </c>
      <c r="K372">
        <v>8.82</v>
      </c>
      <c r="L372">
        <v>1.46</v>
      </c>
      <c r="M372">
        <v>1.51</v>
      </c>
      <c r="N372">
        <v>0.22</v>
      </c>
      <c r="O372">
        <v>3.04</v>
      </c>
      <c r="P372">
        <v>0.96</v>
      </c>
    </row>
    <row r="373" spans="1:16" x14ac:dyDescent="0.25">
      <c r="A373" s="1">
        <v>41726</v>
      </c>
      <c r="B373">
        <v>7.89</v>
      </c>
      <c r="C373">
        <v>128.87</v>
      </c>
      <c r="D373">
        <v>3.5169999999999999</v>
      </c>
      <c r="E373">
        <v>12.27</v>
      </c>
      <c r="F373">
        <v>4.9000000000000004</v>
      </c>
      <c r="G373">
        <v>1.349</v>
      </c>
      <c r="H373">
        <v>9.6300000000000008</v>
      </c>
      <c r="I373">
        <v>29.69</v>
      </c>
      <c r="J373">
        <v>14.1</v>
      </c>
      <c r="K373">
        <v>8.82</v>
      </c>
      <c r="L373">
        <v>1.5</v>
      </c>
      <c r="M373">
        <v>1.5509999999999999</v>
      </c>
      <c r="N373">
        <v>0.23</v>
      </c>
      <c r="O373">
        <v>3.04</v>
      </c>
      <c r="P373">
        <v>0.96899999999999997</v>
      </c>
    </row>
    <row r="374" spans="1:16" x14ac:dyDescent="0.25">
      <c r="A374" s="1">
        <v>41729</v>
      </c>
      <c r="B374">
        <v>7.89</v>
      </c>
      <c r="C374">
        <v>131.76</v>
      </c>
      <c r="D374">
        <v>3.5310000000000001</v>
      </c>
      <c r="E374">
        <v>12.31</v>
      </c>
      <c r="F374">
        <v>4.9000000000000004</v>
      </c>
      <c r="G374">
        <v>1.3580000000000001</v>
      </c>
      <c r="H374">
        <v>9.6300000000000008</v>
      </c>
      <c r="I374">
        <v>29.98</v>
      </c>
      <c r="J374">
        <v>14.1</v>
      </c>
      <c r="K374">
        <v>8.92</v>
      </c>
      <c r="L374">
        <v>1.49</v>
      </c>
      <c r="M374">
        <v>1.56</v>
      </c>
      <c r="N374">
        <v>0.24</v>
      </c>
      <c r="O374">
        <v>3.03</v>
      </c>
      <c r="P374">
        <v>0.96</v>
      </c>
    </row>
    <row r="375" spans="1:16" x14ac:dyDescent="0.25">
      <c r="A375" s="1">
        <v>41730</v>
      </c>
      <c r="B375">
        <v>7.98</v>
      </c>
      <c r="C375">
        <v>132.02000000000001</v>
      </c>
      <c r="D375">
        <v>3.62</v>
      </c>
      <c r="E375">
        <v>12.31</v>
      </c>
      <c r="F375">
        <v>5.0999999999999996</v>
      </c>
      <c r="G375">
        <v>1.3580000000000001</v>
      </c>
      <c r="H375">
        <v>9.48</v>
      </c>
      <c r="I375">
        <v>30.07</v>
      </c>
      <c r="J375">
        <v>14.1</v>
      </c>
      <c r="K375">
        <v>8.9700000000000006</v>
      </c>
      <c r="L375">
        <v>1.49</v>
      </c>
      <c r="M375">
        <v>1.5760000000000001</v>
      </c>
      <c r="N375">
        <v>0.24</v>
      </c>
      <c r="O375">
        <v>3</v>
      </c>
      <c r="P375">
        <v>0.96</v>
      </c>
    </row>
    <row r="376" spans="1:16" x14ac:dyDescent="0.25">
      <c r="A376" s="1">
        <v>41731</v>
      </c>
      <c r="B376">
        <v>7.89</v>
      </c>
      <c r="C376">
        <v>132.29</v>
      </c>
      <c r="D376">
        <v>3.6059999999999999</v>
      </c>
      <c r="E376">
        <v>13</v>
      </c>
      <c r="F376">
        <v>5.15</v>
      </c>
      <c r="G376">
        <v>1.367</v>
      </c>
      <c r="H376">
        <v>9.5500000000000007</v>
      </c>
      <c r="I376">
        <v>30.07</v>
      </c>
      <c r="J376">
        <v>14.16</v>
      </c>
      <c r="K376">
        <v>8.9700000000000006</v>
      </c>
      <c r="L376">
        <v>1.5</v>
      </c>
      <c r="M376">
        <v>1.5509999999999999</v>
      </c>
      <c r="N376">
        <v>0.23</v>
      </c>
      <c r="O376">
        <v>3.03</v>
      </c>
      <c r="P376">
        <v>0.96899999999999997</v>
      </c>
    </row>
    <row r="377" spans="1:16" x14ac:dyDescent="0.25">
      <c r="A377" s="1">
        <v>41732</v>
      </c>
      <c r="B377">
        <v>7.88</v>
      </c>
      <c r="C377">
        <v>132.72</v>
      </c>
      <c r="D377">
        <v>3.6059999999999999</v>
      </c>
      <c r="E377">
        <v>12.9</v>
      </c>
      <c r="F377">
        <v>5.25</v>
      </c>
      <c r="G377">
        <v>1.349</v>
      </c>
      <c r="H377">
        <v>9.52</v>
      </c>
      <c r="I377">
        <v>29.98</v>
      </c>
      <c r="J377">
        <v>14.16</v>
      </c>
      <c r="K377">
        <v>8.98</v>
      </c>
      <c r="L377">
        <v>1.5</v>
      </c>
      <c r="M377">
        <v>1.5509999999999999</v>
      </c>
      <c r="N377">
        <v>0.23</v>
      </c>
      <c r="O377">
        <v>3.06</v>
      </c>
      <c r="P377">
        <v>0.96</v>
      </c>
    </row>
    <row r="378" spans="1:16" x14ac:dyDescent="0.25">
      <c r="A378" s="1">
        <v>41733</v>
      </c>
      <c r="B378">
        <v>7.95</v>
      </c>
      <c r="C378">
        <v>135.6</v>
      </c>
      <c r="D378">
        <v>3.6480000000000001</v>
      </c>
      <c r="E378">
        <v>13</v>
      </c>
      <c r="F378">
        <v>5.27</v>
      </c>
      <c r="G378">
        <v>1.349</v>
      </c>
      <c r="H378">
        <v>9.4499999999999993</v>
      </c>
      <c r="I378">
        <v>29.98</v>
      </c>
      <c r="J378">
        <v>14.12</v>
      </c>
      <c r="K378">
        <v>9.02</v>
      </c>
      <c r="L378">
        <v>1.55</v>
      </c>
      <c r="M378">
        <v>1.585</v>
      </c>
      <c r="N378">
        <v>0.22</v>
      </c>
      <c r="O378">
        <v>3.11</v>
      </c>
      <c r="P378">
        <v>0.96</v>
      </c>
    </row>
    <row r="379" spans="1:16" x14ac:dyDescent="0.25">
      <c r="A379" s="1">
        <v>41736</v>
      </c>
      <c r="B379">
        <v>7.98</v>
      </c>
      <c r="C379">
        <v>135.12</v>
      </c>
      <c r="D379">
        <v>3.6819999999999999</v>
      </c>
      <c r="E379">
        <v>12.9</v>
      </c>
      <c r="F379">
        <v>5.27</v>
      </c>
      <c r="G379">
        <v>1.3759999999999999</v>
      </c>
      <c r="H379">
        <v>9.16</v>
      </c>
      <c r="I379">
        <v>30.12</v>
      </c>
      <c r="J379">
        <v>14.12</v>
      </c>
      <c r="K379">
        <v>9.02</v>
      </c>
      <c r="L379">
        <v>1.54</v>
      </c>
      <c r="M379">
        <v>1.593</v>
      </c>
      <c r="N379">
        <v>0.22</v>
      </c>
      <c r="O379">
        <v>3.09</v>
      </c>
      <c r="P379">
        <v>0.95599999999999996</v>
      </c>
    </row>
    <row r="380" spans="1:16" x14ac:dyDescent="0.25">
      <c r="A380" s="1">
        <v>41737</v>
      </c>
      <c r="B380">
        <v>7.93</v>
      </c>
      <c r="C380">
        <v>134.5</v>
      </c>
      <c r="D380">
        <v>3.7229999999999999</v>
      </c>
      <c r="E380">
        <v>13.4</v>
      </c>
      <c r="F380">
        <v>5.27</v>
      </c>
      <c r="G380">
        <v>1.403</v>
      </c>
      <c r="H380">
        <v>9.1300000000000008</v>
      </c>
      <c r="I380">
        <v>30.58</v>
      </c>
      <c r="J380">
        <v>14.5</v>
      </c>
      <c r="K380">
        <v>9.02</v>
      </c>
      <c r="L380">
        <v>1.58</v>
      </c>
      <c r="M380">
        <v>1.593</v>
      </c>
      <c r="N380">
        <v>0.23</v>
      </c>
      <c r="O380">
        <v>3.11</v>
      </c>
      <c r="P380">
        <v>0.96499999999999997</v>
      </c>
    </row>
    <row r="381" spans="1:16" x14ac:dyDescent="0.25">
      <c r="A381" s="1">
        <v>41738</v>
      </c>
      <c r="B381">
        <v>7.96</v>
      </c>
      <c r="C381">
        <v>135.6</v>
      </c>
      <c r="D381">
        <v>3.7639999999999998</v>
      </c>
      <c r="E381">
        <v>13.45</v>
      </c>
      <c r="F381">
        <v>5.18</v>
      </c>
      <c r="G381">
        <v>1.403</v>
      </c>
      <c r="H381">
        <v>9.17</v>
      </c>
      <c r="I381">
        <v>30.64</v>
      </c>
      <c r="J381">
        <v>14.5</v>
      </c>
      <c r="K381">
        <v>9.02</v>
      </c>
      <c r="L381">
        <v>1.62</v>
      </c>
      <c r="M381">
        <v>1.609</v>
      </c>
      <c r="N381">
        <v>0.23</v>
      </c>
      <c r="O381">
        <v>3.11</v>
      </c>
      <c r="P381">
        <v>0.97399999999999998</v>
      </c>
    </row>
    <row r="382" spans="1:16" x14ac:dyDescent="0.25">
      <c r="A382" s="1">
        <v>41739</v>
      </c>
      <c r="B382">
        <v>8.08</v>
      </c>
      <c r="C382">
        <v>134.88</v>
      </c>
      <c r="D382">
        <v>3.7850000000000001</v>
      </c>
      <c r="E382">
        <v>13.08</v>
      </c>
      <c r="F382">
        <v>5.31</v>
      </c>
      <c r="G382">
        <v>1.3939999999999999</v>
      </c>
      <c r="H382">
        <v>9.24</v>
      </c>
      <c r="I382">
        <v>30.64</v>
      </c>
      <c r="J382">
        <v>15</v>
      </c>
      <c r="K382">
        <v>9.07</v>
      </c>
      <c r="L382">
        <v>1.64</v>
      </c>
      <c r="M382">
        <v>1.643</v>
      </c>
      <c r="N382">
        <v>0.24</v>
      </c>
      <c r="O382">
        <v>3.19</v>
      </c>
      <c r="P382">
        <v>1.0109999999999999</v>
      </c>
    </row>
    <row r="383" spans="1:16" x14ac:dyDescent="0.25">
      <c r="A383" s="1">
        <v>41740</v>
      </c>
      <c r="B383">
        <v>8.08</v>
      </c>
      <c r="C383">
        <v>133.68</v>
      </c>
      <c r="D383">
        <v>3.8119999999999998</v>
      </c>
      <c r="E383">
        <v>13</v>
      </c>
      <c r="F383">
        <v>5.31</v>
      </c>
      <c r="G383">
        <v>1.43</v>
      </c>
      <c r="H383">
        <v>9.4</v>
      </c>
      <c r="I383">
        <v>30.64</v>
      </c>
      <c r="J383">
        <v>15</v>
      </c>
      <c r="K383">
        <v>9.1199999999999992</v>
      </c>
      <c r="L383">
        <v>1.63</v>
      </c>
      <c r="M383">
        <v>1.6259999999999999</v>
      </c>
      <c r="N383">
        <v>0.24</v>
      </c>
      <c r="O383">
        <v>3.22</v>
      </c>
      <c r="P383">
        <v>0.99299999999999999</v>
      </c>
    </row>
    <row r="384" spans="1:16" x14ac:dyDescent="0.25">
      <c r="A384" s="1">
        <v>41743</v>
      </c>
      <c r="B384">
        <v>8.18</v>
      </c>
      <c r="C384">
        <v>135.79</v>
      </c>
      <c r="D384">
        <v>3.8260000000000001</v>
      </c>
      <c r="E384">
        <v>12.93</v>
      </c>
      <c r="F384">
        <v>5.31</v>
      </c>
      <c r="G384">
        <v>1.4390000000000001</v>
      </c>
      <c r="H384">
        <v>9.4600000000000009</v>
      </c>
      <c r="I384">
        <v>30.74</v>
      </c>
      <c r="J384">
        <v>15.5</v>
      </c>
      <c r="K384">
        <v>9.1199999999999992</v>
      </c>
      <c r="L384">
        <v>1.65</v>
      </c>
      <c r="M384">
        <v>1.651</v>
      </c>
      <c r="N384">
        <v>0.24</v>
      </c>
      <c r="O384">
        <v>3.25</v>
      </c>
      <c r="P384">
        <v>1.002</v>
      </c>
    </row>
    <row r="385" spans="1:16" x14ac:dyDescent="0.25">
      <c r="A385" s="1">
        <v>41744</v>
      </c>
      <c r="B385">
        <v>8.06</v>
      </c>
      <c r="C385">
        <v>132.72</v>
      </c>
      <c r="D385">
        <v>3.778</v>
      </c>
      <c r="E385">
        <v>12.98</v>
      </c>
      <c r="F385">
        <v>5.21</v>
      </c>
      <c r="G385">
        <v>1.4390000000000001</v>
      </c>
      <c r="H385">
        <v>9.4499999999999993</v>
      </c>
      <c r="I385">
        <v>31.11</v>
      </c>
      <c r="J385">
        <v>15.5</v>
      </c>
      <c r="K385">
        <v>9.1</v>
      </c>
      <c r="L385">
        <v>1.62</v>
      </c>
      <c r="M385">
        <v>1.6339999999999999</v>
      </c>
      <c r="N385">
        <v>0.24</v>
      </c>
      <c r="O385">
        <v>3.28</v>
      </c>
      <c r="P385">
        <v>0.99299999999999999</v>
      </c>
    </row>
    <row r="386" spans="1:16" x14ac:dyDescent="0.25">
      <c r="A386" s="1">
        <v>41745</v>
      </c>
      <c r="B386">
        <v>8.0399999999999991</v>
      </c>
      <c r="C386">
        <v>140.25</v>
      </c>
      <c r="D386">
        <v>3.5859999999999999</v>
      </c>
      <c r="E386">
        <v>13.03</v>
      </c>
      <c r="F386">
        <v>5.15</v>
      </c>
      <c r="G386">
        <v>1.4750000000000001</v>
      </c>
      <c r="H386">
        <v>9.69</v>
      </c>
      <c r="I386">
        <v>31.02</v>
      </c>
      <c r="J386">
        <v>15.8</v>
      </c>
      <c r="K386">
        <v>9</v>
      </c>
      <c r="L386">
        <v>1.64</v>
      </c>
      <c r="M386">
        <v>1.6339999999999999</v>
      </c>
      <c r="N386">
        <v>0.24</v>
      </c>
      <c r="O386">
        <v>3.29</v>
      </c>
      <c r="P386">
        <v>0.98299999999999998</v>
      </c>
    </row>
    <row r="387" spans="1:16" x14ac:dyDescent="0.25">
      <c r="A387" s="1">
        <v>41750</v>
      </c>
      <c r="B387">
        <v>8.1300000000000008</v>
      </c>
      <c r="C387">
        <v>140</v>
      </c>
      <c r="D387">
        <v>3.5720000000000001</v>
      </c>
      <c r="E387">
        <v>12.28</v>
      </c>
      <c r="F387">
        <v>5.15</v>
      </c>
      <c r="G387">
        <v>1.51</v>
      </c>
      <c r="H387">
        <v>10</v>
      </c>
      <c r="I387">
        <v>31.19</v>
      </c>
      <c r="J387">
        <v>15.8</v>
      </c>
      <c r="K387">
        <v>9</v>
      </c>
      <c r="L387">
        <v>1.65</v>
      </c>
      <c r="M387">
        <v>1.643</v>
      </c>
      <c r="N387">
        <v>0.23</v>
      </c>
      <c r="O387">
        <v>3.26</v>
      </c>
      <c r="P387">
        <v>0.98299999999999998</v>
      </c>
    </row>
    <row r="388" spans="1:16" x14ac:dyDescent="0.25">
      <c r="A388" s="1">
        <v>41751</v>
      </c>
      <c r="B388">
        <v>8.2799999999999994</v>
      </c>
      <c r="C388">
        <v>140.72</v>
      </c>
      <c r="D388">
        <v>3.6059999999999999</v>
      </c>
      <c r="E388">
        <v>12.49</v>
      </c>
      <c r="F388">
        <v>5.15</v>
      </c>
      <c r="G388">
        <v>1.528</v>
      </c>
      <c r="H388">
        <v>10.119999999999999</v>
      </c>
      <c r="I388">
        <v>31.31</v>
      </c>
      <c r="J388">
        <v>15.8</v>
      </c>
      <c r="K388">
        <v>9</v>
      </c>
      <c r="L388">
        <v>1.64</v>
      </c>
      <c r="M388">
        <v>1.643</v>
      </c>
      <c r="N388">
        <v>0.23</v>
      </c>
      <c r="O388">
        <v>3.32</v>
      </c>
      <c r="P388">
        <v>0.99299999999999999</v>
      </c>
    </row>
    <row r="389" spans="1:16" x14ac:dyDescent="0.25">
      <c r="A389" s="1">
        <v>41752</v>
      </c>
      <c r="B389">
        <v>8.4</v>
      </c>
      <c r="C389">
        <v>142.61000000000001</v>
      </c>
      <c r="D389">
        <v>3.641</v>
      </c>
      <c r="E389">
        <v>12.53</v>
      </c>
      <c r="F389">
        <v>5.0999999999999996</v>
      </c>
      <c r="G389">
        <v>1.5469999999999999</v>
      </c>
      <c r="H389">
        <v>10.15</v>
      </c>
      <c r="I389">
        <v>31.4</v>
      </c>
      <c r="J389">
        <v>15.8</v>
      </c>
      <c r="K389">
        <v>9.0500000000000007</v>
      </c>
      <c r="L389">
        <v>1.64</v>
      </c>
      <c r="M389">
        <v>1.643</v>
      </c>
      <c r="N389">
        <v>0.23</v>
      </c>
      <c r="O389">
        <v>3.34</v>
      </c>
      <c r="P389">
        <v>0.99299999999999999</v>
      </c>
    </row>
    <row r="390" spans="1:16" x14ac:dyDescent="0.25">
      <c r="A390" s="1">
        <v>41753</v>
      </c>
      <c r="B390">
        <v>8.5</v>
      </c>
      <c r="C390">
        <v>143</v>
      </c>
      <c r="D390">
        <v>3.6819999999999999</v>
      </c>
      <c r="E390">
        <v>12.62</v>
      </c>
      <c r="F390">
        <v>5.0999999999999996</v>
      </c>
      <c r="G390">
        <v>1.538</v>
      </c>
      <c r="H390">
        <v>10.050000000000001</v>
      </c>
      <c r="I390">
        <v>31.4</v>
      </c>
      <c r="J390">
        <v>15.81</v>
      </c>
      <c r="K390">
        <v>9.06</v>
      </c>
      <c r="L390">
        <v>1.67</v>
      </c>
      <c r="M390">
        <v>1.659</v>
      </c>
      <c r="N390">
        <v>0.26</v>
      </c>
      <c r="O390">
        <v>3.49</v>
      </c>
      <c r="P390">
        <v>0.99299999999999999</v>
      </c>
    </row>
    <row r="391" spans="1:16" x14ac:dyDescent="0.25">
      <c r="A391" s="1">
        <v>41754</v>
      </c>
      <c r="B391">
        <v>8.5</v>
      </c>
      <c r="C391">
        <v>143.5</v>
      </c>
      <c r="D391">
        <v>3.6890000000000001</v>
      </c>
      <c r="E391">
        <v>12.63</v>
      </c>
      <c r="F391">
        <v>5.0999999999999996</v>
      </c>
      <c r="G391">
        <v>1.5189999999999999</v>
      </c>
      <c r="H391">
        <v>9.9</v>
      </c>
      <c r="I391">
        <v>31.5</v>
      </c>
      <c r="J391">
        <v>15.81</v>
      </c>
      <c r="K391">
        <v>9.01</v>
      </c>
      <c r="L391">
        <v>1.69</v>
      </c>
      <c r="M391">
        <v>1.7010000000000001</v>
      </c>
      <c r="N391">
        <v>0.26</v>
      </c>
      <c r="O391">
        <v>3.54</v>
      </c>
      <c r="P391">
        <v>0.99299999999999999</v>
      </c>
    </row>
    <row r="392" spans="1:16" x14ac:dyDescent="0.25">
      <c r="A392" s="1">
        <v>41757</v>
      </c>
      <c r="B392">
        <v>8.4499999999999993</v>
      </c>
      <c r="C392">
        <v>143.25</v>
      </c>
      <c r="D392">
        <v>3.6960000000000002</v>
      </c>
      <c r="E392">
        <v>12.7</v>
      </c>
      <c r="F392">
        <v>5.17</v>
      </c>
      <c r="G392">
        <v>1.538</v>
      </c>
      <c r="H392">
        <v>9.7799999999999994</v>
      </c>
      <c r="I392">
        <v>31.7</v>
      </c>
      <c r="J392">
        <v>15.81</v>
      </c>
      <c r="K392">
        <v>9.02</v>
      </c>
      <c r="L392">
        <v>1.7</v>
      </c>
      <c r="M392">
        <v>1.726</v>
      </c>
      <c r="N392">
        <v>0.26</v>
      </c>
      <c r="O392">
        <v>3.59</v>
      </c>
      <c r="P392">
        <v>0.97299999999999998</v>
      </c>
    </row>
    <row r="393" spans="1:16" x14ac:dyDescent="0.25">
      <c r="A393" s="1">
        <v>41758</v>
      </c>
      <c r="B393">
        <v>8.42</v>
      </c>
      <c r="C393">
        <v>145.12</v>
      </c>
      <c r="D393">
        <v>3.7370000000000001</v>
      </c>
      <c r="E393">
        <v>12.72</v>
      </c>
      <c r="F393">
        <v>5.13</v>
      </c>
      <c r="G393">
        <v>1.5469999999999999</v>
      </c>
      <c r="H393">
        <v>9.8000000000000007</v>
      </c>
      <c r="I393">
        <v>31.82</v>
      </c>
      <c r="J393">
        <v>15.81</v>
      </c>
      <c r="K393">
        <v>9.02</v>
      </c>
      <c r="L393">
        <v>1.72</v>
      </c>
      <c r="M393">
        <v>1.7589999999999999</v>
      </c>
      <c r="N393">
        <v>0.27</v>
      </c>
      <c r="O393">
        <v>3.59</v>
      </c>
      <c r="P393">
        <v>1.002</v>
      </c>
    </row>
    <row r="394" spans="1:16" x14ac:dyDescent="0.25">
      <c r="A394" s="1">
        <v>41759</v>
      </c>
      <c r="B394">
        <v>8.5</v>
      </c>
      <c r="C394">
        <v>149.5</v>
      </c>
      <c r="D394">
        <v>3.7509999999999999</v>
      </c>
      <c r="E394">
        <v>12.87</v>
      </c>
      <c r="F394">
        <v>5.15</v>
      </c>
      <c r="G394">
        <v>1.5660000000000001</v>
      </c>
      <c r="H394">
        <v>9.92</v>
      </c>
      <c r="I394">
        <v>32</v>
      </c>
      <c r="J394">
        <v>15.81</v>
      </c>
      <c r="K394">
        <v>9.25</v>
      </c>
      <c r="L394">
        <v>1.78</v>
      </c>
      <c r="M394">
        <v>1.833</v>
      </c>
      <c r="N394">
        <v>0.28000000000000003</v>
      </c>
      <c r="O394">
        <v>3.59</v>
      </c>
      <c r="P394">
        <v>1.052</v>
      </c>
    </row>
    <row r="395" spans="1:16" x14ac:dyDescent="0.25">
      <c r="A395" s="1">
        <v>41761</v>
      </c>
      <c r="B395">
        <v>8.75</v>
      </c>
      <c r="C395">
        <v>149.5</v>
      </c>
      <c r="D395">
        <v>3.778</v>
      </c>
      <c r="E395">
        <v>11.48</v>
      </c>
      <c r="F395">
        <v>5.15</v>
      </c>
      <c r="G395">
        <v>1.6679999999999999</v>
      </c>
      <c r="H395">
        <v>9.85</v>
      </c>
      <c r="I395">
        <v>32.299999999999997</v>
      </c>
      <c r="J395">
        <v>16</v>
      </c>
      <c r="K395">
        <v>9.1</v>
      </c>
      <c r="L395">
        <v>1.78</v>
      </c>
      <c r="M395">
        <v>1.8420000000000001</v>
      </c>
      <c r="N395">
        <v>0.28000000000000003</v>
      </c>
      <c r="O395">
        <v>3.59</v>
      </c>
      <c r="P395">
        <v>1.012</v>
      </c>
    </row>
    <row r="396" spans="1:16" x14ac:dyDescent="0.25">
      <c r="A396" s="1">
        <v>41764</v>
      </c>
      <c r="B396">
        <v>8.84</v>
      </c>
      <c r="C396">
        <v>150.19999999999999</v>
      </c>
      <c r="D396">
        <v>3.778</v>
      </c>
      <c r="E396">
        <v>11.65</v>
      </c>
      <c r="F396">
        <v>5.16</v>
      </c>
      <c r="G396">
        <v>1.649</v>
      </c>
      <c r="H396">
        <v>9.75</v>
      </c>
      <c r="I396">
        <v>32.35</v>
      </c>
      <c r="J396">
        <v>16</v>
      </c>
      <c r="K396">
        <v>9.3000000000000007</v>
      </c>
      <c r="L396">
        <v>1.75</v>
      </c>
      <c r="M396">
        <v>1.8420000000000001</v>
      </c>
      <c r="N396">
        <v>0.3</v>
      </c>
      <c r="O396">
        <v>3.44</v>
      </c>
      <c r="P396">
        <v>1.022</v>
      </c>
    </row>
    <row r="397" spans="1:16" x14ac:dyDescent="0.25">
      <c r="A397" s="1">
        <v>41765</v>
      </c>
      <c r="B397">
        <v>8.82</v>
      </c>
      <c r="C397">
        <v>149.57</v>
      </c>
      <c r="D397">
        <v>3.8260000000000001</v>
      </c>
      <c r="E397">
        <v>11.5</v>
      </c>
      <c r="F397">
        <v>5.15</v>
      </c>
      <c r="G397">
        <v>1.649</v>
      </c>
      <c r="H397">
        <v>9.66</v>
      </c>
      <c r="I397">
        <v>32.65</v>
      </c>
      <c r="J397">
        <v>16</v>
      </c>
      <c r="K397">
        <v>9.4</v>
      </c>
      <c r="L397">
        <v>1.75</v>
      </c>
      <c r="M397">
        <v>1.9079999999999999</v>
      </c>
      <c r="N397">
        <v>0.28999999999999998</v>
      </c>
      <c r="O397">
        <v>3.37</v>
      </c>
      <c r="P397">
        <v>1.042</v>
      </c>
    </row>
    <row r="398" spans="1:16" x14ac:dyDescent="0.25">
      <c r="A398" s="1">
        <v>41766</v>
      </c>
      <c r="B398">
        <v>8.82</v>
      </c>
      <c r="C398">
        <v>149.35</v>
      </c>
      <c r="D398">
        <v>3.847</v>
      </c>
      <c r="E398">
        <v>11.07</v>
      </c>
      <c r="F398">
        <v>5.13</v>
      </c>
      <c r="G398">
        <v>1.649</v>
      </c>
      <c r="H398">
        <v>9.69</v>
      </c>
      <c r="I398">
        <v>32.65</v>
      </c>
      <c r="J398">
        <v>16</v>
      </c>
      <c r="K398">
        <v>9.42</v>
      </c>
      <c r="L398">
        <v>1.8</v>
      </c>
      <c r="M398">
        <v>1.9910000000000001</v>
      </c>
      <c r="N398">
        <v>0.3</v>
      </c>
      <c r="O398">
        <v>3.37</v>
      </c>
      <c r="P398">
        <v>1.0620000000000001</v>
      </c>
    </row>
    <row r="399" spans="1:16" x14ac:dyDescent="0.25">
      <c r="A399" s="1">
        <v>41767</v>
      </c>
      <c r="B399">
        <v>8.75</v>
      </c>
      <c r="C399">
        <v>149.1</v>
      </c>
      <c r="D399">
        <v>3.8540000000000001</v>
      </c>
      <c r="E399">
        <v>11.25</v>
      </c>
      <c r="F399">
        <v>5</v>
      </c>
      <c r="G399">
        <v>1.649</v>
      </c>
      <c r="H399">
        <v>9.6199999999999992</v>
      </c>
      <c r="I399">
        <v>32.65</v>
      </c>
      <c r="J399">
        <v>16</v>
      </c>
      <c r="K399">
        <v>9.41</v>
      </c>
      <c r="L399">
        <v>1.82</v>
      </c>
      <c r="M399">
        <v>2.0489999999999999</v>
      </c>
      <c r="N399">
        <v>0.3</v>
      </c>
      <c r="O399">
        <v>3.42</v>
      </c>
      <c r="P399">
        <v>1.121</v>
      </c>
    </row>
    <row r="400" spans="1:16" x14ac:dyDescent="0.25">
      <c r="A400" s="1">
        <v>41768</v>
      </c>
      <c r="B400">
        <v>8.75</v>
      </c>
      <c r="C400">
        <v>156.5</v>
      </c>
      <c r="D400">
        <v>3.8610000000000002</v>
      </c>
      <c r="E400">
        <v>11.1</v>
      </c>
      <c r="F400">
        <v>5</v>
      </c>
      <c r="G400">
        <v>1.649</v>
      </c>
      <c r="H400">
        <v>9.8000000000000007</v>
      </c>
      <c r="I400">
        <v>32.799999999999997</v>
      </c>
      <c r="J400">
        <v>15.9</v>
      </c>
      <c r="K400">
        <v>9.4</v>
      </c>
      <c r="L400">
        <v>1.82</v>
      </c>
      <c r="M400">
        <v>2.0489999999999999</v>
      </c>
      <c r="N400">
        <v>0.3</v>
      </c>
      <c r="O400">
        <v>3.44</v>
      </c>
      <c r="P400">
        <v>1.1020000000000001</v>
      </c>
    </row>
    <row r="401" spans="1:16" x14ac:dyDescent="0.25">
      <c r="A401" s="1">
        <v>41771</v>
      </c>
      <c r="B401">
        <v>8.65</v>
      </c>
      <c r="C401">
        <v>158.54</v>
      </c>
      <c r="D401">
        <v>3.8330000000000002</v>
      </c>
      <c r="E401">
        <v>11.2</v>
      </c>
      <c r="F401">
        <v>5</v>
      </c>
      <c r="G401">
        <v>1.677</v>
      </c>
      <c r="H401">
        <v>9.7200000000000006</v>
      </c>
      <c r="I401">
        <v>33</v>
      </c>
      <c r="J401">
        <v>15.8</v>
      </c>
      <c r="K401">
        <v>9.4</v>
      </c>
      <c r="L401">
        <v>1.86</v>
      </c>
      <c r="M401">
        <v>2.1240000000000001</v>
      </c>
      <c r="N401">
        <v>0.32</v>
      </c>
      <c r="O401">
        <v>3.39</v>
      </c>
      <c r="P401">
        <v>1.151</v>
      </c>
    </row>
    <row r="402" spans="1:16" x14ac:dyDescent="0.25">
      <c r="A402" s="1">
        <v>41772</v>
      </c>
      <c r="B402">
        <v>8.6</v>
      </c>
      <c r="C402">
        <v>158.4</v>
      </c>
      <c r="D402">
        <v>3.819</v>
      </c>
      <c r="E402">
        <v>11.1</v>
      </c>
      <c r="F402">
        <v>4.9000000000000004</v>
      </c>
      <c r="G402">
        <v>1.659</v>
      </c>
      <c r="H402">
        <v>9.6</v>
      </c>
      <c r="I402">
        <v>33.11</v>
      </c>
      <c r="J402">
        <v>15.8</v>
      </c>
      <c r="K402">
        <v>9.3000000000000007</v>
      </c>
      <c r="L402">
        <v>1.84</v>
      </c>
      <c r="M402">
        <v>2.0910000000000002</v>
      </c>
      <c r="N402">
        <v>0.32</v>
      </c>
      <c r="O402">
        <v>3.31</v>
      </c>
      <c r="P402">
        <v>1.121</v>
      </c>
    </row>
    <row r="403" spans="1:16" x14ac:dyDescent="0.25">
      <c r="A403" s="1">
        <v>41773</v>
      </c>
      <c r="B403">
        <v>8.56</v>
      </c>
      <c r="C403">
        <v>157.65</v>
      </c>
      <c r="D403">
        <v>3.8119999999999998</v>
      </c>
      <c r="E403">
        <v>11.07</v>
      </c>
      <c r="F403">
        <v>4.9000000000000004</v>
      </c>
      <c r="G403">
        <v>1.6679999999999999</v>
      </c>
      <c r="H403">
        <v>9.58</v>
      </c>
      <c r="I403">
        <v>33</v>
      </c>
      <c r="J403">
        <v>15.8</v>
      </c>
      <c r="K403">
        <v>9.1999999999999993</v>
      </c>
      <c r="L403">
        <v>1.82</v>
      </c>
      <c r="M403">
        <v>2.0910000000000002</v>
      </c>
      <c r="N403">
        <v>0.32</v>
      </c>
      <c r="O403">
        <v>3.32</v>
      </c>
      <c r="P403">
        <v>1.0920000000000001</v>
      </c>
    </row>
    <row r="404" spans="1:16" x14ac:dyDescent="0.25">
      <c r="A404" s="1">
        <v>41774</v>
      </c>
      <c r="B404">
        <v>8.5</v>
      </c>
      <c r="C404">
        <v>155.22999999999999</v>
      </c>
      <c r="D404">
        <v>3.8119999999999998</v>
      </c>
      <c r="E404">
        <v>10.98</v>
      </c>
      <c r="F404">
        <v>4.9000000000000004</v>
      </c>
      <c r="G404">
        <v>1.724</v>
      </c>
      <c r="H404">
        <v>9.4</v>
      </c>
      <c r="I404">
        <v>33</v>
      </c>
      <c r="J404">
        <v>15.8</v>
      </c>
      <c r="K404">
        <v>9.1999999999999993</v>
      </c>
      <c r="L404">
        <v>1.79</v>
      </c>
      <c r="M404">
        <v>2.1160000000000001</v>
      </c>
      <c r="N404">
        <v>0.31</v>
      </c>
      <c r="O404">
        <v>3.22</v>
      </c>
      <c r="P404">
        <v>1.0920000000000001</v>
      </c>
    </row>
    <row r="405" spans="1:16" x14ac:dyDescent="0.25">
      <c r="A405" s="1">
        <v>41775</v>
      </c>
      <c r="B405">
        <v>8.49</v>
      </c>
      <c r="C405">
        <v>155.69999999999999</v>
      </c>
      <c r="D405">
        <v>3.8119999999999998</v>
      </c>
      <c r="E405">
        <v>10.92</v>
      </c>
      <c r="F405">
        <v>4.9000000000000004</v>
      </c>
      <c r="G405">
        <v>1.7889999999999999</v>
      </c>
      <c r="H405">
        <v>9.4</v>
      </c>
      <c r="I405">
        <v>33</v>
      </c>
      <c r="J405">
        <v>15.8</v>
      </c>
      <c r="K405">
        <v>9.15</v>
      </c>
      <c r="L405">
        <v>1.77</v>
      </c>
      <c r="M405">
        <v>2.1320000000000001</v>
      </c>
      <c r="N405">
        <v>0.28000000000000003</v>
      </c>
      <c r="O405">
        <v>3.21</v>
      </c>
      <c r="P405">
        <v>1.0920000000000001</v>
      </c>
    </row>
    <row r="406" spans="1:16" x14ac:dyDescent="0.25">
      <c r="A406" s="1">
        <v>41778</v>
      </c>
      <c r="B406">
        <v>8.5</v>
      </c>
      <c r="C406">
        <v>156.18</v>
      </c>
      <c r="D406">
        <v>3.8119999999999998</v>
      </c>
      <c r="E406">
        <v>10.9</v>
      </c>
      <c r="F406">
        <v>5</v>
      </c>
      <c r="G406">
        <v>1.7609999999999999</v>
      </c>
      <c r="H406">
        <v>9.39</v>
      </c>
      <c r="I406">
        <v>33</v>
      </c>
      <c r="J406">
        <v>15.8</v>
      </c>
      <c r="K406">
        <v>9.16</v>
      </c>
      <c r="L406">
        <v>1.74</v>
      </c>
      <c r="M406">
        <v>2.0819999999999999</v>
      </c>
      <c r="N406">
        <v>0.28000000000000003</v>
      </c>
      <c r="O406">
        <v>3.18</v>
      </c>
      <c r="P406">
        <v>1.0920000000000001</v>
      </c>
    </row>
    <row r="407" spans="1:16" x14ac:dyDescent="0.25">
      <c r="A407" s="1">
        <v>41779</v>
      </c>
      <c r="B407">
        <v>8.5</v>
      </c>
      <c r="C407">
        <v>153.5</v>
      </c>
      <c r="D407">
        <v>3.7989999999999999</v>
      </c>
      <c r="E407">
        <v>10.9</v>
      </c>
      <c r="F407">
        <v>5</v>
      </c>
      <c r="G407">
        <v>1.7330000000000001</v>
      </c>
      <c r="H407">
        <v>9.35</v>
      </c>
      <c r="I407">
        <v>33</v>
      </c>
      <c r="J407">
        <v>15.8</v>
      </c>
      <c r="K407">
        <v>9.16</v>
      </c>
      <c r="L407">
        <v>1.72</v>
      </c>
      <c r="M407">
        <v>2.1160000000000001</v>
      </c>
      <c r="N407">
        <v>0.28000000000000003</v>
      </c>
      <c r="O407">
        <v>3.19</v>
      </c>
      <c r="P407">
        <v>1.0820000000000001</v>
      </c>
    </row>
    <row r="408" spans="1:16" x14ac:dyDescent="0.25">
      <c r="A408" s="1">
        <v>41780</v>
      </c>
      <c r="B408">
        <v>8.5</v>
      </c>
      <c r="C408">
        <v>156.1</v>
      </c>
      <c r="D408">
        <v>3.7989999999999999</v>
      </c>
      <c r="E408">
        <v>10.89</v>
      </c>
      <c r="F408">
        <v>4.9800000000000004</v>
      </c>
      <c r="G408">
        <v>1.752</v>
      </c>
      <c r="H408">
        <v>9.3000000000000007</v>
      </c>
      <c r="I408">
        <v>33</v>
      </c>
      <c r="J408">
        <v>15.75</v>
      </c>
      <c r="K408">
        <v>9.1999999999999993</v>
      </c>
      <c r="L408">
        <v>1.75</v>
      </c>
      <c r="M408">
        <v>2.157</v>
      </c>
      <c r="N408">
        <v>0.28000000000000003</v>
      </c>
      <c r="O408">
        <v>3.2</v>
      </c>
      <c r="P408">
        <v>1.0720000000000001</v>
      </c>
    </row>
    <row r="409" spans="1:16" x14ac:dyDescent="0.25">
      <c r="A409" s="1">
        <v>41781</v>
      </c>
      <c r="B409">
        <v>8.5500000000000007</v>
      </c>
      <c r="C409">
        <v>156.6</v>
      </c>
      <c r="D409">
        <v>3.8260000000000001</v>
      </c>
      <c r="E409">
        <v>10.8</v>
      </c>
      <c r="F409">
        <v>4.9800000000000004</v>
      </c>
      <c r="G409">
        <v>1.7709999999999999</v>
      </c>
      <c r="H409">
        <v>9.2799999999999994</v>
      </c>
      <c r="I409">
        <v>33.1</v>
      </c>
      <c r="J409">
        <v>15.75</v>
      </c>
      <c r="K409">
        <v>9.2100000000000009</v>
      </c>
      <c r="L409">
        <v>1.76</v>
      </c>
      <c r="M409">
        <v>2.2149999999999999</v>
      </c>
      <c r="N409">
        <v>0.28000000000000003</v>
      </c>
      <c r="O409">
        <v>3.21</v>
      </c>
      <c r="P409">
        <v>1.0820000000000001</v>
      </c>
    </row>
    <row r="410" spans="1:16" x14ac:dyDescent="0.25">
      <c r="A410" s="1">
        <v>41782</v>
      </c>
      <c r="B410">
        <v>8.59</v>
      </c>
      <c r="C410">
        <v>157</v>
      </c>
      <c r="D410">
        <v>3.84</v>
      </c>
      <c r="E410">
        <v>10.85</v>
      </c>
      <c r="F410">
        <v>4.95</v>
      </c>
      <c r="G410">
        <v>1.7430000000000001</v>
      </c>
      <c r="H410">
        <v>9.2899999999999991</v>
      </c>
      <c r="I410">
        <v>33.020000000000003</v>
      </c>
      <c r="J410">
        <v>15.75</v>
      </c>
      <c r="K410">
        <v>9.1999999999999993</v>
      </c>
      <c r="L410">
        <v>1.78</v>
      </c>
      <c r="M410">
        <v>2.2730000000000001</v>
      </c>
      <c r="N410">
        <v>0.28000000000000003</v>
      </c>
      <c r="O410">
        <v>3.21</v>
      </c>
      <c r="P410">
        <v>1.1020000000000001</v>
      </c>
    </row>
    <row r="411" spans="1:16" x14ac:dyDescent="0.25">
      <c r="A411" s="1">
        <v>41785</v>
      </c>
      <c r="B411">
        <v>8.59</v>
      </c>
      <c r="C411">
        <v>157</v>
      </c>
      <c r="D411">
        <v>3.8330000000000002</v>
      </c>
      <c r="E411">
        <v>10.78</v>
      </c>
      <c r="F411">
        <v>4.95</v>
      </c>
      <c r="G411">
        <v>1.7430000000000001</v>
      </c>
      <c r="H411">
        <v>9.2899999999999991</v>
      </c>
      <c r="I411">
        <v>32.85</v>
      </c>
      <c r="J411">
        <v>15.74</v>
      </c>
      <c r="K411">
        <v>9.1999999999999993</v>
      </c>
      <c r="L411">
        <v>1.78</v>
      </c>
      <c r="M411">
        <v>2.306</v>
      </c>
      <c r="N411">
        <v>0.28999999999999998</v>
      </c>
      <c r="O411">
        <v>3.2</v>
      </c>
      <c r="P411">
        <v>1.1020000000000001</v>
      </c>
    </row>
    <row r="412" spans="1:16" x14ac:dyDescent="0.25">
      <c r="A412" s="1">
        <v>41786</v>
      </c>
      <c r="B412">
        <v>8.59</v>
      </c>
      <c r="C412">
        <v>154.75</v>
      </c>
      <c r="D412">
        <v>3.847</v>
      </c>
      <c r="E412">
        <v>10.5</v>
      </c>
      <c r="F412">
        <v>4.95</v>
      </c>
      <c r="G412">
        <v>1.7430000000000001</v>
      </c>
      <c r="H412">
        <v>9.27</v>
      </c>
      <c r="I412">
        <v>32.799999999999997</v>
      </c>
      <c r="J412">
        <v>15.7</v>
      </c>
      <c r="K412">
        <v>9.1999999999999993</v>
      </c>
      <c r="L412">
        <v>1.74</v>
      </c>
      <c r="M412">
        <v>2.2400000000000002</v>
      </c>
      <c r="N412">
        <v>0.3</v>
      </c>
      <c r="O412">
        <v>3.26</v>
      </c>
      <c r="P412">
        <v>1.0720000000000001</v>
      </c>
    </row>
    <row r="413" spans="1:16" x14ac:dyDescent="0.25">
      <c r="A413" s="1">
        <v>41787</v>
      </c>
      <c r="B413">
        <v>8.58</v>
      </c>
      <c r="C413">
        <v>158</v>
      </c>
      <c r="D413">
        <v>3.8260000000000001</v>
      </c>
      <c r="E413">
        <v>10.35</v>
      </c>
      <c r="F413">
        <v>4.93</v>
      </c>
      <c r="G413">
        <v>1.7330000000000001</v>
      </c>
      <c r="H413">
        <v>9.1999999999999993</v>
      </c>
      <c r="I413">
        <v>33</v>
      </c>
      <c r="J413">
        <v>15.7</v>
      </c>
      <c r="K413">
        <v>9.1999999999999993</v>
      </c>
      <c r="L413">
        <v>1.74</v>
      </c>
      <c r="M413">
        <v>2.2240000000000002</v>
      </c>
      <c r="N413">
        <v>0.3</v>
      </c>
      <c r="O413">
        <v>3.27</v>
      </c>
      <c r="P413">
        <v>1.0620000000000001</v>
      </c>
    </row>
    <row r="414" spans="1:16" x14ac:dyDescent="0.25">
      <c r="A414" s="1">
        <v>41788</v>
      </c>
      <c r="B414">
        <v>8.4700000000000006</v>
      </c>
      <c r="C414">
        <v>158</v>
      </c>
      <c r="D414">
        <v>3.84</v>
      </c>
      <c r="E414">
        <v>10.4</v>
      </c>
      <c r="F414">
        <v>4.9800000000000004</v>
      </c>
      <c r="G414">
        <v>1.7609999999999999</v>
      </c>
      <c r="H414">
        <v>9.18</v>
      </c>
      <c r="I414">
        <v>33</v>
      </c>
      <c r="J414">
        <v>15.7</v>
      </c>
      <c r="K414">
        <v>9.15</v>
      </c>
      <c r="L414">
        <v>1.75</v>
      </c>
      <c r="M414">
        <v>2.1989999999999998</v>
      </c>
      <c r="N414">
        <v>0.3</v>
      </c>
      <c r="O414">
        <v>3.34</v>
      </c>
      <c r="P414">
        <v>1.0720000000000001</v>
      </c>
    </row>
    <row r="415" spans="1:16" x14ac:dyDescent="0.25">
      <c r="A415" s="1">
        <v>41789</v>
      </c>
      <c r="B415">
        <v>8.5</v>
      </c>
      <c r="C415">
        <v>159</v>
      </c>
      <c r="D415">
        <v>3.867</v>
      </c>
      <c r="E415">
        <v>10.65</v>
      </c>
      <c r="F415">
        <v>4.9000000000000004</v>
      </c>
      <c r="G415">
        <v>1.7430000000000001</v>
      </c>
      <c r="H415">
        <v>9.35</v>
      </c>
      <c r="I415">
        <v>32.979999999999997</v>
      </c>
      <c r="J415">
        <v>16</v>
      </c>
      <c r="K415">
        <v>9</v>
      </c>
      <c r="L415">
        <v>1.73</v>
      </c>
      <c r="M415">
        <v>2.1739999999999999</v>
      </c>
      <c r="N415">
        <v>0.32</v>
      </c>
      <c r="O415">
        <v>3.37</v>
      </c>
      <c r="P415">
        <v>1.0620000000000001</v>
      </c>
    </row>
    <row r="416" spans="1:16" x14ac:dyDescent="0.25">
      <c r="A416" s="1">
        <v>41792</v>
      </c>
      <c r="B416">
        <v>8.4</v>
      </c>
      <c r="C416">
        <v>157</v>
      </c>
      <c r="D416">
        <v>3.8610000000000002</v>
      </c>
      <c r="E416">
        <v>10.45</v>
      </c>
      <c r="F416">
        <v>5.05</v>
      </c>
      <c r="G416">
        <v>1.7150000000000001</v>
      </c>
      <c r="H416">
        <v>9.1</v>
      </c>
      <c r="I416">
        <v>32.9</v>
      </c>
      <c r="J416">
        <v>16</v>
      </c>
      <c r="K416">
        <v>9.0500000000000007</v>
      </c>
      <c r="L416">
        <v>1.71</v>
      </c>
      <c r="M416">
        <v>2.1739999999999999</v>
      </c>
      <c r="N416">
        <v>0.34</v>
      </c>
      <c r="O416">
        <v>3.42</v>
      </c>
      <c r="P416">
        <v>1.0620000000000001</v>
      </c>
    </row>
    <row r="417" spans="1:16" x14ac:dyDescent="0.25">
      <c r="A417" s="1">
        <v>41793</v>
      </c>
      <c r="B417">
        <v>8.49</v>
      </c>
      <c r="C417">
        <v>156.49</v>
      </c>
      <c r="D417">
        <v>3.867</v>
      </c>
      <c r="E417">
        <v>10.45</v>
      </c>
      <c r="F417">
        <v>5.05</v>
      </c>
      <c r="G417">
        <v>1.7150000000000001</v>
      </c>
      <c r="H417">
        <v>9.15</v>
      </c>
      <c r="I417">
        <v>32.9</v>
      </c>
      <c r="J417">
        <v>16.3</v>
      </c>
      <c r="K417">
        <v>9.1999999999999993</v>
      </c>
      <c r="L417">
        <v>1.72</v>
      </c>
      <c r="M417">
        <v>2.1739999999999999</v>
      </c>
      <c r="N417">
        <v>0.33</v>
      </c>
      <c r="O417">
        <v>3.45</v>
      </c>
      <c r="P417">
        <v>1.0620000000000001</v>
      </c>
    </row>
    <row r="418" spans="1:16" x14ac:dyDescent="0.25">
      <c r="A418" s="1">
        <v>41794</v>
      </c>
      <c r="B418">
        <v>8.48</v>
      </c>
      <c r="C418">
        <v>155.57</v>
      </c>
      <c r="D418">
        <v>3.847</v>
      </c>
      <c r="E418">
        <v>10.35</v>
      </c>
      <c r="F418">
        <v>4.95</v>
      </c>
      <c r="G418">
        <v>1.6870000000000001</v>
      </c>
      <c r="H418">
        <v>9.18</v>
      </c>
      <c r="I418">
        <v>32.85</v>
      </c>
      <c r="J418">
        <v>16.3</v>
      </c>
      <c r="K418">
        <v>9.1999999999999993</v>
      </c>
      <c r="L418">
        <v>1.73</v>
      </c>
      <c r="M418">
        <v>2.1739999999999999</v>
      </c>
      <c r="N418">
        <v>0.32</v>
      </c>
      <c r="O418">
        <v>3.42</v>
      </c>
      <c r="P418">
        <v>1.0620000000000001</v>
      </c>
    </row>
    <row r="419" spans="1:16" x14ac:dyDescent="0.25">
      <c r="A419" s="1">
        <v>41795</v>
      </c>
      <c r="B419">
        <v>8.4</v>
      </c>
      <c r="C419">
        <v>157</v>
      </c>
      <c r="D419">
        <v>3.8809999999999998</v>
      </c>
      <c r="E419">
        <v>10.24</v>
      </c>
      <c r="F419">
        <v>4.9800000000000004</v>
      </c>
      <c r="G419">
        <v>1.724</v>
      </c>
      <c r="H419">
        <v>9</v>
      </c>
      <c r="I419">
        <v>32.700000000000003</v>
      </c>
      <c r="J419">
        <v>16.3</v>
      </c>
      <c r="K419">
        <v>9.15</v>
      </c>
      <c r="L419">
        <v>1.76</v>
      </c>
      <c r="M419">
        <v>2.1739999999999999</v>
      </c>
      <c r="N419">
        <v>0.33</v>
      </c>
      <c r="O419">
        <v>3.39</v>
      </c>
      <c r="P419">
        <v>1.0620000000000001</v>
      </c>
    </row>
    <row r="420" spans="1:16" x14ac:dyDescent="0.25">
      <c r="A420" s="1">
        <v>41796</v>
      </c>
      <c r="B420">
        <v>8.44</v>
      </c>
      <c r="C420">
        <v>156.15</v>
      </c>
      <c r="D420">
        <v>3.9159999999999999</v>
      </c>
      <c r="E420">
        <v>10.08</v>
      </c>
      <c r="F420">
        <v>5</v>
      </c>
      <c r="G420">
        <v>1.7430000000000001</v>
      </c>
      <c r="H420">
        <v>9.15</v>
      </c>
      <c r="I420">
        <v>32.700000000000003</v>
      </c>
      <c r="J420">
        <v>16.3</v>
      </c>
      <c r="K420">
        <v>9</v>
      </c>
      <c r="L420">
        <v>1.75</v>
      </c>
      <c r="M420">
        <v>2.1989999999999998</v>
      </c>
      <c r="N420">
        <v>0.33</v>
      </c>
      <c r="O420">
        <v>3.39</v>
      </c>
      <c r="P420">
        <v>1.0720000000000001</v>
      </c>
    </row>
    <row r="421" spans="1:16" x14ac:dyDescent="0.25">
      <c r="A421" s="1">
        <v>41799</v>
      </c>
      <c r="B421">
        <v>8.42</v>
      </c>
      <c r="C421">
        <v>157</v>
      </c>
      <c r="D421">
        <v>3.8809999999999998</v>
      </c>
      <c r="E421">
        <v>10.199999999999999</v>
      </c>
      <c r="F421">
        <v>5</v>
      </c>
      <c r="G421">
        <v>1.7430000000000001</v>
      </c>
      <c r="H421">
        <v>9.1300000000000008</v>
      </c>
      <c r="I421">
        <v>32.75</v>
      </c>
      <c r="J421">
        <v>16.3</v>
      </c>
      <c r="K421">
        <v>9.0129999999999999</v>
      </c>
      <c r="L421">
        <v>1.78</v>
      </c>
      <c r="M421">
        <v>2.2149999999999999</v>
      </c>
      <c r="N421">
        <v>0.36</v>
      </c>
      <c r="O421">
        <v>3.38</v>
      </c>
      <c r="P421">
        <v>1.0820000000000001</v>
      </c>
    </row>
    <row r="422" spans="1:16" x14ac:dyDescent="0.25">
      <c r="A422" s="1">
        <v>41800</v>
      </c>
      <c r="B422">
        <v>8.4600000000000009</v>
      </c>
      <c r="C422">
        <v>157.01</v>
      </c>
      <c r="D422">
        <v>3.9289999999999998</v>
      </c>
      <c r="E422">
        <v>10.1</v>
      </c>
      <c r="F422">
        <v>4.95</v>
      </c>
      <c r="G422">
        <v>1.7150000000000001</v>
      </c>
      <c r="H422">
        <v>9.1</v>
      </c>
      <c r="I422">
        <v>32.700000000000003</v>
      </c>
      <c r="J422">
        <v>16.25</v>
      </c>
      <c r="K422">
        <v>9.0719999999999992</v>
      </c>
      <c r="L422">
        <v>1.77</v>
      </c>
      <c r="M422">
        <v>2.2250000000000001</v>
      </c>
      <c r="N422">
        <v>0.35</v>
      </c>
      <c r="O422">
        <v>3.35</v>
      </c>
      <c r="P422">
        <v>1.0820000000000001</v>
      </c>
    </row>
    <row r="423" spans="1:16" x14ac:dyDescent="0.25">
      <c r="A423" s="1">
        <v>41801</v>
      </c>
      <c r="B423">
        <v>8.4600000000000009</v>
      </c>
      <c r="C423">
        <v>156.54</v>
      </c>
      <c r="D423">
        <v>3.9289999999999998</v>
      </c>
      <c r="E423">
        <v>10.02</v>
      </c>
      <c r="F423">
        <v>4.95</v>
      </c>
      <c r="G423">
        <v>1.7050000000000001</v>
      </c>
      <c r="H423">
        <v>9.0500000000000007</v>
      </c>
      <c r="I423">
        <v>32.71</v>
      </c>
      <c r="J423">
        <v>16.28</v>
      </c>
      <c r="K423">
        <v>9.17</v>
      </c>
      <c r="L423">
        <v>1.78</v>
      </c>
      <c r="M423">
        <v>2.3039999999999998</v>
      </c>
      <c r="N423">
        <v>0.35</v>
      </c>
      <c r="O423">
        <v>3.33</v>
      </c>
      <c r="P423">
        <v>1.0920000000000001</v>
      </c>
    </row>
    <row r="424" spans="1:16" x14ac:dyDescent="0.25">
      <c r="A424" s="1">
        <v>41802</v>
      </c>
      <c r="B424">
        <v>8.4600000000000009</v>
      </c>
      <c r="C424">
        <v>157</v>
      </c>
      <c r="D424">
        <v>3.95</v>
      </c>
      <c r="E424">
        <v>10.02</v>
      </c>
      <c r="F424">
        <v>4.95</v>
      </c>
      <c r="G424">
        <v>1.724</v>
      </c>
      <c r="H424">
        <v>9</v>
      </c>
      <c r="I424">
        <v>32.75</v>
      </c>
      <c r="J424">
        <v>16.28</v>
      </c>
      <c r="K424">
        <v>9.1300000000000008</v>
      </c>
      <c r="L424">
        <v>1.84</v>
      </c>
      <c r="M424">
        <v>2.3039999999999998</v>
      </c>
      <c r="N424">
        <v>0.34100000000000003</v>
      </c>
      <c r="O424">
        <v>3.33</v>
      </c>
      <c r="P424">
        <v>1.1120000000000001</v>
      </c>
    </row>
    <row r="425" spans="1:16" x14ac:dyDescent="0.25">
      <c r="A425" s="1">
        <v>41803</v>
      </c>
      <c r="B425">
        <v>8.4499999999999993</v>
      </c>
      <c r="C425">
        <v>155.85</v>
      </c>
      <c r="D425">
        <v>3.95</v>
      </c>
      <c r="E425">
        <v>10.039999999999999</v>
      </c>
      <c r="F425">
        <v>4.95</v>
      </c>
      <c r="G425">
        <v>1.7430000000000001</v>
      </c>
      <c r="H425">
        <v>9.07</v>
      </c>
      <c r="I425">
        <v>32.799999999999997</v>
      </c>
      <c r="J425">
        <v>16.2</v>
      </c>
      <c r="K425">
        <v>9.1300000000000008</v>
      </c>
      <c r="L425">
        <v>1.81</v>
      </c>
      <c r="M425">
        <v>2.3140000000000001</v>
      </c>
      <c r="N425">
        <v>0.35499999999999998</v>
      </c>
      <c r="O425">
        <v>3.3</v>
      </c>
      <c r="P425">
        <v>1.1120000000000001</v>
      </c>
    </row>
    <row r="426" spans="1:16" x14ac:dyDescent="0.25">
      <c r="A426" s="1">
        <v>41806</v>
      </c>
      <c r="B426">
        <v>8.43</v>
      </c>
      <c r="C426">
        <v>156</v>
      </c>
      <c r="D426">
        <v>3.9220000000000002</v>
      </c>
      <c r="E426">
        <v>10.19</v>
      </c>
      <c r="F426">
        <v>4.9000000000000004</v>
      </c>
      <c r="G426">
        <v>1.7430000000000001</v>
      </c>
      <c r="H426">
        <v>9.1999999999999993</v>
      </c>
      <c r="I426">
        <v>32.9</v>
      </c>
      <c r="J426">
        <v>16.2</v>
      </c>
      <c r="K426">
        <v>9.1300000000000008</v>
      </c>
      <c r="L426">
        <v>1.79</v>
      </c>
      <c r="M426">
        <v>2.3439999999999999</v>
      </c>
      <c r="N426">
        <v>0.35599999999999998</v>
      </c>
      <c r="O426">
        <v>3.25</v>
      </c>
      <c r="P426">
        <v>1.0920000000000001</v>
      </c>
    </row>
    <row r="427" spans="1:16" x14ac:dyDescent="0.25">
      <c r="A427" s="1">
        <v>41807</v>
      </c>
      <c r="B427">
        <v>8.4</v>
      </c>
      <c r="C427">
        <v>154</v>
      </c>
      <c r="D427">
        <v>3.9289999999999998</v>
      </c>
      <c r="E427">
        <v>10.01</v>
      </c>
      <c r="F427">
        <v>4.9000000000000004</v>
      </c>
      <c r="G427">
        <v>1.7709999999999999</v>
      </c>
      <c r="H427">
        <v>9.5</v>
      </c>
      <c r="I427">
        <v>32.700000000000003</v>
      </c>
      <c r="J427">
        <v>15.9</v>
      </c>
      <c r="K427">
        <v>9.17</v>
      </c>
      <c r="L427">
        <v>1.8</v>
      </c>
      <c r="M427">
        <v>2.383</v>
      </c>
      <c r="N427">
        <v>0.35</v>
      </c>
      <c r="O427">
        <v>3.25</v>
      </c>
      <c r="P427">
        <v>1.0820000000000001</v>
      </c>
    </row>
    <row r="428" spans="1:16" x14ac:dyDescent="0.25">
      <c r="A428" s="1">
        <v>41808</v>
      </c>
      <c r="B428">
        <v>8.35</v>
      </c>
      <c r="C428">
        <v>154.19999999999999</v>
      </c>
      <c r="D428">
        <v>3.9159999999999999</v>
      </c>
      <c r="E428">
        <v>10.01</v>
      </c>
      <c r="F428">
        <v>4.87</v>
      </c>
      <c r="G428">
        <v>1.7709999999999999</v>
      </c>
      <c r="H428">
        <v>9.5</v>
      </c>
      <c r="I428">
        <v>32.729999999999997</v>
      </c>
      <c r="J428">
        <v>15.9</v>
      </c>
      <c r="K428">
        <v>9.1300000000000008</v>
      </c>
      <c r="L428">
        <v>1.77</v>
      </c>
      <c r="M428">
        <v>2.3530000000000002</v>
      </c>
      <c r="N428">
        <v>0.35</v>
      </c>
      <c r="O428">
        <v>3.26</v>
      </c>
      <c r="P428">
        <v>1.0920000000000001</v>
      </c>
    </row>
    <row r="429" spans="1:16" x14ac:dyDescent="0.25">
      <c r="A429" s="1">
        <v>41809</v>
      </c>
      <c r="B429">
        <v>8.3000000000000007</v>
      </c>
      <c r="C429">
        <v>155.99</v>
      </c>
      <c r="D429">
        <v>3.9159999999999999</v>
      </c>
      <c r="E429">
        <v>10.89</v>
      </c>
      <c r="F429">
        <v>4.82</v>
      </c>
      <c r="G429">
        <v>1.7430000000000001</v>
      </c>
      <c r="H429">
        <v>9.56</v>
      </c>
      <c r="I429">
        <v>32.729999999999997</v>
      </c>
      <c r="J429">
        <v>15.9</v>
      </c>
      <c r="K429">
        <v>9.14</v>
      </c>
      <c r="L429">
        <v>1.76</v>
      </c>
      <c r="M429">
        <v>2.3929999999999998</v>
      </c>
      <c r="N429">
        <v>0.35099999999999998</v>
      </c>
      <c r="O429">
        <v>3.24</v>
      </c>
      <c r="P429">
        <v>1.131</v>
      </c>
    </row>
    <row r="430" spans="1:16" x14ac:dyDescent="0.25">
      <c r="A430" s="1">
        <v>41810</v>
      </c>
      <c r="B430">
        <v>8.3000000000000007</v>
      </c>
      <c r="C430">
        <v>155.1</v>
      </c>
      <c r="D430">
        <v>3.9089999999999998</v>
      </c>
      <c r="E430">
        <v>10.89</v>
      </c>
      <c r="F430">
        <v>4.8499999999999996</v>
      </c>
      <c r="G430">
        <v>1.7430000000000001</v>
      </c>
      <c r="H430">
        <v>9.68</v>
      </c>
      <c r="I430">
        <v>32.75</v>
      </c>
      <c r="J430">
        <v>16</v>
      </c>
      <c r="K430">
        <v>9.1</v>
      </c>
      <c r="L430">
        <v>1.77</v>
      </c>
      <c r="M430">
        <v>2.3140000000000001</v>
      </c>
      <c r="N430">
        <v>0.34499999999999997</v>
      </c>
      <c r="O430">
        <v>3.2</v>
      </c>
      <c r="P430">
        <v>1.131</v>
      </c>
    </row>
    <row r="431" spans="1:16" x14ac:dyDescent="0.25">
      <c r="A431" s="1">
        <v>41813</v>
      </c>
      <c r="B431">
        <v>8.2200000000000006</v>
      </c>
      <c r="C431">
        <v>157</v>
      </c>
      <c r="D431">
        <v>3.895</v>
      </c>
      <c r="E431">
        <v>11</v>
      </c>
      <c r="F431">
        <v>4.82</v>
      </c>
      <c r="G431">
        <v>1.7430000000000001</v>
      </c>
      <c r="H431">
        <v>9.64</v>
      </c>
      <c r="I431">
        <v>32.75</v>
      </c>
      <c r="J431">
        <v>16</v>
      </c>
      <c r="K431">
        <v>9</v>
      </c>
      <c r="L431">
        <v>1.77</v>
      </c>
      <c r="M431">
        <v>2.3340000000000001</v>
      </c>
      <c r="N431">
        <v>0.33</v>
      </c>
      <c r="O431">
        <v>3.16</v>
      </c>
      <c r="P431">
        <v>1.1120000000000001</v>
      </c>
    </row>
    <row r="432" spans="1:16" x14ac:dyDescent="0.25">
      <c r="A432" s="1">
        <v>41814</v>
      </c>
      <c r="B432">
        <v>8.2799999999999994</v>
      </c>
      <c r="C432">
        <v>155.6</v>
      </c>
      <c r="D432">
        <v>3.8809999999999998</v>
      </c>
      <c r="E432">
        <v>10.8</v>
      </c>
      <c r="F432">
        <v>4.75</v>
      </c>
      <c r="G432">
        <v>1.752</v>
      </c>
      <c r="H432">
        <v>9.61</v>
      </c>
      <c r="I432">
        <v>32.75</v>
      </c>
      <c r="J432">
        <v>16.12</v>
      </c>
      <c r="K432">
        <v>9.18</v>
      </c>
      <c r="L432">
        <v>1.77</v>
      </c>
      <c r="M432">
        <v>2.3530000000000002</v>
      </c>
      <c r="N432">
        <v>0.33400000000000002</v>
      </c>
      <c r="O432">
        <v>3.16</v>
      </c>
      <c r="P432">
        <v>1.0920000000000001</v>
      </c>
    </row>
    <row r="433" spans="1:16" x14ac:dyDescent="0.25">
      <c r="A433" s="1">
        <v>41815</v>
      </c>
      <c r="B433">
        <v>8.25</v>
      </c>
      <c r="C433">
        <v>156</v>
      </c>
      <c r="D433">
        <v>3.8809999999999998</v>
      </c>
      <c r="E433">
        <v>10.66</v>
      </c>
      <c r="F433">
        <v>4.75</v>
      </c>
      <c r="G433">
        <v>1.7430000000000001</v>
      </c>
      <c r="H433">
        <v>9.69</v>
      </c>
      <c r="I433">
        <v>32.75</v>
      </c>
      <c r="J433">
        <v>16.12</v>
      </c>
      <c r="K433">
        <v>9.18</v>
      </c>
      <c r="L433">
        <v>1.77</v>
      </c>
      <c r="M433">
        <v>2.363</v>
      </c>
      <c r="N433">
        <v>0.33800000000000002</v>
      </c>
      <c r="O433">
        <v>3.2</v>
      </c>
      <c r="P433">
        <v>1.1020000000000001</v>
      </c>
    </row>
    <row r="434" spans="1:16" x14ac:dyDescent="0.25">
      <c r="A434" s="1">
        <v>41816</v>
      </c>
      <c r="B434">
        <v>8.25</v>
      </c>
      <c r="C434">
        <v>155.5</v>
      </c>
      <c r="D434">
        <v>3.8740000000000001</v>
      </c>
      <c r="E434">
        <v>11.4</v>
      </c>
      <c r="F434">
        <v>4.75</v>
      </c>
      <c r="G434">
        <v>1.7430000000000001</v>
      </c>
      <c r="H434">
        <v>9.7200000000000006</v>
      </c>
      <c r="I434">
        <v>32.75</v>
      </c>
      <c r="J434">
        <v>16.25</v>
      </c>
      <c r="K434">
        <v>9.18</v>
      </c>
      <c r="L434">
        <v>1.76</v>
      </c>
      <c r="M434">
        <v>2.363</v>
      </c>
      <c r="N434">
        <v>0.33300000000000002</v>
      </c>
      <c r="O434">
        <v>3.27</v>
      </c>
      <c r="P434">
        <v>1.1120000000000001</v>
      </c>
    </row>
    <row r="435" spans="1:16" x14ac:dyDescent="0.25">
      <c r="A435" s="1">
        <v>41817</v>
      </c>
      <c r="B435">
        <v>8.23</v>
      </c>
      <c r="C435">
        <v>155.83000000000001</v>
      </c>
      <c r="D435">
        <v>3.867</v>
      </c>
      <c r="E435">
        <v>11.48</v>
      </c>
      <c r="F435">
        <v>4.75</v>
      </c>
      <c r="G435">
        <v>1.724</v>
      </c>
      <c r="H435">
        <v>9.6999999999999993</v>
      </c>
      <c r="I435">
        <v>32</v>
      </c>
      <c r="J435">
        <v>16.25</v>
      </c>
      <c r="K435">
        <v>9.1999999999999993</v>
      </c>
      <c r="L435">
        <v>1.76</v>
      </c>
      <c r="M435">
        <v>2.363</v>
      </c>
      <c r="N435">
        <v>0.33</v>
      </c>
      <c r="O435">
        <v>3.25</v>
      </c>
      <c r="P435">
        <v>1.0820000000000001</v>
      </c>
    </row>
    <row r="436" spans="1:16" x14ac:dyDescent="0.25">
      <c r="A436" s="1">
        <v>41820</v>
      </c>
      <c r="B436">
        <v>8.2200000000000006</v>
      </c>
      <c r="C436">
        <v>155.15</v>
      </c>
      <c r="D436">
        <v>3.9159999999999999</v>
      </c>
      <c r="E436">
        <v>11.78</v>
      </c>
      <c r="F436">
        <v>4.7300000000000004</v>
      </c>
      <c r="G436">
        <v>1.7709999999999999</v>
      </c>
      <c r="H436">
        <v>10</v>
      </c>
      <c r="I436">
        <v>32.729999999999997</v>
      </c>
      <c r="J436">
        <v>16.25</v>
      </c>
      <c r="K436">
        <v>9.1999999999999993</v>
      </c>
      <c r="L436">
        <v>1.75</v>
      </c>
      <c r="M436">
        <v>2.3730000000000002</v>
      </c>
      <c r="N436">
        <v>0.32</v>
      </c>
      <c r="O436">
        <v>3.3</v>
      </c>
      <c r="P436">
        <v>1.0920000000000001</v>
      </c>
    </row>
    <row r="437" spans="1:16" x14ac:dyDescent="0.25">
      <c r="A437" s="1">
        <v>41821</v>
      </c>
      <c r="B437">
        <v>8.2200000000000006</v>
      </c>
      <c r="C437">
        <v>156.5</v>
      </c>
      <c r="D437">
        <v>3.9089999999999998</v>
      </c>
      <c r="E437">
        <v>11.9</v>
      </c>
      <c r="F437">
        <v>4.7300000000000004</v>
      </c>
      <c r="G437">
        <v>1.7609999999999999</v>
      </c>
      <c r="H437">
        <v>10.06</v>
      </c>
      <c r="I437">
        <v>32.5</v>
      </c>
      <c r="J437">
        <v>16.5</v>
      </c>
      <c r="K437">
        <v>9.25</v>
      </c>
      <c r="L437">
        <v>1.76</v>
      </c>
      <c r="M437">
        <v>2.3929999999999998</v>
      </c>
      <c r="N437">
        <v>0.32700000000000001</v>
      </c>
      <c r="O437">
        <v>3.3</v>
      </c>
      <c r="P437">
        <v>1.1120000000000001</v>
      </c>
    </row>
    <row r="438" spans="1:16" x14ac:dyDescent="0.25">
      <c r="A438" s="1">
        <v>41822</v>
      </c>
      <c r="B438">
        <v>8.2200000000000006</v>
      </c>
      <c r="C438">
        <v>156.5</v>
      </c>
      <c r="D438">
        <v>3.9159999999999999</v>
      </c>
      <c r="E438">
        <v>11.95</v>
      </c>
      <c r="F438">
        <v>4.76</v>
      </c>
      <c r="G438">
        <v>1.7609999999999999</v>
      </c>
      <c r="H438">
        <v>10.08</v>
      </c>
      <c r="I438">
        <v>32.700000000000003</v>
      </c>
      <c r="J438">
        <v>16.8</v>
      </c>
      <c r="K438">
        <v>9.4</v>
      </c>
      <c r="L438">
        <v>1.76</v>
      </c>
      <c r="M438">
        <v>2.3730000000000002</v>
      </c>
      <c r="N438">
        <v>0.32500000000000001</v>
      </c>
      <c r="O438">
        <v>3.26</v>
      </c>
      <c r="P438">
        <v>1.121</v>
      </c>
    </row>
    <row r="439" spans="1:16" x14ac:dyDescent="0.25">
      <c r="A439" s="1">
        <v>41823</v>
      </c>
      <c r="B439">
        <v>8.25</v>
      </c>
      <c r="C439">
        <v>156.5</v>
      </c>
      <c r="D439">
        <v>3.9569999999999999</v>
      </c>
      <c r="E439">
        <v>11.9</v>
      </c>
      <c r="F439">
        <v>4.96</v>
      </c>
      <c r="G439">
        <v>1.7889999999999999</v>
      </c>
      <c r="H439">
        <v>10.15</v>
      </c>
      <c r="I439">
        <v>32.75</v>
      </c>
      <c r="J439">
        <v>17.149999999999999</v>
      </c>
      <c r="K439">
        <v>9.4499999999999993</v>
      </c>
      <c r="L439">
        <v>1.8</v>
      </c>
      <c r="M439">
        <v>2.423</v>
      </c>
      <c r="N439">
        <v>0.32100000000000001</v>
      </c>
      <c r="O439">
        <v>3.3</v>
      </c>
      <c r="P439">
        <v>1.131</v>
      </c>
    </row>
    <row r="440" spans="1:16" x14ac:dyDescent="0.25">
      <c r="A440" s="1">
        <v>41824</v>
      </c>
      <c r="B440">
        <v>8.3000000000000007</v>
      </c>
      <c r="C440">
        <v>156.5</v>
      </c>
      <c r="D440">
        <v>4.0389999999999997</v>
      </c>
      <c r="E440">
        <v>11.95</v>
      </c>
      <c r="F440">
        <v>5.14</v>
      </c>
      <c r="G440">
        <v>1.7889999999999999</v>
      </c>
      <c r="H440">
        <v>10.08</v>
      </c>
      <c r="I440">
        <v>32.75</v>
      </c>
      <c r="J440">
        <v>17.149999999999999</v>
      </c>
      <c r="K440">
        <v>9.4499999999999993</v>
      </c>
      <c r="L440">
        <v>1.83</v>
      </c>
      <c r="M440">
        <v>2.512</v>
      </c>
      <c r="N440">
        <v>0.33200000000000002</v>
      </c>
      <c r="O440">
        <v>3.33</v>
      </c>
      <c r="P440">
        <v>1.161</v>
      </c>
    </row>
    <row r="441" spans="1:16" x14ac:dyDescent="0.25">
      <c r="A441" s="1">
        <v>41827</v>
      </c>
      <c r="B441">
        <v>8.33</v>
      </c>
      <c r="C441">
        <v>156.38999999999999</v>
      </c>
      <c r="D441">
        <v>4.0389999999999997</v>
      </c>
      <c r="E441">
        <v>11.9</v>
      </c>
      <c r="F441">
        <v>5.05</v>
      </c>
      <c r="G441">
        <v>1.798</v>
      </c>
      <c r="H441">
        <v>10.029999999999999</v>
      </c>
      <c r="I441">
        <v>32.75</v>
      </c>
      <c r="J441">
        <v>16.8</v>
      </c>
      <c r="K441">
        <v>9.4499999999999993</v>
      </c>
      <c r="L441">
        <v>1.85</v>
      </c>
      <c r="M441">
        <v>2.5510000000000002</v>
      </c>
      <c r="N441">
        <v>0.33200000000000002</v>
      </c>
      <c r="O441">
        <v>3.33</v>
      </c>
      <c r="P441">
        <v>1.171</v>
      </c>
    </row>
    <row r="442" spans="1:16" x14ac:dyDescent="0.25">
      <c r="A442" s="1">
        <v>41828</v>
      </c>
      <c r="B442">
        <v>8.42</v>
      </c>
      <c r="C442">
        <v>157</v>
      </c>
      <c r="D442">
        <v>4.101</v>
      </c>
      <c r="E442">
        <v>11.8</v>
      </c>
      <c r="F442">
        <v>5</v>
      </c>
      <c r="G442">
        <v>1.7709999999999999</v>
      </c>
      <c r="H442">
        <v>10.1</v>
      </c>
      <c r="I442">
        <v>32.6</v>
      </c>
      <c r="J442">
        <v>17.3</v>
      </c>
      <c r="K442">
        <v>9.4499999999999993</v>
      </c>
      <c r="L442">
        <v>1.85</v>
      </c>
      <c r="M442">
        <v>2.62</v>
      </c>
      <c r="N442">
        <v>0.33200000000000002</v>
      </c>
      <c r="O442">
        <v>3.35</v>
      </c>
      <c r="P442">
        <v>1.1910000000000001</v>
      </c>
    </row>
    <row r="443" spans="1:16" x14ac:dyDescent="0.25">
      <c r="A443" s="1">
        <v>41829</v>
      </c>
      <c r="B443">
        <v>8.5500000000000007</v>
      </c>
      <c r="C443">
        <v>153.72</v>
      </c>
      <c r="D443">
        <v>4.101</v>
      </c>
      <c r="E443">
        <v>11.95</v>
      </c>
      <c r="F443">
        <v>5.08</v>
      </c>
      <c r="G443">
        <v>1.78</v>
      </c>
      <c r="H443">
        <v>10.1</v>
      </c>
      <c r="I443">
        <v>32.6</v>
      </c>
      <c r="J443">
        <v>17.399999999999999</v>
      </c>
      <c r="K443">
        <v>9.4499999999999993</v>
      </c>
      <c r="L443">
        <v>1.85</v>
      </c>
      <c r="M443">
        <v>2.67</v>
      </c>
      <c r="N443">
        <v>0.33</v>
      </c>
      <c r="O443">
        <v>3.35</v>
      </c>
      <c r="P443">
        <v>1.2010000000000001</v>
      </c>
    </row>
    <row r="444" spans="1:16" x14ac:dyDescent="0.25">
      <c r="A444" s="1">
        <v>41830</v>
      </c>
      <c r="B444">
        <v>8.6300000000000008</v>
      </c>
      <c r="C444">
        <v>151.58000000000001</v>
      </c>
      <c r="D444">
        <v>4.0869999999999997</v>
      </c>
      <c r="E444">
        <v>11.6</v>
      </c>
      <c r="F444">
        <v>5.08</v>
      </c>
      <c r="G444">
        <v>1.798</v>
      </c>
      <c r="H444">
        <v>10</v>
      </c>
      <c r="I444">
        <v>32.6</v>
      </c>
      <c r="J444">
        <v>17.399999999999999</v>
      </c>
      <c r="K444">
        <v>9.42</v>
      </c>
      <c r="L444">
        <v>1.83</v>
      </c>
      <c r="M444">
        <v>2.65</v>
      </c>
      <c r="N444">
        <v>0.32500000000000001</v>
      </c>
      <c r="O444">
        <v>3.36</v>
      </c>
      <c r="P444">
        <v>1.181</v>
      </c>
    </row>
    <row r="445" spans="1:16" x14ac:dyDescent="0.25">
      <c r="A445" s="1">
        <v>41831</v>
      </c>
      <c r="B445">
        <v>8.65</v>
      </c>
      <c r="C445">
        <v>150.18</v>
      </c>
      <c r="D445">
        <v>4.0869999999999997</v>
      </c>
      <c r="E445">
        <v>11.5</v>
      </c>
      <c r="F445">
        <v>5.08</v>
      </c>
      <c r="G445">
        <v>1.8169999999999999</v>
      </c>
      <c r="H445">
        <v>10</v>
      </c>
      <c r="I445">
        <v>32.6</v>
      </c>
      <c r="J445">
        <v>17.510000000000002</v>
      </c>
      <c r="K445">
        <v>9.5</v>
      </c>
      <c r="L445">
        <v>1.82</v>
      </c>
      <c r="M445">
        <v>2.69</v>
      </c>
      <c r="N445">
        <v>0.316</v>
      </c>
      <c r="O445">
        <v>3.39</v>
      </c>
      <c r="P445">
        <v>1.171</v>
      </c>
    </row>
    <row r="446" spans="1:16" x14ac:dyDescent="0.25">
      <c r="A446" s="1">
        <v>41834</v>
      </c>
      <c r="B446">
        <v>8.6300000000000008</v>
      </c>
      <c r="C446">
        <v>150.15</v>
      </c>
      <c r="D446">
        <v>4.0739999999999998</v>
      </c>
      <c r="E446">
        <v>11.48</v>
      </c>
      <c r="F446">
        <v>5.09</v>
      </c>
      <c r="G446">
        <v>1.8169999999999999</v>
      </c>
      <c r="H446">
        <v>10.050000000000001</v>
      </c>
      <c r="I446">
        <v>32.700000000000003</v>
      </c>
      <c r="J446">
        <v>17.510000000000002</v>
      </c>
      <c r="K446">
        <v>9.49</v>
      </c>
      <c r="L446">
        <v>1.81</v>
      </c>
      <c r="M446">
        <v>2.69</v>
      </c>
      <c r="N446">
        <v>0.316</v>
      </c>
      <c r="O446">
        <v>3.39</v>
      </c>
      <c r="P446">
        <v>1.151</v>
      </c>
    </row>
    <row r="447" spans="1:16" x14ac:dyDescent="0.25">
      <c r="A447" s="1">
        <v>41835</v>
      </c>
      <c r="B447">
        <v>8.57</v>
      </c>
      <c r="C447">
        <v>148.6</v>
      </c>
      <c r="D447">
        <v>4.0049999999999999</v>
      </c>
      <c r="E447">
        <v>11</v>
      </c>
      <c r="F447">
        <v>5.05</v>
      </c>
      <c r="G447">
        <v>1.8169999999999999</v>
      </c>
      <c r="H447">
        <v>9.94</v>
      </c>
      <c r="I447">
        <v>32.6</v>
      </c>
      <c r="J447">
        <v>17.510000000000002</v>
      </c>
      <c r="K447">
        <v>9.4499999999999993</v>
      </c>
      <c r="L447">
        <v>1.78</v>
      </c>
      <c r="M447">
        <v>2.62</v>
      </c>
      <c r="N447">
        <v>0.31</v>
      </c>
      <c r="O447">
        <v>3.35</v>
      </c>
      <c r="P447">
        <v>1.141</v>
      </c>
    </row>
    <row r="448" spans="1:16" x14ac:dyDescent="0.25">
      <c r="A448" s="1">
        <v>41836</v>
      </c>
      <c r="B448">
        <v>8.5500000000000007</v>
      </c>
      <c r="C448">
        <v>149.5</v>
      </c>
      <c r="D448">
        <v>3.984</v>
      </c>
      <c r="E448">
        <v>11.19</v>
      </c>
      <c r="F448">
        <v>5.14</v>
      </c>
      <c r="G448">
        <v>1.798</v>
      </c>
      <c r="H448">
        <v>10.07</v>
      </c>
      <c r="I448">
        <v>32.6</v>
      </c>
      <c r="J448">
        <v>17.510000000000002</v>
      </c>
      <c r="K448">
        <v>9.41</v>
      </c>
      <c r="L448">
        <v>1.77</v>
      </c>
      <c r="M448">
        <v>2.64</v>
      </c>
      <c r="N448">
        <v>0.31</v>
      </c>
      <c r="O448">
        <v>3.37</v>
      </c>
      <c r="P448">
        <v>1.141</v>
      </c>
    </row>
    <row r="449" spans="1:16" x14ac:dyDescent="0.25">
      <c r="A449" s="1">
        <v>41837</v>
      </c>
      <c r="B449">
        <v>8.5500000000000007</v>
      </c>
      <c r="C449">
        <v>149.80000000000001</v>
      </c>
      <c r="D449">
        <v>3.9980000000000002</v>
      </c>
      <c r="E449">
        <v>11.39</v>
      </c>
      <c r="F449">
        <v>5.13</v>
      </c>
      <c r="G449">
        <v>1.798</v>
      </c>
      <c r="H449">
        <v>10.06</v>
      </c>
      <c r="I449">
        <v>32.6</v>
      </c>
      <c r="J449">
        <v>17.399999999999999</v>
      </c>
      <c r="K449">
        <v>9.43</v>
      </c>
      <c r="L449">
        <v>1.76</v>
      </c>
      <c r="M449">
        <v>2.62</v>
      </c>
      <c r="N449">
        <v>0.29099999999999998</v>
      </c>
      <c r="O449">
        <v>3.37</v>
      </c>
      <c r="P449">
        <v>1.131</v>
      </c>
    </row>
    <row r="450" spans="1:16" x14ac:dyDescent="0.25">
      <c r="A450" s="1">
        <v>41838</v>
      </c>
      <c r="B450">
        <v>8.5500000000000007</v>
      </c>
      <c r="C450">
        <v>151.16</v>
      </c>
      <c r="D450">
        <v>4.0190000000000001</v>
      </c>
      <c r="E450">
        <v>11.14</v>
      </c>
      <c r="F450">
        <v>5.0999999999999996</v>
      </c>
      <c r="G450">
        <v>1.7889999999999999</v>
      </c>
      <c r="H450">
        <v>10.1</v>
      </c>
      <c r="I450">
        <v>32.6</v>
      </c>
      <c r="J450">
        <v>17.399999999999999</v>
      </c>
      <c r="K450">
        <v>9.41</v>
      </c>
      <c r="L450">
        <v>1.76</v>
      </c>
      <c r="M450">
        <v>2.62</v>
      </c>
      <c r="N450">
        <v>0.3</v>
      </c>
      <c r="O450">
        <v>3.34</v>
      </c>
      <c r="P450">
        <v>1.131</v>
      </c>
    </row>
    <row r="451" spans="1:16" x14ac:dyDescent="0.25">
      <c r="A451" s="1">
        <v>41841</v>
      </c>
      <c r="B451">
        <v>8.5500000000000007</v>
      </c>
      <c r="C451">
        <v>150.5</v>
      </c>
      <c r="D451">
        <v>4.0190000000000001</v>
      </c>
      <c r="E451">
        <v>11.14</v>
      </c>
      <c r="F451">
        <v>5.09</v>
      </c>
      <c r="G451">
        <v>1.7889999999999999</v>
      </c>
      <c r="H451">
        <v>10.09</v>
      </c>
      <c r="I451">
        <v>32</v>
      </c>
      <c r="J451">
        <v>16.5</v>
      </c>
      <c r="K451">
        <v>9.5</v>
      </c>
      <c r="L451">
        <v>1.74</v>
      </c>
      <c r="M451">
        <v>2.62</v>
      </c>
      <c r="N451">
        <v>0.30599999999999999</v>
      </c>
      <c r="O451">
        <v>3.32</v>
      </c>
      <c r="P451">
        <v>1.161</v>
      </c>
    </row>
    <row r="452" spans="1:16" x14ac:dyDescent="0.25">
      <c r="A452" s="1">
        <v>41842</v>
      </c>
      <c r="B452">
        <v>8.5500000000000007</v>
      </c>
      <c r="C452">
        <v>150.5</v>
      </c>
      <c r="D452">
        <v>4.032</v>
      </c>
      <c r="E452">
        <v>11.14</v>
      </c>
      <c r="F452">
        <v>5.05</v>
      </c>
      <c r="G452">
        <v>1.7889999999999999</v>
      </c>
      <c r="H452">
        <v>10.1</v>
      </c>
      <c r="I452">
        <v>32</v>
      </c>
      <c r="J452">
        <v>16.510000000000002</v>
      </c>
      <c r="K452">
        <v>9.5</v>
      </c>
      <c r="L452">
        <v>1.77</v>
      </c>
      <c r="M452">
        <v>2.65</v>
      </c>
      <c r="N452">
        <v>0.31900000000000001</v>
      </c>
      <c r="O452">
        <v>3.24</v>
      </c>
      <c r="P452">
        <v>1.161</v>
      </c>
    </row>
    <row r="453" spans="1:16" x14ac:dyDescent="0.25">
      <c r="A453" s="1">
        <v>41843</v>
      </c>
      <c r="B453">
        <v>8.5</v>
      </c>
      <c r="C453">
        <v>151.57</v>
      </c>
      <c r="D453">
        <v>4.0190000000000001</v>
      </c>
      <c r="E453">
        <v>11.2</v>
      </c>
      <c r="F453">
        <v>5.01</v>
      </c>
      <c r="G453">
        <v>1.78</v>
      </c>
      <c r="H453">
        <v>10.050000000000001</v>
      </c>
      <c r="I453">
        <v>32.200000000000003</v>
      </c>
      <c r="J453">
        <v>16.5</v>
      </c>
      <c r="K453">
        <v>9.5</v>
      </c>
      <c r="L453">
        <v>1.76</v>
      </c>
      <c r="M453">
        <v>2.63</v>
      </c>
      <c r="N453">
        <v>0.33600000000000002</v>
      </c>
      <c r="O453">
        <v>3.21</v>
      </c>
      <c r="P453">
        <v>1.141</v>
      </c>
    </row>
    <row r="454" spans="1:16" x14ac:dyDescent="0.25">
      <c r="A454" s="1">
        <v>41844</v>
      </c>
      <c r="B454">
        <v>8.5</v>
      </c>
      <c r="C454">
        <v>153</v>
      </c>
      <c r="D454">
        <v>4.0190000000000001</v>
      </c>
      <c r="E454">
        <v>10.96</v>
      </c>
      <c r="F454">
        <v>5.01</v>
      </c>
      <c r="G454">
        <v>1.724</v>
      </c>
      <c r="H454">
        <v>9.99</v>
      </c>
      <c r="I454">
        <v>32.450000000000003</v>
      </c>
      <c r="J454">
        <v>16.5</v>
      </c>
      <c r="K454">
        <v>9.5</v>
      </c>
      <c r="L454">
        <v>1.76</v>
      </c>
      <c r="M454">
        <v>2.63</v>
      </c>
      <c r="N454">
        <v>0.32500000000000001</v>
      </c>
      <c r="O454">
        <v>3.21</v>
      </c>
      <c r="P454">
        <v>1.131</v>
      </c>
    </row>
    <row r="455" spans="1:16" x14ac:dyDescent="0.25">
      <c r="A455" s="1">
        <v>41845</v>
      </c>
      <c r="B455">
        <v>8.49</v>
      </c>
      <c r="C455">
        <v>152.03</v>
      </c>
      <c r="D455">
        <v>3.9980000000000002</v>
      </c>
      <c r="E455">
        <v>11.4</v>
      </c>
      <c r="F455">
        <v>4.9000000000000004</v>
      </c>
      <c r="G455">
        <v>1.696</v>
      </c>
      <c r="H455">
        <v>9.75</v>
      </c>
      <c r="I455">
        <v>32.21</v>
      </c>
      <c r="J455">
        <v>16.7</v>
      </c>
      <c r="K455">
        <v>9.4</v>
      </c>
      <c r="L455">
        <v>1.74</v>
      </c>
      <c r="M455">
        <v>2.64</v>
      </c>
      <c r="N455">
        <v>0.318</v>
      </c>
      <c r="O455">
        <v>3.21</v>
      </c>
      <c r="P455">
        <v>1.141</v>
      </c>
    </row>
    <row r="456" spans="1:16" x14ac:dyDescent="0.25">
      <c r="A456" s="1">
        <v>41850</v>
      </c>
      <c r="B456">
        <v>8.49</v>
      </c>
      <c r="C456">
        <v>149.56</v>
      </c>
      <c r="D456">
        <v>4.0049999999999999</v>
      </c>
      <c r="E456">
        <v>11.74</v>
      </c>
      <c r="F456">
        <v>5</v>
      </c>
      <c r="G456">
        <v>1.72</v>
      </c>
      <c r="H456">
        <v>9.3699999999999992</v>
      </c>
      <c r="I456">
        <v>32.450000000000003</v>
      </c>
      <c r="J456">
        <v>16.5</v>
      </c>
      <c r="K456">
        <v>9.5</v>
      </c>
      <c r="L456">
        <v>1.75</v>
      </c>
      <c r="M456">
        <v>2.66</v>
      </c>
      <c r="N456">
        <v>0.32500000000000001</v>
      </c>
      <c r="O456">
        <v>3.1970000000000001</v>
      </c>
      <c r="P456">
        <v>1.131</v>
      </c>
    </row>
    <row r="457" spans="1:16" x14ac:dyDescent="0.25">
      <c r="A457" s="1">
        <v>41851</v>
      </c>
      <c r="B457">
        <v>8.35</v>
      </c>
      <c r="C457">
        <v>149.56</v>
      </c>
      <c r="D457">
        <v>4.0190000000000001</v>
      </c>
      <c r="E457">
        <v>11.75</v>
      </c>
      <c r="F457">
        <v>4.9800000000000004</v>
      </c>
      <c r="G457">
        <v>1.7</v>
      </c>
      <c r="H457">
        <v>9.35</v>
      </c>
      <c r="I457">
        <v>32.450000000000003</v>
      </c>
      <c r="J457">
        <v>16.5</v>
      </c>
      <c r="K457">
        <v>9.5</v>
      </c>
      <c r="L457">
        <v>1.76</v>
      </c>
      <c r="M457">
        <v>2.7</v>
      </c>
      <c r="N457">
        <v>0.32</v>
      </c>
      <c r="O457">
        <v>3.2069999999999999</v>
      </c>
      <c r="P457">
        <v>1.161</v>
      </c>
    </row>
    <row r="458" spans="1:16" x14ac:dyDescent="0.25">
      <c r="A458" s="1">
        <v>41852</v>
      </c>
      <c r="B458">
        <v>8.2799999999999994</v>
      </c>
      <c r="C458">
        <v>149.6</v>
      </c>
      <c r="D458">
        <v>4.0190000000000001</v>
      </c>
      <c r="E458">
        <v>12</v>
      </c>
      <c r="F458">
        <v>5.01</v>
      </c>
      <c r="G458">
        <v>1.72</v>
      </c>
      <c r="H458">
        <v>9.35</v>
      </c>
      <c r="I458">
        <v>32.450000000000003</v>
      </c>
      <c r="J458">
        <v>16.55</v>
      </c>
      <c r="K458">
        <v>9.5</v>
      </c>
      <c r="L458">
        <v>1.78</v>
      </c>
      <c r="M458">
        <v>2.7</v>
      </c>
      <c r="N458">
        <v>0.30299999999999999</v>
      </c>
      <c r="O458">
        <v>3.2170000000000001</v>
      </c>
      <c r="P458">
        <v>1.151</v>
      </c>
    </row>
    <row r="459" spans="1:16" x14ac:dyDescent="0.25">
      <c r="A459" s="1">
        <v>41855</v>
      </c>
      <c r="B459">
        <v>8.1999999999999993</v>
      </c>
      <c r="C459">
        <v>151.5</v>
      </c>
      <c r="D459">
        <v>4.0190000000000001</v>
      </c>
      <c r="E459">
        <v>11.88</v>
      </c>
      <c r="F459">
        <v>5.05</v>
      </c>
      <c r="G459">
        <v>1.7</v>
      </c>
      <c r="H459">
        <v>9.25</v>
      </c>
      <c r="I459">
        <v>32.450000000000003</v>
      </c>
      <c r="J459">
        <v>16.55</v>
      </c>
      <c r="K459">
        <v>9.5</v>
      </c>
      <c r="L459">
        <v>1.8</v>
      </c>
      <c r="M459">
        <v>2.7189999999999999</v>
      </c>
      <c r="N459">
        <v>0.3</v>
      </c>
      <c r="O459">
        <v>3.2269999999999999</v>
      </c>
      <c r="P459">
        <v>1.171</v>
      </c>
    </row>
    <row r="460" spans="1:16" x14ac:dyDescent="0.25">
      <c r="A460" s="1">
        <v>41856</v>
      </c>
      <c r="B460">
        <v>8.1999999999999993</v>
      </c>
      <c r="C460">
        <v>150.19999999999999</v>
      </c>
      <c r="D460">
        <v>3.984</v>
      </c>
      <c r="E460">
        <v>11.88</v>
      </c>
      <c r="F460">
        <v>5.09</v>
      </c>
      <c r="G460">
        <v>1.7</v>
      </c>
      <c r="H460">
        <v>9.15</v>
      </c>
      <c r="I460">
        <v>32.299999999999997</v>
      </c>
      <c r="J460">
        <v>16.55</v>
      </c>
      <c r="K460">
        <v>9.5500000000000007</v>
      </c>
      <c r="L460">
        <v>1.8</v>
      </c>
      <c r="M460">
        <v>2.7189999999999999</v>
      </c>
      <c r="N460">
        <v>0.3</v>
      </c>
      <c r="O460">
        <v>3.2269999999999999</v>
      </c>
      <c r="P460">
        <v>1.151</v>
      </c>
    </row>
    <row r="461" spans="1:16" x14ac:dyDescent="0.25">
      <c r="A461" s="1">
        <v>41857</v>
      </c>
      <c r="B461">
        <v>8.15</v>
      </c>
      <c r="C461">
        <v>148.71</v>
      </c>
      <c r="D461">
        <v>3.95</v>
      </c>
      <c r="E461">
        <v>12.3</v>
      </c>
      <c r="F461">
        <v>5.0999999999999996</v>
      </c>
      <c r="G461">
        <v>1.67</v>
      </c>
      <c r="H461">
        <v>9.15</v>
      </c>
      <c r="I461">
        <v>32.299999999999997</v>
      </c>
      <c r="J461">
        <v>16.55</v>
      </c>
      <c r="K461">
        <v>9.51</v>
      </c>
      <c r="L461">
        <v>1.82</v>
      </c>
      <c r="M461">
        <v>2.7189999999999999</v>
      </c>
      <c r="N461">
        <v>0.3</v>
      </c>
      <c r="O461">
        <v>3.24</v>
      </c>
      <c r="P461">
        <v>1.151</v>
      </c>
    </row>
    <row r="462" spans="1:16" x14ac:dyDescent="0.25">
      <c r="A462" s="1">
        <v>41858</v>
      </c>
      <c r="B462">
        <v>8.0500000000000007</v>
      </c>
      <c r="C462">
        <v>148.71</v>
      </c>
      <c r="D462">
        <v>3.95</v>
      </c>
      <c r="E462">
        <v>12.2</v>
      </c>
      <c r="F462">
        <v>5.15</v>
      </c>
      <c r="G462">
        <v>1.67</v>
      </c>
      <c r="H462">
        <v>9.15</v>
      </c>
      <c r="I462">
        <v>32.31</v>
      </c>
      <c r="J462">
        <v>16.55</v>
      </c>
      <c r="K462">
        <v>9.57</v>
      </c>
      <c r="L462">
        <v>1.8</v>
      </c>
      <c r="M462">
        <v>2.68</v>
      </c>
      <c r="N462">
        <v>0.3</v>
      </c>
      <c r="O462">
        <v>3.24</v>
      </c>
      <c r="P462">
        <v>1.161</v>
      </c>
    </row>
    <row r="463" spans="1:16" x14ac:dyDescent="0.25">
      <c r="A463" s="1">
        <v>41859</v>
      </c>
      <c r="B463">
        <v>7.85</v>
      </c>
      <c r="C463">
        <v>152.30000000000001</v>
      </c>
      <c r="D463">
        <v>3.8879999999999999</v>
      </c>
      <c r="E463">
        <v>12.31</v>
      </c>
      <c r="F463">
        <v>5.12</v>
      </c>
      <c r="G463">
        <v>1.7</v>
      </c>
      <c r="H463">
        <v>9.15</v>
      </c>
      <c r="I463">
        <v>32.119999999999997</v>
      </c>
      <c r="J463">
        <v>16.55</v>
      </c>
      <c r="K463">
        <v>9.5</v>
      </c>
      <c r="L463">
        <v>1.8</v>
      </c>
      <c r="M463">
        <v>2.65</v>
      </c>
      <c r="N463">
        <v>0.30299999999999999</v>
      </c>
      <c r="O463">
        <v>3.21</v>
      </c>
      <c r="P463">
        <v>1.131</v>
      </c>
    </row>
    <row r="464" spans="1:16" x14ac:dyDescent="0.25">
      <c r="A464" s="1">
        <v>41862</v>
      </c>
      <c r="B464">
        <v>7.7</v>
      </c>
      <c r="C464">
        <v>155.05000000000001</v>
      </c>
      <c r="D464">
        <v>3.9289999999999998</v>
      </c>
      <c r="E464">
        <v>13</v>
      </c>
      <c r="F464">
        <v>5.15</v>
      </c>
      <c r="G464">
        <v>1.69</v>
      </c>
      <c r="H464">
        <v>9.2200000000000006</v>
      </c>
      <c r="I464">
        <v>32.450000000000003</v>
      </c>
      <c r="J464">
        <v>16.55</v>
      </c>
      <c r="K464">
        <v>9.5</v>
      </c>
      <c r="L464">
        <v>1.78</v>
      </c>
      <c r="M464">
        <v>2.67</v>
      </c>
      <c r="N464">
        <v>0.30099999999999999</v>
      </c>
      <c r="O464">
        <v>3.2</v>
      </c>
      <c r="P464">
        <v>1.141</v>
      </c>
    </row>
    <row r="465" spans="1:16" x14ac:dyDescent="0.25">
      <c r="A465" s="1">
        <v>41863</v>
      </c>
      <c r="B465">
        <v>7.85</v>
      </c>
      <c r="C465">
        <v>154.16999999999999</v>
      </c>
      <c r="D465">
        <v>3.984</v>
      </c>
      <c r="E465">
        <v>13.2</v>
      </c>
      <c r="F465">
        <v>5.2</v>
      </c>
      <c r="G465">
        <v>1.67</v>
      </c>
      <c r="H465">
        <v>9.31</v>
      </c>
      <c r="I465">
        <v>32.450000000000003</v>
      </c>
      <c r="J465">
        <v>16.55</v>
      </c>
      <c r="K465">
        <v>9.5</v>
      </c>
      <c r="L465">
        <v>1.8</v>
      </c>
      <c r="M465">
        <v>2.67</v>
      </c>
      <c r="N465">
        <v>0.3</v>
      </c>
      <c r="O465">
        <v>3.2</v>
      </c>
      <c r="P465">
        <v>1.131</v>
      </c>
    </row>
    <row r="466" spans="1:16" x14ac:dyDescent="0.25">
      <c r="A466" s="1">
        <v>41864</v>
      </c>
      <c r="B466">
        <v>7.85</v>
      </c>
      <c r="C466">
        <v>156</v>
      </c>
      <c r="D466">
        <v>4.0190000000000001</v>
      </c>
      <c r="E466">
        <v>13.18</v>
      </c>
      <c r="F466">
        <v>5.25</v>
      </c>
      <c r="G466">
        <v>1.69</v>
      </c>
      <c r="H466">
        <v>9.33</v>
      </c>
      <c r="I466">
        <v>32.450000000000003</v>
      </c>
      <c r="J466">
        <v>16.55</v>
      </c>
      <c r="K466">
        <v>9.51</v>
      </c>
      <c r="L466">
        <v>1.8</v>
      </c>
      <c r="M466">
        <v>2.67</v>
      </c>
      <c r="N466">
        <v>0.28499999999999998</v>
      </c>
      <c r="O466">
        <v>3.23</v>
      </c>
      <c r="P466">
        <v>1.131</v>
      </c>
    </row>
    <row r="467" spans="1:16" x14ac:dyDescent="0.25">
      <c r="A467" s="1">
        <v>41865</v>
      </c>
      <c r="B467">
        <v>7.9</v>
      </c>
      <c r="C467">
        <v>154.5</v>
      </c>
      <c r="D467">
        <v>4.0190000000000001</v>
      </c>
      <c r="E467">
        <v>13</v>
      </c>
      <c r="F467">
        <v>5.18</v>
      </c>
      <c r="G467">
        <v>1.68</v>
      </c>
      <c r="H467">
        <v>9.33</v>
      </c>
      <c r="I467">
        <v>32.450000000000003</v>
      </c>
      <c r="J467">
        <v>16.5</v>
      </c>
      <c r="K467">
        <v>9.51</v>
      </c>
      <c r="L467">
        <v>1.8</v>
      </c>
      <c r="M467">
        <v>2.66</v>
      </c>
      <c r="N467">
        <v>0.28000000000000003</v>
      </c>
      <c r="O467">
        <v>3.23</v>
      </c>
      <c r="P467">
        <v>1.131</v>
      </c>
    </row>
    <row r="468" spans="1:16" x14ac:dyDescent="0.25">
      <c r="A468" s="1">
        <v>41866</v>
      </c>
      <c r="B468">
        <v>7.84</v>
      </c>
      <c r="C468">
        <v>153.86000000000001</v>
      </c>
      <c r="D468">
        <v>4.0049999999999999</v>
      </c>
      <c r="E468">
        <v>13</v>
      </c>
      <c r="F468">
        <v>5.13</v>
      </c>
      <c r="G468">
        <v>1.68</v>
      </c>
      <c r="H468">
        <v>9.4</v>
      </c>
      <c r="I468">
        <v>32.299999999999997</v>
      </c>
      <c r="J468">
        <v>16.5</v>
      </c>
      <c r="K468">
        <v>9.48</v>
      </c>
      <c r="L468">
        <v>1.82</v>
      </c>
      <c r="M468">
        <v>2.64</v>
      </c>
      <c r="N468">
        <v>0.27500000000000002</v>
      </c>
      <c r="O468">
        <v>3.23</v>
      </c>
      <c r="P468">
        <v>1.141</v>
      </c>
    </row>
    <row r="469" spans="1:16" x14ac:dyDescent="0.25">
      <c r="A469" s="1">
        <v>41869</v>
      </c>
      <c r="B469">
        <v>7.83</v>
      </c>
      <c r="C469">
        <v>154.53</v>
      </c>
      <c r="D469">
        <v>4.0190000000000001</v>
      </c>
      <c r="E469">
        <v>13.11</v>
      </c>
      <c r="F469">
        <v>5.27</v>
      </c>
      <c r="G469">
        <v>1.68</v>
      </c>
      <c r="H469">
        <v>9.5</v>
      </c>
      <c r="I469">
        <v>31.97</v>
      </c>
      <c r="J469">
        <v>16.55</v>
      </c>
      <c r="K469">
        <v>9.5500000000000007</v>
      </c>
      <c r="L469">
        <v>1.84</v>
      </c>
      <c r="M469">
        <v>2.69</v>
      </c>
      <c r="N469">
        <v>0.31</v>
      </c>
      <c r="O469">
        <v>3.23</v>
      </c>
      <c r="P469">
        <v>1.141</v>
      </c>
    </row>
    <row r="470" spans="1:16" x14ac:dyDescent="0.25">
      <c r="A470" s="1">
        <v>41870</v>
      </c>
      <c r="B470">
        <v>7.83</v>
      </c>
      <c r="C470">
        <v>153.15</v>
      </c>
      <c r="D470">
        <v>4.0389999999999997</v>
      </c>
      <c r="E470">
        <v>13.09</v>
      </c>
      <c r="F470">
        <v>5.3</v>
      </c>
      <c r="G470">
        <v>1.7</v>
      </c>
      <c r="H470">
        <v>9.5</v>
      </c>
      <c r="I470">
        <v>31.94</v>
      </c>
      <c r="J470">
        <v>16.75</v>
      </c>
      <c r="K470">
        <v>9.76</v>
      </c>
      <c r="L470">
        <v>1.83</v>
      </c>
      <c r="M470">
        <v>2.69</v>
      </c>
      <c r="N470">
        <v>0.3</v>
      </c>
      <c r="O470">
        <v>3.23</v>
      </c>
      <c r="P470">
        <v>1.141</v>
      </c>
    </row>
    <row r="471" spans="1:16" x14ac:dyDescent="0.25">
      <c r="A471" s="1">
        <v>41871</v>
      </c>
      <c r="B471">
        <v>7.85</v>
      </c>
      <c r="C471">
        <v>155</v>
      </c>
      <c r="D471">
        <v>4.0529999999999999</v>
      </c>
      <c r="E471">
        <v>13.21</v>
      </c>
      <c r="F471">
        <v>5.33</v>
      </c>
      <c r="G471">
        <v>1.7</v>
      </c>
      <c r="H471">
        <v>9.5</v>
      </c>
      <c r="I471">
        <v>31.5</v>
      </c>
      <c r="J471">
        <v>16.7</v>
      </c>
      <c r="K471">
        <v>9.76</v>
      </c>
      <c r="L471">
        <v>1.85</v>
      </c>
      <c r="M471">
        <v>2.7090000000000001</v>
      </c>
      <c r="N471">
        <v>0.3</v>
      </c>
      <c r="O471">
        <v>3.23</v>
      </c>
      <c r="P471">
        <v>1.141</v>
      </c>
    </row>
    <row r="472" spans="1:16" x14ac:dyDescent="0.25">
      <c r="A472" s="1">
        <v>41872</v>
      </c>
      <c r="B472">
        <v>7.85</v>
      </c>
      <c r="C472">
        <v>155</v>
      </c>
      <c r="D472">
        <v>4.0529999999999999</v>
      </c>
      <c r="E472">
        <v>13.4</v>
      </c>
      <c r="F472">
        <v>5.38</v>
      </c>
      <c r="G472">
        <v>1.7</v>
      </c>
      <c r="H472">
        <v>9.5</v>
      </c>
      <c r="I472">
        <v>31.5</v>
      </c>
      <c r="J472">
        <v>16.82</v>
      </c>
      <c r="K472">
        <v>9.7799999999999994</v>
      </c>
      <c r="L472">
        <v>1.87</v>
      </c>
      <c r="M472">
        <v>2.7389999999999999</v>
      </c>
      <c r="N472">
        <v>0.28999999999999998</v>
      </c>
      <c r="O472">
        <v>3.23</v>
      </c>
      <c r="P472">
        <v>1.131</v>
      </c>
    </row>
    <row r="473" spans="1:16" x14ac:dyDescent="0.25">
      <c r="A473" s="1">
        <v>41873</v>
      </c>
      <c r="B473">
        <v>7.86</v>
      </c>
      <c r="C473">
        <v>155</v>
      </c>
      <c r="D473">
        <v>4.133</v>
      </c>
      <c r="E473">
        <v>13.4</v>
      </c>
      <c r="F473">
        <v>5.38</v>
      </c>
      <c r="G473">
        <v>1.71</v>
      </c>
      <c r="H473">
        <v>9.4499999999999993</v>
      </c>
      <c r="I473">
        <v>31.25</v>
      </c>
      <c r="J473">
        <v>17</v>
      </c>
      <c r="K473">
        <v>9.7799999999999994</v>
      </c>
      <c r="L473">
        <v>1.89</v>
      </c>
      <c r="M473">
        <v>2.7490000000000001</v>
      </c>
      <c r="N473">
        <v>0.28899999999999998</v>
      </c>
      <c r="O473">
        <v>3.25</v>
      </c>
      <c r="P473">
        <v>1.141</v>
      </c>
    </row>
    <row r="474" spans="1:16" x14ac:dyDescent="0.25">
      <c r="A474" s="1">
        <v>41876</v>
      </c>
      <c r="B474">
        <v>7.85</v>
      </c>
      <c r="C474">
        <v>155</v>
      </c>
      <c r="D474">
        <v>4.117</v>
      </c>
      <c r="E474">
        <v>13.46</v>
      </c>
      <c r="F474">
        <v>5.3</v>
      </c>
      <c r="G474">
        <v>1.71</v>
      </c>
      <c r="H474">
        <v>9.42</v>
      </c>
      <c r="I474">
        <v>31.4</v>
      </c>
      <c r="J474">
        <v>17.05</v>
      </c>
      <c r="K474">
        <v>9.82</v>
      </c>
      <c r="L474">
        <v>1.92</v>
      </c>
      <c r="M474">
        <v>2.7490000000000001</v>
      </c>
      <c r="N474">
        <v>0.28899999999999998</v>
      </c>
      <c r="O474">
        <v>3.25</v>
      </c>
      <c r="P474">
        <v>1.131</v>
      </c>
    </row>
    <row r="475" spans="1:16" x14ac:dyDescent="0.25">
      <c r="A475" s="1">
        <v>41877</v>
      </c>
      <c r="B475">
        <v>7.85</v>
      </c>
      <c r="C475">
        <v>152</v>
      </c>
      <c r="D475">
        <v>4.0839999999999996</v>
      </c>
      <c r="E475">
        <v>13.5</v>
      </c>
      <c r="F475">
        <v>5.2</v>
      </c>
      <c r="G475">
        <v>1.71</v>
      </c>
      <c r="H475">
        <v>9.35</v>
      </c>
      <c r="I475">
        <v>31.4</v>
      </c>
      <c r="J475">
        <v>17.149999999999999</v>
      </c>
      <c r="K475">
        <v>9.8800000000000008</v>
      </c>
      <c r="L475">
        <v>1.94</v>
      </c>
      <c r="M475">
        <v>2.7589999999999999</v>
      </c>
      <c r="N475">
        <v>0.28499999999999998</v>
      </c>
      <c r="O475">
        <v>3.24</v>
      </c>
      <c r="P475">
        <v>1.1020000000000001</v>
      </c>
    </row>
    <row r="476" spans="1:16" x14ac:dyDescent="0.25">
      <c r="A476" s="1">
        <v>41878</v>
      </c>
      <c r="B476">
        <v>7.85</v>
      </c>
      <c r="C476">
        <v>151.33000000000001</v>
      </c>
      <c r="D476">
        <v>4.0839999999999996</v>
      </c>
      <c r="E476">
        <v>13.7</v>
      </c>
      <c r="F476">
        <v>5.32</v>
      </c>
      <c r="G476">
        <v>1.71</v>
      </c>
      <c r="H476">
        <v>9.34</v>
      </c>
      <c r="I476">
        <v>31.38</v>
      </c>
      <c r="J476">
        <v>17.399999999999999</v>
      </c>
      <c r="K476">
        <v>9.9700000000000006</v>
      </c>
      <c r="L476">
        <v>1.94</v>
      </c>
      <c r="M476">
        <v>2.7490000000000001</v>
      </c>
      <c r="N476">
        <v>0.28599999999999998</v>
      </c>
      <c r="O476">
        <v>3.21</v>
      </c>
      <c r="P476">
        <v>1.1120000000000001</v>
      </c>
    </row>
    <row r="477" spans="1:16" x14ac:dyDescent="0.25">
      <c r="A477" s="1">
        <v>41879</v>
      </c>
      <c r="B477">
        <v>7.71</v>
      </c>
      <c r="C477">
        <v>152.80000000000001</v>
      </c>
      <c r="D477">
        <v>4.0110000000000001</v>
      </c>
      <c r="E477">
        <v>14.45</v>
      </c>
      <c r="F477">
        <v>5.32</v>
      </c>
      <c r="G477">
        <v>1.7</v>
      </c>
      <c r="H477">
        <v>9.34</v>
      </c>
      <c r="I477">
        <v>31.2</v>
      </c>
      <c r="J477">
        <v>17.7</v>
      </c>
      <c r="K477">
        <v>9.85</v>
      </c>
      <c r="L477">
        <v>1.94</v>
      </c>
      <c r="M477">
        <v>2.7490000000000001</v>
      </c>
      <c r="N477">
        <v>0.29499999999999998</v>
      </c>
      <c r="O477">
        <v>3.22</v>
      </c>
      <c r="P477">
        <v>1.1020000000000001</v>
      </c>
    </row>
    <row r="478" spans="1:16" x14ac:dyDescent="0.25">
      <c r="A478" s="1">
        <v>41880</v>
      </c>
      <c r="B478">
        <v>7.82</v>
      </c>
      <c r="C478">
        <v>154</v>
      </c>
      <c r="D478">
        <v>3.97</v>
      </c>
      <c r="E478">
        <v>14.51</v>
      </c>
      <c r="F478">
        <v>5.3</v>
      </c>
      <c r="G478">
        <v>1.72</v>
      </c>
      <c r="H478">
        <v>9.33</v>
      </c>
      <c r="I478">
        <v>31.35</v>
      </c>
      <c r="J478">
        <v>17.7</v>
      </c>
      <c r="K478">
        <v>9.6</v>
      </c>
      <c r="L478">
        <v>1.95</v>
      </c>
      <c r="M478">
        <v>2.7290000000000001</v>
      </c>
      <c r="N478">
        <v>0.29199999999999998</v>
      </c>
      <c r="O478">
        <v>3.18</v>
      </c>
      <c r="P478">
        <v>1.1120000000000001</v>
      </c>
    </row>
    <row r="479" spans="1:16" x14ac:dyDescent="0.25">
      <c r="A479" s="1">
        <v>41883</v>
      </c>
      <c r="B479">
        <v>7.82</v>
      </c>
      <c r="C479">
        <v>154</v>
      </c>
      <c r="D479">
        <v>3.9940000000000002</v>
      </c>
      <c r="E479">
        <v>14.4</v>
      </c>
      <c r="F479">
        <v>5.3</v>
      </c>
      <c r="G479">
        <v>1.71</v>
      </c>
      <c r="H479">
        <v>9.33</v>
      </c>
      <c r="I479">
        <v>31.35</v>
      </c>
      <c r="J479">
        <v>17.7</v>
      </c>
      <c r="K479">
        <v>9.6</v>
      </c>
      <c r="L479">
        <v>1.94</v>
      </c>
      <c r="M479">
        <v>2.7290000000000001</v>
      </c>
      <c r="N479">
        <v>0.3</v>
      </c>
      <c r="O479">
        <v>3.22</v>
      </c>
      <c r="P479">
        <v>1.1120000000000001</v>
      </c>
    </row>
    <row r="480" spans="1:16" x14ac:dyDescent="0.25">
      <c r="A480" s="1">
        <v>41884</v>
      </c>
      <c r="B480">
        <v>7.8</v>
      </c>
      <c r="C480">
        <v>157</v>
      </c>
      <c r="D480">
        <v>4.0110000000000001</v>
      </c>
      <c r="E480">
        <v>13.75</v>
      </c>
      <c r="F480">
        <v>5.3</v>
      </c>
      <c r="G480">
        <v>1.71</v>
      </c>
      <c r="H480">
        <v>9.1999999999999993</v>
      </c>
      <c r="I480">
        <v>31.4</v>
      </c>
      <c r="J480">
        <v>17.75</v>
      </c>
      <c r="K480">
        <v>9.75</v>
      </c>
      <c r="L480">
        <v>1.92</v>
      </c>
      <c r="M480">
        <v>2.7389999999999999</v>
      </c>
      <c r="N480">
        <v>0.29799999999999999</v>
      </c>
      <c r="O480">
        <v>3.19</v>
      </c>
      <c r="P480">
        <v>1.1120000000000001</v>
      </c>
    </row>
    <row r="481" spans="1:16" x14ac:dyDescent="0.25">
      <c r="A481" s="1">
        <v>41885</v>
      </c>
      <c r="B481">
        <v>7.85</v>
      </c>
      <c r="C481">
        <v>158.69999999999999</v>
      </c>
      <c r="D481">
        <v>4.0110000000000001</v>
      </c>
      <c r="E481">
        <v>13.87</v>
      </c>
      <c r="F481">
        <v>5.32</v>
      </c>
      <c r="G481">
        <v>1.7</v>
      </c>
      <c r="H481">
        <v>9.1999999999999993</v>
      </c>
      <c r="I481">
        <v>31.35</v>
      </c>
      <c r="J481">
        <v>17.95</v>
      </c>
      <c r="K481">
        <v>9.75</v>
      </c>
      <c r="L481">
        <v>1.92</v>
      </c>
      <c r="M481">
        <v>2.7189999999999999</v>
      </c>
      <c r="N481">
        <v>0.3</v>
      </c>
      <c r="O481">
        <v>3.2</v>
      </c>
      <c r="P481">
        <v>1.1120000000000001</v>
      </c>
    </row>
    <row r="482" spans="1:16" x14ac:dyDescent="0.25">
      <c r="A482" s="1">
        <v>41886</v>
      </c>
      <c r="B482">
        <v>7.8</v>
      </c>
      <c r="C482">
        <v>157</v>
      </c>
      <c r="D482">
        <v>3.9940000000000002</v>
      </c>
      <c r="E482">
        <v>13.05</v>
      </c>
      <c r="F482">
        <v>5.35</v>
      </c>
      <c r="G482">
        <v>1.7</v>
      </c>
      <c r="H482">
        <v>9.25</v>
      </c>
      <c r="I482">
        <v>31.35</v>
      </c>
      <c r="J482">
        <v>17.95</v>
      </c>
      <c r="K482">
        <v>9.75</v>
      </c>
      <c r="L482">
        <v>1.92</v>
      </c>
      <c r="M482">
        <v>2.7</v>
      </c>
      <c r="N482">
        <v>0.3</v>
      </c>
      <c r="O482">
        <v>3.2</v>
      </c>
      <c r="P482">
        <v>1.0720000000000001</v>
      </c>
    </row>
    <row r="483" spans="1:16" x14ac:dyDescent="0.25">
      <c r="A483" s="1">
        <v>41887</v>
      </c>
      <c r="B483">
        <v>7.9</v>
      </c>
      <c r="C483">
        <v>157.53</v>
      </c>
      <c r="D483">
        <v>3.97</v>
      </c>
      <c r="E483">
        <v>13.15</v>
      </c>
      <c r="F483">
        <v>5.4</v>
      </c>
      <c r="G483">
        <v>1.7</v>
      </c>
      <c r="H483">
        <v>9.25</v>
      </c>
      <c r="I483">
        <v>31.5</v>
      </c>
      <c r="J483">
        <v>18.149999999999999</v>
      </c>
      <c r="K483">
        <v>10</v>
      </c>
      <c r="L483">
        <v>1.97</v>
      </c>
      <c r="M483">
        <v>2.7290000000000001</v>
      </c>
      <c r="N483">
        <v>0.3</v>
      </c>
      <c r="O483">
        <v>3.17</v>
      </c>
      <c r="P483">
        <v>1.0620000000000001</v>
      </c>
    </row>
    <row r="484" spans="1:16" x14ac:dyDescent="0.25">
      <c r="A484" s="1">
        <v>41890</v>
      </c>
      <c r="B484">
        <v>7.9</v>
      </c>
      <c r="C484">
        <v>157.53</v>
      </c>
      <c r="D484">
        <v>4.0019999999999998</v>
      </c>
      <c r="E484">
        <v>12.95</v>
      </c>
      <c r="F484">
        <v>5.4</v>
      </c>
      <c r="G484">
        <v>1.7</v>
      </c>
      <c r="H484">
        <v>9.25</v>
      </c>
      <c r="I484">
        <v>31.5</v>
      </c>
      <c r="J484">
        <v>18.149999999999999</v>
      </c>
      <c r="K484">
        <v>9.8699999999999992</v>
      </c>
      <c r="L484">
        <v>1.97</v>
      </c>
      <c r="M484">
        <v>2.7490000000000001</v>
      </c>
      <c r="N484">
        <v>0.3</v>
      </c>
      <c r="O484">
        <v>3.17</v>
      </c>
      <c r="P484">
        <v>1.0720000000000001</v>
      </c>
    </row>
    <row r="485" spans="1:16" x14ac:dyDescent="0.25">
      <c r="A485" s="1">
        <v>41891</v>
      </c>
      <c r="B485">
        <v>7.9</v>
      </c>
      <c r="C485">
        <v>155.33000000000001</v>
      </c>
      <c r="D485">
        <v>4.0190000000000001</v>
      </c>
      <c r="E485">
        <v>13</v>
      </c>
      <c r="F485">
        <v>5.42</v>
      </c>
      <c r="G485">
        <v>1.7</v>
      </c>
      <c r="H485">
        <v>9.1999999999999993</v>
      </c>
      <c r="I485">
        <v>31.6</v>
      </c>
      <c r="J485">
        <v>18.3</v>
      </c>
      <c r="K485">
        <v>9.82</v>
      </c>
      <c r="L485">
        <v>1.95</v>
      </c>
      <c r="M485">
        <v>2.7490000000000001</v>
      </c>
      <c r="N485">
        <v>0.3</v>
      </c>
      <c r="O485">
        <v>3.18</v>
      </c>
      <c r="P485">
        <v>1.0620000000000001</v>
      </c>
    </row>
    <row r="486" spans="1:16" x14ac:dyDescent="0.25">
      <c r="A486" s="1">
        <v>41892</v>
      </c>
      <c r="B486">
        <v>7.83</v>
      </c>
      <c r="C486">
        <v>153.07</v>
      </c>
      <c r="D486">
        <v>4.0110000000000001</v>
      </c>
      <c r="E486">
        <v>12.9</v>
      </c>
      <c r="F486">
        <v>5.42</v>
      </c>
      <c r="G486">
        <v>1.68</v>
      </c>
      <c r="H486">
        <v>9.15</v>
      </c>
      <c r="I486">
        <v>31.75</v>
      </c>
      <c r="J486">
        <v>18.3</v>
      </c>
      <c r="K486">
        <v>9.81</v>
      </c>
      <c r="L486">
        <v>1.94</v>
      </c>
      <c r="M486">
        <v>2.69</v>
      </c>
      <c r="N486">
        <v>0.29899999999999999</v>
      </c>
      <c r="O486">
        <v>3.19</v>
      </c>
      <c r="P486">
        <v>1.042</v>
      </c>
    </row>
    <row r="487" spans="1:16" x14ac:dyDescent="0.25">
      <c r="A487" s="1">
        <v>41893</v>
      </c>
      <c r="B487">
        <v>7.84</v>
      </c>
      <c r="C487">
        <v>153.4</v>
      </c>
      <c r="D487">
        <v>3.9940000000000002</v>
      </c>
      <c r="E487">
        <v>13.02</v>
      </c>
      <c r="F487">
        <v>5.45</v>
      </c>
      <c r="G487">
        <v>1.68</v>
      </c>
      <c r="H487">
        <v>9.33</v>
      </c>
      <c r="I487">
        <v>32</v>
      </c>
      <c r="J487">
        <v>18.45</v>
      </c>
      <c r="K487">
        <v>9.6999999999999993</v>
      </c>
      <c r="L487">
        <v>1.96</v>
      </c>
      <c r="M487">
        <v>2.7</v>
      </c>
      <c r="N487">
        <v>0.29899999999999999</v>
      </c>
      <c r="O487">
        <v>3.19</v>
      </c>
      <c r="P487">
        <v>1.042</v>
      </c>
    </row>
    <row r="488" spans="1:16" x14ac:dyDescent="0.25">
      <c r="A488" s="1">
        <v>41894</v>
      </c>
      <c r="B488">
        <v>7.8</v>
      </c>
      <c r="C488">
        <v>152.9</v>
      </c>
      <c r="D488">
        <v>3.97</v>
      </c>
      <c r="E488">
        <v>12.8</v>
      </c>
      <c r="F488">
        <v>5.39</v>
      </c>
      <c r="G488">
        <v>1.69</v>
      </c>
      <c r="H488">
        <v>9.3000000000000007</v>
      </c>
      <c r="I488">
        <v>31.9</v>
      </c>
      <c r="J488">
        <v>18.45</v>
      </c>
      <c r="K488">
        <v>9.6010000000000009</v>
      </c>
      <c r="L488">
        <v>1.94</v>
      </c>
      <c r="M488">
        <v>2.69</v>
      </c>
      <c r="N488">
        <v>0.28999999999999998</v>
      </c>
      <c r="O488">
        <v>3.2</v>
      </c>
      <c r="P488">
        <v>1.032</v>
      </c>
    </row>
    <row r="489" spans="1:16" x14ac:dyDescent="0.25">
      <c r="A489" s="1">
        <v>41897</v>
      </c>
      <c r="B489">
        <v>7.85</v>
      </c>
      <c r="C489">
        <v>153.72999999999999</v>
      </c>
      <c r="D489">
        <v>3.9860000000000002</v>
      </c>
      <c r="E489">
        <v>13.06</v>
      </c>
      <c r="F489">
        <v>5.31</v>
      </c>
      <c r="G489">
        <v>1.7</v>
      </c>
      <c r="H489">
        <v>9.25</v>
      </c>
      <c r="I489">
        <v>31.9</v>
      </c>
      <c r="J489">
        <v>18.350000000000001</v>
      </c>
      <c r="K489">
        <v>9.6010000000000009</v>
      </c>
      <c r="L489">
        <v>1.93</v>
      </c>
      <c r="M489">
        <v>2.69</v>
      </c>
      <c r="N489">
        <v>0.29499999999999998</v>
      </c>
      <c r="O489">
        <v>3.18</v>
      </c>
      <c r="P489">
        <v>1.032</v>
      </c>
    </row>
    <row r="490" spans="1:16" x14ac:dyDescent="0.25">
      <c r="A490" s="1">
        <v>41898</v>
      </c>
      <c r="B490">
        <v>7.9</v>
      </c>
      <c r="C490">
        <v>156.19</v>
      </c>
      <c r="D490">
        <v>3.9860000000000002</v>
      </c>
      <c r="E490">
        <v>13.38</v>
      </c>
      <c r="F490">
        <v>5.33</v>
      </c>
      <c r="G490">
        <v>1.69</v>
      </c>
      <c r="H490">
        <v>9.1999999999999993</v>
      </c>
      <c r="I490">
        <v>31.9</v>
      </c>
      <c r="J490">
        <v>18.399999999999999</v>
      </c>
      <c r="K490">
        <v>9.6999999999999993</v>
      </c>
      <c r="L490">
        <v>1.94</v>
      </c>
      <c r="M490">
        <v>2.69</v>
      </c>
      <c r="N490">
        <v>0.29699999999999999</v>
      </c>
      <c r="O490">
        <v>3.18</v>
      </c>
      <c r="P490">
        <v>1.032</v>
      </c>
    </row>
    <row r="491" spans="1:16" x14ac:dyDescent="0.25">
      <c r="A491" s="1">
        <v>41899</v>
      </c>
      <c r="B491">
        <v>7.95</v>
      </c>
      <c r="C491">
        <v>154.16</v>
      </c>
      <c r="D491">
        <v>4.0019999999999998</v>
      </c>
      <c r="E491">
        <v>12.8</v>
      </c>
      <c r="F491">
        <v>5.32</v>
      </c>
      <c r="G491">
        <v>1.69</v>
      </c>
      <c r="H491">
        <v>9.2100000000000009</v>
      </c>
      <c r="I491">
        <v>32.5</v>
      </c>
      <c r="J491">
        <v>18.5</v>
      </c>
      <c r="K491">
        <v>9.6999999999999993</v>
      </c>
      <c r="L491">
        <v>1.92</v>
      </c>
      <c r="M491">
        <v>2.69</v>
      </c>
      <c r="N491">
        <v>0.29299999999999998</v>
      </c>
      <c r="O491">
        <v>3.17</v>
      </c>
      <c r="P491">
        <v>1.022</v>
      </c>
    </row>
    <row r="492" spans="1:16" x14ac:dyDescent="0.25">
      <c r="A492" s="1">
        <v>41900</v>
      </c>
      <c r="B492">
        <v>8</v>
      </c>
      <c r="C492">
        <v>154.97999999999999</v>
      </c>
      <c r="D492">
        <v>3.9940000000000002</v>
      </c>
      <c r="E492">
        <v>12.69</v>
      </c>
      <c r="F492">
        <v>5.32</v>
      </c>
      <c r="G492">
        <v>1.68</v>
      </c>
      <c r="H492">
        <v>9.2200000000000006</v>
      </c>
      <c r="I492">
        <v>32.5</v>
      </c>
      <c r="J492">
        <v>19</v>
      </c>
      <c r="K492">
        <v>9.85</v>
      </c>
      <c r="L492">
        <v>1.92</v>
      </c>
      <c r="M492">
        <v>2.67</v>
      </c>
      <c r="N492">
        <v>0.29199999999999998</v>
      </c>
      <c r="O492">
        <v>3.18</v>
      </c>
      <c r="P492">
        <v>1.022</v>
      </c>
    </row>
    <row r="493" spans="1:16" x14ac:dyDescent="0.25">
      <c r="A493" s="1">
        <v>41901</v>
      </c>
      <c r="B493">
        <v>8.0299999999999994</v>
      </c>
      <c r="C493">
        <v>155.9</v>
      </c>
      <c r="D493">
        <v>3.9940000000000002</v>
      </c>
      <c r="E493">
        <v>12.99</v>
      </c>
      <c r="F493">
        <v>5.25</v>
      </c>
      <c r="G493">
        <v>1.68</v>
      </c>
      <c r="H493">
        <v>9.23</v>
      </c>
      <c r="I493">
        <v>32.799999999999997</v>
      </c>
      <c r="J493">
        <v>19</v>
      </c>
      <c r="K493">
        <v>9.86</v>
      </c>
      <c r="L493">
        <v>1.94</v>
      </c>
      <c r="M493">
        <v>2.66</v>
      </c>
      <c r="N493">
        <v>0.29199999999999998</v>
      </c>
      <c r="O493">
        <v>3.18</v>
      </c>
      <c r="P493">
        <v>1.0620000000000001</v>
      </c>
    </row>
    <row r="494" spans="1:16" x14ac:dyDescent="0.25">
      <c r="A494" s="1">
        <v>41904</v>
      </c>
      <c r="B494">
        <v>8.0500000000000007</v>
      </c>
      <c r="C494">
        <v>153.5</v>
      </c>
      <c r="D494">
        <v>4.0110000000000001</v>
      </c>
      <c r="E494">
        <v>12.58</v>
      </c>
      <c r="F494">
        <v>5.27</v>
      </c>
      <c r="G494">
        <v>1.68</v>
      </c>
      <c r="H494">
        <v>9.2100000000000009</v>
      </c>
      <c r="I494">
        <v>32.78</v>
      </c>
      <c r="J494">
        <v>19</v>
      </c>
      <c r="K494">
        <v>9.85</v>
      </c>
      <c r="L494">
        <v>1.91</v>
      </c>
      <c r="M494">
        <v>2.66</v>
      </c>
      <c r="N494">
        <v>0.28999999999999998</v>
      </c>
      <c r="O494">
        <v>3.18</v>
      </c>
      <c r="P494">
        <v>1.042</v>
      </c>
    </row>
    <row r="495" spans="1:16" x14ac:dyDescent="0.25">
      <c r="A495" s="1">
        <v>41905</v>
      </c>
      <c r="B495">
        <v>8.1</v>
      </c>
      <c r="C495">
        <v>152.5</v>
      </c>
      <c r="D495">
        <v>3.9860000000000002</v>
      </c>
      <c r="E495">
        <v>12.5</v>
      </c>
      <c r="F495">
        <v>5.29</v>
      </c>
      <c r="G495">
        <v>1.67</v>
      </c>
      <c r="H495">
        <v>9.18</v>
      </c>
      <c r="I495">
        <v>32.479999999999997</v>
      </c>
      <c r="J495">
        <v>19</v>
      </c>
      <c r="K495">
        <v>9.93</v>
      </c>
      <c r="L495">
        <v>1.91</v>
      </c>
      <c r="M495">
        <v>2.64</v>
      </c>
      <c r="N495">
        <v>0.28699999999999998</v>
      </c>
      <c r="O495">
        <v>3.16</v>
      </c>
      <c r="P495">
        <v>1.032</v>
      </c>
    </row>
    <row r="496" spans="1:16" x14ac:dyDescent="0.25">
      <c r="A496" s="1">
        <v>41906</v>
      </c>
      <c r="B496">
        <v>8.09</v>
      </c>
      <c r="C496">
        <v>153.9</v>
      </c>
      <c r="D496">
        <v>4.0110000000000001</v>
      </c>
      <c r="E496">
        <v>12.51</v>
      </c>
      <c r="F496">
        <v>5.2</v>
      </c>
      <c r="G496">
        <v>1.67</v>
      </c>
      <c r="H496">
        <v>9</v>
      </c>
      <c r="I496">
        <v>32.380000000000003</v>
      </c>
      <c r="J496">
        <v>18.899999999999999</v>
      </c>
      <c r="K496">
        <v>9.93</v>
      </c>
      <c r="L496">
        <v>1.91</v>
      </c>
      <c r="M496">
        <v>2.62</v>
      </c>
      <c r="N496">
        <v>0.28899999999999998</v>
      </c>
      <c r="O496">
        <v>3.16</v>
      </c>
      <c r="P496">
        <v>1.022</v>
      </c>
    </row>
    <row r="497" spans="1:16" x14ac:dyDescent="0.25">
      <c r="A497" s="1">
        <v>41907</v>
      </c>
      <c r="B497">
        <v>8.09</v>
      </c>
      <c r="C497">
        <v>151.4</v>
      </c>
      <c r="D497">
        <v>4.0110000000000001</v>
      </c>
      <c r="E497">
        <v>12.55</v>
      </c>
      <c r="F497">
        <v>5.25</v>
      </c>
      <c r="G497">
        <v>1.66</v>
      </c>
      <c r="H497">
        <v>8.83</v>
      </c>
      <c r="I497">
        <v>32</v>
      </c>
      <c r="J497">
        <v>18.899999999999999</v>
      </c>
      <c r="K497">
        <v>9.93</v>
      </c>
      <c r="L497">
        <v>1.88</v>
      </c>
      <c r="M497">
        <v>2.62</v>
      </c>
      <c r="N497">
        <v>0.28399999999999997</v>
      </c>
      <c r="O497">
        <v>3.13</v>
      </c>
      <c r="P497">
        <v>1.012</v>
      </c>
    </row>
    <row r="498" spans="1:16" x14ac:dyDescent="0.25">
      <c r="A498" s="1">
        <v>41908</v>
      </c>
      <c r="B498">
        <v>8.0500000000000007</v>
      </c>
      <c r="C498">
        <v>151</v>
      </c>
      <c r="D498">
        <v>4.0110000000000001</v>
      </c>
      <c r="E498">
        <v>12.23</v>
      </c>
      <c r="F498">
        <v>5.2</v>
      </c>
      <c r="G498">
        <v>1.66</v>
      </c>
      <c r="H498">
        <v>8.85</v>
      </c>
      <c r="I498">
        <v>31.8</v>
      </c>
      <c r="J498">
        <v>18.95</v>
      </c>
      <c r="K498">
        <v>9.9600000000000009</v>
      </c>
      <c r="L498">
        <v>1.89</v>
      </c>
      <c r="M498">
        <v>2.5910000000000002</v>
      </c>
      <c r="N498">
        <v>0.28299999999999997</v>
      </c>
      <c r="O498">
        <v>3.1</v>
      </c>
      <c r="P498">
        <v>1.022</v>
      </c>
    </row>
    <row r="499" spans="1:16" x14ac:dyDescent="0.25">
      <c r="A499" s="1">
        <v>41911</v>
      </c>
      <c r="B499">
        <v>8.02</v>
      </c>
      <c r="C499">
        <v>150.5</v>
      </c>
      <c r="D499">
        <v>3.9940000000000002</v>
      </c>
      <c r="E499">
        <v>12</v>
      </c>
      <c r="F499">
        <v>5.2</v>
      </c>
      <c r="G499">
        <v>1.66</v>
      </c>
      <c r="H499">
        <v>8.8000000000000007</v>
      </c>
      <c r="I499">
        <v>31.5</v>
      </c>
      <c r="J499">
        <v>18.95</v>
      </c>
      <c r="K499">
        <v>9.93</v>
      </c>
      <c r="L499">
        <v>1.89</v>
      </c>
      <c r="M499">
        <v>2.5910000000000002</v>
      </c>
      <c r="N499">
        <v>0.28299999999999997</v>
      </c>
      <c r="O499">
        <v>3.1</v>
      </c>
      <c r="P499">
        <v>1.002</v>
      </c>
    </row>
    <row r="500" spans="1:16" x14ac:dyDescent="0.25">
      <c r="A500" s="1">
        <v>41912</v>
      </c>
      <c r="B500">
        <v>8</v>
      </c>
      <c r="C500">
        <v>152.5</v>
      </c>
      <c r="D500">
        <v>3.9529999999999998</v>
      </c>
      <c r="E500">
        <v>11.6</v>
      </c>
      <c r="F500">
        <v>5.18</v>
      </c>
      <c r="G500">
        <v>1.66</v>
      </c>
      <c r="H500">
        <v>8.75</v>
      </c>
      <c r="I500">
        <v>32</v>
      </c>
      <c r="J500">
        <v>19</v>
      </c>
      <c r="K500">
        <v>9.9499999999999993</v>
      </c>
      <c r="L500">
        <v>1.86</v>
      </c>
      <c r="M500">
        <v>2.5219999999999998</v>
      </c>
      <c r="N500">
        <v>0.27100000000000002</v>
      </c>
      <c r="O500">
        <v>3.07</v>
      </c>
      <c r="P500">
        <v>0.98299999999999998</v>
      </c>
    </row>
    <row r="501" spans="1:16" x14ac:dyDescent="0.25">
      <c r="A501" s="1">
        <v>41913</v>
      </c>
      <c r="B501">
        <v>7.98</v>
      </c>
      <c r="C501">
        <v>151.47</v>
      </c>
      <c r="D501">
        <v>3.9529999999999998</v>
      </c>
      <c r="E501">
        <v>11.51</v>
      </c>
      <c r="F501">
        <v>5.0199999999999996</v>
      </c>
      <c r="G501">
        <v>1.63</v>
      </c>
      <c r="H501">
        <v>8.6</v>
      </c>
      <c r="I501">
        <v>31.75</v>
      </c>
      <c r="J501">
        <v>18.8</v>
      </c>
      <c r="K501">
        <v>9.9499999999999993</v>
      </c>
      <c r="L501">
        <v>1.84</v>
      </c>
      <c r="M501">
        <v>2.5019999999999998</v>
      </c>
      <c r="N501">
        <v>0.27600000000000002</v>
      </c>
      <c r="O501">
        <v>3.04</v>
      </c>
      <c r="P501">
        <v>0.98299999999999998</v>
      </c>
    </row>
    <row r="502" spans="1:16" x14ac:dyDescent="0.25">
      <c r="A502" s="1">
        <v>41914</v>
      </c>
      <c r="B502">
        <v>7.69</v>
      </c>
      <c r="C502">
        <v>150.69999999999999</v>
      </c>
      <c r="D502">
        <v>3.83</v>
      </c>
      <c r="E502">
        <v>11.5</v>
      </c>
      <c r="F502">
        <v>5.05</v>
      </c>
      <c r="G502">
        <v>1.63</v>
      </c>
      <c r="H502">
        <v>8.56</v>
      </c>
      <c r="I502">
        <v>31.11</v>
      </c>
      <c r="J502">
        <v>18.8</v>
      </c>
      <c r="K502">
        <v>9.9499999999999993</v>
      </c>
      <c r="L502">
        <v>1.84</v>
      </c>
      <c r="M502">
        <v>2.3929999999999998</v>
      </c>
      <c r="N502">
        <v>0.26500000000000001</v>
      </c>
      <c r="O502">
        <v>3</v>
      </c>
      <c r="P502">
        <v>0.97299999999999998</v>
      </c>
    </row>
    <row r="503" spans="1:16" x14ac:dyDescent="0.25">
      <c r="A503" s="1">
        <v>41915</v>
      </c>
      <c r="B503">
        <v>7.75</v>
      </c>
      <c r="C503">
        <v>151.94999999999999</v>
      </c>
      <c r="D503">
        <v>3.806</v>
      </c>
      <c r="E503">
        <v>10.99</v>
      </c>
      <c r="F503">
        <v>5</v>
      </c>
      <c r="G503">
        <v>1.61</v>
      </c>
      <c r="H503">
        <v>8.6</v>
      </c>
      <c r="I503">
        <v>30.85</v>
      </c>
      <c r="J503">
        <v>18.8</v>
      </c>
      <c r="K503">
        <v>9.9499999999999993</v>
      </c>
      <c r="L503">
        <v>1.8</v>
      </c>
      <c r="M503">
        <v>2.423</v>
      </c>
      <c r="N503">
        <v>0.255</v>
      </c>
      <c r="O503">
        <v>3.02</v>
      </c>
      <c r="P503">
        <v>0.95299999999999996</v>
      </c>
    </row>
    <row r="504" spans="1:16" x14ac:dyDescent="0.25">
      <c r="A504" s="1">
        <v>41918</v>
      </c>
      <c r="B504">
        <v>7.75</v>
      </c>
      <c r="C504">
        <v>152.5</v>
      </c>
      <c r="D504">
        <v>3.7490000000000001</v>
      </c>
      <c r="E504">
        <v>11.15</v>
      </c>
      <c r="F504">
        <v>4.9000000000000004</v>
      </c>
      <c r="G504">
        <v>1.6</v>
      </c>
      <c r="H504">
        <v>8.6</v>
      </c>
      <c r="I504">
        <v>30.55</v>
      </c>
      <c r="J504">
        <v>18.8</v>
      </c>
      <c r="K504">
        <v>9.9499999999999993</v>
      </c>
      <c r="L504">
        <v>1.76</v>
      </c>
      <c r="M504">
        <v>2.383</v>
      </c>
      <c r="N504">
        <v>0.245</v>
      </c>
      <c r="O504">
        <v>2.98</v>
      </c>
      <c r="P504">
        <v>0.93300000000000005</v>
      </c>
    </row>
    <row r="505" spans="1:16" x14ac:dyDescent="0.25">
      <c r="A505" s="1">
        <v>41919</v>
      </c>
      <c r="B505">
        <v>7.73</v>
      </c>
      <c r="C505">
        <v>152.4</v>
      </c>
      <c r="D505">
        <v>3.7490000000000001</v>
      </c>
      <c r="E505">
        <v>10.85</v>
      </c>
      <c r="F505">
        <v>4.8</v>
      </c>
      <c r="G505">
        <v>1.57</v>
      </c>
      <c r="H505">
        <v>8.5299999999999994</v>
      </c>
      <c r="I505">
        <v>30.9</v>
      </c>
      <c r="J505">
        <v>18.8</v>
      </c>
      <c r="K505">
        <v>9.93</v>
      </c>
      <c r="L505">
        <v>1.73</v>
      </c>
      <c r="M505">
        <v>2.3439999999999999</v>
      </c>
      <c r="N505">
        <v>0.24299999999999999</v>
      </c>
      <c r="O505">
        <v>2.95</v>
      </c>
      <c r="P505">
        <v>0.91300000000000003</v>
      </c>
    </row>
    <row r="506" spans="1:16" x14ac:dyDescent="0.25">
      <c r="A506" s="1">
        <v>41921</v>
      </c>
      <c r="B506">
        <v>7.66</v>
      </c>
      <c r="C506">
        <v>154</v>
      </c>
      <c r="D506">
        <v>3.7160000000000002</v>
      </c>
      <c r="E506">
        <v>10.85</v>
      </c>
      <c r="F506">
        <v>4.75</v>
      </c>
      <c r="G506">
        <v>1.57</v>
      </c>
      <c r="H506">
        <v>8.23</v>
      </c>
      <c r="I506">
        <v>30.65</v>
      </c>
      <c r="J506">
        <v>18.64</v>
      </c>
      <c r="K506">
        <v>9.9499999999999993</v>
      </c>
      <c r="L506">
        <v>1.76</v>
      </c>
      <c r="M506">
        <v>2.3239999999999998</v>
      </c>
      <c r="N506">
        <v>0.23499999999999999</v>
      </c>
      <c r="O506">
        <v>2.9</v>
      </c>
      <c r="P506">
        <v>0.92300000000000004</v>
      </c>
    </row>
    <row r="507" spans="1:16" x14ac:dyDescent="0.25">
      <c r="A507" s="1">
        <v>41922</v>
      </c>
      <c r="B507">
        <v>7.66</v>
      </c>
      <c r="C507">
        <v>149.80000000000001</v>
      </c>
      <c r="D507">
        <v>3.7</v>
      </c>
      <c r="E507">
        <v>11.58</v>
      </c>
      <c r="F507">
        <v>4.93</v>
      </c>
      <c r="G507">
        <v>1.6</v>
      </c>
      <c r="H507">
        <v>8.1999999999999993</v>
      </c>
      <c r="I507">
        <v>30.75</v>
      </c>
      <c r="J507">
        <v>18.5</v>
      </c>
      <c r="K507">
        <v>9.9499999999999993</v>
      </c>
      <c r="L507">
        <v>1.78</v>
      </c>
      <c r="M507">
        <v>2.3530000000000002</v>
      </c>
      <c r="N507">
        <v>0.23499999999999999</v>
      </c>
      <c r="O507">
        <v>2.86</v>
      </c>
      <c r="P507">
        <v>0.92300000000000004</v>
      </c>
    </row>
    <row r="508" spans="1:16" x14ac:dyDescent="0.25">
      <c r="A508" s="1">
        <v>41925</v>
      </c>
      <c r="B508">
        <v>7.68</v>
      </c>
      <c r="C508">
        <v>151.1</v>
      </c>
      <c r="D508">
        <v>3.7080000000000002</v>
      </c>
      <c r="E508">
        <v>12.12</v>
      </c>
      <c r="F508">
        <v>4.8499999999999996</v>
      </c>
      <c r="G508">
        <v>1.6</v>
      </c>
      <c r="H508">
        <v>8.1999999999999993</v>
      </c>
      <c r="I508">
        <v>30.89</v>
      </c>
      <c r="J508">
        <v>18.5</v>
      </c>
      <c r="K508">
        <v>9.9600000000000009</v>
      </c>
      <c r="L508">
        <v>1.76</v>
      </c>
      <c r="M508">
        <v>2.3530000000000002</v>
      </c>
      <c r="N508">
        <v>0.245</v>
      </c>
      <c r="O508">
        <v>2.9</v>
      </c>
      <c r="P508">
        <v>0.93300000000000005</v>
      </c>
    </row>
    <row r="509" spans="1:16" x14ac:dyDescent="0.25">
      <c r="A509" s="1">
        <v>41926</v>
      </c>
      <c r="B509">
        <v>7.68</v>
      </c>
      <c r="C509">
        <v>150.01</v>
      </c>
      <c r="D509">
        <v>3.7730000000000001</v>
      </c>
      <c r="E509">
        <v>11.85</v>
      </c>
      <c r="F509">
        <v>4.8499999999999996</v>
      </c>
      <c r="G509">
        <v>1.57</v>
      </c>
      <c r="H509">
        <v>8.0299999999999994</v>
      </c>
      <c r="I509">
        <v>30.89</v>
      </c>
      <c r="J509">
        <v>18.5</v>
      </c>
      <c r="K509">
        <v>9.9600000000000009</v>
      </c>
      <c r="L509">
        <v>1.75</v>
      </c>
      <c r="M509">
        <v>2.472</v>
      </c>
      <c r="N509">
        <v>0.25</v>
      </c>
      <c r="O509">
        <v>2.88</v>
      </c>
      <c r="P509">
        <v>0.95299999999999996</v>
      </c>
    </row>
    <row r="510" spans="1:16" x14ac:dyDescent="0.25">
      <c r="A510" s="1">
        <v>41927</v>
      </c>
      <c r="B510">
        <v>7.65</v>
      </c>
      <c r="C510">
        <v>148.5</v>
      </c>
      <c r="D510">
        <v>3.7320000000000002</v>
      </c>
      <c r="E510">
        <v>11.84</v>
      </c>
      <c r="F510">
        <v>4.9000000000000004</v>
      </c>
      <c r="G510">
        <v>1.56</v>
      </c>
      <c r="H510">
        <v>7.92</v>
      </c>
      <c r="I510">
        <v>30.89</v>
      </c>
      <c r="J510">
        <v>18.5</v>
      </c>
      <c r="K510">
        <v>9.9499999999999993</v>
      </c>
      <c r="L510">
        <v>1.74</v>
      </c>
      <c r="M510">
        <v>2.5019999999999998</v>
      </c>
      <c r="N510">
        <v>0.25900000000000001</v>
      </c>
      <c r="O510">
        <v>2.85</v>
      </c>
      <c r="P510">
        <v>0.97299999999999998</v>
      </c>
    </row>
    <row r="511" spans="1:16" x14ac:dyDescent="0.25">
      <c r="A511" s="1">
        <v>41928</v>
      </c>
      <c r="B511">
        <v>7.68</v>
      </c>
      <c r="C511">
        <v>151</v>
      </c>
      <c r="D511">
        <v>3.7320000000000002</v>
      </c>
      <c r="E511">
        <v>11.5</v>
      </c>
      <c r="F511">
        <v>5.05</v>
      </c>
      <c r="G511">
        <v>1.56</v>
      </c>
      <c r="H511">
        <v>7.83</v>
      </c>
      <c r="I511">
        <v>30.1</v>
      </c>
      <c r="J511">
        <v>18.5</v>
      </c>
      <c r="K511">
        <v>9.9499999999999993</v>
      </c>
      <c r="L511">
        <v>1.73</v>
      </c>
      <c r="M511">
        <v>2.4820000000000002</v>
      </c>
      <c r="N511">
        <v>0.252</v>
      </c>
      <c r="O511">
        <v>2.87</v>
      </c>
      <c r="P511">
        <v>0.95299999999999996</v>
      </c>
    </row>
    <row r="512" spans="1:16" x14ac:dyDescent="0.25">
      <c r="A512" s="1">
        <v>41929</v>
      </c>
      <c r="B512">
        <v>7.69</v>
      </c>
      <c r="C512">
        <v>151.33000000000001</v>
      </c>
      <c r="D512">
        <v>3.7730000000000001</v>
      </c>
      <c r="E512">
        <v>11.07</v>
      </c>
      <c r="F512">
        <v>5.19</v>
      </c>
      <c r="G512">
        <v>1.61</v>
      </c>
      <c r="H512">
        <v>7.8</v>
      </c>
      <c r="I512">
        <v>30.4</v>
      </c>
      <c r="J512">
        <v>18.5</v>
      </c>
      <c r="K512">
        <v>9.9499999999999993</v>
      </c>
      <c r="L512">
        <v>1.75</v>
      </c>
      <c r="M512">
        <v>2.5219999999999998</v>
      </c>
      <c r="N512">
        <v>0.248</v>
      </c>
      <c r="O512">
        <v>2.92</v>
      </c>
      <c r="P512">
        <v>0.97299999999999998</v>
      </c>
    </row>
    <row r="513" spans="1:16" x14ac:dyDescent="0.25">
      <c r="A513" s="1">
        <v>41932</v>
      </c>
      <c r="B513">
        <v>7.7</v>
      </c>
      <c r="C513">
        <v>151</v>
      </c>
      <c r="D513">
        <v>3.7320000000000002</v>
      </c>
      <c r="E513">
        <v>11</v>
      </c>
      <c r="F513">
        <v>5.16</v>
      </c>
      <c r="G513">
        <v>1.58</v>
      </c>
      <c r="H513">
        <v>7.7</v>
      </c>
      <c r="I513">
        <v>30</v>
      </c>
      <c r="J513">
        <v>18.5</v>
      </c>
      <c r="K513">
        <v>9.9499999999999993</v>
      </c>
      <c r="L513">
        <v>1.74</v>
      </c>
      <c r="M513">
        <v>2.4820000000000002</v>
      </c>
      <c r="N513">
        <v>0.25</v>
      </c>
      <c r="O513">
        <v>2.88</v>
      </c>
      <c r="P513">
        <v>0.94299999999999995</v>
      </c>
    </row>
    <row r="514" spans="1:16" x14ac:dyDescent="0.25">
      <c r="A514" s="1">
        <v>41933</v>
      </c>
      <c r="B514">
        <v>7.7</v>
      </c>
      <c r="C514">
        <v>152.5</v>
      </c>
      <c r="D514">
        <v>3.7320000000000002</v>
      </c>
      <c r="E514">
        <v>11.05</v>
      </c>
      <c r="F514">
        <v>5.16</v>
      </c>
      <c r="G514">
        <v>1.55</v>
      </c>
      <c r="H514">
        <v>7.75</v>
      </c>
      <c r="I514">
        <v>29.66</v>
      </c>
      <c r="J514">
        <v>18.5</v>
      </c>
      <c r="K514">
        <v>9.82</v>
      </c>
      <c r="L514">
        <v>1.75</v>
      </c>
      <c r="M514">
        <v>2.472</v>
      </c>
      <c r="N514">
        <v>0.24099999999999999</v>
      </c>
      <c r="O514">
        <v>2.83</v>
      </c>
      <c r="P514">
        <v>0.93300000000000005</v>
      </c>
    </row>
    <row r="515" spans="1:16" x14ac:dyDescent="0.25">
      <c r="A515" s="1">
        <v>41934</v>
      </c>
      <c r="B515">
        <v>7.69</v>
      </c>
      <c r="C515">
        <v>152.94999999999999</v>
      </c>
      <c r="D515">
        <v>3.74</v>
      </c>
      <c r="E515">
        <v>11</v>
      </c>
      <c r="F515">
        <v>5.16</v>
      </c>
      <c r="G515">
        <v>1.58</v>
      </c>
      <c r="H515">
        <v>7.79</v>
      </c>
      <c r="I515">
        <v>29.99</v>
      </c>
      <c r="J515">
        <v>18.5</v>
      </c>
      <c r="K515">
        <v>9.83</v>
      </c>
      <c r="L515">
        <v>1.77</v>
      </c>
      <c r="M515">
        <v>2.4820000000000002</v>
      </c>
      <c r="N515">
        <v>0.23300000000000001</v>
      </c>
      <c r="O515">
        <v>2.84</v>
      </c>
      <c r="P515">
        <v>0.93300000000000005</v>
      </c>
    </row>
    <row r="516" spans="1:16" x14ac:dyDescent="0.25">
      <c r="A516" s="1">
        <v>41935</v>
      </c>
      <c r="B516">
        <v>7.7</v>
      </c>
      <c r="C516">
        <v>150</v>
      </c>
      <c r="D516">
        <v>3.7570000000000001</v>
      </c>
      <c r="E516">
        <v>10.9</v>
      </c>
      <c r="F516">
        <v>5.24</v>
      </c>
      <c r="G516">
        <v>1.6</v>
      </c>
      <c r="H516">
        <v>7.9</v>
      </c>
      <c r="I516">
        <v>30</v>
      </c>
      <c r="J516">
        <v>18.510000000000002</v>
      </c>
      <c r="K516">
        <v>9.85</v>
      </c>
      <c r="L516">
        <v>1.8</v>
      </c>
      <c r="M516">
        <v>2.492</v>
      </c>
      <c r="N516">
        <v>0.23</v>
      </c>
      <c r="O516">
        <v>2.87</v>
      </c>
      <c r="P516">
        <v>0.93300000000000005</v>
      </c>
    </row>
    <row r="517" spans="1:16" x14ac:dyDescent="0.25">
      <c r="A517" s="1">
        <v>41936</v>
      </c>
      <c r="B517">
        <v>7.83</v>
      </c>
      <c r="C517">
        <v>151.6</v>
      </c>
      <c r="D517">
        <v>3.806</v>
      </c>
      <c r="E517">
        <v>10.89</v>
      </c>
      <c r="F517">
        <v>5.3</v>
      </c>
      <c r="G517">
        <v>1.6</v>
      </c>
      <c r="H517">
        <v>8</v>
      </c>
      <c r="I517">
        <v>30</v>
      </c>
      <c r="J517">
        <v>18.5</v>
      </c>
      <c r="K517">
        <v>9.86</v>
      </c>
      <c r="L517">
        <v>1.85</v>
      </c>
      <c r="M517">
        <v>2.5219999999999998</v>
      </c>
      <c r="N517">
        <v>0.23</v>
      </c>
      <c r="O517">
        <v>2.87</v>
      </c>
      <c r="P517">
        <v>0.94299999999999995</v>
      </c>
    </row>
    <row r="518" spans="1:16" x14ac:dyDescent="0.25">
      <c r="A518" s="1">
        <v>41939</v>
      </c>
      <c r="B518">
        <v>7.85</v>
      </c>
      <c r="C518">
        <v>150</v>
      </c>
      <c r="D518">
        <v>3.847</v>
      </c>
      <c r="E518">
        <v>10.75</v>
      </c>
      <c r="F518">
        <v>5.31</v>
      </c>
      <c r="G518">
        <v>1.59</v>
      </c>
      <c r="H518">
        <v>8.1</v>
      </c>
      <c r="I518">
        <v>30</v>
      </c>
      <c r="J518">
        <v>18.5</v>
      </c>
      <c r="K518">
        <v>9.85</v>
      </c>
      <c r="L518">
        <v>1.85</v>
      </c>
      <c r="M518">
        <v>2.492</v>
      </c>
      <c r="N518">
        <v>0.23499999999999999</v>
      </c>
      <c r="O518">
        <v>2.87</v>
      </c>
      <c r="P518">
        <v>0.93300000000000005</v>
      </c>
    </row>
    <row r="519" spans="1:16" x14ac:dyDescent="0.25">
      <c r="A519" s="1">
        <v>41940</v>
      </c>
      <c r="B519">
        <v>8</v>
      </c>
      <c r="C519">
        <v>152</v>
      </c>
      <c r="D519">
        <v>3.855</v>
      </c>
      <c r="E519">
        <v>10.7</v>
      </c>
      <c r="F519">
        <v>5.12</v>
      </c>
      <c r="G519">
        <v>1.59</v>
      </c>
      <c r="H519">
        <v>7.9</v>
      </c>
      <c r="I519">
        <v>30.15</v>
      </c>
      <c r="J519">
        <v>18.5</v>
      </c>
      <c r="K519">
        <v>9.85</v>
      </c>
      <c r="L519">
        <v>1.87</v>
      </c>
      <c r="M519">
        <v>2.512</v>
      </c>
      <c r="N519">
        <v>0.24</v>
      </c>
      <c r="O519">
        <v>2.92</v>
      </c>
      <c r="P519">
        <v>0.92300000000000004</v>
      </c>
    </row>
    <row r="520" spans="1:16" x14ac:dyDescent="0.25">
      <c r="A520" s="1">
        <v>41941</v>
      </c>
      <c r="B520">
        <v>7.9</v>
      </c>
      <c r="C520">
        <v>153.63999999999999</v>
      </c>
      <c r="D520">
        <v>3.8879999999999999</v>
      </c>
      <c r="E520">
        <v>10.55</v>
      </c>
      <c r="F520">
        <v>5.0999999999999996</v>
      </c>
      <c r="G520">
        <v>1.57</v>
      </c>
      <c r="H520">
        <v>7.9</v>
      </c>
      <c r="I520">
        <v>30.3</v>
      </c>
      <c r="J520">
        <v>18.5</v>
      </c>
      <c r="K520">
        <v>9.85</v>
      </c>
      <c r="L520">
        <v>1.87</v>
      </c>
      <c r="M520">
        <v>2.5510000000000002</v>
      </c>
      <c r="N520">
        <v>0.23799999999999999</v>
      </c>
      <c r="O520">
        <v>2.92</v>
      </c>
      <c r="P520">
        <v>0.91300000000000003</v>
      </c>
    </row>
    <row r="521" spans="1:16" x14ac:dyDescent="0.25">
      <c r="A521" s="1">
        <v>41942</v>
      </c>
      <c r="B521">
        <v>7.9</v>
      </c>
      <c r="C521">
        <v>157.97999999999999</v>
      </c>
      <c r="D521">
        <v>3.9039999999999999</v>
      </c>
      <c r="E521">
        <v>10.15</v>
      </c>
      <c r="F521">
        <v>5.2</v>
      </c>
      <c r="G521">
        <v>1.51</v>
      </c>
      <c r="H521">
        <v>7.85</v>
      </c>
      <c r="I521">
        <v>30.5</v>
      </c>
      <c r="J521">
        <v>18.149999999999999</v>
      </c>
      <c r="K521">
        <v>9.84</v>
      </c>
      <c r="L521">
        <v>1.86</v>
      </c>
      <c r="M521">
        <v>2.5409999999999999</v>
      </c>
      <c r="N521">
        <v>0.23499999999999999</v>
      </c>
      <c r="O521">
        <v>2.92</v>
      </c>
      <c r="P521">
        <v>0.89300000000000002</v>
      </c>
    </row>
    <row r="522" spans="1:16" x14ac:dyDescent="0.25">
      <c r="A522" s="1">
        <v>41943</v>
      </c>
      <c r="B522">
        <v>7.75</v>
      </c>
      <c r="C522">
        <v>160</v>
      </c>
      <c r="D522">
        <v>3.9119999999999999</v>
      </c>
      <c r="E522">
        <v>9.25</v>
      </c>
      <c r="F522">
        <v>5.3</v>
      </c>
      <c r="G522">
        <v>1.55</v>
      </c>
      <c r="H522">
        <v>7.95</v>
      </c>
      <c r="I522">
        <v>30.7</v>
      </c>
      <c r="J522">
        <v>18.149999999999999</v>
      </c>
      <c r="K522">
        <v>10</v>
      </c>
      <c r="L522">
        <v>1.82</v>
      </c>
      <c r="M522">
        <v>2.5019999999999998</v>
      </c>
      <c r="N522">
        <v>0.23</v>
      </c>
      <c r="O522">
        <v>2.92</v>
      </c>
      <c r="P522">
        <v>0.84399999999999997</v>
      </c>
    </row>
    <row r="523" spans="1:16" x14ac:dyDescent="0.25">
      <c r="A523" s="1">
        <v>41946</v>
      </c>
      <c r="B523">
        <v>7.7</v>
      </c>
      <c r="C523">
        <v>159.68</v>
      </c>
      <c r="D523">
        <v>3.8879999999999999</v>
      </c>
      <c r="E523">
        <v>9.6999999999999993</v>
      </c>
      <c r="F523">
        <v>4.9039999999999999</v>
      </c>
      <c r="G523">
        <v>1.55</v>
      </c>
      <c r="H523">
        <v>7.9</v>
      </c>
      <c r="I523">
        <v>30.5</v>
      </c>
      <c r="J523">
        <v>18.25</v>
      </c>
      <c r="K523">
        <v>9.9</v>
      </c>
      <c r="L523">
        <v>1.79</v>
      </c>
      <c r="M523">
        <v>2.423</v>
      </c>
      <c r="N523">
        <v>0.22500000000000001</v>
      </c>
      <c r="O523">
        <v>2.92</v>
      </c>
      <c r="P523">
        <v>0.80400000000000005</v>
      </c>
    </row>
    <row r="524" spans="1:16" x14ac:dyDescent="0.25">
      <c r="A524" s="1">
        <v>41947</v>
      </c>
      <c r="B524">
        <v>7.69</v>
      </c>
      <c r="C524">
        <v>162.05000000000001</v>
      </c>
      <c r="D524">
        <v>3.8879999999999999</v>
      </c>
      <c r="E524">
        <v>9.5500000000000007</v>
      </c>
      <c r="F524">
        <v>4.952</v>
      </c>
      <c r="G524">
        <v>1.53</v>
      </c>
      <c r="H524">
        <v>7.89</v>
      </c>
      <c r="I524">
        <v>30.5</v>
      </c>
      <c r="J524">
        <v>18.25</v>
      </c>
      <c r="K524">
        <v>9.9499999999999993</v>
      </c>
      <c r="L524">
        <v>1.75</v>
      </c>
      <c r="M524">
        <v>2.3530000000000002</v>
      </c>
      <c r="N524">
        <v>0.22</v>
      </c>
      <c r="O524">
        <v>2.9</v>
      </c>
      <c r="P524">
        <v>0.81399999999999995</v>
      </c>
    </row>
    <row r="525" spans="1:16" x14ac:dyDescent="0.25">
      <c r="A525" s="1">
        <v>41948</v>
      </c>
      <c r="B525">
        <v>7.69</v>
      </c>
      <c r="C525">
        <v>162.06</v>
      </c>
      <c r="D525">
        <v>3.8879999999999999</v>
      </c>
      <c r="E525">
        <v>8.9</v>
      </c>
      <c r="F525">
        <v>4.952</v>
      </c>
      <c r="G525">
        <v>1.51</v>
      </c>
      <c r="H525">
        <v>7.75</v>
      </c>
      <c r="I525">
        <v>30.5</v>
      </c>
      <c r="J525">
        <v>18.25</v>
      </c>
      <c r="K525">
        <v>9.9499999999999993</v>
      </c>
      <c r="L525">
        <v>1.73</v>
      </c>
      <c r="M525">
        <v>2.3340000000000001</v>
      </c>
      <c r="N525">
        <v>0.22</v>
      </c>
      <c r="O525">
        <v>2.9</v>
      </c>
      <c r="P525">
        <v>0.754</v>
      </c>
    </row>
    <row r="526" spans="1:16" x14ac:dyDescent="0.25">
      <c r="A526" s="1">
        <v>41949</v>
      </c>
      <c r="B526">
        <v>7.6</v>
      </c>
      <c r="C526">
        <v>161.55000000000001</v>
      </c>
      <c r="D526">
        <v>3.8879999999999999</v>
      </c>
      <c r="E526">
        <v>9.43</v>
      </c>
      <c r="F526">
        <v>4.952</v>
      </c>
      <c r="G526">
        <v>1.5</v>
      </c>
      <c r="H526">
        <v>7.75</v>
      </c>
      <c r="I526">
        <v>30.5</v>
      </c>
      <c r="J526">
        <v>18.25</v>
      </c>
      <c r="K526">
        <v>9.91</v>
      </c>
      <c r="L526">
        <v>1.76</v>
      </c>
      <c r="M526">
        <v>2.3530000000000002</v>
      </c>
      <c r="N526">
        <v>0.222</v>
      </c>
      <c r="O526">
        <v>2.92</v>
      </c>
      <c r="P526">
        <v>0.79400000000000004</v>
      </c>
    </row>
    <row r="527" spans="1:16" x14ac:dyDescent="0.25">
      <c r="A527" s="1">
        <v>41950</v>
      </c>
      <c r="B527">
        <v>7.65</v>
      </c>
      <c r="C527">
        <v>162</v>
      </c>
      <c r="D527">
        <v>3.8879999999999999</v>
      </c>
      <c r="E527">
        <v>9.7100000000000009</v>
      </c>
      <c r="F527">
        <v>5</v>
      </c>
      <c r="G527">
        <v>1.57</v>
      </c>
      <c r="H527">
        <v>7.55</v>
      </c>
      <c r="I527">
        <v>30.5</v>
      </c>
      <c r="J527">
        <v>18.55</v>
      </c>
      <c r="K527">
        <v>9.7609999999999992</v>
      </c>
      <c r="L527">
        <v>1.8</v>
      </c>
      <c r="M527">
        <v>2.403</v>
      </c>
      <c r="N527">
        <v>0.23499999999999999</v>
      </c>
      <c r="O527">
        <v>2.95</v>
      </c>
      <c r="P527">
        <v>0.81399999999999995</v>
      </c>
    </row>
    <row r="528" spans="1:16" x14ac:dyDescent="0.25">
      <c r="A528" s="1">
        <v>41953</v>
      </c>
      <c r="B528">
        <v>7.55</v>
      </c>
      <c r="C528">
        <v>161.4</v>
      </c>
      <c r="D528">
        <v>3.9289999999999998</v>
      </c>
      <c r="E528">
        <v>9.19</v>
      </c>
      <c r="F528">
        <v>5</v>
      </c>
      <c r="G528">
        <v>1.6</v>
      </c>
      <c r="H528">
        <v>7.44</v>
      </c>
      <c r="I528">
        <v>30.35</v>
      </c>
      <c r="J528">
        <v>18.55</v>
      </c>
      <c r="K528">
        <v>9.8000000000000007</v>
      </c>
      <c r="L528">
        <v>1.83</v>
      </c>
      <c r="M528">
        <v>2.3730000000000002</v>
      </c>
      <c r="N528">
        <v>0.23499999999999999</v>
      </c>
      <c r="O528">
        <v>2.9369999999999998</v>
      </c>
      <c r="P528">
        <v>0.79400000000000004</v>
      </c>
    </row>
    <row r="529" spans="1:16" x14ac:dyDescent="0.25">
      <c r="A529" s="1">
        <v>41954</v>
      </c>
      <c r="B529">
        <v>7.65</v>
      </c>
      <c r="C529">
        <v>161.53</v>
      </c>
      <c r="D529">
        <v>3.9289999999999998</v>
      </c>
      <c r="E529">
        <v>9.68</v>
      </c>
      <c r="F529">
        <v>5.17</v>
      </c>
      <c r="G529">
        <v>1.65</v>
      </c>
      <c r="H529">
        <v>7.4</v>
      </c>
      <c r="I529">
        <v>30</v>
      </c>
      <c r="J529">
        <v>18.55</v>
      </c>
      <c r="K529">
        <v>9.8000000000000007</v>
      </c>
      <c r="L529">
        <v>1.87</v>
      </c>
      <c r="M529">
        <v>2.3530000000000002</v>
      </c>
      <c r="N529">
        <v>0.247</v>
      </c>
      <c r="O529">
        <v>2.9470000000000001</v>
      </c>
      <c r="P529">
        <v>0.79400000000000004</v>
      </c>
    </row>
    <row r="530" spans="1:16" x14ac:dyDescent="0.25">
      <c r="A530" s="1">
        <v>41955</v>
      </c>
      <c r="B530">
        <v>7.6</v>
      </c>
      <c r="C530">
        <v>162.1</v>
      </c>
      <c r="D530">
        <v>3.9289999999999998</v>
      </c>
      <c r="E530">
        <v>9.08</v>
      </c>
      <c r="F530">
        <v>5.17</v>
      </c>
      <c r="G530">
        <v>1.65</v>
      </c>
      <c r="H530">
        <v>7.27</v>
      </c>
      <c r="I530">
        <v>30</v>
      </c>
      <c r="J530">
        <v>18.55</v>
      </c>
      <c r="K530">
        <v>9.85</v>
      </c>
      <c r="L530">
        <v>1.87</v>
      </c>
      <c r="M530">
        <v>2.3530000000000002</v>
      </c>
      <c r="N530">
        <v>0.247</v>
      </c>
      <c r="O530">
        <v>2.9470000000000001</v>
      </c>
      <c r="P530">
        <v>0.77400000000000002</v>
      </c>
    </row>
    <row r="531" spans="1:16" x14ac:dyDescent="0.25">
      <c r="A531" s="1">
        <v>41956</v>
      </c>
      <c r="B531">
        <v>7.6</v>
      </c>
      <c r="C531">
        <v>159.86000000000001</v>
      </c>
      <c r="D531">
        <v>4.75</v>
      </c>
      <c r="E531">
        <v>9</v>
      </c>
      <c r="F531">
        <v>5.05</v>
      </c>
      <c r="G531">
        <v>1.64</v>
      </c>
      <c r="H531">
        <v>7.27</v>
      </c>
      <c r="I531">
        <v>29.98</v>
      </c>
      <c r="J531">
        <v>18.55</v>
      </c>
      <c r="K531">
        <v>9.83</v>
      </c>
      <c r="L531">
        <v>1.88</v>
      </c>
      <c r="M531">
        <v>2.3730000000000002</v>
      </c>
      <c r="N531">
        <v>0.247</v>
      </c>
      <c r="O531">
        <v>2.907</v>
      </c>
      <c r="P531">
        <v>0.77400000000000002</v>
      </c>
    </row>
    <row r="532" spans="1:16" x14ac:dyDescent="0.25">
      <c r="A532" s="1">
        <v>41957</v>
      </c>
      <c r="B532">
        <v>7.6</v>
      </c>
      <c r="C532">
        <v>158.80000000000001</v>
      </c>
      <c r="D532">
        <v>3.8879999999999999</v>
      </c>
      <c r="E532">
        <v>9.14</v>
      </c>
      <c r="F532">
        <v>5.05</v>
      </c>
      <c r="G532">
        <v>1.6</v>
      </c>
      <c r="H532">
        <v>7.2</v>
      </c>
      <c r="I532">
        <v>30</v>
      </c>
      <c r="J532">
        <v>18.649999999999999</v>
      </c>
      <c r="K532">
        <v>9.83</v>
      </c>
      <c r="L532">
        <v>1.9</v>
      </c>
      <c r="M532">
        <v>2.4129999999999998</v>
      </c>
      <c r="N532">
        <v>0.246</v>
      </c>
      <c r="O532">
        <v>2.907</v>
      </c>
      <c r="P532">
        <v>0.78400000000000003</v>
      </c>
    </row>
    <row r="533" spans="1:16" x14ac:dyDescent="0.25">
      <c r="A533" s="1">
        <v>41960</v>
      </c>
      <c r="B533">
        <v>7.6</v>
      </c>
      <c r="C533">
        <v>160.15</v>
      </c>
      <c r="D533">
        <v>3.8879999999999999</v>
      </c>
      <c r="E533">
        <v>9.5</v>
      </c>
      <c r="F533">
        <v>5.15</v>
      </c>
      <c r="G533">
        <v>1.6</v>
      </c>
      <c r="H533">
        <v>7.2</v>
      </c>
      <c r="I533">
        <v>29.5</v>
      </c>
      <c r="J533">
        <v>18.649999999999999</v>
      </c>
      <c r="K533">
        <v>9.83</v>
      </c>
      <c r="L533">
        <v>1.9</v>
      </c>
      <c r="M533">
        <v>2.4129999999999998</v>
      </c>
      <c r="N533">
        <v>0.24199999999999999</v>
      </c>
      <c r="O533">
        <v>2.907</v>
      </c>
      <c r="P533">
        <v>0.76400000000000001</v>
      </c>
    </row>
    <row r="534" spans="1:16" x14ac:dyDescent="0.25">
      <c r="A534" s="1">
        <v>41961</v>
      </c>
      <c r="B534">
        <v>7.6</v>
      </c>
      <c r="C534">
        <v>161.55000000000001</v>
      </c>
      <c r="D534">
        <v>3.8879999999999999</v>
      </c>
      <c r="E534">
        <v>9.6999999999999993</v>
      </c>
      <c r="F534">
        <v>5.0999999999999996</v>
      </c>
      <c r="G534">
        <v>1.58</v>
      </c>
      <c r="H534">
        <v>7.2</v>
      </c>
      <c r="I534">
        <v>29.99</v>
      </c>
      <c r="J534">
        <v>18.7</v>
      </c>
      <c r="K534">
        <v>9.85</v>
      </c>
      <c r="L534">
        <v>1.91</v>
      </c>
      <c r="M534">
        <v>2.403</v>
      </c>
      <c r="N534">
        <v>0.23400000000000001</v>
      </c>
      <c r="O534">
        <v>2.91</v>
      </c>
      <c r="P534">
        <v>0.74399999999999999</v>
      </c>
    </row>
    <row r="535" spans="1:16" x14ac:dyDescent="0.25">
      <c r="A535" s="1">
        <v>41962</v>
      </c>
      <c r="B535">
        <v>7.6</v>
      </c>
      <c r="C535">
        <v>159.25</v>
      </c>
      <c r="D535">
        <v>3.9119999999999999</v>
      </c>
      <c r="E535">
        <v>9.6</v>
      </c>
      <c r="F535">
        <v>5.0999999999999996</v>
      </c>
      <c r="G535">
        <v>1.58</v>
      </c>
      <c r="H535">
        <v>7.25</v>
      </c>
      <c r="I535">
        <v>29.99</v>
      </c>
      <c r="J535">
        <v>18.7</v>
      </c>
      <c r="K535">
        <v>9.85</v>
      </c>
      <c r="L535">
        <v>1.92</v>
      </c>
      <c r="M535">
        <v>2.403</v>
      </c>
      <c r="N535">
        <v>0.22</v>
      </c>
      <c r="O535">
        <v>2.9</v>
      </c>
      <c r="P535">
        <v>0.73399999999999999</v>
      </c>
    </row>
    <row r="536" spans="1:16" x14ac:dyDescent="0.25">
      <c r="A536" s="1">
        <v>41963</v>
      </c>
      <c r="B536">
        <v>7.62</v>
      </c>
      <c r="C536">
        <v>160.52000000000001</v>
      </c>
      <c r="D536">
        <v>3.9119999999999999</v>
      </c>
      <c r="E536">
        <v>9.3000000000000007</v>
      </c>
      <c r="F536">
        <v>5.08</v>
      </c>
      <c r="G536">
        <v>1.58</v>
      </c>
      <c r="H536">
        <v>7.25</v>
      </c>
      <c r="I536">
        <v>30</v>
      </c>
      <c r="J536">
        <v>18.7</v>
      </c>
      <c r="K536">
        <v>9.86</v>
      </c>
      <c r="L536">
        <v>1.92</v>
      </c>
      <c r="M536">
        <v>2.4129999999999998</v>
      </c>
      <c r="N536">
        <v>0.23</v>
      </c>
      <c r="O536">
        <v>2.92</v>
      </c>
      <c r="P536">
        <v>0.74399999999999999</v>
      </c>
    </row>
    <row r="537" spans="1:16" x14ac:dyDescent="0.25">
      <c r="A537" s="1">
        <v>41964</v>
      </c>
      <c r="B537">
        <v>7.65</v>
      </c>
      <c r="C537">
        <v>167.15</v>
      </c>
      <c r="D537">
        <v>3.8879999999999999</v>
      </c>
      <c r="E537">
        <v>10</v>
      </c>
      <c r="F537">
        <v>5.12</v>
      </c>
      <c r="G537">
        <v>1.59</v>
      </c>
      <c r="H537">
        <v>7.22</v>
      </c>
      <c r="I537">
        <v>29.99</v>
      </c>
      <c r="J537">
        <v>18.75</v>
      </c>
      <c r="K537">
        <v>9.86</v>
      </c>
      <c r="L537">
        <v>1.95</v>
      </c>
      <c r="M537">
        <v>2.472</v>
      </c>
      <c r="N537">
        <v>0.23</v>
      </c>
      <c r="O537">
        <v>2.9</v>
      </c>
      <c r="P537">
        <v>0.78400000000000003</v>
      </c>
    </row>
    <row r="538" spans="1:16" x14ac:dyDescent="0.25">
      <c r="A538" s="1">
        <v>41967</v>
      </c>
      <c r="B538">
        <v>7.61</v>
      </c>
      <c r="C538">
        <v>167.25</v>
      </c>
      <c r="D538">
        <v>3.8879999999999999</v>
      </c>
      <c r="E538">
        <v>10.32</v>
      </c>
      <c r="F538">
        <v>5</v>
      </c>
      <c r="G538">
        <v>1.59</v>
      </c>
      <c r="H538">
        <v>7.32</v>
      </c>
      <c r="I538">
        <v>30</v>
      </c>
      <c r="J538">
        <v>18.75</v>
      </c>
      <c r="K538">
        <v>9.8800000000000008</v>
      </c>
      <c r="L538">
        <v>1.94</v>
      </c>
      <c r="M538">
        <v>2.472</v>
      </c>
      <c r="N538">
        <v>0.25</v>
      </c>
      <c r="O538">
        <v>2.9</v>
      </c>
      <c r="P538">
        <v>0.77400000000000002</v>
      </c>
    </row>
    <row r="539" spans="1:16" x14ac:dyDescent="0.25">
      <c r="A539" s="1">
        <v>41968</v>
      </c>
      <c r="B539">
        <v>7.75</v>
      </c>
      <c r="C539">
        <v>167</v>
      </c>
      <c r="D539">
        <v>3.8879999999999999</v>
      </c>
      <c r="E539">
        <v>10.1</v>
      </c>
      <c r="F539">
        <v>4.96</v>
      </c>
      <c r="G539">
        <v>1.58</v>
      </c>
      <c r="H539">
        <v>7.5</v>
      </c>
      <c r="I539">
        <v>30</v>
      </c>
      <c r="J539">
        <v>19.13</v>
      </c>
      <c r="K539">
        <v>9.75</v>
      </c>
      <c r="L539">
        <v>1.94</v>
      </c>
      <c r="M539">
        <v>2.3730000000000002</v>
      </c>
      <c r="N539">
        <v>0.24399999999999999</v>
      </c>
      <c r="O539">
        <v>2.85</v>
      </c>
      <c r="P539">
        <v>0.78400000000000003</v>
      </c>
    </row>
    <row r="540" spans="1:16" x14ac:dyDescent="0.25">
      <c r="A540" s="1">
        <v>41969</v>
      </c>
      <c r="B540">
        <v>7.55</v>
      </c>
      <c r="C540">
        <v>169.67</v>
      </c>
      <c r="D540">
        <v>3.8879999999999999</v>
      </c>
      <c r="E540">
        <v>10.1</v>
      </c>
      <c r="F540">
        <v>4.95</v>
      </c>
      <c r="G540">
        <v>1.58</v>
      </c>
      <c r="H540">
        <v>7.64</v>
      </c>
      <c r="I540">
        <v>29.9</v>
      </c>
      <c r="J540">
        <v>19.13</v>
      </c>
      <c r="K540">
        <v>9.85</v>
      </c>
      <c r="L540">
        <v>1.94</v>
      </c>
      <c r="M540">
        <v>2.403</v>
      </c>
      <c r="N540">
        <v>0.24399999999999999</v>
      </c>
      <c r="O540">
        <v>2.88</v>
      </c>
      <c r="P540">
        <v>0.79400000000000004</v>
      </c>
    </row>
    <row r="541" spans="1:16" x14ac:dyDescent="0.25">
      <c r="A541" s="1">
        <v>41970</v>
      </c>
      <c r="B541">
        <v>7.58</v>
      </c>
      <c r="C541">
        <v>169.67</v>
      </c>
      <c r="D541">
        <v>3.9039999999999999</v>
      </c>
      <c r="E541">
        <v>9.9</v>
      </c>
      <c r="F541">
        <v>5.05</v>
      </c>
      <c r="G541">
        <v>1.6</v>
      </c>
      <c r="H541">
        <v>7.57</v>
      </c>
      <c r="I541">
        <v>29.9</v>
      </c>
      <c r="J541">
        <v>19.350000000000001</v>
      </c>
      <c r="K541">
        <v>9.8800000000000008</v>
      </c>
      <c r="L541">
        <v>1.94</v>
      </c>
      <c r="M541">
        <v>2.403</v>
      </c>
      <c r="N541">
        <v>0.24</v>
      </c>
      <c r="O541">
        <v>2.88</v>
      </c>
      <c r="P541">
        <v>0.78400000000000003</v>
      </c>
    </row>
    <row r="542" spans="1:16" x14ac:dyDescent="0.25">
      <c r="A542" s="1">
        <v>41971</v>
      </c>
      <c r="B542">
        <v>7.44</v>
      </c>
      <c r="C542">
        <v>167.44</v>
      </c>
      <c r="D542">
        <v>3.9039999999999999</v>
      </c>
      <c r="E542">
        <v>9.5500000000000007</v>
      </c>
      <c r="F542">
        <v>5.08</v>
      </c>
      <c r="G542">
        <v>1.6</v>
      </c>
      <c r="H542">
        <v>7.7</v>
      </c>
      <c r="I542">
        <v>29.95</v>
      </c>
      <c r="J542">
        <v>19.350000000000001</v>
      </c>
      <c r="K542">
        <v>9.91</v>
      </c>
      <c r="L542">
        <v>1.94</v>
      </c>
      <c r="M542">
        <v>2.423</v>
      </c>
      <c r="N542">
        <v>0.23699999999999999</v>
      </c>
      <c r="O542">
        <v>2.9</v>
      </c>
      <c r="P542">
        <v>0.77400000000000002</v>
      </c>
    </row>
    <row r="543" spans="1:16" x14ac:dyDescent="0.25">
      <c r="A543" s="1">
        <v>41974</v>
      </c>
      <c r="B543">
        <v>7.4</v>
      </c>
      <c r="C543">
        <v>164.25</v>
      </c>
      <c r="D543">
        <v>3.9039999999999999</v>
      </c>
      <c r="E543">
        <v>10.5</v>
      </c>
      <c r="F543">
        <v>5.04</v>
      </c>
      <c r="G543">
        <v>1.61</v>
      </c>
      <c r="H543">
        <v>7.55</v>
      </c>
      <c r="I543">
        <v>29.99</v>
      </c>
      <c r="J543">
        <v>19.350000000000001</v>
      </c>
      <c r="K543">
        <v>10</v>
      </c>
      <c r="L543">
        <v>1.95</v>
      </c>
      <c r="M543">
        <v>2.383</v>
      </c>
      <c r="N543">
        <v>0.23499999999999999</v>
      </c>
      <c r="O543">
        <v>2.93</v>
      </c>
      <c r="P543">
        <v>0.81399999999999995</v>
      </c>
    </row>
    <row r="544" spans="1:16" x14ac:dyDescent="0.25">
      <c r="A544" s="1">
        <v>41975</v>
      </c>
      <c r="B544">
        <v>7.4</v>
      </c>
      <c r="C544">
        <v>166.5</v>
      </c>
      <c r="D544">
        <v>3.88</v>
      </c>
      <c r="E544">
        <v>10.3</v>
      </c>
      <c r="F544">
        <v>5.04</v>
      </c>
      <c r="G544">
        <v>1.57</v>
      </c>
      <c r="H544">
        <v>7.5</v>
      </c>
      <c r="I544">
        <v>29.99</v>
      </c>
      <c r="J544">
        <v>19.399999999999999</v>
      </c>
      <c r="K544">
        <v>10</v>
      </c>
      <c r="L544">
        <v>1.95</v>
      </c>
      <c r="M544">
        <v>2.3340000000000001</v>
      </c>
      <c r="N544">
        <v>0.23499999999999999</v>
      </c>
      <c r="O544">
        <v>2.92</v>
      </c>
      <c r="P544">
        <v>0.77400000000000002</v>
      </c>
    </row>
    <row r="545" spans="1:16" x14ac:dyDescent="0.25">
      <c r="A545" s="1">
        <v>41976</v>
      </c>
      <c r="B545">
        <v>7.4</v>
      </c>
      <c r="C545">
        <v>169.5</v>
      </c>
      <c r="D545">
        <v>3.8879999999999999</v>
      </c>
      <c r="E545">
        <v>10.42</v>
      </c>
      <c r="F545">
        <v>5.04</v>
      </c>
      <c r="G545">
        <v>1.58</v>
      </c>
      <c r="H545">
        <v>7.49</v>
      </c>
      <c r="I545">
        <v>30</v>
      </c>
      <c r="J545">
        <v>19.39</v>
      </c>
      <c r="K545">
        <v>10.07</v>
      </c>
      <c r="L545">
        <v>1.97</v>
      </c>
      <c r="M545">
        <v>2.363</v>
      </c>
      <c r="N545">
        <v>0.23</v>
      </c>
      <c r="O545">
        <v>2.98</v>
      </c>
      <c r="P545">
        <v>0.77400000000000002</v>
      </c>
    </row>
    <row r="546" spans="1:16" x14ac:dyDescent="0.25">
      <c r="A546" s="1">
        <v>41977</v>
      </c>
      <c r="B546">
        <v>7.4</v>
      </c>
      <c r="C546">
        <v>168.33</v>
      </c>
      <c r="D546">
        <v>3.8879999999999999</v>
      </c>
      <c r="E546">
        <v>10.199999999999999</v>
      </c>
      <c r="F546">
        <v>5.09</v>
      </c>
      <c r="G546">
        <v>1.57</v>
      </c>
      <c r="H546">
        <v>7.38</v>
      </c>
      <c r="I546">
        <v>29.9</v>
      </c>
      <c r="J546">
        <v>19.39</v>
      </c>
      <c r="K546">
        <v>10.08</v>
      </c>
      <c r="L546">
        <v>1.97</v>
      </c>
      <c r="M546">
        <v>2.3929999999999998</v>
      </c>
      <c r="N546">
        <v>0.22</v>
      </c>
      <c r="O546">
        <v>2.97</v>
      </c>
      <c r="P546">
        <v>0.754</v>
      </c>
    </row>
    <row r="547" spans="1:16" x14ac:dyDescent="0.25">
      <c r="A547" s="1">
        <v>41978</v>
      </c>
      <c r="B547">
        <v>7.28</v>
      </c>
      <c r="C547">
        <v>169.2</v>
      </c>
      <c r="D547">
        <v>3.871</v>
      </c>
      <c r="E547">
        <v>10.1</v>
      </c>
      <c r="F547">
        <v>5.2</v>
      </c>
      <c r="G547">
        <v>1.58</v>
      </c>
      <c r="H547">
        <v>7.35</v>
      </c>
      <c r="I547">
        <v>29.89</v>
      </c>
      <c r="J547">
        <v>19.25</v>
      </c>
      <c r="K547">
        <v>10.08</v>
      </c>
      <c r="L547">
        <v>1.92</v>
      </c>
      <c r="M547">
        <v>2.383</v>
      </c>
      <c r="N547">
        <v>0.20300000000000001</v>
      </c>
      <c r="O547">
        <v>3</v>
      </c>
      <c r="P547">
        <v>0.74399999999999999</v>
      </c>
    </row>
    <row r="548" spans="1:16" x14ac:dyDescent="0.25">
      <c r="A548" s="1">
        <v>41982</v>
      </c>
      <c r="B548">
        <v>7.31</v>
      </c>
      <c r="C548">
        <v>169.47</v>
      </c>
      <c r="D548">
        <v>4.6500000000000004</v>
      </c>
      <c r="E548">
        <v>10.6</v>
      </c>
      <c r="F548">
        <v>5.21</v>
      </c>
      <c r="G548">
        <v>1.55</v>
      </c>
      <c r="H548">
        <v>7.35</v>
      </c>
      <c r="I548">
        <v>29.88</v>
      </c>
      <c r="J548">
        <v>19.2</v>
      </c>
      <c r="K548">
        <v>10.33</v>
      </c>
      <c r="L548">
        <v>1.83</v>
      </c>
      <c r="M548">
        <v>2.3929999999999998</v>
      </c>
      <c r="N548">
        <v>0.19</v>
      </c>
      <c r="O548">
        <v>3</v>
      </c>
      <c r="P548">
        <v>0.78400000000000003</v>
      </c>
    </row>
    <row r="549" spans="1:16" x14ac:dyDescent="0.25">
      <c r="A549" s="1">
        <v>41983</v>
      </c>
      <c r="B549">
        <v>7.31</v>
      </c>
      <c r="C549">
        <v>166.5</v>
      </c>
      <c r="D549">
        <v>3.9289999999999998</v>
      </c>
      <c r="E549">
        <v>10.199999999999999</v>
      </c>
      <c r="F549">
        <v>5.25</v>
      </c>
      <c r="G549">
        <v>1.58</v>
      </c>
      <c r="H549">
        <v>7.3</v>
      </c>
      <c r="I549">
        <v>29.85</v>
      </c>
      <c r="J549">
        <v>19</v>
      </c>
      <c r="K549">
        <v>11.75</v>
      </c>
      <c r="L549">
        <v>1.82</v>
      </c>
      <c r="M549">
        <v>2.403</v>
      </c>
      <c r="N549">
        <v>0.19500000000000001</v>
      </c>
      <c r="O549">
        <v>2.99</v>
      </c>
      <c r="P549">
        <v>0.77400000000000002</v>
      </c>
    </row>
    <row r="550" spans="1:16" x14ac:dyDescent="0.25">
      <c r="A550" s="1">
        <v>41984</v>
      </c>
      <c r="B550">
        <v>7.2</v>
      </c>
      <c r="C550">
        <v>160.19999999999999</v>
      </c>
      <c r="D550">
        <v>3.8959999999999999</v>
      </c>
      <c r="E550">
        <v>10.029999999999999</v>
      </c>
      <c r="F550">
        <v>5.3</v>
      </c>
      <c r="G550">
        <v>1.58</v>
      </c>
      <c r="H550">
        <v>7.35</v>
      </c>
      <c r="I550">
        <v>29.48</v>
      </c>
      <c r="J550">
        <v>18.989999999999998</v>
      </c>
      <c r="K550">
        <v>11.75</v>
      </c>
      <c r="L550">
        <v>1.85</v>
      </c>
      <c r="M550">
        <v>2.3239999999999998</v>
      </c>
      <c r="N550">
        <v>0.191</v>
      </c>
      <c r="O550">
        <v>2.99</v>
      </c>
      <c r="P550">
        <v>0.79400000000000004</v>
      </c>
    </row>
    <row r="551" spans="1:16" x14ac:dyDescent="0.25">
      <c r="A551" s="1">
        <v>41985</v>
      </c>
      <c r="B551">
        <v>7.2</v>
      </c>
      <c r="C551">
        <v>155.30000000000001</v>
      </c>
      <c r="D551">
        <v>3.7240000000000002</v>
      </c>
      <c r="E551">
        <v>9.75</v>
      </c>
      <c r="F551">
        <v>5.23</v>
      </c>
      <c r="G551">
        <v>1.55</v>
      </c>
      <c r="H551">
        <v>7.2</v>
      </c>
      <c r="I551">
        <v>29.25</v>
      </c>
      <c r="J551">
        <v>18.7</v>
      </c>
      <c r="K551">
        <v>11</v>
      </c>
      <c r="L551">
        <v>1.88</v>
      </c>
      <c r="M551">
        <v>2.3239999999999998</v>
      </c>
      <c r="N551">
        <v>0.189</v>
      </c>
      <c r="O551">
        <v>2.95</v>
      </c>
      <c r="P551">
        <v>0.79400000000000004</v>
      </c>
    </row>
    <row r="552" spans="1:16" x14ac:dyDescent="0.25">
      <c r="A552" s="1">
        <v>41988</v>
      </c>
      <c r="B552">
        <v>7.06</v>
      </c>
      <c r="C552">
        <v>152.96</v>
      </c>
      <c r="D552">
        <v>3.74</v>
      </c>
      <c r="E552">
        <v>9.6</v>
      </c>
      <c r="F552">
        <v>5.2</v>
      </c>
      <c r="G552">
        <v>1.54</v>
      </c>
      <c r="H552">
        <v>7.15</v>
      </c>
      <c r="I552">
        <v>28.75</v>
      </c>
      <c r="J552">
        <v>18.7</v>
      </c>
      <c r="K552">
        <v>10.5</v>
      </c>
      <c r="L552">
        <v>1.87</v>
      </c>
      <c r="M552">
        <v>2.3239999999999998</v>
      </c>
      <c r="N552">
        <v>0.187</v>
      </c>
      <c r="O552">
        <v>2.95</v>
      </c>
      <c r="P552">
        <v>0.74399999999999999</v>
      </c>
    </row>
    <row r="553" spans="1:16" x14ac:dyDescent="0.25">
      <c r="A553" s="1">
        <v>41989</v>
      </c>
      <c r="B553">
        <v>7.12</v>
      </c>
      <c r="C553">
        <v>152</v>
      </c>
      <c r="D553">
        <v>3.6829999999999998</v>
      </c>
      <c r="E553">
        <v>9.0500000000000007</v>
      </c>
      <c r="F553">
        <v>5.12</v>
      </c>
      <c r="G553">
        <v>1.5</v>
      </c>
      <c r="H553">
        <v>6.9</v>
      </c>
      <c r="I553">
        <v>28.3</v>
      </c>
      <c r="J553">
        <v>18.25</v>
      </c>
      <c r="K553">
        <v>10.5</v>
      </c>
      <c r="L553">
        <v>1.81</v>
      </c>
      <c r="M553">
        <v>2.3039999999999998</v>
      </c>
      <c r="N553">
        <v>0.17699999999999999</v>
      </c>
      <c r="O553">
        <v>2.93</v>
      </c>
      <c r="P553">
        <v>0.71499999999999997</v>
      </c>
    </row>
    <row r="554" spans="1:16" x14ac:dyDescent="0.25">
      <c r="A554" s="1">
        <v>41990</v>
      </c>
      <c r="B554">
        <v>7.01</v>
      </c>
      <c r="C554">
        <v>158.1</v>
      </c>
      <c r="D554">
        <v>3.6829999999999998</v>
      </c>
      <c r="E554">
        <v>9.1</v>
      </c>
      <c r="F554">
        <v>5.17</v>
      </c>
      <c r="G554">
        <v>1.48</v>
      </c>
      <c r="H554">
        <v>7.06</v>
      </c>
      <c r="I554">
        <v>29</v>
      </c>
      <c r="J554">
        <v>18.100000000000001</v>
      </c>
      <c r="K554">
        <v>10.51</v>
      </c>
      <c r="L554">
        <v>1.82</v>
      </c>
      <c r="M554">
        <v>2.3039999999999998</v>
      </c>
      <c r="N554">
        <v>0.17499999999999999</v>
      </c>
      <c r="O554">
        <v>2.93</v>
      </c>
      <c r="P554">
        <v>0.71499999999999997</v>
      </c>
    </row>
    <row r="555" spans="1:16" x14ac:dyDescent="0.25">
      <c r="A555" s="1">
        <v>41991</v>
      </c>
      <c r="B555">
        <v>7.15</v>
      </c>
      <c r="C555">
        <v>162</v>
      </c>
      <c r="D555">
        <v>3.7</v>
      </c>
      <c r="E555">
        <v>9.75</v>
      </c>
      <c r="F555">
        <v>5.28</v>
      </c>
      <c r="G555">
        <v>1.53</v>
      </c>
      <c r="H555">
        <v>7.2</v>
      </c>
      <c r="I555">
        <v>29.01</v>
      </c>
      <c r="J555">
        <v>17.84</v>
      </c>
      <c r="K555">
        <v>10.65</v>
      </c>
      <c r="L555">
        <v>1.82</v>
      </c>
      <c r="M555">
        <v>2.3039999999999998</v>
      </c>
      <c r="N555">
        <v>0.17499999999999999</v>
      </c>
      <c r="O555">
        <v>2.93</v>
      </c>
      <c r="P555">
        <v>0.72499999999999998</v>
      </c>
    </row>
    <row r="556" spans="1:16" x14ac:dyDescent="0.25">
      <c r="A556" s="1">
        <v>41992</v>
      </c>
      <c r="B556">
        <v>7.16</v>
      </c>
      <c r="C556">
        <v>159.69999999999999</v>
      </c>
      <c r="D556">
        <v>3.7080000000000002</v>
      </c>
      <c r="E556">
        <v>9.4</v>
      </c>
      <c r="F556">
        <v>5.37</v>
      </c>
      <c r="G556">
        <v>1.55</v>
      </c>
      <c r="H556">
        <v>7.24</v>
      </c>
      <c r="I556">
        <v>28.17</v>
      </c>
      <c r="J556">
        <v>18.100000000000001</v>
      </c>
      <c r="K556">
        <v>10.67</v>
      </c>
      <c r="L556">
        <v>1.82</v>
      </c>
      <c r="M556">
        <v>2.3039999999999998</v>
      </c>
      <c r="N556">
        <v>0.18</v>
      </c>
      <c r="O556">
        <v>2.93</v>
      </c>
      <c r="P556">
        <v>0.72499999999999998</v>
      </c>
    </row>
    <row r="557" spans="1:16" x14ac:dyDescent="0.25">
      <c r="A557" s="1">
        <v>41995</v>
      </c>
      <c r="B557">
        <v>7.04</v>
      </c>
      <c r="C557">
        <v>159.69999999999999</v>
      </c>
      <c r="D557">
        <v>3.7650000000000001</v>
      </c>
      <c r="E557">
        <v>9.17</v>
      </c>
      <c r="F557">
        <v>5.39</v>
      </c>
      <c r="G557">
        <v>1.56</v>
      </c>
      <c r="H557">
        <v>7.24</v>
      </c>
      <c r="I557">
        <v>29</v>
      </c>
      <c r="J557">
        <v>18.09</v>
      </c>
      <c r="K557">
        <v>10.71</v>
      </c>
      <c r="L557">
        <v>1.82</v>
      </c>
      <c r="M557">
        <v>2.3730000000000002</v>
      </c>
      <c r="N557">
        <v>0.19600000000000001</v>
      </c>
      <c r="O557">
        <v>2.95</v>
      </c>
      <c r="P557">
        <v>0.72499999999999998</v>
      </c>
    </row>
    <row r="558" spans="1:16" x14ac:dyDescent="0.25">
      <c r="A558" s="1">
        <v>41996</v>
      </c>
      <c r="B558">
        <v>7.25</v>
      </c>
      <c r="C558">
        <v>162.1</v>
      </c>
      <c r="D558">
        <v>3.806</v>
      </c>
      <c r="E558">
        <v>9</v>
      </c>
      <c r="F558">
        <v>5.33</v>
      </c>
      <c r="G558">
        <v>1.56</v>
      </c>
      <c r="H558">
        <v>7.2</v>
      </c>
      <c r="I558">
        <v>29.25</v>
      </c>
      <c r="J558">
        <v>18.100000000000001</v>
      </c>
      <c r="K558">
        <v>10.73</v>
      </c>
      <c r="L558">
        <v>1.79</v>
      </c>
      <c r="M558">
        <v>2.3730000000000002</v>
      </c>
      <c r="N558">
        <v>0.20499999999999999</v>
      </c>
      <c r="O558">
        <v>2.95</v>
      </c>
      <c r="P558">
        <v>0.72499999999999998</v>
      </c>
    </row>
    <row r="559" spans="1:16" x14ac:dyDescent="0.25">
      <c r="A559" s="1">
        <v>41997</v>
      </c>
      <c r="B559">
        <v>7.25</v>
      </c>
      <c r="C559">
        <v>160.5</v>
      </c>
      <c r="D559">
        <v>3.806</v>
      </c>
      <c r="E559">
        <v>9.1</v>
      </c>
      <c r="F559">
        <v>5.33</v>
      </c>
      <c r="G559">
        <v>1.56</v>
      </c>
      <c r="H559">
        <v>7.2</v>
      </c>
      <c r="I559">
        <v>29.25</v>
      </c>
      <c r="J559">
        <v>18.100000000000001</v>
      </c>
      <c r="K559">
        <v>10.74</v>
      </c>
      <c r="L559">
        <v>1.79</v>
      </c>
      <c r="M559">
        <v>2.3730000000000002</v>
      </c>
      <c r="N559">
        <v>0.20499999999999999</v>
      </c>
      <c r="O559">
        <v>2.95</v>
      </c>
      <c r="P559">
        <v>0.72499999999999998</v>
      </c>
    </row>
    <row r="560" spans="1:16" x14ac:dyDescent="0.25">
      <c r="A560" s="1">
        <v>41999</v>
      </c>
      <c r="B560">
        <v>7.35</v>
      </c>
      <c r="C560">
        <v>163.6</v>
      </c>
      <c r="D560">
        <v>3.806</v>
      </c>
      <c r="E560">
        <v>9.5399999999999991</v>
      </c>
      <c r="F560">
        <v>5.28</v>
      </c>
      <c r="G560">
        <v>1.55</v>
      </c>
      <c r="H560">
        <v>7.2</v>
      </c>
      <c r="I560">
        <v>29.6</v>
      </c>
      <c r="J560">
        <v>18.100000000000001</v>
      </c>
      <c r="K560">
        <v>10.78</v>
      </c>
      <c r="L560">
        <v>1.8</v>
      </c>
      <c r="M560">
        <v>2.3730000000000002</v>
      </c>
      <c r="N560">
        <v>0.21299999999999999</v>
      </c>
      <c r="O560">
        <v>3</v>
      </c>
      <c r="P560">
        <v>0.72499999999999998</v>
      </c>
    </row>
    <row r="561" spans="1:16" x14ac:dyDescent="0.25">
      <c r="A561" s="1">
        <v>42002</v>
      </c>
      <c r="B561">
        <v>7.1</v>
      </c>
      <c r="C561">
        <v>163.35</v>
      </c>
      <c r="D561">
        <v>3.7890000000000001</v>
      </c>
      <c r="E561">
        <v>9.3000000000000007</v>
      </c>
      <c r="F561">
        <v>5.25</v>
      </c>
      <c r="G561">
        <v>1.57</v>
      </c>
      <c r="H561">
        <v>7.1</v>
      </c>
      <c r="I561">
        <v>29.95</v>
      </c>
      <c r="J561">
        <v>18.399999999999999</v>
      </c>
      <c r="K561">
        <v>10.83</v>
      </c>
      <c r="L561">
        <v>1.78</v>
      </c>
      <c r="M561">
        <v>2.423</v>
      </c>
      <c r="N561">
        <v>0.2</v>
      </c>
      <c r="O561">
        <v>2.95</v>
      </c>
      <c r="P561">
        <v>0.70499999999999996</v>
      </c>
    </row>
    <row r="562" spans="1:16" x14ac:dyDescent="0.25">
      <c r="A562" s="1">
        <v>42003</v>
      </c>
      <c r="B562">
        <v>7.11</v>
      </c>
      <c r="C562">
        <v>160.4</v>
      </c>
      <c r="D562">
        <v>3.7890000000000001</v>
      </c>
      <c r="E562">
        <v>9.6999999999999993</v>
      </c>
      <c r="F562">
        <v>5.25</v>
      </c>
      <c r="G562">
        <v>1.59</v>
      </c>
      <c r="H562">
        <v>7.26</v>
      </c>
      <c r="I562">
        <v>29.99</v>
      </c>
      <c r="J562">
        <v>18.399999999999999</v>
      </c>
      <c r="K562">
        <v>10.83</v>
      </c>
      <c r="L562">
        <v>1.78</v>
      </c>
      <c r="M562">
        <v>2.4129999999999998</v>
      </c>
      <c r="N562">
        <v>0.21299999999999999</v>
      </c>
      <c r="O562">
        <v>2.9</v>
      </c>
      <c r="P562">
        <v>0.72499999999999998</v>
      </c>
    </row>
    <row r="563" spans="1:16" x14ac:dyDescent="0.25">
      <c r="A563" s="1">
        <v>42004</v>
      </c>
      <c r="B563">
        <v>7.11</v>
      </c>
      <c r="C563">
        <v>160.4</v>
      </c>
      <c r="D563">
        <v>3.806</v>
      </c>
      <c r="E563">
        <v>9.4</v>
      </c>
      <c r="F563">
        <v>5.3</v>
      </c>
      <c r="G563">
        <v>1.62</v>
      </c>
      <c r="H563">
        <v>7.26</v>
      </c>
      <c r="I563">
        <v>30.4</v>
      </c>
      <c r="J563">
        <v>18.399999999999999</v>
      </c>
      <c r="K563">
        <v>10.83</v>
      </c>
      <c r="L563">
        <v>1.8</v>
      </c>
      <c r="M563">
        <v>2.4620000000000002</v>
      </c>
      <c r="N563">
        <v>0.21</v>
      </c>
      <c r="O563">
        <v>2.93</v>
      </c>
      <c r="P563">
        <v>0.71499999999999997</v>
      </c>
    </row>
    <row r="564" spans="1:16" x14ac:dyDescent="0.25">
      <c r="A564" s="1">
        <v>42009</v>
      </c>
      <c r="B564">
        <v>7.17</v>
      </c>
      <c r="C564">
        <v>155.30000000000001</v>
      </c>
      <c r="D564">
        <v>3.7240000000000002</v>
      </c>
      <c r="E564">
        <v>10.16</v>
      </c>
      <c r="F564">
        <v>5.15</v>
      </c>
      <c r="G564">
        <v>1.58</v>
      </c>
      <c r="H564">
        <v>7.3</v>
      </c>
      <c r="I564">
        <v>29.5</v>
      </c>
      <c r="J564">
        <v>18.05</v>
      </c>
      <c r="K564">
        <v>10.83</v>
      </c>
      <c r="L564">
        <v>1.75</v>
      </c>
      <c r="M564">
        <v>2.3239999999999998</v>
      </c>
      <c r="N564">
        <v>0.20499999999999999</v>
      </c>
      <c r="O564">
        <v>2.85</v>
      </c>
      <c r="P564">
        <v>0.70499999999999996</v>
      </c>
    </row>
    <row r="565" spans="1:16" x14ac:dyDescent="0.25">
      <c r="A565" s="1">
        <v>42010</v>
      </c>
      <c r="B565">
        <v>7.17</v>
      </c>
      <c r="C565">
        <v>154.69999999999999</v>
      </c>
      <c r="D565">
        <v>3.6829999999999998</v>
      </c>
      <c r="E565">
        <v>10.7</v>
      </c>
      <c r="F565">
        <v>5</v>
      </c>
      <c r="G565">
        <v>1.52</v>
      </c>
      <c r="H565">
        <v>7.3</v>
      </c>
      <c r="I565">
        <v>29.25</v>
      </c>
      <c r="J565">
        <v>17.8</v>
      </c>
      <c r="K565">
        <v>10.85</v>
      </c>
      <c r="L565">
        <v>1.7</v>
      </c>
      <c r="M565">
        <v>2.3039999999999998</v>
      </c>
      <c r="N565">
        <v>0.20499999999999999</v>
      </c>
      <c r="O565">
        <v>2.8</v>
      </c>
      <c r="P565">
        <v>0.70499999999999996</v>
      </c>
    </row>
    <row r="566" spans="1:16" x14ac:dyDescent="0.25">
      <c r="A566" s="1">
        <v>42011</v>
      </c>
      <c r="B566">
        <v>7.17</v>
      </c>
      <c r="C566">
        <v>156.25</v>
      </c>
      <c r="D566">
        <v>3.6669999999999998</v>
      </c>
      <c r="E566">
        <v>10.5</v>
      </c>
      <c r="F566">
        <v>5.17</v>
      </c>
      <c r="G566">
        <v>1.54</v>
      </c>
      <c r="H566">
        <v>7.25</v>
      </c>
      <c r="I566">
        <v>29.5</v>
      </c>
      <c r="J566">
        <v>17.5</v>
      </c>
      <c r="K566">
        <v>10.85</v>
      </c>
      <c r="L566">
        <v>1.69</v>
      </c>
      <c r="M566">
        <v>2.3039999999999998</v>
      </c>
      <c r="N566">
        <v>0.20499999999999999</v>
      </c>
      <c r="O566">
        <v>2.7850000000000001</v>
      </c>
      <c r="P566">
        <v>0.69499999999999995</v>
      </c>
    </row>
    <row r="567" spans="1:16" x14ac:dyDescent="0.25">
      <c r="A567" s="1">
        <v>42012</v>
      </c>
      <c r="B567">
        <v>7.17</v>
      </c>
      <c r="C567">
        <v>157.5</v>
      </c>
      <c r="D567">
        <v>3.6669999999999998</v>
      </c>
      <c r="E567">
        <v>10.7</v>
      </c>
      <c r="F567">
        <v>5.0199999999999996</v>
      </c>
      <c r="G567">
        <v>1.54</v>
      </c>
      <c r="H567">
        <v>7.27</v>
      </c>
      <c r="I567">
        <v>29.2</v>
      </c>
      <c r="J567">
        <v>16.940000000000001</v>
      </c>
      <c r="K567">
        <v>10.85</v>
      </c>
      <c r="L567">
        <v>1.7</v>
      </c>
      <c r="M567">
        <v>2.274</v>
      </c>
      <c r="N567">
        <v>0.21</v>
      </c>
      <c r="O567">
        <v>2.7850000000000001</v>
      </c>
      <c r="P567">
        <v>0.69499999999999995</v>
      </c>
    </row>
    <row r="568" spans="1:16" x14ac:dyDescent="0.25">
      <c r="A568" s="1">
        <v>42013</v>
      </c>
      <c r="B568">
        <v>7.02</v>
      </c>
      <c r="C568">
        <v>156.19999999999999</v>
      </c>
      <c r="D568">
        <v>3.6669999999999998</v>
      </c>
      <c r="E568">
        <v>11</v>
      </c>
      <c r="F568">
        <v>5.01</v>
      </c>
      <c r="G568">
        <v>1.52</v>
      </c>
      <c r="H568">
        <v>7.27</v>
      </c>
      <c r="I568">
        <v>29.23</v>
      </c>
      <c r="J568">
        <v>16.93</v>
      </c>
      <c r="K568">
        <v>10.87</v>
      </c>
      <c r="L568">
        <v>1.67</v>
      </c>
      <c r="M568">
        <v>2.274</v>
      </c>
      <c r="N568">
        <v>0.20499999999999999</v>
      </c>
      <c r="O568">
        <v>2.7850000000000001</v>
      </c>
      <c r="P568">
        <v>0.69</v>
      </c>
    </row>
    <row r="569" spans="1:16" x14ac:dyDescent="0.25">
      <c r="A569" s="1">
        <v>42016</v>
      </c>
      <c r="B569">
        <v>7.06</v>
      </c>
      <c r="C569">
        <v>152</v>
      </c>
      <c r="D569">
        <v>3.6669999999999998</v>
      </c>
      <c r="E569">
        <v>11.56</v>
      </c>
      <c r="F569">
        <v>5.01</v>
      </c>
      <c r="G569">
        <v>1.5</v>
      </c>
      <c r="H569">
        <v>7.15</v>
      </c>
      <c r="I569">
        <v>29.45</v>
      </c>
      <c r="J569">
        <v>16.93</v>
      </c>
      <c r="K569">
        <v>10.9</v>
      </c>
      <c r="L569">
        <v>1.68</v>
      </c>
      <c r="M569">
        <v>2.274</v>
      </c>
      <c r="N569">
        <v>0.20499999999999999</v>
      </c>
      <c r="O569">
        <v>2.746</v>
      </c>
      <c r="P569">
        <v>0.67</v>
      </c>
    </row>
    <row r="570" spans="1:16" x14ac:dyDescent="0.25">
      <c r="A570" s="1">
        <v>42017</v>
      </c>
      <c r="B570">
        <v>7</v>
      </c>
      <c r="C570">
        <v>150.77000000000001</v>
      </c>
      <c r="D570">
        <v>3.6419999999999999</v>
      </c>
      <c r="E570">
        <v>11.4</v>
      </c>
      <c r="F570">
        <v>4.9000000000000004</v>
      </c>
      <c r="G570">
        <v>1.48</v>
      </c>
      <c r="H570">
        <v>6.71</v>
      </c>
      <c r="I570">
        <v>29.25</v>
      </c>
      <c r="J570">
        <v>16.5</v>
      </c>
      <c r="K570">
        <v>11</v>
      </c>
      <c r="L570">
        <v>1.68</v>
      </c>
      <c r="M570">
        <v>2.2250000000000001</v>
      </c>
      <c r="N570">
        <v>0.20300000000000001</v>
      </c>
      <c r="O570">
        <v>2.706</v>
      </c>
      <c r="P570">
        <v>0.62</v>
      </c>
    </row>
    <row r="571" spans="1:16" x14ac:dyDescent="0.25">
      <c r="A571" s="1">
        <v>42018</v>
      </c>
      <c r="B571">
        <v>6.75</v>
      </c>
      <c r="C571">
        <v>147</v>
      </c>
      <c r="D571">
        <v>3.6419999999999999</v>
      </c>
      <c r="E571">
        <v>10.55</v>
      </c>
      <c r="F571">
        <v>4.82</v>
      </c>
      <c r="G571">
        <v>1.45</v>
      </c>
      <c r="H571">
        <v>6.25</v>
      </c>
      <c r="I571">
        <v>28.55</v>
      </c>
      <c r="J571">
        <v>16.5</v>
      </c>
      <c r="K571">
        <v>11.03</v>
      </c>
      <c r="L571">
        <v>1.67</v>
      </c>
      <c r="M571">
        <v>2.0169999999999999</v>
      </c>
      <c r="N571">
        <v>0.185</v>
      </c>
      <c r="O571">
        <v>2.5870000000000002</v>
      </c>
      <c r="P571">
        <v>0.57999999999999996</v>
      </c>
    </row>
    <row r="572" spans="1:16" x14ac:dyDescent="0.25">
      <c r="A572" s="1">
        <v>42019</v>
      </c>
      <c r="B572">
        <v>6.73</v>
      </c>
      <c r="C572">
        <v>146.99</v>
      </c>
      <c r="D572">
        <v>3.601</v>
      </c>
      <c r="E572">
        <v>10.92</v>
      </c>
      <c r="F572">
        <v>4.82</v>
      </c>
      <c r="G572">
        <v>1.45</v>
      </c>
      <c r="H572">
        <v>6.25</v>
      </c>
      <c r="I572">
        <v>28.6</v>
      </c>
      <c r="J572">
        <v>16.5</v>
      </c>
      <c r="K572">
        <v>11.04</v>
      </c>
      <c r="L572">
        <v>1.58</v>
      </c>
      <c r="M572">
        <v>2.0470000000000002</v>
      </c>
      <c r="N572">
        <v>0.185</v>
      </c>
      <c r="O572">
        <v>2.5369999999999999</v>
      </c>
      <c r="P572">
        <v>0.56999999999999995</v>
      </c>
    </row>
    <row r="573" spans="1:16" x14ac:dyDescent="0.25">
      <c r="A573" s="1">
        <v>42020</v>
      </c>
      <c r="B573">
        <v>6.73</v>
      </c>
      <c r="C573">
        <v>145.94999999999999</v>
      </c>
      <c r="D573">
        <v>3.585</v>
      </c>
      <c r="E573">
        <v>11.05</v>
      </c>
      <c r="F573">
        <v>4.8499999999999996</v>
      </c>
      <c r="G573">
        <v>1.42</v>
      </c>
      <c r="H573">
        <v>6.15</v>
      </c>
      <c r="I573">
        <v>29</v>
      </c>
      <c r="J573">
        <v>16.5</v>
      </c>
      <c r="K573">
        <v>11.05</v>
      </c>
      <c r="L573">
        <v>1.6</v>
      </c>
      <c r="M573">
        <v>2.0960000000000001</v>
      </c>
      <c r="N573">
        <v>0.183</v>
      </c>
      <c r="O573">
        <v>2.4870000000000001</v>
      </c>
      <c r="P573">
        <v>0.56999999999999995</v>
      </c>
    </row>
    <row r="574" spans="1:16" x14ac:dyDescent="0.25">
      <c r="A574" s="1">
        <v>42023</v>
      </c>
      <c r="B574">
        <v>6.76</v>
      </c>
      <c r="C574">
        <v>146</v>
      </c>
      <c r="D574">
        <v>3.585</v>
      </c>
      <c r="E574">
        <v>11.05</v>
      </c>
      <c r="F574">
        <v>4.8499999999999996</v>
      </c>
      <c r="G574">
        <v>1.42</v>
      </c>
      <c r="H574">
        <v>6.1</v>
      </c>
      <c r="I574">
        <v>29</v>
      </c>
      <c r="J574">
        <v>16.5</v>
      </c>
      <c r="K574">
        <v>11.08</v>
      </c>
      <c r="L574">
        <v>1.6</v>
      </c>
      <c r="M574">
        <v>2.0960000000000001</v>
      </c>
      <c r="N574">
        <v>0.183</v>
      </c>
      <c r="O574">
        <v>2.5070000000000001</v>
      </c>
      <c r="P574">
        <v>0.56999999999999995</v>
      </c>
    </row>
    <row r="575" spans="1:16" x14ac:dyDescent="0.25">
      <c r="A575" s="1">
        <v>42024</v>
      </c>
      <c r="B575">
        <v>6.79</v>
      </c>
      <c r="C575">
        <v>146.30000000000001</v>
      </c>
      <c r="D575">
        <v>3.601</v>
      </c>
      <c r="E575">
        <v>11.4</v>
      </c>
      <c r="F575">
        <v>4.8499999999999996</v>
      </c>
      <c r="G575">
        <v>1.38</v>
      </c>
      <c r="H575">
        <v>6</v>
      </c>
      <c r="I575">
        <v>29</v>
      </c>
      <c r="J575">
        <v>16.2</v>
      </c>
      <c r="K575">
        <v>11.12</v>
      </c>
      <c r="L575">
        <v>1.63</v>
      </c>
      <c r="M575">
        <v>2.0960000000000001</v>
      </c>
      <c r="N575">
        <v>0.183</v>
      </c>
      <c r="O575">
        <v>2.5169999999999999</v>
      </c>
      <c r="P575">
        <v>0.53</v>
      </c>
    </row>
    <row r="576" spans="1:16" x14ac:dyDescent="0.25">
      <c r="A576" s="1">
        <v>42025</v>
      </c>
      <c r="B576">
        <v>6.7</v>
      </c>
      <c r="C576">
        <v>146.15</v>
      </c>
      <c r="D576">
        <v>3.593</v>
      </c>
      <c r="E576">
        <v>11.28</v>
      </c>
      <c r="F576">
        <v>4.9000000000000004</v>
      </c>
      <c r="G576">
        <v>1.32</v>
      </c>
      <c r="H576">
        <v>6.08</v>
      </c>
      <c r="I576">
        <v>29.4</v>
      </c>
      <c r="J576">
        <v>16.2</v>
      </c>
      <c r="K576">
        <v>11.21</v>
      </c>
      <c r="L576">
        <v>1.59</v>
      </c>
      <c r="M576">
        <v>2.0960000000000001</v>
      </c>
      <c r="N576">
        <v>0.18</v>
      </c>
      <c r="O576">
        <v>2.5369999999999999</v>
      </c>
      <c r="P576">
        <v>0.5</v>
      </c>
    </row>
    <row r="577" spans="1:16" x14ac:dyDescent="0.25">
      <c r="A577" s="1">
        <v>42026</v>
      </c>
      <c r="B577">
        <v>6.67</v>
      </c>
      <c r="C577">
        <v>149.5</v>
      </c>
      <c r="D577">
        <v>3.577</v>
      </c>
      <c r="E577">
        <v>11.39</v>
      </c>
      <c r="F577">
        <v>5.08</v>
      </c>
      <c r="G577">
        <v>1.33</v>
      </c>
      <c r="H577">
        <v>6.14</v>
      </c>
      <c r="I577">
        <v>29.5</v>
      </c>
      <c r="J577">
        <v>16.2</v>
      </c>
      <c r="K577">
        <v>11.35</v>
      </c>
      <c r="L577">
        <v>1.65</v>
      </c>
      <c r="M577">
        <v>2.1259999999999999</v>
      </c>
      <c r="N577">
        <v>0.18</v>
      </c>
      <c r="O577">
        <v>2.5870000000000002</v>
      </c>
      <c r="P577">
        <v>0.5</v>
      </c>
    </row>
    <row r="578" spans="1:16" x14ac:dyDescent="0.25">
      <c r="A578" s="1">
        <v>42027</v>
      </c>
      <c r="B578">
        <v>6.65</v>
      </c>
      <c r="C578">
        <v>150</v>
      </c>
      <c r="D578">
        <v>3.585</v>
      </c>
      <c r="E578">
        <v>11</v>
      </c>
      <c r="F578">
        <v>5.08</v>
      </c>
      <c r="G578">
        <v>1.38</v>
      </c>
      <c r="H578">
        <v>6.14</v>
      </c>
      <c r="I578">
        <v>29.5</v>
      </c>
      <c r="J578">
        <v>16.25</v>
      </c>
      <c r="K578">
        <v>11.51</v>
      </c>
      <c r="L578">
        <v>1.7</v>
      </c>
      <c r="M578">
        <v>2.1259999999999999</v>
      </c>
      <c r="N578">
        <v>0.18</v>
      </c>
      <c r="O578">
        <v>2.6059999999999999</v>
      </c>
      <c r="P578">
        <v>0.5</v>
      </c>
    </row>
    <row r="579" spans="1:16" x14ac:dyDescent="0.25">
      <c r="A579" s="1">
        <v>42030</v>
      </c>
      <c r="B579">
        <v>6.65</v>
      </c>
      <c r="C579">
        <v>151.69999999999999</v>
      </c>
      <c r="D579">
        <v>3.585</v>
      </c>
      <c r="E579">
        <v>10.4</v>
      </c>
      <c r="F579">
        <v>5.05</v>
      </c>
      <c r="G579">
        <v>1.41</v>
      </c>
      <c r="H579">
        <v>6.12</v>
      </c>
      <c r="I579">
        <v>29.8</v>
      </c>
      <c r="J579">
        <v>16.260000000000002</v>
      </c>
      <c r="K579">
        <v>11.51</v>
      </c>
      <c r="L579">
        <v>1.7</v>
      </c>
      <c r="M579">
        <v>2.1459999999999999</v>
      </c>
      <c r="N579">
        <v>0.18</v>
      </c>
      <c r="O579">
        <v>2.6259999999999999</v>
      </c>
      <c r="P579">
        <v>0.5</v>
      </c>
    </row>
    <row r="580" spans="1:16" x14ac:dyDescent="0.25">
      <c r="A580" s="1">
        <v>42031</v>
      </c>
      <c r="B580">
        <v>6.6</v>
      </c>
      <c r="C580">
        <v>152.6</v>
      </c>
      <c r="D580">
        <v>3.577</v>
      </c>
      <c r="E580">
        <v>11.7</v>
      </c>
      <c r="F580">
        <v>5.05</v>
      </c>
      <c r="G580">
        <v>1.43</v>
      </c>
      <c r="H580">
        <v>6.1</v>
      </c>
      <c r="I580">
        <v>29.8</v>
      </c>
      <c r="J580">
        <v>16.350000000000001</v>
      </c>
      <c r="K580">
        <v>11.51</v>
      </c>
      <c r="L580">
        <v>1.7</v>
      </c>
      <c r="M580">
        <v>2.1459999999999999</v>
      </c>
      <c r="N580">
        <v>0.18</v>
      </c>
      <c r="O580">
        <v>2.6459999999999999</v>
      </c>
      <c r="P580">
        <v>0.5</v>
      </c>
    </row>
    <row r="581" spans="1:16" x14ac:dyDescent="0.25">
      <c r="A581" s="1">
        <v>42032</v>
      </c>
      <c r="B581">
        <v>6.65</v>
      </c>
      <c r="C581">
        <v>147.65</v>
      </c>
      <c r="D581">
        <v>3.577</v>
      </c>
      <c r="E581">
        <v>11.05</v>
      </c>
      <c r="F581">
        <v>5.05</v>
      </c>
      <c r="G581">
        <v>1.43</v>
      </c>
      <c r="H581">
        <v>6</v>
      </c>
      <c r="I581">
        <v>29.8</v>
      </c>
      <c r="J581">
        <v>16.399999999999999</v>
      </c>
      <c r="K581">
        <v>11.52</v>
      </c>
      <c r="L581">
        <v>1.7</v>
      </c>
      <c r="M581">
        <v>2.1459999999999999</v>
      </c>
      <c r="N581">
        <v>0.18</v>
      </c>
      <c r="O581">
        <v>2.6760000000000002</v>
      </c>
      <c r="P581">
        <v>0.49</v>
      </c>
    </row>
    <row r="582" spans="1:16" x14ac:dyDescent="0.25">
      <c r="A582" s="1">
        <v>42033</v>
      </c>
      <c r="B582">
        <v>6.85</v>
      </c>
      <c r="C582">
        <v>146.9</v>
      </c>
      <c r="D582">
        <v>3.4380000000000002</v>
      </c>
      <c r="E582">
        <v>10.9</v>
      </c>
      <c r="F582">
        <v>5.05</v>
      </c>
      <c r="G582">
        <v>1.46</v>
      </c>
      <c r="H582">
        <v>6</v>
      </c>
      <c r="I582">
        <v>29.8</v>
      </c>
      <c r="J582">
        <v>16.3</v>
      </c>
      <c r="K582">
        <v>11.75</v>
      </c>
      <c r="L582">
        <v>1.75</v>
      </c>
      <c r="M582">
        <v>2.1360000000000001</v>
      </c>
      <c r="N582">
        <v>0.18</v>
      </c>
      <c r="O582">
        <v>2.6859999999999999</v>
      </c>
      <c r="P582">
        <v>0.45</v>
      </c>
    </row>
    <row r="583" spans="1:16" x14ac:dyDescent="0.25">
      <c r="A583" s="1">
        <v>42034</v>
      </c>
      <c r="B583">
        <v>6.95</v>
      </c>
      <c r="C583">
        <v>145.69999999999999</v>
      </c>
      <c r="D583">
        <v>3.3639999999999999</v>
      </c>
      <c r="E583">
        <v>11.47</v>
      </c>
      <c r="F583">
        <v>5.1100000000000003</v>
      </c>
      <c r="G583">
        <v>1.5</v>
      </c>
      <c r="H583">
        <v>6.21</v>
      </c>
      <c r="I583">
        <v>29.7</v>
      </c>
      <c r="J583">
        <v>16.399999999999999</v>
      </c>
      <c r="K583">
        <v>11.51</v>
      </c>
      <c r="L583">
        <v>1.75</v>
      </c>
      <c r="M583">
        <v>2.0960000000000001</v>
      </c>
      <c r="N583">
        <v>0.18</v>
      </c>
      <c r="O583">
        <v>2.6459999999999999</v>
      </c>
      <c r="P583">
        <v>0.48</v>
      </c>
    </row>
    <row r="584" spans="1:16" x14ac:dyDescent="0.25">
      <c r="A584" s="1">
        <v>42037</v>
      </c>
      <c r="B584">
        <v>6.9</v>
      </c>
      <c r="C584">
        <v>147.91999999999999</v>
      </c>
      <c r="D584">
        <v>3.3149999999999999</v>
      </c>
      <c r="E584">
        <v>11.5</v>
      </c>
      <c r="F584">
        <v>5.2</v>
      </c>
      <c r="G584">
        <v>1.45</v>
      </c>
      <c r="H584">
        <v>6.4</v>
      </c>
      <c r="I584">
        <v>29.1</v>
      </c>
      <c r="J584">
        <v>16.350000000000001</v>
      </c>
      <c r="K584">
        <v>11.5</v>
      </c>
      <c r="L584">
        <v>1.65</v>
      </c>
      <c r="M584">
        <v>2.0670000000000002</v>
      </c>
      <c r="N584">
        <v>0.16600000000000001</v>
      </c>
      <c r="O584">
        <v>2.5270000000000001</v>
      </c>
      <c r="P584">
        <v>0.5</v>
      </c>
    </row>
    <row r="585" spans="1:16" x14ac:dyDescent="0.25">
      <c r="A585" s="1">
        <v>42038</v>
      </c>
      <c r="B585">
        <v>7.01</v>
      </c>
      <c r="C585">
        <v>152.69999999999999</v>
      </c>
      <c r="D585">
        <v>3.4780000000000002</v>
      </c>
      <c r="E585">
        <v>10.91</v>
      </c>
      <c r="F585">
        <v>5.2</v>
      </c>
      <c r="G585">
        <v>1.46</v>
      </c>
      <c r="H585">
        <v>6.51</v>
      </c>
      <c r="I585">
        <v>29.25</v>
      </c>
      <c r="J585">
        <v>16.25</v>
      </c>
      <c r="K585">
        <v>11.45</v>
      </c>
      <c r="L585">
        <v>1.57</v>
      </c>
      <c r="M585">
        <v>2.0670000000000002</v>
      </c>
      <c r="N585">
        <v>0.185</v>
      </c>
      <c r="O585">
        <v>2.5270000000000001</v>
      </c>
      <c r="P585">
        <v>0.55000000000000004</v>
      </c>
    </row>
    <row r="586" spans="1:16" x14ac:dyDescent="0.25">
      <c r="A586" s="1">
        <v>42039</v>
      </c>
      <c r="B586">
        <v>7.03</v>
      </c>
      <c r="C586">
        <v>151.80000000000001</v>
      </c>
      <c r="D586">
        <v>3.5190000000000001</v>
      </c>
      <c r="E586">
        <v>10.89</v>
      </c>
      <c r="F586">
        <v>5.29</v>
      </c>
      <c r="G586">
        <v>1.46</v>
      </c>
      <c r="H586">
        <v>6.5</v>
      </c>
      <c r="I586">
        <v>29.3</v>
      </c>
      <c r="J586">
        <v>16.350000000000001</v>
      </c>
      <c r="K586">
        <v>11.4</v>
      </c>
      <c r="L586">
        <v>1.63</v>
      </c>
      <c r="M586">
        <v>2.0470000000000002</v>
      </c>
      <c r="N586">
        <v>0.17199999999999999</v>
      </c>
      <c r="O586">
        <v>2.5369999999999999</v>
      </c>
      <c r="P586">
        <v>0.61</v>
      </c>
    </row>
    <row r="587" spans="1:16" x14ac:dyDescent="0.25">
      <c r="A587" s="1">
        <v>42040</v>
      </c>
      <c r="B587">
        <v>7.17</v>
      </c>
      <c r="C587">
        <v>153.65</v>
      </c>
      <c r="D587">
        <v>3.4780000000000002</v>
      </c>
      <c r="E587">
        <v>10.95</v>
      </c>
      <c r="F587">
        <v>5.29</v>
      </c>
      <c r="G587">
        <v>1.48</v>
      </c>
      <c r="H587">
        <v>6.4</v>
      </c>
      <c r="I587">
        <v>29.15</v>
      </c>
      <c r="J587">
        <v>16.350000000000001</v>
      </c>
      <c r="K587">
        <v>11.35</v>
      </c>
      <c r="L587">
        <v>1.63</v>
      </c>
      <c r="M587">
        <v>2.0369999999999999</v>
      </c>
      <c r="N587">
        <v>0.16500000000000001</v>
      </c>
      <c r="O587">
        <v>2.5070000000000001</v>
      </c>
      <c r="P587">
        <v>0.57999999999999996</v>
      </c>
    </row>
    <row r="588" spans="1:16" x14ac:dyDescent="0.25">
      <c r="A588" s="1">
        <v>42041</v>
      </c>
      <c r="B588">
        <v>7.05</v>
      </c>
      <c r="C588">
        <v>151.69999999999999</v>
      </c>
      <c r="D588">
        <v>3.4540000000000002</v>
      </c>
      <c r="E588">
        <v>10.5</v>
      </c>
      <c r="F588">
        <v>5.2</v>
      </c>
      <c r="G588">
        <v>1.45</v>
      </c>
      <c r="H588">
        <v>6.2</v>
      </c>
      <c r="I588">
        <v>28.95</v>
      </c>
      <c r="J588">
        <v>16.100000000000001</v>
      </c>
      <c r="K588">
        <v>11.2</v>
      </c>
      <c r="L588">
        <v>1.6</v>
      </c>
      <c r="M588">
        <v>1.978</v>
      </c>
      <c r="N588">
        <v>0.16700000000000001</v>
      </c>
      <c r="O588">
        <v>2.4969999999999999</v>
      </c>
      <c r="P588">
        <v>0.55000000000000004</v>
      </c>
    </row>
    <row r="589" spans="1:16" x14ac:dyDescent="0.25">
      <c r="A589" s="1">
        <v>42044</v>
      </c>
      <c r="B589">
        <v>7.05</v>
      </c>
      <c r="C589">
        <v>154.19999999999999</v>
      </c>
      <c r="D589">
        <v>3.4380000000000002</v>
      </c>
      <c r="E589">
        <v>10.69</v>
      </c>
      <c r="F589">
        <v>5.2</v>
      </c>
      <c r="G589">
        <v>1.45</v>
      </c>
      <c r="H589">
        <v>6.11</v>
      </c>
      <c r="I589">
        <v>28.95</v>
      </c>
      <c r="J589">
        <v>16</v>
      </c>
      <c r="K589">
        <v>11.05</v>
      </c>
      <c r="L589">
        <v>1.57</v>
      </c>
      <c r="M589">
        <v>1.948</v>
      </c>
      <c r="N589">
        <v>0.16700000000000001</v>
      </c>
      <c r="O589">
        <v>2.4500000000000002</v>
      </c>
      <c r="P589">
        <v>0.57999999999999996</v>
      </c>
    </row>
    <row r="590" spans="1:16" x14ac:dyDescent="0.25">
      <c r="A590" s="1">
        <v>42045</v>
      </c>
      <c r="B590">
        <v>7.1</v>
      </c>
      <c r="C590">
        <v>148.69999999999999</v>
      </c>
      <c r="D590">
        <v>3.4620000000000002</v>
      </c>
      <c r="E590">
        <v>10.69</v>
      </c>
      <c r="F590">
        <v>5.3</v>
      </c>
      <c r="G590">
        <v>1.44</v>
      </c>
      <c r="H590">
        <v>6</v>
      </c>
      <c r="I590">
        <v>29</v>
      </c>
      <c r="J590">
        <v>16</v>
      </c>
      <c r="K590">
        <v>11.02</v>
      </c>
      <c r="L590">
        <v>1.56</v>
      </c>
      <c r="M590">
        <v>1.978</v>
      </c>
      <c r="N590">
        <v>0.16700000000000001</v>
      </c>
      <c r="O590">
        <v>2.46</v>
      </c>
      <c r="P590">
        <v>0.56999999999999995</v>
      </c>
    </row>
    <row r="591" spans="1:16" x14ac:dyDescent="0.25">
      <c r="A591" s="1">
        <v>42046</v>
      </c>
      <c r="B591">
        <v>7.05</v>
      </c>
      <c r="C591">
        <v>149.6</v>
      </c>
      <c r="D591">
        <v>3.4780000000000002</v>
      </c>
      <c r="E591">
        <v>10.25</v>
      </c>
      <c r="F591">
        <v>5.25</v>
      </c>
      <c r="G591">
        <v>1.43</v>
      </c>
      <c r="H591">
        <v>5.86</v>
      </c>
      <c r="I591">
        <v>28.8</v>
      </c>
      <c r="J591">
        <v>16</v>
      </c>
      <c r="K591">
        <v>11.01</v>
      </c>
      <c r="L591">
        <v>1.56</v>
      </c>
      <c r="M591">
        <v>1.9379999999999999</v>
      </c>
      <c r="N591">
        <v>0.16</v>
      </c>
      <c r="O591">
        <v>2.46</v>
      </c>
      <c r="P591">
        <v>0.57999999999999996</v>
      </c>
    </row>
    <row r="592" spans="1:16" x14ac:dyDescent="0.25">
      <c r="A592" s="1">
        <v>42047</v>
      </c>
      <c r="B592">
        <v>7.15</v>
      </c>
      <c r="C592">
        <v>149.9</v>
      </c>
      <c r="D592">
        <v>3.4780000000000002</v>
      </c>
      <c r="E592">
        <v>10.41</v>
      </c>
      <c r="F592">
        <v>5.29</v>
      </c>
      <c r="G592">
        <v>1.45</v>
      </c>
      <c r="H592">
        <v>5.9</v>
      </c>
      <c r="I592">
        <v>28.85</v>
      </c>
      <c r="J592">
        <v>16</v>
      </c>
      <c r="K592">
        <v>11.02</v>
      </c>
      <c r="L592">
        <v>1.62</v>
      </c>
      <c r="M592">
        <v>1.988</v>
      </c>
      <c r="N592">
        <v>0.16</v>
      </c>
      <c r="O592">
        <v>2.46</v>
      </c>
      <c r="P592">
        <v>0.57999999999999996</v>
      </c>
    </row>
    <row r="593" spans="1:16" x14ac:dyDescent="0.25">
      <c r="A593" s="1">
        <v>42048</v>
      </c>
      <c r="B593">
        <v>7.2</v>
      </c>
      <c r="C593">
        <v>151</v>
      </c>
      <c r="D593">
        <v>3.5190000000000001</v>
      </c>
      <c r="E593">
        <v>11.2</v>
      </c>
      <c r="F593">
        <v>5.33</v>
      </c>
      <c r="G593">
        <v>1.48</v>
      </c>
      <c r="H593">
        <v>5.9</v>
      </c>
      <c r="I593">
        <v>29.05</v>
      </c>
      <c r="J593">
        <v>16.21</v>
      </c>
      <c r="K593">
        <v>11.02</v>
      </c>
      <c r="L593">
        <v>1.67</v>
      </c>
      <c r="M593">
        <v>2.0169999999999999</v>
      </c>
      <c r="N593">
        <v>0.17799999999999999</v>
      </c>
      <c r="O593">
        <v>2.52</v>
      </c>
      <c r="P593">
        <v>0.62</v>
      </c>
    </row>
    <row r="594" spans="1:16" x14ac:dyDescent="0.25">
      <c r="A594" s="1">
        <v>42051</v>
      </c>
      <c r="B594">
        <v>7.17</v>
      </c>
      <c r="C594">
        <v>151</v>
      </c>
      <c r="D594">
        <v>3.5190000000000001</v>
      </c>
      <c r="E594">
        <v>11.2</v>
      </c>
      <c r="F594">
        <v>5.45</v>
      </c>
      <c r="G594">
        <v>1.48</v>
      </c>
      <c r="H594">
        <v>5.8</v>
      </c>
      <c r="I594">
        <v>29.06</v>
      </c>
      <c r="J594">
        <v>16.100000000000001</v>
      </c>
      <c r="K594">
        <v>11.07</v>
      </c>
      <c r="L594">
        <v>1.7</v>
      </c>
      <c r="M594">
        <v>2.077</v>
      </c>
      <c r="N594">
        <v>0.189</v>
      </c>
      <c r="O594">
        <v>2.5299999999999998</v>
      </c>
      <c r="P594">
        <v>0.63</v>
      </c>
    </row>
    <row r="595" spans="1:16" x14ac:dyDescent="0.25">
      <c r="A595" s="1">
        <v>42052</v>
      </c>
      <c r="B595">
        <v>7</v>
      </c>
      <c r="C595">
        <v>152.4</v>
      </c>
      <c r="D595">
        <v>3.4780000000000002</v>
      </c>
      <c r="E595">
        <v>10.5</v>
      </c>
      <c r="F595">
        <v>5.3</v>
      </c>
      <c r="G595">
        <v>1.46</v>
      </c>
      <c r="H595">
        <v>5.72</v>
      </c>
      <c r="I595">
        <v>29.3</v>
      </c>
      <c r="J595">
        <v>15.95</v>
      </c>
      <c r="K595">
        <v>11.05</v>
      </c>
      <c r="L595">
        <v>1.58</v>
      </c>
      <c r="M595">
        <v>2.0070000000000001</v>
      </c>
      <c r="N595">
        <v>0.19500000000000001</v>
      </c>
      <c r="O595">
        <v>2.5</v>
      </c>
      <c r="P595">
        <v>0.61</v>
      </c>
    </row>
    <row r="596" spans="1:16" x14ac:dyDescent="0.25">
      <c r="A596" s="1">
        <v>42053</v>
      </c>
      <c r="B596">
        <v>6.65</v>
      </c>
      <c r="C596">
        <v>150.19999999999999</v>
      </c>
      <c r="D596">
        <v>3.4380000000000002</v>
      </c>
      <c r="E596">
        <v>10.97</v>
      </c>
      <c r="F596">
        <v>5.4</v>
      </c>
      <c r="G596">
        <v>1.43</v>
      </c>
      <c r="H596">
        <v>5.78</v>
      </c>
      <c r="I596">
        <v>29.9</v>
      </c>
      <c r="J596">
        <v>16.100000000000001</v>
      </c>
      <c r="K596">
        <v>11.27</v>
      </c>
      <c r="L596">
        <v>1.6</v>
      </c>
      <c r="M596">
        <v>2.0369999999999999</v>
      </c>
      <c r="N596">
        <v>0.19500000000000001</v>
      </c>
      <c r="O596">
        <v>2.4500000000000002</v>
      </c>
      <c r="P596">
        <v>0.62</v>
      </c>
    </row>
    <row r="597" spans="1:16" x14ac:dyDescent="0.25">
      <c r="A597" s="1">
        <v>42054</v>
      </c>
      <c r="B597">
        <v>6.4</v>
      </c>
      <c r="C597">
        <v>148.5</v>
      </c>
      <c r="D597">
        <v>3.4380000000000002</v>
      </c>
      <c r="E597">
        <v>10.56</v>
      </c>
      <c r="F597">
        <v>5.37</v>
      </c>
      <c r="G597">
        <v>1.43</v>
      </c>
      <c r="H597">
        <v>5.7</v>
      </c>
      <c r="I597">
        <v>29.5</v>
      </c>
      <c r="J597">
        <v>16.25</v>
      </c>
      <c r="K597">
        <v>11.16</v>
      </c>
      <c r="L597">
        <v>1.63</v>
      </c>
      <c r="M597">
        <v>2.0270000000000001</v>
      </c>
      <c r="N597">
        <v>0.191</v>
      </c>
      <c r="O597">
        <v>2.37</v>
      </c>
      <c r="P597">
        <v>0.67</v>
      </c>
    </row>
    <row r="598" spans="1:16" x14ac:dyDescent="0.25">
      <c r="A598" s="1">
        <v>42055</v>
      </c>
      <c r="B598">
        <v>6.3</v>
      </c>
      <c r="C598">
        <v>149.75</v>
      </c>
      <c r="D598">
        <v>3.4380000000000002</v>
      </c>
      <c r="E598">
        <v>10.5</v>
      </c>
      <c r="F598">
        <v>5.16</v>
      </c>
      <c r="G598">
        <v>1.4</v>
      </c>
      <c r="H598">
        <v>5.78</v>
      </c>
      <c r="I598">
        <v>29.8</v>
      </c>
      <c r="J598">
        <v>16</v>
      </c>
      <c r="K598">
        <v>11.16</v>
      </c>
      <c r="L598">
        <v>1.63</v>
      </c>
      <c r="M598">
        <v>1.998</v>
      </c>
      <c r="N598">
        <v>0.19</v>
      </c>
      <c r="O598">
        <v>2.36</v>
      </c>
      <c r="P598">
        <v>0.65</v>
      </c>
    </row>
    <row r="599" spans="1:16" x14ac:dyDescent="0.25">
      <c r="A599" s="1">
        <v>42058</v>
      </c>
      <c r="B599">
        <v>6.01</v>
      </c>
      <c r="C599">
        <v>148</v>
      </c>
      <c r="D599">
        <v>3.3969999999999998</v>
      </c>
      <c r="E599">
        <v>10.5</v>
      </c>
      <c r="F599">
        <v>5.12</v>
      </c>
      <c r="G599">
        <v>1.41</v>
      </c>
      <c r="H599">
        <v>5.61</v>
      </c>
      <c r="I599">
        <v>29.51</v>
      </c>
      <c r="J599">
        <v>15.75</v>
      </c>
      <c r="K599">
        <v>11.21</v>
      </c>
      <c r="L599">
        <v>1.61</v>
      </c>
      <c r="M599">
        <v>1.889</v>
      </c>
      <c r="N599">
        <v>0.182</v>
      </c>
      <c r="O599">
        <v>2.34</v>
      </c>
      <c r="P599">
        <v>0.62</v>
      </c>
    </row>
    <row r="600" spans="1:16" x14ac:dyDescent="0.25">
      <c r="A600" s="1">
        <v>42059</v>
      </c>
      <c r="B600">
        <v>6.01</v>
      </c>
      <c r="C600">
        <v>148.1</v>
      </c>
      <c r="D600">
        <v>3.4209999999999998</v>
      </c>
      <c r="E600">
        <v>10.46</v>
      </c>
      <c r="F600">
        <v>5.2</v>
      </c>
      <c r="G600">
        <v>1.41</v>
      </c>
      <c r="H600">
        <v>5.7</v>
      </c>
      <c r="I600">
        <v>29.6</v>
      </c>
      <c r="J600">
        <v>15.75</v>
      </c>
      <c r="K600">
        <v>11.04</v>
      </c>
      <c r="L600">
        <v>1.59</v>
      </c>
      <c r="M600">
        <v>1.889</v>
      </c>
      <c r="N600">
        <v>0.182</v>
      </c>
      <c r="O600">
        <v>2.2999999999999998</v>
      </c>
      <c r="P600">
        <v>0.62</v>
      </c>
    </row>
    <row r="601" spans="1:16" x14ac:dyDescent="0.25">
      <c r="A601" s="1">
        <v>42060</v>
      </c>
      <c r="B601">
        <v>5.95</v>
      </c>
      <c r="C601">
        <v>148.15</v>
      </c>
      <c r="D601">
        <v>3.3889999999999998</v>
      </c>
      <c r="E601">
        <v>10.5</v>
      </c>
      <c r="F601">
        <v>5.15</v>
      </c>
      <c r="G601">
        <v>1.4</v>
      </c>
      <c r="H601">
        <v>5.72</v>
      </c>
      <c r="I601">
        <v>29.65</v>
      </c>
      <c r="J601">
        <v>15.75</v>
      </c>
      <c r="K601">
        <v>11.13</v>
      </c>
      <c r="L601">
        <v>1.55</v>
      </c>
      <c r="M601">
        <v>1.859</v>
      </c>
      <c r="N601">
        <v>0.18099999999999999</v>
      </c>
      <c r="O601">
        <v>2.2400000000000002</v>
      </c>
      <c r="P601">
        <v>0.6</v>
      </c>
    </row>
    <row r="602" spans="1:16" x14ac:dyDescent="0.25">
      <c r="A602" s="1">
        <v>42061</v>
      </c>
      <c r="B602">
        <v>5.9</v>
      </c>
      <c r="C602">
        <v>146.94999999999999</v>
      </c>
      <c r="D602">
        <v>3.4049999999999998</v>
      </c>
      <c r="E602">
        <v>10.61</v>
      </c>
      <c r="F602">
        <v>5.0999999999999996</v>
      </c>
      <c r="G602">
        <v>1.41</v>
      </c>
      <c r="H602">
        <v>5.69</v>
      </c>
      <c r="I602">
        <v>29.54</v>
      </c>
      <c r="J602">
        <v>15.75</v>
      </c>
      <c r="K602">
        <v>11.13</v>
      </c>
      <c r="L602">
        <v>1.52</v>
      </c>
      <c r="M602">
        <v>1.829</v>
      </c>
      <c r="N602">
        <v>0.18</v>
      </c>
      <c r="O602">
        <v>2.17</v>
      </c>
      <c r="P602">
        <v>0.59</v>
      </c>
    </row>
    <row r="603" spans="1:16" x14ac:dyDescent="0.25">
      <c r="A603" s="1">
        <v>42062</v>
      </c>
      <c r="B603">
        <v>5.85</v>
      </c>
      <c r="C603">
        <v>146</v>
      </c>
      <c r="D603">
        <v>3.3969999999999998</v>
      </c>
      <c r="E603">
        <v>11.55</v>
      </c>
      <c r="F603">
        <v>5.0999999999999996</v>
      </c>
      <c r="G603">
        <v>1.44</v>
      </c>
      <c r="H603">
        <v>5.73</v>
      </c>
      <c r="I603">
        <v>29.3</v>
      </c>
      <c r="J603">
        <v>15.8</v>
      </c>
      <c r="K603">
        <v>11.13</v>
      </c>
      <c r="L603">
        <v>1.5</v>
      </c>
      <c r="M603">
        <v>1.859</v>
      </c>
      <c r="N603">
        <v>0.17499999999999999</v>
      </c>
      <c r="O603">
        <v>2.2000000000000002</v>
      </c>
      <c r="P603">
        <v>0.6</v>
      </c>
    </row>
    <row r="604" spans="1:16" x14ac:dyDescent="0.25">
      <c r="A604" s="1">
        <v>42065</v>
      </c>
      <c r="B604">
        <v>5.85</v>
      </c>
      <c r="C604">
        <v>145.6</v>
      </c>
      <c r="D604">
        <v>3.4380000000000002</v>
      </c>
      <c r="E604">
        <v>11.56</v>
      </c>
      <c r="F604">
        <v>5.0999999999999996</v>
      </c>
      <c r="G604">
        <v>1.43</v>
      </c>
      <c r="H604">
        <v>5.55</v>
      </c>
      <c r="I604">
        <v>29.11</v>
      </c>
      <c r="J604">
        <v>16</v>
      </c>
      <c r="K604">
        <v>11.14</v>
      </c>
      <c r="L604">
        <v>1.52</v>
      </c>
      <c r="M604">
        <v>1.9279999999999999</v>
      </c>
      <c r="N604">
        <v>0.18</v>
      </c>
      <c r="O604">
        <v>2.23</v>
      </c>
      <c r="P604">
        <v>0.61</v>
      </c>
    </row>
    <row r="605" spans="1:16" x14ac:dyDescent="0.25">
      <c r="A605" s="1">
        <v>42066</v>
      </c>
      <c r="B605">
        <v>5.7</v>
      </c>
      <c r="C605">
        <v>149.19999999999999</v>
      </c>
      <c r="D605">
        <v>3.4380000000000002</v>
      </c>
      <c r="E605">
        <v>11.03</v>
      </c>
      <c r="F605">
        <v>5.0999999999999996</v>
      </c>
      <c r="G605">
        <v>1.43</v>
      </c>
      <c r="H605">
        <v>5.6</v>
      </c>
      <c r="I605">
        <v>29.3</v>
      </c>
      <c r="J605">
        <v>16</v>
      </c>
      <c r="K605">
        <v>11.26</v>
      </c>
      <c r="L605">
        <v>1.5</v>
      </c>
      <c r="M605">
        <v>1.958</v>
      </c>
      <c r="N605">
        <v>0.18</v>
      </c>
      <c r="O605">
        <v>2.25</v>
      </c>
      <c r="P605">
        <v>0.6</v>
      </c>
    </row>
    <row r="606" spans="1:16" x14ac:dyDescent="0.25">
      <c r="A606" s="1">
        <v>42067</v>
      </c>
      <c r="B606">
        <v>5.65</v>
      </c>
      <c r="C606">
        <v>149.30000000000001</v>
      </c>
      <c r="D606">
        <v>3.5190000000000001</v>
      </c>
      <c r="E606">
        <v>11.2</v>
      </c>
      <c r="F606">
        <v>5.0999999999999996</v>
      </c>
      <c r="G606">
        <v>1.43</v>
      </c>
      <c r="H606">
        <v>5.57</v>
      </c>
      <c r="I606">
        <v>29.28</v>
      </c>
      <c r="J606">
        <v>15.8</v>
      </c>
      <c r="K606">
        <v>11.35</v>
      </c>
      <c r="L606">
        <v>1.52</v>
      </c>
      <c r="M606">
        <v>1.998</v>
      </c>
      <c r="N606">
        <v>0.18</v>
      </c>
      <c r="O606">
        <v>2.25</v>
      </c>
      <c r="P606">
        <v>0.57999999999999996</v>
      </c>
    </row>
    <row r="607" spans="1:16" x14ac:dyDescent="0.25">
      <c r="A607" s="1">
        <v>42068</v>
      </c>
      <c r="B607">
        <v>5.7</v>
      </c>
      <c r="C607">
        <v>149.05000000000001</v>
      </c>
      <c r="D607">
        <v>3.536</v>
      </c>
      <c r="E607">
        <v>11.24</v>
      </c>
      <c r="F607">
        <v>5.09</v>
      </c>
      <c r="G607">
        <v>1.41</v>
      </c>
      <c r="H607">
        <v>5.64</v>
      </c>
      <c r="I607">
        <v>29.25</v>
      </c>
      <c r="J607">
        <v>16</v>
      </c>
      <c r="K607">
        <v>11.36</v>
      </c>
      <c r="L607">
        <v>1.46</v>
      </c>
      <c r="M607">
        <v>1.9379999999999999</v>
      </c>
      <c r="N607">
        <v>0.17599999999999999</v>
      </c>
      <c r="O607">
        <v>2.2999999999999998</v>
      </c>
      <c r="P607">
        <v>0.56000000000000005</v>
      </c>
    </row>
    <row r="608" spans="1:16" x14ac:dyDescent="0.25">
      <c r="A608" s="1">
        <v>42069</v>
      </c>
      <c r="B608">
        <v>5.66</v>
      </c>
      <c r="C608">
        <v>145.9</v>
      </c>
      <c r="D608">
        <v>3.552</v>
      </c>
      <c r="E608">
        <v>10.42</v>
      </c>
      <c r="F608">
        <v>5.01</v>
      </c>
      <c r="G608">
        <v>1.43</v>
      </c>
      <c r="H608">
        <v>5.5</v>
      </c>
      <c r="I608">
        <v>28.5</v>
      </c>
      <c r="J608">
        <v>15.6</v>
      </c>
      <c r="K608">
        <v>11.24</v>
      </c>
      <c r="L608">
        <v>1.45</v>
      </c>
      <c r="M608">
        <v>1.859</v>
      </c>
      <c r="N608">
        <v>0.17</v>
      </c>
      <c r="O608">
        <v>2.31</v>
      </c>
      <c r="P608">
        <v>0.54</v>
      </c>
    </row>
    <row r="609" spans="1:16" x14ac:dyDescent="0.25">
      <c r="A609" s="1">
        <v>42072</v>
      </c>
      <c r="B609">
        <v>5.4</v>
      </c>
      <c r="C609">
        <v>144.80000000000001</v>
      </c>
      <c r="D609">
        <v>3.5190000000000001</v>
      </c>
      <c r="E609">
        <v>10.050000000000001</v>
      </c>
      <c r="F609">
        <v>4.8499999999999996</v>
      </c>
      <c r="G609">
        <v>1.4</v>
      </c>
      <c r="H609">
        <v>5.44</v>
      </c>
      <c r="I609">
        <v>28.5</v>
      </c>
      <c r="J609">
        <v>15.2</v>
      </c>
      <c r="K609">
        <v>11.25</v>
      </c>
      <c r="L609">
        <v>1.4</v>
      </c>
      <c r="M609">
        <v>1.78</v>
      </c>
      <c r="N609">
        <v>0.16400000000000001</v>
      </c>
      <c r="O609">
        <v>2.25</v>
      </c>
      <c r="P609">
        <v>0.53</v>
      </c>
    </row>
    <row r="610" spans="1:16" x14ac:dyDescent="0.25">
      <c r="A610" s="1">
        <v>42073</v>
      </c>
      <c r="B610">
        <v>5.4</v>
      </c>
      <c r="C610">
        <v>140.56</v>
      </c>
      <c r="D610">
        <v>3.4780000000000002</v>
      </c>
      <c r="E610">
        <v>10.050000000000001</v>
      </c>
      <c r="F610">
        <v>4.8499999999999996</v>
      </c>
      <c r="G610">
        <v>1.4</v>
      </c>
      <c r="H610">
        <v>5.5</v>
      </c>
      <c r="I610">
        <v>29</v>
      </c>
      <c r="J610">
        <v>15.2</v>
      </c>
      <c r="K610">
        <v>11.14</v>
      </c>
      <c r="L610">
        <v>1.4</v>
      </c>
      <c r="M610">
        <v>1.79</v>
      </c>
      <c r="N610">
        <v>0.16700000000000001</v>
      </c>
      <c r="O610">
        <v>2.2000000000000002</v>
      </c>
      <c r="P610">
        <v>0.54</v>
      </c>
    </row>
    <row r="611" spans="1:16" x14ac:dyDescent="0.25">
      <c r="A611" s="1">
        <v>42074</v>
      </c>
      <c r="B611">
        <v>5.3</v>
      </c>
      <c r="C611">
        <v>140.19999999999999</v>
      </c>
      <c r="D611">
        <v>3.4780000000000002</v>
      </c>
      <c r="E611">
        <v>10.75</v>
      </c>
      <c r="F611">
        <v>4.8499999999999996</v>
      </c>
      <c r="G611">
        <v>1.39</v>
      </c>
      <c r="H611">
        <v>5.43</v>
      </c>
      <c r="I611">
        <v>28.1</v>
      </c>
      <c r="J611">
        <v>14.8</v>
      </c>
      <c r="K611">
        <v>11</v>
      </c>
      <c r="L611">
        <v>1.31</v>
      </c>
      <c r="M611">
        <v>1.819</v>
      </c>
      <c r="N611">
        <v>0.16700000000000001</v>
      </c>
      <c r="O611">
        <v>2.25</v>
      </c>
      <c r="P611">
        <v>0.54</v>
      </c>
    </row>
    <row r="612" spans="1:16" x14ac:dyDescent="0.25">
      <c r="A612" s="1">
        <v>42075</v>
      </c>
      <c r="B612">
        <v>5.26</v>
      </c>
      <c r="C612">
        <v>141</v>
      </c>
      <c r="D612">
        <v>3.5190000000000001</v>
      </c>
      <c r="E612">
        <v>10.45</v>
      </c>
      <c r="F612">
        <v>4.88</v>
      </c>
      <c r="G612">
        <v>1.39</v>
      </c>
      <c r="H612">
        <v>5.48</v>
      </c>
      <c r="I612">
        <v>28.4</v>
      </c>
      <c r="J612">
        <v>14.51</v>
      </c>
      <c r="K612">
        <v>11</v>
      </c>
      <c r="L612">
        <v>1.38</v>
      </c>
      <c r="M612">
        <v>1.83</v>
      </c>
      <c r="N612">
        <v>0.16700000000000001</v>
      </c>
      <c r="O612">
        <v>2.27</v>
      </c>
      <c r="P612">
        <v>0.54</v>
      </c>
    </row>
    <row r="613" spans="1:16" x14ac:dyDescent="0.25">
      <c r="A613" s="1">
        <v>42076</v>
      </c>
      <c r="B613">
        <v>5.36</v>
      </c>
      <c r="C613">
        <v>139</v>
      </c>
      <c r="D613">
        <v>3.5030000000000001</v>
      </c>
      <c r="E613">
        <v>10.32</v>
      </c>
      <c r="F613">
        <v>4.88</v>
      </c>
      <c r="G613">
        <v>1.4</v>
      </c>
      <c r="H613">
        <v>5.48</v>
      </c>
      <c r="I613">
        <v>28.41</v>
      </c>
      <c r="J613">
        <v>14.5</v>
      </c>
      <c r="K613">
        <v>11</v>
      </c>
      <c r="L613">
        <v>1.34</v>
      </c>
      <c r="M613">
        <v>1.83</v>
      </c>
      <c r="N613">
        <v>0.16700000000000001</v>
      </c>
      <c r="O613">
        <v>2.27</v>
      </c>
      <c r="P613">
        <v>0.54</v>
      </c>
    </row>
    <row r="614" spans="1:16" x14ac:dyDescent="0.25">
      <c r="A614" s="1">
        <v>42079</v>
      </c>
      <c r="B614">
        <v>5.35</v>
      </c>
      <c r="C614">
        <v>137.99</v>
      </c>
      <c r="D614">
        <v>3.536</v>
      </c>
      <c r="E614">
        <v>10.45</v>
      </c>
      <c r="F614">
        <v>4.75</v>
      </c>
      <c r="G614">
        <v>1.38</v>
      </c>
      <c r="H614">
        <v>5.3</v>
      </c>
      <c r="I614">
        <v>28</v>
      </c>
      <c r="J614">
        <v>14.5</v>
      </c>
      <c r="K614">
        <v>11</v>
      </c>
      <c r="L614">
        <v>1.34</v>
      </c>
      <c r="M614">
        <v>1.8</v>
      </c>
      <c r="N614">
        <v>0.16700000000000001</v>
      </c>
      <c r="O614">
        <v>2.27</v>
      </c>
      <c r="P614">
        <v>0.54</v>
      </c>
    </row>
    <row r="615" spans="1:16" x14ac:dyDescent="0.25">
      <c r="A615" s="1">
        <v>42080</v>
      </c>
      <c r="B615">
        <v>5.5</v>
      </c>
      <c r="C615">
        <v>137.5</v>
      </c>
      <c r="D615">
        <v>3.6419999999999999</v>
      </c>
      <c r="E615">
        <v>10.32</v>
      </c>
      <c r="F615">
        <v>4.75</v>
      </c>
      <c r="G615">
        <v>1.37</v>
      </c>
      <c r="H615">
        <v>5.3</v>
      </c>
      <c r="I615">
        <v>28</v>
      </c>
      <c r="J615">
        <v>14.6</v>
      </c>
      <c r="K615">
        <v>11</v>
      </c>
      <c r="L615">
        <v>1.32</v>
      </c>
      <c r="M615">
        <v>1.8</v>
      </c>
      <c r="N615">
        <v>0.161</v>
      </c>
      <c r="O615">
        <v>2.2999999999999998</v>
      </c>
      <c r="P615">
        <v>0.55000000000000004</v>
      </c>
    </row>
    <row r="616" spans="1:16" x14ac:dyDescent="0.25">
      <c r="A616" s="1">
        <v>42081</v>
      </c>
      <c r="B616">
        <v>5.55</v>
      </c>
      <c r="C616">
        <v>140</v>
      </c>
      <c r="D616">
        <v>3.6419999999999999</v>
      </c>
      <c r="E616">
        <v>10.87</v>
      </c>
      <c r="F616">
        <v>4.6500000000000004</v>
      </c>
      <c r="G616">
        <v>1.38</v>
      </c>
      <c r="H616">
        <v>5.2</v>
      </c>
      <c r="I616">
        <v>28.5</v>
      </c>
      <c r="J616">
        <v>14.7</v>
      </c>
      <c r="K616">
        <v>11</v>
      </c>
      <c r="L616">
        <v>1.32</v>
      </c>
      <c r="M616">
        <v>1.83</v>
      </c>
      <c r="N616">
        <v>0.16300000000000001</v>
      </c>
      <c r="O616">
        <v>2.2999999999999998</v>
      </c>
      <c r="P616">
        <v>0.56000000000000005</v>
      </c>
    </row>
    <row r="617" spans="1:16" x14ac:dyDescent="0.25">
      <c r="A617" s="1">
        <v>42082</v>
      </c>
      <c r="B617">
        <v>5.55</v>
      </c>
      <c r="C617">
        <v>139.4</v>
      </c>
      <c r="D617">
        <v>3.6339999999999999</v>
      </c>
      <c r="E617">
        <v>11.08</v>
      </c>
      <c r="F617">
        <v>4.6500000000000004</v>
      </c>
      <c r="G617">
        <v>1.38</v>
      </c>
      <c r="H617">
        <v>5</v>
      </c>
      <c r="I617">
        <v>28.4</v>
      </c>
      <c r="J617">
        <v>14.7</v>
      </c>
      <c r="K617">
        <v>11</v>
      </c>
      <c r="L617">
        <v>1.33</v>
      </c>
      <c r="M617">
        <v>1.85</v>
      </c>
      <c r="N617">
        <v>0.16300000000000001</v>
      </c>
      <c r="O617">
        <v>2.2999999999999998</v>
      </c>
      <c r="P617">
        <v>0.55000000000000004</v>
      </c>
    </row>
    <row r="618" spans="1:16" x14ac:dyDescent="0.25">
      <c r="A618" s="1">
        <v>42083</v>
      </c>
      <c r="B618">
        <v>5.66</v>
      </c>
      <c r="C618">
        <v>138.80000000000001</v>
      </c>
      <c r="D618">
        <v>3.6259999999999999</v>
      </c>
      <c r="E618">
        <v>11.1</v>
      </c>
      <c r="F618">
        <v>4.7</v>
      </c>
      <c r="G618">
        <v>1.41</v>
      </c>
      <c r="H618">
        <v>5</v>
      </c>
      <c r="I618">
        <v>28.6</v>
      </c>
      <c r="J618">
        <v>14.7</v>
      </c>
      <c r="K618">
        <v>11</v>
      </c>
      <c r="L618">
        <v>1.35</v>
      </c>
      <c r="M618">
        <v>1.87</v>
      </c>
      <c r="N618">
        <v>0.16600000000000001</v>
      </c>
      <c r="O618">
        <v>2.31</v>
      </c>
      <c r="P618">
        <v>0.55000000000000004</v>
      </c>
    </row>
    <row r="619" spans="1:16" x14ac:dyDescent="0.25">
      <c r="A619" s="1">
        <v>42086</v>
      </c>
      <c r="B619">
        <v>5.67</v>
      </c>
      <c r="C619">
        <v>139.6</v>
      </c>
      <c r="D619">
        <v>3.47</v>
      </c>
      <c r="E619">
        <v>11</v>
      </c>
      <c r="F619">
        <v>4.7</v>
      </c>
      <c r="G619">
        <v>1.39</v>
      </c>
      <c r="H619">
        <v>5</v>
      </c>
      <c r="I619">
        <v>28.6</v>
      </c>
      <c r="J619">
        <v>14.55</v>
      </c>
      <c r="K619">
        <v>10.85</v>
      </c>
      <c r="L619">
        <v>1.27</v>
      </c>
      <c r="M619">
        <v>1.86</v>
      </c>
      <c r="N619">
        <v>0.16</v>
      </c>
      <c r="O619">
        <v>2.3199999999999998</v>
      </c>
      <c r="P619">
        <v>0.54</v>
      </c>
    </row>
    <row r="620" spans="1:16" x14ac:dyDescent="0.25">
      <c r="A620" s="1">
        <v>42087</v>
      </c>
      <c r="B620">
        <v>5.7</v>
      </c>
      <c r="C620">
        <v>138.51</v>
      </c>
      <c r="D620">
        <v>3.536</v>
      </c>
      <c r="E620">
        <v>10.7</v>
      </c>
      <c r="F620">
        <v>4.7</v>
      </c>
      <c r="G620">
        <v>1.38</v>
      </c>
      <c r="H620">
        <v>4.95</v>
      </c>
      <c r="I620">
        <v>28.6</v>
      </c>
      <c r="J620">
        <v>14.55</v>
      </c>
      <c r="K620">
        <v>10.85</v>
      </c>
      <c r="L620">
        <v>1.27</v>
      </c>
      <c r="M620">
        <v>1.86</v>
      </c>
      <c r="N620">
        <v>0.16</v>
      </c>
      <c r="O620">
        <v>2.3199999999999998</v>
      </c>
      <c r="P620">
        <v>0.54</v>
      </c>
    </row>
    <row r="621" spans="1:16" x14ac:dyDescent="0.25">
      <c r="A621" s="1">
        <v>42088</v>
      </c>
      <c r="B621">
        <v>5.72</v>
      </c>
      <c r="C621">
        <v>139</v>
      </c>
      <c r="D621">
        <v>3.536</v>
      </c>
      <c r="E621">
        <v>10.65</v>
      </c>
      <c r="F621">
        <v>4.7</v>
      </c>
      <c r="G621">
        <v>1.38</v>
      </c>
      <c r="H621">
        <v>4.8499999999999996</v>
      </c>
      <c r="I621">
        <v>28.6</v>
      </c>
      <c r="J621">
        <v>14.55</v>
      </c>
      <c r="K621">
        <v>10.74</v>
      </c>
      <c r="L621">
        <v>1.26</v>
      </c>
      <c r="M621">
        <v>1.85</v>
      </c>
      <c r="N621">
        <v>0.16</v>
      </c>
      <c r="O621">
        <v>2.3199999999999998</v>
      </c>
      <c r="P621">
        <v>0.52</v>
      </c>
    </row>
    <row r="622" spans="1:16" x14ac:dyDescent="0.25">
      <c r="A622" s="1">
        <v>42089</v>
      </c>
      <c r="B622">
        <v>5.74</v>
      </c>
      <c r="C622">
        <v>136</v>
      </c>
      <c r="D622">
        <v>3.536</v>
      </c>
      <c r="E622">
        <v>10.3</v>
      </c>
      <c r="F622">
        <v>4.7</v>
      </c>
      <c r="G622">
        <v>1.37</v>
      </c>
      <c r="H622">
        <v>4.8</v>
      </c>
      <c r="I622">
        <v>28.6</v>
      </c>
      <c r="J622">
        <v>14.6</v>
      </c>
      <c r="K622">
        <v>10.71</v>
      </c>
      <c r="L622">
        <v>1.27</v>
      </c>
      <c r="M622">
        <v>1.83</v>
      </c>
      <c r="N622">
        <v>0.17</v>
      </c>
      <c r="O622">
        <v>2.3199999999999998</v>
      </c>
      <c r="P622">
        <v>0.52</v>
      </c>
    </row>
    <row r="623" spans="1:16" x14ac:dyDescent="0.25">
      <c r="A623" s="1">
        <v>42090</v>
      </c>
      <c r="B623">
        <v>5.79</v>
      </c>
      <c r="C623">
        <v>138.30000000000001</v>
      </c>
      <c r="D623">
        <v>3.536</v>
      </c>
      <c r="E623">
        <v>10.199999999999999</v>
      </c>
      <c r="F623">
        <v>4.7</v>
      </c>
      <c r="G623">
        <v>1.36</v>
      </c>
      <c r="H623">
        <v>4.8499999999999996</v>
      </c>
      <c r="I623">
        <v>28.6</v>
      </c>
      <c r="J623">
        <v>14.8</v>
      </c>
      <c r="K623">
        <v>10.4</v>
      </c>
      <c r="L623">
        <v>1.27</v>
      </c>
      <c r="M623">
        <v>1.83</v>
      </c>
      <c r="N623">
        <v>0.16800000000000001</v>
      </c>
      <c r="O623">
        <v>2.33</v>
      </c>
      <c r="P623">
        <v>0.52</v>
      </c>
    </row>
    <row r="624" spans="1:16" x14ac:dyDescent="0.25">
      <c r="A624" s="1">
        <v>42093</v>
      </c>
      <c r="B624">
        <v>5.81</v>
      </c>
      <c r="C624">
        <v>140.51</v>
      </c>
      <c r="D624">
        <v>3.536</v>
      </c>
      <c r="E624">
        <v>10.119999999999999</v>
      </c>
      <c r="F624">
        <v>4.6500000000000004</v>
      </c>
      <c r="G624">
        <v>1.39</v>
      </c>
      <c r="H624">
        <v>4.8</v>
      </c>
      <c r="I624">
        <v>28.6</v>
      </c>
      <c r="J624">
        <v>14.95</v>
      </c>
      <c r="K624">
        <v>10.55</v>
      </c>
      <c r="L624">
        <v>1.27</v>
      </c>
      <c r="M624">
        <v>1.82</v>
      </c>
      <c r="N624">
        <v>0.16400000000000001</v>
      </c>
      <c r="O624">
        <v>2.2999999999999998</v>
      </c>
      <c r="P624">
        <v>0.54</v>
      </c>
    </row>
    <row r="625" spans="1:16" x14ac:dyDescent="0.25">
      <c r="A625" s="1">
        <v>42094</v>
      </c>
      <c r="B625">
        <v>6</v>
      </c>
      <c r="C625">
        <v>140.9</v>
      </c>
      <c r="D625">
        <v>3.552</v>
      </c>
      <c r="E625">
        <v>10.11</v>
      </c>
      <c r="F625">
        <v>4.7</v>
      </c>
      <c r="G625">
        <v>1.41</v>
      </c>
      <c r="H625">
        <v>4.8</v>
      </c>
      <c r="I625">
        <v>28.99</v>
      </c>
      <c r="J625">
        <v>15.1</v>
      </c>
      <c r="K625">
        <v>10.506</v>
      </c>
      <c r="L625">
        <v>1.274</v>
      </c>
      <c r="M625">
        <v>1.82</v>
      </c>
      <c r="N625">
        <v>0.16500000000000001</v>
      </c>
      <c r="O625">
        <v>2.33</v>
      </c>
      <c r="P625">
        <v>0.55000000000000004</v>
      </c>
    </row>
    <row r="626" spans="1:16" x14ac:dyDescent="0.25">
      <c r="A626" s="1">
        <v>42095</v>
      </c>
      <c r="B626">
        <v>6.2</v>
      </c>
      <c r="C626">
        <v>145.75</v>
      </c>
      <c r="D626">
        <v>3.585</v>
      </c>
      <c r="E626">
        <v>10.35</v>
      </c>
      <c r="F626">
        <v>4.8</v>
      </c>
      <c r="G626">
        <v>1.41</v>
      </c>
      <c r="H626">
        <v>4.8</v>
      </c>
      <c r="I626">
        <v>29.3</v>
      </c>
      <c r="J626">
        <v>15.3</v>
      </c>
      <c r="K626">
        <v>10.526</v>
      </c>
      <c r="L626">
        <v>1.3140000000000001</v>
      </c>
      <c r="M626">
        <v>1.81</v>
      </c>
      <c r="N626">
        <v>0.16500000000000001</v>
      </c>
      <c r="O626">
        <v>2.34</v>
      </c>
      <c r="P626">
        <v>0.59</v>
      </c>
    </row>
    <row r="627" spans="1:16" x14ac:dyDescent="0.25">
      <c r="A627" s="1">
        <v>42100</v>
      </c>
      <c r="B627">
        <v>6.25</v>
      </c>
      <c r="C627">
        <v>147.66</v>
      </c>
      <c r="D627">
        <v>3.585</v>
      </c>
      <c r="E627">
        <v>10.82</v>
      </c>
      <c r="F627">
        <v>4.84</v>
      </c>
      <c r="G627">
        <v>1.41</v>
      </c>
      <c r="H627">
        <v>4.8</v>
      </c>
      <c r="I627">
        <v>29.5</v>
      </c>
      <c r="J627">
        <v>15.3</v>
      </c>
      <c r="K627">
        <v>10.566000000000001</v>
      </c>
      <c r="L627">
        <v>1.363</v>
      </c>
      <c r="M627">
        <v>1.9</v>
      </c>
      <c r="N627">
        <v>0.17</v>
      </c>
      <c r="O627">
        <v>2.37</v>
      </c>
      <c r="P627">
        <v>0.59199999999999997</v>
      </c>
    </row>
    <row r="628" spans="1:16" x14ac:dyDescent="0.25">
      <c r="A628" s="1">
        <v>42101</v>
      </c>
      <c r="B628">
        <v>6.23</v>
      </c>
      <c r="C628">
        <v>147.27000000000001</v>
      </c>
      <c r="D628">
        <v>3.593</v>
      </c>
      <c r="E628">
        <v>10.8</v>
      </c>
      <c r="F628">
        <v>4.84</v>
      </c>
      <c r="G628">
        <v>1.38</v>
      </c>
      <c r="H628">
        <v>4.5999999999999996</v>
      </c>
      <c r="I628">
        <v>29.5</v>
      </c>
      <c r="J628">
        <v>15.29</v>
      </c>
      <c r="K628">
        <v>10.576000000000001</v>
      </c>
      <c r="L628">
        <v>1.383</v>
      </c>
      <c r="M628">
        <v>1.94</v>
      </c>
      <c r="N628">
        <v>0.16500000000000001</v>
      </c>
      <c r="O628">
        <v>2.38</v>
      </c>
      <c r="P628">
        <v>0.58199999999999996</v>
      </c>
    </row>
    <row r="629" spans="1:16" x14ac:dyDescent="0.25">
      <c r="A629" s="1">
        <v>42102</v>
      </c>
      <c r="B629">
        <v>6.1</v>
      </c>
      <c r="C629">
        <v>147.27000000000001</v>
      </c>
      <c r="D629">
        <v>3.6419999999999999</v>
      </c>
      <c r="E629">
        <v>10.6</v>
      </c>
      <c r="F629">
        <v>4.7</v>
      </c>
      <c r="G629">
        <v>1.39</v>
      </c>
      <c r="H629">
        <v>4.484</v>
      </c>
      <c r="I629">
        <v>29.5</v>
      </c>
      <c r="J629">
        <v>15.24</v>
      </c>
      <c r="K629">
        <v>10.654999999999999</v>
      </c>
      <c r="L629">
        <v>1.393</v>
      </c>
      <c r="M629">
        <v>1.96</v>
      </c>
      <c r="N629">
        <v>0.16500000000000001</v>
      </c>
      <c r="O629">
        <v>2.35</v>
      </c>
      <c r="P629">
        <v>0.56200000000000006</v>
      </c>
    </row>
    <row r="630" spans="1:16" x14ac:dyDescent="0.25">
      <c r="A630" s="1">
        <v>42103</v>
      </c>
      <c r="B630">
        <v>6.1</v>
      </c>
      <c r="C630">
        <v>148.85</v>
      </c>
      <c r="D630">
        <v>3.6669999999999998</v>
      </c>
      <c r="E630">
        <v>10.36</v>
      </c>
      <c r="F630">
        <v>4.7</v>
      </c>
      <c r="G630">
        <v>1.38</v>
      </c>
      <c r="H630">
        <v>4.484</v>
      </c>
      <c r="I630">
        <v>29.99</v>
      </c>
      <c r="J630">
        <v>15.25</v>
      </c>
      <c r="K630">
        <v>10.654999999999999</v>
      </c>
      <c r="L630">
        <v>1.393</v>
      </c>
      <c r="M630">
        <v>1.96</v>
      </c>
      <c r="N630">
        <v>0.16500000000000001</v>
      </c>
      <c r="O630">
        <v>2.35</v>
      </c>
      <c r="P630">
        <v>0.57199999999999995</v>
      </c>
    </row>
    <row r="631" spans="1:16" x14ac:dyDescent="0.25">
      <c r="A631" s="1">
        <v>42104</v>
      </c>
      <c r="B631">
        <v>6.1</v>
      </c>
      <c r="C631">
        <v>148.44999999999999</v>
      </c>
      <c r="D631">
        <v>3.6909999999999998</v>
      </c>
      <c r="E631">
        <v>10.72</v>
      </c>
      <c r="F631">
        <v>4.75</v>
      </c>
      <c r="G631">
        <v>1.38</v>
      </c>
      <c r="H631">
        <v>4.4640000000000004</v>
      </c>
      <c r="I631">
        <v>29.95</v>
      </c>
      <c r="J631">
        <v>15.25</v>
      </c>
      <c r="K631">
        <v>10.654999999999999</v>
      </c>
      <c r="L631">
        <v>1.393</v>
      </c>
      <c r="M631">
        <v>2</v>
      </c>
      <c r="N631">
        <v>0.16500000000000001</v>
      </c>
      <c r="O631">
        <v>2.35</v>
      </c>
      <c r="P631">
        <v>0.57199999999999995</v>
      </c>
    </row>
    <row r="632" spans="1:16" x14ac:dyDescent="0.25">
      <c r="A632" s="1">
        <v>42107</v>
      </c>
      <c r="B632">
        <v>6</v>
      </c>
      <c r="C632">
        <v>147.16999999999999</v>
      </c>
      <c r="D632">
        <v>3.6829999999999998</v>
      </c>
      <c r="E632">
        <v>10.71</v>
      </c>
      <c r="F632">
        <v>4.7300000000000004</v>
      </c>
      <c r="G632">
        <v>1.38</v>
      </c>
      <c r="H632">
        <v>4.4640000000000004</v>
      </c>
      <c r="I632">
        <v>29.95</v>
      </c>
      <c r="J632">
        <v>15.25</v>
      </c>
      <c r="K632">
        <v>10.66</v>
      </c>
      <c r="L632">
        <v>1.36</v>
      </c>
      <c r="M632">
        <v>2</v>
      </c>
      <c r="N632">
        <v>0.16500000000000001</v>
      </c>
      <c r="O632">
        <v>2.35</v>
      </c>
      <c r="P632">
        <v>0.58199999999999996</v>
      </c>
    </row>
    <row r="633" spans="1:16" x14ac:dyDescent="0.25">
      <c r="A633" s="1">
        <v>42108</v>
      </c>
      <c r="B633">
        <v>6.05</v>
      </c>
      <c r="C633">
        <v>147.96</v>
      </c>
      <c r="D633">
        <v>3.68</v>
      </c>
      <c r="E633">
        <v>10.8</v>
      </c>
      <c r="F633">
        <v>4.78</v>
      </c>
      <c r="G633">
        <v>1.31</v>
      </c>
      <c r="H633">
        <v>4.6769999999999996</v>
      </c>
      <c r="I633">
        <v>29.7</v>
      </c>
      <c r="J633">
        <v>15.25</v>
      </c>
      <c r="K633">
        <v>10.75</v>
      </c>
      <c r="L633">
        <v>1.36</v>
      </c>
      <c r="M633">
        <v>2.02</v>
      </c>
      <c r="N633">
        <v>0.16</v>
      </c>
      <c r="O633">
        <v>2.35</v>
      </c>
      <c r="P633">
        <v>0.59199999999999997</v>
      </c>
    </row>
    <row r="634" spans="1:16" x14ac:dyDescent="0.25">
      <c r="A634" s="1">
        <v>42109</v>
      </c>
      <c r="B634">
        <v>6.1</v>
      </c>
      <c r="C634">
        <v>148.65</v>
      </c>
      <c r="D634">
        <v>3.7149999999999999</v>
      </c>
      <c r="E634">
        <v>10.51</v>
      </c>
      <c r="F634">
        <v>4.74</v>
      </c>
      <c r="G634">
        <v>1.339</v>
      </c>
      <c r="H634">
        <v>4.6970000000000001</v>
      </c>
      <c r="I634">
        <v>30</v>
      </c>
      <c r="J634">
        <v>15.25</v>
      </c>
      <c r="K634">
        <v>10.9</v>
      </c>
      <c r="L634">
        <v>1.36</v>
      </c>
      <c r="M634">
        <v>2.0099999999999998</v>
      </c>
      <c r="N634">
        <v>0.17599999999999999</v>
      </c>
      <c r="O634">
        <v>2.3199999999999998</v>
      </c>
      <c r="P634">
        <v>0.59199999999999997</v>
      </c>
    </row>
    <row r="635" spans="1:16" x14ac:dyDescent="0.25">
      <c r="A635" s="1">
        <v>42110</v>
      </c>
      <c r="B635">
        <v>6.1</v>
      </c>
      <c r="C635">
        <v>151.06</v>
      </c>
      <c r="D635">
        <v>3.698</v>
      </c>
      <c r="E635">
        <v>10.56</v>
      </c>
      <c r="F635">
        <v>4.7</v>
      </c>
      <c r="G635">
        <v>1.33</v>
      </c>
      <c r="H635">
        <v>4.8419999999999996</v>
      </c>
      <c r="I635">
        <v>30</v>
      </c>
      <c r="J635">
        <v>15.25</v>
      </c>
      <c r="K635">
        <v>11.12</v>
      </c>
      <c r="L635">
        <v>1.36</v>
      </c>
      <c r="M635">
        <v>2</v>
      </c>
      <c r="N635">
        <v>0.18</v>
      </c>
      <c r="O635">
        <v>2.2999999999999998</v>
      </c>
      <c r="P635">
        <v>0.59199999999999997</v>
      </c>
    </row>
    <row r="636" spans="1:16" x14ac:dyDescent="0.25">
      <c r="A636" s="1">
        <v>42111</v>
      </c>
      <c r="B636">
        <v>6</v>
      </c>
      <c r="C636">
        <v>147.6</v>
      </c>
      <c r="D636">
        <v>3.706</v>
      </c>
      <c r="E636">
        <v>10.56</v>
      </c>
      <c r="F636">
        <v>4.5</v>
      </c>
      <c r="G636">
        <v>1.33</v>
      </c>
      <c r="H636">
        <v>4.8710000000000004</v>
      </c>
      <c r="I636">
        <v>29.8</v>
      </c>
      <c r="J636">
        <v>15.25</v>
      </c>
      <c r="K636">
        <v>11.12</v>
      </c>
      <c r="L636">
        <v>1.33</v>
      </c>
      <c r="M636">
        <v>1.96</v>
      </c>
      <c r="N636">
        <v>0.18</v>
      </c>
      <c r="O636">
        <v>2.31</v>
      </c>
      <c r="P636">
        <v>0.6</v>
      </c>
    </row>
    <row r="637" spans="1:16" x14ac:dyDescent="0.25">
      <c r="A637" s="1">
        <v>42114</v>
      </c>
      <c r="B637">
        <v>6.1</v>
      </c>
      <c r="C637">
        <v>148</v>
      </c>
      <c r="D637">
        <v>3.6890000000000001</v>
      </c>
      <c r="E637">
        <v>10.55</v>
      </c>
      <c r="F637">
        <v>4.3</v>
      </c>
      <c r="G637">
        <v>1.33</v>
      </c>
      <c r="H637">
        <v>4.8899999999999997</v>
      </c>
      <c r="I637">
        <v>29.9</v>
      </c>
      <c r="J637">
        <v>15.25</v>
      </c>
      <c r="K637">
        <v>11</v>
      </c>
      <c r="L637">
        <v>1.33</v>
      </c>
      <c r="M637">
        <v>1.86</v>
      </c>
      <c r="N637">
        <v>0.18</v>
      </c>
      <c r="O637">
        <v>2.35</v>
      </c>
      <c r="P637">
        <v>0.57999999999999996</v>
      </c>
    </row>
    <row r="638" spans="1:16" x14ac:dyDescent="0.25">
      <c r="A638" s="1">
        <v>42115</v>
      </c>
      <c r="B638">
        <v>6</v>
      </c>
      <c r="C638">
        <v>148.4</v>
      </c>
      <c r="D638">
        <v>3.6720000000000002</v>
      </c>
      <c r="E638">
        <v>10.85</v>
      </c>
      <c r="F638">
        <v>4.43</v>
      </c>
      <c r="G638">
        <v>1.32</v>
      </c>
      <c r="H638">
        <v>4.9000000000000004</v>
      </c>
      <c r="I638">
        <v>29.9</v>
      </c>
      <c r="J638">
        <v>15.25</v>
      </c>
      <c r="K638">
        <v>10.9</v>
      </c>
      <c r="L638">
        <v>1.35</v>
      </c>
      <c r="M638">
        <v>1.93</v>
      </c>
      <c r="N638">
        <v>0.17899999999999999</v>
      </c>
      <c r="O638">
        <v>2.35</v>
      </c>
      <c r="P638">
        <v>0.55000000000000004</v>
      </c>
    </row>
    <row r="639" spans="1:16" x14ac:dyDescent="0.25">
      <c r="A639" s="1">
        <v>42116</v>
      </c>
      <c r="B639">
        <v>6</v>
      </c>
      <c r="C639">
        <v>148.72999999999999</v>
      </c>
      <c r="D639">
        <v>3.6629999999999998</v>
      </c>
      <c r="E639">
        <v>10.94</v>
      </c>
      <c r="F639">
        <v>4.43</v>
      </c>
      <c r="G639">
        <v>1.32</v>
      </c>
      <c r="H639">
        <v>5.0599999999999996</v>
      </c>
      <c r="I639">
        <v>30</v>
      </c>
      <c r="J639">
        <v>15.25</v>
      </c>
      <c r="K639">
        <v>10.75</v>
      </c>
      <c r="L639">
        <v>1.35</v>
      </c>
      <c r="M639">
        <v>1.93</v>
      </c>
      <c r="N639">
        <v>0.18</v>
      </c>
      <c r="O639">
        <v>2.35</v>
      </c>
      <c r="P639">
        <v>0.56000000000000005</v>
      </c>
    </row>
    <row r="640" spans="1:16" x14ac:dyDescent="0.25">
      <c r="A640" s="1">
        <v>42117</v>
      </c>
      <c r="B640">
        <v>5.95</v>
      </c>
      <c r="C640">
        <v>150</v>
      </c>
      <c r="D640">
        <v>3.6720000000000002</v>
      </c>
      <c r="E640">
        <v>11</v>
      </c>
      <c r="F640">
        <v>4.4000000000000004</v>
      </c>
      <c r="G640">
        <v>1.32</v>
      </c>
      <c r="H640">
        <v>5.0199999999999996</v>
      </c>
      <c r="I640">
        <v>30</v>
      </c>
      <c r="J640">
        <v>15</v>
      </c>
      <c r="K640">
        <v>10.7</v>
      </c>
      <c r="L640">
        <v>1.35</v>
      </c>
      <c r="M640">
        <v>1.97</v>
      </c>
      <c r="N640">
        <v>0.17799999999999999</v>
      </c>
      <c r="O640">
        <v>2.35</v>
      </c>
      <c r="P640">
        <v>0.59</v>
      </c>
    </row>
    <row r="641" spans="1:16" x14ac:dyDescent="0.25">
      <c r="A641" s="1">
        <v>42118</v>
      </c>
      <c r="B641">
        <v>6</v>
      </c>
      <c r="C641">
        <v>150</v>
      </c>
      <c r="D641">
        <v>3.6549999999999998</v>
      </c>
      <c r="E641">
        <v>11.11</v>
      </c>
      <c r="F641">
        <v>4.43</v>
      </c>
      <c r="G641">
        <v>1.32</v>
      </c>
      <c r="H641">
        <v>5.12</v>
      </c>
      <c r="I641">
        <v>30.1</v>
      </c>
      <c r="J641">
        <v>15</v>
      </c>
      <c r="K641">
        <v>10.65</v>
      </c>
      <c r="L641">
        <v>1.35</v>
      </c>
      <c r="M641">
        <v>1.97</v>
      </c>
      <c r="N641">
        <v>0.17799999999999999</v>
      </c>
      <c r="O641">
        <v>2.2679999999999998</v>
      </c>
      <c r="P641">
        <v>0.57999999999999996</v>
      </c>
    </row>
    <row r="642" spans="1:16" x14ac:dyDescent="0.25">
      <c r="A642" s="1">
        <v>42121</v>
      </c>
      <c r="B642">
        <v>6.05</v>
      </c>
      <c r="C642">
        <v>151.6</v>
      </c>
      <c r="D642">
        <v>3.6459999999999999</v>
      </c>
      <c r="E642">
        <v>11.15</v>
      </c>
      <c r="F642">
        <v>4.53</v>
      </c>
      <c r="G642">
        <v>1.33</v>
      </c>
      <c r="H642">
        <v>5.3</v>
      </c>
      <c r="I642">
        <v>28.25</v>
      </c>
      <c r="J642">
        <v>15</v>
      </c>
      <c r="K642">
        <v>10.64</v>
      </c>
      <c r="L642">
        <v>1.35</v>
      </c>
      <c r="M642">
        <v>2</v>
      </c>
      <c r="N642">
        <v>0.17799999999999999</v>
      </c>
      <c r="O642">
        <v>2.298</v>
      </c>
      <c r="P642">
        <v>0.59</v>
      </c>
    </row>
    <row r="643" spans="1:16" x14ac:dyDescent="0.25">
      <c r="A643" s="1">
        <v>42122</v>
      </c>
      <c r="B643">
        <v>6.08</v>
      </c>
      <c r="C643">
        <v>151</v>
      </c>
      <c r="D643">
        <v>3.6030000000000002</v>
      </c>
      <c r="E643">
        <v>11.11</v>
      </c>
      <c r="F643">
        <v>4.5999999999999996</v>
      </c>
      <c r="G643">
        <v>1.33</v>
      </c>
      <c r="H643">
        <v>5.4</v>
      </c>
      <c r="I643">
        <v>28.25</v>
      </c>
      <c r="J643">
        <v>15</v>
      </c>
      <c r="K643">
        <v>10.64</v>
      </c>
      <c r="L643">
        <v>1.32</v>
      </c>
      <c r="M643">
        <v>2</v>
      </c>
      <c r="N643">
        <v>0.17799999999999999</v>
      </c>
      <c r="O643">
        <v>2.3079999999999998</v>
      </c>
      <c r="P643">
        <v>0.57999999999999996</v>
      </c>
    </row>
    <row r="644" spans="1:16" x14ac:dyDescent="0.25">
      <c r="A644" s="1">
        <v>42123</v>
      </c>
      <c r="B644">
        <v>6.05</v>
      </c>
      <c r="C644">
        <v>151</v>
      </c>
      <c r="D644">
        <v>3.6030000000000002</v>
      </c>
      <c r="E644">
        <v>10.9</v>
      </c>
      <c r="F644">
        <v>4.8499999999999996</v>
      </c>
      <c r="G644">
        <v>1.33</v>
      </c>
      <c r="H644">
        <v>5.09</v>
      </c>
      <c r="I644">
        <v>28.25</v>
      </c>
      <c r="J644">
        <v>15</v>
      </c>
      <c r="K644">
        <v>10.64</v>
      </c>
      <c r="L644">
        <v>1.35</v>
      </c>
      <c r="M644">
        <v>2.0099999999999998</v>
      </c>
      <c r="N644">
        <v>0.17799999999999999</v>
      </c>
      <c r="O644">
        <v>2.3479999999999999</v>
      </c>
      <c r="P644">
        <v>0.6</v>
      </c>
    </row>
    <row r="645" spans="1:16" x14ac:dyDescent="0.25">
      <c r="A645" s="1">
        <v>42124</v>
      </c>
      <c r="B645">
        <v>6.05</v>
      </c>
      <c r="C645">
        <v>150.44999999999999</v>
      </c>
      <c r="D645">
        <v>3.629</v>
      </c>
      <c r="E645">
        <v>11.1</v>
      </c>
      <c r="F645">
        <v>4.99</v>
      </c>
      <c r="G645">
        <v>1.37</v>
      </c>
      <c r="H645">
        <v>5.05</v>
      </c>
      <c r="I645">
        <v>28.241</v>
      </c>
      <c r="J645">
        <v>14.9</v>
      </c>
      <c r="K645">
        <v>10.67</v>
      </c>
      <c r="L645">
        <v>1.31</v>
      </c>
      <c r="M645">
        <v>2.0099999999999998</v>
      </c>
      <c r="N645">
        <v>0.17799999999999999</v>
      </c>
      <c r="O645">
        <v>2.4369999999999998</v>
      </c>
      <c r="P645">
        <v>0.61</v>
      </c>
    </row>
    <row r="646" spans="1:16" x14ac:dyDescent="0.25">
      <c r="A646" s="1">
        <v>42128</v>
      </c>
      <c r="B646">
        <v>6.01</v>
      </c>
      <c r="C646">
        <v>156.19999999999999</v>
      </c>
      <c r="D646">
        <v>3.6549999999999998</v>
      </c>
      <c r="E646">
        <v>11.2</v>
      </c>
      <c r="F646">
        <v>5</v>
      </c>
      <c r="G646">
        <v>1.38</v>
      </c>
      <c r="H646">
        <v>5.0999999999999996</v>
      </c>
      <c r="I646">
        <v>28.042999999999999</v>
      </c>
      <c r="J646">
        <v>14.9</v>
      </c>
      <c r="K646">
        <v>10.7</v>
      </c>
      <c r="L646">
        <v>1.3</v>
      </c>
      <c r="M646">
        <v>2.02</v>
      </c>
      <c r="N646">
        <v>0.18</v>
      </c>
      <c r="O646">
        <v>2.4369999999999998</v>
      </c>
      <c r="P646">
        <v>0.63</v>
      </c>
    </row>
    <row r="647" spans="1:16" x14ac:dyDescent="0.25">
      <c r="A647" s="1">
        <v>42129</v>
      </c>
      <c r="B647">
        <v>5.96</v>
      </c>
      <c r="C647">
        <v>155.5</v>
      </c>
      <c r="D647">
        <v>3.6720000000000002</v>
      </c>
      <c r="E647">
        <v>11.37</v>
      </c>
      <c r="F647">
        <v>5</v>
      </c>
      <c r="G647">
        <v>1.39</v>
      </c>
      <c r="H647">
        <v>5.17</v>
      </c>
      <c r="I647">
        <v>27.4</v>
      </c>
      <c r="J647">
        <v>14.8</v>
      </c>
      <c r="K647">
        <v>10.76</v>
      </c>
      <c r="L647">
        <v>1.31</v>
      </c>
      <c r="M647">
        <v>2.0499999999999998</v>
      </c>
      <c r="N647">
        <v>0.19900000000000001</v>
      </c>
      <c r="O647">
        <v>2.46</v>
      </c>
      <c r="P647">
        <v>0.65</v>
      </c>
    </row>
    <row r="648" spans="1:16" x14ac:dyDescent="0.25">
      <c r="A648" s="1">
        <v>42130</v>
      </c>
      <c r="B648">
        <v>5.96</v>
      </c>
      <c r="C648">
        <v>154</v>
      </c>
      <c r="D648">
        <v>3.6549999999999998</v>
      </c>
      <c r="E648">
        <v>11.09</v>
      </c>
      <c r="F648">
        <v>5.07</v>
      </c>
      <c r="G648">
        <v>1.38</v>
      </c>
      <c r="H648">
        <v>5.16</v>
      </c>
      <c r="I648">
        <v>28.35</v>
      </c>
      <c r="J648">
        <v>14.8</v>
      </c>
      <c r="K648">
        <v>11</v>
      </c>
      <c r="L648">
        <v>1.28</v>
      </c>
      <c r="M648">
        <v>2.06</v>
      </c>
      <c r="N648">
        <v>0.20300000000000001</v>
      </c>
      <c r="O648">
        <v>2.4500000000000002</v>
      </c>
      <c r="P648">
        <v>0.65</v>
      </c>
    </row>
    <row r="649" spans="1:16" x14ac:dyDescent="0.25">
      <c r="A649" s="1">
        <v>42131</v>
      </c>
      <c r="B649">
        <v>5.93</v>
      </c>
      <c r="C649">
        <v>152</v>
      </c>
      <c r="D649">
        <v>3.6549999999999998</v>
      </c>
      <c r="E649">
        <v>11.12</v>
      </c>
      <c r="F649">
        <v>5.0199999999999996</v>
      </c>
      <c r="G649">
        <v>1.38</v>
      </c>
      <c r="H649">
        <v>5.14</v>
      </c>
      <c r="I649">
        <v>28.5</v>
      </c>
      <c r="J649">
        <v>14.8</v>
      </c>
      <c r="K649">
        <v>10.85</v>
      </c>
      <c r="L649">
        <v>1.24</v>
      </c>
      <c r="M649">
        <v>2.0499999999999998</v>
      </c>
      <c r="N649">
        <v>0.20300000000000001</v>
      </c>
      <c r="O649">
        <v>2.4700000000000002</v>
      </c>
      <c r="P649">
        <v>0.65</v>
      </c>
    </row>
    <row r="650" spans="1:16" x14ac:dyDescent="0.25">
      <c r="A650" s="1">
        <v>42132</v>
      </c>
      <c r="B650">
        <v>5.85</v>
      </c>
      <c r="C650">
        <v>152</v>
      </c>
      <c r="D650">
        <v>3.6459999999999999</v>
      </c>
      <c r="E650">
        <v>11</v>
      </c>
      <c r="F650">
        <v>5</v>
      </c>
      <c r="G650">
        <v>1.39</v>
      </c>
      <c r="H650">
        <v>5.14</v>
      </c>
      <c r="I650">
        <v>28.8</v>
      </c>
      <c r="J650">
        <v>15</v>
      </c>
      <c r="K650">
        <v>10.9</v>
      </c>
      <c r="L650">
        <v>1.2</v>
      </c>
      <c r="M650">
        <v>2.04</v>
      </c>
      <c r="N650">
        <v>0.19500000000000001</v>
      </c>
      <c r="O650">
        <v>2.4700000000000002</v>
      </c>
      <c r="P650">
        <v>0.66</v>
      </c>
    </row>
    <row r="651" spans="1:16" x14ac:dyDescent="0.25">
      <c r="A651" s="1">
        <v>42135</v>
      </c>
      <c r="B651">
        <v>5.84</v>
      </c>
      <c r="C651">
        <v>154.65</v>
      </c>
      <c r="D651">
        <v>3.6549999999999998</v>
      </c>
      <c r="E651">
        <v>11</v>
      </c>
      <c r="F651">
        <v>4.9800000000000004</v>
      </c>
      <c r="G651">
        <v>1.37</v>
      </c>
      <c r="H651">
        <v>5.14</v>
      </c>
      <c r="I651">
        <v>29</v>
      </c>
      <c r="J651">
        <v>15</v>
      </c>
      <c r="K651">
        <v>10.89</v>
      </c>
      <c r="L651">
        <v>1.18</v>
      </c>
      <c r="M651">
        <v>2.02</v>
      </c>
      <c r="N651">
        <v>0.19500000000000001</v>
      </c>
      <c r="O651">
        <v>2.42</v>
      </c>
      <c r="P651">
        <v>0.68</v>
      </c>
    </row>
    <row r="652" spans="1:16" x14ac:dyDescent="0.25">
      <c r="A652" s="1">
        <v>42136</v>
      </c>
      <c r="B652">
        <v>5.8</v>
      </c>
      <c r="C652">
        <v>152.35</v>
      </c>
      <c r="D652">
        <v>3.6549999999999998</v>
      </c>
      <c r="E652">
        <v>11.3</v>
      </c>
      <c r="F652">
        <v>5.05</v>
      </c>
      <c r="G652">
        <v>1.38</v>
      </c>
      <c r="H652">
        <v>5.25</v>
      </c>
      <c r="I652">
        <v>29.1</v>
      </c>
      <c r="J652">
        <v>15.1</v>
      </c>
      <c r="K652">
        <v>10.89</v>
      </c>
      <c r="L652">
        <v>1.1499999999999999</v>
      </c>
      <c r="M652">
        <v>2.04</v>
      </c>
      <c r="N652">
        <v>0.19500000000000001</v>
      </c>
      <c r="O652">
        <v>2.4500000000000002</v>
      </c>
      <c r="P652">
        <v>0.7</v>
      </c>
    </row>
    <row r="653" spans="1:16" x14ac:dyDescent="0.25">
      <c r="A653" s="1">
        <v>42137</v>
      </c>
      <c r="B653">
        <v>5.8</v>
      </c>
      <c r="C653">
        <v>153</v>
      </c>
      <c r="D653">
        <v>3.6720000000000002</v>
      </c>
      <c r="E653">
        <v>11.89</v>
      </c>
      <c r="F653">
        <v>4.5</v>
      </c>
      <c r="G653">
        <v>1.38</v>
      </c>
      <c r="H653">
        <v>5.45</v>
      </c>
      <c r="I653">
        <v>29</v>
      </c>
      <c r="J653">
        <v>15.1</v>
      </c>
      <c r="K653">
        <v>10.9</v>
      </c>
      <c r="L653">
        <v>1.1599999999999999</v>
      </c>
      <c r="M653">
        <v>2.11</v>
      </c>
      <c r="N653">
        <v>0.2</v>
      </c>
      <c r="O653">
        <v>2.42</v>
      </c>
      <c r="P653">
        <v>0.7</v>
      </c>
    </row>
    <row r="654" spans="1:16" x14ac:dyDescent="0.25">
      <c r="A654" s="1">
        <v>42138</v>
      </c>
      <c r="B654">
        <v>5.76</v>
      </c>
      <c r="C654">
        <v>151</v>
      </c>
      <c r="D654">
        <v>3.6720000000000002</v>
      </c>
      <c r="E654">
        <v>12.31</v>
      </c>
      <c r="F654">
        <v>4.5</v>
      </c>
      <c r="G654">
        <v>1.37</v>
      </c>
      <c r="H654">
        <v>5.3</v>
      </c>
      <c r="I654">
        <v>29.2</v>
      </c>
      <c r="J654">
        <v>15.1</v>
      </c>
      <c r="K654">
        <v>11.01</v>
      </c>
      <c r="L654">
        <v>1.2</v>
      </c>
      <c r="M654">
        <v>2.11</v>
      </c>
      <c r="N654">
        <v>0.21</v>
      </c>
      <c r="O654">
        <v>2.42</v>
      </c>
      <c r="P654">
        <v>0.71</v>
      </c>
    </row>
    <row r="655" spans="1:16" x14ac:dyDescent="0.25">
      <c r="A655" s="1">
        <v>42139</v>
      </c>
      <c r="B655">
        <v>5.75</v>
      </c>
      <c r="C655">
        <v>150.01</v>
      </c>
      <c r="D655">
        <v>3.6629999999999998</v>
      </c>
      <c r="E655">
        <v>12.34</v>
      </c>
      <c r="F655">
        <v>5.05</v>
      </c>
      <c r="G655">
        <v>1.4</v>
      </c>
      <c r="H655">
        <v>5.25</v>
      </c>
      <c r="I655">
        <v>29.5</v>
      </c>
      <c r="J655">
        <v>15.1</v>
      </c>
      <c r="K655">
        <v>11.01</v>
      </c>
      <c r="L655">
        <v>1.24</v>
      </c>
      <c r="M655">
        <v>2.13</v>
      </c>
      <c r="N655">
        <v>0.22500000000000001</v>
      </c>
      <c r="O655">
        <v>2.4</v>
      </c>
      <c r="P655">
        <v>0.73</v>
      </c>
    </row>
    <row r="656" spans="1:16" x14ac:dyDescent="0.25">
      <c r="A656" s="1">
        <v>42142</v>
      </c>
      <c r="B656">
        <v>5.7</v>
      </c>
      <c r="C656">
        <v>146.69999999999999</v>
      </c>
      <c r="D656">
        <v>3.6890000000000001</v>
      </c>
      <c r="E656">
        <v>11.9</v>
      </c>
      <c r="F656">
        <v>5.05</v>
      </c>
      <c r="G656">
        <v>1.37</v>
      </c>
      <c r="H656">
        <v>5.25</v>
      </c>
      <c r="I656">
        <v>29.3</v>
      </c>
      <c r="J656">
        <v>15.1</v>
      </c>
      <c r="K656">
        <v>11.03</v>
      </c>
      <c r="L656">
        <v>1.25</v>
      </c>
      <c r="M656">
        <v>2.14</v>
      </c>
      <c r="N656">
        <v>0.22500000000000001</v>
      </c>
      <c r="O656">
        <v>2.4</v>
      </c>
      <c r="P656">
        <v>0.72</v>
      </c>
    </row>
    <row r="657" spans="1:16" x14ac:dyDescent="0.25">
      <c r="A657" s="1">
        <v>42143</v>
      </c>
      <c r="B657">
        <v>5.72</v>
      </c>
      <c r="C657">
        <v>146.5</v>
      </c>
      <c r="D657">
        <v>3.68</v>
      </c>
      <c r="E657">
        <v>11.65</v>
      </c>
      <c r="F657">
        <v>4.9000000000000004</v>
      </c>
      <c r="G657">
        <v>1.37</v>
      </c>
      <c r="H657">
        <v>5.21</v>
      </c>
      <c r="I657">
        <v>29.3</v>
      </c>
      <c r="J657">
        <v>14.85</v>
      </c>
      <c r="K657">
        <v>11</v>
      </c>
      <c r="L657">
        <v>1.26</v>
      </c>
      <c r="M657">
        <v>2.12</v>
      </c>
      <c r="N657">
        <v>0.219</v>
      </c>
      <c r="O657">
        <v>2.33</v>
      </c>
      <c r="P657">
        <v>0.69</v>
      </c>
    </row>
    <row r="658" spans="1:16" x14ac:dyDescent="0.25">
      <c r="A658" s="1">
        <v>42144</v>
      </c>
      <c r="B658">
        <v>5.72</v>
      </c>
      <c r="C658">
        <v>146.01</v>
      </c>
      <c r="D658">
        <v>3.68</v>
      </c>
      <c r="E658">
        <v>11.6</v>
      </c>
      <c r="F658">
        <v>4.88</v>
      </c>
      <c r="G658">
        <v>1.38</v>
      </c>
      <c r="H658">
        <v>5.13</v>
      </c>
      <c r="I658">
        <v>29.3</v>
      </c>
      <c r="J658">
        <v>14.85</v>
      </c>
      <c r="K658">
        <v>11</v>
      </c>
      <c r="L658">
        <v>1.27</v>
      </c>
      <c r="M658">
        <v>2.12</v>
      </c>
      <c r="N658">
        <v>0.22</v>
      </c>
      <c r="O658">
        <v>2.35</v>
      </c>
      <c r="P658">
        <v>0.68</v>
      </c>
    </row>
    <row r="659" spans="1:16" x14ac:dyDescent="0.25">
      <c r="A659" s="1">
        <v>42145</v>
      </c>
      <c r="B659">
        <v>5.7</v>
      </c>
      <c r="C659">
        <v>145.6</v>
      </c>
      <c r="D659">
        <v>3.68</v>
      </c>
      <c r="E659">
        <v>11.35</v>
      </c>
      <c r="F659">
        <v>4.8</v>
      </c>
      <c r="G659">
        <v>1.38</v>
      </c>
      <c r="H659">
        <v>5</v>
      </c>
      <c r="I659">
        <v>29.3</v>
      </c>
      <c r="J659">
        <v>14.85</v>
      </c>
      <c r="K659">
        <v>11</v>
      </c>
      <c r="L659">
        <v>1.26</v>
      </c>
      <c r="M659">
        <v>2.1800000000000002</v>
      </c>
      <c r="N659">
        <v>0.215</v>
      </c>
      <c r="O659">
        <v>2.37</v>
      </c>
      <c r="P659">
        <v>0.69</v>
      </c>
    </row>
    <row r="660" spans="1:16" x14ac:dyDescent="0.25">
      <c r="A660" s="1">
        <v>42146</v>
      </c>
      <c r="B660">
        <v>5.7</v>
      </c>
      <c r="C660">
        <v>147</v>
      </c>
      <c r="D660">
        <v>3.68</v>
      </c>
      <c r="E660">
        <v>11.38</v>
      </c>
      <c r="F660">
        <v>4.88</v>
      </c>
      <c r="G660">
        <v>1.38</v>
      </c>
      <c r="H660">
        <v>5</v>
      </c>
      <c r="I660">
        <v>28.75</v>
      </c>
      <c r="J660">
        <v>14.81</v>
      </c>
      <c r="K660">
        <v>11</v>
      </c>
      <c r="L660">
        <v>1.26</v>
      </c>
      <c r="M660">
        <v>2.15</v>
      </c>
      <c r="N660">
        <v>0.22</v>
      </c>
      <c r="O660">
        <v>2.38</v>
      </c>
      <c r="P660">
        <v>0.68</v>
      </c>
    </row>
    <row r="661" spans="1:16" x14ac:dyDescent="0.25">
      <c r="A661" s="1">
        <v>42149</v>
      </c>
      <c r="B661">
        <v>5.85</v>
      </c>
      <c r="C661">
        <v>147</v>
      </c>
      <c r="D661">
        <v>3.68</v>
      </c>
      <c r="E661">
        <v>11.25</v>
      </c>
      <c r="F661">
        <v>4.88</v>
      </c>
      <c r="G661">
        <v>1.38</v>
      </c>
      <c r="H661">
        <v>5</v>
      </c>
      <c r="I661">
        <v>28.75</v>
      </c>
      <c r="J661">
        <v>14.81</v>
      </c>
      <c r="K661">
        <v>11.1</v>
      </c>
      <c r="L661">
        <v>1.25</v>
      </c>
      <c r="M661">
        <v>2.16</v>
      </c>
      <c r="N661">
        <v>0.22</v>
      </c>
      <c r="O661">
        <v>2.38</v>
      </c>
      <c r="P661">
        <v>0.68</v>
      </c>
    </row>
    <row r="662" spans="1:16" x14ac:dyDescent="0.25">
      <c r="A662" s="1">
        <v>42150</v>
      </c>
      <c r="B662">
        <v>5.8</v>
      </c>
      <c r="C662">
        <v>143.69999999999999</v>
      </c>
      <c r="D662">
        <v>3.68</v>
      </c>
      <c r="E662">
        <v>11.2</v>
      </c>
      <c r="F662">
        <v>4.74</v>
      </c>
      <c r="G662">
        <v>1.37</v>
      </c>
      <c r="H662">
        <v>4.8099999999999996</v>
      </c>
      <c r="I662">
        <v>28.4</v>
      </c>
      <c r="J662">
        <v>14.5</v>
      </c>
      <c r="K662">
        <v>11.1</v>
      </c>
      <c r="L662">
        <v>1.24</v>
      </c>
      <c r="M662">
        <v>2.15</v>
      </c>
      <c r="N662">
        <v>0.22</v>
      </c>
      <c r="O662">
        <v>2.33</v>
      </c>
      <c r="P662">
        <v>0.69</v>
      </c>
    </row>
    <row r="663" spans="1:16" x14ac:dyDescent="0.25">
      <c r="A663" s="1">
        <v>42151</v>
      </c>
      <c r="B663">
        <v>5.8</v>
      </c>
      <c r="C663">
        <v>141.4</v>
      </c>
      <c r="D663">
        <v>3.6549999999999998</v>
      </c>
      <c r="E663">
        <v>11.19</v>
      </c>
      <c r="F663">
        <v>4.8</v>
      </c>
      <c r="G663">
        <v>1.38</v>
      </c>
      <c r="H663">
        <v>4.8099999999999996</v>
      </c>
      <c r="I663">
        <v>28.5</v>
      </c>
      <c r="J663">
        <v>14.45</v>
      </c>
      <c r="K663">
        <v>11.1</v>
      </c>
      <c r="L663">
        <v>1.24</v>
      </c>
      <c r="M663">
        <v>2.16</v>
      </c>
      <c r="N663">
        <v>0.22</v>
      </c>
      <c r="O663">
        <v>2.3199999999999998</v>
      </c>
      <c r="P663">
        <v>0.68</v>
      </c>
    </row>
    <row r="664" spans="1:16" x14ac:dyDescent="0.25">
      <c r="A664" s="1">
        <v>42152</v>
      </c>
      <c r="B664">
        <v>5.65</v>
      </c>
      <c r="C664">
        <v>141.5</v>
      </c>
      <c r="D664">
        <v>3.6549999999999998</v>
      </c>
      <c r="E664">
        <v>11.4</v>
      </c>
      <c r="F664">
        <v>4.8</v>
      </c>
      <c r="G664">
        <v>1.38</v>
      </c>
      <c r="H664">
        <v>4.78</v>
      </c>
      <c r="I664">
        <v>29</v>
      </c>
      <c r="J664">
        <v>14.45</v>
      </c>
      <c r="K664">
        <v>10.99</v>
      </c>
      <c r="L664">
        <v>1.23</v>
      </c>
      <c r="M664">
        <v>2.17</v>
      </c>
      <c r="N664">
        <v>0.21</v>
      </c>
      <c r="O664">
        <v>2.3199999999999998</v>
      </c>
      <c r="P664">
        <v>0.67</v>
      </c>
    </row>
    <row r="665" spans="1:16" x14ac:dyDescent="0.25">
      <c r="A665" s="1">
        <v>42153</v>
      </c>
      <c r="B665">
        <v>5.71</v>
      </c>
      <c r="C665">
        <v>141.19999999999999</v>
      </c>
      <c r="D665">
        <v>3.68</v>
      </c>
      <c r="E665">
        <v>11.23</v>
      </c>
      <c r="F665">
        <v>4.95</v>
      </c>
      <c r="G665">
        <v>1.43</v>
      </c>
      <c r="H665">
        <v>5</v>
      </c>
      <c r="I665">
        <v>29.29</v>
      </c>
      <c r="J665">
        <v>14.75</v>
      </c>
      <c r="K665">
        <v>11</v>
      </c>
      <c r="L665">
        <v>1.2</v>
      </c>
      <c r="M665">
        <v>2.23</v>
      </c>
      <c r="N665">
        <v>0.2</v>
      </c>
      <c r="O665">
        <v>2.4</v>
      </c>
      <c r="P665">
        <v>0.7</v>
      </c>
    </row>
    <row r="666" spans="1:16" x14ac:dyDescent="0.25">
      <c r="A666" s="1">
        <v>42156</v>
      </c>
      <c r="B666">
        <v>5.7</v>
      </c>
      <c r="C666">
        <v>140.69999999999999</v>
      </c>
      <c r="D666">
        <v>3.68</v>
      </c>
      <c r="E666">
        <v>11</v>
      </c>
      <c r="F666">
        <v>4.88</v>
      </c>
      <c r="G666">
        <v>1.43</v>
      </c>
      <c r="H666">
        <v>4.75</v>
      </c>
      <c r="I666">
        <v>29.19</v>
      </c>
      <c r="J666">
        <v>14.75</v>
      </c>
      <c r="K666">
        <v>10.851000000000001</v>
      </c>
      <c r="L666">
        <v>1.18</v>
      </c>
      <c r="M666">
        <v>2.23</v>
      </c>
      <c r="N666">
        <v>0.2</v>
      </c>
      <c r="O666">
        <v>2.37</v>
      </c>
      <c r="P666">
        <v>0.67</v>
      </c>
    </row>
    <row r="667" spans="1:16" x14ac:dyDescent="0.25">
      <c r="A667" s="1">
        <v>42157</v>
      </c>
      <c r="B667">
        <v>5.6</v>
      </c>
      <c r="C667">
        <v>144.19999999999999</v>
      </c>
      <c r="D667">
        <v>3.6890000000000001</v>
      </c>
      <c r="E667">
        <v>11.2</v>
      </c>
      <c r="F667">
        <v>4.8099999999999996</v>
      </c>
      <c r="G667">
        <v>1.41</v>
      </c>
      <c r="H667">
        <v>4.8</v>
      </c>
      <c r="I667">
        <v>29.5</v>
      </c>
      <c r="J667">
        <v>14.75</v>
      </c>
      <c r="K667">
        <v>10.851000000000001</v>
      </c>
      <c r="L667">
        <v>1.18</v>
      </c>
      <c r="M667">
        <v>2.1800000000000002</v>
      </c>
      <c r="N667">
        <v>0.2</v>
      </c>
      <c r="O667">
        <v>2.36</v>
      </c>
      <c r="P667">
        <v>0.69</v>
      </c>
    </row>
    <row r="668" spans="1:16" x14ac:dyDescent="0.25">
      <c r="A668" s="1">
        <v>42158</v>
      </c>
      <c r="B668">
        <v>5.6</v>
      </c>
      <c r="C668">
        <v>143</v>
      </c>
      <c r="D668">
        <v>3.68</v>
      </c>
      <c r="E668">
        <v>10.9</v>
      </c>
      <c r="F668">
        <v>4.8</v>
      </c>
      <c r="G668">
        <v>1.41</v>
      </c>
      <c r="H668">
        <v>4.8</v>
      </c>
      <c r="I668">
        <v>29.49</v>
      </c>
      <c r="J668">
        <v>15</v>
      </c>
      <c r="K668">
        <v>10.861000000000001</v>
      </c>
      <c r="L668">
        <v>1.18</v>
      </c>
      <c r="M668">
        <v>2.2000000000000002</v>
      </c>
      <c r="N668">
        <v>0.21</v>
      </c>
      <c r="O668">
        <v>2.36</v>
      </c>
      <c r="P668">
        <v>0.7</v>
      </c>
    </row>
    <row r="669" spans="1:16" x14ac:dyDescent="0.25">
      <c r="A669" s="1">
        <v>42159</v>
      </c>
      <c r="B669">
        <v>5.71</v>
      </c>
      <c r="C669">
        <v>141.1</v>
      </c>
      <c r="D669">
        <v>3.68</v>
      </c>
      <c r="E669">
        <v>10.93</v>
      </c>
      <c r="F669">
        <v>4.78</v>
      </c>
      <c r="G669">
        <v>1.41</v>
      </c>
      <c r="H669">
        <v>4.7300000000000004</v>
      </c>
      <c r="I669">
        <v>29.49</v>
      </c>
      <c r="J669">
        <v>15</v>
      </c>
      <c r="K669">
        <v>10.88</v>
      </c>
      <c r="L669">
        <v>1.19</v>
      </c>
      <c r="M669">
        <v>2.16</v>
      </c>
      <c r="N669">
        <v>0.20899999999999999</v>
      </c>
      <c r="O669">
        <v>2.35</v>
      </c>
      <c r="P669">
        <v>0.68</v>
      </c>
    </row>
    <row r="670" spans="1:16" x14ac:dyDescent="0.25">
      <c r="A670" s="1">
        <v>42160</v>
      </c>
      <c r="B670">
        <v>5.71</v>
      </c>
      <c r="C670">
        <v>140.80000000000001</v>
      </c>
      <c r="D670">
        <v>3.68</v>
      </c>
      <c r="E670">
        <v>10.61</v>
      </c>
      <c r="F670">
        <v>4.7300000000000004</v>
      </c>
      <c r="G670">
        <v>1.41</v>
      </c>
      <c r="H670">
        <v>4.6500000000000004</v>
      </c>
      <c r="I670">
        <v>29.49</v>
      </c>
      <c r="J670">
        <v>14.87</v>
      </c>
      <c r="K670">
        <v>11.058</v>
      </c>
      <c r="L670">
        <v>1.18</v>
      </c>
      <c r="M670">
        <v>2.13</v>
      </c>
      <c r="N670">
        <v>0.20499999999999999</v>
      </c>
      <c r="O670">
        <v>2.35</v>
      </c>
      <c r="P670">
        <v>0.68</v>
      </c>
    </row>
    <row r="671" spans="1:16" x14ac:dyDescent="0.25">
      <c r="A671" s="1">
        <v>42163</v>
      </c>
      <c r="B671">
        <v>5.71</v>
      </c>
      <c r="C671">
        <v>141.15</v>
      </c>
      <c r="D671">
        <v>3.6890000000000001</v>
      </c>
      <c r="E671">
        <v>10.55</v>
      </c>
      <c r="F671">
        <v>4.6500000000000004</v>
      </c>
      <c r="G671">
        <v>1.37</v>
      </c>
      <c r="H671">
        <v>4.6399999999999997</v>
      </c>
      <c r="I671">
        <v>29.49</v>
      </c>
      <c r="J671">
        <v>14.87</v>
      </c>
      <c r="K671">
        <v>10.949</v>
      </c>
      <c r="L671">
        <v>1.18</v>
      </c>
      <c r="M671">
        <v>2.1</v>
      </c>
      <c r="N671">
        <v>0.2</v>
      </c>
      <c r="O671">
        <v>2.36</v>
      </c>
      <c r="P671">
        <v>0.67</v>
      </c>
    </row>
    <row r="672" spans="1:16" x14ac:dyDescent="0.25">
      <c r="A672" s="1">
        <v>42164</v>
      </c>
      <c r="B672">
        <v>5.71</v>
      </c>
      <c r="C672">
        <v>139.5</v>
      </c>
      <c r="D672">
        <v>3.6720000000000002</v>
      </c>
      <c r="E672">
        <v>10.6</v>
      </c>
      <c r="F672">
        <v>4.5999999999999996</v>
      </c>
      <c r="G672">
        <v>1.41</v>
      </c>
      <c r="H672">
        <v>4.6500000000000004</v>
      </c>
      <c r="I672">
        <v>29</v>
      </c>
      <c r="J672">
        <v>14.75</v>
      </c>
      <c r="K672">
        <v>10.949</v>
      </c>
      <c r="L672">
        <v>1.18</v>
      </c>
      <c r="M672">
        <v>2.12</v>
      </c>
      <c r="N672">
        <v>0.20300000000000001</v>
      </c>
      <c r="O672">
        <v>2.34</v>
      </c>
      <c r="P672">
        <v>0.67</v>
      </c>
    </row>
    <row r="673" spans="1:16" x14ac:dyDescent="0.25">
      <c r="A673" s="1">
        <v>42165</v>
      </c>
      <c r="B673">
        <v>5.73</v>
      </c>
      <c r="C673">
        <v>139.01</v>
      </c>
      <c r="D673">
        <v>3.6720000000000002</v>
      </c>
      <c r="E673">
        <v>10.78</v>
      </c>
      <c r="F673">
        <v>4.7</v>
      </c>
      <c r="G673">
        <v>1.41</v>
      </c>
      <c r="H673">
        <v>4.6900000000000004</v>
      </c>
      <c r="I673">
        <v>29</v>
      </c>
      <c r="J673">
        <v>15</v>
      </c>
      <c r="K673">
        <v>10.9</v>
      </c>
      <c r="L673">
        <v>1.23</v>
      </c>
      <c r="M673">
        <v>2.14</v>
      </c>
      <c r="N673">
        <v>0.20399999999999999</v>
      </c>
      <c r="O673">
        <v>2.33</v>
      </c>
      <c r="P673">
        <v>0.68</v>
      </c>
    </row>
    <row r="674" spans="1:16" x14ac:dyDescent="0.25">
      <c r="A674" s="1">
        <v>42166</v>
      </c>
      <c r="B674">
        <v>5.74</v>
      </c>
      <c r="C674">
        <v>138</v>
      </c>
      <c r="D674">
        <v>3.6720000000000002</v>
      </c>
      <c r="E674">
        <v>10.95</v>
      </c>
      <c r="F674">
        <v>4.78</v>
      </c>
      <c r="G674">
        <v>1.41</v>
      </c>
      <c r="H674">
        <v>4.66</v>
      </c>
      <c r="I674">
        <v>28.51</v>
      </c>
      <c r="J674">
        <v>15</v>
      </c>
      <c r="K674">
        <v>10.9</v>
      </c>
      <c r="L674">
        <v>1.23</v>
      </c>
      <c r="M674">
        <v>2.14</v>
      </c>
      <c r="N674">
        <v>0.20399999999999999</v>
      </c>
      <c r="O674">
        <v>2.4</v>
      </c>
      <c r="P674">
        <v>0.69</v>
      </c>
    </row>
    <row r="675" spans="1:16" x14ac:dyDescent="0.25">
      <c r="A675" s="1">
        <v>42167</v>
      </c>
      <c r="B675">
        <v>5.85</v>
      </c>
      <c r="C675">
        <v>138.15</v>
      </c>
      <c r="D675">
        <v>3.6459999999999999</v>
      </c>
      <c r="E675">
        <v>10.71</v>
      </c>
      <c r="F675">
        <v>4.8099999999999996</v>
      </c>
      <c r="G675">
        <v>1.41</v>
      </c>
      <c r="H675">
        <v>4.66</v>
      </c>
      <c r="I675">
        <v>28.8</v>
      </c>
      <c r="J675">
        <v>15</v>
      </c>
      <c r="K675">
        <v>11</v>
      </c>
      <c r="L675">
        <v>1.25</v>
      </c>
      <c r="M675">
        <v>2.16</v>
      </c>
      <c r="N675">
        <v>0.20399999999999999</v>
      </c>
      <c r="O675">
        <v>2.4</v>
      </c>
      <c r="P675">
        <v>0.7</v>
      </c>
    </row>
    <row r="676" spans="1:16" x14ac:dyDescent="0.25">
      <c r="A676" s="1">
        <v>42170</v>
      </c>
      <c r="B676">
        <v>5.85</v>
      </c>
      <c r="C676">
        <v>136.99</v>
      </c>
      <c r="D676">
        <v>3.6379999999999999</v>
      </c>
      <c r="E676">
        <v>10.7</v>
      </c>
      <c r="F676">
        <v>4.78</v>
      </c>
      <c r="G676">
        <v>1.4</v>
      </c>
      <c r="H676">
        <v>4.6399999999999997</v>
      </c>
      <c r="I676">
        <v>29.46</v>
      </c>
      <c r="J676">
        <v>15</v>
      </c>
      <c r="K676">
        <v>11</v>
      </c>
      <c r="L676">
        <v>1.22</v>
      </c>
      <c r="M676">
        <v>2.14</v>
      </c>
      <c r="N676">
        <v>0.2</v>
      </c>
      <c r="O676">
        <v>2.4</v>
      </c>
      <c r="P676">
        <v>0.69</v>
      </c>
    </row>
    <row r="677" spans="1:16" x14ac:dyDescent="0.25">
      <c r="A677" s="1">
        <v>42171</v>
      </c>
      <c r="B677">
        <v>5.64</v>
      </c>
      <c r="C677">
        <v>136.19999999999999</v>
      </c>
      <c r="D677">
        <v>3.6459999999999999</v>
      </c>
      <c r="E677">
        <v>10.55</v>
      </c>
      <c r="F677">
        <v>4.79</v>
      </c>
      <c r="G677">
        <v>1.37</v>
      </c>
      <c r="H677">
        <v>4.5999999999999996</v>
      </c>
      <c r="I677">
        <v>29.39</v>
      </c>
      <c r="J677">
        <v>14.75</v>
      </c>
      <c r="K677">
        <v>11.05</v>
      </c>
      <c r="L677">
        <v>1.22</v>
      </c>
      <c r="M677">
        <v>2.1</v>
      </c>
      <c r="N677">
        <v>0.2</v>
      </c>
      <c r="O677">
        <v>2.4</v>
      </c>
      <c r="P677">
        <v>0.7</v>
      </c>
    </row>
    <row r="678" spans="1:16" x14ac:dyDescent="0.25">
      <c r="A678" s="1">
        <v>42172</v>
      </c>
      <c r="B678">
        <v>5.75</v>
      </c>
      <c r="C678">
        <v>136.9</v>
      </c>
      <c r="D678">
        <v>2.6269999999999998</v>
      </c>
      <c r="E678">
        <v>10.65</v>
      </c>
      <c r="F678">
        <v>4.8</v>
      </c>
      <c r="G678">
        <v>1.4</v>
      </c>
      <c r="H678">
        <v>4.7</v>
      </c>
      <c r="I678">
        <v>29.25</v>
      </c>
      <c r="J678">
        <v>14.75</v>
      </c>
      <c r="K678">
        <v>11.05</v>
      </c>
      <c r="L678">
        <v>1.27</v>
      </c>
      <c r="M678">
        <v>2.65</v>
      </c>
      <c r="N678">
        <v>0.2</v>
      </c>
      <c r="O678">
        <v>2.4500000000000002</v>
      </c>
      <c r="P678">
        <v>0.73</v>
      </c>
    </row>
    <row r="679" spans="1:16" x14ac:dyDescent="0.25">
      <c r="A679" s="1">
        <v>42173</v>
      </c>
      <c r="B679">
        <v>5.9</v>
      </c>
      <c r="C679">
        <v>138.1</v>
      </c>
      <c r="D679">
        <v>2.6019999999999999</v>
      </c>
      <c r="E679">
        <v>10.65</v>
      </c>
      <c r="F679">
        <v>4.8</v>
      </c>
      <c r="G679">
        <v>1.41</v>
      </c>
      <c r="H679">
        <v>4.55</v>
      </c>
      <c r="I679">
        <v>29.3</v>
      </c>
      <c r="J679">
        <v>14.75</v>
      </c>
      <c r="K679">
        <v>11.03</v>
      </c>
      <c r="L679">
        <v>1.32</v>
      </c>
      <c r="M679">
        <v>2.5499999999999998</v>
      </c>
      <c r="N679">
        <v>0.20300000000000001</v>
      </c>
      <c r="O679">
        <v>2.4700000000000002</v>
      </c>
      <c r="P679">
        <v>0.73</v>
      </c>
    </row>
    <row r="680" spans="1:16" x14ac:dyDescent="0.25">
      <c r="A680" s="1">
        <v>42174</v>
      </c>
      <c r="B680">
        <v>5.96</v>
      </c>
      <c r="C680">
        <v>138</v>
      </c>
      <c r="D680">
        <v>2.5840000000000001</v>
      </c>
      <c r="E680">
        <v>10.6</v>
      </c>
      <c r="F680">
        <v>4.87</v>
      </c>
      <c r="G680">
        <v>1.41</v>
      </c>
      <c r="H680">
        <v>4.5999999999999996</v>
      </c>
      <c r="I680">
        <v>29.3</v>
      </c>
      <c r="J680">
        <v>14.85</v>
      </c>
      <c r="K680">
        <v>11</v>
      </c>
      <c r="L680">
        <v>1.34</v>
      </c>
      <c r="M680">
        <v>2.5299999999999998</v>
      </c>
      <c r="N680">
        <v>0.20300000000000001</v>
      </c>
      <c r="O680">
        <v>2.48</v>
      </c>
      <c r="P680">
        <v>0.73</v>
      </c>
    </row>
    <row r="681" spans="1:16" x14ac:dyDescent="0.25">
      <c r="A681" s="1">
        <v>42177</v>
      </c>
      <c r="B681">
        <v>6.05</v>
      </c>
      <c r="C681">
        <v>140</v>
      </c>
      <c r="D681">
        <v>2.5659999999999998</v>
      </c>
      <c r="E681">
        <v>10.5</v>
      </c>
      <c r="F681">
        <v>5.01</v>
      </c>
      <c r="G681">
        <v>1.42</v>
      </c>
      <c r="H681">
        <v>4.7</v>
      </c>
      <c r="I681">
        <v>29.5</v>
      </c>
      <c r="J681">
        <v>14.9</v>
      </c>
      <c r="K681">
        <v>11.05</v>
      </c>
      <c r="L681">
        <v>1.32</v>
      </c>
      <c r="M681">
        <v>2.5499999999999998</v>
      </c>
      <c r="N681">
        <v>0.20300000000000001</v>
      </c>
      <c r="O681">
        <v>2.5</v>
      </c>
      <c r="P681">
        <v>0.73</v>
      </c>
    </row>
    <row r="682" spans="1:16" x14ac:dyDescent="0.25">
      <c r="A682" s="1">
        <v>42178</v>
      </c>
      <c r="B682">
        <v>6.1</v>
      </c>
      <c r="C682">
        <v>141</v>
      </c>
      <c r="D682">
        <v>2.56</v>
      </c>
      <c r="E682">
        <v>10.41</v>
      </c>
      <c r="F682">
        <v>5.0999999999999996</v>
      </c>
      <c r="G682">
        <v>1.43</v>
      </c>
      <c r="H682">
        <v>4.7</v>
      </c>
      <c r="I682">
        <v>29.5</v>
      </c>
      <c r="J682">
        <v>14.9</v>
      </c>
      <c r="K682">
        <v>11.09</v>
      </c>
      <c r="L682">
        <v>1.32</v>
      </c>
      <c r="M682">
        <v>2.59</v>
      </c>
      <c r="N682">
        <v>0.2</v>
      </c>
      <c r="O682">
        <v>2.5</v>
      </c>
      <c r="P682">
        <v>0.71</v>
      </c>
    </row>
    <row r="683" spans="1:16" x14ac:dyDescent="0.25">
      <c r="A683" s="1">
        <v>42179</v>
      </c>
      <c r="B683">
        <v>6.1</v>
      </c>
      <c r="C683">
        <v>142.5</v>
      </c>
      <c r="D683">
        <v>2.5350000000000001</v>
      </c>
      <c r="E683">
        <v>10.54</v>
      </c>
      <c r="F683">
        <v>5.0999999999999996</v>
      </c>
      <c r="G683">
        <v>1.43</v>
      </c>
      <c r="H683">
        <v>4.68</v>
      </c>
      <c r="I683">
        <v>29.5</v>
      </c>
      <c r="J683">
        <v>14.9</v>
      </c>
      <c r="K683">
        <v>11.01</v>
      </c>
      <c r="L683">
        <v>1.32</v>
      </c>
      <c r="M683">
        <v>2.59</v>
      </c>
      <c r="N683">
        <v>0.2</v>
      </c>
      <c r="O683">
        <v>2.4500000000000002</v>
      </c>
      <c r="P683">
        <v>0.71</v>
      </c>
    </row>
    <row r="684" spans="1:16" x14ac:dyDescent="0.25">
      <c r="A684" s="1">
        <v>42180</v>
      </c>
      <c r="B684">
        <v>6.13</v>
      </c>
      <c r="C684">
        <v>141.5</v>
      </c>
      <c r="D684">
        <v>2.5350000000000001</v>
      </c>
      <c r="E684">
        <v>10.41</v>
      </c>
      <c r="F684">
        <v>5</v>
      </c>
      <c r="G684">
        <v>1.41</v>
      </c>
      <c r="H684">
        <v>4.59</v>
      </c>
      <c r="I684">
        <v>29.05</v>
      </c>
      <c r="J684">
        <v>14.9</v>
      </c>
      <c r="K684">
        <v>11.06</v>
      </c>
      <c r="L684">
        <v>1.3</v>
      </c>
      <c r="M684">
        <v>2.6</v>
      </c>
      <c r="N684">
        <v>0.19400000000000001</v>
      </c>
      <c r="O684">
        <v>2.42</v>
      </c>
      <c r="P684">
        <v>0.7</v>
      </c>
    </row>
    <row r="685" spans="1:16" x14ac:dyDescent="0.25">
      <c r="A685" s="1">
        <v>42181</v>
      </c>
      <c r="B685">
        <v>6.1</v>
      </c>
      <c r="C685">
        <v>144</v>
      </c>
      <c r="D685">
        <v>2.5409999999999999</v>
      </c>
      <c r="E685">
        <v>10.5</v>
      </c>
      <c r="F685">
        <v>5</v>
      </c>
      <c r="G685">
        <v>1.42</v>
      </c>
      <c r="H685">
        <v>4.5999999999999996</v>
      </c>
      <c r="I685">
        <v>29.5</v>
      </c>
      <c r="J685">
        <v>14.9</v>
      </c>
      <c r="K685">
        <v>11.13</v>
      </c>
      <c r="L685">
        <v>1.3</v>
      </c>
      <c r="M685">
        <v>2.65</v>
      </c>
      <c r="N685">
        <v>0.2</v>
      </c>
      <c r="O685">
        <v>2.42</v>
      </c>
      <c r="P685">
        <v>0.72</v>
      </c>
    </row>
    <row r="686" spans="1:16" x14ac:dyDescent="0.25">
      <c r="A686" s="1">
        <v>42185</v>
      </c>
      <c r="B686">
        <v>6</v>
      </c>
      <c r="C686">
        <v>139</v>
      </c>
      <c r="D686">
        <v>2.5409999999999999</v>
      </c>
      <c r="E686">
        <v>10.25</v>
      </c>
      <c r="F686">
        <v>5.0999999999999996</v>
      </c>
      <c r="G686">
        <v>1.42</v>
      </c>
      <c r="H686">
        <v>4.5999999999999996</v>
      </c>
      <c r="I686">
        <v>29.5</v>
      </c>
      <c r="J686">
        <v>14.5</v>
      </c>
      <c r="K686">
        <v>11.1</v>
      </c>
      <c r="L686">
        <v>1.3</v>
      </c>
      <c r="M686">
        <v>2.62</v>
      </c>
      <c r="N686">
        <v>0.2</v>
      </c>
      <c r="O686">
        <v>2.46</v>
      </c>
      <c r="P686">
        <v>0.7</v>
      </c>
    </row>
    <row r="687" spans="1:16" x14ac:dyDescent="0.25">
      <c r="A687" s="1">
        <v>42186</v>
      </c>
      <c r="B687">
        <v>6.04</v>
      </c>
      <c r="C687">
        <v>140.4</v>
      </c>
      <c r="D687">
        <v>2.5659999999999998</v>
      </c>
      <c r="E687">
        <v>10</v>
      </c>
      <c r="F687">
        <v>5.14</v>
      </c>
      <c r="G687">
        <v>1.42</v>
      </c>
      <c r="H687">
        <v>4.5999999999999996</v>
      </c>
      <c r="I687">
        <v>29.46</v>
      </c>
      <c r="J687">
        <v>14.55</v>
      </c>
      <c r="K687">
        <v>11.1</v>
      </c>
      <c r="L687">
        <v>1.32</v>
      </c>
      <c r="M687">
        <v>2.65</v>
      </c>
      <c r="N687">
        <v>0.2</v>
      </c>
      <c r="O687">
        <v>2.4700000000000002</v>
      </c>
      <c r="P687">
        <v>0.68</v>
      </c>
    </row>
    <row r="688" spans="1:16" x14ac:dyDescent="0.25">
      <c r="A688" s="1">
        <v>42187</v>
      </c>
      <c r="B688">
        <v>5.99</v>
      </c>
      <c r="C688">
        <v>139.85</v>
      </c>
      <c r="D688">
        <v>2.56</v>
      </c>
      <c r="E688">
        <v>10.1</v>
      </c>
      <c r="F688">
        <v>5</v>
      </c>
      <c r="G688">
        <v>1.39</v>
      </c>
      <c r="H688">
        <v>4.5999999999999996</v>
      </c>
      <c r="I688">
        <v>29.46</v>
      </c>
      <c r="J688">
        <v>14.61</v>
      </c>
      <c r="K688">
        <v>11.12</v>
      </c>
      <c r="L688">
        <v>1.3</v>
      </c>
      <c r="M688">
        <v>2.7</v>
      </c>
      <c r="N688">
        <v>0.2</v>
      </c>
      <c r="O688">
        <v>2.5</v>
      </c>
      <c r="P688">
        <v>0.67</v>
      </c>
    </row>
    <row r="689" spans="1:16" x14ac:dyDescent="0.25">
      <c r="A689" s="1">
        <v>42188</v>
      </c>
      <c r="B689">
        <v>5.99</v>
      </c>
      <c r="C689">
        <v>140</v>
      </c>
      <c r="D689">
        <v>2.5409999999999999</v>
      </c>
      <c r="E689">
        <v>10.1</v>
      </c>
      <c r="F689">
        <v>5</v>
      </c>
      <c r="G689">
        <v>1.39</v>
      </c>
      <c r="H689">
        <v>4.5</v>
      </c>
      <c r="I689">
        <v>29.46</v>
      </c>
      <c r="J689">
        <v>14.61</v>
      </c>
      <c r="K689">
        <v>11.11</v>
      </c>
      <c r="L689">
        <v>1.31</v>
      </c>
      <c r="M689">
        <v>2.7</v>
      </c>
      <c r="N689">
        <v>0.2</v>
      </c>
      <c r="O689">
        <v>2.5099999999999998</v>
      </c>
      <c r="P689">
        <v>0.66</v>
      </c>
    </row>
    <row r="690" spans="1:16" x14ac:dyDescent="0.25">
      <c r="A690" s="1">
        <v>42191</v>
      </c>
      <c r="B690">
        <v>5.99</v>
      </c>
      <c r="C690">
        <v>137.4</v>
      </c>
      <c r="D690">
        <v>2.5169999999999999</v>
      </c>
      <c r="E690">
        <v>10.199999999999999</v>
      </c>
      <c r="F690">
        <v>4.9000000000000004</v>
      </c>
      <c r="G690">
        <v>1.4</v>
      </c>
      <c r="H690">
        <v>4.4000000000000004</v>
      </c>
      <c r="I690">
        <v>29</v>
      </c>
      <c r="J690">
        <v>14.61</v>
      </c>
      <c r="K690">
        <v>11.17</v>
      </c>
      <c r="L690">
        <v>1.32</v>
      </c>
      <c r="M690">
        <v>2.69</v>
      </c>
      <c r="N690">
        <v>0.2</v>
      </c>
      <c r="O690">
        <v>2.5</v>
      </c>
      <c r="P690">
        <v>0.65</v>
      </c>
    </row>
    <row r="691" spans="1:16" x14ac:dyDescent="0.25">
      <c r="A691" s="1">
        <v>42192</v>
      </c>
      <c r="B691">
        <v>5.99</v>
      </c>
      <c r="C691">
        <v>137.6</v>
      </c>
      <c r="D691">
        <v>2.5049999999999999</v>
      </c>
      <c r="E691">
        <v>9.6999999999999993</v>
      </c>
      <c r="F691">
        <v>4.95</v>
      </c>
      <c r="G691">
        <v>1.39</v>
      </c>
      <c r="H691">
        <v>4.3499999999999996</v>
      </c>
      <c r="I691">
        <v>29</v>
      </c>
      <c r="J691">
        <v>14.61</v>
      </c>
      <c r="K691">
        <v>11.1</v>
      </c>
      <c r="L691">
        <v>1.32</v>
      </c>
      <c r="M691">
        <v>2.75</v>
      </c>
      <c r="N691">
        <v>0.191</v>
      </c>
      <c r="O691">
        <v>2.5</v>
      </c>
      <c r="P691">
        <v>0.62</v>
      </c>
    </row>
    <row r="692" spans="1:16" x14ac:dyDescent="0.25">
      <c r="A692" s="1">
        <v>42193</v>
      </c>
      <c r="B692">
        <v>5.97</v>
      </c>
      <c r="C692">
        <v>136.35</v>
      </c>
      <c r="D692">
        <v>2.5110000000000001</v>
      </c>
      <c r="E692">
        <v>9.5500000000000007</v>
      </c>
      <c r="F692">
        <v>4.9800000000000004</v>
      </c>
      <c r="G692">
        <v>1.42</v>
      </c>
      <c r="H692">
        <v>4.3</v>
      </c>
      <c r="I692">
        <v>28.5</v>
      </c>
      <c r="J692">
        <v>14.61</v>
      </c>
      <c r="K692">
        <v>11.1</v>
      </c>
      <c r="L692">
        <v>1.31</v>
      </c>
      <c r="M692">
        <v>2.66</v>
      </c>
      <c r="N692">
        <v>0.19500000000000001</v>
      </c>
      <c r="O692">
        <v>2.5</v>
      </c>
      <c r="P692">
        <v>0.62</v>
      </c>
    </row>
    <row r="693" spans="1:16" x14ac:dyDescent="0.25">
      <c r="A693" s="1">
        <v>42194</v>
      </c>
      <c r="B693">
        <v>5.9</v>
      </c>
      <c r="C693">
        <v>137.5</v>
      </c>
      <c r="D693">
        <v>2.5110000000000001</v>
      </c>
      <c r="E693">
        <v>9.35</v>
      </c>
      <c r="F693">
        <v>4.9800000000000004</v>
      </c>
      <c r="G693">
        <v>1.43</v>
      </c>
      <c r="H693">
        <v>4.4000000000000004</v>
      </c>
      <c r="I693">
        <v>28.3</v>
      </c>
      <c r="J693">
        <v>14.56</v>
      </c>
      <c r="K693">
        <v>11.1</v>
      </c>
      <c r="L693">
        <v>1.31</v>
      </c>
      <c r="M693">
        <v>2.7</v>
      </c>
      <c r="N693">
        <v>0.19800000000000001</v>
      </c>
      <c r="O693">
        <v>2.5</v>
      </c>
      <c r="P693">
        <v>0.62</v>
      </c>
    </row>
    <row r="694" spans="1:16" x14ac:dyDescent="0.25">
      <c r="A694" s="1">
        <v>42195</v>
      </c>
      <c r="B694">
        <v>5.85</v>
      </c>
      <c r="C694">
        <v>139.65</v>
      </c>
      <c r="D694">
        <v>2.5049999999999999</v>
      </c>
      <c r="E694">
        <v>9.19</v>
      </c>
      <c r="F694">
        <v>5.05</v>
      </c>
      <c r="G694">
        <v>1.39</v>
      </c>
      <c r="H694">
        <v>4.32</v>
      </c>
      <c r="I694">
        <v>28.3</v>
      </c>
      <c r="J694">
        <v>14.56</v>
      </c>
      <c r="K694">
        <v>11.1</v>
      </c>
      <c r="L694">
        <v>1.3</v>
      </c>
      <c r="M694">
        <v>2.67</v>
      </c>
      <c r="N694">
        <v>0.189</v>
      </c>
      <c r="O694">
        <v>2.5</v>
      </c>
      <c r="P694">
        <v>0.62</v>
      </c>
    </row>
    <row r="695" spans="1:16" x14ac:dyDescent="0.25">
      <c r="A695" s="1">
        <v>42198</v>
      </c>
      <c r="B695">
        <v>5.9</v>
      </c>
      <c r="C695">
        <v>141.94999999999999</v>
      </c>
      <c r="D695">
        <v>2.5230000000000001</v>
      </c>
      <c r="E695">
        <v>9.25</v>
      </c>
      <c r="F695">
        <v>5</v>
      </c>
      <c r="G695">
        <v>1.39</v>
      </c>
      <c r="H695">
        <v>4.3</v>
      </c>
      <c r="I695">
        <v>28.5</v>
      </c>
      <c r="J695">
        <v>14.56</v>
      </c>
      <c r="K695">
        <v>11.1</v>
      </c>
      <c r="L695">
        <v>1.3</v>
      </c>
      <c r="M695">
        <v>2.68</v>
      </c>
      <c r="N695">
        <v>0.19</v>
      </c>
      <c r="O695">
        <v>2.5</v>
      </c>
      <c r="P695">
        <v>0.6</v>
      </c>
    </row>
    <row r="696" spans="1:16" x14ac:dyDescent="0.25">
      <c r="A696" s="1">
        <v>42199</v>
      </c>
      <c r="B696">
        <v>5.87</v>
      </c>
      <c r="C696">
        <v>140.69999999999999</v>
      </c>
      <c r="D696">
        <v>2.5659999999999998</v>
      </c>
      <c r="E696">
        <v>9.2100000000000009</v>
      </c>
      <c r="F696">
        <v>5</v>
      </c>
      <c r="G696">
        <v>1.38</v>
      </c>
      <c r="H696">
        <v>4.3</v>
      </c>
      <c r="I696">
        <v>28.5</v>
      </c>
      <c r="J696">
        <v>14.5</v>
      </c>
      <c r="K696">
        <v>11.06</v>
      </c>
      <c r="L696">
        <v>1.3</v>
      </c>
      <c r="M696">
        <v>2.64</v>
      </c>
      <c r="N696">
        <v>0.19</v>
      </c>
      <c r="O696">
        <v>2.496</v>
      </c>
      <c r="P696">
        <v>0.65</v>
      </c>
    </row>
    <row r="697" spans="1:16" x14ac:dyDescent="0.25">
      <c r="A697" s="1">
        <v>42200</v>
      </c>
      <c r="B697">
        <v>5.87</v>
      </c>
      <c r="C697">
        <v>139.30000000000001</v>
      </c>
      <c r="D697">
        <v>2.5659999999999998</v>
      </c>
      <c r="E697">
        <v>8.9499999999999993</v>
      </c>
      <c r="F697">
        <v>4.99</v>
      </c>
      <c r="G697">
        <v>1.37</v>
      </c>
      <c r="H697">
        <v>4.29</v>
      </c>
      <c r="I697">
        <v>28.3</v>
      </c>
      <c r="J697">
        <v>14.52</v>
      </c>
      <c r="K697">
        <v>11.08</v>
      </c>
      <c r="L697">
        <v>1.3</v>
      </c>
      <c r="M697">
        <v>2.72</v>
      </c>
      <c r="N697">
        <v>0.19</v>
      </c>
      <c r="O697">
        <v>2.496</v>
      </c>
      <c r="P697">
        <v>0.65</v>
      </c>
    </row>
    <row r="698" spans="1:16" x14ac:dyDescent="0.25">
      <c r="A698" s="1">
        <v>42201</v>
      </c>
      <c r="B698">
        <v>5.8</v>
      </c>
      <c r="C698">
        <v>139</v>
      </c>
      <c r="D698">
        <v>2.5659999999999998</v>
      </c>
      <c r="E698">
        <v>8.89</v>
      </c>
      <c r="F698">
        <v>5.27</v>
      </c>
      <c r="G698">
        <v>1.39</v>
      </c>
      <c r="H698">
        <v>4.29</v>
      </c>
      <c r="I698">
        <v>28.5</v>
      </c>
      <c r="J698">
        <v>14.52</v>
      </c>
      <c r="K698">
        <v>11.15</v>
      </c>
      <c r="L698">
        <v>1.34</v>
      </c>
      <c r="M698">
        <v>2.5499999999999998</v>
      </c>
      <c r="N698">
        <v>0.19</v>
      </c>
      <c r="O698">
        <v>2.496</v>
      </c>
      <c r="P698">
        <v>0.64</v>
      </c>
    </row>
    <row r="699" spans="1:16" x14ac:dyDescent="0.25">
      <c r="A699" s="1">
        <v>42202</v>
      </c>
      <c r="B699">
        <v>5.75</v>
      </c>
      <c r="C699">
        <v>137.05000000000001</v>
      </c>
      <c r="D699">
        <v>2.5659999999999998</v>
      </c>
      <c r="E699">
        <v>8.6300000000000008</v>
      </c>
      <c r="F699">
        <v>5.25</v>
      </c>
      <c r="G699">
        <v>1.39</v>
      </c>
      <c r="H699">
        <v>4.2</v>
      </c>
      <c r="I699">
        <v>28.5</v>
      </c>
      <c r="J699">
        <v>14.52</v>
      </c>
      <c r="K699">
        <v>11.15</v>
      </c>
      <c r="L699">
        <v>1.33</v>
      </c>
      <c r="M699">
        <v>2.5099999999999998</v>
      </c>
      <c r="N699">
        <v>0.19500000000000001</v>
      </c>
      <c r="O699">
        <v>2.496</v>
      </c>
      <c r="P699">
        <v>0.6</v>
      </c>
    </row>
    <row r="700" spans="1:16" x14ac:dyDescent="0.25">
      <c r="A700" s="1">
        <v>42205</v>
      </c>
      <c r="B700">
        <v>5.65</v>
      </c>
      <c r="C700">
        <v>137</v>
      </c>
      <c r="D700">
        <v>2.5659999999999998</v>
      </c>
      <c r="E700">
        <v>7.3</v>
      </c>
      <c r="F700">
        <v>5.25</v>
      </c>
      <c r="G700">
        <v>1.36</v>
      </c>
      <c r="H700">
        <v>4.0999999999999996</v>
      </c>
      <c r="I700">
        <v>28.5</v>
      </c>
      <c r="J700">
        <v>14.52</v>
      </c>
      <c r="K700">
        <v>11.16</v>
      </c>
      <c r="L700">
        <v>1.33</v>
      </c>
      <c r="M700">
        <v>2.5099999999999998</v>
      </c>
      <c r="N700">
        <v>0.19500000000000001</v>
      </c>
      <c r="O700">
        <v>2.4860000000000002</v>
      </c>
      <c r="P700">
        <v>0.56999999999999995</v>
      </c>
    </row>
    <row r="701" spans="1:16" x14ac:dyDescent="0.25">
      <c r="A701" s="1">
        <v>42206</v>
      </c>
      <c r="B701">
        <v>5.54</v>
      </c>
      <c r="C701">
        <v>136.01</v>
      </c>
      <c r="D701">
        <v>2.6269999999999998</v>
      </c>
      <c r="E701">
        <v>7.75</v>
      </c>
      <c r="F701">
        <v>5.25</v>
      </c>
      <c r="G701">
        <v>1.34</v>
      </c>
      <c r="H701">
        <v>4</v>
      </c>
      <c r="I701">
        <v>28.5</v>
      </c>
      <c r="J701">
        <v>15</v>
      </c>
      <c r="K701">
        <v>11.23</v>
      </c>
      <c r="L701">
        <v>1.32</v>
      </c>
      <c r="M701">
        <v>2.52</v>
      </c>
      <c r="N701">
        <v>0.2</v>
      </c>
      <c r="O701">
        <v>2.4369999999999998</v>
      </c>
      <c r="P701">
        <v>0.57999999999999996</v>
      </c>
    </row>
    <row r="702" spans="1:16" x14ac:dyDescent="0.25">
      <c r="A702" s="1">
        <v>42207</v>
      </c>
      <c r="B702">
        <v>5.5</v>
      </c>
      <c r="C702">
        <v>135.19999999999999</v>
      </c>
      <c r="D702">
        <v>2.6880000000000002</v>
      </c>
      <c r="E702">
        <v>7.8</v>
      </c>
      <c r="F702">
        <v>5.15</v>
      </c>
      <c r="G702">
        <v>1.33</v>
      </c>
      <c r="H702">
        <v>3.95</v>
      </c>
      <c r="I702">
        <v>28.49</v>
      </c>
      <c r="J702">
        <v>14.4</v>
      </c>
      <c r="K702">
        <v>11.26</v>
      </c>
      <c r="L702">
        <v>1.29</v>
      </c>
      <c r="M702">
        <v>2.54</v>
      </c>
      <c r="N702">
        <v>0.20300000000000001</v>
      </c>
      <c r="O702">
        <v>2.4369999999999998</v>
      </c>
      <c r="P702">
        <v>0.56000000000000005</v>
      </c>
    </row>
    <row r="703" spans="1:16" x14ac:dyDescent="0.25">
      <c r="A703" s="1">
        <v>42208</v>
      </c>
      <c r="B703">
        <v>5.5</v>
      </c>
      <c r="C703">
        <v>133.30000000000001</v>
      </c>
      <c r="D703">
        <v>2.657</v>
      </c>
      <c r="E703">
        <v>7.14</v>
      </c>
      <c r="F703">
        <v>5.13</v>
      </c>
      <c r="G703">
        <v>1.37</v>
      </c>
      <c r="H703">
        <v>3.85</v>
      </c>
      <c r="I703">
        <v>28.49</v>
      </c>
      <c r="J703">
        <v>14.4</v>
      </c>
      <c r="K703">
        <v>11.33</v>
      </c>
      <c r="L703">
        <v>1.27</v>
      </c>
      <c r="M703">
        <v>2.54</v>
      </c>
      <c r="N703">
        <v>0.20100000000000001</v>
      </c>
      <c r="O703">
        <v>2.4369999999999998</v>
      </c>
      <c r="P703">
        <v>0.55000000000000004</v>
      </c>
    </row>
    <row r="704" spans="1:16" x14ac:dyDescent="0.25">
      <c r="A704" s="1">
        <v>42209</v>
      </c>
      <c r="B704">
        <v>5.45</v>
      </c>
      <c r="C704">
        <v>132.6</v>
      </c>
      <c r="D704">
        <v>2.56</v>
      </c>
      <c r="E704">
        <v>7.55</v>
      </c>
      <c r="F704">
        <v>5</v>
      </c>
      <c r="G704">
        <v>1.37</v>
      </c>
      <c r="H704">
        <v>3.7</v>
      </c>
      <c r="I704">
        <v>28.3</v>
      </c>
      <c r="J704">
        <v>14.4</v>
      </c>
      <c r="K704">
        <v>11.45</v>
      </c>
      <c r="L704">
        <v>1.22</v>
      </c>
      <c r="M704">
        <v>2.5299999999999998</v>
      </c>
      <c r="N704">
        <v>0.19800000000000001</v>
      </c>
      <c r="O704">
        <v>2.387</v>
      </c>
      <c r="P704">
        <v>0.56000000000000005</v>
      </c>
    </row>
    <row r="705" spans="1:16" x14ac:dyDescent="0.25">
      <c r="A705" s="1">
        <v>42212</v>
      </c>
      <c r="B705">
        <v>5.45</v>
      </c>
      <c r="C705">
        <v>132.6</v>
      </c>
      <c r="D705">
        <v>4.1900000000000004</v>
      </c>
      <c r="E705">
        <v>7.55</v>
      </c>
      <c r="F705">
        <v>5</v>
      </c>
      <c r="G705">
        <v>1.37</v>
      </c>
      <c r="H705">
        <v>3.7</v>
      </c>
      <c r="I705">
        <v>28.3</v>
      </c>
      <c r="J705">
        <v>14.4</v>
      </c>
      <c r="K705">
        <v>11.45</v>
      </c>
      <c r="L705">
        <v>1.22</v>
      </c>
      <c r="M705">
        <v>2.5299999999999998</v>
      </c>
      <c r="N705">
        <v>0.19800000000000001</v>
      </c>
      <c r="O705">
        <v>2.4</v>
      </c>
      <c r="P705">
        <v>0.56000000000000005</v>
      </c>
    </row>
    <row r="706" spans="1:16" x14ac:dyDescent="0.25">
      <c r="A706" s="1">
        <v>42215</v>
      </c>
      <c r="B706">
        <v>5.34</v>
      </c>
      <c r="C706">
        <v>130.80000000000001</v>
      </c>
      <c r="D706">
        <v>2.5659999999999998</v>
      </c>
      <c r="E706">
        <v>7.6</v>
      </c>
      <c r="F706">
        <v>4.95</v>
      </c>
      <c r="G706">
        <v>1.4</v>
      </c>
      <c r="H706">
        <v>3.75</v>
      </c>
      <c r="I706">
        <v>28.31</v>
      </c>
      <c r="J706">
        <v>14.4</v>
      </c>
      <c r="K706">
        <v>11.45</v>
      </c>
      <c r="L706">
        <v>1.22</v>
      </c>
      <c r="M706">
        <v>2.52</v>
      </c>
      <c r="N706">
        <v>0.19600000000000001</v>
      </c>
      <c r="O706">
        <v>2.387</v>
      </c>
      <c r="P706">
        <v>0.55000000000000004</v>
      </c>
    </row>
    <row r="707" spans="1:16" x14ac:dyDescent="0.25">
      <c r="A707" s="1">
        <v>42216</v>
      </c>
      <c r="B707">
        <v>5.3</v>
      </c>
      <c r="C707">
        <v>132.1</v>
      </c>
      <c r="D707">
        <v>2.5409999999999999</v>
      </c>
      <c r="E707">
        <v>7.6</v>
      </c>
      <c r="F707">
        <v>4.95</v>
      </c>
      <c r="G707">
        <v>1.37</v>
      </c>
      <c r="H707">
        <v>3.75</v>
      </c>
      <c r="I707">
        <v>28.59</v>
      </c>
      <c r="J707">
        <v>14.39</v>
      </c>
      <c r="K707">
        <v>11.4</v>
      </c>
      <c r="L707">
        <v>1.19</v>
      </c>
      <c r="M707">
        <v>2.52</v>
      </c>
      <c r="N707">
        <v>0.19600000000000001</v>
      </c>
      <c r="O707">
        <v>2.387</v>
      </c>
      <c r="P707">
        <v>0.52</v>
      </c>
    </row>
    <row r="708" spans="1:16" x14ac:dyDescent="0.25">
      <c r="A708" s="1">
        <v>42219</v>
      </c>
      <c r="B708">
        <v>5.25</v>
      </c>
      <c r="C708">
        <v>130.5</v>
      </c>
      <c r="D708">
        <v>2.5539999999999998</v>
      </c>
      <c r="E708">
        <v>6.65</v>
      </c>
      <c r="F708">
        <v>4.8499999999999996</v>
      </c>
      <c r="G708">
        <v>1.36</v>
      </c>
      <c r="H708">
        <v>3.7</v>
      </c>
      <c r="I708">
        <v>28.8</v>
      </c>
      <c r="J708">
        <v>14.25</v>
      </c>
      <c r="K708">
        <v>11.45</v>
      </c>
      <c r="L708">
        <v>1.1599999999999999</v>
      </c>
      <c r="M708">
        <v>2.2999999999999998</v>
      </c>
      <c r="N708">
        <v>0.192</v>
      </c>
      <c r="O708">
        <v>2.387</v>
      </c>
      <c r="P708">
        <v>0.5</v>
      </c>
    </row>
    <row r="709" spans="1:16" x14ac:dyDescent="0.25">
      <c r="A709" s="1">
        <v>42220</v>
      </c>
      <c r="B709">
        <v>5.3</v>
      </c>
      <c r="C709">
        <v>132</v>
      </c>
      <c r="D709">
        <v>2.5539999999999998</v>
      </c>
      <c r="E709">
        <v>6.53</v>
      </c>
      <c r="F709">
        <v>4.8099999999999996</v>
      </c>
      <c r="G709">
        <v>1.34</v>
      </c>
      <c r="H709">
        <v>3.6</v>
      </c>
      <c r="I709">
        <v>28.65</v>
      </c>
      <c r="J709">
        <v>14</v>
      </c>
      <c r="K709">
        <v>11.45</v>
      </c>
      <c r="L709">
        <v>1.08</v>
      </c>
      <c r="M709">
        <v>2.25</v>
      </c>
      <c r="N709">
        <v>0.18</v>
      </c>
      <c r="O709">
        <v>2.387</v>
      </c>
      <c r="P709">
        <v>0.45</v>
      </c>
    </row>
    <row r="710" spans="1:16" x14ac:dyDescent="0.25">
      <c r="A710" s="1">
        <v>42221</v>
      </c>
      <c r="B710">
        <v>5.3</v>
      </c>
      <c r="C710">
        <v>131.62</v>
      </c>
      <c r="D710">
        <v>2.556</v>
      </c>
      <c r="E710">
        <v>6.68</v>
      </c>
      <c r="F710">
        <v>4.9000000000000004</v>
      </c>
      <c r="G710">
        <v>1.34</v>
      </c>
      <c r="H710">
        <v>3.5</v>
      </c>
      <c r="I710">
        <v>28.65</v>
      </c>
      <c r="J710">
        <v>14</v>
      </c>
      <c r="K710">
        <v>11.45</v>
      </c>
      <c r="L710">
        <v>1.08</v>
      </c>
      <c r="M710">
        <v>2.25</v>
      </c>
      <c r="N710">
        <v>0.18</v>
      </c>
      <c r="O710">
        <v>2.38</v>
      </c>
      <c r="P710">
        <v>0.49</v>
      </c>
    </row>
    <row r="711" spans="1:16" x14ac:dyDescent="0.25">
      <c r="A711" s="1">
        <v>42222</v>
      </c>
      <c r="B711">
        <v>5.2</v>
      </c>
      <c r="C711">
        <v>130.6</v>
      </c>
      <c r="D711">
        <v>2.5350000000000001</v>
      </c>
      <c r="E711">
        <v>6.82</v>
      </c>
      <c r="F711">
        <v>4.8899999999999997</v>
      </c>
      <c r="G711">
        <v>1.34</v>
      </c>
      <c r="H711">
        <v>3.5</v>
      </c>
      <c r="I711">
        <v>28.3</v>
      </c>
      <c r="J711">
        <v>13.8</v>
      </c>
      <c r="K711">
        <v>11.4</v>
      </c>
      <c r="L711">
        <v>1.03</v>
      </c>
      <c r="M711">
        <v>2.27</v>
      </c>
      <c r="N711">
        <v>0.17599999999999999</v>
      </c>
      <c r="O711">
        <v>2.33</v>
      </c>
      <c r="P711">
        <v>0.47</v>
      </c>
    </row>
    <row r="712" spans="1:16" x14ac:dyDescent="0.25">
      <c r="A712" s="1">
        <v>42223</v>
      </c>
      <c r="B712">
        <v>5.3</v>
      </c>
      <c r="C712">
        <v>130</v>
      </c>
      <c r="D712">
        <v>2.5350000000000001</v>
      </c>
      <c r="E712">
        <v>6.55</v>
      </c>
      <c r="F712">
        <v>5</v>
      </c>
      <c r="G712">
        <v>1.34</v>
      </c>
      <c r="H712">
        <v>3.48</v>
      </c>
      <c r="I712">
        <v>28.3</v>
      </c>
      <c r="J712">
        <v>13.8</v>
      </c>
      <c r="K712">
        <v>11.35</v>
      </c>
      <c r="L712">
        <v>1.01</v>
      </c>
      <c r="M712">
        <v>2.25</v>
      </c>
      <c r="N712">
        <v>0.17</v>
      </c>
      <c r="O712">
        <v>2.3199999999999998</v>
      </c>
      <c r="P712">
        <v>0.49</v>
      </c>
    </row>
    <row r="713" spans="1:16" x14ac:dyDescent="0.25">
      <c r="A713" s="1">
        <v>42226</v>
      </c>
      <c r="B713">
        <v>5.3</v>
      </c>
      <c r="C713">
        <v>132.35</v>
      </c>
      <c r="D713">
        <v>2.5350000000000001</v>
      </c>
      <c r="E713">
        <v>6.66</v>
      </c>
      <c r="F713">
        <v>5.09</v>
      </c>
      <c r="G713">
        <v>1.34</v>
      </c>
      <c r="H713">
        <v>3.59</v>
      </c>
      <c r="I713">
        <v>28.45</v>
      </c>
      <c r="J713">
        <v>13.8</v>
      </c>
      <c r="K713">
        <v>11.35</v>
      </c>
      <c r="L713">
        <v>1.02</v>
      </c>
      <c r="M713">
        <v>2.2999999999999998</v>
      </c>
      <c r="N713">
        <v>0.17</v>
      </c>
      <c r="O713">
        <v>2.3199999999999998</v>
      </c>
      <c r="P713">
        <v>0.51</v>
      </c>
    </row>
    <row r="714" spans="1:16" x14ac:dyDescent="0.25">
      <c r="A714" s="1">
        <v>42227</v>
      </c>
      <c r="B714">
        <v>5.2</v>
      </c>
      <c r="C714">
        <v>128</v>
      </c>
      <c r="D714">
        <v>2.5209999999999999</v>
      </c>
      <c r="E714">
        <v>6.68</v>
      </c>
      <c r="F714">
        <v>5.04</v>
      </c>
      <c r="G714">
        <v>1.33</v>
      </c>
      <c r="H714">
        <v>3.4</v>
      </c>
      <c r="I714">
        <v>28.01</v>
      </c>
      <c r="J714">
        <v>13.8</v>
      </c>
      <c r="K714">
        <v>11.35</v>
      </c>
      <c r="L714">
        <v>1</v>
      </c>
      <c r="M714">
        <v>2.25</v>
      </c>
      <c r="N714">
        <v>0.17</v>
      </c>
      <c r="O714">
        <v>2.27</v>
      </c>
      <c r="P714">
        <v>0.51</v>
      </c>
    </row>
    <row r="715" spans="1:16" x14ac:dyDescent="0.25">
      <c r="A715" s="1">
        <v>42228</v>
      </c>
      <c r="B715">
        <v>5.0999999999999996</v>
      </c>
      <c r="C715">
        <v>124.85</v>
      </c>
      <c r="D715">
        <v>2.3849999999999998</v>
      </c>
      <c r="E715">
        <v>7.35</v>
      </c>
      <c r="F715">
        <v>5.0599999999999996</v>
      </c>
      <c r="G715">
        <v>1.33</v>
      </c>
      <c r="H715">
        <v>3.3</v>
      </c>
      <c r="I715">
        <v>27.8</v>
      </c>
      <c r="J715">
        <v>13.65</v>
      </c>
      <c r="K715">
        <v>11.28</v>
      </c>
      <c r="L715">
        <v>0.99</v>
      </c>
      <c r="M715">
        <v>2.25</v>
      </c>
      <c r="N715">
        <v>0.17</v>
      </c>
      <c r="O715">
        <v>2.23</v>
      </c>
      <c r="P715">
        <v>0.49</v>
      </c>
    </row>
    <row r="716" spans="1:16" x14ac:dyDescent="0.25">
      <c r="A716" s="1">
        <v>42229</v>
      </c>
      <c r="B716">
        <v>5.03</v>
      </c>
      <c r="C716">
        <v>124.3</v>
      </c>
      <c r="D716">
        <v>2.3140000000000001</v>
      </c>
      <c r="E716">
        <v>7.3</v>
      </c>
      <c r="F716">
        <v>4.95</v>
      </c>
      <c r="G716">
        <v>1.32</v>
      </c>
      <c r="H716">
        <v>3.2</v>
      </c>
      <c r="I716">
        <v>27.49</v>
      </c>
      <c r="J716">
        <v>13.4</v>
      </c>
      <c r="K716">
        <v>11.2</v>
      </c>
      <c r="L716">
        <v>0.99</v>
      </c>
      <c r="M716">
        <v>2.2000000000000002</v>
      </c>
      <c r="N716">
        <v>0.17</v>
      </c>
      <c r="O716">
        <v>2.2200000000000002</v>
      </c>
      <c r="P716">
        <v>0.48</v>
      </c>
    </row>
    <row r="717" spans="1:16" x14ac:dyDescent="0.25">
      <c r="A717" s="1">
        <v>42230</v>
      </c>
      <c r="B717">
        <v>4.6500000000000004</v>
      </c>
      <c r="C717">
        <v>116.37</v>
      </c>
      <c r="D717">
        <v>2.1360000000000001</v>
      </c>
      <c r="E717">
        <v>6.75</v>
      </c>
      <c r="F717">
        <v>4.95</v>
      </c>
      <c r="G717">
        <v>1.29</v>
      </c>
      <c r="H717">
        <v>2.66</v>
      </c>
      <c r="I717">
        <v>26</v>
      </c>
      <c r="J717">
        <v>12.4</v>
      </c>
      <c r="K717">
        <v>11</v>
      </c>
      <c r="L717">
        <v>0.94</v>
      </c>
      <c r="M717">
        <v>2.15</v>
      </c>
      <c r="N717">
        <v>0.16900000000000001</v>
      </c>
      <c r="O717">
        <v>2.0299999999999998</v>
      </c>
      <c r="P717">
        <v>0.42</v>
      </c>
    </row>
    <row r="718" spans="1:16" x14ac:dyDescent="0.25">
      <c r="A718" s="1">
        <v>42233</v>
      </c>
      <c r="B718">
        <v>4.4000000000000004</v>
      </c>
      <c r="C718">
        <v>116</v>
      </c>
      <c r="D718">
        <v>2.101</v>
      </c>
      <c r="E718">
        <v>6.9</v>
      </c>
      <c r="F718">
        <v>4.68</v>
      </c>
      <c r="G718">
        <v>1.23</v>
      </c>
      <c r="H718">
        <v>2.81</v>
      </c>
      <c r="I718">
        <v>26</v>
      </c>
      <c r="J718">
        <v>12.5</v>
      </c>
      <c r="K718">
        <v>10.6</v>
      </c>
      <c r="L718">
        <v>0.85</v>
      </c>
      <c r="M718">
        <v>1.93</v>
      </c>
      <c r="N718">
        <v>0.14499999999999999</v>
      </c>
      <c r="O718">
        <v>2.04</v>
      </c>
      <c r="P718">
        <v>0.4</v>
      </c>
    </row>
    <row r="719" spans="1:16" x14ac:dyDescent="0.25">
      <c r="A719" s="1">
        <v>42234</v>
      </c>
      <c r="B719">
        <v>4.3499999999999996</v>
      </c>
      <c r="C719">
        <v>115.8</v>
      </c>
      <c r="D719">
        <v>2.2069999999999999</v>
      </c>
      <c r="E719">
        <v>7</v>
      </c>
      <c r="F719">
        <v>4.6500000000000004</v>
      </c>
      <c r="G719">
        <v>1.18</v>
      </c>
      <c r="H719">
        <v>2.76</v>
      </c>
      <c r="I719">
        <v>26</v>
      </c>
      <c r="J719">
        <v>12.4</v>
      </c>
      <c r="K719">
        <v>10.35</v>
      </c>
      <c r="L719">
        <v>0.88</v>
      </c>
      <c r="M719">
        <v>1.92</v>
      </c>
      <c r="N719">
        <v>0.14099999999999999</v>
      </c>
      <c r="O719">
        <v>2.0299999999999998</v>
      </c>
      <c r="P719">
        <v>0.4</v>
      </c>
    </row>
    <row r="720" spans="1:16" x14ac:dyDescent="0.25">
      <c r="A720" s="1">
        <v>42235</v>
      </c>
      <c r="B720">
        <v>4.3</v>
      </c>
      <c r="C720">
        <v>115.8</v>
      </c>
      <c r="D720">
        <v>2.2069999999999999</v>
      </c>
      <c r="E720">
        <v>7</v>
      </c>
      <c r="F720">
        <v>4.45</v>
      </c>
      <c r="G720">
        <v>1.1399999999999999</v>
      </c>
      <c r="H720">
        <v>2.72</v>
      </c>
      <c r="I720">
        <v>25.95</v>
      </c>
      <c r="J720">
        <v>12.41</v>
      </c>
      <c r="K720">
        <v>10.35</v>
      </c>
      <c r="L720">
        <v>0.89</v>
      </c>
      <c r="M720">
        <v>1.81</v>
      </c>
      <c r="N720">
        <v>0.13500000000000001</v>
      </c>
      <c r="O720">
        <v>2</v>
      </c>
      <c r="P720">
        <v>0.39</v>
      </c>
    </row>
    <row r="721" spans="1:16" x14ac:dyDescent="0.25">
      <c r="A721" s="1">
        <v>42236</v>
      </c>
      <c r="B721">
        <v>4.22</v>
      </c>
      <c r="C721">
        <v>113</v>
      </c>
      <c r="D721">
        <v>2.1720000000000002</v>
      </c>
      <c r="E721">
        <v>7.19</v>
      </c>
      <c r="F721">
        <v>4.3</v>
      </c>
      <c r="G721">
        <v>1.1000000000000001</v>
      </c>
      <c r="H721">
        <v>2.74</v>
      </c>
      <c r="I721">
        <v>25.6</v>
      </c>
      <c r="J721">
        <v>12.3</v>
      </c>
      <c r="K721">
        <v>10.199999999999999</v>
      </c>
      <c r="L721">
        <v>0.86</v>
      </c>
      <c r="M721">
        <v>1.76</v>
      </c>
      <c r="N721">
        <v>0.13100000000000001</v>
      </c>
      <c r="O721">
        <v>1.95</v>
      </c>
      <c r="P721">
        <v>0.39</v>
      </c>
    </row>
    <row r="722" spans="1:16" x14ac:dyDescent="0.25">
      <c r="A722" s="1">
        <v>42237</v>
      </c>
      <c r="B722">
        <v>4.21</v>
      </c>
      <c r="C722">
        <v>110.65</v>
      </c>
      <c r="D722">
        <v>2.0649999999999999</v>
      </c>
      <c r="E722">
        <v>7</v>
      </c>
      <c r="F722">
        <v>4.2</v>
      </c>
      <c r="G722">
        <v>1.0900000000000001</v>
      </c>
      <c r="H722">
        <v>2.68</v>
      </c>
      <c r="I722">
        <v>25.5</v>
      </c>
      <c r="J722">
        <v>12.15</v>
      </c>
      <c r="K722">
        <v>10</v>
      </c>
      <c r="L722">
        <v>0.79</v>
      </c>
      <c r="M722">
        <v>1.62</v>
      </c>
      <c r="N722">
        <v>0.128</v>
      </c>
      <c r="O722">
        <v>1.81</v>
      </c>
      <c r="P722">
        <v>0.35299999999999998</v>
      </c>
    </row>
    <row r="723" spans="1:16" x14ac:dyDescent="0.25">
      <c r="A723" s="1">
        <v>42240</v>
      </c>
      <c r="B723">
        <v>3.9</v>
      </c>
      <c r="C723">
        <v>106</v>
      </c>
      <c r="D723">
        <v>1.958</v>
      </c>
      <c r="E723">
        <v>6.5</v>
      </c>
      <c r="F723">
        <v>3.9</v>
      </c>
      <c r="G723">
        <v>1.05</v>
      </c>
      <c r="H723">
        <v>2.68</v>
      </c>
      <c r="I723">
        <v>24.73</v>
      </c>
      <c r="J723">
        <v>11.6</v>
      </c>
      <c r="K723">
        <v>9.7010000000000005</v>
      </c>
      <c r="L723">
        <v>0.71</v>
      </c>
      <c r="M723">
        <v>1.55</v>
      </c>
      <c r="N723">
        <v>0.125</v>
      </c>
      <c r="O723">
        <v>1.74</v>
      </c>
      <c r="P723">
        <v>0.34</v>
      </c>
    </row>
    <row r="724" spans="1:16" x14ac:dyDescent="0.25">
      <c r="A724" s="1">
        <v>42241</v>
      </c>
      <c r="B724">
        <v>3.95</v>
      </c>
      <c r="C724">
        <v>103.8</v>
      </c>
      <c r="D724">
        <v>2.008</v>
      </c>
      <c r="E724">
        <v>6.2</v>
      </c>
      <c r="F724">
        <v>3.9</v>
      </c>
      <c r="G724">
        <v>1.05</v>
      </c>
      <c r="H724">
        <v>2.69</v>
      </c>
      <c r="I724">
        <v>25</v>
      </c>
      <c r="J724">
        <v>11.6</v>
      </c>
      <c r="K724">
        <v>9.6329999999999991</v>
      </c>
      <c r="L724">
        <v>0.75</v>
      </c>
      <c r="M724">
        <v>1.67</v>
      </c>
      <c r="N724">
        <v>0.13500000000000001</v>
      </c>
      <c r="O724">
        <v>1.78</v>
      </c>
      <c r="P724">
        <v>0.38</v>
      </c>
    </row>
    <row r="725" spans="1:16" x14ac:dyDescent="0.25">
      <c r="A725" s="1">
        <v>42242</v>
      </c>
      <c r="B725">
        <v>4.22</v>
      </c>
      <c r="C725">
        <v>104</v>
      </c>
      <c r="D725">
        <v>2.044</v>
      </c>
      <c r="E725">
        <v>5.88</v>
      </c>
      <c r="F725">
        <v>3.92</v>
      </c>
      <c r="G725">
        <v>1.05</v>
      </c>
      <c r="H725">
        <v>2.75</v>
      </c>
      <c r="I725">
        <v>25</v>
      </c>
      <c r="J725">
        <v>11.6</v>
      </c>
      <c r="K725">
        <v>9.6329999999999991</v>
      </c>
      <c r="L725">
        <v>0.77</v>
      </c>
      <c r="M725">
        <v>1.65</v>
      </c>
      <c r="N725">
        <v>0.15</v>
      </c>
      <c r="O725">
        <v>1.8</v>
      </c>
      <c r="P725">
        <v>0.38500000000000001</v>
      </c>
    </row>
    <row r="726" spans="1:16" x14ac:dyDescent="0.25">
      <c r="A726" s="1">
        <v>42243</v>
      </c>
      <c r="B726">
        <v>4.29</v>
      </c>
      <c r="C726">
        <v>110.3</v>
      </c>
      <c r="D726">
        <v>2.2069999999999999</v>
      </c>
      <c r="E726">
        <v>6.2</v>
      </c>
      <c r="F726">
        <v>4</v>
      </c>
      <c r="G726">
        <v>1.17</v>
      </c>
      <c r="H726">
        <v>2.9</v>
      </c>
      <c r="I726">
        <v>26.24</v>
      </c>
      <c r="J726">
        <v>12</v>
      </c>
      <c r="K726">
        <v>9.7010000000000005</v>
      </c>
      <c r="L726">
        <v>0.85</v>
      </c>
      <c r="M726">
        <v>1.8</v>
      </c>
      <c r="N726">
        <v>0.16</v>
      </c>
      <c r="O726">
        <v>1.9</v>
      </c>
      <c r="P726">
        <v>0.41399999999999998</v>
      </c>
    </row>
    <row r="727" spans="1:16" x14ac:dyDescent="0.25">
      <c r="A727" s="1">
        <v>42244</v>
      </c>
      <c r="B727">
        <v>4.5199999999999996</v>
      </c>
      <c r="C727">
        <v>111.45</v>
      </c>
      <c r="D727">
        <v>2.286</v>
      </c>
      <c r="E727">
        <v>6.61</v>
      </c>
      <c r="F727">
        <v>4</v>
      </c>
      <c r="G727">
        <v>1.3</v>
      </c>
      <c r="H727">
        <v>2.93</v>
      </c>
      <c r="I727">
        <v>26.3</v>
      </c>
      <c r="J727">
        <v>12</v>
      </c>
      <c r="K727">
        <v>10.145</v>
      </c>
      <c r="L727">
        <v>0.9</v>
      </c>
      <c r="M727">
        <v>1.99</v>
      </c>
      <c r="N727">
        <v>0.17499999999999999</v>
      </c>
      <c r="O727">
        <v>2</v>
      </c>
      <c r="P727">
        <v>0.42</v>
      </c>
    </row>
    <row r="728" spans="1:16" x14ac:dyDescent="0.25">
      <c r="A728" s="1">
        <v>42247</v>
      </c>
      <c r="B728">
        <v>4.6500000000000004</v>
      </c>
      <c r="C728">
        <v>109.3</v>
      </c>
      <c r="D728">
        <v>2.2789999999999999</v>
      </c>
      <c r="E728">
        <v>6.3</v>
      </c>
      <c r="F728">
        <v>4.07</v>
      </c>
      <c r="G728">
        <v>1.29</v>
      </c>
      <c r="H728">
        <v>2.8</v>
      </c>
      <c r="I728">
        <v>25</v>
      </c>
      <c r="J728">
        <v>11.9</v>
      </c>
      <c r="K728">
        <v>9.6519999999999992</v>
      </c>
      <c r="L728">
        <v>0.91</v>
      </c>
      <c r="M728">
        <v>1.95</v>
      </c>
      <c r="N728">
        <v>0.17699999999999999</v>
      </c>
      <c r="O728">
        <v>2</v>
      </c>
      <c r="P728">
        <v>0.41899999999999998</v>
      </c>
    </row>
    <row r="729" spans="1:16" x14ac:dyDescent="0.25">
      <c r="A729" s="1">
        <v>42248</v>
      </c>
      <c r="B729">
        <v>4.5</v>
      </c>
      <c r="C729">
        <v>106.85</v>
      </c>
      <c r="D729">
        <v>2.2789999999999999</v>
      </c>
      <c r="E729">
        <v>6.06</v>
      </c>
      <c r="F729">
        <v>3.85</v>
      </c>
      <c r="G729">
        <v>1.29</v>
      </c>
      <c r="H729">
        <v>2.8</v>
      </c>
      <c r="I729">
        <v>25.5</v>
      </c>
      <c r="J729">
        <v>11.9</v>
      </c>
      <c r="K729">
        <v>9.7509999999999994</v>
      </c>
      <c r="L729">
        <v>0.9</v>
      </c>
      <c r="M729">
        <v>1.97</v>
      </c>
      <c r="N729">
        <v>0.17199999999999999</v>
      </c>
      <c r="O729">
        <v>1.98</v>
      </c>
      <c r="P729">
        <v>0.40500000000000003</v>
      </c>
    </row>
    <row r="730" spans="1:16" x14ac:dyDescent="0.25">
      <c r="A730" s="1">
        <v>42249</v>
      </c>
      <c r="B730">
        <v>4.5</v>
      </c>
      <c r="C730">
        <v>107</v>
      </c>
      <c r="D730">
        <v>2.2789999999999999</v>
      </c>
      <c r="E730">
        <v>6</v>
      </c>
      <c r="F730">
        <v>3.85</v>
      </c>
      <c r="G730">
        <v>1.25</v>
      </c>
      <c r="H730">
        <v>2.8</v>
      </c>
      <c r="I730">
        <v>25.5</v>
      </c>
      <c r="J730">
        <v>11.9</v>
      </c>
      <c r="K730">
        <v>9.859</v>
      </c>
      <c r="L730">
        <v>0.88</v>
      </c>
      <c r="M730">
        <v>1.97</v>
      </c>
      <c r="N730">
        <v>0.17</v>
      </c>
      <c r="O730">
        <v>1.98</v>
      </c>
      <c r="P730">
        <v>0.40699999999999997</v>
      </c>
    </row>
    <row r="731" spans="1:16" x14ac:dyDescent="0.25">
      <c r="A731" s="1">
        <v>42250</v>
      </c>
      <c r="B731">
        <v>4.5999999999999996</v>
      </c>
      <c r="C731">
        <v>109.25</v>
      </c>
      <c r="D731">
        <v>2.3359999999999999</v>
      </c>
      <c r="E731">
        <v>6.1</v>
      </c>
      <c r="F731">
        <v>3.85</v>
      </c>
      <c r="G731">
        <v>1.25</v>
      </c>
      <c r="H731">
        <v>2.8</v>
      </c>
      <c r="I731">
        <v>25.5</v>
      </c>
      <c r="J731">
        <v>12</v>
      </c>
      <c r="K731">
        <v>9.8000000000000007</v>
      </c>
      <c r="L731">
        <v>0.88</v>
      </c>
      <c r="M731">
        <v>1.97</v>
      </c>
      <c r="N731">
        <v>0.17100000000000001</v>
      </c>
      <c r="O731">
        <v>1.98</v>
      </c>
      <c r="P731">
        <v>0.40400000000000003</v>
      </c>
    </row>
    <row r="732" spans="1:16" x14ac:dyDescent="0.25">
      <c r="A732" s="1">
        <v>42251</v>
      </c>
      <c r="B732">
        <v>4.55</v>
      </c>
      <c r="C732">
        <v>107.8</v>
      </c>
      <c r="D732">
        <v>2.3140000000000001</v>
      </c>
      <c r="E732">
        <v>6</v>
      </c>
      <c r="F732">
        <v>3.85</v>
      </c>
      <c r="G732">
        <v>1.2</v>
      </c>
      <c r="H732">
        <v>2.7</v>
      </c>
      <c r="I732">
        <v>24.85</v>
      </c>
      <c r="J732">
        <v>11.9</v>
      </c>
      <c r="K732">
        <v>9.5540000000000003</v>
      </c>
      <c r="L732">
        <v>0.82</v>
      </c>
      <c r="M732">
        <v>1.96</v>
      </c>
      <c r="N732">
        <v>0.17100000000000001</v>
      </c>
      <c r="O732">
        <v>1.92</v>
      </c>
      <c r="P732">
        <v>0.39900000000000002</v>
      </c>
    </row>
    <row r="733" spans="1:16" x14ac:dyDescent="0.25">
      <c r="A733" s="1">
        <v>42254</v>
      </c>
      <c r="B733">
        <v>4.55</v>
      </c>
      <c r="C733">
        <v>107.1</v>
      </c>
      <c r="D733">
        <v>2.2930000000000001</v>
      </c>
      <c r="E733">
        <v>6</v>
      </c>
      <c r="F733">
        <v>3.85</v>
      </c>
      <c r="G733">
        <v>1.2</v>
      </c>
      <c r="H733">
        <v>2.7</v>
      </c>
      <c r="I733">
        <v>25</v>
      </c>
      <c r="J733">
        <v>12</v>
      </c>
      <c r="K733">
        <v>9.5540000000000003</v>
      </c>
      <c r="L733">
        <v>0.75</v>
      </c>
      <c r="M733">
        <v>1.96</v>
      </c>
      <c r="N733">
        <v>0.16500000000000001</v>
      </c>
      <c r="O733">
        <v>1.91</v>
      </c>
      <c r="P733">
        <v>0.39</v>
      </c>
    </row>
    <row r="734" spans="1:16" x14ac:dyDescent="0.25">
      <c r="A734" s="1">
        <v>42255</v>
      </c>
      <c r="B734">
        <v>4.55</v>
      </c>
      <c r="C734">
        <v>108.3</v>
      </c>
      <c r="D734">
        <v>2.2930000000000001</v>
      </c>
      <c r="E734">
        <v>6.3</v>
      </c>
      <c r="F734">
        <v>3.93</v>
      </c>
      <c r="G734">
        <v>1.18</v>
      </c>
      <c r="H734">
        <v>2.7</v>
      </c>
      <c r="I734">
        <v>24.9</v>
      </c>
      <c r="J734">
        <v>12</v>
      </c>
      <c r="K734">
        <v>9.5640000000000001</v>
      </c>
      <c r="L734">
        <v>0.85</v>
      </c>
      <c r="M734">
        <v>1.96</v>
      </c>
      <c r="N734">
        <v>0.16200000000000001</v>
      </c>
      <c r="O734">
        <v>1.88</v>
      </c>
      <c r="P734">
        <v>0.40500000000000003</v>
      </c>
    </row>
    <row r="735" spans="1:16" x14ac:dyDescent="0.25">
      <c r="A735" s="1">
        <v>42256</v>
      </c>
      <c r="B735">
        <v>4.76</v>
      </c>
      <c r="C735">
        <v>107.5</v>
      </c>
      <c r="D735">
        <v>2.2789999999999999</v>
      </c>
      <c r="E735">
        <v>6.1</v>
      </c>
      <c r="F735">
        <v>3.93</v>
      </c>
      <c r="G735">
        <v>1.18</v>
      </c>
      <c r="H735">
        <v>2.7</v>
      </c>
      <c r="I735">
        <v>25</v>
      </c>
      <c r="J735">
        <v>11.9</v>
      </c>
      <c r="K735">
        <v>9.6229999999999993</v>
      </c>
      <c r="L735">
        <v>0.87</v>
      </c>
      <c r="M735">
        <v>1.96</v>
      </c>
      <c r="N735">
        <v>0.159</v>
      </c>
      <c r="O735">
        <v>1.85</v>
      </c>
      <c r="P735">
        <v>0.4</v>
      </c>
    </row>
    <row r="736" spans="1:16" x14ac:dyDescent="0.25">
      <c r="A736" s="1">
        <v>42257</v>
      </c>
      <c r="B736">
        <v>4.95</v>
      </c>
      <c r="C736">
        <v>108.7</v>
      </c>
      <c r="D736">
        <v>2.2789999999999999</v>
      </c>
      <c r="E736">
        <v>6.1</v>
      </c>
      <c r="F736">
        <v>3.93</v>
      </c>
      <c r="G736">
        <v>1.18</v>
      </c>
      <c r="H736">
        <v>2.7</v>
      </c>
      <c r="I736">
        <v>25</v>
      </c>
      <c r="J736">
        <v>11.89</v>
      </c>
      <c r="K736">
        <v>9.6920000000000002</v>
      </c>
      <c r="L736">
        <v>0.88</v>
      </c>
      <c r="M736">
        <v>1.93</v>
      </c>
      <c r="N736">
        <v>0.15</v>
      </c>
      <c r="O736">
        <v>1.9</v>
      </c>
      <c r="P736">
        <v>0.4</v>
      </c>
    </row>
    <row r="737" spans="1:16" x14ac:dyDescent="0.25">
      <c r="A737" s="1">
        <v>42258</v>
      </c>
      <c r="B737">
        <v>5.05</v>
      </c>
      <c r="C737">
        <v>110.6</v>
      </c>
      <c r="D737">
        <v>2.2570000000000001</v>
      </c>
      <c r="E737">
        <v>6.1</v>
      </c>
      <c r="F737">
        <v>3.6440000000000001</v>
      </c>
      <c r="G737">
        <v>1.18</v>
      </c>
      <c r="H737">
        <v>2.7</v>
      </c>
      <c r="I737">
        <v>24.86</v>
      </c>
      <c r="J737">
        <v>12</v>
      </c>
      <c r="K737">
        <v>9.8000000000000007</v>
      </c>
      <c r="L737">
        <v>0.88</v>
      </c>
      <c r="M737">
        <v>1.93</v>
      </c>
      <c r="N737">
        <v>0.15</v>
      </c>
      <c r="O737">
        <v>1.9</v>
      </c>
      <c r="P737">
        <v>0.39</v>
      </c>
    </row>
    <row r="738" spans="1:16" x14ac:dyDescent="0.25">
      <c r="A738" s="1">
        <v>42261</v>
      </c>
      <c r="B738">
        <v>5.05</v>
      </c>
      <c r="C738">
        <v>109.9</v>
      </c>
      <c r="D738">
        <v>2.2069999999999999</v>
      </c>
      <c r="E738">
        <v>6.08</v>
      </c>
      <c r="F738">
        <v>3.6160000000000001</v>
      </c>
      <c r="G738">
        <v>1.17</v>
      </c>
      <c r="H738">
        <v>2.7</v>
      </c>
      <c r="I738">
        <v>25</v>
      </c>
      <c r="J738">
        <v>12</v>
      </c>
      <c r="K738">
        <v>9.8800000000000008</v>
      </c>
      <c r="L738">
        <v>0.88</v>
      </c>
      <c r="M738">
        <v>1.88</v>
      </c>
      <c r="N738">
        <v>0.15</v>
      </c>
      <c r="O738">
        <v>1.9</v>
      </c>
      <c r="P738">
        <v>0.38800000000000001</v>
      </c>
    </row>
    <row r="739" spans="1:16" x14ac:dyDescent="0.25">
      <c r="A739" s="1">
        <v>42262</v>
      </c>
      <c r="B739">
        <v>5.0599999999999996</v>
      </c>
      <c r="C739">
        <v>108.9</v>
      </c>
      <c r="D739">
        <v>2.2069999999999999</v>
      </c>
      <c r="E739">
        <v>6</v>
      </c>
      <c r="F739">
        <v>3.6160000000000001</v>
      </c>
      <c r="G739">
        <v>1.2</v>
      </c>
      <c r="H739">
        <v>2.7</v>
      </c>
      <c r="I739">
        <v>25</v>
      </c>
      <c r="J739">
        <v>12</v>
      </c>
      <c r="K739">
        <v>9.8699999999999992</v>
      </c>
      <c r="L739">
        <v>0.85</v>
      </c>
      <c r="M739">
        <v>1.88</v>
      </c>
      <c r="N739">
        <v>0.14499999999999999</v>
      </c>
      <c r="O739">
        <v>1.9</v>
      </c>
      <c r="P739">
        <v>0.38</v>
      </c>
    </row>
    <row r="740" spans="1:16" x14ac:dyDescent="0.25">
      <c r="A740" s="1">
        <v>42263</v>
      </c>
      <c r="B740">
        <v>5.0599999999999996</v>
      </c>
      <c r="C740">
        <v>110.05</v>
      </c>
      <c r="D740">
        <v>2.2069999999999999</v>
      </c>
      <c r="E740">
        <v>6.49</v>
      </c>
      <c r="F740">
        <v>3.6629999999999998</v>
      </c>
      <c r="G740">
        <v>1.2</v>
      </c>
      <c r="H740">
        <v>2.7</v>
      </c>
      <c r="I740">
        <v>25</v>
      </c>
      <c r="J740">
        <v>12</v>
      </c>
      <c r="K740">
        <v>9.8000000000000007</v>
      </c>
      <c r="L740">
        <v>0.85</v>
      </c>
      <c r="M740">
        <v>1.83</v>
      </c>
      <c r="N740">
        <v>0.14399999999999999</v>
      </c>
      <c r="O740">
        <v>1.93</v>
      </c>
      <c r="P740">
        <v>0.375</v>
      </c>
    </row>
    <row r="741" spans="1:16" x14ac:dyDescent="0.25">
      <c r="A741" s="1">
        <v>42264</v>
      </c>
      <c r="B741">
        <v>5.15</v>
      </c>
      <c r="C741">
        <v>109</v>
      </c>
      <c r="D741">
        <v>2.2069999999999999</v>
      </c>
      <c r="E741">
        <v>6.5</v>
      </c>
      <c r="F741">
        <v>3.6070000000000002</v>
      </c>
      <c r="G741">
        <v>1.22</v>
      </c>
      <c r="H741">
        <v>2.64</v>
      </c>
      <c r="I741">
        <v>25</v>
      </c>
      <c r="J741">
        <v>12</v>
      </c>
      <c r="K741">
        <v>9.75</v>
      </c>
      <c r="L741">
        <v>0.85</v>
      </c>
      <c r="M741">
        <v>1.8</v>
      </c>
      <c r="N741">
        <v>0.13600000000000001</v>
      </c>
      <c r="O741">
        <v>2</v>
      </c>
      <c r="P741">
        <v>0.4</v>
      </c>
    </row>
    <row r="742" spans="1:16" x14ac:dyDescent="0.25">
      <c r="A742" s="1">
        <v>42265</v>
      </c>
      <c r="B742">
        <v>5.2</v>
      </c>
      <c r="C742">
        <v>108.5</v>
      </c>
      <c r="D742">
        <v>2.2069999999999999</v>
      </c>
      <c r="E742">
        <v>6.8</v>
      </c>
      <c r="F742">
        <v>3.6070000000000002</v>
      </c>
      <c r="G742">
        <v>1.25</v>
      </c>
      <c r="H742">
        <v>2.57</v>
      </c>
      <c r="I742">
        <v>25.23</v>
      </c>
      <c r="J742">
        <v>12</v>
      </c>
      <c r="K742">
        <v>10.1</v>
      </c>
      <c r="L742">
        <v>0.8</v>
      </c>
      <c r="M742">
        <v>1.8</v>
      </c>
      <c r="N742">
        <v>0.13600000000000001</v>
      </c>
      <c r="O742">
        <v>1.93</v>
      </c>
      <c r="P742">
        <v>0.39800000000000002</v>
      </c>
    </row>
    <row r="743" spans="1:16" x14ac:dyDescent="0.25">
      <c r="A743" s="1">
        <v>42268</v>
      </c>
      <c r="B743">
        <v>5.15</v>
      </c>
      <c r="C743">
        <v>108.5</v>
      </c>
      <c r="D743">
        <v>2.2069999999999999</v>
      </c>
      <c r="E743">
        <v>6.6</v>
      </c>
      <c r="F743">
        <v>3.7090000000000001</v>
      </c>
      <c r="G743">
        <v>1.25</v>
      </c>
      <c r="H743">
        <v>2.5299999999999998</v>
      </c>
      <c r="I743">
        <v>25.23</v>
      </c>
      <c r="J743">
        <v>12.1</v>
      </c>
      <c r="K743">
        <v>10.1</v>
      </c>
      <c r="L743">
        <v>0.75</v>
      </c>
      <c r="M743">
        <v>1.8</v>
      </c>
      <c r="N743">
        <v>0.13600000000000001</v>
      </c>
      <c r="O743">
        <v>1.93</v>
      </c>
      <c r="P743">
        <v>0.38</v>
      </c>
    </row>
    <row r="744" spans="1:16" x14ac:dyDescent="0.25">
      <c r="A744" s="1">
        <v>42269</v>
      </c>
      <c r="B744">
        <v>5.09</v>
      </c>
      <c r="C744">
        <v>106</v>
      </c>
      <c r="D744">
        <v>2.1789999999999998</v>
      </c>
      <c r="E744">
        <v>6.12</v>
      </c>
      <c r="F744">
        <v>3.7650000000000001</v>
      </c>
      <c r="G744">
        <v>1.25</v>
      </c>
      <c r="H744">
        <v>2.52</v>
      </c>
      <c r="I744">
        <v>25.2</v>
      </c>
      <c r="J744">
        <v>12.1</v>
      </c>
      <c r="K744">
        <v>10.1</v>
      </c>
      <c r="L744">
        <v>0.75</v>
      </c>
      <c r="M744">
        <v>1.8</v>
      </c>
      <c r="N744">
        <v>0.13100000000000001</v>
      </c>
      <c r="O744">
        <v>1.9</v>
      </c>
      <c r="P744">
        <v>0.37</v>
      </c>
    </row>
    <row r="745" spans="1:16" x14ac:dyDescent="0.25">
      <c r="A745" s="1">
        <v>42270</v>
      </c>
      <c r="B745">
        <v>5.0999999999999996</v>
      </c>
      <c r="C745">
        <v>105.1</v>
      </c>
      <c r="D745">
        <v>2.1930000000000001</v>
      </c>
      <c r="E745">
        <v>6</v>
      </c>
      <c r="F745">
        <v>3.6629999999999998</v>
      </c>
      <c r="G745">
        <v>1.24</v>
      </c>
      <c r="H745">
        <v>2.52</v>
      </c>
      <c r="I745">
        <v>25</v>
      </c>
      <c r="J745">
        <v>12.1</v>
      </c>
      <c r="K745">
        <v>10.050000000000001</v>
      </c>
      <c r="L745">
        <v>0.75</v>
      </c>
      <c r="M745">
        <v>1.8</v>
      </c>
      <c r="N745">
        <v>0.13800000000000001</v>
      </c>
      <c r="O745">
        <v>1.9</v>
      </c>
      <c r="P745">
        <v>0.374</v>
      </c>
    </row>
    <row r="746" spans="1:16" x14ac:dyDescent="0.25">
      <c r="A746" s="1">
        <v>42271</v>
      </c>
      <c r="B746">
        <v>5.0999999999999996</v>
      </c>
      <c r="C746">
        <v>103</v>
      </c>
      <c r="D746">
        <v>2.1930000000000001</v>
      </c>
      <c r="E746">
        <v>6.21</v>
      </c>
      <c r="F746">
        <v>3.6440000000000001</v>
      </c>
      <c r="G746">
        <v>1.25</v>
      </c>
      <c r="H746">
        <v>2.52</v>
      </c>
      <c r="I746">
        <v>25</v>
      </c>
      <c r="J746">
        <v>11.95</v>
      </c>
      <c r="K746">
        <v>10</v>
      </c>
      <c r="L746">
        <v>0.7</v>
      </c>
      <c r="M746">
        <v>1.8</v>
      </c>
      <c r="N746">
        <v>0.13800000000000001</v>
      </c>
      <c r="O746">
        <v>1.89</v>
      </c>
      <c r="P746">
        <v>0.36</v>
      </c>
    </row>
    <row r="747" spans="1:16" x14ac:dyDescent="0.25">
      <c r="A747" s="1">
        <v>42272</v>
      </c>
      <c r="B747">
        <v>5.0999999999999996</v>
      </c>
      <c r="C747">
        <v>101.5</v>
      </c>
      <c r="D747">
        <v>2.1720000000000002</v>
      </c>
      <c r="E747">
        <v>6.21</v>
      </c>
      <c r="F747">
        <v>3.6440000000000001</v>
      </c>
      <c r="G747">
        <v>1.25</v>
      </c>
      <c r="H747">
        <v>2.5299999999999998</v>
      </c>
      <c r="I747">
        <v>25</v>
      </c>
      <c r="J747">
        <v>12</v>
      </c>
      <c r="K747">
        <v>9.9</v>
      </c>
      <c r="L747">
        <v>0.75</v>
      </c>
      <c r="M747">
        <v>1.8</v>
      </c>
      <c r="N747">
        <v>0.14000000000000001</v>
      </c>
      <c r="O747">
        <v>1.85</v>
      </c>
      <c r="P747">
        <v>0.36</v>
      </c>
    </row>
    <row r="748" spans="1:16" x14ac:dyDescent="0.25">
      <c r="A748" s="1">
        <v>42275</v>
      </c>
      <c r="B748">
        <v>5.0999999999999996</v>
      </c>
      <c r="C748">
        <v>100.5</v>
      </c>
      <c r="D748">
        <v>2.1360000000000001</v>
      </c>
      <c r="E748">
        <v>5.8</v>
      </c>
      <c r="F748">
        <v>3.6629999999999998</v>
      </c>
      <c r="G748">
        <v>1.24</v>
      </c>
      <c r="H748">
        <v>2.37</v>
      </c>
      <c r="I748">
        <v>24.6</v>
      </c>
      <c r="J748">
        <v>11.98</v>
      </c>
      <c r="K748">
        <v>9.9</v>
      </c>
      <c r="L748">
        <v>0.75</v>
      </c>
      <c r="M748">
        <v>1.8</v>
      </c>
      <c r="N748">
        <v>0.14000000000000001</v>
      </c>
      <c r="O748">
        <v>1.85</v>
      </c>
      <c r="P748">
        <v>0.35</v>
      </c>
    </row>
    <row r="749" spans="1:16" x14ac:dyDescent="0.25">
      <c r="A749" s="1">
        <v>42276</v>
      </c>
      <c r="B749">
        <v>5.08</v>
      </c>
      <c r="C749">
        <v>103.82</v>
      </c>
      <c r="D749">
        <v>2.1360000000000001</v>
      </c>
      <c r="E749">
        <v>5.86</v>
      </c>
      <c r="F749">
        <v>3.6259999999999999</v>
      </c>
      <c r="G749">
        <v>1.25</v>
      </c>
      <c r="H749">
        <v>2.38</v>
      </c>
      <c r="I749">
        <v>24.6</v>
      </c>
      <c r="J749">
        <v>11.75</v>
      </c>
      <c r="K749">
        <v>9.9499999999999993</v>
      </c>
      <c r="L749">
        <v>0.75</v>
      </c>
      <c r="M749">
        <v>1.79</v>
      </c>
      <c r="N749">
        <v>0.14000000000000001</v>
      </c>
      <c r="O749">
        <v>1.85</v>
      </c>
      <c r="P749">
        <v>0.35</v>
      </c>
    </row>
    <row r="750" spans="1:16" x14ac:dyDescent="0.25">
      <c r="A750" s="1">
        <v>42277</v>
      </c>
      <c r="B750">
        <v>5.08</v>
      </c>
      <c r="C750">
        <v>106</v>
      </c>
      <c r="D750">
        <v>2.15</v>
      </c>
      <c r="E750">
        <v>5.91</v>
      </c>
      <c r="F750">
        <v>3.57</v>
      </c>
      <c r="G750">
        <v>1.26</v>
      </c>
      <c r="H750">
        <v>2.6</v>
      </c>
      <c r="I750">
        <v>25.49</v>
      </c>
      <c r="J750">
        <v>11.95</v>
      </c>
      <c r="K750">
        <v>9.9499999999999993</v>
      </c>
      <c r="L750">
        <v>0.75</v>
      </c>
      <c r="M750">
        <v>1.79</v>
      </c>
      <c r="N750">
        <v>0.14000000000000001</v>
      </c>
      <c r="O750">
        <v>1.87</v>
      </c>
      <c r="P750">
        <v>0.378</v>
      </c>
    </row>
    <row r="751" spans="1:16" x14ac:dyDescent="0.25">
      <c r="A751" s="1">
        <v>42278</v>
      </c>
      <c r="B751">
        <v>5.15</v>
      </c>
      <c r="C751">
        <v>106</v>
      </c>
      <c r="D751">
        <v>2.1930000000000001</v>
      </c>
      <c r="E751">
        <v>6.1</v>
      </c>
      <c r="F751">
        <v>3.66</v>
      </c>
      <c r="G751">
        <v>1.28</v>
      </c>
      <c r="H751">
        <v>2.68</v>
      </c>
      <c r="I751">
        <v>25.48</v>
      </c>
      <c r="J751">
        <v>11.95</v>
      </c>
      <c r="K751">
        <v>10</v>
      </c>
      <c r="L751">
        <v>0.8</v>
      </c>
      <c r="M751">
        <v>1.8</v>
      </c>
      <c r="N751">
        <v>0.14000000000000001</v>
      </c>
      <c r="O751">
        <v>1.83</v>
      </c>
      <c r="P751">
        <v>0.38</v>
      </c>
    </row>
    <row r="752" spans="1:16" x14ac:dyDescent="0.25">
      <c r="A752" s="1">
        <v>42279</v>
      </c>
      <c r="B752">
        <v>5.15</v>
      </c>
      <c r="C752">
        <v>104</v>
      </c>
      <c r="D752">
        <v>2.15</v>
      </c>
      <c r="E752">
        <v>6.29</v>
      </c>
      <c r="F752">
        <v>3.65</v>
      </c>
      <c r="G752">
        <v>1.25</v>
      </c>
      <c r="H752">
        <v>2.5499999999999998</v>
      </c>
      <c r="I752">
        <v>25</v>
      </c>
      <c r="J752">
        <v>11.94</v>
      </c>
      <c r="K752">
        <v>9.9499999999999993</v>
      </c>
      <c r="L752">
        <v>0.8</v>
      </c>
      <c r="M752">
        <v>1.8</v>
      </c>
      <c r="N752">
        <v>0.14000000000000001</v>
      </c>
      <c r="O752">
        <v>1.8</v>
      </c>
      <c r="P752">
        <v>0.36199999999999999</v>
      </c>
    </row>
    <row r="753" spans="1:16" x14ac:dyDescent="0.25">
      <c r="A753" s="1">
        <v>42282</v>
      </c>
      <c r="B753">
        <v>5.32</v>
      </c>
      <c r="C753">
        <v>111.28</v>
      </c>
      <c r="D753">
        <v>2.15</v>
      </c>
      <c r="E753">
        <v>7.11</v>
      </c>
      <c r="F753">
        <v>3.65</v>
      </c>
      <c r="G753">
        <v>1.25</v>
      </c>
      <c r="H753">
        <v>2.58</v>
      </c>
      <c r="I753">
        <v>25</v>
      </c>
      <c r="J753">
        <v>11.94</v>
      </c>
      <c r="K753">
        <v>9.9499999999999993</v>
      </c>
      <c r="L753">
        <v>0.82</v>
      </c>
      <c r="M753">
        <v>1.82</v>
      </c>
      <c r="N753">
        <v>0.14000000000000001</v>
      </c>
      <c r="O753">
        <v>1.8</v>
      </c>
      <c r="P753">
        <v>0.38300000000000001</v>
      </c>
    </row>
    <row r="754" spans="1:16" x14ac:dyDescent="0.25">
      <c r="A754" s="1">
        <v>42283</v>
      </c>
      <c r="B754">
        <v>5.32</v>
      </c>
      <c r="C754">
        <v>113.1</v>
      </c>
      <c r="D754">
        <v>2.1930000000000001</v>
      </c>
      <c r="E754">
        <v>7.4</v>
      </c>
      <c r="F754">
        <v>3.65</v>
      </c>
      <c r="G754">
        <v>1.3</v>
      </c>
      <c r="H754">
        <v>2.4300000000000002</v>
      </c>
      <c r="I754">
        <v>25</v>
      </c>
      <c r="J754">
        <v>11.95</v>
      </c>
      <c r="K754">
        <v>9.9499999999999993</v>
      </c>
      <c r="L754">
        <v>0.84</v>
      </c>
      <c r="M754">
        <v>1.8</v>
      </c>
      <c r="N754">
        <v>0.14000000000000001</v>
      </c>
      <c r="O754">
        <v>1.8</v>
      </c>
      <c r="P754">
        <v>0.38</v>
      </c>
    </row>
    <row r="755" spans="1:16" x14ac:dyDescent="0.25">
      <c r="A755" s="1">
        <v>42284</v>
      </c>
      <c r="B755">
        <v>5.4</v>
      </c>
      <c r="C755">
        <v>114.82</v>
      </c>
      <c r="D755">
        <v>2.2789999999999999</v>
      </c>
      <c r="E755">
        <v>7.3</v>
      </c>
      <c r="F755">
        <v>3.72</v>
      </c>
      <c r="G755">
        <v>1.3</v>
      </c>
      <c r="H755">
        <v>2.52</v>
      </c>
      <c r="I755">
        <v>25.01</v>
      </c>
      <c r="J755">
        <v>11.95</v>
      </c>
      <c r="K755">
        <v>9.9499999999999993</v>
      </c>
      <c r="L755">
        <v>0.86</v>
      </c>
      <c r="M755">
        <v>1.85</v>
      </c>
      <c r="N755">
        <v>0.14000000000000001</v>
      </c>
      <c r="O755">
        <v>1.8</v>
      </c>
      <c r="P755">
        <v>0.378</v>
      </c>
    </row>
    <row r="756" spans="1:16" x14ac:dyDescent="0.25">
      <c r="A756" s="1">
        <v>42289</v>
      </c>
      <c r="B756">
        <v>5.4</v>
      </c>
      <c r="C756">
        <v>114.4</v>
      </c>
      <c r="D756">
        <v>2.2789999999999999</v>
      </c>
      <c r="E756">
        <v>7.5</v>
      </c>
      <c r="F756">
        <v>3.75</v>
      </c>
      <c r="G756">
        <v>1.26</v>
      </c>
      <c r="H756">
        <v>2.54</v>
      </c>
      <c r="I756">
        <v>24.6</v>
      </c>
      <c r="J756">
        <v>11.95</v>
      </c>
      <c r="K756">
        <v>9.9499999999999993</v>
      </c>
      <c r="L756">
        <v>0.88</v>
      </c>
      <c r="M756">
        <v>1.82</v>
      </c>
      <c r="N756">
        <v>0.14000000000000001</v>
      </c>
      <c r="O756">
        <v>1.83</v>
      </c>
      <c r="P756">
        <v>0.372</v>
      </c>
    </row>
    <row r="757" spans="1:16" x14ac:dyDescent="0.25">
      <c r="A757" s="1">
        <v>42290</v>
      </c>
      <c r="B757">
        <v>5.35</v>
      </c>
      <c r="C757">
        <v>114.7</v>
      </c>
      <c r="D757">
        <v>2.2069999999999999</v>
      </c>
      <c r="E757">
        <v>7.42</v>
      </c>
      <c r="F757">
        <v>3.76</v>
      </c>
      <c r="G757">
        <v>1.26</v>
      </c>
      <c r="H757">
        <v>2.56</v>
      </c>
      <c r="I757">
        <v>25</v>
      </c>
      <c r="J757">
        <v>11.75</v>
      </c>
      <c r="K757">
        <v>9.8000000000000007</v>
      </c>
      <c r="L757">
        <v>0.87</v>
      </c>
      <c r="M757">
        <v>1.8</v>
      </c>
      <c r="N757">
        <v>0.13500000000000001</v>
      </c>
      <c r="O757">
        <v>1.8</v>
      </c>
      <c r="P757">
        <v>0.372</v>
      </c>
    </row>
    <row r="758" spans="1:16" x14ac:dyDescent="0.25">
      <c r="A758" s="1">
        <v>42291</v>
      </c>
      <c r="B758">
        <v>5.35</v>
      </c>
      <c r="C758">
        <v>116</v>
      </c>
      <c r="D758">
        <v>2.2069999999999999</v>
      </c>
      <c r="E758">
        <v>8.0399999999999991</v>
      </c>
      <c r="F758">
        <v>3.78</v>
      </c>
      <c r="G758">
        <v>1.27</v>
      </c>
      <c r="H758">
        <v>2.6</v>
      </c>
      <c r="I758">
        <v>25</v>
      </c>
      <c r="J758">
        <v>11.75</v>
      </c>
      <c r="K758">
        <v>9.8000000000000007</v>
      </c>
      <c r="L758">
        <v>0.87</v>
      </c>
      <c r="M758">
        <v>1.8</v>
      </c>
      <c r="N758">
        <v>0.13500000000000001</v>
      </c>
      <c r="O758">
        <v>1.8</v>
      </c>
      <c r="P758">
        <v>0.372</v>
      </c>
    </row>
    <row r="759" spans="1:16" x14ac:dyDescent="0.25">
      <c r="A759" s="1">
        <v>42292</v>
      </c>
      <c r="B759">
        <v>5.35</v>
      </c>
      <c r="C759">
        <v>114.5</v>
      </c>
      <c r="D759">
        <v>2.2149999999999999</v>
      </c>
      <c r="E759">
        <v>8.0500000000000007</v>
      </c>
      <c r="F759">
        <v>4.05</v>
      </c>
      <c r="G759">
        <v>1.28</v>
      </c>
      <c r="H759">
        <v>2.64</v>
      </c>
      <c r="I759">
        <v>25</v>
      </c>
      <c r="J759">
        <v>11.7</v>
      </c>
      <c r="K759">
        <v>9.8000000000000007</v>
      </c>
      <c r="L759">
        <v>0.87</v>
      </c>
      <c r="M759">
        <v>1.83</v>
      </c>
      <c r="N759">
        <v>0.14000000000000001</v>
      </c>
      <c r="O759">
        <v>1.84</v>
      </c>
      <c r="P759">
        <v>0.36899999999999999</v>
      </c>
    </row>
    <row r="760" spans="1:16" x14ac:dyDescent="0.25">
      <c r="A760" s="1">
        <v>42293</v>
      </c>
      <c r="B760">
        <v>5.28</v>
      </c>
      <c r="C760">
        <v>114.4</v>
      </c>
      <c r="D760">
        <v>2.2069999999999999</v>
      </c>
      <c r="E760">
        <v>7.8</v>
      </c>
      <c r="F760">
        <v>4.0199999999999996</v>
      </c>
      <c r="G760">
        <v>1.27</v>
      </c>
      <c r="H760">
        <v>2.52</v>
      </c>
      <c r="I760">
        <v>24.9</v>
      </c>
      <c r="J760">
        <v>11.71</v>
      </c>
      <c r="K760">
        <v>9.69</v>
      </c>
      <c r="L760">
        <v>0.83</v>
      </c>
      <c r="M760">
        <v>1.8</v>
      </c>
      <c r="N760">
        <v>0.13200000000000001</v>
      </c>
      <c r="O760">
        <v>1.75</v>
      </c>
      <c r="P760">
        <v>0.35599999999999998</v>
      </c>
    </row>
    <row r="761" spans="1:16" x14ac:dyDescent="0.25">
      <c r="A761" s="1">
        <v>42296</v>
      </c>
      <c r="B761">
        <v>5.28</v>
      </c>
      <c r="C761">
        <v>113.51</v>
      </c>
      <c r="D761">
        <v>2.2069999999999999</v>
      </c>
      <c r="E761">
        <v>7.6</v>
      </c>
      <c r="F761">
        <v>4.05</v>
      </c>
      <c r="G761">
        <v>1.29</v>
      </c>
      <c r="H761">
        <v>2.5</v>
      </c>
      <c r="I761">
        <v>24.9</v>
      </c>
      <c r="J761">
        <v>11.71</v>
      </c>
      <c r="K761">
        <v>9.5329999999999995</v>
      </c>
      <c r="L761">
        <v>0.8</v>
      </c>
      <c r="M761">
        <v>1.8</v>
      </c>
      <c r="N761">
        <v>0.13400000000000001</v>
      </c>
      <c r="O761">
        <v>1.7270000000000001</v>
      </c>
      <c r="P761">
        <v>0.35599999999999998</v>
      </c>
    </row>
    <row r="762" spans="1:16" x14ac:dyDescent="0.25">
      <c r="A762" s="1">
        <v>42297</v>
      </c>
      <c r="B762">
        <v>5.27</v>
      </c>
      <c r="C762">
        <v>114.55</v>
      </c>
      <c r="D762">
        <v>2.2069999999999999</v>
      </c>
      <c r="E762">
        <v>7.76</v>
      </c>
      <c r="F762">
        <v>4.2699999999999996</v>
      </c>
      <c r="G762">
        <v>1.29</v>
      </c>
      <c r="H762">
        <v>2.5099999999999998</v>
      </c>
      <c r="I762">
        <v>24.5</v>
      </c>
      <c r="J762">
        <v>11.55</v>
      </c>
      <c r="K762">
        <v>9.3759999999999994</v>
      </c>
      <c r="L762">
        <v>0.8</v>
      </c>
      <c r="M762">
        <v>1.8</v>
      </c>
      <c r="N762">
        <v>0.13400000000000001</v>
      </c>
      <c r="O762">
        <v>1.7569999999999999</v>
      </c>
      <c r="P762">
        <v>0.36499999999999999</v>
      </c>
    </row>
    <row r="763" spans="1:16" x14ac:dyDescent="0.25">
      <c r="A763" s="1">
        <v>42298</v>
      </c>
      <c r="B763">
        <v>5.27</v>
      </c>
      <c r="C763">
        <v>113.1</v>
      </c>
      <c r="D763">
        <v>2.2429999999999999</v>
      </c>
      <c r="E763">
        <v>7.5</v>
      </c>
      <c r="F763">
        <v>4.25</v>
      </c>
      <c r="G763">
        <v>1.3</v>
      </c>
      <c r="H763">
        <v>2.5</v>
      </c>
      <c r="I763">
        <v>24.6</v>
      </c>
      <c r="J763">
        <v>11.55</v>
      </c>
      <c r="K763">
        <v>9.3759999999999994</v>
      </c>
      <c r="L763">
        <v>0.81</v>
      </c>
      <c r="M763">
        <v>1.81</v>
      </c>
      <c r="N763">
        <v>0.13400000000000001</v>
      </c>
      <c r="O763">
        <v>1.7569999999999999</v>
      </c>
      <c r="P763">
        <v>0.36499999999999999</v>
      </c>
    </row>
    <row r="764" spans="1:16" x14ac:dyDescent="0.25">
      <c r="A764" s="1">
        <v>42299</v>
      </c>
      <c r="B764">
        <v>5.35</v>
      </c>
      <c r="C764">
        <v>114.05</v>
      </c>
      <c r="D764">
        <v>2.2360000000000002</v>
      </c>
      <c r="E764">
        <v>7.82</v>
      </c>
      <c r="F764">
        <v>4.1500000000000004</v>
      </c>
      <c r="G764">
        <v>1.3</v>
      </c>
      <c r="H764">
        <v>2.5099999999999998</v>
      </c>
      <c r="I764">
        <v>24.6</v>
      </c>
      <c r="J764">
        <v>11.7</v>
      </c>
      <c r="K764">
        <v>9.3559999999999999</v>
      </c>
      <c r="L764">
        <v>0.81</v>
      </c>
      <c r="M764">
        <v>1.8</v>
      </c>
      <c r="N764">
        <v>0.13400000000000001</v>
      </c>
      <c r="O764">
        <v>1.7569999999999999</v>
      </c>
      <c r="P764">
        <v>0.36799999999999999</v>
      </c>
    </row>
    <row r="765" spans="1:16" x14ac:dyDescent="0.25">
      <c r="A765" s="1">
        <v>42300</v>
      </c>
      <c r="B765">
        <v>5.5</v>
      </c>
      <c r="C765">
        <v>114.55</v>
      </c>
      <c r="D765">
        <v>2.2360000000000002</v>
      </c>
      <c r="E765">
        <v>7.99</v>
      </c>
      <c r="F765">
        <v>4.1500000000000004</v>
      </c>
      <c r="G765">
        <v>1.31</v>
      </c>
      <c r="H765">
        <v>2.48</v>
      </c>
      <c r="I765">
        <v>25</v>
      </c>
      <c r="J765">
        <v>11.76</v>
      </c>
      <c r="K765">
        <v>9.5530000000000008</v>
      </c>
      <c r="L765">
        <v>0.83</v>
      </c>
      <c r="M765">
        <v>1.8</v>
      </c>
      <c r="N765">
        <v>0.13400000000000001</v>
      </c>
      <c r="O765">
        <v>1.7470000000000001</v>
      </c>
      <c r="P765">
        <v>0.35</v>
      </c>
    </row>
    <row r="766" spans="1:16" x14ac:dyDescent="0.25">
      <c r="A766" s="1">
        <v>42303</v>
      </c>
      <c r="B766">
        <v>5.5</v>
      </c>
      <c r="C766">
        <v>115</v>
      </c>
      <c r="D766">
        <v>2.2789999999999999</v>
      </c>
      <c r="E766">
        <v>7.75</v>
      </c>
      <c r="F766">
        <v>4.1500000000000004</v>
      </c>
      <c r="G766">
        <v>1.31</v>
      </c>
      <c r="H766">
        <v>2.65</v>
      </c>
      <c r="I766">
        <v>25.3</v>
      </c>
      <c r="J766">
        <v>11.76</v>
      </c>
      <c r="K766">
        <v>9.6709999999999994</v>
      </c>
      <c r="L766">
        <v>0.83</v>
      </c>
      <c r="M766">
        <v>1.8</v>
      </c>
      <c r="N766">
        <v>0.14099999999999999</v>
      </c>
      <c r="O766">
        <v>1.7370000000000001</v>
      </c>
      <c r="P766">
        <v>0.35</v>
      </c>
    </row>
    <row r="767" spans="1:16" x14ac:dyDescent="0.25">
      <c r="A767" s="1">
        <v>42304</v>
      </c>
      <c r="B767">
        <v>5.5</v>
      </c>
      <c r="C767">
        <v>114</v>
      </c>
      <c r="D767">
        <v>2.25</v>
      </c>
      <c r="E767">
        <v>7.55</v>
      </c>
      <c r="F767">
        <v>4.05</v>
      </c>
      <c r="G767">
        <v>1.3</v>
      </c>
      <c r="H767">
        <v>2.65</v>
      </c>
      <c r="I767">
        <v>25.1</v>
      </c>
      <c r="J767">
        <v>11.76</v>
      </c>
      <c r="K767">
        <v>9.6319999999999997</v>
      </c>
      <c r="L767">
        <v>0.83</v>
      </c>
      <c r="M767">
        <v>1.8</v>
      </c>
      <c r="N767">
        <v>0.13200000000000001</v>
      </c>
      <c r="O767">
        <v>1.7370000000000001</v>
      </c>
      <c r="P767">
        <v>0.32100000000000001</v>
      </c>
    </row>
    <row r="768" spans="1:16" x14ac:dyDescent="0.25">
      <c r="A768" s="1">
        <v>42305</v>
      </c>
      <c r="B768">
        <v>5.65</v>
      </c>
      <c r="C768">
        <v>113.7</v>
      </c>
      <c r="D768">
        <v>2.2429999999999999</v>
      </c>
      <c r="E768">
        <v>7.4</v>
      </c>
      <c r="F768">
        <v>4.2</v>
      </c>
      <c r="G768">
        <v>1.3</v>
      </c>
      <c r="H768">
        <v>2.65</v>
      </c>
      <c r="I768">
        <v>25</v>
      </c>
      <c r="J768">
        <v>11.96</v>
      </c>
      <c r="K768">
        <v>9.5530000000000008</v>
      </c>
      <c r="L768">
        <v>0.8</v>
      </c>
      <c r="M768">
        <v>1.8</v>
      </c>
      <c r="N768">
        <v>0.13600000000000001</v>
      </c>
      <c r="O768">
        <v>1.7370000000000001</v>
      </c>
      <c r="P768">
        <v>0.33500000000000002</v>
      </c>
    </row>
    <row r="769" spans="1:16" x14ac:dyDescent="0.25">
      <c r="A769" s="1">
        <v>42306</v>
      </c>
      <c r="B769">
        <v>5.58</v>
      </c>
      <c r="C769">
        <v>114</v>
      </c>
      <c r="D769">
        <v>2.2429999999999999</v>
      </c>
      <c r="E769">
        <v>7</v>
      </c>
      <c r="F769">
        <v>4.3</v>
      </c>
      <c r="G769">
        <v>1.35</v>
      </c>
      <c r="H769">
        <v>2.63</v>
      </c>
      <c r="I769">
        <v>24.9</v>
      </c>
      <c r="J769">
        <v>12.01</v>
      </c>
      <c r="K769">
        <v>9.4049999999999994</v>
      </c>
      <c r="L769">
        <v>0.78</v>
      </c>
      <c r="M769">
        <v>1.8</v>
      </c>
      <c r="N769">
        <v>0.13</v>
      </c>
      <c r="O769">
        <v>1.7470000000000001</v>
      </c>
      <c r="P769">
        <v>0.32500000000000001</v>
      </c>
    </row>
    <row r="770" spans="1:16" x14ac:dyDescent="0.25">
      <c r="A770" s="1">
        <v>42307</v>
      </c>
      <c r="B770">
        <v>5.58</v>
      </c>
      <c r="C770">
        <v>113.38</v>
      </c>
      <c r="D770">
        <v>2.2149999999999999</v>
      </c>
      <c r="E770">
        <v>6.4</v>
      </c>
      <c r="F770">
        <v>4.3</v>
      </c>
      <c r="G770">
        <v>1.4</v>
      </c>
      <c r="H770">
        <v>2.65</v>
      </c>
      <c r="I770">
        <v>25</v>
      </c>
      <c r="J770">
        <v>12.2</v>
      </c>
      <c r="K770">
        <v>9.4450000000000003</v>
      </c>
      <c r="L770">
        <v>0.72</v>
      </c>
      <c r="M770">
        <v>1.8</v>
      </c>
      <c r="N770">
        <v>0.13500000000000001</v>
      </c>
      <c r="O770">
        <v>1.7370000000000001</v>
      </c>
      <c r="P770">
        <v>0.32100000000000001</v>
      </c>
    </row>
    <row r="771" spans="1:16" x14ac:dyDescent="0.25">
      <c r="A771" s="1">
        <v>42310</v>
      </c>
      <c r="B771">
        <v>5.5</v>
      </c>
      <c r="C771">
        <v>114</v>
      </c>
      <c r="D771">
        <v>2.1859999999999999</v>
      </c>
      <c r="E771">
        <v>6.2</v>
      </c>
      <c r="F771">
        <v>4.3499999999999996</v>
      </c>
      <c r="G771">
        <v>1.43</v>
      </c>
      <c r="H771">
        <v>2.63</v>
      </c>
      <c r="I771">
        <v>25</v>
      </c>
      <c r="J771">
        <v>12</v>
      </c>
      <c r="K771">
        <v>9.4640000000000004</v>
      </c>
      <c r="L771">
        <v>0.65</v>
      </c>
      <c r="M771">
        <v>1.8</v>
      </c>
      <c r="N771">
        <v>0.13800000000000001</v>
      </c>
      <c r="O771">
        <v>1.7370000000000001</v>
      </c>
      <c r="P771">
        <v>0.32100000000000001</v>
      </c>
    </row>
    <row r="772" spans="1:16" x14ac:dyDescent="0.25">
      <c r="A772" s="1">
        <v>42311</v>
      </c>
      <c r="B772">
        <v>5.5</v>
      </c>
      <c r="C772">
        <v>115.39</v>
      </c>
      <c r="D772">
        <v>2.165</v>
      </c>
      <c r="E772">
        <v>6.45</v>
      </c>
      <c r="F772">
        <v>4.4000000000000004</v>
      </c>
      <c r="G772">
        <v>1.44</v>
      </c>
      <c r="H772">
        <v>2.56</v>
      </c>
      <c r="I772">
        <v>24.9</v>
      </c>
      <c r="J772">
        <v>12.2</v>
      </c>
      <c r="K772">
        <v>9.5039999999999996</v>
      </c>
      <c r="L772">
        <v>0.65</v>
      </c>
      <c r="M772">
        <v>1.8</v>
      </c>
      <c r="N772">
        <v>0.14000000000000001</v>
      </c>
      <c r="O772">
        <v>1.7569999999999999</v>
      </c>
      <c r="P772">
        <v>0.32</v>
      </c>
    </row>
    <row r="773" spans="1:16" x14ac:dyDescent="0.25">
      <c r="A773" s="1">
        <v>42312</v>
      </c>
      <c r="B773">
        <v>5.5</v>
      </c>
      <c r="C773">
        <v>114.2</v>
      </c>
      <c r="D773">
        <v>2.165</v>
      </c>
      <c r="E773">
        <v>6.28</v>
      </c>
      <c r="F773">
        <v>4.4000000000000004</v>
      </c>
      <c r="G773">
        <v>1.45</v>
      </c>
      <c r="H773">
        <v>2.56</v>
      </c>
      <c r="I773">
        <v>25</v>
      </c>
      <c r="J773">
        <v>12.3</v>
      </c>
      <c r="K773">
        <v>9.6020000000000003</v>
      </c>
      <c r="L773">
        <v>0.65</v>
      </c>
      <c r="M773">
        <v>1.8</v>
      </c>
      <c r="N773">
        <v>0.14000000000000001</v>
      </c>
      <c r="O773">
        <v>1.7569999999999999</v>
      </c>
      <c r="P773">
        <v>0.315</v>
      </c>
    </row>
    <row r="774" spans="1:16" x14ac:dyDescent="0.25">
      <c r="A774" s="1">
        <v>42313</v>
      </c>
      <c r="B774">
        <v>5.5</v>
      </c>
      <c r="C774">
        <v>114.3</v>
      </c>
      <c r="D774">
        <v>2.2069999999999999</v>
      </c>
      <c r="E774">
        <v>5.92</v>
      </c>
      <c r="F774">
        <v>4.45</v>
      </c>
      <c r="G774">
        <v>1.45</v>
      </c>
      <c r="H774">
        <v>2.5</v>
      </c>
      <c r="I774">
        <v>25</v>
      </c>
      <c r="J774">
        <v>12.45</v>
      </c>
      <c r="K774">
        <v>9.6809999999999992</v>
      </c>
      <c r="L774">
        <v>0.6</v>
      </c>
      <c r="M774">
        <v>1.8</v>
      </c>
      <c r="N774">
        <v>0.14000000000000001</v>
      </c>
      <c r="O774">
        <v>1.7669999999999999</v>
      </c>
      <c r="P774">
        <v>0.3</v>
      </c>
    </row>
    <row r="775" spans="1:16" x14ac:dyDescent="0.25">
      <c r="A775" s="1">
        <v>42314</v>
      </c>
      <c r="B775">
        <v>5.7</v>
      </c>
      <c r="C775">
        <v>114</v>
      </c>
      <c r="D775">
        <v>2.2069999999999999</v>
      </c>
      <c r="E775">
        <v>5.62</v>
      </c>
      <c r="F775">
        <v>4.5</v>
      </c>
      <c r="G775">
        <v>1.45</v>
      </c>
      <c r="H775">
        <v>2.5</v>
      </c>
      <c r="I775">
        <v>25</v>
      </c>
      <c r="J775">
        <v>12.55</v>
      </c>
      <c r="K775">
        <v>9.75</v>
      </c>
      <c r="L775">
        <v>0.61</v>
      </c>
      <c r="M775">
        <v>1.8</v>
      </c>
      <c r="N775">
        <v>0.13900000000000001</v>
      </c>
      <c r="O775">
        <v>1.7769999999999999</v>
      </c>
      <c r="P775">
        <v>0.3</v>
      </c>
    </row>
    <row r="776" spans="1:16" x14ac:dyDescent="0.25">
      <c r="A776" s="1">
        <v>42317</v>
      </c>
      <c r="B776">
        <v>5.75</v>
      </c>
      <c r="C776">
        <v>112.5</v>
      </c>
      <c r="D776">
        <v>2.1579999999999999</v>
      </c>
      <c r="E776">
        <v>5.67</v>
      </c>
      <c r="F776">
        <v>4.5999999999999996</v>
      </c>
      <c r="G776">
        <v>1.44</v>
      </c>
      <c r="H776">
        <v>2.5</v>
      </c>
      <c r="I776">
        <v>25</v>
      </c>
      <c r="J776">
        <v>12.56</v>
      </c>
      <c r="K776">
        <v>9.73</v>
      </c>
      <c r="L776">
        <v>0.61</v>
      </c>
      <c r="M776">
        <v>1.79</v>
      </c>
      <c r="N776">
        <v>0.13600000000000001</v>
      </c>
      <c r="O776">
        <v>1.81</v>
      </c>
      <c r="P776">
        <v>0.28999999999999998</v>
      </c>
    </row>
    <row r="777" spans="1:16" x14ac:dyDescent="0.25">
      <c r="A777" s="1">
        <v>42318</v>
      </c>
      <c r="B777">
        <v>5.8</v>
      </c>
      <c r="C777">
        <v>111.3</v>
      </c>
      <c r="D777">
        <v>2.2069999999999999</v>
      </c>
      <c r="E777">
        <v>5.2</v>
      </c>
      <c r="F777">
        <v>4.4000000000000004</v>
      </c>
      <c r="G777">
        <v>1.41</v>
      </c>
      <c r="H777">
        <v>2.39</v>
      </c>
      <c r="I777">
        <v>25</v>
      </c>
      <c r="J777">
        <v>12.7</v>
      </c>
      <c r="K777">
        <v>9.73</v>
      </c>
      <c r="L777">
        <v>0.59</v>
      </c>
      <c r="M777">
        <v>1.79</v>
      </c>
      <c r="N777">
        <v>0.13600000000000001</v>
      </c>
      <c r="O777">
        <v>1.85</v>
      </c>
      <c r="P777">
        <v>0.3</v>
      </c>
    </row>
    <row r="778" spans="1:16" x14ac:dyDescent="0.25">
      <c r="A778" s="1">
        <v>42319</v>
      </c>
      <c r="B778">
        <v>5.8</v>
      </c>
      <c r="C778">
        <v>115.2</v>
      </c>
      <c r="D778">
        <v>2.2069999999999999</v>
      </c>
      <c r="E778">
        <v>5.2</v>
      </c>
      <c r="F778">
        <v>4.4000000000000004</v>
      </c>
      <c r="G778">
        <v>1.43</v>
      </c>
      <c r="H778">
        <v>2.39</v>
      </c>
      <c r="I778">
        <v>24.8</v>
      </c>
      <c r="J778">
        <v>13.1</v>
      </c>
      <c r="K778">
        <v>9.73</v>
      </c>
      <c r="L778">
        <v>0.59</v>
      </c>
      <c r="M778">
        <v>1.79</v>
      </c>
      <c r="N778">
        <v>0.13600000000000001</v>
      </c>
      <c r="O778">
        <v>1.85</v>
      </c>
      <c r="P778">
        <v>0.31</v>
      </c>
    </row>
    <row r="779" spans="1:16" x14ac:dyDescent="0.25">
      <c r="A779" s="1">
        <v>42320</v>
      </c>
      <c r="B779">
        <v>5.8</v>
      </c>
      <c r="C779">
        <v>113.4</v>
      </c>
      <c r="D779">
        <v>2.2069999999999999</v>
      </c>
      <c r="E779">
        <v>4.95</v>
      </c>
      <c r="F779">
        <v>4.4000000000000004</v>
      </c>
      <c r="G779">
        <v>1.43</v>
      </c>
      <c r="H779">
        <v>2.39</v>
      </c>
      <c r="I779">
        <v>25.25</v>
      </c>
      <c r="J779">
        <v>13.1</v>
      </c>
      <c r="K779">
        <v>9.73</v>
      </c>
      <c r="L779">
        <v>0.55000000000000004</v>
      </c>
      <c r="M779">
        <v>1.79</v>
      </c>
      <c r="N779">
        <v>0.13500000000000001</v>
      </c>
      <c r="O779">
        <v>1.85</v>
      </c>
      <c r="P779">
        <v>0.31</v>
      </c>
    </row>
    <row r="780" spans="1:16" x14ac:dyDescent="0.25">
      <c r="A780" s="1">
        <v>42321</v>
      </c>
      <c r="B780">
        <v>5.8</v>
      </c>
      <c r="C780">
        <v>110.3</v>
      </c>
      <c r="D780">
        <v>2.1360000000000001</v>
      </c>
      <c r="E780">
        <v>5.0999999999999996</v>
      </c>
      <c r="F780">
        <v>4.4000000000000004</v>
      </c>
      <c r="G780">
        <v>1.38</v>
      </c>
      <c r="H780">
        <v>2.25</v>
      </c>
      <c r="I780">
        <v>25.5</v>
      </c>
      <c r="J780">
        <v>13.2</v>
      </c>
      <c r="K780">
        <v>9.74</v>
      </c>
      <c r="L780">
        <v>0.52</v>
      </c>
      <c r="M780">
        <v>1.79</v>
      </c>
      <c r="N780">
        <v>0.13500000000000001</v>
      </c>
      <c r="O780">
        <v>1.83</v>
      </c>
      <c r="P780">
        <v>0.30499999999999999</v>
      </c>
    </row>
    <row r="781" spans="1:16" x14ac:dyDescent="0.25">
      <c r="A781" s="1">
        <v>42324</v>
      </c>
      <c r="B781">
        <v>5.8</v>
      </c>
      <c r="C781">
        <v>110.3</v>
      </c>
      <c r="D781">
        <v>2.2069999999999999</v>
      </c>
      <c r="E781">
        <v>4.9000000000000004</v>
      </c>
      <c r="F781">
        <v>4.4000000000000004</v>
      </c>
      <c r="G781">
        <v>1.33</v>
      </c>
      <c r="H781">
        <v>2.25</v>
      </c>
      <c r="I781">
        <v>25.5</v>
      </c>
      <c r="J781">
        <v>13.4</v>
      </c>
      <c r="K781">
        <v>9.74</v>
      </c>
      <c r="L781">
        <v>0.52</v>
      </c>
      <c r="M781">
        <v>1.79</v>
      </c>
      <c r="N781">
        <v>0.13500000000000001</v>
      </c>
      <c r="O781">
        <v>1.83</v>
      </c>
      <c r="P781">
        <v>0.29499999999999998</v>
      </c>
    </row>
    <row r="782" spans="1:16" x14ac:dyDescent="0.25">
      <c r="A782" s="1">
        <v>42325</v>
      </c>
      <c r="B782">
        <v>5.8</v>
      </c>
      <c r="C782">
        <v>111.42</v>
      </c>
      <c r="D782">
        <v>2.222</v>
      </c>
      <c r="E782">
        <v>4.5599999999999996</v>
      </c>
      <c r="F782">
        <v>4.42</v>
      </c>
      <c r="G782">
        <v>1.35</v>
      </c>
      <c r="H782">
        <v>2.2000000000000002</v>
      </c>
      <c r="I782">
        <v>25.5</v>
      </c>
      <c r="J782">
        <v>13.42</v>
      </c>
      <c r="K782">
        <v>9.81</v>
      </c>
      <c r="L782">
        <v>0.52</v>
      </c>
      <c r="M782">
        <v>1.79</v>
      </c>
      <c r="N782">
        <v>0.13500000000000001</v>
      </c>
      <c r="O782">
        <v>1.8</v>
      </c>
      <c r="P782">
        <v>0.28000000000000003</v>
      </c>
    </row>
    <row r="783" spans="1:16" x14ac:dyDescent="0.25">
      <c r="A783" s="1">
        <v>42326</v>
      </c>
      <c r="B783">
        <v>5.7</v>
      </c>
      <c r="C783">
        <v>111.15</v>
      </c>
      <c r="D783">
        <v>2.222</v>
      </c>
      <c r="E783">
        <v>4.5999999999999996</v>
      </c>
      <c r="F783">
        <v>4.42</v>
      </c>
      <c r="G783">
        <v>1.32</v>
      </c>
      <c r="H783">
        <v>2.2000000000000002</v>
      </c>
      <c r="I783">
        <v>25.5</v>
      </c>
      <c r="J783">
        <v>13.42</v>
      </c>
      <c r="K783">
        <v>9.85</v>
      </c>
      <c r="L783">
        <v>0.52</v>
      </c>
      <c r="M783">
        <v>1.79</v>
      </c>
      <c r="N783">
        <v>0.13500000000000001</v>
      </c>
      <c r="O783">
        <v>1.8</v>
      </c>
      <c r="P783">
        <v>0.28000000000000003</v>
      </c>
    </row>
    <row r="784" spans="1:16" x14ac:dyDescent="0.25">
      <c r="A784" s="1">
        <v>42327</v>
      </c>
      <c r="B784">
        <v>5.7</v>
      </c>
      <c r="C784">
        <v>111.52</v>
      </c>
      <c r="D784">
        <v>2.2069999999999999</v>
      </c>
      <c r="E784">
        <v>4.7699999999999996</v>
      </c>
      <c r="F784">
        <v>4.42</v>
      </c>
      <c r="G784">
        <v>1.34</v>
      </c>
      <c r="H784">
        <v>2.2000000000000002</v>
      </c>
      <c r="I784">
        <v>25.5</v>
      </c>
      <c r="J784">
        <v>13.5</v>
      </c>
      <c r="K784">
        <v>9.9</v>
      </c>
      <c r="L784">
        <v>0.54</v>
      </c>
      <c r="M784">
        <v>1.79</v>
      </c>
      <c r="N784">
        <v>0.13500000000000001</v>
      </c>
      <c r="O784">
        <v>1.75</v>
      </c>
      <c r="P784">
        <v>0.27</v>
      </c>
    </row>
    <row r="785" spans="1:16" x14ac:dyDescent="0.25">
      <c r="A785" s="1">
        <v>42328</v>
      </c>
      <c r="B785">
        <v>5.7</v>
      </c>
      <c r="C785">
        <v>111.52</v>
      </c>
      <c r="D785">
        <v>2.2069999999999999</v>
      </c>
      <c r="E785">
        <v>4.55</v>
      </c>
      <c r="F785">
        <v>4.42</v>
      </c>
      <c r="G785">
        <v>1.3</v>
      </c>
      <c r="H785">
        <v>2.25</v>
      </c>
      <c r="I785">
        <v>25.6</v>
      </c>
      <c r="J785">
        <v>13.5</v>
      </c>
      <c r="K785">
        <v>9.93</v>
      </c>
      <c r="L785">
        <v>0.54</v>
      </c>
      <c r="M785">
        <v>1.79</v>
      </c>
      <c r="N785">
        <v>0.13</v>
      </c>
      <c r="O785">
        <v>1.75</v>
      </c>
      <c r="P785">
        <v>0.27</v>
      </c>
    </row>
    <row r="786" spans="1:16" x14ac:dyDescent="0.25">
      <c r="A786" s="1">
        <v>42331</v>
      </c>
      <c r="B786">
        <v>5.8</v>
      </c>
      <c r="C786">
        <v>111.55</v>
      </c>
      <c r="D786">
        <v>2.2069999999999999</v>
      </c>
      <c r="E786">
        <v>4.5</v>
      </c>
      <c r="F786">
        <v>4.42</v>
      </c>
      <c r="G786">
        <v>1.3</v>
      </c>
      <c r="H786">
        <v>2.25</v>
      </c>
      <c r="I786">
        <v>25.6</v>
      </c>
      <c r="J786">
        <v>13.5</v>
      </c>
      <c r="K786">
        <v>9.93</v>
      </c>
      <c r="L786">
        <v>0.56999999999999995</v>
      </c>
      <c r="M786">
        <v>1.79</v>
      </c>
      <c r="N786">
        <v>0.13500000000000001</v>
      </c>
      <c r="O786">
        <v>1.75</v>
      </c>
      <c r="P786">
        <v>0.27</v>
      </c>
    </row>
    <row r="787" spans="1:16" x14ac:dyDescent="0.25">
      <c r="A787" s="1">
        <v>42332</v>
      </c>
      <c r="B787">
        <v>5.75</v>
      </c>
      <c r="C787">
        <v>112</v>
      </c>
      <c r="D787">
        <v>2.2069999999999999</v>
      </c>
      <c r="E787">
        <v>4.8499999999999996</v>
      </c>
      <c r="F787">
        <v>4.42</v>
      </c>
      <c r="G787">
        <v>1.3</v>
      </c>
      <c r="H787">
        <v>2.25</v>
      </c>
      <c r="I787">
        <v>25.6</v>
      </c>
      <c r="J787">
        <v>13.57</v>
      </c>
      <c r="K787">
        <v>9.9700000000000006</v>
      </c>
      <c r="L787">
        <v>0.6</v>
      </c>
      <c r="M787">
        <v>1.72</v>
      </c>
      <c r="N787">
        <v>0.13500000000000001</v>
      </c>
      <c r="O787">
        <v>1.75</v>
      </c>
      <c r="P787">
        <v>0.26700000000000002</v>
      </c>
    </row>
    <row r="788" spans="1:16" x14ac:dyDescent="0.25">
      <c r="A788" s="1">
        <v>42333</v>
      </c>
      <c r="B788">
        <v>5.7</v>
      </c>
      <c r="C788">
        <v>110.2</v>
      </c>
      <c r="D788">
        <v>2.222</v>
      </c>
      <c r="E788">
        <v>4.8</v>
      </c>
      <c r="F788">
        <v>4.42</v>
      </c>
      <c r="G788">
        <v>1.29</v>
      </c>
      <c r="H788">
        <v>2.2400000000000002</v>
      </c>
      <c r="I788">
        <v>25.59</v>
      </c>
      <c r="J788">
        <v>13.57</v>
      </c>
      <c r="K788">
        <v>9.9700000000000006</v>
      </c>
      <c r="L788">
        <v>0.61</v>
      </c>
      <c r="M788">
        <v>1.72</v>
      </c>
      <c r="N788">
        <v>0.13500000000000001</v>
      </c>
      <c r="O788">
        <v>1.73</v>
      </c>
      <c r="P788">
        <v>0.26500000000000001</v>
      </c>
    </row>
    <row r="789" spans="1:16" x14ac:dyDescent="0.25">
      <c r="A789" s="1">
        <v>42334</v>
      </c>
      <c r="B789">
        <v>5.7</v>
      </c>
      <c r="C789">
        <v>110.2</v>
      </c>
      <c r="D789">
        <v>2.1720000000000002</v>
      </c>
      <c r="E789">
        <v>4.8</v>
      </c>
      <c r="F789">
        <v>4.42</v>
      </c>
      <c r="G789">
        <v>1.28</v>
      </c>
      <c r="H789">
        <v>2.2400000000000002</v>
      </c>
      <c r="I789">
        <v>25.65</v>
      </c>
      <c r="J789">
        <v>13.57</v>
      </c>
      <c r="K789">
        <v>9.9700000000000006</v>
      </c>
      <c r="L789">
        <v>0.65</v>
      </c>
      <c r="M789">
        <v>1.7</v>
      </c>
      <c r="N789">
        <v>0.13500000000000001</v>
      </c>
      <c r="O789">
        <v>1.72</v>
      </c>
      <c r="P789">
        <v>0.27</v>
      </c>
    </row>
    <row r="790" spans="1:16" x14ac:dyDescent="0.25">
      <c r="A790" s="1">
        <v>42335</v>
      </c>
      <c r="B790">
        <v>5.65</v>
      </c>
      <c r="C790">
        <v>106.95</v>
      </c>
      <c r="D790">
        <v>2.1579999999999999</v>
      </c>
      <c r="E790">
        <v>4.7</v>
      </c>
      <c r="F790">
        <v>4.4000000000000004</v>
      </c>
      <c r="G790">
        <v>1.3</v>
      </c>
      <c r="H790">
        <v>2.1800000000000002</v>
      </c>
      <c r="I790">
        <v>25.5</v>
      </c>
      <c r="J790">
        <v>13.57</v>
      </c>
      <c r="K790">
        <v>9.9700000000000006</v>
      </c>
      <c r="L790">
        <v>0.65</v>
      </c>
      <c r="M790">
        <v>1.7</v>
      </c>
      <c r="N790">
        <v>0.13500000000000001</v>
      </c>
      <c r="O790">
        <v>1.7</v>
      </c>
      <c r="P790">
        <v>0.26800000000000002</v>
      </c>
    </row>
    <row r="791" spans="1:16" x14ac:dyDescent="0.25">
      <c r="A791" s="1">
        <v>42338</v>
      </c>
      <c r="B791">
        <v>5.71</v>
      </c>
      <c r="C791">
        <v>106</v>
      </c>
      <c r="D791">
        <v>2.2069999999999999</v>
      </c>
      <c r="E791">
        <v>4.75</v>
      </c>
      <c r="F791">
        <v>4.38</v>
      </c>
      <c r="G791">
        <v>1.28</v>
      </c>
      <c r="H791">
        <v>2.1800000000000002</v>
      </c>
      <c r="I791">
        <v>25.6</v>
      </c>
      <c r="J791">
        <v>13.57</v>
      </c>
      <c r="K791">
        <v>10.02</v>
      </c>
      <c r="L791">
        <v>0.65</v>
      </c>
      <c r="M791">
        <v>1.65</v>
      </c>
      <c r="N791">
        <v>0.13</v>
      </c>
      <c r="O791">
        <v>1.7</v>
      </c>
      <c r="P791">
        <v>0.26400000000000001</v>
      </c>
    </row>
    <row r="792" spans="1:16" x14ac:dyDescent="0.25">
      <c r="A792" s="1">
        <v>42339</v>
      </c>
      <c r="B792">
        <v>5.75</v>
      </c>
      <c r="C792">
        <v>108</v>
      </c>
      <c r="D792">
        <v>2.2069999999999999</v>
      </c>
      <c r="E792">
        <v>4.8</v>
      </c>
      <c r="F792">
        <v>4.38</v>
      </c>
      <c r="G792">
        <v>1.32</v>
      </c>
      <c r="H792">
        <v>2.1800000000000002</v>
      </c>
      <c r="I792">
        <v>25.5</v>
      </c>
      <c r="J792">
        <v>13.57</v>
      </c>
      <c r="K792">
        <v>10.02</v>
      </c>
      <c r="L792">
        <v>0.65</v>
      </c>
      <c r="M792">
        <v>1.65</v>
      </c>
      <c r="N792">
        <v>0.13</v>
      </c>
      <c r="O792">
        <v>1.7</v>
      </c>
      <c r="P792">
        <v>0.27</v>
      </c>
    </row>
    <row r="793" spans="1:16" x14ac:dyDescent="0.25">
      <c r="A793" s="1">
        <v>42340</v>
      </c>
      <c r="B793">
        <v>5.65</v>
      </c>
      <c r="C793">
        <v>104.55</v>
      </c>
      <c r="D793">
        <v>2.222</v>
      </c>
      <c r="E793">
        <v>4.78</v>
      </c>
      <c r="F793">
        <v>4.3499999999999996</v>
      </c>
      <c r="G793">
        <v>1.32</v>
      </c>
      <c r="H793">
        <v>2.1</v>
      </c>
      <c r="I793">
        <v>25.1</v>
      </c>
      <c r="J793">
        <v>13.57</v>
      </c>
      <c r="K793">
        <v>10.02</v>
      </c>
      <c r="L793">
        <v>0.65</v>
      </c>
      <c r="M793">
        <v>1.65</v>
      </c>
      <c r="N793">
        <v>0.129</v>
      </c>
      <c r="O793">
        <v>1.7</v>
      </c>
      <c r="P793">
        <v>0.26500000000000001</v>
      </c>
    </row>
    <row r="794" spans="1:16" x14ac:dyDescent="0.25">
      <c r="A794" s="1">
        <v>42341</v>
      </c>
      <c r="B794">
        <v>5.7</v>
      </c>
      <c r="C794">
        <v>103.6</v>
      </c>
      <c r="D794">
        <v>2.2069999999999999</v>
      </c>
      <c r="E794">
        <v>4.82</v>
      </c>
      <c r="F794">
        <v>4.2300000000000004</v>
      </c>
      <c r="G794">
        <v>1.3</v>
      </c>
      <c r="H794">
        <v>2.1</v>
      </c>
      <c r="I794">
        <v>25.45</v>
      </c>
      <c r="J794">
        <v>13.57</v>
      </c>
      <c r="K794">
        <v>10.02</v>
      </c>
      <c r="L794">
        <v>0.64</v>
      </c>
      <c r="M794">
        <v>1.65</v>
      </c>
      <c r="N794">
        <v>0.125</v>
      </c>
      <c r="O794">
        <v>1.7</v>
      </c>
      <c r="P794">
        <v>0.26500000000000001</v>
      </c>
    </row>
    <row r="795" spans="1:16" x14ac:dyDescent="0.25">
      <c r="A795" s="1">
        <v>42342</v>
      </c>
      <c r="B795">
        <v>5.65</v>
      </c>
      <c r="C795">
        <v>105.8</v>
      </c>
      <c r="D795">
        <v>2.1720000000000002</v>
      </c>
      <c r="E795">
        <v>4.92</v>
      </c>
      <c r="F795">
        <v>4.2</v>
      </c>
      <c r="G795">
        <v>1.3</v>
      </c>
      <c r="H795">
        <v>2.1800000000000002</v>
      </c>
      <c r="I795">
        <v>25.4</v>
      </c>
      <c r="J795">
        <v>13.57</v>
      </c>
      <c r="K795">
        <v>10.02</v>
      </c>
      <c r="L795">
        <v>0.64</v>
      </c>
      <c r="M795">
        <v>1.55</v>
      </c>
      <c r="N795">
        <v>0.125</v>
      </c>
      <c r="O795">
        <v>1.73</v>
      </c>
      <c r="P795">
        <v>0.26500000000000001</v>
      </c>
    </row>
    <row r="796" spans="1:16" x14ac:dyDescent="0.25">
      <c r="A796" s="1">
        <v>42345</v>
      </c>
      <c r="B796">
        <v>5.7</v>
      </c>
      <c r="C796">
        <v>105.45</v>
      </c>
      <c r="D796">
        <v>2.1720000000000002</v>
      </c>
      <c r="E796">
        <v>4.59</v>
      </c>
      <c r="F796">
        <v>4.2</v>
      </c>
      <c r="G796">
        <v>1.32</v>
      </c>
      <c r="H796">
        <v>2.17</v>
      </c>
      <c r="I796">
        <v>25.4</v>
      </c>
      <c r="J796">
        <v>13.57</v>
      </c>
      <c r="K796">
        <v>10.02</v>
      </c>
      <c r="L796">
        <v>0.64</v>
      </c>
      <c r="M796">
        <v>1.55</v>
      </c>
      <c r="N796">
        <v>0.12</v>
      </c>
      <c r="O796">
        <v>1.73</v>
      </c>
      <c r="P796">
        <v>0.26400000000000001</v>
      </c>
    </row>
    <row r="797" spans="1:16" x14ac:dyDescent="0.25">
      <c r="A797" s="1">
        <v>42347</v>
      </c>
      <c r="B797">
        <v>5.9</v>
      </c>
      <c r="C797">
        <v>104</v>
      </c>
      <c r="D797">
        <v>2.2069999999999999</v>
      </c>
      <c r="E797">
        <v>4.8</v>
      </c>
      <c r="F797">
        <v>4.3099999999999996</v>
      </c>
      <c r="G797">
        <v>1.32</v>
      </c>
      <c r="H797">
        <v>2.15</v>
      </c>
      <c r="I797">
        <v>25.1</v>
      </c>
      <c r="J797">
        <v>13.57</v>
      </c>
      <c r="K797">
        <v>9.9</v>
      </c>
      <c r="L797">
        <v>0.64</v>
      </c>
      <c r="M797">
        <v>1.55</v>
      </c>
      <c r="N797">
        <v>0.12</v>
      </c>
      <c r="O797">
        <v>1.73</v>
      </c>
      <c r="P797">
        <v>0.26500000000000001</v>
      </c>
    </row>
    <row r="798" spans="1:16" x14ac:dyDescent="0.25">
      <c r="A798" s="1">
        <v>42348</v>
      </c>
      <c r="B798">
        <v>5.95</v>
      </c>
      <c r="C798">
        <v>101.1</v>
      </c>
      <c r="D798">
        <v>2.1720000000000002</v>
      </c>
      <c r="E798">
        <v>4.7</v>
      </c>
      <c r="F798">
        <v>4.4000000000000004</v>
      </c>
      <c r="G798">
        <v>1.3</v>
      </c>
      <c r="H798">
        <v>2.08</v>
      </c>
      <c r="I798">
        <v>25.11</v>
      </c>
      <c r="J798">
        <v>13.57</v>
      </c>
      <c r="K798">
        <v>9.89</v>
      </c>
      <c r="L798">
        <v>0.63</v>
      </c>
      <c r="M798">
        <v>1.55</v>
      </c>
      <c r="N798">
        <v>0.12</v>
      </c>
      <c r="O798">
        <v>1.69</v>
      </c>
      <c r="P798">
        <v>0.26300000000000001</v>
      </c>
    </row>
    <row r="799" spans="1:16" x14ac:dyDescent="0.25">
      <c r="A799" s="1">
        <v>42349</v>
      </c>
      <c r="B799">
        <v>5.95</v>
      </c>
      <c r="C799">
        <v>99.3</v>
      </c>
      <c r="D799">
        <v>2.1720000000000002</v>
      </c>
      <c r="E799">
        <v>4.7</v>
      </c>
      <c r="F799">
        <v>4.5</v>
      </c>
      <c r="G799">
        <v>1.3</v>
      </c>
      <c r="H799">
        <v>2.08</v>
      </c>
      <c r="I799">
        <v>24.5</v>
      </c>
      <c r="J799">
        <v>13.57</v>
      </c>
      <c r="K799">
        <v>9.7100000000000009</v>
      </c>
      <c r="L799">
        <v>0.62</v>
      </c>
      <c r="M799">
        <v>1.65</v>
      </c>
      <c r="N799">
        <v>0.12</v>
      </c>
      <c r="O799">
        <v>1.7</v>
      </c>
      <c r="P799">
        <v>0.26</v>
      </c>
    </row>
    <row r="800" spans="1:16" x14ac:dyDescent="0.25">
      <c r="A800" s="1">
        <v>42352</v>
      </c>
      <c r="B800">
        <v>5.95</v>
      </c>
      <c r="C800">
        <v>98.55</v>
      </c>
      <c r="D800">
        <v>2.165</v>
      </c>
      <c r="E800">
        <v>4.17</v>
      </c>
      <c r="F800">
        <v>4.5</v>
      </c>
      <c r="G800">
        <v>1.3</v>
      </c>
      <c r="H800">
        <v>2.08</v>
      </c>
      <c r="I800">
        <v>24.5</v>
      </c>
      <c r="J800">
        <v>13.57</v>
      </c>
      <c r="K800">
        <v>9.65</v>
      </c>
      <c r="L800">
        <v>0.62</v>
      </c>
      <c r="M800">
        <v>1.65</v>
      </c>
      <c r="N800">
        <v>0.12</v>
      </c>
      <c r="O800">
        <v>1.6</v>
      </c>
      <c r="P800">
        <v>0.245</v>
      </c>
    </row>
    <row r="801" spans="1:16" x14ac:dyDescent="0.25">
      <c r="A801" s="1">
        <v>42353</v>
      </c>
      <c r="B801">
        <v>5.95</v>
      </c>
      <c r="C801">
        <v>99.6</v>
      </c>
      <c r="D801">
        <v>2.1360000000000001</v>
      </c>
      <c r="E801">
        <v>4.2</v>
      </c>
      <c r="F801">
        <v>4.41</v>
      </c>
      <c r="G801">
        <v>1.3</v>
      </c>
      <c r="H801">
        <v>2</v>
      </c>
      <c r="I801">
        <v>24.3</v>
      </c>
      <c r="J801">
        <v>13.71</v>
      </c>
      <c r="K801">
        <v>9.6999999999999993</v>
      </c>
      <c r="L801">
        <v>0.63</v>
      </c>
      <c r="M801">
        <v>1.64</v>
      </c>
      <c r="N801">
        <v>0.11899999999999999</v>
      </c>
      <c r="O801">
        <v>1.65</v>
      </c>
      <c r="P801">
        <v>0.23499999999999999</v>
      </c>
    </row>
    <row r="802" spans="1:16" x14ac:dyDescent="0.25">
      <c r="A802" s="1">
        <v>42354</v>
      </c>
      <c r="B802">
        <v>5.85</v>
      </c>
      <c r="C802">
        <v>101</v>
      </c>
      <c r="D802">
        <v>2.129</v>
      </c>
      <c r="E802">
        <v>4.29</v>
      </c>
      <c r="F802">
        <v>4.4000000000000004</v>
      </c>
      <c r="G802">
        <v>1.3</v>
      </c>
      <c r="H802">
        <v>2</v>
      </c>
      <c r="I802">
        <v>23.98</v>
      </c>
      <c r="J802">
        <v>13.71</v>
      </c>
      <c r="K802">
        <v>9.6999999999999993</v>
      </c>
      <c r="L802">
        <v>0.63</v>
      </c>
      <c r="M802">
        <v>1.64</v>
      </c>
      <c r="N802">
        <v>0.12</v>
      </c>
      <c r="O802">
        <v>1.6</v>
      </c>
      <c r="P802">
        <v>0.23499999999999999</v>
      </c>
    </row>
    <row r="803" spans="1:16" x14ac:dyDescent="0.25">
      <c r="A803" s="1">
        <v>42355</v>
      </c>
      <c r="B803">
        <v>5.97</v>
      </c>
      <c r="C803">
        <v>102.3</v>
      </c>
      <c r="D803">
        <v>2.0579999999999998</v>
      </c>
      <c r="E803">
        <v>4.26</v>
      </c>
      <c r="F803">
        <v>4.47</v>
      </c>
      <c r="G803">
        <v>1.3</v>
      </c>
      <c r="H803">
        <v>1.94</v>
      </c>
      <c r="I803">
        <v>23.5</v>
      </c>
      <c r="J803">
        <v>13.71</v>
      </c>
      <c r="K803">
        <v>9.6999999999999993</v>
      </c>
      <c r="L803">
        <v>0.63</v>
      </c>
      <c r="M803">
        <v>1.64</v>
      </c>
      <c r="N803">
        <v>0.12</v>
      </c>
      <c r="O803">
        <v>1.62</v>
      </c>
      <c r="P803">
        <v>0.22</v>
      </c>
    </row>
    <row r="804" spans="1:16" x14ac:dyDescent="0.25">
      <c r="A804" s="1">
        <v>42356</v>
      </c>
      <c r="B804">
        <v>5.88</v>
      </c>
      <c r="C804">
        <v>96.74</v>
      </c>
      <c r="D804">
        <v>2.0579999999999998</v>
      </c>
      <c r="E804">
        <v>4.16</v>
      </c>
      <c r="F804">
        <v>4.47</v>
      </c>
      <c r="G804">
        <v>1.29</v>
      </c>
      <c r="H804">
        <v>1.94</v>
      </c>
      <c r="I804">
        <v>23.25</v>
      </c>
      <c r="J804">
        <v>13.73</v>
      </c>
      <c r="K804">
        <v>9.6</v>
      </c>
      <c r="L804">
        <v>0.63</v>
      </c>
      <c r="M804">
        <v>1.64</v>
      </c>
      <c r="N804">
        <v>0.11799999999999999</v>
      </c>
      <c r="O804">
        <v>1.62</v>
      </c>
      <c r="P804">
        <v>0.22</v>
      </c>
    </row>
    <row r="805" spans="1:16" x14ac:dyDescent="0.25">
      <c r="A805" s="1">
        <v>42359</v>
      </c>
      <c r="B805">
        <v>5.88</v>
      </c>
      <c r="C805">
        <v>96</v>
      </c>
      <c r="D805">
        <v>2.0150000000000001</v>
      </c>
      <c r="E805">
        <v>3.93</v>
      </c>
      <c r="F805">
        <v>4.8499999999999996</v>
      </c>
      <c r="G805">
        <v>1.27</v>
      </c>
      <c r="H805">
        <v>2</v>
      </c>
      <c r="I805">
        <v>22.9</v>
      </c>
      <c r="J805">
        <v>13.74</v>
      </c>
      <c r="K805">
        <v>9.5</v>
      </c>
      <c r="L805">
        <v>0.63</v>
      </c>
      <c r="M805">
        <v>1.7</v>
      </c>
      <c r="N805">
        <v>0.11600000000000001</v>
      </c>
      <c r="O805">
        <v>1.62</v>
      </c>
      <c r="P805">
        <v>0.21299999999999999</v>
      </c>
    </row>
    <row r="806" spans="1:16" x14ac:dyDescent="0.25">
      <c r="A806" s="1">
        <v>42360</v>
      </c>
      <c r="B806">
        <v>5.8</v>
      </c>
      <c r="C806">
        <v>97.8</v>
      </c>
      <c r="D806">
        <v>2.0150000000000001</v>
      </c>
      <c r="E806">
        <v>3.9</v>
      </c>
      <c r="F806">
        <v>4.84</v>
      </c>
      <c r="G806">
        <v>1.29</v>
      </c>
      <c r="H806">
        <v>2.0299999999999998</v>
      </c>
      <c r="I806">
        <v>22.5</v>
      </c>
      <c r="J806">
        <v>13.9</v>
      </c>
      <c r="K806">
        <v>9.35</v>
      </c>
      <c r="L806">
        <v>0.56999999999999995</v>
      </c>
      <c r="M806">
        <v>1.66</v>
      </c>
      <c r="N806">
        <v>0.11600000000000001</v>
      </c>
      <c r="O806">
        <v>1.62</v>
      </c>
      <c r="P806">
        <v>0.21199999999999999</v>
      </c>
    </row>
    <row r="807" spans="1:16" x14ac:dyDescent="0.25">
      <c r="A807" s="1">
        <v>42361</v>
      </c>
      <c r="B807">
        <v>5.8</v>
      </c>
      <c r="C807">
        <v>99.65</v>
      </c>
      <c r="D807">
        <v>2.0150000000000001</v>
      </c>
      <c r="E807">
        <v>4.2</v>
      </c>
      <c r="F807">
        <v>4.84</v>
      </c>
      <c r="G807">
        <v>1.29</v>
      </c>
      <c r="H807">
        <v>2.0299999999999998</v>
      </c>
      <c r="I807">
        <v>22.9</v>
      </c>
      <c r="J807">
        <v>14</v>
      </c>
      <c r="K807">
        <v>9.35</v>
      </c>
      <c r="L807">
        <v>0.55000000000000004</v>
      </c>
      <c r="M807">
        <v>1.7</v>
      </c>
      <c r="N807">
        <v>0.12</v>
      </c>
      <c r="O807">
        <v>1.62</v>
      </c>
      <c r="P807">
        <v>0.21</v>
      </c>
    </row>
    <row r="808" spans="1:16" x14ac:dyDescent="0.25">
      <c r="A808" s="1">
        <v>42362</v>
      </c>
      <c r="B808">
        <v>5.8</v>
      </c>
      <c r="C808">
        <v>100</v>
      </c>
      <c r="D808">
        <v>2.0150000000000001</v>
      </c>
      <c r="E808">
        <v>4.2</v>
      </c>
      <c r="F808">
        <v>4.8</v>
      </c>
      <c r="G808">
        <v>1.3</v>
      </c>
      <c r="H808">
        <v>2.0299999999999998</v>
      </c>
      <c r="I808">
        <v>22.9</v>
      </c>
      <c r="J808">
        <v>14.05</v>
      </c>
      <c r="K808">
        <v>9.35</v>
      </c>
      <c r="L808">
        <v>0.55000000000000004</v>
      </c>
      <c r="M808">
        <v>1.7</v>
      </c>
      <c r="N808">
        <v>0.12</v>
      </c>
      <c r="O808">
        <v>1.62</v>
      </c>
      <c r="P808">
        <v>0.21</v>
      </c>
    </row>
    <row r="809" spans="1:16" x14ac:dyDescent="0.25">
      <c r="A809" s="1">
        <v>42366</v>
      </c>
      <c r="B809">
        <v>5.78</v>
      </c>
      <c r="C809">
        <v>97.8</v>
      </c>
      <c r="D809">
        <v>1.98</v>
      </c>
      <c r="E809">
        <v>4.1500000000000004</v>
      </c>
      <c r="F809">
        <v>4.75</v>
      </c>
      <c r="G809">
        <v>1.3</v>
      </c>
      <c r="H809">
        <v>1.97</v>
      </c>
      <c r="I809">
        <v>22.63</v>
      </c>
      <c r="J809">
        <v>14</v>
      </c>
      <c r="K809">
        <v>9.35</v>
      </c>
      <c r="L809">
        <v>0.5</v>
      </c>
      <c r="M809">
        <v>1.5</v>
      </c>
      <c r="N809">
        <v>0.11600000000000001</v>
      </c>
      <c r="O809">
        <v>1.6</v>
      </c>
      <c r="P809">
        <v>0.20200000000000001</v>
      </c>
    </row>
    <row r="810" spans="1:16" x14ac:dyDescent="0.25">
      <c r="A810" s="1">
        <v>42367</v>
      </c>
      <c r="B810">
        <v>5.8</v>
      </c>
      <c r="C810">
        <v>98.8</v>
      </c>
      <c r="D810">
        <v>1.98</v>
      </c>
      <c r="E810">
        <v>4.1500000000000004</v>
      </c>
      <c r="F810">
        <v>4.75</v>
      </c>
      <c r="G810">
        <v>1.32</v>
      </c>
      <c r="H810">
        <v>2</v>
      </c>
      <c r="I810">
        <v>22.75</v>
      </c>
      <c r="J810">
        <v>14</v>
      </c>
      <c r="K810">
        <v>9.2100000000000009</v>
      </c>
      <c r="L810">
        <v>0.5</v>
      </c>
      <c r="M810">
        <v>1.6</v>
      </c>
      <c r="N810">
        <v>0.11600000000000001</v>
      </c>
      <c r="O810">
        <v>1.6</v>
      </c>
      <c r="P810">
        <v>0.19400000000000001</v>
      </c>
    </row>
    <row r="811" spans="1:16" x14ac:dyDescent="0.25">
      <c r="A811" s="1">
        <v>42368</v>
      </c>
      <c r="B811">
        <v>5.8</v>
      </c>
      <c r="C811">
        <v>97.9</v>
      </c>
      <c r="D811">
        <v>1.98</v>
      </c>
      <c r="E811">
        <v>4.1500000000000004</v>
      </c>
      <c r="F811">
        <v>4.8499999999999996</v>
      </c>
      <c r="G811">
        <v>1.33</v>
      </c>
      <c r="H811">
        <v>1.95</v>
      </c>
      <c r="I811">
        <v>22.75</v>
      </c>
      <c r="J811">
        <v>14</v>
      </c>
      <c r="K811">
        <v>9.2100000000000009</v>
      </c>
      <c r="L811">
        <v>0.5</v>
      </c>
      <c r="M811">
        <v>1.6</v>
      </c>
      <c r="N811">
        <v>0.115</v>
      </c>
      <c r="O811">
        <v>1.64</v>
      </c>
      <c r="P811">
        <v>0.189</v>
      </c>
    </row>
    <row r="812" spans="1:16" x14ac:dyDescent="0.25">
      <c r="A812" s="1">
        <v>42369</v>
      </c>
      <c r="B812">
        <v>5.8</v>
      </c>
      <c r="C812">
        <v>97.9</v>
      </c>
      <c r="D812">
        <v>1.98</v>
      </c>
      <c r="E812">
        <v>4.1500000000000004</v>
      </c>
      <c r="F812">
        <v>5</v>
      </c>
      <c r="G812">
        <v>1.35</v>
      </c>
      <c r="H812">
        <v>1.97</v>
      </c>
      <c r="I812">
        <v>22.75</v>
      </c>
      <c r="J812">
        <v>14</v>
      </c>
      <c r="K812">
        <v>9.15</v>
      </c>
      <c r="L812">
        <v>0.52</v>
      </c>
      <c r="M812">
        <v>1.6</v>
      </c>
      <c r="N812">
        <v>0.115</v>
      </c>
      <c r="O812">
        <v>1.7</v>
      </c>
      <c r="P812">
        <v>0.19</v>
      </c>
    </row>
    <row r="813" spans="1:16" x14ac:dyDescent="0.25">
      <c r="A813" s="1">
        <v>42373</v>
      </c>
      <c r="B813">
        <v>5.7</v>
      </c>
      <c r="C813">
        <v>95.5</v>
      </c>
      <c r="D813">
        <v>1.98</v>
      </c>
      <c r="E813">
        <v>4.45</v>
      </c>
      <c r="F813">
        <v>5</v>
      </c>
      <c r="G813">
        <v>1.35</v>
      </c>
      <c r="H813">
        <v>1.97</v>
      </c>
      <c r="I813">
        <v>22.74</v>
      </c>
      <c r="J813">
        <v>14</v>
      </c>
      <c r="K813">
        <v>8.9</v>
      </c>
      <c r="L813">
        <v>0.5</v>
      </c>
      <c r="M813">
        <v>1.6</v>
      </c>
      <c r="N813">
        <v>0.115</v>
      </c>
      <c r="O813">
        <v>1.7</v>
      </c>
      <c r="P813">
        <v>0.185</v>
      </c>
    </row>
    <row r="814" spans="1:16" x14ac:dyDescent="0.25">
      <c r="A814" s="1">
        <v>42374</v>
      </c>
      <c r="B814">
        <v>5.65</v>
      </c>
      <c r="C814">
        <v>94</v>
      </c>
      <c r="D814">
        <v>1.958</v>
      </c>
      <c r="E814">
        <v>4.45</v>
      </c>
      <c r="F814">
        <v>4.99</v>
      </c>
      <c r="G814">
        <v>1.33</v>
      </c>
      <c r="H814">
        <v>1.9</v>
      </c>
      <c r="I814">
        <v>22.74</v>
      </c>
      <c r="J814">
        <v>14</v>
      </c>
      <c r="K814">
        <v>8.9</v>
      </c>
      <c r="L814">
        <v>0.5</v>
      </c>
      <c r="M814">
        <v>1.6</v>
      </c>
      <c r="N814">
        <v>0.115</v>
      </c>
      <c r="O814">
        <v>1.73</v>
      </c>
      <c r="P814">
        <v>0.17899999999999999</v>
      </c>
    </row>
    <row r="815" spans="1:16" x14ac:dyDescent="0.25">
      <c r="A815" s="1">
        <v>42375</v>
      </c>
      <c r="B815">
        <v>5.55</v>
      </c>
      <c r="C815">
        <v>94</v>
      </c>
      <c r="D815">
        <v>1.923</v>
      </c>
      <c r="E815">
        <v>4.3499999999999996</v>
      </c>
      <c r="F815">
        <v>4.8</v>
      </c>
      <c r="G815">
        <v>1.3</v>
      </c>
      <c r="H815">
        <v>1.9</v>
      </c>
      <c r="I815">
        <v>22.74</v>
      </c>
      <c r="J815">
        <v>14</v>
      </c>
      <c r="K815">
        <v>8.89</v>
      </c>
      <c r="L815">
        <v>0.5</v>
      </c>
      <c r="M815">
        <v>1.6</v>
      </c>
      <c r="N815">
        <v>0.105</v>
      </c>
      <c r="O815">
        <v>1.73</v>
      </c>
      <c r="P815">
        <v>0.17499999999999999</v>
      </c>
    </row>
    <row r="816" spans="1:16" x14ac:dyDescent="0.25">
      <c r="A816" s="1">
        <v>42376</v>
      </c>
      <c r="B816">
        <v>5.5</v>
      </c>
      <c r="C816">
        <v>90.15</v>
      </c>
      <c r="D816">
        <v>1.9079999999999999</v>
      </c>
      <c r="E816">
        <v>4.16</v>
      </c>
      <c r="F816">
        <v>4.55</v>
      </c>
      <c r="G816">
        <v>1.3</v>
      </c>
      <c r="H816">
        <v>1.77</v>
      </c>
      <c r="I816">
        <v>22.65</v>
      </c>
      <c r="J816">
        <v>14</v>
      </c>
      <c r="K816">
        <v>8.8800000000000008</v>
      </c>
      <c r="L816">
        <v>0.5</v>
      </c>
      <c r="M816">
        <v>1.56</v>
      </c>
      <c r="N816">
        <v>0.10299999999999999</v>
      </c>
      <c r="O816">
        <v>1.65</v>
      </c>
      <c r="P816">
        <v>0.17</v>
      </c>
    </row>
    <row r="817" spans="1:16" x14ac:dyDescent="0.25">
      <c r="A817" s="1">
        <v>42377</v>
      </c>
      <c r="B817">
        <v>5.45</v>
      </c>
      <c r="C817">
        <v>89.73</v>
      </c>
      <c r="D817">
        <v>1.8939999999999999</v>
      </c>
      <c r="E817">
        <v>4.16</v>
      </c>
      <c r="F817">
        <v>4.5</v>
      </c>
      <c r="G817">
        <v>1.3</v>
      </c>
      <c r="H817">
        <v>1.75</v>
      </c>
      <c r="I817">
        <v>21.9</v>
      </c>
      <c r="J817">
        <v>14</v>
      </c>
      <c r="K817">
        <v>8.8699999999999992</v>
      </c>
      <c r="L817">
        <v>0.46</v>
      </c>
      <c r="M817">
        <v>1.45</v>
      </c>
      <c r="N817">
        <v>0.104</v>
      </c>
      <c r="O817">
        <v>1.6</v>
      </c>
      <c r="P817">
        <v>0.17</v>
      </c>
    </row>
    <row r="818" spans="1:16" x14ac:dyDescent="0.25">
      <c r="A818" s="1">
        <v>42380</v>
      </c>
      <c r="B818">
        <v>5.45</v>
      </c>
      <c r="C818">
        <v>88</v>
      </c>
      <c r="D818">
        <v>1.887</v>
      </c>
      <c r="E818">
        <v>4</v>
      </c>
      <c r="F818">
        <v>4.55</v>
      </c>
      <c r="G818">
        <v>1.31</v>
      </c>
      <c r="H818">
        <v>1.75</v>
      </c>
      <c r="I818">
        <v>21</v>
      </c>
      <c r="J818">
        <v>13.25</v>
      </c>
      <c r="K818">
        <v>8.6</v>
      </c>
      <c r="L818">
        <v>0.46</v>
      </c>
      <c r="M818">
        <v>1.45</v>
      </c>
      <c r="N818">
        <v>0.105</v>
      </c>
      <c r="O818">
        <v>1.6</v>
      </c>
      <c r="P818">
        <v>0.16900000000000001</v>
      </c>
    </row>
    <row r="819" spans="1:16" x14ac:dyDescent="0.25">
      <c r="A819" s="1">
        <v>42381</v>
      </c>
      <c r="B819">
        <v>5.5</v>
      </c>
      <c r="C819">
        <v>89.75</v>
      </c>
      <c r="D819">
        <v>1.8160000000000001</v>
      </c>
      <c r="E819">
        <v>4</v>
      </c>
      <c r="F819">
        <v>4.57</v>
      </c>
      <c r="G819">
        <v>1.27</v>
      </c>
      <c r="H819">
        <v>1.75</v>
      </c>
      <c r="I819">
        <v>20.7</v>
      </c>
      <c r="J819">
        <v>13</v>
      </c>
      <c r="K819">
        <v>8.4</v>
      </c>
      <c r="L819">
        <v>0.46</v>
      </c>
      <c r="M819">
        <v>1.45</v>
      </c>
      <c r="N819">
        <v>0.105</v>
      </c>
      <c r="O819">
        <v>1.57</v>
      </c>
      <c r="P819">
        <v>0.16900000000000001</v>
      </c>
    </row>
    <row r="820" spans="1:16" x14ac:dyDescent="0.25">
      <c r="A820" s="1">
        <v>42382</v>
      </c>
      <c r="B820">
        <v>5.5</v>
      </c>
      <c r="C820">
        <v>88.6</v>
      </c>
      <c r="D820">
        <v>1.78</v>
      </c>
      <c r="E820">
        <v>4.1500000000000004</v>
      </c>
      <c r="F820">
        <v>4.5999999999999996</v>
      </c>
      <c r="G820">
        <v>1.27</v>
      </c>
      <c r="H820">
        <v>1.75</v>
      </c>
      <c r="I820">
        <v>20.48</v>
      </c>
      <c r="J820">
        <v>12.7</v>
      </c>
      <c r="K820">
        <v>8.4</v>
      </c>
      <c r="L820">
        <v>0.45</v>
      </c>
      <c r="M820">
        <v>1.45</v>
      </c>
      <c r="N820">
        <v>0.105</v>
      </c>
      <c r="O820">
        <v>1.57</v>
      </c>
      <c r="P820">
        <v>0.16800000000000001</v>
      </c>
    </row>
    <row r="821" spans="1:16" x14ac:dyDescent="0.25">
      <c r="A821" s="1">
        <v>42383</v>
      </c>
      <c r="B821">
        <v>5.25</v>
      </c>
      <c r="C821">
        <v>89.6</v>
      </c>
      <c r="D821">
        <v>1.78</v>
      </c>
      <c r="E821">
        <v>4.2</v>
      </c>
      <c r="F821">
        <v>4.5</v>
      </c>
      <c r="G821">
        <v>1.28</v>
      </c>
      <c r="H821">
        <v>1.75</v>
      </c>
      <c r="I821">
        <v>20.48</v>
      </c>
      <c r="J821">
        <v>12.9</v>
      </c>
      <c r="K821">
        <v>8.4</v>
      </c>
      <c r="L821">
        <v>0.45500000000000002</v>
      </c>
      <c r="M821">
        <v>1.3</v>
      </c>
      <c r="N821">
        <v>0.105</v>
      </c>
      <c r="O821">
        <v>1.54</v>
      </c>
      <c r="P821">
        <v>0.16800000000000001</v>
      </c>
    </row>
    <row r="822" spans="1:16" x14ac:dyDescent="0.25">
      <c r="A822" s="1">
        <v>42384</v>
      </c>
      <c r="B822">
        <v>5.4</v>
      </c>
      <c r="C822">
        <v>87.4</v>
      </c>
      <c r="D822">
        <v>1.673</v>
      </c>
      <c r="E822">
        <v>4</v>
      </c>
      <c r="F822">
        <v>4.4000000000000004</v>
      </c>
      <c r="G822">
        <v>1.28</v>
      </c>
      <c r="H822">
        <v>1.7</v>
      </c>
      <c r="I822">
        <v>20.399999999999999</v>
      </c>
      <c r="J822">
        <v>12.9</v>
      </c>
      <c r="K822">
        <v>8.4</v>
      </c>
      <c r="L822">
        <v>0.45300000000000001</v>
      </c>
      <c r="M822">
        <v>1.3</v>
      </c>
      <c r="N822">
        <v>0.105</v>
      </c>
      <c r="O822">
        <v>1.54</v>
      </c>
      <c r="P822">
        <v>0.16800000000000001</v>
      </c>
    </row>
    <row r="823" spans="1:16" x14ac:dyDescent="0.25">
      <c r="A823" s="1">
        <v>42387</v>
      </c>
      <c r="B823">
        <v>5.35</v>
      </c>
      <c r="C823">
        <v>87.6</v>
      </c>
      <c r="D823">
        <v>1.6659999999999999</v>
      </c>
      <c r="E823">
        <v>4</v>
      </c>
      <c r="F823">
        <v>4.4000000000000004</v>
      </c>
      <c r="G823">
        <v>1.28</v>
      </c>
      <c r="H823">
        <v>1.7</v>
      </c>
      <c r="I823">
        <v>20.399999999999999</v>
      </c>
      <c r="J823">
        <v>12.9</v>
      </c>
      <c r="K823">
        <v>8.39</v>
      </c>
      <c r="L823">
        <v>0.45300000000000001</v>
      </c>
      <c r="M823">
        <v>1.3</v>
      </c>
      <c r="N823">
        <v>0.105</v>
      </c>
      <c r="O823">
        <v>1.54</v>
      </c>
      <c r="P823">
        <v>0.16800000000000001</v>
      </c>
    </row>
    <row r="824" spans="1:16" x14ac:dyDescent="0.25">
      <c r="A824" s="1">
        <v>42388</v>
      </c>
      <c r="B824">
        <v>5.25</v>
      </c>
      <c r="C824">
        <v>88.22</v>
      </c>
      <c r="D824">
        <v>1.6950000000000001</v>
      </c>
      <c r="E824">
        <v>3.4</v>
      </c>
      <c r="F824">
        <v>4.4000000000000004</v>
      </c>
      <c r="G824">
        <v>1.28</v>
      </c>
      <c r="H824">
        <v>1.7</v>
      </c>
      <c r="I824">
        <v>20.399999999999999</v>
      </c>
      <c r="J824">
        <v>13.2</v>
      </c>
      <c r="K824">
        <v>8.1999999999999993</v>
      </c>
      <c r="L824">
        <v>0.47</v>
      </c>
      <c r="M824">
        <v>1.45</v>
      </c>
      <c r="N824">
        <v>0.1</v>
      </c>
      <c r="O824">
        <v>1.54</v>
      </c>
      <c r="P824">
        <v>0.16900000000000001</v>
      </c>
    </row>
    <row r="825" spans="1:16" x14ac:dyDescent="0.25">
      <c r="A825" s="1">
        <v>42389</v>
      </c>
      <c r="B825">
        <v>5.18</v>
      </c>
      <c r="C825">
        <v>88</v>
      </c>
      <c r="D825">
        <v>1.7090000000000001</v>
      </c>
      <c r="E825">
        <v>3.55</v>
      </c>
      <c r="F825">
        <v>4.33</v>
      </c>
      <c r="G825">
        <v>1.27</v>
      </c>
      <c r="H825">
        <v>1.7</v>
      </c>
      <c r="I825">
        <v>20.2</v>
      </c>
      <c r="J825">
        <v>13</v>
      </c>
      <c r="K825">
        <v>8.01</v>
      </c>
      <c r="L825">
        <v>0.47</v>
      </c>
      <c r="M825">
        <v>1.45</v>
      </c>
      <c r="N825">
        <v>9.5000000000000001E-2</v>
      </c>
      <c r="O825">
        <v>1.54</v>
      </c>
      <c r="P825">
        <v>0.17</v>
      </c>
    </row>
    <row r="826" spans="1:16" x14ac:dyDescent="0.25">
      <c r="A826" s="1">
        <v>42390</v>
      </c>
      <c r="B826">
        <v>5.18</v>
      </c>
      <c r="C826">
        <v>86.9</v>
      </c>
      <c r="D826">
        <v>1.7090000000000001</v>
      </c>
      <c r="E826">
        <v>3.5</v>
      </c>
      <c r="F826">
        <v>4.3499999999999996</v>
      </c>
      <c r="G826">
        <v>1.26</v>
      </c>
      <c r="H826">
        <v>1.7</v>
      </c>
      <c r="I826">
        <v>20.399999999999999</v>
      </c>
      <c r="J826">
        <v>13</v>
      </c>
      <c r="K826">
        <v>8.01</v>
      </c>
      <c r="L826">
        <v>0.47</v>
      </c>
      <c r="M826">
        <v>1.38</v>
      </c>
      <c r="N826">
        <v>0.1</v>
      </c>
      <c r="O826">
        <v>1.54</v>
      </c>
      <c r="P826">
        <v>0.18099999999999999</v>
      </c>
    </row>
    <row r="827" spans="1:16" x14ac:dyDescent="0.25">
      <c r="A827" s="1">
        <v>42391</v>
      </c>
      <c r="B827">
        <v>5.09</v>
      </c>
      <c r="C827">
        <v>91</v>
      </c>
      <c r="D827">
        <v>1.7230000000000001</v>
      </c>
      <c r="E827">
        <v>3.5</v>
      </c>
      <c r="F827">
        <v>4.3499999999999996</v>
      </c>
      <c r="G827">
        <v>1.26</v>
      </c>
      <c r="H827">
        <v>1.7</v>
      </c>
      <c r="I827">
        <v>20.6</v>
      </c>
      <c r="J827">
        <v>13.5</v>
      </c>
      <c r="K827">
        <v>8.01</v>
      </c>
      <c r="L827">
        <v>0.48</v>
      </c>
      <c r="M827">
        <v>1.46</v>
      </c>
      <c r="N827">
        <v>0.106</v>
      </c>
      <c r="O827">
        <v>1.54</v>
      </c>
      <c r="P827">
        <v>0.20499999999999999</v>
      </c>
    </row>
    <row r="828" spans="1:16" x14ac:dyDescent="0.25">
      <c r="A828" s="1">
        <v>42394</v>
      </c>
      <c r="B828">
        <v>5.0999999999999996</v>
      </c>
      <c r="C828">
        <v>90.2</v>
      </c>
      <c r="D828">
        <v>1.7230000000000001</v>
      </c>
      <c r="E828">
        <v>3.89</v>
      </c>
      <c r="F828">
        <v>4.3499999999999996</v>
      </c>
      <c r="G828">
        <v>1.26</v>
      </c>
      <c r="H828">
        <v>1.69</v>
      </c>
      <c r="I828">
        <v>20.6</v>
      </c>
      <c r="J828">
        <v>13.5</v>
      </c>
      <c r="K828">
        <v>8.1300000000000008</v>
      </c>
      <c r="L828">
        <v>0.48</v>
      </c>
      <c r="M828">
        <v>1.47</v>
      </c>
      <c r="N828">
        <v>0.1</v>
      </c>
      <c r="O828">
        <v>1.54</v>
      </c>
      <c r="P828">
        <v>0.2</v>
      </c>
    </row>
    <row r="829" spans="1:16" x14ac:dyDescent="0.25">
      <c r="A829" s="1">
        <v>42395</v>
      </c>
      <c r="B829">
        <v>5</v>
      </c>
      <c r="C829">
        <v>91</v>
      </c>
      <c r="D829">
        <v>1.6950000000000001</v>
      </c>
      <c r="E829">
        <v>4.1500000000000004</v>
      </c>
      <c r="F829">
        <v>4.3499999999999996</v>
      </c>
      <c r="G829">
        <v>1.25</v>
      </c>
      <c r="H829">
        <v>1.69</v>
      </c>
      <c r="I829">
        <v>20.6</v>
      </c>
      <c r="J829">
        <v>13.5</v>
      </c>
      <c r="K829">
        <v>8.3000000000000007</v>
      </c>
      <c r="L829">
        <v>0.495</v>
      </c>
      <c r="M829">
        <v>1.45</v>
      </c>
      <c r="N829">
        <v>0.1</v>
      </c>
      <c r="O829">
        <v>1.54</v>
      </c>
      <c r="P829">
        <v>0.20499999999999999</v>
      </c>
    </row>
    <row r="830" spans="1:16" x14ac:dyDescent="0.25">
      <c r="A830" s="1">
        <v>42396</v>
      </c>
      <c r="B830">
        <v>5.0999999999999996</v>
      </c>
      <c r="C830">
        <v>94.45</v>
      </c>
      <c r="D830">
        <v>1.7230000000000001</v>
      </c>
      <c r="E830">
        <v>4.1500000000000004</v>
      </c>
      <c r="F830">
        <v>4.3499999999999996</v>
      </c>
      <c r="G830">
        <v>1.25</v>
      </c>
      <c r="H830">
        <v>1.69</v>
      </c>
      <c r="I830">
        <v>20.100000000000001</v>
      </c>
      <c r="J830">
        <v>13.48</v>
      </c>
      <c r="K830">
        <v>8.1</v>
      </c>
      <c r="L830">
        <v>0.5</v>
      </c>
      <c r="M830">
        <v>1.45</v>
      </c>
      <c r="N830">
        <v>0.1</v>
      </c>
      <c r="O830">
        <v>1.54</v>
      </c>
      <c r="P830">
        <v>0.214</v>
      </c>
    </row>
    <row r="831" spans="1:16" x14ac:dyDescent="0.25">
      <c r="A831" s="1">
        <v>42397</v>
      </c>
      <c r="B831">
        <v>5.0999999999999996</v>
      </c>
      <c r="C831">
        <v>98.6</v>
      </c>
      <c r="D831">
        <v>1.744</v>
      </c>
      <c r="E831">
        <v>4.04</v>
      </c>
      <c r="F831">
        <v>4.3499999999999996</v>
      </c>
      <c r="G831">
        <v>1.21</v>
      </c>
      <c r="H831">
        <v>1.65</v>
      </c>
      <c r="I831">
        <v>20</v>
      </c>
      <c r="J831">
        <v>13.48</v>
      </c>
      <c r="K831">
        <v>8.1</v>
      </c>
      <c r="L831">
        <v>0.5</v>
      </c>
      <c r="M831">
        <v>1.45</v>
      </c>
      <c r="N831">
        <v>0.10199999999999999</v>
      </c>
      <c r="O831">
        <v>1.54</v>
      </c>
      <c r="P831">
        <v>0.23300000000000001</v>
      </c>
    </row>
    <row r="832" spans="1:16" x14ac:dyDescent="0.25">
      <c r="A832" s="1">
        <v>42398</v>
      </c>
      <c r="B832">
        <v>5.0999999999999996</v>
      </c>
      <c r="C832">
        <v>100.85</v>
      </c>
      <c r="D832">
        <v>1.794</v>
      </c>
      <c r="E832">
        <v>4</v>
      </c>
      <c r="F832">
        <v>4.5</v>
      </c>
      <c r="G832">
        <v>1.22</v>
      </c>
      <c r="H832">
        <v>1.6</v>
      </c>
      <c r="I832">
        <v>20.149999999999999</v>
      </c>
      <c r="J832">
        <v>13</v>
      </c>
      <c r="K832">
        <v>8.15</v>
      </c>
      <c r="L832">
        <v>0.5</v>
      </c>
      <c r="M832">
        <v>1.45</v>
      </c>
      <c r="N832">
        <v>0.105</v>
      </c>
      <c r="O832">
        <v>1.45</v>
      </c>
      <c r="P832">
        <v>0.23899999999999999</v>
      </c>
    </row>
    <row r="833" spans="1:16" x14ac:dyDescent="0.25">
      <c r="A833" s="1">
        <v>42401</v>
      </c>
      <c r="B833">
        <v>5.2</v>
      </c>
      <c r="C833">
        <v>100.35</v>
      </c>
      <c r="D833">
        <v>1.8089999999999999</v>
      </c>
      <c r="E833">
        <v>4.2</v>
      </c>
      <c r="F833">
        <v>4.49</v>
      </c>
      <c r="G833">
        <v>1.22</v>
      </c>
      <c r="H833">
        <v>1.6</v>
      </c>
      <c r="I833">
        <v>20.149999999999999</v>
      </c>
      <c r="J833">
        <v>12.75</v>
      </c>
      <c r="K833">
        <v>8.35</v>
      </c>
      <c r="L833">
        <v>0.5</v>
      </c>
      <c r="M833">
        <v>1.45</v>
      </c>
      <c r="N833">
        <v>0.106</v>
      </c>
      <c r="O833">
        <v>1.35</v>
      </c>
      <c r="P833">
        <v>0.24</v>
      </c>
    </row>
    <row r="834" spans="1:16" x14ac:dyDescent="0.25">
      <c r="A834" s="1">
        <v>42402</v>
      </c>
      <c r="B834">
        <v>5.15</v>
      </c>
      <c r="C834">
        <v>97.5</v>
      </c>
      <c r="D834">
        <v>1.823</v>
      </c>
      <c r="E834">
        <v>4.1900000000000004</v>
      </c>
      <c r="F834">
        <v>4.42</v>
      </c>
      <c r="G834">
        <v>1.17</v>
      </c>
      <c r="H834">
        <v>1.6</v>
      </c>
      <c r="I834">
        <v>20.149999999999999</v>
      </c>
      <c r="J834">
        <v>12.58</v>
      </c>
      <c r="K834">
        <v>8.35</v>
      </c>
      <c r="L834">
        <v>0.49</v>
      </c>
      <c r="M834">
        <v>1.43</v>
      </c>
      <c r="N834">
        <v>0.106</v>
      </c>
      <c r="O834">
        <v>1.288</v>
      </c>
      <c r="P834">
        <v>0.252</v>
      </c>
    </row>
    <row r="835" spans="1:16" x14ac:dyDescent="0.25">
      <c r="A835" s="1">
        <v>42403</v>
      </c>
      <c r="B835">
        <v>5.0999999999999996</v>
      </c>
      <c r="C835">
        <v>97.8</v>
      </c>
      <c r="D835">
        <v>1.887</v>
      </c>
      <c r="E835">
        <v>4.5</v>
      </c>
      <c r="F835">
        <v>4.43</v>
      </c>
      <c r="G835">
        <v>1.2</v>
      </c>
      <c r="H835">
        <v>1.75</v>
      </c>
      <c r="I835">
        <v>20.2</v>
      </c>
      <c r="J835">
        <v>12.6</v>
      </c>
      <c r="K835">
        <v>8.35</v>
      </c>
      <c r="L835">
        <v>0.5</v>
      </c>
      <c r="M835">
        <v>1.5</v>
      </c>
      <c r="N835">
        <v>0.127</v>
      </c>
      <c r="O835">
        <v>1.288</v>
      </c>
      <c r="P835">
        <v>0.28999999999999998</v>
      </c>
    </row>
    <row r="836" spans="1:16" x14ac:dyDescent="0.25">
      <c r="A836" s="1">
        <v>42404</v>
      </c>
      <c r="B836">
        <v>5.15</v>
      </c>
      <c r="C836">
        <v>100.5</v>
      </c>
      <c r="D836">
        <v>1.958</v>
      </c>
      <c r="E836">
        <v>4.74</v>
      </c>
      <c r="F836">
        <v>4.42</v>
      </c>
      <c r="G836">
        <v>1.26</v>
      </c>
      <c r="H836">
        <v>2.0499999999999998</v>
      </c>
      <c r="I836">
        <v>20.5</v>
      </c>
      <c r="J836">
        <v>12.59</v>
      </c>
      <c r="K836">
        <v>8.3699999999999992</v>
      </c>
      <c r="L836">
        <v>0.52</v>
      </c>
      <c r="M836">
        <v>1.6</v>
      </c>
      <c r="N836">
        <v>0.13500000000000001</v>
      </c>
      <c r="O836">
        <v>1.288</v>
      </c>
      <c r="P836">
        <v>0.28999999999999998</v>
      </c>
    </row>
    <row r="837" spans="1:16" x14ac:dyDescent="0.25">
      <c r="A837" s="1">
        <v>42405</v>
      </c>
      <c r="B837">
        <v>5.2</v>
      </c>
      <c r="C837">
        <v>98.99</v>
      </c>
      <c r="D837">
        <v>2.0289999999999999</v>
      </c>
      <c r="E837">
        <v>4.8</v>
      </c>
      <c r="F837">
        <v>4.49</v>
      </c>
      <c r="G837">
        <v>1.26</v>
      </c>
      <c r="H837">
        <v>2.25</v>
      </c>
      <c r="I837">
        <v>20.61</v>
      </c>
      <c r="J837">
        <v>12.59</v>
      </c>
      <c r="K837">
        <v>8.3699999999999992</v>
      </c>
      <c r="L837">
        <v>0.54</v>
      </c>
      <c r="M837">
        <v>1.58</v>
      </c>
      <c r="N837">
        <v>0.12</v>
      </c>
      <c r="O837">
        <v>1.337</v>
      </c>
      <c r="P837">
        <v>0.27100000000000002</v>
      </c>
    </row>
    <row r="838" spans="1:16" x14ac:dyDescent="0.25">
      <c r="A838" s="1">
        <v>42408</v>
      </c>
      <c r="B838">
        <v>5</v>
      </c>
      <c r="C838">
        <v>97.51</v>
      </c>
      <c r="D838">
        <v>2.1360000000000001</v>
      </c>
      <c r="E838">
        <v>4.8</v>
      </c>
      <c r="F838">
        <v>4.5</v>
      </c>
      <c r="G838">
        <v>1.26</v>
      </c>
      <c r="H838">
        <v>2.54</v>
      </c>
      <c r="I838">
        <v>20.61</v>
      </c>
      <c r="J838">
        <v>12.59</v>
      </c>
      <c r="K838">
        <v>8.3699999999999992</v>
      </c>
      <c r="L838">
        <v>0.56999999999999995</v>
      </c>
      <c r="M838">
        <v>1.58</v>
      </c>
      <c r="N838">
        <v>0.11899999999999999</v>
      </c>
      <c r="O838">
        <v>1.337</v>
      </c>
      <c r="P838">
        <v>0.28999999999999998</v>
      </c>
    </row>
    <row r="839" spans="1:16" x14ac:dyDescent="0.25">
      <c r="A839" s="1">
        <v>42409</v>
      </c>
      <c r="B839">
        <v>5.05</v>
      </c>
      <c r="C839">
        <v>98.5</v>
      </c>
      <c r="D839">
        <v>2.101</v>
      </c>
      <c r="E839">
        <v>4.67</v>
      </c>
      <c r="F839">
        <v>4.38</v>
      </c>
      <c r="G839">
        <v>1.26</v>
      </c>
      <c r="H839">
        <v>2.57</v>
      </c>
      <c r="I839">
        <v>20.7</v>
      </c>
      <c r="J839">
        <v>12.01</v>
      </c>
      <c r="K839">
        <v>8.4</v>
      </c>
      <c r="L839">
        <v>0.57999999999999996</v>
      </c>
      <c r="M839">
        <v>1.58</v>
      </c>
      <c r="N839">
        <v>0.12</v>
      </c>
      <c r="O839">
        <v>1.387</v>
      </c>
      <c r="P839">
        <v>0.3</v>
      </c>
    </row>
    <row r="840" spans="1:16" x14ac:dyDescent="0.25">
      <c r="A840" s="1">
        <v>42410</v>
      </c>
      <c r="B840">
        <v>5.03</v>
      </c>
      <c r="C840">
        <v>104.3</v>
      </c>
      <c r="D840">
        <v>2.1360000000000001</v>
      </c>
      <c r="E840">
        <v>4.67</v>
      </c>
      <c r="F840">
        <v>4.45</v>
      </c>
      <c r="G840">
        <v>1.29</v>
      </c>
      <c r="H840">
        <v>2.7</v>
      </c>
      <c r="I840">
        <v>21</v>
      </c>
      <c r="J840">
        <v>12.5</v>
      </c>
      <c r="K840">
        <v>8.6</v>
      </c>
      <c r="L840">
        <v>0.57999999999999996</v>
      </c>
      <c r="M840">
        <v>1.56</v>
      </c>
      <c r="N840">
        <v>0.12</v>
      </c>
      <c r="O840">
        <v>1.387</v>
      </c>
      <c r="P840">
        <v>0.28499999999999998</v>
      </c>
    </row>
    <row r="841" spans="1:16" x14ac:dyDescent="0.25">
      <c r="A841" s="1">
        <v>42411</v>
      </c>
      <c r="B841">
        <v>5.0599999999999996</v>
      </c>
      <c r="C841">
        <v>105.3</v>
      </c>
      <c r="D841">
        <v>2.15</v>
      </c>
      <c r="E841">
        <v>5.4</v>
      </c>
      <c r="F841">
        <v>4.4000000000000004</v>
      </c>
      <c r="G841">
        <v>1.28</v>
      </c>
      <c r="H841">
        <v>2.7</v>
      </c>
      <c r="I841">
        <v>21</v>
      </c>
      <c r="J841">
        <v>12.5</v>
      </c>
      <c r="K841">
        <v>8.5</v>
      </c>
      <c r="L841">
        <v>0.57999999999999996</v>
      </c>
      <c r="M841">
        <v>1.5</v>
      </c>
      <c r="N841">
        <v>0.11700000000000001</v>
      </c>
      <c r="O841">
        <v>1.337</v>
      </c>
      <c r="P841">
        <v>0.28999999999999998</v>
      </c>
    </row>
    <row r="842" spans="1:16" x14ac:dyDescent="0.25">
      <c r="A842" s="1">
        <v>42412</v>
      </c>
      <c r="B842">
        <v>5</v>
      </c>
      <c r="C842">
        <v>110.15</v>
      </c>
      <c r="D842">
        <v>2.1360000000000001</v>
      </c>
      <c r="E842">
        <v>5.36</v>
      </c>
      <c r="F842">
        <v>4.55</v>
      </c>
      <c r="G842">
        <v>1.32</v>
      </c>
      <c r="H842">
        <v>3</v>
      </c>
      <c r="I842">
        <v>21.8</v>
      </c>
      <c r="J842">
        <v>12.5</v>
      </c>
      <c r="K842">
        <v>8.6</v>
      </c>
      <c r="L842">
        <v>0.6</v>
      </c>
      <c r="M842">
        <v>1.45</v>
      </c>
      <c r="N842">
        <v>0.126</v>
      </c>
      <c r="O842">
        <v>1.337</v>
      </c>
      <c r="P842">
        <v>0.28999999999999998</v>
      </c>
    </row>
    <row r="843" spans="1:16" x14ac:dyDescent="0.25">
      <c r="A843" s="1">
        <v>42415</v>
      </c>
      <c r="B843">
        <v>5.07</v>
      </c>
      <c r="C843">
        <v>110.1</v>
      </c>
      <c r="D843">
        <v>2.1720000000000002</v>
      </c>
      <c r="E843">
        <v>5.34</v>
      </c>
      <c r="F843">
        <v>4.55</v>
      </c>
      <c r="G843">
        <v>1.32</v>
      </c>
      <c r="H843">
        <v>3</v>
      </c>
      <c r="I843">
        <v>22.51</v>
      </c>
      <c r="J843">
        <v>12.5</v>
      </c>
      <c r="K843">
        <v>8.6300000000000008</v>
      </c>
      <c r="L843">
        <v>0.6</v>
      </c>
      <c r="M843">
        <v>1.45</v>
      </c>
      <c r="N843">
        <v>0.128</v>
      </c>
      <c r="O843">
        <v>1.35</v>
      </c>
      <c r="P843">
        <v>0.28999999999999998</v>
      </c>
    </row>
    <row r="844" spans="1:16" x14ac:dyDescent="0.25">
      <c r="A844" s="1">
        <v>42416</v>
      </c>
      <c r="B844">
        <v>5.0999999999999996</v>
      </c>
      <c r="C844">
        <v>110.5</v>
      </c>
      <c r="D844">
        <v>2.2069999999999999</v>
      </c>
      <c r="E844">
        <v>4.7699999999999996</v>
      </c>
      <c r="F844">
        <v>4.62</v>
      </c>
      <c r="G844">
        <v>1.34</v>
      </c>
      <c r="H844">
        <v>2.95</v>
      </c>
      <c r="I844">
        <v>23.05</v>
      </c>
      <c r="J844">
        <v>12.5</v>
      </c>
      <c r="K844">
        <v>8.68</v>
      </c>
      <c r="L844">
        <v>0.6</v>
      </c>
      <c r="M844">
        <v>1.4</v>
      </c>
      <c r="N844">
        <v>0.13</v>
      </c>
      <c r="O844">
        <v>1.34</v>
      </c>
      <c r="P844">
        <v>0.28000000000000003</v>
      </c>
    </row>
    <row r="845" spans="1:16" x14ac:dyDescent="0.25">
      <c r="A845" s="1">
        <v>42417</v>
      </c>
      <c r="B845">
        <v>5.2</v>
      </c>
      <c r="C845">
        <v>112.8</v>
      </c>
      <c r="D845">
        <v>2.1429999999999998</v>
      </c>
      <c r="E845">
        <v>4.79</v>
      </c>
      <c r="F845">
        <v>4.6500000000000004</v>
      </c>
      <c r="G845">
        <v>1.35</v>
      </c>
      <c r="H845">
        <v>2.85</v>
      </c>
      <c r="I845">
        <v>24</v>
      </c>
      <c r="J845">
        <v>12.9</v>
      </c>
      <c r="K845">
        <v>8.9</v>
      </c>
      <c r="L845">
        <v>0.65</v>
      </c>
      <c r="M845">
        <v>1.44</v>
      </c>
      <c r="N845">
        <v>0.13600000000000001</v>
      </c>
      <c r="O845">
        <v>1.34</v>
      </c>
      <c r="P845">
        <v>0.3</v>
      </c>
    </row>
    <row r="846" spans="1:16" x14ac:dyDescent="0.25">
      <c r="A846" s="1">
        <v>42418</v>
      </c>
      <c r="B846">
        <v>5.2</v>
      </c>
      <c r="C846">
        <v>111.4</v>
      </c>
      <c r="D846">
        <v>2.1720000000000002</v>
      </c>
      <c r="E846">
        <v>5.35</v>
      </c>
      <c r="F846">
        <v>4.75</v>
      </c>
      <c r="G846">
        <v>1.35</v>
      </c>
      <c r="H846">
        <v>2.7</v>
      </c>
      <c r="I846">
        <v>24.1</v>
      </c>
      <c r="J846">
        <v>12.96</v>
      </c>
      <c r="K846">
        <v>9</v>
      </c>
      <c r="L846">
        <v>0.72</v>
      </c>
      <c r="M846">
        <v>1.44</v>
      </c>
      <c r="N846">
        <v>0.14000000000000001</v>
      </c>
      <c r="O846">
        <v>1.34</v>
      </c>
      <c r="P846">
        <v>0.3</v>
      </c>
    </row>
    <row r="847" spans="1:16" x14ac:dyDescent="0.25">
      <c r="A847" s="1">
        <v>42419</v>
      </c>
      <c r="B847">
        <v>5.35</v>
      </c>
      <c r="C847">
        <v>111</v>
      </c>
      <c r="D847">
        <v>2.1579999999999999</v>
      </c>
      <c r="E847">
        <v>5.2</v>
      </c>
      <c r="F847">
        <v>4.68</v>
      </c>
      <c r="G847">
        <v>1.35</v>
      </c>
      <c r="H847">
        <v>2.67</v>
      </c>
      <c r="I847">
        <v>23.97</v>
      </c>
      <c r="J847">
        <v>13</v>
      </c>
      <c r="K847">
        <v>8.9</v>
      </c>
      <c r="L847">
        <v>0.72</v>
      </c>
      <c r="M847">
        <v>1.47</v>
      </c>
      <c r="N847">
        <v>0.13800000000000001</v>
      </c>
      <c r="O847">
        <v>1.33</v>
      </c>
      <c r="P847">
        <v>0.30599999999999999</v>
      </c>
    </row>
    <row r="848" spans="1:16" x14ac:dyDescent="0.25">
      <c r="A848" s="1">
        <v>42422</v>
      </c>
      <c r="B848">
        <v>5.55</v>
      </c>
      <c r="C848">
        <v>115.5</v>
      </c>
      <c r="D848">
        <v>2.1859999999999999</v>
      </c>
      <c r="E848">
        <v>5.45</v>
      </c>
      <c r="F848">
        <v>4.6500000000000004</v>
      </c>
      <c r="G848">
        <v>1.32</v>
      </c>
      <c r="H848">
        <v>2.69</v>
      </c>
      <c r="I848">
        <v>23</v>
      </c>
      <c r="J848">
        <v>12.9</v>
      </c>
      <c r="K848">
        <v>8.83</v>
      </c>
      <c r="L848">
        <v>0.72</v>
      </c>
      <c r="M848">
        <v>1.51</v>
      </c>
      <c r="N848">
        <v>0.13800000000000001</v>
      </c>
      <c r="O848">
        <v>1.35</v>
      </c>
      <c r="P848">
        <v>0.33</v>
      </c>
    </row>
    <row r="849" spans="1:16" x14ac:dyDescent="0.25">
      <c r="A849" s="1">
        <v>42423</v>
      </c>
      <c r="B849">
        <v>5.55</v>
      </c>
      <c r="C849">
        <v>115.6</v>
      </c>
      <c r="D849">
        <v>2.1859999999999999</v>
      </c>
      <c r="E849">
        <v>5.45</v>
      </c>
      <c r="F849">
        <v>4.63</v>
      </c>
      <c r="G849">
        <v>1.32</v>
      </c>
      <c r="H849">
        <v>2.68</v>
      </c>
      <c r="I849">
        <v>23</v>
      </c>
      <c r="J849">
        <v>13.2</v>
      </c>
      <c r="K849">
        <v>8.83</v>
      </c>
      <c r="L849">
        <v>0.66</v>
      </c>
      <c r="M849">
        <v>1.53</v>
      </c>
      <c r="N849">
        <v>0.13800000000000001</v>
      </c>
      <c r="O849">
        <v>1.35</v>
      </c>
      <c r="P849">
        <v>0.34200000000000003</v>
      </c>
    </row>
    <row r="850" spans="1:16" x14ac:dyDescent="0.25">
      <c r="A850" s="1">
        <v>42424</v>
      </c>
      <c r="B850">
        <v>5.49</v>
      </c>
      <c r="C850">
        <v>116.8</v>
      </c>
      <c r="D850">
        <v>2.1859999999999999</v>
      </c>
      <c r="E850">
        <v>5.42</v>
      </c>
      <c r="F850">
        <v>4.5999999999999996</v>
      </c>
      <c r="G850">
        <v>1.32</v>
      </c>
      <c r="H850">
        <v>2.68</v>
      </c>
      <c r="I850">
        <v>23</v>
      </c>
      <c r="J850">
        <v>13.06</v>
      </c>
      <c r="K850">
        <v>8.9</v>
      </c>
      <c r="L850">
        <v>0.69</v>
      </c>
      <c r="M850">
        <v>1.59</v>
      </c>
      <c r="N850">
        <v>0.13</v>
      </c>
      <c r="O850">
        <v>1.35</v>
      </c>
      <c r="P850">
        <v>0.39200000000000002</v>
      </c>
    </row>
    <row r="851" spans="1:16" x14ac:dyDescent="0.25">
      <c r="A851" s="1">
        <v>42425</v>
      </c>
      <c r="B851">
        <v>5.5</v>
      </c>
      <c r="C851">
        <v>118.5</v>
      </c>
      <c r="D851">
        <v>2.1579999999999999</v>
      </c>
      <c r="E851">
        <v>5.42</v>
      </c>
      <c r="F851">
        <v>4.5</v>
      </c>
      <c r="G851">
        <v>1.32</v>
      </c>
      <c r="H851">
        <v>2.62</v>
      </c>
      <c r="I851">
        <v>23</v>
      </c>
      <c r="J851">
        <v>13.15</v>
      </c>
      <c r="K851">
        <v>8.9</v>
      </c>
      <c r="L851">
        <v>0.7</v>
      </c>
      <c r="M851">
        <v>1.6</v>
      </c>
      <c r="N851">
        <v>0.13200000000000001</v>
      </c>
      <c r="O851">
        <v>1.35</v>
      </c>
      <c r="P851">
        <v>0.38</v>
      </c>
    </row>
    <row r="852" spans="1:16" x14ac:dyDescent="0.25">
      <c r="A852" s="1">
        <v>42426</v>
      </c>
      <c r="B852">
        <v>5.49</v>
      </c>
      <c r="C852">
        <v>117.95</v>
      </c>
      <c r="D852">
        <v>2.1859999999999999</v>
      </c>
      <c r="E852">
        <v>5.23</v>
      </c>
      <c r="F852">
        <v>4.5</v>
      </c>
      <c r="G852">
        <v>1.3</v>
      </c>
      <c r="H852">
        <v>2.58</v>
      </c>
      <c r="I852">
        <v>23</v>
      </c>
      <c r="J852">
        <v>13.5</v>
      </c>
      <c r="K852">
        <v>8.9</v>
      </c>
      <c r="L852">
        <v>0.75</v>
      </c>
      <c r="M852">
        <v>1.68</v>
      </c>
      <c r="N852">
        <v>0.13700000000000001</v>
      </c>
      <c r="O852">
        <v>1.35</v>
      </c>
      <c r="P852">
        <v>0.39900000000000002</v>
      </c>
    </row>
    <row r="853" spans="1:16" x14ac:dyDescent="0.25">
      <c r="A853" s="1">
        <v>42429</v>
      </c>
      <c r="B853">
        <v>5.47</v>
      </c>
      <c r="C853">
        <v>118.2</v>
      </c>
      <c r="D853">
        <v>2.1859999999999999</v>
      </c>
      <c r="E853">
        <v>5.35</v>
      </c>
      <c r="F853">
        <v>4.5999999999999996</v>
      </c>
      <c r="G853">
        <v>1.3</v>
      </c>
      <c r="H853">
        <v>2.6</v>
      </c>
      <c r="I853">
        <v>24</v>
      </c>
      <c r="J853">
        <v>13.5</v>
      </c>
      <c r="K853">
        <v>8.8000000000000007</v>
      </c>
      <c r="L853">
        <v>0.76</v>
      </c>
      <c r="M853">
        <v>1.65</v>
      </c>
      <c r="N853">
        <v>0.14000000000000001</v>
      </c>
      <c r="O853">
        <v>1.4</v>
      </c>
      <c r="P853">
        <v>0.39200000000000002</v>
      </c>
    </row>
    <row r="854" spans="1:16" x14ac:dyDescent="0.25">
      <c r="A854" s="1">
        <v>42430</v>
      </c>
      <c r="B854">
        <v>5.45</v>
      </c>
      <c r="C854">
        <v>119.85</v>
      </c>
      <c r="D854">
        <v>2.2290000000000001</v>
      </c>
      <c r="E854">
        <v>5.0999999999999996</v>
      </c>
      <c r="F854">
        <v>4.6399999999999997</v>
      </c>
      <c r="G854">
        <v>1.3</v>
      </c>
      <c r="H854">
        <v>2.56</v>
      </c>
      <c r="I854">
        <v>24.5</v>
      </c>
      <c r="J854">
        <v>14.25</v>
      </c>
      <c r="K854">
        <v>8.8000000000000007</v>
      </c>
      <c r="L854">
        <v>0.76</v>
      </c>
      <c r="M854">
        <v>1.56</v>
      </c>
      <c r="N854">
        <v>0.13600000000000001</v>
      </c>
      <c r="O854">
        <v>1.5</v>
      </c>
      <c r="P854">
        <v>0.39</v>
      </c>
    </row>
    <row r="855" spans="1:16" x14ac:dyDescent="0.25">
      <c r="A855" s="1">
        <v>42431</v>
      </c>
      <c r="B855">
        <v>5.45</v>
      </c>
      <c r="C855">
        <v>126.32</v>
      </c>
      <c r="D855">
        <v>2.2570000000000001</v>
      </c>
      <c r="E855">
        <v>5.44</v>
      </c>
      <c r="F855">
        <v>4.5999999999999996</v>
      </c>
      <c r="G855">
        <v>1.3</v>
      </c>
      <c r="H855">
        <v>2.52</v>
      </c>
      <c r="I855">
        <v>25.33</v>
      </c>
      <c r="J855">
        <v>14.26</v>
      </c>
      <c r="K855">
        <v>8.93</v>
      </c>
      <c r="L855">
        <v>0.8</v>
      </c>
      <c r="M855">
        <v>1.63</v>
      </c>
      <c r="N855">
        <v>0.13</v>
      </c>
      <c r="O855">
        <v>1.5</v>
      </c>
      <c r="P855">
        <v>0.39</v>
      </c>
    </row>
    <row r="856" spans="1:16" x14ac:dyDescent="0.25">
      <c r="A856" s="1">
        <v>42432</v>
      </c>
      <c r="B856">
        <v>5.62</v>
      </c>
      <c r="C856">
        <v>127.1</v>
      </c>
      <c r="D856">
        <v>2.2639999999999998</v>
      </c>
      <c r="E856">
        <v>5.7</v>
      </c>
      <c r="F856">
        <v>4.71</v>
      </c>
      <c r="G856">
        <v>1.3</v>
      </c>
      <c r="H856">
        <v>2.48</v>
      </c>
      <c r="I856">
        <v>25.5</v>
      </c>
      <c r="J856">
        <v>14.23</v>
      </c>
      <c r="K856">
        <v>9.1</v>
      </c>
      <c r="L856">
        <v>0.8</v>
      </c>
      <c r="M856">
        <v>1.67</v>
      </c>
      <c r="N856">
        <v>0.13500000000000001</v>
      </c>
      <c r="O856">
        <v>1.5</v>
      </c>
      <c r="P856">
        <v>0.40100000000000002</v>
      </c>
    </row>
    <row r="857" spans="1:16" x14ac:dyDescent="0.25">
      <c r="A857" s="1">
        <v>42433</v>
      </c>
      <c r="B857">
        <v>5.72</v>
      </c>
      <c r="C857">
        <v>129.1</v>
      </c>
      <c r="D857">
        <v>2.2639999999999998</v>
      </c>
      <c r="E857">
        <v>5.5</v>
      </c>
      <c r="F857">
        <v>4.7</v>
      </c>
      <c r="G857">
        <v>1.3</v>
      </c>
      <c r="H857">
        <v>2.6</v>
      </c>
      <c r="I857">
        <v>25.45</v>
      </c>
      <c r="J857">
        <v>14.23</v>
      </c>
      <c r="K857">
        <v>9.2200000000000006</v>
      </c>
      <c r="L857">
        <v>0.81</v>
      </c>
      <c r="M857">
        <v>1.75</v>
      </c>
      <c r="N857">
        <v>0.13900000000000001</v>
      </c>
      <c r="O857">
        <v>1.56</v>
      </c>
      <c r="P857">
        <v>0.45</v>
      </c>
    </row>
    <row r="858" spans="1:16" x14ac:dyDescent="0.25">
      <c r="A858" s="1">
        <v>42436</v>
      </c>
      <c r="B858">
        <v>5.71</v>
      </c>
      <c r="C858">
        <v>127.2</v>
      </c>
      <c r="D858">
        <v>2.286</v>
      </c>
      <c r="E858">
        <v>5.97</v>
      </c>
      <c r="F858">
        <v>4.7</v>
      </c>
      <c r="G858">
        <v>1.35</v>
      </c>
      <c r="H858">
        <v>2.65</v>
      </c>
      <c r="I858">
        <v>25.5</v>
      </c>
      <c r="J858">
        <v>13.9</v>
      </c>
      <c r="K858">
        <v>9.3800000000000008</v>
      </c>
      <c r="L858">
        <v>0.87</v>
      </c>
      <c r="M858">
        <v>1.845</v>
      </c>
      <c r="N858">
        <v>0.16</v>
      </c>
      <c r="O858">
        <v>1.65</v>
      </c>
      <c r="P858">
        <v>0.46600000000000003</v>
      </c>
    </row>
    <row r="859" spans="1:16" x14ac:dyDescent="0.25">
      <c r="A859" s="1">
        <v>42437</v>
      </c>
      <c r="B859">
        <v>5.72</v>
      </c>
      <c r="C859">
        <v>125.5</v>
      </c>
      <c r="D859">
        <v>2.3140000000000001</v>
      </c>
      <c r="E859">
        <v>5.72</v>
      </c>
      <c r="F859">
        <v>4.8499999999999996</v>
      </c>
      <c r="G859">
        <v>1.37</v>
      </c>
      <c r="H859">
        <v>2.65</v>
      </c>
      <c r="I859">
        <v>25.85</v>
      </c>
      <c r="J859">
        <v>13.79</v>
      </c>
      <c r="K859">
        <v>9.2799999999999994</v>
      </c>
      <c r="L859">
        <v>0.84</v>
      </c>
      <c r="M859">
        <v>1.7669999999999999</v>
      </c>
      <c r="N859">
        <v>0.17</v>
      </c>
      <c r="O859">
        <v>1.66</v>
      </c>
      <c r="P859">
        <v>0.45500000000000002</v>
      </c>
    </row>
    <row r="860" spans="1:16" x14ac:dyDescent="0.25">
      <c r="A860" s="1">
        <v>42438</v>
      </c>
      <c r="B860">
        <v>5.73</v>
      </c>
      <c r="C860">
        <v>129</v>
      </c>
      <c r="D860">
        <v>2.3140000000000001</v>
      </c>
      <c r="E860">
        <v>5.75</v>
      </c>
      <c r="F860">
        <v>4.95</v>
      </c>
      <c r="G860">
        <v>1.45</v>
      </c>
      <c r="H860">
        <v>2.85</v>
      </c>
      <c r="I860">
        <v>25.6</v>
      </c>
      <c r="J860">
        <v>13.79</v>
      </c>
      <c r="K860">
        <v>9.35</v>
      </c>
      <c r="L860">
        <v>0.86</v>
      </c>
      <c r="M860">
        <v>1.806</v>
      </c>
      <c r="N860">
        <v>0.185</v>
      </c>
      <c r="O860">
        <v>1.7</v>
      </c>
      <c r="P860">
        <v>0.45500000000000002</v>
      </c>
    </row>
    <row r="861" spans="1:16" x14ac:dyDescent="0.25">
      <c r="A861" s="1">
        <v>42439</v>
      </c>
      <c r="B861">
        <v>5.7</v>
      </c>
      <c r="C861">
        <v>129</v>
      </c>
      <c r="D861">
        <v>2.3140000000000001</v>
      </c>
      <c r="E861">
        <v>5.8</v>
      </c>
      <c r="F861">
        <v>5.04</v>
      </c>
      <c r="G861">
        <v>1.46</v>
      </c>
      <c r="H861">
        <v>2.75</v>
      </c>
      <c r="I861">
        <v>25.45</v>
      </c>
      <c r="J861">
        <v>13.5</v>
      </c>
      <c r="K861">
        <v>9.35</v>
      </c>
      <c r="L861">
        <v>0.85</v>
      </c>
      <c r="M861">
        <v>1.7569999999999999</v>
      </c>
      <c r="N861">
        <v>0.18</v>
      </c>
      <c r="O861">
        <v>1.78</v>
      </c>
      <c r="P861">
        <v>0.45500000000000002</v>
      </c>
    </row>
    <row r="862" spans="1:16" x14ac:dyDescent="0.25">
      <c r="A862" s="1">
        <v>42440</v>
      </c>
      <c r="B862">
        <v>5.65</v>
      </c>
      <c r="C862">
        <v>129.19999999999999</v>
      </c>
      <c r="D862">
        <v>2.35</v>
      </c>
      <c r="E862">
        <v>5.68</v>
      </c>
      <c r="F862">
        <v>5</v>
      </c>
      <c r="G862">
        <v>1.47</v>
      </c>
      <c r="H862">
        <v>2.75</v>
      </c>
      <c r="I862">
        <v>25.5</v>
      </c>
      <c r="J862">
        <v>13.75</v>
      </c>
      <c r="K862">
        <v>9.4</v>
      </c>
      <c r="L862">
        <v>0.87</v>
      </c>
      <c r="M862">
        <v>1.796</v>
      </c>
      <c r="N862">
        <v>0.2</v>
      </c>
      <c r="O862">
        <v>1.83</v>
      </c>
      <c r="P862">
        <v>0.47</v>
      </c>
    </row>
    <row r="863" spans="1:16" x14ac:dyDescent="0.25">
      <c r="A863" s="1">
        <v>42443</v>
      </c>
      <c r="B863">
        <v>5.72</v>
      </c>
      <c r="C863">
        <v>129.5</v>
      </c>
      <c r="D863">
        <v>2.3639999999999999</v>
      </c>
      <c r="E863">
        <v>5.35</v>
      </c>
      <c r="F863">
        <v>5</v>
      </c>
      <c r="G863">
        <v>1.49</v>
      </c>
      <c r="H863">
        <v>2.75</v>
      </c>
      <c r="I863">
        <v>25.5</v>
      </c>
      <c r="J863">
        <v>13.75</v>
      </c>
      <c r="K863">
        <v>9.4</v>
      </c>
      <c r="L863">
        <v>0.9</v>
      </c>
      <c r="M863">
        <v>1.796</v>
      </c>
      <c r="N863">
        <v>0.215</v>
      </c>
      <c r="O863">
        <v>1.85</v>
      </c>
      <c r="P863">
        <v>0.48</v>
      </c>
    </row>
    <row r="864" spans="1:16" x14ac:dyDescent="0.25">
      <c r="A864" s="1">
        <v>42444</v>
      </c>
      <c r="B864">
        <v>5.72</v>
      </c>
      <c r="C864">
        <v>127.3</v>
      </c>
      <c r="D864">
        <v>2.3849999999999998</v>
      </c>
      <c r="E864">
        <v>5.15</v>
      </c>
      <c r="F864">
        <v>4.95</v>
      </c>
      <c r="G864">
        <v>1.48</v>
      </c>
      <c r="H864">
        <v>2.5299999999999998</v>
      </c>
      <c r="I864">
        <v>25.5</v>
      </c>
      <c r="J864">
        <v>14.1</v>
      </c>
      <c r="K864">
        <v>9.4</v>
      </c>
      <c r="L864">
        <v>0.86</v>
      </c>
      <c r="M864">
        <v>1.718</v>
      </c>
      <c r="N864">
        <v>0.20300000000000001</v>
      </c>
      <c r="O864">
        <v>1.85</v>
      </c>
      <c r="P864">
        <v>0.46</v>
      </c>
    </row>
    <row r="865" spans="1:16" x14ac:dyDescent="0.25">
      <c r="A865" s="1">
        <v>42445</v>
      </c>
      <c r="B865">
        <v>5.75</v>
      </c>
      <c r="C865">
        <v>126.9</v>
      </c>
      <c r="D865">
        <v>2.371</v>
      </c>
      <c r="E865">
        <v>5.65</v>
      </c>
      <c r="F865">
        <v>5</v>
      </c>
      <c r="G865">
        <v>1.47</v>
      </c>
      <c r="H865">
        <v>2.68</v>
      </c>
      <c r="I865">
        <v>25.4</v>
      </c>
      <c r="J865">
        <v>14.51</v>
      </c>
      <c r="K865">
        <v>9.69</v>
      </c>
      <c r="L865">
        <v>0.88</v>
      </c>
      <c r="M865">
        <v>1.7569999999999999</v>
      </c>
      <c r="N865">
        <v>0.20499999999999999</v>
      </c>
      <c r="O865">
        <v>1.8</v>
      </c>
      <c r="P865">
        <v>0.46700000000000003</v>
      </c>
    </row>
    <row r="866" spans="1:16" x14ac:dyDescent="0.25">
      <c r="A866" s="1">
        <v>42446</v>
      </c>
      <c r="B866">
        <v>5.79</v>
      </c>
      <c r="C866">
        <v>132.69999999999999</v>
      </c>
      <c r="D866">
        <v>2.4569999999999999</v>
      </c>
      <c r="E866">
        <v>5.86</v>
      </c>
      <c r="F866">
        <v>5</v>
      </c>
      <c r="G866">
        <v>1.47</v>
      </c>
      <c r="H866">
        <v>2.79</v>
      </c>
      <c r="I866">
        <v>25.4</v>
      </c>
      <c r="J866">
        <v>14.7</v>
      </c>
      <c r="K866">
        <v>10.199999999999999</v>
      </c>
      <c r="L866">
        <v>0.94</v>
      </c>
      <c r="M866">
        <v>1.7769999999999999</v>
      </c>
      <c r="N866">
        <v>0.21299999999999999</v>
      </c>
      <c r="O866">
        <v>1.86</v>
      </c>
      <c r="P866">
        <v>0.46700000000000003</v>
      </c>
    </row>
    <row r="867" spans="1:16" x14ac:dyDescent="0.25">
      <c r="A867" s="1">
        <v>42447</v>
      </c>
      <c r="B867">
        <v>5.95</v>
      </c>
      <c r="C867">
        <v>133.44999999999999</v>
      </c>
      <c r="D867">
        <v>2.528</v>
      </c>
      <c r="E867">
        <v>6.02</v>
      </c>
      <c r="F867">
        <v>5.35</v>
      </c>
      <c r="G867">
        <v>1.46</v>
      </c>
      <c r="H867">
        <v>2.82</v>
      </c>
      <c r="I867">
        <v>25.8</v>
      </c>
      <c r="J867">
        <v>15.81</v>
      </c>
      <c r="K867">
        <v>10.9</v>
      </c>
      <c r="L867">
        <v>1.05</v>
      </c>
      <c r="M867">
        <v>1.87</v>
      </c>
      <c r="N867">
        <v>0.23799999999999999</v>
      </c>
      <c r="O867">
        <v>2.0499999999999998</v>
      </c>
      <c r="P867">
        <v>0.52</v>
      </c>
    </row>
    <row r="868" spans="1:16" x14ac:dyDescent="0.25">
      <c r="A868" s="1">
        <v>42450</v>
      </c>
      <c r="B868">
        <v>5.97</v>
      </c>
      <c r="C868">
        <v>131.5</v>
      </c>
      <c r="D868">
        <v>2.5630000000000002</v>
      </c>
      <c r="E868">
        <v>6.05</v>
      </c>
      <c r="F868">
        <v>5.36</v>
      </c>
      <c r="G868">
        <v>1.45</v>
      </c>
      <c r="H868">
        <v>2.82</v>
      </c>
      <c r="I868">
        <v>25.6</v>
      </c>
      <c r="J868">
        <v>15.6</v>
      </c>
      <c r="K868">
        <v>10.95</v>
      </c>
      <c r="L868">
        <v>1.05</v>
      </c>
      <c r="M868">
        <v>2.16</v>
      </c>
      <c r="N868">
        <v>0.23699999999999999</v>
      </c>
      <c r="O868">
        <v>2.1800000000000002</v>
      </c>
      <c r="P868">
        <v>0.55000000000000004</v>
      </c>
    </row>
    <row r="869" spans="1:16" x14ac:dyDescent="0.25">
      <c r="A869" s="1">
        <v>42451</v>
      </c>
      <c r="B869">
        <v>6</v>
      </c>
      <c r="C869">
        <v>128.65</v>
      </c>
      <c r="D869">
        <v>2.5990000000000002</v>
      </c>
      <c r="E869">
        <v>6.35</v>
      </c>
      <c r="F869">
        <v>5.15</v>
      </c>
      <c r="G869">
        <v>1.47</v>
      </c>
      <c r="H869">
        <v>2.8</v>
      </c>
      <c r="I869">
        <v>25</v>
      </c>
      <c r="J869">
        <v>15.6</v>
      </c>
      <c r="K869">
        <v>10.94</v>
      </c>
      <c r="L869">
        <v>1.05</v>
      </c>
      <c r="M869">
        <v>2.25</v>
      </c>
      <c r="N869">
        <v>0.23799999999999999</v>
      </c>
      <c r="O869">
        <v>2.15</v>
      </c>
      <c r="P869">
        <v>0.54</v>
      </c>
    </row>
    <row r="870" spans="1:16" x14ac:dyDescent="0.25">
      <c r="A870" s="1">
        <v>42452</v>
      </c>
      <c r="B870">
        <v>6</v>
      </c>
      <c r="C870">
        <v>126.05</v>
      </c>
      <c r="D870">
        <v>2.5630000000000002</v>
      </c>
      <c r="E870">
        <v>6.3</v>
      </c>
      <c r="F870">
        <v>5.15</v>
      </c>
      <c r="G870">
        <v>1.47</v>
      </c>
      <c r="H870">
        <v>2.75</v>
      </c>
      <c r="I870">
        <v>24.5</v>
      </c>
      <c r="J870">
        <v>15.6</v>
      </c>
      <c r="K870">
        <v>10.9</v>
      </c>
      <c r="L870">
        <v>0.97</v>
      </c>
      <c r="M870">
        <v>2.16</v>
      </c>
      <c r="N870">
        <v>0.218</v>
      </c>
      <c r="O870">
        <v>2.2400000000000002</v>
      </c>
      <c r="P870">
        <v>0.52</v>
      </c>
    </row>
    <row r="871" spans="1:16" x14ac:dyDescent="0.25">
      <c r="A871" s="1">
        <v>42457</v>
      </c>
      <c r="B871">
        <v>6</v>
      </c>
      <c r="C871">
        <v>123.63</v>
      </c>
      <c r="D871">
        <v>2.5630000000000002</v>
      </c>
      <c r="E871">
        <v>6.25</v>
      </c>
      <c r="F871">
        <v>5.14</v>
      </c>
      <c r="G871">
        <v>1.47</v>
      </c>
      <c r="H871">
        <v>2.7</v>
      </c>
      <c r="I871">
        <v>24.5</v>
      </c>
      <c r="J871">
        <v>15.6</v>
      </c>
      <c r="K871">
        <v>10.78</v>
      </c>
      <c r="L871">
        <v>0.97</v>
      </c>
      <c r="M871">
        <v>2.14</v>
      </c>
      <c r="N871">
        <v>0.222</v>
      </c>
      <c r="O871">
        <v>2.17</v>
      </c>
      <c r="P871">
        <v>0.53</v>
      </c>
    </row>
    <row r="872" spans="1:16" x14ac:dyDescent="0.25">
      <c r="A872" s="1">
        <v>42458</v>
      </c>
      <c r="B872">
        <v>5.9</v>
      </c>
      <c r="C872">
        <v>126</v>
      </c>
      <c r="D872">
        <v>2.5630000000000002</v>
      </c>
      <c r="E872">
        <v>6.96</v>
      </c>
      <c r="F872">
        <v>5.0999999999999996</v>
      </c>
      <c r="G872">
        <v>1.46</v>
      </c>
      <c r="H872">
        <v>2.74</v>
      </c>
      <c r="I872">
        <v>24</v>
      </c>
      <c r="J872">
        <v>15.65</v>
      </c>
      <c r="K872">
        <v>10.78</v>
      </c>
      <c r="L872">
        <v>0.97</v>
      </c>
      <c r="M872">
        <v>2.0499999999999998</v>
      </c>
      <c r="N872">
        <v>0.22500000000000001</v>
      </c>
      <c r="O872">
        <v>2.17</v>
      </c>
      <c r="P872">
        <v>0.52</v>
      </c>
    </row>
    <row r="873" spans="1:16" x14ac:dyDescent="0.25">
      <c r="A873" s="1">
        <v>42459</v>
      </c>
      <c r="B873">
        <v>6</v>
      </c>
      <c r="C873">
        <v>130.65</v>
      </c>
      <c r="D873">
        <v>2.492</v>
      </c>
      <c r="E873">
        <v>7.3</v>
      </c>
      <c r="F873">
        <v>5.0999999999999996</v>
      </c>
      <c r="G873">
        <v>1.45</v>
      </c>
      <c r="H873">
        <v>2.8</v>
      </c>
      <c r="I873">
        <v>24.9</v>
      </c>
      <c r="J873">
        <v>16.100000000000001</v>
      </c>
      <c r="K873">
        <v>10.49</v>
      </c>
      <c r="L873">
        <v>1.02</v>
      </c>
      <c r="M873">
        <v>2.08</v>
      </c>
      <c r="N873">
        <v>0.24</v>
      </c>
      <c r="O873">
        <v>2.25</v>
      </c>
      <c r="P873">
        <v>0.53</v>
      </c>
    </row>
    <row r="874" spans="1:16" x14ac:dyDescent="0.25">
      <c r="A874" s="1">
        <v>42460</v>
      </c>
      <c r="B874">
        <v>6</v>
      </c>
      <c r="C874">
        <v>130.69999999999999</v>
      </c>
      <c r="D874">
        <v>2.492</v>
      </c>
      <c r="E874">
        <v>7.39</v>
      </c>
      <c r="F874">
        <v>5.2</v>
      </c>
      <c r="G874">
        <v>1.47</v>
      </c>
      <c r="H874">
        <v>2.75</v>
      </c>
      <c r="I874">
        <v>25.84</v>
      </c>
      <c r="J874">
        <v>16.850000000000001</v>
      </c>
      <c r="K874">
        <v>9.9</v>
      </c>
      <c r="L874">
        <v>1.03</v>
      </c>
      <c r="M874">
        <v>2.1</v>
      </c>
      <c r="N874">
        <v>0.25800000000000001</v>
      </c>
      <c r="O874">
        <v>2.25</v>
      </c>
      <c r="P874">
        <v>0.54</v>
      </c>
    </row>
    <row r="875" spans="1:16" x14ac:dyDescent="0.25">
      <c r="A875" s="1">
        <v>42461</v>
      </c>
      <c r="B875">
        <v>6</v>
      </c>
      <c r="C875">
        <v>127.55</v>
      </c>
      <c r="D875">
        <v>2.4209999999999998</v>
      </c>
      <c r="E875">
        <v>7.51</v>
      </c>
      <c r="F875">
        <v>5.0999999999999996</v>
      </c>
      <c r="G875">
        <v>1.45</v>
      </c>
      <c r="H875">
        <v>2.8</v>
      </c>
      <c r="I875">
        <v>25</v>
      </c>
      <c r="J875">
        <v>16.45</v>
      </c>
      <c r="K875">
        <v>9.68</v>
      </c>
      <c r="L875">
        <v>0.95</v>
      </c>
      <c r="M875">
        <v>2.02</v>
      </c>
      <c r="N875">
        <v>0.24</v>
      </c>
      <c r="O875">
        <v>2.25</v>
      </c>
      <c r="P875">
        <v>0.49</v>
      </c>
    </row>
    <row r="876" spans="1:16" x14ac:dyDescent="0.25">
      <c r="A876" s="1">
        <v>42464</v>
      </c>
      <c r="B876">
        <v>5.98</v>
      </c>
      <c r="C876">
        <v>120.76</v>
      </c>
      <c r="D876">
        <v>2.2639999999999998</v>
      </c>
      <c r="E876">
        <v>7.22</v>
      </c>
      <c r="F876">
        <v>4.95</v>
      </c>
      <c r="G876">
        <v>1.45</v>
      </c>
      <c r="H876">
        <v>2.75</v>
      </c>
      <c r="I876">
        <v>25</v>
      </c>
      <c r="J876">
        <v>16.2</v>
      </c>
      <c r="K876">
        <v>9.68</v>
      </c>
      <c r="L876">
        <v>0.95</v>
      </c>
      <c r="M876">
        <v>2.02</v>
      </c>
      <c r="N876">
        <v>0.22900000000000001</v>
      </c>
      <c r="O876">
        <v>2.2000000000000002</v>
      </c>
      <c r="P876">
        <v>0.42499999999999999</v>
      </c>
    </row>
    <row r="877" spans="1:16" x14ac:dyDescent="0.25">
      <c r="A877" s="1">
        <v>42465</v>
      </c>
      <c r="B877">
        <v>6</v>
      </c>
      <c r="C877">
        <v>123.84</v>
      </c>
      <c r="D877">
        <v>2.2429999999999999</v>
      </c>
      <c r="E877">
        <v>7.9</v>
      </c>
      <c r="F877">
        <v>4.93</v>
      </c>
      <c r="G877">
        <v>1.42</v>
      </c>
      <c r="H877">
        <v>2.83</v>
      </c>
      <c r="I877">
        <v>24.58</v>
      </c>
      <c r="J877">
        <v>16.2</v>
      </c>
      <c r="K877">
        <v>9.5500000000000007</v>
      </c>
      <c r="L877">
        <v>0.92</v>
      </c>
      <c r="M877">
        <v>1.95</v>
      </c>
      <c r="N877">
        <v>0.222</v>
      </c>
      <c r="O877">
        <v>2.1</v>
      </c>
      <c r="P877">
        <v>0.45</v>
      </c>
    </row>
    <row r="878" spans="1:16" x14ac:dyDescent="0.25">
      <c r="A878" s="1">
        <v>42466</v>
      </c>
      <c r="B878">
        <v>5.95</v>
      </c>
      <c r="C878">
        <v>122.88</v>
      </c>
      <c r="D878">
        <v>2.2429999999999999</v>
      </c>
      <c r="E878">
        <v>7.72</v>
      </c>
      <c r="F878">
        <v>4.9000000000000004</v>
      </c>
      <c r="G878">
        <v>1.4</v>
      </c>
      <c r="H878">
        <v>2.75</v>
      </c>
      <c r="I878">
        <v>24.5</v>
      </c>
      <c r="J878">
        <v>15.85</v>
      </c>
      <c r="K878">
        <v>9.5500000000000007</v>
      </c>
      <c r="L878">
        <v>0.87</v>
      </c>
      <c r="M878">
        <v>1.95</v>
      </c>
      <c r="N878">
        <v>0.20399999999999999</v>
      </c>
      <c r="O878">
        <v>1.98</v>
      </c>
      <c r="P878">
        <v>0.42</v>
      </c>
    </row>
    <row r="879" spans="1:16" x14ac:dyDescent="0.25">
      <c r="A879" s="1">
        <v>42467</v>
      </c>
      <c r="B879">
        <v>5.85</v>
      </c>
      <c r="C879">
        <v>120.02</v>
      </c>
      <c r="D879">
        <v>2.15</v>
      </c>
      <c r="E879">
        <v>7.65</v>
      </c>
      <c r="F879">
        <v>4.6500000000000004</v>
      </c>
      <c r="G879">
        <v>1.33</v>
      </c>
      <c r="H879">
        <v>2.7</v>
      </c>
      <c r="I879">
        <v>24.25</v>
      </c>
      <c r="J879">
        <v>15</v>
      </c>
      <c r="K879">
        <v>9.2040000000000006</v>
      </c>
      <c r="L879">
        <v>0.8</v>
      </c>
      <c r="M879">
        <v>1.79</v>
      </c>
      <c r="N879">
        <v>0.188</v>
      </c>
      <c r="O879">
        <v>1.89</v>
      </c>
      <c r="P879">
        <v>0.38300000000000001</v>
      </c>
    </row>
    <row r="880" spans="1:16" x14ac:dyDescent="0.25">
      <c r="A880" s="1">
        <v>42468</v>
      </c>
      <c r="B880">
        <v>5.8</v>
      </c>
      <c r="C880">
        <v>123.66</v>
      </c>
      <c r="D880">
        <v>2.2789999999999999</v>
      </c>
      <c r="E880">
        <v>7.81</v>
      </c>
      <c r="F880">
        <v>4.7</v>
      </c>
      <c r="G880">
        <v>1.42</v>
      </c>
      <c r="H880">
        <v>2.77</v>
      </c>
      <c r="I880">
        <v>24</v>
      </c>
      <c r="J880">
        <v>15.1</v>
      </c>
      <c r="K880">
        <v>9.0749999999999993</v>
      </c>
      <c r="L880">
        <v>0.86</v>
      </c>
      <c r="M880">
        <v>2.02</v>
      </c>
      <c r="N880">
        <v>0.21199999999999999</v>
      </c>
      <c r="O880">
        <v>2</v>
      </c>
      <c r="P880">
        <v>0.45500000000000002</v>
      </c>
    </row>
    <row r="881" spans="1:16" x14ac:dyDescent="0.25">
      <c r="A881" s="1">
        <v>42471</v>
      </c>
      <c r="B881">
        <v>6.4470000000000001</v>
      </c>
      <c r="C881">
        <v>136.75</v>
      </c>
      <c r="D881">
        <v>2.5489999999999999</v>
      </c>
      <c r="E881">
        <v>8.3000000000000007</v>
      </c>
      <c r="F881">
        <v>5.4</v>
      </c>
      <c r="G881">
        <v>1.5209999999999999</v>
      </c>
      <c r="H881">
        <v>3.1659999999999999</v>
      </c>
      <c r="I881">
        <v>26.85</v>
      </c>
      <c r="J881">
        <v>16.8</v>
      </c>
      <c r="K881">
        <v>10.292999999999999</v>
      </c>
      <c r="L881">
        <v>1.03</v>
      </c>
      <c r="M881">
        <v>2.3199999999999998</v>
      </c>
      <c r="N881">
        <v>0.24</v>
      </c>
      <c r="O881">
        <v>2.35</v>
      </c>
      <c r="P881">
        <v>0.56999999999999995</v>
      </c>
    </row>
    <row r="882" spans="1:16" x14ac:dyDescent="0.25">
      <c r="A882" s="1">
        <v>42472</v>
      </c>
      <c r="B882">
        <v>6.5460000000000003</v>
      </c>
      <c r="C882">
        <v>142.16</v>
      </c>
      <c r="D882">
        <v>2.67</v>
      </c>
      <c r="E882">
        <v>8.5500000000000007</v>
      </c>
      <c r="F882">
        <v>5.55</v>
      </c>
      <c r="G882">
        <v>1.569</v>
      </c>
      <c r="H882">
        <v>3.5710000000000002</v>
      </c>
      <c r="I882">
        <v>28</v>
      </c>
      <c r="J882">
        <v>17</v>
      </c>
      <c r="K882">
        <v>10.54</v>
      </c>
      <c r="L882">
        <v>1.06</v>
      </c>
      <c r="M882">
        <v>2.2999999999999998</v>
      </c>
      <c r="N882">
        <v>0.24399999999999999</v>
      </c>
      <c r="O882">
        <v>2.5</v>
      </c>
      <c r="P882">
        <v>0.56000000000000005</v>
      </c>
    </row>
    <row r="883" spans="1:16" x14ac:dyDescent="0.25">
      <c r="A883" s="1">
        <v>42473</v>
      </c>
      <c r="B883">
        <v>6.6950000000000003</v>
      </c>
      <c r="C883">
        <v>140.68</v>
      </c>
      <c r="D883">
        <v>2.72</v>
      </c>
      <c r="E883">
        <v>8.5</v>
      </c>
      <c r="F883">
        <v>5.6</v>
      </c>
      <c r="G883">
        <v>1.5880000000000001</v>
      </c>
      <c r="H883">
        <v>3.7890000000000001</v>
      </c>
      <c r="I883">
        <v>28.1</v>
      </c>
      <c r="J883">
        <v>17</v>
      </c>
      <c r="K883">
        <v>10.65</v>
      </c>
      <c r="L883">
        <v>1.1100000000000001</v>
      </c>
      <c r="M883">
        <v>2.36</v>
      </c>
      <c r="N883">
        <v>0.23300000000000001</v>
      </c>
      <c r="O883">
        <v>2.5499999999999998</v>
      </c>
      <c r="P883">
        <v>0.59</v>
      </c>
    </row>
    <row r="884" spans="1:16" x14ac:dyDescent="0.25">
      <c r="A884" s="1">
        <v>42474</v>
      </c>
      <c r="B884">
        <v>6.5960000000000001</v>
      </c>
      <c r="C884">
        <v>139.9</v>
      </c>
      <c r="D884">
        <v>2.5990000000000002</v>
      </c>
      <c r="E884">
        <v>7.99</v>
      </c>
      <c r="F884">
        <v>5.5</v>
      </c>
      <c r="G884">
        <v>1.5589999999999999</v>
      </c>
      <c r="H884">
        <v>3.8580000000000001</v>
      </c>
      <c r="I884">
        <v>27.5</v>
      </c>
      <c r="J884">
        <v>16.5</v>
      </c>
      <c r="K884">
        <v>10.43</v>
      </c>
      <c r="L884">
        <v>1.1000000000000001</v>
      </c>
      <c r="M884">
        <v>2.36</v>
      </c>
      <c r="N884">
        <v>0.23899999999999999</v>
      </c>
      <c r="O884">
        <v>2.46</v>
      </c>
      <c r="P884">
        <v>0.57999999999999996</v>
      </c>
    </row>
    <row r="885" spans="1:16" x14ac:dyDescent="0.25">
      <c r="A885" s="1">
        <v>42475</v>
      </c>
      <c r="B885">
        <v>6.5960000000000001</v>
      </c>
      <c r="C885">
        <v>139.1</v>
      </c>
      <c r="D885">
        <v>2.609</v>
      </c>
      <c r="E885">
        <v>8.1</v>
      </c>
      <c r="F885">
        <v>5.55</v>
      </c>
      <c r="G885">
        <v>1.569</v>
      </c>
      <c r="H885">
        <v>4.0759999999999996</v>
      </c>
      <c r="I885">
        <v>27</v>
      </c>
      <c r="J885">
        <v>16.25</v>
      </c>
      <c r="K885">
        <v>10.43</v>
      </c>
      <c r="L885">
        <v>1.1299999999999999</v>
      </c>
      <c r="M885">
        <v>2.36</v>
      </c>
      <c r="N885">
        <v>0.24299999999999999</v>
      </c>
      <c r="O885">
        <v>2.5</v>
      </c>
      <c r="P885">
        <v>0.63</v>
      </c>
    </row>
    <row r="886" spans="1:16" x14ac:dyDescent="0.25">
      <c r="A886" s="1">
        <v>42478</v>
      </c>
      <c r="B886">
        <v>6.7450000000000001</v>
      </c>
      <c r="C886">
        <v>140</v>
      </c>
      <c r="D886">
        <v>2.5339999999999998</v>
      </c>
      <c r="E886">
        <v>8</v>
      </c>
      <c r="F886">
        <v>5.65</v>
      </c>
      <c r="G886">
        <v>1.6160000000000001</v>
      </c>
      <c r="H886">
        <v>4.3029999999999999</v>
      </c>
      <c r="I886">
        <v>25.890999999999998</v>
      </c>
      <c r="J886">
        <v>17.010000000000002</v>
      </c>
      <c r="K886">
        <v>10.4</v>
      </c>
      <c r="L886">
        <v>1.1599999999999999</v>
      </c>
      <c r="M886">
        <v>2.35</v>
      </c>
      <c r="N886">
        <v>0.25900000000000001</v>
      </c>
      <c r="O886">
        <v>2.6</v>
      </c>
      <c r="P886">
        <v>0.65</v>
      </c>
    </row>
    <row r="887" spans="1:16" x14ac:dyDescent="0.25">
      <c r="A887" s="1">
        <v>42479</v>
      </c>
      <c r="B887">
        <v>6.7450000000000001</v>
      </c>
      <c r="C887">
        <v>142</v>
      </c>
      <c r="D887">
        <v>2.5640000000000001</v>
      </c>
      <c r="E887">
        <v>8.1999999999999993</v>
      </c>
      <c r="F887">
        <v>5.95</v>
      </c>
      <c r="G887">
        <v>1.7110000000000001</v>
      </c>
      <c r="H887">
        <v>4.95</v>
      </c>
      <c r="I887">
        <v>26.760999999999999</v>
      </c>
      <c r="J887">
        <v>17</v>
      </c>
      <c r="K887">
        <v>10.24</v>
      </c>
      <c r="L887">
        <v>1.28</v>
      </c>
      <c r="M887">
        <v>2.37</v>
      </c>
      <c r="N887">
        <v>0.26800000000000002</v>
      </c>
      <c r="O887">
        <v>2.75</v>
      </c>
      <c r="P887">
        <v>0.66</v>
      </c>
    </row>
    <row r="888" spans="1:16" x14ac:dyDescent="0.25">
      <c r="A888" s="1">
        <v>42480</v>
      </c>
      <c r="B888">
        <v>6.5960000000000001</v>
      </c>
      <c r="C888">
        <v>143.80000000000001</v>
      </c>
      <c r="D888">
        <v>2.5419999999999998</v>
      </c>
      <c r="E888">
        <v>8.15</v>
      </c>
      <c r="F888">
        <v>5.89</v>
      </c>
      <c r="G888">
        <v>1.65</v>
      </c>
      <c r="H888">
        <v>4.8499999999999996</v>
      </c>
      <c r="I888">
        <v>27.085999999999999</v>
      </c>
      <c r="J888">
        <v>17</v>
      </c>
      <c r="K888">
        <v>10.199999999999999</v>
      </c>
      <c r="L888">
        <v>1.24</v>
      </c>
      <c r="M888">
        <v>2.4</v>
      </c>
      <c r="N888">
        <v>0.26</v>
      </c>
      <c r="O888">
        <v>2.8</v>
      </c>
      <c r="P888">
        <v>0.65</v>
      </c>
    </row>
    <row r="889" spans="1:16" x14ac:dyDescent="0.25">
      <c r="A889" s="1">
        <v>42481</v>
      </c>
      <c r="B889">
        <v>6.42</v>
      </c>
      <c r="C889">
        <v>143.5</v>
      </c>
      <c r="D889">
        <v>2.5419999999999998</v>
      </c>
      <c r="E889">
        <v>8.61</v>
      </c>
      <c r="F889">
        <v>5.85</v>
      </c>
      <c r="G889">
        <v>1.6</v>
      </c>
      <c r="H889">
        <v>4.79</v>
      </c>
      <c r="I889">
        <v>27.324999999999999</v>
      </c>
      <c r="J889">
        <v>16.75</v>
      </c>
      <c r="K889">
        <v>10.5</v>
      </c>
      <c r="L889">
        <v>1.21</v>
      </c>
      <c r="M889">
        <v>2.41</v>
      </c>
      <c r="N889">
        <v>0.26</v>
      </c>
      <c r="O889">
        <v>2.85</v>
      </c>
      <c r="P889">
        <v>0.65</v>
      </c>
    </row>
    <row r="890" spans="1:16" x14ac:dyDescent="0.25">
      <c r="A890" s="1">
        <v>42482</v>
      </c>
      <c r="B890">
        <v>6.33</v>
      </c>
      <c r="C890">
        <v>143</v>
      </c>
      <c r="D890">
        <v>2.5419999999999998</v>
      </c>
      <c r="E890">
        <v>8.4499999999999993</v>
      </c>
      <c r="F890">
        <v>5.8</v>
      </c>
      <c r="G890">
        <v>1.58</v>
      </c>
      <c r="H890">
        <v>4.5</v>
      </c>
      <c r="I890">
        <v>27.468</v>
      </c>
      <c r="J890">
        <v>16.75</v>
      </c>
      <c r="K890">
        <v>10.6</v>
      </c>
      <c r="L890">
        <v>1.19</v>
      </c>
      <c r="M890">
        <v>2.38</v>
      </c>
      <c r="N890">
        <v>0.25900000000000001</v>
      </c>
      <c r="O890">
        <v>2.8</v>
      </c>
      <c r="P890">
        <v>0.64</v>
      </c>
    </row>
    <row r="891" spans="1:16" x14ac:dyDescent="0.25">
      <c r="A891" s="1">
        <v>42485</v>
      </c>
      <c r="B891">
        <v>6.28</v>
      </c>
      <c r="C891">
        <v>141.5</v>
      </c>
      <c r="D891">
        <v>2.5419999999999998</v>
      </c>
      <c r="E891">
        <v>8.4499999999999993</v>
      </c>
      <c r="F891">
        <v>5.68</v>
      </c>
      <c r="G891">
        <v>1.58</v>
      </c>
      <c r="H891">
        <v>4.55</v>
      </c>
      <c r="I891">
        <v>27.468</v>
      </c>
      <c r="J891">
        <v>16.75</v>
      </c>
      <c r="K891">
        <v>10.52</v>
      </c>
      <c r="L891">
        <v>1.18</v>
      </c>
      <c r="M891">
        <v>2.37</v>
      </c>
      <c r="N891">
        <v>0.26</v>
      </c>
      <c r="O891">
        <v>2.7</v>
      </c>
      <c r="P891">
        <v>0.63</v>
      </c>
    </row>
    <row r="892" spans="1:16" x14ac:dyDescent="0.25">
      <c r="A892" s="1">
        <v>42486</v>
      </c>
      <c r="B892">
        <v>6.26</v>
      </c>
      <c r="C892">
        <v>142.62</v>
      </c>
      <c r="D892">
        <v>2.609</v>
      </c>
      <c r="E892">
        <v>8.82</v>
      </c>
      <c r="F892">
        <v>5.75</v>
      </c>
      <c r="G892">
        <v>1.54</v>
      </c>
      <c r="H892">
        <v>4.55</v>
      </c>
      <c r="I892">
        <v>27.707000000000001</v>
      </c>
      <c r="J892">
        <v>16.8</v>
      </c>
      <c r="K892">
        <v>10.52</v>
      </c>
      <c r="L892">
        <v>1.22</v>
      </c>
      <c r="M892">
        <v>2.41</v>
      </c>
      <c r="N892">
        <v>0.27</v>
      </c>
      <c r="O892">
        <v>2.65</v>
      </c>
      <c r="P892">
        <v>0.64</v>
      </c>
    </row>
    <row r="893" spans="1:16" x14ac:dyDescent="0.25">
      <c r="A893" s="1">
        <v>42487</v>
      </c>
      <c r="B893">
        <v>6.3</v>
      </c>
      <c r="C893">
        <v>145.4</v>
      </c>
      <c r="D893">
        <v>2.6459999999999999</v>
      </c>
      <c r="E893">
        <v>8.98</v>
      </c>
      <c r="F893">
        <v>5.75</v>
      </c>
      <c r="G893">
        <v>1.58</v>
      </c>
      <c r="H893">
        <v>4.7</v>
      </c>
      <c r="I893">
        <v>27.85</v>
      </c>
      <c r="J893">
        <v>16.75</v>
      </c>
      <c r="K893">
        <v>10.65</v>
      </c>
      <c r="L893">
        <v>1.23</v>
      </c>
      <c r="M893">
        <v>2.41</v>
      </c>
      <c r="N893">
        <v>0.26200000000000001</v>
      </c>
      <c r="O893">
        <v>2.7</v>
      </c>
      <c r="P893">
        <v>0.63</v>
      </c>
    </row>
    <row r="894" spans="1:16" x14ac:dyDescent="0.25">
      <c r="A894" s="1">
        <v>42488</v>
      </c>
      <c r="B894">
        <v>6.25</v>
      </c>
      <c r="C894">
        <v>144.87</v>
      </c>
      <c r="D894">
        <v>2.7949999999999999</v>
      </c>
      <c r="E894">
        <v>9.26</v>
      </c>
      <c r="F894">
        <v>5.8</v>
      </c>
      <c r="G894">
        <v>1.7</v>
      </c>
      <c r="H894">
        <v>4.78</v>
      </c>
      <c r="I894">
        <v>27.8</v>
      </c>
      <c r="J894">
        <v>17</v>
      </c>
      <c r="K894">
        <v>10.8</v>
      </c>
      <c r="L894">
        <v>1.26</v>
      </c>
      <c r="M894">
        <v>2.4500000000000002</v>
      </c>
      <c r="N894">
        <v>0.246</v>
      </c>
      <c r="O894">
        <v>2.66</v>
      </c>
      <c r="P894">
        <v>0.63</v>
      </c>
    </row>
    <row r="895" spans="1:16" x14ac:dyDescent="0.25">
      <c r="A895" s="1">
        <v>42489</v>
      </c>
      <c r="B895">
        <v>6.23</v>
      </c>
      <c r="C895">
        <v>145.07</v>
      </c>
      <c r="D895">
        <v>2.7210000000000001</v>
      </c>
      <c r="E895">
        <v>10.09</v>
      </c>
      <c r="F895">
        <v>5.95</v>
      </c>
      <c r="G895">
        <v>1.72</v>
      </c>
      <c r="H895">
        <v>4.58</v>
      </c>
      <c r="I895">
        <v>28.5</v>
      </c>
      <c r="J895">
        <v>17</v>
      </c>
      <c r="K895">
        <v>10.5</v>
      </c>
      <c r="L895">
        <v>1.29</v>
      </c>
      <c r="M895">
        <v>2.54</v>
      </c>
      <c r="N895">
        <v>0.255</v>
      </c>
      <c r="O895">
        <v>2.85</v>
      </c>
      <c r="P895">
        <v>0.63</v>
      </c>
    </row>
    <row r="896" spans="1:16" x14ac:dyDescent="0.25">
      <c r="A896" s="1">
        <v>42492</v>
      </c>
      <c r="B896">
        <v>6.4</v>
      </c>
      <c r="C896">
        <v>144.35</v>
      </c>
      <c r="D896">
        <v>2.7210000000000001</v>
      </c>
      <c r="E896">
        <v>10.1</v>
      </c>
      <c r="F896">
        <v>5.96</v>
      </c>
      <c r="G896">
        <v>1.75</v>
      </c>
      <c r="H896">
        <v>4.5</v>
      </c>
      <c r="I896">
        <v>28.5</v>
      </c>
      <c r="J896">
        <v>16.989999999999998</v>
      </c>
      <c r="K896">
        <v>10.7</v>
      </c>
      <c r="L896">
        <v>1.29</v>
      </c>
      <c r="M896">
        <v>2.4500000000000002</v>
      </c>
      <c r="N896">
        <v>0.25</v>
      </c>
      <c r="O896">
        <v>2.94</v>
      </c>
      <c r="P896">
        <v>0.65</v>
      </c>
    </row>
    <row r="897" spans="1:16" x14ac:dyDescent="0.25">
      <c r="A897" s="1">
        <v>42493</v>
      </c>
      <c r="B897">
        <v>6.4</v>
      </c>
      <c r="C897">
        <v>139.51</v>
      </c>
      <c r="D897">
        <v>2.7210000000000001</v>
      </c>
      <c r="E897">
        <v>9.77</v>
      </c>
      <c r="F897">
        <v>5.91</v>
      </c>
      <c r="G897">
        <v>1.72</v>
      </c>
      <c r="H897">
        <v>4.41</v>
      </c>
      <c r="I897">
        <v>27.8</v>
      </c>
      <c r="J897">
        <v>17</v>
      </c>
      <c r="K897">
        <v>10.5</v>
      </c>
      <c r="L897">
        <v>1.22</v>
      </c>
      <c r="M897">
        <v>2.37</v>
      </c>
      <c r="N897">
        <v>0.245</v>
      </c>
      <c r="O897">
        <v>2.94</v>
      </c>
      <c r="P897">
        <v>0.63</v>
      </c>
    </row>
    <row r="898" spans="1:16" x14ac:dyDescent="0.25">
      <c r="A898" s="1">
        <v>42494</v>
      </c>
      <c r="B898">
        <v>6.5</v>
      </c>
      <c r="C898">
        <v>135.4</v>
      </c>
      <c r="D898">
        <v>2.6459999999999999</v>
      </c>
      <c r="E898">
        <v>9.42</v>
      </c>
      <c r="F898">
        <v>5.9</v>
      </c>
      <c r="G898">
        <v>1.7</v>
      </c>
      <c r="H898">
        <v>4.3</v>
      </c>
      <c r="I898">
        <v>27.3</v>
      </c>
      <c r="J898">
        <v>17</v>
      </c>
      <c r="K898">
        <v>10.199999999999999</v>
      </c>
      <c r="L898">
        <v>1.19</v>
      </c>
      <c r="M898">
        <v>2.2999999999999998</v>
      </c>
      <c r="N898">
        <v>0.23200000000000001</v>
      </c>
      <c r="O898">
        <v>2.8370000000000002</v>
      </c>
      <c r="P898">
        <v>0.57999999999999996</v>
      </c>
    </row>
    <row r="899" spans="1:16" x14ac:dyDescent="0.25">
      <c r="A899" s="1">
        <v>42495</v>
      </c>
      <c r="B899">
        <v>6.5</v>
      </c>
      <c r="C899">
        <v>136.69999999999999</v>
      </c>
      <c r="D899">
        <v>2.6829999999999998</v>
      </c>
      <c r="E899">
        <v>9.6</v>
      </c>
      <c r="F899">
        <v>6.05</v>
      </c>
      <c r="G899">
        <v>1.71</v>
      </c>
      <c r="H899">
        <v>4.25</v>
      </c>
      <c r="I899">
        <v>27.3</v>
      </c>
      <c r="J899">
        <v>17.2</v>
      </c>
      <c r="K899">
        <v>10.199999999999999</v>
      </c>
      <c r="L899">
        <v>1.19</v>
      </c>
      <c r="M899">
        <v>2.2400000000000002</v>
      </c>
      <c r="N899">
        <v>0.22500000000000001</v>
      </c>
      <c r="O899">
        <v>2.8370000000000002</v>
      </c>
      <c r="P899">
        <v>0.57999999999999996</v>
      </c>
    </row>
    <row r="900" spans="1:16" x14ac:dyDescent="0.25">
      <c r="A900" s="1">
        <v>42496</v>
      </c>
      <c r="B900">
        <v>6.5</v>
      </c>
      <c r="C900">
        <v>139.65</v>
      </c>
      <c r="D900">
        <v>2.6829999999999998</v>
      </c>
      <c r="E900">
        <v>9.99</v>
      </c>
      <c r="F900">
        <v>6</v>
      </c>
      <c r="G900">
        <v>1.65</v>
      </c>
      <c r="H900">
        <v>4.4000000000000004</v>
      </c>
      <c r="I900">
        <v>27.15</v>
      </c>
      <c r="J900">
        <v>16.86</v>
      </c>
      <c r="K900">
        <v>10</v>
      </c>
      <c r="L900">
        <v>1.19</v>
      </c>
      <c r="M900">
        <v>2.17</v>
      </c>
      <c r="N900">
        <v>0.218</v>
      </c>
      <c r="O900">
        <v>2.7370000000000001</v>
      </c>
      <c r="P900">
        <v>0.57999999999999996</v>
      </c>
    </row>
    <row r="901" spans="1:16" x14ac:dyDescent="0.25">
      <c r="A901" s="1">
        <v>42499</v>
      </c>
      <c r="B901">
        <v>6.5</v>
      </c>
      <c r="C901">
        <v>137.33000000000001</v>
      </c>
      <c r="D901">
        <v>2.6829999999999998</v>
      </c>
      <c r="E901">
        <v>9.2799999999999994</v>
      </c>
      <c r="F901">
        <v>5.95</v>
      </c>
      <c r="G901">
        <v>1.6</v>
      </c>
      <c r="H901">
        <v>4.3499999999999996</v>
      </c>
      <c r="I901">
        <v>27.25</v>
      </c>
      <c r="J901">
        <v>17</v>
      </c>
      <c r="K901">
        <v>10</v>
      </c>
      <c r="L901">
        <v>1.1599999999999999</v>
      </c>
      <c r="M901">
        <v>2.1</v>
      </c>
      <c r="N901">
        <v>0.20499999999999999</v>
      </c>
      <c r="O901">
        <v>2.7170000000000001</v>
      </c>
      <c r="P901">
        <v>0.56999999999999995</v>
      </c>
    </row>
    <row r="902" spans="1:16" x14ac:dyDescent="0.25">
      <c r="A902" s="1">
        <v>42500</v>
      </c>
      <c r="B902">
        <v>6.5</v>
      </c>
      <c r="C902">
        <v>143.30000000000001</v>
      </c>
      <c r="D902">
        <v>2.7360000000000002</v>
      </c>
      <c r="E902">
        <v>9.5</v>
      </c>
      <c r="F902">
        <v>6.05</v>
      </c>
      <c r="G902">
        <v>1.67</v>
      </c>
      <c r="H902">
        <v>4.49</v>
      </c>
      <c r="I902">
        <v>28</v>
      </c>
      <c r="J902">
        <v>17</v>
      </c>
      <c r="K902">
        <v>10.3</v>
      </c>
      <c r="L902">
        <v>1.22</v>
      </c>
      <c r="M902">
        <v>2.25</v>
      </c>
      <c r="N902">
        <v>0.23599999999999999</v>
      </c>
      <c r="O902">
        <v>2.6869999999999998</v>
      </c>
      <c r="P902">
        <v>0.61</v>
      </c>
    </row>
    <row r="903" spans="1:16" x14ac:dyDescent="0.25">
      <c r="A903" s="1">
        <v>42501</v>
      </c>
      <c r="B903">
        <v>6.5</v>
      </c>
      <c r="C903">
        <v>143</v>
      </c>
      <c r="D903">
        <v>2.7949999999999999</v>
      </c>
      <c r="E903">
        <v>9.9499999999999993</v>
      </c>
      <c r="F903">
        <v>6.05</v>
      </c>
      <c r="G903">
        <v>1.7</v>
      </c>
      <c r="H903">
        <v>4.45</v>
      </c>
      <c r="I903">
        <v>28.25</v>
      </c>
      <c r="J903">
        <v>16.989999999999998</v>
      </c>
      <c r="K903">
        <v>10.35</v>
      </c>
      <c r="L903">
        <v>1.26</v>
      </c>
      <c r="M903">
        <v>2.2599999999999998</v>
      </c>
      <c r="N903">
        <v>0.246</v>
      </c>
      <c r="O903">
        <v>2.6869999999999998</v>
      </c>
      <c r="P903">
        <v>0.62</v>
      </c>
    </row>
    <row r="904" spans="1:16" x14ac:dyDescent="0.25">
      <c r="A904" s="1">
        <v>42502</v>
      </c>
      <c r="B904">
        <v>6.5</v>
      </c>
      <c r="C904">
        <v>143.19999999999999</v>
      </c>
      <c r="D904">
        <v>2.87</v>
      </c>
      <c r="E904">
        <v>9.8000000000000007</v>
      </c>
      <c r="F904">
        <v>6.05</v>
      </c>
      <c r="G904">
        <v>1.7</v>
      </c>
      <c r="H904">
        <v>4.26</v>
      </c>
      <c r="I904">
        <v>28</v>
      </c>
      <c r="J904">
        <v>16.600000000000001</v>
      </c>
      <c r="K904">
        <v>10.35</v>
      </c>
      <c r="L904">
        <v>1.28</v>
      </c>
      <c r="M904">
        <v>2.35</v>
      </c>
      <c r="N904">
        <v>0.25800000000000001</v>
      </c>
      <c r="O904">
        <v>2.7370000000000001</v>
      </c>
      <c r="P904">
        <v>0.65</v>
      </c>
    </row>
    <row r="905" spans="1:16" x14ac:dyDescent="0.25">
      <c r="A905" s="1">
        <v>42503</v>
      </c>
      <c r="B905">
        <v>6.45</v>
      </c>
      <c r="C905">
        <v>144</v>
      </c>
      <c r="D905">
        <v>2.9809999999999999</v>
      </c>
      <c r="E905">
        <v>9.9</v>
      </c>
      <c r="F905">
        <v>6.03</v>
      </c>
      <c r="G905">
        <v>1.68</v>
      </c>
      <c r="H905">
        <v>4.4000000000000004</v>
      </c>
      <c r="I905">
        <v>28.6</v>
      </c>
      <c r="J905">
        <v>17</v>
      </c>
      <c r="K905">
        <v>10.6</v>
      </c>
      <c r="L905">
        <v>1.3</v>
      </c>
      <c r="M905">
        <v>2.46</v>
      </c>
      <c r="N905">
        <v>0.25900000000000001</v>
      </c>
      <c r="O905">
        <v>2.7370000000000001</v>
      </c>
      <c r="P905">
        <v>0.65</v>
      </c>
    </row>
    <row r="906" spans="1:16" x14ac:dyDescent="0.25">
      <c r="A906" s="1">
        <v>42506</v>
      </c>
      <c r="B906">
        <v>6.47</v>
      </c>
      <c r="C906">
        <v>146.69999999999999</v>
      </c>
      <c r="D906">
        <v>3.0190000000000001</v>
      </c>
      <c r="E906">
        <v>10.25</v>
      </c>
      <c r="F906">
        <v>6.08</v>
      </c>
      <c r="G906">
        <v>1.69</v>
      </c>
      <c r="H906">
        <v>4.45</v>
      </c>
      <c r="I906">
        <v>28.5</v>
      </c>
      <c r="J906">
        <v>17.13</v>
      </c>
      <c r="K906">
        <v>10.6</v>
      </c>
      <c r="L906">
        <v>1.3</v>
      </c>
      <c r="M906">
        <v>2.5</v>
      </c>
      <c r="N906">
        <v>0.25800000000000001</v>
      </c>
      <c r="O906">
        <v>2.7370000000000001</v>
      </c>
      <c r="P906">
        <v>0.65</v>
      </c>
    </row>
    <row r="907" spans="1:16" x14ac:dyDescent="0.25">
      <c r="A907" s="1">
        <v>42507</v>
      </c>
      <c r="B907">
        <v>6.42</v>
      </c>
      <c r="C907">
        <v>146.4</v>
      </c>
      <c r="D907">
        <v>3.093</v>
      </c>
      <c r="E907">
        <v>10.5</v>
      </c>
      <c r="F907">
        <v>6.05</v>
      </c>
      <c r="G907">
        <v>1.69</v>
      </c>
      <c r="H907">
        <v>4.42</v>
      </c>
      <c r="I907">
        <v>28.5</v>
      </c>
      <c r="J907">
        <v>17.100000000000001</v>
      </c>
      <c r="K907">
        <v>10.6</v>
      </c>
      <c r="L907">
        <v>1.3</v>
      </c>
      <c r="M907">
        <v>2.4500000000000002</v>
      </c>
      <c r="N907">
        <v>0.245</v>
      </c>
      <c r="O907">
        <v>2.7</v>
      </c>
      <c r="P907">
        <v>0.64</v>
      </c>
    </row>
    <row r="908" spans="1:16" x14ac:dyDescent="0.25">
      <c r="A908" s="1">
        <v>42508</v>
      </c>
      <c r="B908">
        <v>6.4</v>
      </c>
      <c r="C908">
        <v>145</v>
      </c>
      <c r="D908">
        <v>3.093</v>
      </c>
      <c r="E908">
        <v>9.6999999999999993</v>
      </c>
      <c r="F908">
        <v>5.98</v>
      </c>
      <c r="G908">
        <v>1.68</v>
      </c>
      <c r="H908">
        <v>4.33</v>
      </c>
      <c r="I908">
        <v>28.5</v>
      </c>
      <c r="J908">
        <v>17.100000000000001</v>
      </c>
      <c r="K908">
        <v>10.6</v>
      </c>
      <c r="L908">
        <v>1.25</v>
      </c>
      <c r="M908">
        <v>2.4500000000000002</v>
      </c>
      <c r="N908">
        <v>0.245</v>
      </c>
      <c r="O908">
        <v>2.69</v>
      </c>
      <c r="P908">
        <v>0.62</v>
      </c>
    </row>
    <row r="909" spans="1:16" x14ac:dyDescent="0.25">
      <c r="A909" s="1">
        <v>42509</v>
      </c>
      <c r="B909">
        <v>6.3</v>
      </c>
      <c r="C909">
        <v>139.1</v>
      </c>
      <c r="D909">
        <v>3.093</v>
      </c>
      <c r="E909">
        <v>9.9499999999999993</v>
      </c>
      <c r="F909">
        <v>5.97</v>
      </c>
      <c r="G909">
        <v>1.68</v>
      </c>
      <c r="H909">
        <v>4.26</v>
      </c>
      <c r="I909">
        <v>28.5</v>
      </c>
      <c r="J909">
        <v>17.100000000000001</v>
      </c>
      <c r="K909">
        <v>10.55</v>
      </c>
      <c r="L909">
        <v>1.21</v>
      </c>
      <c r="M909">
        <v>2.35</v>
      </c>
      <c r="N909">
        <v>0.248</v>
      </c>
      <c r="O909">
        <v>2.65</v>
      </c>
      <c r="P909">
        <v>0.61</v>
      </c>
    </row>
    <row r="910" spans="1:16" x14ac:dyDescent="0.25">
      <c r="A910" s="1">
        <v>42510</v>
      </c>
      <c r="B910">
        <v>6.4</v>
      </c>
      <c r="C910">
        <v>139.9</v>
      </c>
      <c r="D910">
        <v>3.0190000000000001</v>
      </c>
      <c r="E910">
        <v>9.9</v>
      </c>
      <c r="F910">
        <v>6.04</v>
      </c>
      <c r="G910">
        <v>1.68</v>
      </c>
      <c r="H910">
        <v>4.37</v>
      </c>
      <c r="I910">
        <v>28.1</v>
      </c>
      <c r="J910">
        <v>17</v>
      </c>
      <c r="K910">
        <v>10.55</v>
      </c>
      <c r="L910">
        <v>1.21</v>
      </c>
      <c r="M910">
        <v>2.35</v>
      </c>
      <c r="N910">
        <v>0.25600000000000001</v>
      </c>
      <c r="O910">
        <v>2.61</v>
      </c>
      <c r="P910">
        <v>0.61</v>
      </c>
    </row>
    <row r="911" spans="1:16" x14ac:dyDescent="0.25">
      <c r="A911" s="1">
        <v>42513</v>
      </c>
      <c r="B911">
        <v>6.45</v>
      </c>
      <c r="C911">
        <v>142</v>
      </c>
      <c r="D911">
        <v>3.0190000000000001</v>
      </c>
      <c r="E911">
        <v>9.8000000000000007</v>
      </c>
      <c r="F911">
        <v>6.04</v>
      </c>
      <c r="G911">
        <v>1.68</v>
      </c>
      <c r="H911">
        <v>4.6500000000000004</v>
      </c>
      <c r="I911">
        <v>28</v>
      </c>
      <c r="J911">
        <v>17</v>
      </c>
      <c r="K911">
        <v>10.5</v>
      </c>
      <c r="L911">
        <v>1.19</v>
      </c>
      <c r="M911">
        <v>2.2999999999999998</v>
      </c>
      <c r="N911">
        <v>0.245</v>
      </c>
      <c r="O911">
        <v>2.61</v>
      </c>
      <c r="P911">
        <v>0.6</v>
      </c>
    </row>
    <row r="912" spans="1:16" x14ac:dyDescent="0.25">
      <c r="A912" s="1">
        <v>42514</v>
      </c>
      <c r="B912">
        <v>6.44</v>
      </c>
      <c r="C912">
        <v>141.1</v>
      </c>
      <c r="D912">
        <v>3.0190000000000001</v>
      </c>
      <c r="E912">
        <v>9.6999999999999993</v>
      </c>
      <c r="F912">
        <v>6.06</v>
      </c>
      <c r="G912">
        <v>1.68</v>
      </c>
      <c r="H912">
        <v>4.58</v>
      </c>
      <c r="I912">
        <v>28</v>
      </c>
      <c r="J912">
        <v>16.850000000000001</v>
      </c>
      <c r="K912">
        <v>10.4</v>
      </c>
      <c r="L912">
        <v>1.19</v>
      </c>
      <c r="M912">
        <v>2.2799999999999998</v>
      </c>
      <c r="N912">
        <v>0.24</v>
      </c>
      <c r="O912">
        <v>2.63</v>
      </c>
      <c r="P912">
        <v>0.57999999999999996</v>
      </c>
    </row>
    <row r="913" spans="1:16" x14ac:dyDescent="0.25">
      <c r="A913" s="1">
        <v>42515</v>
      </c>
      <c r="B913">
        <v>6.44</v>
      </c>
      <c r="C913">
        <v>143.69999999999999</v>
      </c>
      <c r="D913">
        <v>3.093</v>
      </c>
      <c r="E913">
        <v>9.9</v>
      </c>
      <c r="F913">
        <v>6.06</v>
      </c>
      <c r="G913">
        <v>1.68</v>
      </c>
      <c r="H913">
        <v>4.5</v>
      </c>
      <c r="I913">
        <v>28</v>
      </c>
      <c r="J913">
        <v>16.93</v>
      </c>
      <c r="K913">
        <v>10.4</v>
      </c>
      <c r="L913">
        <v>1.1599999999999999</v>
      </c>
      <c r="M913">
        <v>2.2000000000000002</v>
      </c>
      <c r="N913">
        <v>0.24199999999999999</v>
      </c>
      <c r="O913">
        <v>2.63</v>
      </c>
      <c r="P913">
        <v>0.57999999999999996</v>
      </c>
    </row>
    <row r="914" spans="1:16" x14ac:dyDescent="0.25">
      <c r="A914" s="1">
        <v>42516</v>
      </c>
      <c r="B914">
        <v>6.44</v>
      </c>
      <c r="C914">
        <v>145</v>
      </c>
      <c r="D914">
        <v>3.1309999999999998</v>
      </c>
      <c r="E914">
        <v>10</v>
      </c>
      <c r="F914">
        <v>6.06</v>
      </c>
      <c r="G914">
        <v>1.68</v>
      </c>
      <c r="H914">
        <v>4.41</v>
      </c>
      <c r="I914">
        <v>29.07</v>
      </c>
      <c r="J914">
        <v>17</v>
      </c>
      <c r="K914">
        <v>10.4</v>
      </c>
      <c r="L914">
        <v>1.17</v>
      </c>
      <c r="M914">
        <v>2.2000000000000002</v>
      </c>
      <c r="N914">
        <v>0.24199999999999999</v>
      </c>
      <c r="O914">
        <v>2.61</v>
      </c>
      <c r="P914">
        <v>0.6</v>
      </c>
    </row>
    <row r="915" spans="1:16" x14ac:dyDescent="0.25">
      <c r="A915" s="1">
        <v>42517</v>
      </c>
      <c r="B915">
        <v>6.49</v>
      </c>
      <c r="C915">
        <v>143.5</v>
      </c>
      <c r="D915">
        <v>3.1080000000000001</v>
      </c>
      <c r="E915">
        <v>9.8000000000000007</v>
      </c>
      <c r="F915">
        <v>6.04</v>
      </c>
      <c r="G915">
        <v>1.69</v>
      </c>
      <c r="H915">
        <v>4.43</v>
      </c>
      <c r="I915">
        <v>29.5</v>
      </c>
      <c r="J915">
        <v>17</v>
      </c>
      <c r="K915">
        <v>10.42</v>
      </c>
      <c r="L915">
        <v>1.18</v>
      </c>
      <c r="M915">
        <v>2.1800000000000002</v>
      </c>
      <c r="N915">
        <v>0.24399999999999999</v>
      </c>
      <c r="O915">
        <v>2.65</v>
      </c>
      <c r="P915">
        <v>0.59</v>
      </c>
    </row>
    <row r="916" spans="1:16" x14ac:dyDescent="0.25">
      <c r="A916" s="1">
        <v>42520</v>
      </c>
      <c r="B916">
        <v>6.5</v>
      </c>
      <c r="C916">
        <v>143.5</v>
      </c>
      <c r="D916">
        <v>3.1309999999999998</v>
      </c>
      <c r="E916">
        <v>9.8000000000000007</v>
      </c>
      <c r="F916">
        <v>6.04</v>
      </c>
      <c r="G916">
        <v>1.69</v>
      </c>
      <c r="H916">
        <v>4.46</v>
      </c>
      <c r="I916">
        <v>29.5</v>
      </c>
      <c r="J916">
        <v>17</v>
      </c>
      <c r="K916">
        <v>10.43</v>
      </c>
      <c r="L916">
        <v>1.22</v>
      </c>
      <c r="M916">
        <v>2.1800000000000002</v>
      </c>
      <c r="N916">
        <v>0.245</v>
      </c>
      <c r="O916">
        <v>2.65</v>
      </c>
      <c r="P916">
        <v>0.59</v>
      </c>
    </row>
    <row r="917" spans="1:16" x14ac:dyDescent="0.25">
      <c r="A917" s="1">
        <v>42521</v>
      </c>
      <c r="B917">
        <v>6.5</v>
      </c>
      <c r="C917">
        <v>140.55000000000001</v>
      </c>
      <c r="D917">
        <v>3.1309999999999998</v>
      </c>
      <c r="E917">
        <v>9.5500000000000007</v>
      </c>
      <c r="F917">
        <v>6</v>
      </c>
      <c r="G917">
        <v>1.7</v>
      </c>
      <c r="H917">
        <v>4.25</v>
      </c>
      <c r="I917">
        <v>29.95</v>
      </c>
      <c r="J917">
        <v>17</v>
      </c>
      <c r="K917">
        <v>10.5</v>
      </c>
      <c r="L917">
        <v>1.22</v>
      </c>
      <c r="M917">
        <v>2.2200000000000002</v>
      </c>
      <c r="N917">
        <v>0.252</v>
      </c>
      <c r="O917">
        <v>2.66</v>
      </c>
      <c r="P917">
        <v>0.59</v>
      </c>
    </row>
    <row r="918" spans="1:16" x14ac:dyDescent="0.25">
      <c r="A918" s="1">
        <v>42522</v>
      </c>
      <c r="B918">
        <v>6.5</v>
      </c>
      <c r="C918">
        <v>142.5</v>
      </c>
      <c r="D918">
        <v>3.093</v>
      </c>
      <c r="E918">
        <v>9.51</v>
      </c>
      <c r="F918">
        <v>6.02</v>
      </c>
      <c r="G918">
        <v>1.7</v>
      </c>
      <c r="H918">
        <v>4.3899999999999997</v>
      </c>
      <c r="I918">
        <v>29.88</v>
      </c>
      <c r="J918">
        <v>17</v>
      </c>
      <c r="K918">
        <v>10.5</v>
      </c>
      <c r="L918">
        <v>1.23</v>
      </c>
      <c r="M918">
        <v>2.2400000000000002</v>
      </c>
      <c r="N918">
        <v>0.251</v>
      </c>
      <c r="O918">
        <v>2.66</v>
      </c>
      <c r="P918">
        <v>0.57999999999999996</v>
      </c>
    </row>
    <row r="919" spans="1:16" x14ac:dyDescent="0.25">
      <c r="A919" s="1">
        <v>42523</v>
      </c>
      <c r="B919">
        <v>6.5</v>
      </c>
      <c r="C919">
        <v>144.6</v>
      </c>
      <c r="D919">
        <v>3.093</v>
      </c>
      <c r="E919">
        <v>9.9</v>
      </c>
      <c r="F919">
        <v>6</v>
      </c>
      <c r="G919">
        <v>1.7</v>
      </c>
      <c r="H919">
        <v>4.45</v>
      </c>
      <c r="I919">
        <v>29</v>
      </c>
      <c r="J919">
        <v>17</v>
      </c>
      <c r="K919">
        <v>10.51</v>
      </c>
      <c r="L919">
        <v>1.29</v>
      </c>
      <c r="M919">
        <v>2.25</v>
      </c>
      <c r="N919">
        <v>0.25700000000000001</v>
      </c>
      <c r="O919">
        <v>2.66</v>
      </c>
      <c r="P919">
        <v>0.59</v>
      </c>
    </row>
    <row r="920" spans="1:16" x14ac:dyDescent="0.25">
      <c r="A920" s="1">
        <v>42524</v>
      </c>
      <c r="B920">
        <v>6.45</v>
      </c>
      <c r="C920">
        <v>149.5</v>
      </c>
      <c r="D920">
        <v>3.093</v>
      </c>
      <c r="E920">
        <v>11.09</v>
      </c>
      <c r="F920">
        <v>6.05</v>
      </c>
      <c r="G920">
        <v>1.7</v>
      </c>
      <c r="H920">
        <v>4.7</v>
      </c>
      <c r="I920">
        <v>29.8</v>
      </c>
      <c r="J920">
        <v>17</v>
      </c>
      <c r="K920">
        <v>10.5</v>
      </c>
      <c r="L920">
        <v>1.3</v>
      </c>
      <c r="M920">
        <v>2.35</v>
      </c>
      <c r="N920">
        <v>0.26</v>
      </c>
      <c r="O920">
        <v>2.66</v>
      </c>
      <c r="P920">
        <v>0.62</v>
      </c>
    </row>
    <row r="921" spans="1:16" x14ac:dyDescent="0.25">
      <c r="A921" s="1">
        <v>42527</v>
      </c>
      <c r="B921">
        <v>6.45</v>
      </c>
      <c r="C921">
        <v>151</v>
      </c>
      <c r="D921">
        <v>3.093</v>
      </c>
      <c r="E921">
        <v>11.09</v>
      </c>
      <c r="F921">
        <v>6.05</v>
      </c>
      <c r="G921">
        <v>1.68</v>
      </c>
      <c r="H921">
        <v>4.78</v>
      </c>
      <c r="I921">
        <v>29.93</v>
      </c>
      <c r="J921">
        <v>17</v>
      </c>
      <c r="K921">
        <v>10.37</v>
      </c>
      <c r="L921">
        <v>1.3</v>
      </c>
      <c r="M921">
        <v>2.4500000000000002</v>
      </c>
      <c r="N921">
        <v>0.25900000000000001</v>
      </c>
      <c r="O921">
        <v>2.7</v>
      </c>
      <c r="P921">
        <v>0.62</v>
      </c>
    </row>
    <row r="922" spans="1:16" x14ac:dyDescent="0.25">
      <c r="A922" s="1">
        <v>42528</v>
      </c>
      <c r="B922">
        <v>6.45</v>
      </c>
      <c r="C922">
        <v>152.4</v>
      </c>
      <c r="D922">
        <v>3.0779999999999998</v>
      </c>
      <c r="E922">
        <v>10.58</v>
      </c>
      <c r="F922">
        <v>6.03</v>
      </c>
      <c r="G922">
        <v>1.68</v>
      </c>
      <c r="H922">
        <v>5</v>
      </c>
      <c r="I922">
        <v>30.3</v>
      </c>
      <c r="J922">
        <v>17.100000000000001</v>
      </c>
      <c r="K922">
        <v>10.398999999999999</v>
      </c>
      <c r="L922">
        <v>1.25</v>
      </c>
      <c r="M922">
        <v>2.4</v>
      </c>
      <c r="N922">
        <v>0.252</v>
      </c>
      <c r="O922">
        <v>2.7</v>
      </c>
      <c r="P922">
        <v>0.59</v>
      </c>
    </row>
    <row r="923" spans="1:16" x14ac:dyDescent="0.25">
      <c r="A923" s="1">
        <v>42529</v>
      </c>
      <c r="B923">
        <v>6.45</v>
      </c>
      <c r="C923">
        <v>153</v>
      </c>
      <c r="D923">
        <v>3.0259999999999998</v>
      </c>
      <c r="E923">
        <v>11.15</v>
      </c>
      <c r="F923">
        <v>6.02</v>
      </c>
      <c r="G923">
        <v>1.68</v>
      </c>
      <c r="H923">
        <v>4.8</v>
      </c>
      <c r="I923">
        <v>29.7</v>
      </c>
      <c r="J923">
        <v>16.7</v>
      </c>
      <c r="K923">
        <v>10.449</v>
      </c>
      <c r="L923">
        <v>1.23</v>
      </c>
      <c r="M923">
        <v>2.36</v>
      </c>
      <c r="N923">
        <v>0.255</v>
      </c>
      <c r="O923">
        <v>2.6</v>
      </c>
      <c r="P923">
        <v>0.6</v>
      </c>
    </row>
    <row r="924" spans="1:16" x14ac:dyDescent="0.25">
      <c r="A924" s="1">
        <v>42530</v>
      </c>
      <c r="B924">
        <v>6.4</v>
      </c>
      <c r="C924">
        <v>154.4</v>
      </c>
      <c r="D924">
        <v>3.0409999999999999</v>
      </c>
      <c r="E924">
        <v>11.31</v>
      </c>
      <c r="F924">
        <v>6.01</v>
      </c>
      <c r="G924">
        <v>1.68</v>
      </c>
      <c r="H924">
        <v>4.83</v>
      </c>
      <c r="I924">
        <v>30</v>
      </c>
      <c r="J924">
        <v>16.7</v>
      </c>
      <c r="K924">
        <v>10.398999999999999</v>
      </c>
      <c r="L924">
        <v>1.25</v>
      </c>
      <c r="M924">
        <v>2.39</v>
      </c>
      <c r="N924">
        <v>0.25</v>
      </c>
      <c r="O924">
        <v>2.6</v>
      </c>
      <c r="P924">
        <v>0.59</v>
      </c>
    </row>
    <row r="925" spans="1:16" x14ac:dyDescent="0.25">
      <c r="A925" s="1">
        <v>42531</v>
      </c>
      <c r="B925">
        <v>6.32</v>
      </c>
      <c r="C925">
        <v>147.5</v>
      </c>
      <c r="D925">
        <v>2.9809999999999999</v>
      </c>
      <c r="E925">
        <v>11.06</v>
      </c>
      <c r="F925">
        <v>5.95</v>
      </c>
      <c r="G925">
        <v>1.66</v>
      </c>
      <c r="H925">
        <v>4.7300000000000004</v>
      </c>
      <c r="I925">
        <v>29.6</v>
      </c>
      <c r="J925">
        <v>16.98</v>
      </c>
      <c r="K925">
        <v>10.398999999999999</v>
      </c>
      <c r="L925">
        <v>1.23</v>
      </c>
      <c r="M925">
        <v>2.36</v>
      </c>
      <c r="N925">
        <v>0.25</v>
      </c>
      <c r="O925">
        <v>2.6</v>
      </c>
      <c r="P925">
        <v>0.59</v>
      </c>
    </row>
    <row r="926" spans="1:16" x14ac:dyDescent="0.25">
      <c r="A926" s="1">
        <v>42534</v>
      </c>
      <c r="B926">
        <v>6.26</v>
      </c>
      <c r="C926">
        <v>145.6</v>
      </c>
      <c r="D926">
        <v>3.004</v>
      </c>
      <c r="E926">
        <v>10.8</v>
      </c>
      <c r="F926">
        <v>5.9</v>
      </c>
      <c r="G926">
        <v>1.67</v>
      </c>
      <c r="H926">
        <v>4.55</v>
      </c>
      <c r="I926">
        <v>29.5</v>
      </c>
      <c r="J926">
        <v>16.98</v>
      </c>
      <c r="K926">
        <v>10.35</v>
      </c>
      <c r="L926">
        <v>1.23</v>
      </c>
      <c r="M926">
        <v>2.34</v>
      </c>
      <c r="N926">
        <v>0.25</v>
      </c>
      <c r="O926">
        <v>2.4900000000000002</v>
      </c>
      <c r="P926">
        <v>0.59</v>
      </c>
    </row>
    <row r="927" spans="1:16" x14ac:dyDescent="0.25">
      <c r="A927" s="1">
        <v>42535</v>
      </c>
      <c r="B927">
        <v>6.2</v>
      </c>
      <c r="C927">
        <v>144.30000000000001</v>
      </c>
      <c r="D927">
        <v>3.0259999999999998</v>
      </c>
      <c r="E927">
        <v>10.38</v>
      </c>
      <c r="F927">
        <v>5.9</v>
      </c>
      <c r="G927">
        <v>1.64</v>
      </c>
      <c r="H927">
        <v>4.3499999999999996</v>
      </c>
      <c r="I927">
        <v>29.6</v>
      </c>
      <c r="J927">
        <v>16.5</v>
      </c>
      <c r="K927">
        <v>10.36</v>
      </c>
      <c r="L927">
        <v>1.2</v>
      </c>
      <c r="M927">
        <v>2.2599999999999998</v>
      </c>
      <c r="N927">
        <v>0.24</v>
      </c>
      <c r="O927">
        <v>2.44</v>
      </c>
      <c r="P927">
        <v>0.59</v>
      </c>
    </row>
    <row r="928" spans="1:16" x14ac:dyDescent="0.25">
      <c r="A928" s="1">
        <v>42536</v>
      </c>
      <c r="B928">
        <v>6.2</v>
      </c>
      <c r="C928">
        <v>148.80000000000001</v>
      </c>
      <c r="D928">
        <v>3.0339999999999998</v>
      </c>
      <c r="E928">
        <v>10.98</v>
      </c>
      <c r="F928">
        <v>6</v>
      </c>
      <c r="G928">
        <v>1.63</v>
      </c>
      <c r="H928">
        <v>4.53</v>
      </c>
      <c r="I928">
        <v>30.51</v>
      </c>
      <c r="J928">
        <v>16.899999999999999</v>
      </c>
      <c r="K928">
        <v>10.35</v>
      </c>
      <c r="L928">
        <v>1.23</v>
      </c>
      <c r="M928">
        <v>2.25</v>
      </c>
      <c r="N928">
        <v>0.24099999999999999</v>
      </c>
      <c r="O928">
        <v>2.58</v>
      </c>
      <c r="P928">
        <v>0.6</v>
      </c>
    </row>
    <row r="929" spans="1:16" x14ac:dyDescent="0.25">
      <c r="A929" s="1">
        <v>42537</v>
      </c>
      <c r="B929">
        <v>6.1</v>
      </c>
      <c r="C929">
        <v>149</v>
      </c>
      <c r="D929">
        <v>3.0259999999999998</v>
      </c>
      <c r="E929">
        <v>10.85</v>
      </c>
      <c r="F929">
        <v>5.9</v>
      </c>
      <c r="G929">
        <v>1.6</v>
      </c>
      <c r="H929">
        <v>4.4000000000000004</v>
      </c>
      <c r="I929">
        <v>30.25</v>
      </c>
      <c r="J929">
        <v>16.5</v>
      </c>
      <c r="K929">
        <v>10.4</v>
      </c>
      <c r="L929">
        <v>1.19</v>
      </c>
      <c r="M929">
        <v>2.1800000000000002</v>
      </c>
      <c r="N929">
        <v>0.23300000000000001</v>
      </c>
      <c r="O929">
        <v>2.59</v>
      </c>
      <c r="P929">
        <v>0.59</v>
      </c>
    </row>
    <row r="930" spans="1:16" x14ac:dyDescent="0.25">
      <c r="A930" s="1">
        <v>42538</v>
      </c>
      <c r="B930">
        <v>6.15</v>
      </c>
      <c r="C930">
        <v>151</v>
      </c>
      <c r="D930">
        <v>3.0339999999999998</v>
      </c>
      <c r="E930">
        <v>10.65</v>
      </c>
      <c r="F930">
        <v>5.85</v>
      </c>
      <c r="G930">
        <v>1.65</v>
      </c>
      <c r="H930">
        <v>4.5</v>
      </c>
      <c r="I930">
        <v>30.5</v>
      </c>
      <c r="J930">
        <v>16.5</v>
      </c>
      <c r="K930">
        <v>10.42</v>
      </c>
      <c r="L930">
        <v>1.19</v>
      </c>
      <c r="M930">
        <v>2.1800000000000002</v>
      </c>
      <c r="N930">
        <v>0.23200000000000001</v>
      </c>
      <c r="O930">
        <v>2.6</v>
      </c>
      <c r="P930">
        <v>0.57999999999999996</v>
      </c>
    </row>
    <row r="931" spans="1:16" x14ac:dyDescent="0.25">
      <c r="A931" s="1">
        <v>42541</v>
      </c>
      <c r="B931">
        <v>6.14</v>
      </c>
      <c r="C931">
        <v>151.5</v>
      </c>
      <c r="D931">
        <v>3.008</v>
      </c>
      <c r="E931">
        <v>10.81</v>
      </c>
      <c r="F931">
        <v>5.8</v>
      </c>
      <c r="G931">
        <v>1.64</v>
      </c>
      <c r="H931">
        <v>4.45</v>
      </c>
      <c r="I931">
        <v>30.5</v>
      </c>
      <c r="J931">
        <v>16.5</v>
      </c>
      <c r="K931">
        <v>10.42</v>
      </c>
      <c r="L931">
        <v>1.19</v>
      </c>
      <c r="M931">
        <v>2.1800000000000002</v>
      </c>
      <c r="N931">
        <v>0.22500000000000001</v>
      </c>
      <c r="O931">
        <v>2.6</v>
      </c>
      <c r="P931">
        <v>0.57999999999999996</v>
      </c>
    </row>
    <row r="932" spans="1:16" x14ac:dyDescent="0.25">
      <c r="A932" s="1">
        <v>42542</v>
      </c>
      <c r="B932">
        <v>6.15</v>
      </c>
      <c r="C932">
        <v>152</v>
      </c>
      <c r="D932">
        <v>3.008</v>
      </c>
      <c r="E932">
        <v>10.7</v>
      </c>
      <c r="F932">
        <v>5.8</v>
      </c>
      <c r="G932">
        <v>1.64</v>
      </c>
      <c r="H932">
        <v>4.5</v>
      </c>
      <c r="I932">
        <v>30.35</v>
      </c>
      <c r="J932">
        <v>16.600000000000001</v>
      </c>
      <c r="K932">
        <v>10.49</v>
      </c>
      <c r="L932">
        <v>1.19</v>
      </c>
      <c r="M932">
        <v>2.1800000000000002</v>
      </c>
      <c r="N932">
        <v>0.23</v>
      </c>
      <c r="O932">
        <v>2.5499999999999998</v>
      </c>
      <c r="P932">
        <v>0.56000000000000005</v>
      </c>
    </row>
    <row r="933" spans="1:16" x14ac:dyDescent="0.25">
      <c r="A933" s="1">
        <v>42543</v>
      </c>
      <c r="B933">
        <v>6.3</v>
      </c>
      <c r="C933">
        <v>150.80000000000001</v>
      </c>
      <c r="D933">
        <v>3.0339999999999998</v>
      </c>
      <c r="E933">
        <v>10.6</v>
      </c>
      <c r="F933">
        <v>5.75</v>
      </c>
      <c r="G933">
        <v>1.6</v>
      </c>
      <c r="H933">
        <v>4.55</v>
      </c>
      <c r="I933">
        <v>30</v>
      </c>
      <c r="J933">
        <v>16.899999999999999</v>
      </c>
      <c r="K933">
        <v>10.49</v>
      </c>
      <c r="L933">
        <v>1.19</v>
      </c>
      <c r="M933">
        <v>2.1800000000000002</v>
      </c>
      <c r="N933">
        <v>0.23</v>
      </c>
      <c r="O933">
        <v>2.5499999999999998</v>
      </c>
      <c r="P933">
        <v>0.56000000000000005</v>
      </c>
    </row>
    <row r="934" spans="1:16" x14ac:dyDescent="0.25">
      <c r="A934" s="1">
        <v>42544</v>
      </c>
      <c r="B934">
        <v>6.35</v>
      </c>
      <c r="C934">
        <v>152.55000000000001</v>
      </c>
      <c r="D934">
        <v>3.052</v>
      </c>
      <c r="E934">
        <v>10.9</v>
      </c>
      <c r="F934">
        <v>5.82</v>
      </c>
      <c r="G934">
        <v>1.6</v>
      </c>
      <c r="H934">
        <v>4.7</v>
      </c>
      <c r="I934">
        <v>29.77</v>
      </c>
      <c r="J934">
        <v>16.8</v>
      </c>
      <c r="K934">
        <v>10.53</v>
      </c>
      <c r="L934">
        <v>1.21</v>
      </c>
      <c r="M934">
        <v>2.16</v>
      </c>
      <c r="N934">
        <v>0.245</v>
      </c>
      <c r="O934">
        <v>2.5499999999999998</v>
      </c>
      <c r="P934">
        <v>0.59</v>
      </c>
    </row>
    <row r="935" spans="1:16" x14ac:dyDescent="0.25">
      <c r="A935" s="1">
        <v>42545</v>
      </c>
      <c r="B935">
        <v>6.25</v>
      </c>
      <c r="C935">
        <v>146.9</v>
      </c>
      <c r="D935">
        <v>3.052</v>
      </c>
      <c r="E935">
        <v>11.32</v>
      </c>
      <c r="F935">
        <v>5.73</v>
      </c>
      <c r="G935">
        <v>1.55</v>
      </c>
      <c r="H935">
        <v>4.55</v>
      </c>
      <c r="I935">
        <v>28.7</v>
      </c>
      <c r="J935">
        <v>16.28</v>
      </c>
      <c r="K935">
        <v>10.53</v>
      </c>
      <c r="L935">
        <v>1.2</v>
      </c>
      <c r="M935">
        <v>2.09</v>
      </c>
      <c r="N935">
        <v>0.23100000000000001</v>
      </c>
      <c r="O935">
        <v>2.5499999999999998</v>
      </c>
      <c r="P935">
        <v>0.56000000000000005</v>
      </c>
    </row>
    <row r="936" spans="1:16" x14ac:dyDescent="0.25">
      <c r="A936" s="1">
        <v>42548</v>
      </c>
      <c r="B936">
        <v>6.25</v>
      </c>
      <c r="C936">
        <v>144.43</v>
      </c>
      <c r="D936">
        <v>3.0169999999999999</v>
      </c>
      <c r="E936">
        <v>11.3</v>
      </c>
      <c r="F936">
        <v>5.68</v>
      </c>
      <c r="G936">
        <v>1.53</v>
      </c>
      <c r="H936">
        <v>4.41</v>
      </c>
      <c r="I936">
        <v>29.07</v>
      </c>
      <c r="J936">
        <v>16.34</v>
      </c>
      <c r="K936">
        <v>10.3</v>
      </c>
      <c r="L936">
        <v>1.17</v>
      </c>
      <c r="M936">
        <v>2.0699999999999998</v>
      </c>
      <c r="N936">
        <v>0.22800000000000001</v>
      </c>
      <c r="O936">
        <v>2.48</v>
      </c>
      <c r="P936">
        <v>0.55000000000000004</v>
      </c>
    </row>
    <row r="937" spans="1:16" x14ac:dyDescent="0.25">
      <c r="A937" s="1">
        <v>42549</v>
      </c>
      <c r="B937">
        <v>6.27</v>
      </c>
      <c r="C937">
        <v>149.55000000000001</v>
      </c>
      <c r="D937">
        <v>2.9039999999999999</v>
      </c>
      <c r="E937">
        <v>11.5</v>
      </c>
      <c r="F937">
        <v>5.65</v>
      </c>
      <c r="G937">
        <v>1.51</v>
      </c>
      <c r="H937">
        <v>4.5</v>
      </c>
      <c r="I937">
        <v>29.5</v>
      </c>
      <c r="J937">
        <v>16.34</v>
      </c>
      <c r="K937">
        <v>10.5</v>
      </c>
      <c r="L937">
        <v>1.18</v>
      </c>
      <c r="M937">
        <v>2.06</v>
      </c>
      <c r="N937">
        <v>0.23</v>
      </c>
      <c r="O937">
        <v>2.5</v>
      </c>
      <c r="P937">
        <v>0.56000000000000005</v>
      </c>
    </row>
    <row r="938" spans="1:16" x14ac:dyDescent="0.25">
      <c r="A938" s="1">
        <v>42551</v>
      </c>
      <c r="B938">
        <v>6.45</v>
      </c>
      <c r="C938">
        <v>154.1</v>
      </c>
      <c r="D938">
        <v>2.9129999999999998</v>
      </c>
      <c r="E938">
        <v>11.9</v>
      </c>
      <c r="F938">
        <v>5.87</v>
      </c>
      <c r="G938">
        <v>1.56</v>
      </c>
      <c r="H938">
        <v>4.6399999999999997</v>
      </c>
      <c r="I938">
        <v>30</v>
      </c>
      <c r="J938">
        <v>16.600000000000001</v>
      </c>
      <c r="K938">
        <v>10.51</v>
      </c>
      <c r="L938">
        <v>1.18</v>
      </c>
      <c r="M938">
        <v>2.14</v>
      </c>
      <c r="N938">
        <v>0.23599999999999999</v>
      </c>
      <c r="O938">
        <v>2.5299999999999998</v>
      </c>
      <c r="P938">
        <v>0.6</v>
      </c>
    </row>
    <row r="939" spans="1:16" x14ac:dyDescent="0.25">
      <c r="A939" s="1">
        <v>42552</v>
      </c>
      <c r="B939">
        <v>6.45</v>
      </c>
      <c r="C939">
        <v>154</v>
      </c>
      <c r="D939">
        <v>3.0339999999999998</v>
      </c>
      <c r="E939">
        <v>12.4</v>
      </c>
      <c r="F939">
        <v>5.8</v>
      </c>
      <c r="G939">
        <v>1.56</v>
      </c>
      <c r="H939">
        <v>4.76</v>
      </c>
      <c r="I939">
        <v>30</v>
      </c>
      <c r="J939">
        <v>17</v>
      </c>
      <c r="K939">
        <v>10.6</v>
      </c>
      <c r="L939">
        <v>1.18</v>
      </c>
      <c r="M939">
        <v>2.19</v>
      </c>
      <c r="N939">
        <v>0.245</v>
      </c>
      <c r="O939">
        <v>2.5</v>
      </c>
      <c r="P939">
        <v>0.63</v>
      </c>
    </row>
    <row r="940" spans="1:16" x14ac:dyDescent="0.25">
      <c r="A940" s="1">
        <v>42555</v>
      </c>
      <c r="B940">
        <v>6.45</v>
      </c>
      <c r="C940">
        <v>154</v>
      </c>
      <c r="D940">
        <v>3.0339999999999998</v>
      </c>
      <c r="E940">
        <v>12.6</v>
      </c>
      <c r="F940">
        <v>5.82</v>
      </c>
      <c r="G940">
        <v>1.55</v>
      </c>
      <c r="H940">
        <v>4.76</v>
      </c>
      <c r="I940">
        <v>30</v>
      </c>
      <c r="J940">
        <v>17</v>
      </c>
      <c r="K940">
        <v>10.61</v>
      </c>
      <c r="L940">
        <v>1.24</v>
      </c>
      <c r="M940">
        <v>2.2599999999999998</v>
      </c>
      <c r="N940">
        <v>0.24399999999999999</v>
      </c>
      <c r="O940">
        <v>2.5</v>
      </c>
      <c r="P940">
        <v>0.66</v>
      </c>
    </row>
    <row r="941" spans="1:16" x14ac:dyDescent="0.25">
      <c r="A941" s="1">
        <v>42556</v>
      </c>
      <c r="B941">
        <v>6.43</v>
      </c>
      <c r="C941">
        <v>150.30000000000001</v>
      </c>
      <c r="D941">
        <v>3.0339999999999998</v>
      </c>
      <c r="E941">
        <v>12.19</v>
      </c>
      <c r="F941">
        <v>5.76</v>
      </c>
      <c r="G941">
        <v>1.52</v>
      </c>
      <c r="H941">
        <v>4.7</v>
      </c>
      <c r="I941">
        <v>29.5</v>
      </c>
      <c r="J941">
        <v>17</v>
      </c>
      <c r="K941">
        <v>10.61</v>
      </c>
      <c r="L941">
        <v>1.23</v>
      </c>
      <c r="M941">
        <v>2.2599999999999998</v>
      </c>
      <c r="N941">
        <v>0.24</v>
      </c>
      <c r="O941">
        <v>2.52</v>
      </c>
      <c r="P941">
        <v>0.65</v>
      </c>
    </row>
    <row r="942" spans="1:16" x14ac:dyDescent="0.25">
      <c r="A942" s="1">
        <v>42557</v>
      </c>
      <c r="B942">
        <v>6.35</v>
      </c>
      <c r="C942">
        <v>150</v>
      </c>
      <c r="D942">
        <v>3.0339999999999998</v>
      </c>
      <c r="E942">
        <v>12.86</v>
      </c>
      <c r="F942">
        <v>5.7</v>
      </c>
      <c r="G942">
        <v>1.49</v>
      </c>
      <c r="H942">
        <v>4.7</v>
      </c>
      <c r="I942">
        <v>29</v>
      </c>
      <c r="J942">
        <v>17</v>
      </c>
      <c r="K942">
        <v>10.61</v>
      </c>
      <c r="L942">
        <v>1.19</v>
      </c>
      <c r="M942">
        <v>2.2000000000000002</v>
      </c>
      <c r="N942">
        <v>0.23599999999999999</v>
      </c>
      <c r="O942">
        <v>2.5499999999999998</v>
      </c>
      <c r="P942">
        <v>0.65</v>
      </c>
    </row>
    <row r="943" spans="1:16" x14ac:dyDescent="0.25">
      <c r="A943" s="1">
        <v>42558</v>
      </c>
      <c r="B943">
        <v>6.35</v>
      </c>
      <c r="C943">
        <v>150.6</v>
      </c>
      <c r="D943">
        <v>3.052</v>
      </c>
      <c r="E943">
        <v>12.4</v>
      </c>
      <c r="F943">
        <v>5.7</v>
      </c>
      <c r="G943">
        <v>1.54</v>
      </c>
      <c r="H943">
        <v>4.6399999999999997</v>
      </c>
      <c r="I943">
        <v>29</v>
      </c>
      <c r="J943">
        <v>17</v>
      </c>
      <c r="K943">
        <v>10.62</v>
      </c>
      <c r="L943">
        <v>1.22</v>
      </c>
      <c r="M943">
        <v>2.2000000000000002</v>
      </c>
      <c r="N943">
        <v>0.23799999999999999</v>
      </c>
      <c r="O943">
        <v>2.5499999999999998</v>
      </c>
      <c r="P943">
        <v>0.65</v>
      </c>
    </row>
    <row r="944" spans="1:16" x14ac:dyDescent="0.25">
      <c r="A944" s="1">
        <v>42559</v>
      </c>
      <c r="B944">
        <v>6.42</v>
      </c>
      <c r="C944">
        <v>156.5</v>
      </c>
      <c r="D944">
        <v>3.1640000000000001</v>
      </c>
      <c r="E944">
        <v>12.95</v>
      </c>
      <c r="F944">
        <v>5.78</v>
      </c>
      <c r="G944">
        <v>1.6</v>
      </c>
      <c r="H944">
        <v>4.6900000000000004</v>
      </c>
      <c r="I944">
        <v>29.05</v>
      </c>
      <c r="J944">
        <v>17</v>
      </c>
      <c r="K944">
        <v>10.62</v>
      </c>
      <c r="L944">
        <v>1.25</v>
      </c>
      <c r="M944">
        <v>2.2000000000000002</v>
      </c>
      <c r="N944">
        <v>0.24</v>
      </c>
      <c r="O944">
        <v>2.5499999999999998</v>
      </c>
      <c r="P944">
        <v>0.66</v>
      </c>
    </row>
    <row r="945" spans="1:16" x14ac:dyDescent="0.25">
      <c r="A945" s="1">
        <v>42562</v>
      </c>
      <c r="B945">
        <v>6.45</v>
      </c>
      <c r="C945">
        <v>157.12</v>
      </c>
      <c r="D945">
        <v>3.173</v>
      </c>
      <c r="E945">
        <v>13</v>
      </c>
      <c r="F945">
        <v>5.92</v>
      </c>
      <c r="G945">
        <v>1.6</v>
      </c>
      <c r="H945">
        <v>4.7</v>
      </c>
      <c r="I945">
        <v>29.5</v>
      </c>
      <c r="J945">
        <v>17</v>
      </c>
      <c r="K945">
        <v>10.85</v>
      </c>
      <c r="L945">
        <v>1.25</v>
      </c>
      <c r="M945">
        <v>2.19</v>
      </c>
      <c r="N945">
        <v>0.24</v>
      </c>
      <c r="O945">
        <v>2.5499999999999998</v>
      </c>
      <c r="P945">
        <v>0.64700000000000002</v>
      </c>
    </row>
    <row r="946" spans="1:16" x14ac:dyDescent="0.25">
      <c r="A946" s="1">
        <v>42563</v>
      </c>
      <c r="B946">
        <v>6.46</v>
      </c>
      <c r="C946">
        <v>155.5</v>
      </c>
      <c r="D946">
        <v>3.2080000000000002</v>
      </c>
      <c r="E946">
        <v>12.68</v>
      </c>
      <c r="F946">
        <v>6</v>
      </c>
      <c r="G946">
        <v>1.63</v>
      </c>
      <c r="H946">
        <v>4.9400000000000004</v>
      </c>
      <c r="I946">
        <v>30</v>
      </c>
      <c r="J946">
        <v>17</v>
      </c>
      <c r="K946">
        <v>10.87</v>
      </c>
      <c r="L946">
        <v>1.3</v>
      </c>
      <c r="M946">
        <v>2.2400000000000002</v>
      </c>
      <c r="N946">
        <v>0.245</v>
      </c>
      <c r="O946">
        <v>2.63</v>
      </c>
      <c r="P946">
        <v>0.66700000000000004</v>
      </c>
    </row>
    <row r="947" spans="1:16" x14ac:dyDescent="0.25">
      <c r="A947" s="1">
        <v>42564</v>
      </c>
      <c r="B947">
        <v>6.46</v>
      </c>
      <c r="C947">
        <v>158.6</v>
      </c>
      <c r="D947">
        <v>3.1989999999999998</v>
      </c>
      <c r="E947">
        <v>12.71</v>
      </c>
      <c r="F947">
        <v>6.05</v>
      </c>
      <c r="G947">
        <v>1.65</v>
      </c>
      <c r="H947">
        <v>4.93</v>
      </c>
      <c r="I947">
        <v>30.01</v>
      </c>
      <c r="J947">
        <v>17.3</v>
      </c>
      <c r="K947">
        <v>10.88</v>
      </c>
      <c r="L947">
        <v>1.32</v>
      </c>
      <c r="M947">
        <v>2.2000000000000002</v>
      </c>
      <c r="N947">
        <v>0.245</v>
      </c>
      <c r="O947">
        <v>2.63</v>
      </c>
      <c r="P947">
        <v>0.65700000000000003</v>
      </c>
    </row>
    <row r="948" spans="1:16" x14ac:dyDescent="0.25">
      <c r="A948" s="1">
        <v>42565</v>
      </c>
      <c r="B948">
        <v>6.48</v>
      </c>
      <c r="C948">
        <v>158.55000000000001</v>
      </c>
      <c r="D948">
        <v>3.19</v>
      </c>
      <c r="E948">
        <v>12.7</v>
      </c>
      <c r="F948">
        <v>6.05</v>
      </c>
      <c r="G948">
        <v>1.67</v>
      </c>
      <c r="H948">
        <v>4.9400000000000004</v>
      </c>
      <c r="I948">
        <v>31</v>
      </c>
      <c r="J948">
        <v>17.399999999999999</v>
      </c>
      <c r="K948">
        <v>10.88</v>
      </c>
      <c r="L948">
        <v>1.37</v>
      </c>
      <c r="M948">
        <v>2.29</v>
      </c>
      <c r="N948">
        <v>0.26800000000000002</v>
      </c>
      <c r="O948">
        <v>2.7</v>
      </c>
      <c r="P948">
        <v>0.65700000000000003</v>
      </c>
    </row>
    <row r="949" spans="1:16" x14ac:dyDescent="0.25">
      <c r="A949" s="1">
        <v>42566</v>
      </c>
      <c r="B949">
        <v>6.5</v>
      </c>
      <c r="C949">
        <v>156.1</v>
      </c>
      <c r="D949">
        <v>3.19</v>
      </c>
      <c r="E949">
        <v>12.65</v>
      </c>
      <c r="F949">
        <v>6.03</v>
      </c>
      <c r="G949">
        <v>1.67</v>
      </c>
      <c r="H949">
        <v>5</v>
      </c>
      <c r="I949">
        <v>31</v>
      </c>
      <c r="J949">
        <v>18</v>
      </c>
      <c r="K949">
        <v>10.88</v>
      </c>
      <c r="L949">
        <v>1.35</v>
      </c>
      <c r="M949">
        <v>2.27</v>
      </c>
      <c r="N949">
        <v>0.26800000000000002</v>
      </c>
      <c r="O949">
        <v>2.71</v>
      </c>
      <c r="P949">
        <v>0.67700000000000005</v>
      </c>
    </row>
    <row r="950" spans="1:16" x14ac:dyDescent="0.25">
      <c r="A950" s="1">
        <v>42569</v>
      </c>
      <c r="B950">
        <v>6.7</v>
      </c>
      <c r="C950">
        <v>158.22</v>
      </c>
      <c r="D950">
        <v>3.2509999999999999</v>
      </c>
      <c r="E950">
        <v>12.75</v>
      </c>
      <c r="F950">
        <v>6.15</v>
      </c>
      <c r="G950">
        <v>1.7</v>
      </c>
      <c r="H950">
        <v>5.15</v>
      </c>
      <c r="I950">
        <v>31</v>
      </c>
      <c r="J950">
        <v>18</v>
      </c>
      <c r="K950">
        <v>10.91</v>
      </c>
      <c r="L950">
        <v>1.33</v>
      </c>
      <c r="M950">
        <v>2.25</v>
      </c>
      <c r="N950">
        <v>0.27500000000000002</v>
      </c>
      <c r="O950">
        <v>2.85</v>
      </c>
      <c r="P950">
        <v>0.66700000000000004</v>
      </c>
    </row>
    <row r="951" spans="1:16" x14ac:dyDescent="0.25">
      <c r="A951" s="1">
        <v>42570</v>
      </c>
      <c r="B951">
        <v>6.76</v>
      </c>
      <c r="C951">
        <v>158.4</v>
      </c>
      <c r="D951">
        <v>3.2080000000000002</v>
      </c>
      <c r="E951">
        <v>12.55</v>
      </c>
      <c r="F951">
        <v>6.21</v>
      </c>
      <c r="G951">
        <v>1.68</v>
      </c>
      <c r="H951">
        <v>5.0999999999999996</v>
      </c>
      <c r="I951">
        <v>30.99</v>
      </c>
      <c r="J951">
        <v>17.5</v>
      </c>
      <c r="K951">
        <v>10.92</v>
      </c>
      <c r="L951">
        <v>1.33</v>
      </c>
      <c r="M951">
        <v>2.25</v>
      </c>
      <c r="N951">
        <v>0.27200000000000002</v>
      </c>
      <c r="O951">
        <v>2.85</v>
      </c>
      <c r="P951">
        <v>0.67700000000000005</v>
      </c>
    </row>
    <row r="952" spans="1:16" x14ac:dyDescent="0.25">
      <c r="A952" s="1">
        <v>42571</v>
      </c>
      <c r="B952">
        <v>7</v>
      </c>
      <c r="C952">
        <v>158.69999999999999</v>
      </c>
      <c r="D952">
        <v>3.13</v>
      </c>
      <c r="E952">
        <v>12.34</v>
      </c>
      <c r="F952">
        <v>6.15</v>
      </c>
      <c r="G952">
        <v>1.69</v>
      </c>
      <c r="H952">
        <v>5</v>
      </c>
      <c r="I952">
        <v>30.99</v>
      </c>
      <c r="J952">
        <v>17.600000000000001</v>
      </c>
      <c r="K952">
        <v>11.15</v>
      </c>
      <c r="L952">
        <v>1.27</v>
      </c>
      <c r="M952">
        <v>2.25</v>
      </c>
      <c r="N952">
        <v>0.27</v>
      </c>
      <c r="O952">
        <v>2.8</v>
      </c>
      <c r="P952">
        <v>0.65</v>
      </c>
    </row>
    <row r="953" spans="1:16" x14ac:dyDescent="0.25">
      <c r="A953" s="1">
        <v>42572</v>
      </c>
      <c r="B953">
        <v>7.16</v>
      </c>
      <c r="C953">
        <v>159.80000000000001</v>
      </c>
      <c r="D953">
        <v>3.1379999999999999</v>
      </c>
      <c r="E953">
        <v>12.83</v>
      </c>
      <c r="F953">
        <v>6.1</v>
      </c>
      <c r="G953">
        <v>1.63</v>
      </c>
      <c r="H953">
        <v>5</v>
      </c>
      <c r="I953">
        <v>30.7</v>
      </c>
      <c r="J953">
        <v>18</v>
      </c>
      <c r="K953">
        <v>11.2</v>
      </c>
      <c r="L953">
        <v>1.28</v>
      </c>
      <c r="M953">
        <v>2.25</v>
      </c>
      <c r="N953">
        <v>0.26300000000000001</v>
      </c>
      <c r="O953">
        <v>2.8</v>
      </c>
      <c r="P953">
        <v>0.68</v>
      </c>
    </row>
    <row r="954" spans="1:16" x14ac:dyDescent="0.25">
      <c r="A954" s="1">
        <v>42573</v>
      </c>
      <c r="B954">
        <v>7.15</v>
      </c>
      <c r="C954">
        <v>162.01</v>
      </c>
      <c r="D954">
        <v>3.1379999999999999</v>
      </c>
      <c r="E954">
        <v>12.7</v>
      </c>
      <c r="F954">
        <v>6.09</v>
      </c>
      <c r="G954">
        <v>1.6</v>
      </c>
      <c r="H954">
        <v>5</v>
      </c>
      <c r="I954">
        <v>30.15</v>
      </c>
      <c r="J954">
        <v>17.87</v>
      </c>
      <c r="K954">
        <v>11.22</v>
      </c>
      <c r="L954">
        <v>1.3</v>
      </c>
      <c r="M954">
        <v>2.25</v>
      </c>
      <c r="N954">
        <v>0.25700000000000001</v>
      </c>
      <c r="O954">
        <v>2.77</v>
      </c>
      <c r="P954">
        <v>0.66</v>
      </c>
    </row>
    <row r="955" spans="1:16" x14ac:dyDescent="0.25">
      <c r="A955" s="1">
        <v>42576</v>
      </c>
      <c r="B955">
        <v>7.16</v>
      </c>
      <c r="C955">
        <v>160.6</v>
      </c>
      <c r="D955">
        <v>3.1469999999999998</v>
      </c>
      <c r="E955">
        <v>12.25</v>
      </c>
      <c r="F955">
        <v>6.1</v>
      </c>
      <c r="G955">
        <v>1.6</v>
      </c>
      <c r="H955">
        <v>4.95</v>
      </c>
      <c r="I955">
        <v>30.05</v>
      </c>
      <c r="J955">
        <v>17.87</v>
      </c>
      <c r="K955">
        <v>11.3</v>
      </c>
      <c r="L955">
        <v>1.3</v>
      </c>
      <c r="M955">
        <v>2.25</v>
      </c>
      <c r="N955">
        <v>0.251</v>
      </c>
      <c r="O955">
        <v>2.7</v>
      </c>
      <c r="P955">
        <v>0.66</v>
      </c>
    </row>
    <row r="956" spans="1:16" x14ac:dyDescent="0.25">
      <c r="A956" s="1">
        <v>42577</v>
      </c>
      <c r="B956">
        <v>7.15</v>
      </c>
      <c r="C956">
        <v>162</v>
      </c>
      <c r="D956">
        <v>3.1640000000000001</v>
      </c>
      <c r="E956">
        <v>12.77</v>
      </c>
      <c r="F956">
        <v>6.09</v>
      </c>
      <c r="G956">
        <v>1.62</v>
      </c>
      <c r="H956">
        <v>5.0999999999999996</v>
      </c>
      <c r="I956">
        <v>30.15</v>
      </c>
      <c r="J956">
        <v>18</v>
      </c>
      <c r="K956">
        <v>11.4</v>
      </c>
      <c r="L956">
        <v>1.3</v>
      </c>
      <c r="M956">
        <v>2.4</v>
      </c>
      <c r="N956">
        <v>0.255</v>
      </c>
      <c r="O956">
        <v>2.75</v>
      </c>
      <c r="P956">
        <v>0.67</v>
      </c>
    </row>
    <row r="957" spans="1:16" x14ac:dyDescent="0.25">
      <c r="A957" s="1">
        <v>42578</v>
      </c>
      <c r="B957">
        <v>7.5</v>
      </c>
      <c r="C957">
        <v>161.1</v>
      </c>
      <c r="D957">
        <v>3.2509999999999999</v>
      </c>
      <c r="E957">
        <v>13.9</v>
      </c>
      <c r="F957">
        <v>6.15</v>
      </c>
      <c r="G957">
        <v>1.63</v>
      </c>
      <c r="H957">
        <v>5.23</v>
      </c>
      <c r="I957">
        <v>32.5</v>
      </c>
      <c r="J957">
        <v>18.100000000000001</v>
      </c>
      <c r="K957">
        <v>11.4</v>
      </c>
      <c r="L957">
        <v>1.33</v>
      </c>
      <c r="M957">
        <v>2.37</v>
      </c>
      <c r="N957">
        <v>0.26800000000000002</v>
      </c>
      <c r="O957">
        <v>2.8</v>
      </c>
      <c r="P957">
        <v>0.67</v>
      </c>
    </row>
    <row r="958" spans="1:16" x14ac:dyDescent="0.25">
      <c r="A958" s="1">
        <v>42583</v>
      </c>
      <c r="B958">
        <v>7.8</v>
      </c>
      <c r="C958">
        <v>160.80000000000001</v>
      </c>
      <c r="D958">
        <v>3.3029999999999999</v>
      </c>
      <c r="E958">
        <v>14.82</v>
      </c>
      <c r="F958">
        <v>6.13</v>
      </c>
      <c r="G958">
        <v>1.6</v>
      </c>
      <c r="H958">
        <v>5.25</v>
      </c>
      <c r="I958">
        <v>32.5</v>
      </c>
      <c r="J958">
        <v>18.100000000000001</v>
      </c>
      <c r="K958">
        <v>11.55</v>
      </c>
      <c r="L958">
        <v>1.37</v>
      </c>
      <c r="M958">
        <v>2.52</v>
      </c>
      <c r="N958">
        <v>0.26700000000000002</v>
      </c>
      <c r="O958">
        <v>2.7869999999999999</v>
      </c>
      <c r="P958">
        <v>0.68</v>
      </c>
    </row>
    <row r="959" spans="1:16" x14ac:dyDescent="0.25">
      <c r="A959" s="1">
        <v>42584</v>
      </c>
      <c r="B959">
        <v>7.8</v>
      </c>
      <c r="C959">
        <v>157.9</v>
      </c>
      <c r="D959">
        <v>3.3029999999999999</v>
      </c>
      <c r="E959">
        <v>15.1</v>
      </c>
      <c r="F959">
        <v>6.08</v>
      </c>
      <c r="G959">
        <v>1.58</v>
      </c>
      <c r="H959">
        <v>5.25</v>
      </c>
      <c r="I959">
        <v>32.4</v>
      </c>
      <c r="J959">
        <v>18.2</v>
      </c>
      <c r="K959">
        <v>11.6</v>
      </c>
      <c r="L959">
        <v>1.31</v>
      </c>
      <c r="M959">
        <v>2.6</v>
      </c>
      <c r="N959">
        <v>0.25800000000000001</v>
      </c>
      <c r="O959">
        <v>2.8170000000000002</v>
      </c>
      <c r="P959">
        <v>0.68</v>
      </c>
    </row>
    <row r="960" spans="1:16" x14ac:dyDescent="0.25">
      <c r="A960" s="1">
        <v>42585</v>
      </c>
      <c r="B960">
        <v>7.56</v>
      </c>
      <c r="C960">
        <v>159.4</v>
      </c>
      <c r="D960">
        <v>3.2679999999999998</v>
      </c>
      <c r="E960">
        <v>15.3</v>
      </c>
      <c r="F960">
        <v>6.08</v>
      </c>
      <c r="G960">
        <v>1.6</v>
      </c>
      <c r="H960">
        <v>5.4</v>
      </c>
      <c r="I960">
        <v>31.8</v>
      </c>
      <c r="J960">
        <v>18.149999999999999</v>
      </c>
      <c r="K960">
        <v>11.68</v>
      </c>
      <c r="L960">
        <v>1.32</v>
      </c>
      <c r="M960">
        <v>2.57</v>
      </c>
      <c r="N960">
        <v>0.25800000000000001</v>
      </c>
      <c r="O960">
        <v>2.7770000000000001</v>
      </c>
      <c r="P960">
        <v>0.67</v>
      </c>
    </row>
    <row r="961" spans="1:16" x14ac:dyDescent="0.25">
      <c r="A961" s="1">
        <v>42586</v>
      </c>
      <c r="B961">
        <v>7.56</v>
      </c>
      <c r="C961">
        <v>160.1</v>
      </c>
      <c r="D961">
        <v>3.286</v>
      </c>
      <c r="E961">
        <v>15.57</v>
      </c>
      <c r="F961">
        <v>6.18</v>
      </c>
      <c r="G961">
        <v>1.6</v>
      </c>
      <c r="H961">
        <v>5.43</v>
      </c>
      <c r="I961">
        <v>31.99</v>
      </c>
      <c r="J961">
        <v>18.149999999999999</v>
      </c>
      <c r="K961">
        <v>11.68</v>
      </c>
      <c r="L961">
        <v>1.32</v>
      </c>
      <c r="M961">
        <v>2.6</v>
      </c>
      <c r="N961">
        <v>0.255</v>
      </c>
      <c r="O961">
        <v>2.7469999999999999</v>
      </c>
      <c r="P961">
        <v>0.68</v>
      </c>
    </row>
    <row r="962" spans="1:16" x14ac:dyDescent="0.25">
      <c r="A962" s="1">
        <v>42587</v>
      </c>
      <c r="B962">
        <v>7.7</v>
      </c>
      <c r="C962">
        <v>159.5</v>
      </c>
      <c r="D962">
        <v>3.3119999999999998</v>
      </c>
      <c r="E962">
        <v>15.15</v>
      </c>
      <c r="F962">
        <v>6.11</v>
      </c>
      <c r="G962">
        <v>1.59</v>
      </c>
      <c r="H962">
        <v>5.52</v>
      </c>
      <c r="I962">
        <v>31.8</v>
      </c>
      <c r="J962">
        <v>18</v>
      </c>
      <c r="K962">
        <v>11.75</v>
      </c>
      <c r="L962">
        <v>1.33</v>
      </c>
      <c r="M962">
        <v>2.62</v>
      </c>
      <c r="N962">
        <v>0.254</v>
      </c>
      <c r="O962">
        <v>2.7869999999999999</v>
      </c>
      <c r="P962">
        <v>0.67</v>
      </c>
    </row>
    <row r="963" spans="1:16" x14ac:dyDescent="0.25">
      <c r="A963" s="1">
        <v>42590</v>
      </c>
      <c r="B963">
        <v>7.56</v>
      </c>
      <c r="C963">
        <v>159.4</v>
      </c>
      <c r="D963">
        <v>3.2770000000000001</v>
      </c>
      <c r="E963">
        <v>15.04</v>
      </c>
      <c r="F963">
        <v>6.11</v>
      </c>
      <c r="G963">
        <v>1.59</v>
      </c>
      <c r="H963">
        <v>5.54</v>
      </c>
      <c r="I963">
        <v>31.8</v>
      </c>
      <c r="J963">
        <v>18</v>
      </c>
      <c r="K963">
        <v>11.75</v>
      </c>
      <c r="L963">
        <v>1.3</v>
      </c>
      <c r="M963">
        <v>2.65</v>
      </c>
      <c r="N963">
        <v>0.254</v>
      </c>
      <c r="O963">
        <v>2.7570000000000001</v>
      </c>
      <c r="P963">
        <v>0.68</v>
      </c>
    </row>
    <row r="964" spans="1:16" x14ac:dyDescent="0.25">
      <c r="A964" s="1">
        <v>42591</v>
      </c>
      <c r="B964">
        <v>7.44</v>
      </c>
      <c r="C964">
        <v>158.01</v>
      </c>
      <c r="D964">
        <v>3.294</v>
      </c>
      <c r="E964">
        <v>15.15</v>
      </c>
      <c r="F964">
        <v>6.08</v>
      </c>
      <c r="G964">
        <v>1.58</v>
      </c>
      <c r="H964">
        <v>5.5</v>
      </c>
      <c r="I964">
        <v>31.8</v>
      </c>
      <c r="J964">
        <v>18.2</v>
      </c>
      <c r="K964">
        <v>11.9</v>
      </c>
      <c r="L964">
        <v>1.28</v>
      </c>
      <c r="M964">
        <v>2.65</v>
      </c>
      <c r="N964">
        <v>0.255</v>
      </c>
      <c r="O964">
        <v>2.7770000000000001</v>
      </c>
      <c r="P964">
        <v>0.68</v>
      </c>
    </row>
    <row r="965" spans="1:16" x14ac:dyDescent="0.25">
      <c r="A965" s="1">
        <v>42592</v>
      </c>
      <c r="B965">
        <v>7.44</v>
      </c>
      <c r="C965">
        <v>161.56</v>
      </c>
      <c r="D965">
        <v>3.286</v>
      </c>
      <c r="E965">
        <v>15.13</v>
      </c>
      <c r="F965">
        <v>6.1</v>
      </c>
      <c r="G965">
        <v>1.58</v>
      </c>
      <c r="H965">
        <v>5.54</v>
      </c>
      <c r="I965">
        <v>31.82</v>
      </c>
      <c r="J965">
        <v>18.3</v>
      </c>
      <c r="K965">
        <v>11.75</v>
      </c>
      <c r="L965">
        <v>1.3</v>
      </c>
      <c r="M965">
        <v>2.73</v>
      </c>
      <c r="N965">
        <v>0.253</v>
      </c>
      <c r="O965">
        <v>2.8</v>
      </c>
      <c r="P965">
        <v>0.68</v>
      </c>
    </row>
    <row r="966" spans="1:16" x14ac:dyDescent="0.25">
      <c r="A966" s="1">
        <v>42593</v>
      </c>
      <c r="B966">
        <v>7.5</v>
      </c>
      <c r="C966">
        <v>163</v>
      </c>
      <c r="D966">
        <v>3.294</v>
      </c>
      <c r="E966">
        <v>15.34</v>
      </c>
      <c r="F966">
        <v>6.07</v>
      </c>
      <c r="G966">
        <v>1.57</v>
      </c>
      <c r="H966">
        <v>5.64</v>
      </c>
      <c r="I966">
        <v>31.9</v>
      </c>
      <c r="J966">
        <v>18.3</v>
      </c>
      <c r="K966">
        <v>11.74</v>
      </c>
      <c r="L966">
        <v>1.33</v>
      </c>
      <c r="M966">
        <v>2.72</v>
      </c>
      <c r="N966">
        <v>0.26</v>
      </c>
      <c r="O966">
        <v>2.8</v>
      </c>
      <c r="P966">
        <v>0.69</v>
      </c>
    </row>
    <row r="967" spans="1:16" x14ac:dyDescent="0.25">
      <c r="A967" s="1">
        <v>42594</v>
      </c>
      <c r="B967">
        <v>7.5</v>
      </c>
      <c r="C967">
        <v>158.6</v>
      </c>
      <c r="D967">
        <v>3.3380000000000001</v>
      </c>
      <c r="E967">
        <v>15.6</v>
      </c>
      <c r="F967">
        <v>6.12</v>
      </c>
      <c r="G967">
        <v>1.57</v>
      </c>
      <c r="H967">
        <v>5.7</v>
      </c>
      <c r="I967">
        <v>31.87</v>
      </c>
      <c r="J967">
        <v>18.55</v>
      </c>
      <c r="K967">
        <v>11.6</v>
      </c>
      <c r="L967">
        <v>1.33</v>
      </c>
      <c r="M967">
        <v>2.7</v>
      </c>
      <c r="N967">
        <v>0.26</v>
      </c>
      <c r="O967">
        <v>2.79</v>
      </c>
      <c r="P967">
        <v>0.68</v>
      </c>
    </row>
    <row r="968" spans="1:16" x14ac:dyDescent="0.25">
      <c r="A968" s="1">
        <v>42597</v>
      </c>
      <c r="B968">
        <v>7.6</v>
      </c>
      <c r="C968">
        <v>158.85</v>
      </c>
      <c r="D968">
        <v>3.355</v>
      </c>
      <c r="E968">
        <v>15.87</v>
      </c>
      <c r="F968">
        <v>6.14</v>
      </c>
      <c r="G968">
        <v>1.59</v>
      </c>
      <c r="H968">
        <v>5.8</v>
      </c>
      <c r="I968">
        <v>31.87</v>
      </c>
      <c r="J968">
        <v>18.5</v>
      </c>
      <c r="K968">
        <v>11.4</v>
      </c>
      <c r="L968">
        <v>1.32</v>
      </c>
      <c r="M968">
        <v>2.7</v>
      </c>
      <c r="N968">
        <v>0.26300000000000001</v>
      </c>
      <c r="O968">
        <v>2.77</v>
      </c>
      <c r="P968">
        <v>0.67</v>
      </c>
    </row>
    <row r="969" spans="1:16" x14ac:dyDescent="0.25">
      <c r="A969" s="1">
        <v>42598</v>
      </c>
      <c r="B969">
        <v>7.61</v>
      </c>
      <c r="C969">
        <v>157.5</v>
      </c>
      <c r="D969">
        <v>3.3380000000000001</v>
      </c>
      <c r="E969">
        <v>15.6</v>
      </c>
      <c r="F969">
        <v>6.15</v>
      </c>
      <c r="G969">
        <v>1.62</v>
      </c>
      <c r="H969">
        <v>5.8</v>
      </c>
      <c r="I969">
        <v>31.75</v>
      </c>
      <c r="J969">
        <v>18.600000000000001</v>
      </c>
      <c r="K969">
        <v>11.4</v>
      </c>
      <c r="L969">
        <v>1.32</v>
      </c>
      <c r="M969">
        <v>2.71</v>
      </c>
      <c r="N969">
        <v>0.26300000000000001</v>
      </c>
      <c r="O969">
        <v>2.79</v>
      </c>
      <c r="P969">
        <v>0.67</v>
      </c>
    </row>
    <row r="970" spans="1:16" x14ac:dyDescent="0.25">
      <c r="A970" s="1">
        <v>42599</v>
      </c>
      <c r="B970">
        <v>7.72</v>
      </c>
      <c r="C970">
        <v>156.32</v>
      </c>
      <c r="D970">
        <v>3.3639999999999999</v>
      </c>
      <c r="E970">
        <v>15.5</v>
      </c>
      <c r="F970">
        <v>6.19</v>
      </c>
      <c r="G970">
        <v>1.63</v>
      </c>
      <c r="H970">
        <v>5.82</v>
      </c>
      <c r="I970">
        <v>31.5</v>
      </c>
      <c r="J970">
        <v>18.61</v>
      </c>
      <c r="K970">
        <v>11.4</v>
      </c>
      <c r="L970">
        <v>1.32</v>
      </c>
      <c r="M970">
        <v>2.7</v>
      </c>
      <c r="N970">
        <v>0.26300000000000001</v>
      </c>
      <c r="O970">
        <v>2.79</v>
      </c>
      <c r="P970">
        <v>0.66</v>
      </c>
    </row>
    <row r="971" spans="1:16" x14ac:dyDescent="0.25">
      <c r="A971" s="1">
        <v>42600</v>
      </c>
      <c r="B971">
        <v>7.85</v>
      </c>
      <c r="C971">
        <v>156.94999999999999</v>
      </c>
      <c r="D971">
        <v>3.39</v>
      </c>
      <c r="E971">
        <v>16.27</v>
      </c>
      <c r="F971">
        <v>6.16</v>
      </c>
      <c r="G971">
        <v>1.65</v>
      </c>
      <c r="H971">
        <v>5.8</v>
      </c>
      <c r="I971">
        <v>31.5</v>
      </c>
      <c r="J971">
        <v>18.75</v>
      </c>
      <c r="K971">
        <v>11.7</v>
      </c>
      <c r="L971">
        <v>1.32</v>
      </c>
      <c r="M971">
        <v>2.8</v>
      </c>
      <c r="N971">
        <v>0.26600000000000001</v>
      </c>
      <c r="O971">
        <v>2.85</v>
      </c>
      <c r="P971">
        <v>0.67</v>
      </c>
    </row>
    <row r="972" spans="1:16" x14ac:dyDescent="0.25">
      <c r="A972" s="1">
        <v>42601</v>
      </c>
      <c r="B972">
        <v>7.85</v>
      </c>
      <c r="C972">
        <v>159.5</v>
      </c>
      <c r="D972">
        <v>3.3380000000000001</v>
      </c>
      <c r="E972">
        <v>16</v>
      </c>
      <c r="F972">
        <v>6.14</v>
      </c>
      <c r="G972">
        <v>1.65</v>
      </c>
      <c r="H972">
        <v>5.8</v>
      </c>
      <c r="I972">
        <v>31.5</v>
      </c>
      <c r="J972">
        <v>18.75</v>
      </c>
      <c r="K972">
        <v>11.65</v>
      </c>
      <c r="L972">
        <v>1.28</v>
      </c>
      <c r="M972">
        <v>2.8</v>
      </c>
      <c r="N972">
        <v>0.26500000000000001</v>
      </c>
      <c r="O972">
        <v>2.92</v>
      </c>
      <c r="P972">
        <v>0.66</v>
      </c>
    </row>
    <row r="973" spans="1:16" x14ac:dyDescent="0.25">
      <c r="A973" s="1">
        <v>42604</v>
      </c>
      <c r="B973">
        <v>7.85</v>
      </c>
      <c r="C973">
        <v>159.6</v>
      </c>
      <c r="D973">
        <v>3.3380000000000001</v>
      </c>
      <c r="E973">
        <v>15.2</v>
      </c>
      <c r="F973">
        <v>6.15</v>
      </c>
      <c r="G973">
        <v>1.65</v>
      </c>
      <c r="H973">
        <v>5.69</v>
      </c>
      <c r="I973">
        <v>31.48</v>
      </c>
      <c r="J973">
        <v>18.7</v>
      </c>
      <c r="K973">
        <v>11.65</v>
      </c>
      <c r="L973">
        <v>1.29</v>
      </c>
      <c r="M973">
        <v>2.77</v>
      </c>
      <c r="N973">
        <v>0.26</v>
      </c>
      <c r="O973">
        <v>2.87</v>
      </c>
      <c r="P973">
        <v>0.65</v>
      </c>
    </row>
    <row r="974" spans="1:16" x14ac:dyDescent="0.25">
      <c r="A974" s="1">
        <v>42605</v>
      </c>
      <c r="B974">
        <v>7.8</v>
      </c>
      <c r="C974">
        <v>160.1</v>
      </c>
      <c r="D974">
        <v>3.3719999999999999</v>
      </c>
      <c r="E974">
        <v>14.43</v>
      </c>
      <c r="F974">
        <v>6.28</v>
      </c>
      <c r="G974">
        <v>1.65</v>
      </c>
      <c r="H974">
        <v>5.7</v>
      </c>
      <c r="I974">
        <v>31.48</v>
      </c>
      <c r="J974">
        <v>18.7</v>
      </c>
      <c r="K974">
        <v>11.75</v>
      </c>
      <c r="L974">
        <v>1.32</v>
      </c>
      <c r="M974">
        <v>2.75</v>
      </c>
      <c r="N974">
        <v>0.26</v>
      </c>
      <c r="O974">
        <v>2.89</v>
      </c>
      <c r="P974">
        <v>0.66</v>
      </c>
    </row>
    <row r="975" spans="1:16" x14ac:dyDescent="0.25">
      <c r="A975" s="1">
        <v>42606</v>
      </c>
      <c r="B975">
        <v>7.75</v>
      </c>
      <c r="C975">
        <v>160.55000000000001</v>
      </c>
      <c r="D975">
        <v>3.45</v>
      </c>
      <c r="E975">
        <v>13.34</v>
      </c>
      <c r="F975">
        <v>6.33</v>
      </c>
      <c r="G975">
        <v>1.69</v>
      </c>
      <c r="H975">
        <v>5.58</v>
      </c>
      <c r="I975">
        <v>31.29</v>
      </c>
      <c r="J975">
        <v>18.59</v>
      </c>
      <c r="K975">
        <v>11.72</v>
      </c>
      <c r="L975">
        <v>1.3</v>
      </c>
      <c r="M975">
        <v>2.68</v>
      </c>
      <c r="N975">
        <v>0.26</v>
      </c>
      <c r="O975">
        <v>2.89</v>
      </c>
      <c r="P975">
        <v>0.63</v>
      </c>
    </row>
    <row r="976" spans="1:16" x14ac:dyDescent="0.25">
      <c r="A976" s="1">
        <v>42607</v>
      </c>
      <c r="B976">
        <v>7.8</v>
      </c>
      <c r="C976">
        <v>160.30000000000001</v>
      </c>
      <c r="D976">
        <v>3.39</v>
      </c>
      <c r="E976">
        <v>13.36</v>
      </c>
      <c r="F976">
        <v>6.44</v>
      </c>
      <c r="G976">
        <v>1.62</v>
      </c>
      <c r="H976">
        <v>5.52</v>
      </c>
      <c r="I976">
        <v>31</v>
      </c>
      <c r="J976">
        <v>18.5</v>
      </c>
      <c r="K976">
        <v>11.76</v>
      </c>
      <c r="L976">
        <v>1.26</v>
      </c>
      <c r="M976">
        <v>2.71</v>
      </c>
      <c r="N976">
        <v>0.26200000000000001</v>
      </c>
      <c r="O976">
        <v>2.89</v>
      </c>
      <c r="P976">
        <v>0.63</v>
      </c>
    </row>
    <row r="977" spans="1:16" x14ac:dyDescent="0.25">
      <c r="A977" s="1">
        <v>42608</v>
      </c>
      <c r="B977">
        <v>7.8</v>
      </c>
      <c r="C977">
        <v>157</v>
      </c>
      <c r="D977">
        <v>3.3809999999999998</v>
      </c>
      <c r="E977">
        <v>13.4</v>
      </c>
      <c r="F977">
        <v>6.5</v>
      </c>
      <c r="G977">
        <v>1.64</v>
      </c>
      <c r="H977">
        <v>5.4</v>
      </c>
      <c r="I977">
        <v>30.98</v>
      </c>
      <c r="J977">
        <v>18.5</v>
      </c>
      <c r="K977">
        <v>11.601000000000001</v>
      </c>
      <c r="L977">
        <v>1.28</v>
      </c>
      <c r="M977">
        <v>2.2909999999999999</v>
      </c>
      <c r="N977">
        <v>0.26</v>
      </c>
      <c r="O977">
        <v>2.89</v>
      </c>
      <c r="P977">
        <v>0.63</v>
      </c>
    </row>
    <row r="978" spans="1:16" x14ac:dyDescent="0.25">
      <c r="A978" s="1">
        <v>42611</v>
      </c>
      <c r="B978">
        <v>7.7</v>
      </c>
      <c r="C978">
        <v>159</v>
      </c>
      <c r="D978">
        <v>3.3380000000000001</v>
      </c>
      <c r="E978">
        <v>13.75</v>
      </c>
      <c r="F978">
        <v>6.2519999999999998</v>
      </c>
      <c r="G978">
        <v>1.63</v>
      </c>
      <c r="H978">
        <v>5.55</v>
      </c>
      <c r="I978">
        <v>30.9</v>
      </c>
      <c r="J978">
        <v>18.600000000000001</v>
      </c>
      <c r="K978">
        <v>11.581</v>
      </c>
      <c r="L978">
        <v>1.29</v>
      </c>
      <c r="M978">
        <v>2.2989999999999999</v>
      </c>
      <c r="N978">
        <v>0.26800000000000002</v>
      </c>
      <c r="O978">
        <v>2.95</v>
      </c>
      <c r="P978">
        <v>0.62</v>
      </c>
    </row>
    <row r="979" spans="1:16" x14ac:dyDescent="0.25">
      <c r="A979" s="1">
        <v>42613</v>
      </c>
      <c r="B979">
        <v>7.5</v>
      </c>
      <c r="C979">
        <v>156</v>
      </c>
      <c r="D979">
        <v>3.3719999999999999</v>
      </c>
      <c r="E979">
        <v>12.33</v>
      </c>
      <c r="F979">
        <v>6.3479999999999999</v>
      </c>
      <c r="G979">
        <v>1.63</v>
      </c>
      <c r="H979">
        <v>5.6</v>
      </c>
      <c r="I979">
        <v>30.5</v>
      </c>
      <c r="J979">
        <v>19</v>
      </c>
      <c r="K979">
        <v>11.611000000000001</v>
      </c>
      <c r="L979">
        <v>1.23</v>
      </c>
      <c r="M979">
        <v>2.2080000000000002</v>
      </c>
      <c r="N979">
        <v>0.26100000000000001</v>
      </c>
      <c r="O979">
        <v>2.9</v>
      </c>
      <c r="P979">
        <v>0.65</v>
      </c>
    </row>
    <row r="980" spans="1:16" x14ac:dyDescent="0.25">
      <c r="A980" s="1">
        <v>42614</v>
      </c>
      <c r="B980">
        <v>7.5</v>
      </c>
      <c r="C980">
        <v>161.6</v>
      </c>
      <c r="D980">
        <v>3.32</v>
      </c>
      <c r="E980">
        <v>12.95</v>
      </c>
      <c r="F980">
        <v>6.1280000000000001</v>
      </c>
      <c r="G980">
        <v>1.62</v>
      </c>
      <c r="H980">
        <v>5.45</v>
      </c>
      <c r="I980">
        <v>30.5</v>
      </c>
      <c r="J980">
        <v>18.3</v>
      </c>
      <c r="K980">
        <v>11.433</v>
      </c>
      <c r="L980">
        <v>1.27</v>
      </c>
      <c r="M980">
        <v>2.2330000000000001</v>
      </c>
      <c r="N980">
        <v>0.26100000000000001</v>
      </c>
      <c r="O980">
        <v>2.9</v>
      </c>
      <c r="P980">
        <v>0.64</v>
      </c>
    </row>
    <row r="981" spans="1:16" x14ac:dyDescent="0.25">
      <c r="A981" s="1">
        <v>42615</v>
      </c>
      <c r="B981">
        <v>7.6</v>
      </c>
      <c r="C981">
        <v>162</v>
      </c>
      <c r="D981">
        <v>3.32</v>
      </c>
      <c r="E981">
        <v>13.9</v>
      </c>
      <c r="F981">
        <v>6.2229999999999999</v>
      </c>
      <c r="G981">
        <v>1.64</v>
      </c>
      <c r="H981">
        <v>5.55</v>
      </c>
      <c r="I981">
        <v>30.8</v>
      </c>
      <c r="J981">
        <v>18.399999999999999</v>
      </c>
      <c r="K981">
        <v>11.611000000000001</v>
      </c>
      <c r="L981">
        <v>1.3</v>
      </c>
      <c r="M981">
        <v>2.2330000000000001</v>
      </c>
      <c r="N981">
        <v>0.26500000000000001</v>
      </c>
      <c r="O981">
        <v>2.88</v>
      </c>
      <c r="P981">
        <v>0.65</v>
      </c>
    </row>
    <row r="982" spans="1:16" x14ac:dyDescent="0.25">
      <c r="A982" s="1">
        <v>42618</v>
      </c>
      <c r="B982">
        <v>7.6</v>
      </c>
      <c r="C982">
        <v>162</v>
      </c>
      <c r="D982">
        <v>3.3380000000000001</v>
      </c>
      <c r="E982">
        <v>14.09</v>
      </c>
      <c r="F982">
        <v>6.319</v>
      </c>
      <c r="G982">
        <v>1.64</v>
      </c>
      <c r="H982">
        <v>5.55</v>
      </c>
      <c r="I982">
        <v>30.8</v>
      </c>
      <c r="J982">
        <v>18.149999999999999</v>
      </c>
      <c r="K982">
        <v>11.66</v>
      </c>
      <c r="L982">
        <v>1.31</v>
      </c>
      <c r="M982">
        <v>2.2410000000000001</v>
      </c>
      <c r="N982">
        <v>0.26800000000000002</v>
      </c>
      <c r="O982">
        <v>2.9</v>
      </c>
      <c r="P982">
        <v>0.66</v>
      </c>
    </row>
    <row r="983" spans="1:16" x14ac:dyDescent="0.25">
      <c r="A983" s="1">
        <v>42619</v>
      </c>
      <c r="B983">
        <v>7.8</v>
      </c>
      <c r="C983">
        <v>163.5</v>
      </c>
      <c r="D983">
        <v>3.3639999999999999</v>
      </c>
      <c r="E983">
        <v>14.78</v>
      </c>
      <c r="F983">
        <v>6.415</v>
      </c>
      <c r="G983">
        <v>1.65</v>
      </c>
      <c r="H983">
        <v>5.7</v>
      </c>
      <c r="I983">
        <v>31</v>
      </c>
      <c r="J983">
        <v>18.600000000000001</v>
      </c>
      <c r="K983">
        <v>11.67</v>
      </c>
      <c r="L983">
        <v>1.34</v>
      </c>
      <c r="M983">
        <v>2.2490000000000001</v>
      </c>
      <c r="N983">
        <v>0.26900000000000002</v>
      </c>
      <c r="O983">
        <v>2.87</v>
      </c>
      <c r="P983">
        <v>0.67</v>
      </c>
    </row>
    <row r="984" spans="1:16" x14ac:dyDescent="0.25">
      <c r="A984" s="1">
        <v>42620</v>
      </c>
      <c r="B984">
        <v>8</v>
      </c>
      <c r="C984">
        <v>162.94999999999999</v>
      </c>
      <c r="D984">
        <v>3.3719999999999999</v>
      </c>
      <c r="E984">
        <v>15</v>
      </c>
      <c r="F984">
        <v>6.42</v>
      </c>
      <c r="G984">
        <v>1.65</v>
      </c>
      <c r="H984">
        <v>5.83</v>
      </c>
      <c r="I984">
        <v>31.25</v>
      </c>
      <c r="J984">
        <v>18.600000000000001</v>
      </c>
      <c r="K984">
        <v>11.75</v>
      </c>
      <c r="L984">
        <v>1.31</v>
      </c>
      <c r="M984">
        <v>2.2330000000000001</v>
      </c>
      <c r="N984">
        <v>0.26500000000000001</v>
      </c>
      <c r="O984">
        <v>2.87</v>
      </c>
      <c r="P984">
        <v>0.67</v>
      </c>
    </row>
    <row r="985" spans="1:16" x14ac:dyDescent="0.25">
      <c r="A985" s="1">
        <v>42621</v>
      </c>
      <c r="B985">
        <v>7.99</v>
      </c>
      <c r="C985">
        <v>160.80000000000001</v>
      </c>
      <c r="D985">
        <v>3.3719999999999999</v>
      </c>
      <c r="E985">
        <v>15.15</v>
      </c>
      <c r="F985">
        <v>6.47</v>
      </c>
      <c r="G985">
        <v>1.65</v>
      </c>
      <c r="H985">
        <v>5.82</v>
      </c>
      <c r="I985">
        <v>31.5</v>
      </c>
      <c r="J985">
        <v>18.600000000000001</v>
      </c>
      <c r="K985">
        <v>11.75</v>
      </c>
      <c r="L985">
        <v>1.29</v>
      </c>
      <c r="M985">
        <v>2.274</v>
      </c>
      <c r="N985">
        <v>0.26900000000000002</v>
      </c>
      <c r="O985">
        <v>2.85</v>
      </c>
      <c r="P985">
        <v>0.66</v>
      </c>
    </row>
    <row r="986" spans="1:16" x14ac:dyDescent="0.25">
      <c r="A986" s="1">
        <v>42622</v>
      </c>
      <c r="B986">
        <v>7.9</v>
      </c>
      <c r="C986">
        <v>154.80000000000001</v>
      </c>
      <c r="D986">
        <v>3.3719999999999999</v>
      </c>
      <c r="E986">
        <v>14.5</v>
      </c>
      <c r="F986">
        <v>6.47</v>
      </c>
      <c r="G986">
        <v>1.64</v>
      </c>
      <c r="H986">
        <v>5.66</v>
      </c>
      <c r="I986">
        <v>31.5</v>
      </c>
      <c r="J986">
        <v>18.399999999999999</v>
      </c>
      <c r="K986">
        <v>11.73</v>
      </c>
      <c r="L986">
        <v>1.25</v>
      </c>
      <c r="M986">
        <v>2.2330000000000001</v>
      </c>
      <c r="N986">
        <v>0.26</v>
      </c>
      <c r="O986">
        <v>2.85</v>
      </c>
      <c r="P986">
        <v>0.64</v>
      </c>
    </row>
    <row r="987" spans="1:16" x14ac:dyDescent="0.25">
      <c r="A987" s="1">
        <v>42625</v>
      </c>
      <c r="B987">
        <v>8</v>
      </c>
      <c r="C987">
        <v>155</v>
      </c>
      <c r="D987">
        <v>3.3719999999999999</v>
      </c>
      <c r="E987">
        <v>14.8</v>
      </c>
      <c r="F987">
        <v>6.46</v>
      </c>
      <c r="G987">
        <v>1.59</v>
      </c>
      <c r="H987">
        <v>5.7</v>
      </c>
      <c r="I987">
        <v>31</v>
      </c>
      <c r="J987">
        <v>18.059999999999999</v>
      </c>
      <c r="K987">
        <v>11.6</v>
      </c>
      <c r="L987">
        <v>1.25</v>
      </c>
      <c r="M987">
        <v>2.1920000000000002</v>
      </c>
      <c r="N987">
        <v>0.255</v>
      </c>
      <c r="O987">
        <v>2.8</v>
      </c>
      <c r="P987">
        <v>0.64</v>
      </c>
    </row>
    <row r="988" spans="1:16" x14ac:dyDescent="0.25">
      <c r="A988" s="1">
        <v>42626</v>
      </c>
      <c r="B988">
        <v>7.9</v>
      </c>
      <c r="C988">
        <v>152.12</v>
      </c>
      <c r="D988">
        <v>3.3460000000000001</v>
      </c>
      <c r="E988">
        <v>14.17</v>
      </c>
      <c r="F988">
        <v>6.4</v>
      </c>
      <c r="G988">
        <v>1.59</v>
      </c>
      <c r="H988">
        <v>5.75</v>
      </c>
      <c r="I988">
        <v>31</v>
      </c>
      <c r="J988">
        <v>18.059999999999999</v>
      </c>
      <c r="K988">
        <v>11.55</v>
      </c>
      <c r="L988">
        <v>1.25</v>
      </c>
      <c r="M988">
        <v>2.1920000000000002</v>
      </c>
      <c r="N988">
        <v>0.252</v>
      </c>
      <c r="O988">
        <v>2.75</v>
      </c>
      <c r="P988">
        <v>0.63</v>
      </c>
    </row>
    <row r="989" spans="1:16" x14ac:dyDescent="0.25">
      <c r="A989" s="1">
        <v>42627</v>
      </c>
      <c r="B989">
        <v>7.9</v>
      </c>
      <c r="C989">
        <v>152.4</v>
      </c>
      <c r="D989">
        <v>3.294</v>
      </c>
      <c r="E989">
        <v>14.23</v>
      </c>
      <c r="F989">
        <v>6.5</v>
      </c>
      <c r="G989">
        <v>1.59</v>
      </c>
      <c r="H989">
        <v>5.8</v>
      </c>
      <c r="I989">
        <v>31</v>
      </c>
      <c r="J989">
        <v>17.8</v>
      </c>
      <c r="K989">
        <v>11.5</v>
      </c>
      <c r="L989">
        <v>1.28</v>
      </c>
      <c r="M989">
        <v>2.1920000000000002</v>
      </c>
      <c r="N989">
        <v>0.25600000000000001</v>
      </c>
      <c r="O989">
        <v>2.71</v>
      </c>
      <c r="P989">
        <v>0.64</v>
      </c>
    </row>
    <row r="990" spans="1:16" x14ac:dyDescent="0.25">
      <c r="A990" s="1">
        <v>42628</v>
      </c>
      <c r="B990">
        <v>7.84</v>
      </c>
      <c r="C990">
        <v>154.5</v>
      </c>
      <c r="D990">
        <v>3.294</v>
      </c>
      <c r="E990">
        <v>14.25</v>
      </c>
      <c r="F990">
        <v>6.5</v>
      </c>
      <c r="G990">
        <v>1.59</v>
      </c>
      <c r="H990">
        <v>5.9</v>
      </c>
      <c r="I990">
        <v>30.8</v>
      </c>
      <c r="J990">
        <v>18.149999999999999</v>
      </c>
      <c r="K990">
        <v>11.4</v>
      </c>
      <c r="L990">
        <v>1.25</v>
      </c>
      <c r="M990">
        <v>2.1920000000000002</v>
      </c>
      <c r="N990">
        <v>0.26</v>
      </c>
      <c r="O990">
        <v>2.72</v>
      </c>
      <c r="P990">
        <v>0.63</v>
      </c>
    </row>
    <row r="991" spans="1:16" x14ac:dyDescent="0.25">
      <c r="A991" s="1">
        <v>42629</v>
      </c>
      <c r="B991">
        <v>7.7</v>
      </c>
      <c r="C991">
        <v>151.30000000000001</v>
      </c>
      <c r="D991">
        <v>3.26</v>
      </c>
      <c r="E991">
        <v>13.9</v>
      </c>
      <c r="F991">
        <v>6.45</v>
      </c>
      <c r="G991">
        <v>1.61</v>
      </c>
      <c r="H991">
        <v>5.75</v>
      </c>
      <c r="I991">
        <v>30.56</v>
      </c>
      <c r="J991">
        <v>18.149999999999999</v>
      </c>
      <c r="K991">
        <v>11.25</v>
      </c>
      <c r="L991">
        <v>1.24</v>
      </c>
      <c r="M991">
        <v>2.1920000000000002</v>
      </c>
      <c r="N991">
        <v>0.26300000000000001</v>
      </c>
      <c r="O991">
        <v>2.66</v>
      </c>
      <c r="P991">
        <v>0.64</v>
      </c>
    </row>
    <row r="992" spans="1:16" x14ac:dyDescent="0.25">
      <c r="A992" s="1">
        <v>42632</v>
      </c>
      <c r="B992">
        <v>7.75</v>
      </c>
      <c r="C992">
        <v>152.4</v>
      </c>
      <c r="D992">
        <v>3.2679999999999998</v>
      </c>
      <c r="E992">
        <v>14.07</v>
      </c>
      <c r="F992">
        <v>6.48</v>
      </c>
      <c r="G992">
        <v>1.63</v>
      </c>
      <c r="H992">
        <v>5.7</v>
      </c>
      <c r="I992">
        <v>30.58</v>
      </c>
      <c r="J992">
        <v>18.25</v>
      </c>
      <c r="K992">
        <v>11.15</v>
      </c>
      <c r="L992">
        <v>1.26</v>
      </c>
      <c r="M992">
        <v>2.2000000000000002</v>
      </c>
      <c r="N992">
        <v>0.26300000000000001</v>
      </c>
      <c r="O992">
        <v>2.75</v>
      </c>
      <c r="P992">
        <v>0.64</v>
      </c>
    </row>
    <row r="993" spans="1:16" x14ac:dyDescent="0.25">
      <c r="A993" s="1">
        <v>42633</v>
      </c>
      <c r="B993">
        <v>7.65</v>
      </c>
      <c r="C993">
        <v>153.69999999999999</v>
      </c>
      <c r="D993">
        <v>3.2679999999999998</v>
      </c>
      <c r="E993">
        <v>14.06</v>
      </c>
      <c r="F993">
        <v>6.48</v>
      </c>
      <c r="G993">
        <v>1.61</v>
      </c>
      <c r="H993">
        <v>5.76</v>
      </c>
      <c r="I993">
        <v>31</v>
      </c>
      <c r="J993">
        <v>18.260000000000002</v>
      </c>
      <c r="K993">
        <v>11.04</v>
      </c>
      <c r="L993">
        <v>1.28</v>
      </c>
      <c r="M993">
        <v>2.2080000000000002</v>
      </c>
      <c r="N993">
        <v>0.25800000000000001</v>
      </c>
      <c r="O993">
        <v>2.75</v>
      </c>
      <c r="P993">
        <v>0.64</v>
      </c>
    </row>
    <row r="994" spans="1:16" x14ac:dyDescent="0.25">
      <c r="A994" s="1">
        <v>42634</v>
      </c>
      <c r="B994">
        <v>7.5</v>
      </c>
      <c r="C994">
        <v>156.19999999999999</v>
      </c>
      <c r="D994">
        <v>3.2679999999999998</v>
      </c>
      <c r="E994">
        <v>14.69</v>
      </c>
      <c r="F994">
        <v>6.48</v>
      </c>
      <c r="G994">
        <v>1.63</v>
      </c>
      <c r="H994">
        <v>5.8</v>
      </c>
      <c r="I994">
        <v>31.8</v>
      </c>
      <c r="J994">
        <v>18.36</v>
      </c>
      <c r="K994">
        <v>11.06</v>
      </c>
      <c r="L994">
        <v>1.28</v>
      </c>
      <c r="M994">
        <v>2.2080000000000002</v>
      </c>
      <c r="N994">
        <v>0.26200000000000001</v>
      </c>
      <c r="O994">
        <v>2.75</v>
      </c>
      <c r="P994">
        <v>0.64</v>
      </c>
    </row>
    <row r="995" spans="1:16" x14ac:dyDescent="0.25">
      <c r="A995" s="1">
        <v>42635</v>
      </c>
      <c r="B995">
        <v>7.6</v>
      </c>
      <c r="C995">
        <v>159.78</v>
      </c>
      <c r="D995">
        <v>3.3029999999999999</v>
      </c>
      <c r="E995">
        <v>14.59</v>
      </c>
      <c r="F995">
        <v>6.49</v>
      </c>
      <c r="G995">
        <v>1.64</v>
      </c>
      <c r="H995">
        <v>5.83</v>
      </c>
      <c r="I995">
        <v>31.85</v>
      </c>
      <c r="J995">
        <v>18.41</v>
      </c>
      <c r="K995">
        <v>11.14</v>
      </c>
      <c r="L995">
        <v>1.3</v>
      </c>
      <c r="M995">
        <v>2.2160000000000002</v>
      </c>
      <c r="N995">
        <v>0.25900000000000001</v>
      </c>
      <c r="O995">
        <v>2.81</v>
      </c>
      <c r="P995">
        <v>0.64</v>
      </c>
    </row>
    <row r="996" spans="1:16" x14ac:dyDescent="0.25">
      <c r="A996" s="1">
        <v>42636</v>
      </c>
      <c r="B996">
        <v>7.58</v>
      </c>
      <c r="C996">
        <v>156.6</v>
      </c>
      <c r="D996">
        <v>3.3380000000000001</v>
      </c>
      <c r="E996">
        <v>14.16</v>
      </c>
      <c r="F996">
        <v>6.49</v>
      </c>
      <c r="G996">
        <v>1.64</v>
      </c>
      <c r="H996">
        <v>5.63</v>
      </c>
      <c r="I996">
        <v>31.8</v>
      </c>
      <c r="J996">
        <v>18.5</v>
      </c>
      <c r="K996">
        <v>11.3</v>
      </c>
      <c r="L996">
        <v>1.3</v>
      </c>
      <c r="M996">
        <v>2.2160000000000002</v>
      </c>
      <c r="N996">
        <v>0.25800000000000001</v>
      </c>
      <c r="O996">
        <v>2.78</v>
      </c>
      <c r="P996">
        <v>0.63</v>
      </c>
    </row>
    <row r="997" spans="1:16" x14ac:dyDescent="0.25">
      <c r="A997" s="1">
        <v>42639</v>
      </c>
      <c r="B997">
        <v>7.52</v>
      </c>
      <c r="C997">
        <v>153.4</v>
      </c>
      <c r="D997">
        <v>3.3380000000000001</v>
      </c>
      <c r="E997">
        <v>13.86</v>
      </c>
      <c r="F997">
        <v>6.38</v>
      </c>
      <c r="G997">
        <v>1.62</v>
      </c>
      <c r="H997">
        <v>5.65</v>
      </c>
      <c r="I997">
        <v>31.7</v>
      </c>
      <c r="J997">
        <v>18.350000000000001</v>
      </c>
      <c r="K997">
        <v>11.4</v>
      </c>
      <c r="L997">
        <v>1.25</v>
      </c>
      <c r="M997">
        <v>2.2160000000000002</v>
      </c>
      <c r="N997">
        <v>0.25700000000000001</v>
      </c>
      <c r="O997">
        <v>2.76</v>
      </c>
      <c r="P997">
        <v>0.63</v>
      </c>
    </row>
    <row r="998" spans="1:16" x14ac:dyDescent="0.25">
      <c r="A998" s="1">
        <v>42640</v>
      </c>
      <c r="B998">
        <v>7.48</v>
      </c>
      <c r="C998">
        <v>152.1</v>
      </c>
      <c r="D998">
        <v>3.355</v>
      </c>
      <c r="E998">
        <v>13.3</v>
      </c>
      <c r="F998">
        <v>6.38</v>
      </c>
      <c r="G998">
        <v>1.63</v>
      </c>
      <c r="H998">
        <v>5.65</v>
      </c>
      <c r="I998">
        <v>31.8</v>
      </c>
      <c r="J998">
        <v>18.3</v>
      </c>
      <c r="K998">
        <v>11.4</v>
      </c>
      <c r="L998">
        <v>1.25</v>
      </c>
      <c r="M998">
        <v>2.2160000000000002</v>
      </c>
      <c r="N998">
        <v>0.252</v>
      </c>
      <c r="O998">
        <v>2.76</v>
      </c>
      <c r="P998">
        <v>0.62</v>
      </c>
    </row>
    <row r="999" spans="1:16" x14ac:dyDescent="0.25">
      <c r="A999" s="1">
        <v>42641</v>
      </c>
      <c r="B999">
        <v>7.43</v>
      </c>
      <c r="C999">
        <v>152.71</v>
      </c>
      <c r="D999">
        <v>3.355</v>
      </c>
      <c r="E999">
        <v>13.64</v>
      </c>
      <c r="F999">
        <v>6.48</v>
      </c>
      <c r="G999">
        <v>1.64</v>
      </c>
      <c r="H999">
        <v>5.7</v>
      </c>
      <c r="I999">
        <v>31.8</v>
      </c>
      <c r="J999">
        <v>18.3</v>
      </c>
      <c r="K999">
        <v>11.41</v>
      </c>
      <c r="L999">
        <v>1.25</v>
      </c>
      <c r="M999">
        <v>2.2250000000000001</v>
      </c>
      <c r="N999">
        <v>0.25700000000000001</v>
      </c>
      <c r="O999">
        <v>2.8</v>
      </c>
      <c r="P999">
        <v>0.62</v>
      </c>
    </row>
    <row r="1000" spans="1:16" x14ac:dyDescent="0.25">
      <c r="A1000" s="1">
        <v>42642</v>
      </c>
      <c r="B1000">
        <v>7.35</v>
      </c>
      <c r="C1000">
        <v>151.30000000000001</v>
      </c>
      <c r="D1000">
        <v>3.3460000000000001</v>
      </c>
      <c r="E1000">
        <v>13.85</v>
      </c>
      <c r="F1000">
        <v>6.43</v>
      </c>
      <c r="G1000">
        <v>1.62</v>
      </c>
      <c r="H1000">
        <v>5.66</v>
      </c>
      <c r="I1000">
        <v>31.73</v>
      </c>
      <c r="J1000">
        <v>18.3</v>
      </c>
      <c r="K1000">
        <v>11.45</v>
      </c>
      <c r="L1000">
        <v>1.3</v>
      </c>
      <c r="M1000">
        <v>2.2490000000000001</v>
      </c>
      <c r="N1000">
        <v>0.25900000000000001</v>
      </c>
      <c r="O1000">
        <v>2.8</v>
      </c>
      <c r="P1000">
        <v>0.62</v>
      </c>
    </row>
    <row r="1001" spans="1:16" x14ac:dyDescent="0.25">
      <c r="A1001" s="1">
        <v>42643</v>
      </c>
      <c r="B1001">
        <v>7.33</v>
      </c>
      <c r="C1001">
        <v>152.5</v>
      </c>
      <c r="D1001">
        <v>3.3460000000000001</v>
      </c>
      <c r="E1001">
        <v>13.99</v>
      </c>
      <c r="F1001">
        <v>6.43</v>
      </c>
      <c r="G1001">
        <v>1.65</v>
      </c>
      <c r="H1001">
        <v>5.56</v>
      </c>
      <c r="I1001">
        <v>31.95</v>
      </c>
      <c r="J1001">
        <v>18.3</v>
      </c>
      <c r="K1001">
        <v>11.45</v>
      </c>
      <c r="L1001">
        <v>1.3</v>
      </c>
      <c r="M1001">
        <v>2.2490000000000001</v>
      </c>
      <c r="N1001">
        <v>0.26300000000000001</v>
      </c>
      <c r="O1001">
        <v>2.8</v>
      </c>
      <c r="P1001">
        <v>0.62</v>
      </c>
    </row>
    <row r="1002" spans="1:16" x14ac:dyDescent="0.25">
      <c r="A1002" s="1">
        <v>42646</v>
      </c>
      <c r="B1002">
        <v>7.35</v>
      </c>
      <c r="C1002">
        <v>151.1</v>
      </c>
      <c r="D1002">
        <v>3.355</v>
      </c>
      <c r="E1002">
        <v>13.65</v>
      </c>
      <c r="F1002">
        <v>6.43</v>
      </c>
      <c r="G1002">
        <v>1.64</v>
      </c>
      <c r="H1002">
        <v>5.74</v>
      </c>
      <c r="I1002">
        <v>31.94</v>
      </c>
      <c r="J1002">
        <v>18.399999999999999</v>
      </c>
      <c r="K1002">
        <v>11.7</v>
      </c>
      <c r="L1002">
        <v>1.29</v>
      </c>
      <c r="M1002">
        <v>2.3980000000000001</v>
      </c>
      <c r="N1002">
        <v>0.26300000000000001</v>
      </c>
      <c r="O1002">
        <v>2.85</v>
      </c>
      <c r="P1002">
        <v>0.62</v>
      </c>
    </row>
    <row r="1003" spans="1:16" x14ac:dyDescent="0.25">
      <c r="A1003" s="1">
        <v>42647</v>
      </c>
      <c r="B1003">
        <v>7.35</v>
      </c>
      <c r="C1003">
        <v>149</v>
      </c>
      <c r="D1003">
        <v>3.3380000000000001</v>
      </c>
      <c r="E1003">
        <v>12.6</v>
      </c>
      <c r="F1003">
        <v>6.4</v>
      </c>
      <c r="G1003">
        <v>1.62</v>
      </c>
      <c r="H1003">
        <v>5.69</v>
      </c>
      <c r="I1003">
        <v>31.94</v>
      </c>
      <c r="J1003">
        <v>18.45</v>
      </c>
      <c r="K1003">
        <v>11.7</v>
      </c>
      <c r="L1003">
        <v>1.3</v>
      </c>
      <c r="M1003">
        <v>2.2330000000000001</v>
      </c>
      <c r="N1003">
        <v>0.254</v>
      </c>
      <c r="O1003">
        <v>2.83</v>
      </c>
      <c r="P1003">
        <v>0.6</v>
      </c>
    </row>
    <row r="1004" spans="1:16" x14ac:dyDescent="0.25">
      <c r="A1004" s="1">
        <v>42648</v>
      </c>
      <c r="B1004">
        <v>7.36</v>
      </c>
      <c r="C1004">
        <v>147.1</v>
      </c>
      <c r="D1004">
        <v>3.3380000000000001</v>
      </c>
      <c r="E1004">
        <v>12.57</v>
      </c>
      <c r="F1004">
        <v>6.43</v>
      </c>
      <c r="G1004">
        <v>1.63</v>
      </c>
      <c r="H1004">
        <v>5.75</v>
      </c>
      <c r="I1004">
        <v>31.9</v>
      </c>
      <c r="J1004">
        <v>18.55</v>
      </c>
      <c r="K1004">
        <v>11.6</v>
      </c>
      <c r="L1004">
        <v>1.31</v>
      </c>
      <c r="M1004">
        <v>2.3069999999999999</v>
      </c>
      <c r="N1004">
        <v>0.254</v>
      </c>
      <c r="O1004">
        <v>2.83</v>
      </c>
      <c r="P1004">
        <v>0.6</v>
      </c>
    </row>
    <row r="1005" spans="1:16" x14ac:dyDescent="0.25">
      <c r="A1005" s="1">
        <v>42649</v>
      </c>
      <c r="B1005">
        <v>7.45</v>
      </c>
      <c r="C1005">
        <v>146</v>
      </c>
      <c r="D1005">
        <v>3.3380000000000001</v>
      </c>
      <c r="E1005">
        <v>12.23</v>
      </c>
      <c r="F1005">
        <v>6.39</v>
      </c>
      <c r="G1005">
        <v>1.62</v>
      </c>
      <c r="H1005">
        <v>5.79</v>
      </c>
      <c r="I1005">
        <v>31.75</v>
      </c>
      <c r="J1005">
        <v>18.55</v>
      </c>
      <c r="K1005">
        <v>11.7</v>
      </c>
      <c r="L1005">
        <v>1.3</v>
      </c>
      <c r="M1005">
        <v>2.2989999999999999</v>
      </c>
      <c r="N1005">
        <v>0.255</v>
      </c>
      <c r="O1005">
        <v>2.83</v>
      </c>
      <c r="P1005">
        <v>0.59</v>
      </c>
    </row>
    <row r="1006" spans="1:16" x14ac:dyDescent="0.25">
      <c r="A1006" s="1">
        <v>42650</v>
      </c>
      <c r="B1006">
        <v>7.63</v>
      </c>
      <c r="C1006">
        <v>147</v>
      </c>
      <c r="D1006">
        <v>3.3290000000000002</v>
      </c>
      <c r="E1006">
        <v>12.5</v>
      </c>
      <c r="F1006">
        <v>6.4</v>
      </c>
      <c r="G1006">
        <v>1.64</v>
      </c>
      <c r="H1006">
        <v>5.79</v>
      </c>
      <c r="I1006">
        <v>31.75</v>
      </c>
      <c r="J1006">
        <v>18.55</v>
      </c>
      <c r="K1006">
        <v>11.65</v>
      </c>
      <c r="L1006">
        <v>1.29</v>
      </c>
      <c r="M1006">
        <v>2.2989999999999999</v>
      </c>
      <c r="N1006">
        <v>0.25600000000000001</v>
      </c>
      <c r="O1006">
        <v>2.89</v>
      </c>
      <c r="P1006">
        <v>0.61</v>
      </c>
    </row>
    <row r="1007" spans="1:16" x14ac:dyDescent="0.25">
      <c r="A1007" s="1">
        <v>42653</v>
      </c>
      <c r="B1007">
        <v>7.6</v>
      </c>
      <c r="C1007">
        <v>148.30000000000001</v>
      </c>
      <c r="D1007">
        <v>3.3290000000000002</v>
      </c>
      <c r="E1007">
        <v>12.59</v>
      </c>
      <c r="F1007">
        <v>6.45</v>
      </c>
      <c r="G1007">
        <v>1.64</v>
      </c>
      <c r="H1007">
        <v>5.74</v>
      </c>
      <c r="I1007">
        <v>31.65</v>
      </c>
      <c r="J1007">
        <v>18.399999999999999</v>
      </c>
      <c r="K1007">
        <v>11.66</v>
      </c>
      <c r="L1007">
        <v>1.29</v>
      </c>
      <c r="M1007">
        <v>2.2989999999999999</v>
      </c>
      <c r="N1007">
        <v>0.26400000000000001</v>
      </c>
      <c r="O1007">
        <v>2.9</v>
      </c>
      <c r="P1007">
        <v>0.61</v>
      </c>
    </row>
    <row r="1008" spans="1:16" x14ac:dyDescent="0.25">
      <c r="A1008" s="1">
        <v>42654</v>
      </c>
      <c r="B1008">
        <v>7.6</v>
      </c>
      <c r="C1008">
        <v>147.21</v>
      </c>
      <c r="D1008">
        <v>3.3290000000000002</v>
      </c>
      <c r="E1008">
        <v>12.35</v>
      </c>
      <c r="F1008">
        <v>6.45</v>
      </c>
      <c r="G1008">
        <v>1.63</v>
      </c>
      <c r="H1008">
        <v>5.74</v>
      </c>
      <c r="I1008">
        <v>31.35</v>
      </c>
      <c r="J1008">
        <v>18</v>
      </c>
      <c r="K1008">
        <v>11.8</v>
      </c>
      <c r="L1008">
        <v>1.27</v>
      </c>
      <c r="M1008">
        <v>2.274</v>
      </c>
      <c r="N1008">
        <v>0.26300000000000001</v>
      </c>
      <c r="O1008">
        <v>2.9</v>
      </c>
      <c r="P1008">
        <v>0.6</v>
      </c>
    </row>
    <row r="1009" spans="1:16" x14ac:dyDescent="0.25">
      <c r="A1009" s="1">
        <v>42655</v>
      </c>
      <c r="B1009">
        <v>7.6</v>
      </c>
      <c r="C1009">
        <v>148</v>
      </c>
      <c r="D1009">
        <v>3.3290000000000002</v>
      </c>
      <c r="E1009">
        <v>12.41</v>
      </c>
      <c r="F1009">
        <v>6.5</v>
      </c>
      <c r="G1009">
        <v>1.63</v>
      </c>
      <c r="H1009">
        <v>5.78</v>
      </c>
      <c r="I1009">
        <v>31.1</v>
      </c>
      <c r="J1009">
        <v>18.5</v>
      </c>
      <c r="K1009">
        <v>11.7</v>
      </c>
      <c r="L1009">
        <v>1.29</v>
      </c>
      <c r="M1009">
        <v>2.2160000000000002</v>
      </c>
      <c r="N1009">
        <v>0.26</v>
      </c>
      <c r="O1009">
        <v>2.9</v>
      </c>
      <c r="P1009">
        <v>0.6</v>
      </c>
    </row>
    <row r="1010" spans="1:16" x14ac:dyDescent="0.25">
      <c r="A1010" s="1">
        <v>42656</v>
      </c>
      <c r="B1010">
        <v>7.6</v>
      </c>
      <c r="C1010">
        <v>145.9</v>
      </c>
      <c r="D1010">
        <v>3.3290000000000002</v>
      </c>
      <c r="E1010">
        <v>12.64</v>
      </c>
      <c r="F1010">
        <v>6.5</v>
      </c>
      <c r="G1010">
        <v>1.62</v>
      </c>
      <c r="H1010">
        <v>5.68</v>
      </c>
      <c r="I1010">
        <v>30.7</v>
      </c>
      <c r="J1010">
        <v>18.2</v>
      </c>
      <c r="K1010">
        <v>11.6</v>
      </c>
      <c r="L1010">
        <v>1.29</v>
      </c>
      <c r="M1010">
        <v>2.2490000000000001</v>
      </c>
      <c r="N1010">
        <v>0.26</v>
      </c>
      <c r="O1010">
        <v>2.86</v>
      </c>
      <c r="P1010">
        <v>0.6</v>
      </c>
    </row>
    <row r="1011" spans="1:16" x14ac:dyDescent="0.25">
      <c r="A1011" s="1">
        <v>42657</v>
      </c>
      <c r="B1011">
        <v>7.65</v>
      </c>
      <c r="C1011">
        <v>146.79</v>
      </c>
      <c r="D1011">
        <v>3.3290000000000002</v>
      </c>
      <c r="E1011">
        <v>12.4</v>
      </c>
      <c r="F1011">
        <v>6.5</v>
      </c>
      <c r="G1011">
        <v>1.63</v>
      </c>
      <c r="H1011">
        <v>5.76</v>
      </c>
      <c r="I1011">
        <v>31.4</v>
      </c>
      <c r="J1011">
        <v>18.05</v>
      </c>
      <c r="K1011">
        <v>11.6</v>
      </c>
      <c r="L1011">
        <v>1.29</v>
      </c>
      <c r="M1011">
        <v>2.274</v>
      </c>
      <c r="N1011">
        <v>0.26</v>
      </c>
      <c r="O1011">
        <v>2.84</v>
      </c>
      <c r="P1011">
        <v>0.6</v>
      </c>
    </row>
    <row r="1012" spans="1:16" x14ac:dyDescent="0.25">
      <c r="A1012" s="1">
        <v>42660</v>
      </c>
      <c r="B1012">
        <v>7.65</v>
      </c>
      <c r="C1012">
        <v>145.55000000000001</v>
      </c>
      <c r="D1012">
        <v>3.3290000000000002</v>
      </c>
      <c r="E1012">
        <v>12.9</v>
      </c>
      <c r="F1012">
        <v>6.55</v>
      </c>
      <c r="G1012">
        <v>1.63</v>
      </c>
      <c r="H1012">
        <v>5.76</v>
      </c>
      <c r="I1012">
        <v>31.39</v>
      </c>
      <c r="J1012">
        <v>18.05</v>
      </c>
      <c r="K1012">
        <v>11.7</v>
      </c>
      <c r="L1012">
        <v>1.29</v>
      </c>
      <c r="M1012">
        <v>2.274</v>
      </c>
      <c r="N1012">
        <v>0.25900000000000001</v>
      </c>
      <c r="O1012">
        <v>2.83</v>
      </c>
      <c r="P1012">
        <v>0.6</v>
      </c>
    </row>
    <row r="1013" spans="1:16" x14ac:dyDescent="0.25">
      <c r="A1013" s="1">
        <v>42661</v>
      </c>
      <c r="B1013">
        <v>7.72</v>
      </c>
      <c r="C1013">
        <v>148.80000000000001</v>
      </c>
      <c r="D1013">
        <v>3.3719999999999999</v>
      </c>
      <c r="E1013">
        <v>13.61</v>
      </c>
      <c r="F1013">
        <v>6.54</v>
      </c>
      <c r="G1013">
        <v>1.66</v>
      </c>
      <c r="H1013">
        <v>5.8</v>
      </c>
      <c r="I1013">
        <v>31.24</v>
      </c>
      <c r="J1013">
        <v>18.05</v>
      </c>
      <c r="K1013">
        <v>11.74</v>
      </c>
      <c r="L1013">
        <v>1.31</v>
      </c>
      <c r="M1013">
        <v>2.3410000000000002</v>
      </c>
      <c r="N1013">
        <v>0.25600000000000001</v>
      </c>
      <c r="O1013">
        <v>2.79</v>
      </c>
      <c r="P1013">
        <v>0.62</v>
      </c>
    </row>
    <row r="1014" spans="1:16" x14ac:dyDescent="0.25">
      <c r="A1014" s="1">
        <v>42662</v>
      </c>
      <c r="B1014">
        <v>7.7</v>
      </c>
      <c r="C1014">
        <v>150.69999999999999</v>
      </c>
      <c r="D1014">
        <v>3.3809999999999998</v>
      </c>
      <c r="E1014">
        <v>14</v>
      </c>
      <c r="F1014">
        <v>6.55</v>
      </c>
      <c r="G1014">
        <v>1.66</v>
      </c>
      <c r="H1014">
        <v>5.77</v>
      </c>
      <c r="I1014">
        <v>31.15</v>
      </c>
      <c r="J1014">
        <v>18.05</v>
      </c>
      <c r="K1014">
        <v>11.74</v>
      </c>
      <c r="L1014">
        <v>1.33</v>
      </c>
      <c r="M1014">
        <v>2.44</v>
      </c>
      <c r="N1014">
        <v>0.26</v>
      </c>
      <c r="O1014">
        <v>2.75</v>
      </c>
      <c r="P1014">
        <v>0.64</v>
      </c>
    </row>
    <row r="1015" spans="1:16" x14ac:dyDescent="0.25">
      <c r="A1015" s="1">
        <v>42663</v>
      </c>
      <c r="B1015">
        <v>7.7</v>
      </c>
      <c r="C1015">
        <v>152.25</v>
      </c>
      <c r="D1015">
        <v>3.3809999999999998</v>
      </c>
      <c r="E1015">
        <v>13.77</v>
      </c>
      <c r="F1015">
        <v>6.5</v>
      </c>
      <c r="G1015">
        <v>1.64</v>
      </c>
      <c r="H1015">
        <v>5.82</v>
      </c>
      <c r="I1015">
        <v>31.2</v>
      </c>
      <c r="J1015">
        <v>18.100000000000001</v>
      </c>
      <c r="K1015">
        <v>11.73</v>
      </c>
      <c r="L1015">
        <v>1.34</v>
      </c>
      <c r="M1015">
        <v>2.3980000000000001</v>
      </c>
      <c r="N1015">
        <v>0.26400000000000001</v>
      </c>
      <c r="O1015">
        <v>2.75</v>
      </c>
      <c r="P1015">
        <v>0.63</v>
      </c>
    </row>
    <row r="1016" spans="1:16" x14ac:dyDescent="0.25">
      <c r="A1016" s="1">
        <v>42664</v>
      </c>
      <c r="B1016">
        <v>7.72</v>
      </c>
      <c r="C1016">
        <v>151.31</v>
      </c>
      <c r="D1016">
        <v>3.3809999999999998</v>
      </c>
      <c r="E1016">
        <v>13.65</v>
      </c>
      <c r="F1016">
        <v>6.5</v>
      </c>
      <c r="G1016">
        <v>1.65</v>
      </c>
      <c r="H1016">
        <v>5.84</v>
      </c>
      <c r="I1016">
        <v>31.1</v>
      </c>
      <c r="J1016">
        <v>18.09</v>
      </c>
      <c r="K1016">
        <v>11.73</v>
      </c>
      <c r="L1016">
        <v>1.34</v>
      </c>
      <c r="M1016">
        <v>2.3980000000000001</v>
      </c>
      <c r="N1016">
        <v>0.27</v>
      </c>
      <c r="O1016">
        <v>2.75</v>
      </c>
      <c r="P1016">
        <v>0.62</v>
      </c>
    </row>
    <row r="1017" spans="1:16" x14ac:dyDescent="0.25">
      <c r="A1017" s="1">
        <v>42667</v>
      </c>
      <c r="B1017">
        <v>7.67</v>
      </c>
      <c r="C1017">
        <v>150.35</v>
      </c>
      <c r="D1017">
        <v>3.4239999999999999</v>
      </c>
      <c r="E1017">
        <v>13.24</v>
      </c>
      <c r="F1017">
        <v>6.48</v>
      </c>
      <c r="G1017">
        <v>1.67</v>
      </c>
      <c r="H1017">
        <v>5.84</v>
      </c>
      <c r="I1017">
        <v>31.2</v>
      </c>
      <c r="J1017">
        <v>17.8</v>
      </c>
      <c r="K1017">
        <v>11.73</v>
      </c>
      <c r="L1017">
        <v>1.32</v>
      </c>
      <c r="M1017">
        <v>2.3570000000000002</v>
      </c>
      <c r="N1017">
        <v>0.26500000000000001</v>
      </c>
      <c r="O1017">
        <v>2.75</v>
      </c>
      <c r="P1017">
        <v>0.62</v>
      </c>
    </row>
    <row r="1018" spans="1:16" x14ac:dyDescent="0.25">
      <c r="A1018" s="1">
        <v>42668</v>
      </c>
      <c r="B1018">
        <v>7.75</v>
      </c>
      <c r="C1018">
        <v>150.09</v>
      </c>
      <c r="D1018">
        <v>3.4239999999999999</v>
      </c>
      <c r="E1018">
        <v>13.59</v>
      </c>
      <c r="F1018">
        <v>6.5</v>
      </c>
      <c r="G1018">
        <v>1.67</v>
      </c>
      <c r="H1018">
        <v>5.84</v>
      </c>
      <c r="I1018">
        <v>31.24</v>
      </c>
      <c r="J1018">
        <v>18</v>
      </c>
      <c r="K1018">
        <v>11.7</v>
      </c>
      <c r="L1018">
        <v>1.32</v>
      </c>
      <c r="M1018">
        <v>2.3980000000000001</v>
      </c>
      <c r="N1018">
        <v>0.27</v>
      </c>
      <c r="O1018">
        <v>2.69</v>
      </c>
      <c r="P1018">
        <v>0.62</v>
      </c>
    </row>
    <row r="1019" spans="1:16" x14ac:dyDescent="0.25">
      <c r="A1019" s="1">
        <v>42669</v>
      </c>
      <c r="B1019">
        <v>7.71</v>
      </c>
      <c r="C1019">
        <v>150.9</v>
      </c>
      <c r="D1019">
        <v>3.4239999999999999</v>
      </c>
      <c r="E1019">
        <v>13.39</v>
      </c>
      <c r="F1019">
        <v>6.44</v>
      </c>
      <c r="G1019">
        <v>1.69</v>
      </c>
      <c r="H1019">
        <v>5.67</v>
      </c>
      <c r="I1019">
        <v>31.24</v>
      </c>
      <c r="J1019">
        <v>18.07</v>
      </c>
      <c r="K1019">
        <v>11.7</v>
      </c>
      <c r="L1019">
        <v>1.3</v>
      </c>
      <c r="M1019">
        <v>2.3980000000000001</v>
      </c>
      <c r="N1019">
        <v>0.26500000000000001</v>
      </c>
      <c r="O1019">
        <v>2.69</v>
      </c>
      <c r="P1019">
        <v>0.62</v>
      </c>
    </row>
    <row r="1020" spans="1:16" x14ac:dyDescent="0.25">
      <c r="A1020" s="1">
        <v>42670</v>
      </c>
      <c r="B1020">
        <v>7.71</v>
      </c>
      <c r="C1020">
        <v>149.09</v>
      </c>
      <c r="D1020">
        <v>3.4329999999999998</v>
      </c>
      <c r="E1020">
        <v>13.4</v>
      </c>
      <c r="F1020">
        <v>6.4</v>
      </c>
      <c r="G1020">
        <v>1.68</v>
      </c>
      <c r="H1020">
        <v>5.7590000000000003</v>
      </c>
      <c r="I1020">
        <v>31.24</v>
      </c>
      <c r="J1020">
        <v>18.14</v>
      </c>
      <c r="K1020">
        <v>11.75</v>
      </c>
      <c r="L1020">
        <v>1.28</v>
      </c>
      <c r="M1020">
        <v>2.3980000000000001</v>
      </c>
      <c r="N1020">
        <v>0.26500000000000001</v>
      </c>
      <c r="O1020">
        <v>2.66</v>
      </c>
      <c r="P1020">
        <v>0.62</v>
      </c>
    </row>
    <row r="1021" spans="1:16" x14ac:dyDescent="0.25">
      <c r="A1021" s="1">
        <v>42671</v>
      </c>
      <c r="B1021">
        <v>7.8</v>
      </c>
      <c r="C1021">
        <v>147.9</v>
      </c>
      <c r="D1021">
        <v>3.3809999999999998</v>
      </c>
      <c r="E1021">
        <v>12.87</v>
      </c>
      <c r="F1021">
        <v>6.41</v>
      </c>
      <c r="G1021">
        <v>1.68</v>
      </c>
      <c r="H1021">
        <v>5.5510000000000002</v>
      </c>
      <c r="I1021">
        <v>31.15</v>
      </c>
      <c r="J1021">
        <v>18.149999999999999</v>
      </c>
      <c r="K1021">
        <v>11.75</v>
      </c>
      <c r="L1021">
        <v>1.3</v>
      </c>
      <c r="M1021">
        <v>2.4980000000000002</v>
      </c>
      <c r="N1021">
        <v>0.255</v>
      </c>
      <c r="O1021">
        <v>2.61</v>
      </c>
      <c r="P1021">
        <v>0.62</v>
      </c>
    </row>
    <row r="1022" spans="1:16" x14ac:dyDescent="0.25">
      <c r="A1022" s="1">
        <v>42674</v>
      </c>
      <c r="B1022">
        <v>7.8</v>
      </c>
      <c r="C1022">
        <v>148.6</v>
      </c>
      <c r="D1022">
        <v>3.3980000000000001</v>
      </c>
      <c r="E1022">
        <v>13.3</v>
      </c>
      <c r="F1022">
        <v>6.5</v>
      </c>
      <c r="G1022">
        <v>1.67</v>
      </c>
      <c r="H1022">
        <v>5.5810000000000004</v>
      </c>
      <c r="I1022">
        <v>31.2</v>
      </c>
      <c r="J1022">
        <v>18</v>
      </c>
      <c r="K1022">
        <v>11.73</v>
      </c>
      <c r="L1022">
        <v>1.33</v>
      </c>
      <c r="M1022">
        <v>2.5390000000000001</v>
      </c>
      <c r="N1022">
        <v>0.245</v>
      </c>
      <c r="O1022">
        <v>2.69</v>
      </c>
      <c r="P1022">
        <v>0.62</v>
      </c>
    </row>
    <row r="1023" spans="1:16" x14ac:dyDescent="0.25">
      <c r="A1023" s="1">
        <v>42676</v>
      </c>
      <c r="B1023">
        <v>7.85</v>
      </c>
      <c r="C1023">
        <v>147.29</v>
      </c>
      <c r="D1023">
        <v>3.3980000000000001</v>
      </c>
      <c r="E1023">
        <v>13.06</v>
      </c>
      <c r="F1023">
        <v>6.45</v>
      </c>
      <c r="G1023">
        <v>1.65</v>
      </c>
      <c r="H1023">
        <v>5.5810000000000004</v>
      </c>
      <c r="I1023">
        <v>30.9</v>
      </c>
      <c r="J1023">
        <v>18</v>
      </c>
      <c r="K1023">
        <v>11.73</v>
      </c>
      <c r="L1023">
        <v>1.3</v>
      </c>
      <c r="M1023">
        <v>2.4980000000000002</v>
      </c>
      <c r="N1023">
        <v>0.24099999999999999</v>
      </c>
      <c r="O1023">
        <v>2.617</v>
      </c>
      <c r="P1023">
        <v>0.6</v>
      </c>
    </row>
    <row r="1024" spans="1:16" x14ac:dyDescent="0.25">
      <c r="A1024" s="1">
        <v>42677</v>
      </c>
      <c r="B1024">
        <v>7.9</v>
      </c>
      <c r="C1024">
        <v>147.29</v>
      </c>
      <c r="D1024">
        <v>3.3380000000000001</v>
      </c>
      <c r="E1024">
        <v>12.92</v>
      </c>
      <c r="F1024">
        <v>6.44</v>
      </c>
      <c r="G1024">
        <v>1.62</v>
      </c>
      <c r="H1024">
        <v>5.5810000000000004</v>
      </c>
      <c r="I1024">
        <v>30.75</v>
      </c>
      <c r="J1024">
        <v>18</v>
      </c>
      <c r="K1024">
        <v>11.7</v>
      </c>
      <c r="L1024">
        <v>1.31</v>
      </c>
      <c r="M1024">
        <v>2.4809999999999999</v>
      </c>
      <c r="N1024">
        <v>0.24399999999999999</v>
      </c>
      <c r="O1024">
        <v>2.617</v>
      </c>
      <c r="P1024">
        <v>0.61</v>
      </c>
    </row>
    <row r="1025" spans="1:16" x14ac:dyDescent="0.25">
      <c r="A1025" s="1">
        <v>42678</v>
      </c>
      <c r="B1025">
        <v>7.86</v>
      </c>
      <c r="C1025">
        <v>155.69999999999999</v>
      </c>
      <c r="D1025">
        <v>3.3029999999999999</v>
      </c>
      <c r="E1025">
        <v>12.57</v>
      </c>
      <c r="F1025">
        <v>6.4</v>
      </c>
      <c r="G1025">
        <v>1.61</v>
      </c>
      <c r="H1025">
        <v>5.7</v>
      </c>
      <c r="I1025">
        <v>31</v>
      </c>
      <c r="J1025">
        <v>18</v>
      </c>
      <c r="K1025">
        <v>11.64</v>
      </c>
      <c r="L1025">
        <v>1.3</v>
      </c>
      <c r="M1025">
        <v>2.4889999999999999</v>
      </c>
      <c r="N1025">
        <v>0.24099999999999999</v>
      </c>
      <c r="O1025">
        <v>2.6360000000000001</v>
      </c>
      <c r="P1025">
        <v>0.61</v>
      </c>
    </row>
    <row r="1026" spans="1:16" x14ac:dyDescent="0.25">
      <c r="A1026" s="1">
        <v>42681</v>
      </c>
      <c r="B1026">
        <v>7.75</v>
      </c>
      <c r="C1026">
        <v>163.1</v>
      </c>
      <c r="D1026">
        <v>3.294</v>
      </c>
      <c r="E1026">
        <v>12.52</v>
      </c>
      <c r="F1026">
        <v>6.39</v>
      </c>
      <c r="G1026">
        <v>1.61</v>
      </c>
      <c r="H1026">
        <v>5.63</v>
      </c>
      <c r="I1026">
        <v>31.5</v>
      </c>
      <c r="J1026">
        <v>18.03</v>
      </c>
      <c r="K1026">
        <v>11.68</v>
      </c>
      <c r="L1026">
        <v>1.35</v>
      </c>
      <c r="M1026">
        <v>2.4809999999999999</v>
      </c>
      <c r="N1026">
        <v>0.23599999999999999</v>
      </c>
      <c r="O1026">
        <v>2.6360000000000001</v>
      </c>
      <c r="P1026">
        <v>0.61</v>
      </c>
    </row>
    <row r="1027" spans="1:16" x14ac:dyDescent="0.25">
      <c r="A1027" s="1">
        <v>42682</v>
      </c>
      <c r="B1027">
        <v>7.65</v>
      </c>
      <c r="C1027">
        <v>162.51</v>
      </c>
      <c r="D1027">
        <v>3.3719999999999999</v>
      </c>
      <c r="E1027">
        <v>12.15</v>
      </c>
      <c r="F1027">
        <v>6.35</v>
      </c>
      <c r="G1027">
        <v>1.58</v>
      </c>
      <c r="H1027">
        <v>5.5609999999999999</v>
      </c>
      <c r="I1027">
        <v>31.5</v>
      </c>
      <c r="J1027">
        <v>18.25</v>
      </c>
      <c r="K1027">
        <v>11.7</v>
      </c>
      <c r="L1027">
        <v>1.4</v>
      </c>
      <c r="M1027">
        <v>2.4809999999999999</v>
      </c>
      <c r="N1027">
        <v>0.23</v>
      </c>
      <c r="O1027">
        <v>2.5870000000000002</v>
      </c>
      <c r="P1027">
        <v>0.61</v>
      </c>
    </row>
    <row r="1028" spans="1:16" x14ac:dyDescent="0.25">
      <c r="A1028" s="1">
        <v>42683</v>
      </c>
      <c r="B1028">
        <v>7.49</v>
      </c>
      <c r="C1028">
        <v>162.80000000000001</v>
      </c>
      <c r="D1028">
        <v>3.3719999999999999</v>
      </c>
      <c r="E1028">
        <v>12.81</v>
      </c>
      <c r="F1028">
        <v>6.35</v>
      </c>
      <c r="G1028">
        <v>1.57</v>
      </c>
      <c r="H1028">
        <v>5.5810000000000004</v>
      </c>
      <c r="I1028">
        <v>30.75</v>
      </c>
      <c r="J1028">
        <v>18.3</v>
      </c>
      <c r="K1028">
        <v>11.6</v>
      </c>
      <c r="L1028">
        <v>1.4</v>
      </c>
      <c r="M1028">
        <v>2.4980000000000002</v>
      </c>
      <c r="N1028">
        <v>0.221</v>
      </c>
      <c r="O1028">
        <v>2.5369999999999999</v>
      </c>
      <c r="P1028">
        <v>0.59</v>
      </c>
    </row>
    <row r="1029" spans="1:16" x14ac:dyDescent="0.25">
      <c r="A1029" s="1">
        <v>42684</v>
      </c>
      <c r="B1029">
        <v>7.38</v>
      </c>
      <c r="C1029">
        <v>159.69999999999999</v>
      </c>
      <c r="D1029">
        <v>3.468</v>
      </c>
      <c r="E1029">
        <v>12.6</v>
      </c>
      <c r="F1029">
        <v>6.41</v>
      </c>
      <c r="G1029">
        <v>1.57</v>
      </c>
      <c r="H1029">
        <v>5.7590000000000003</v>
      </c>
      <c r="I1029">
        <v>30</v>
      </c>
      <c r="J1029">
        <v>18.7</v>
      </c>
      <c r="K1029">
        <v>11.5</v>
      </c>
      <c r="L1029">
        <v>1.46</v>
      </c>
      <c r="M1029">
        <v>2.4809999999999999</v>
      </c>
      <c r="N1029">
        <v>0.23</v>
      </c>
      <c r="O1029">
        <v>2.5870000000000002</v>
      </c>
      <c r="P1029">
        <v>0.64</v>
      </c>
    </row>
    <row r="1030" spans="1:16" x14ac:dyDescent="0.25">
      <c r="A1030" s="1">
        <v>42685</v>
      </c>
      <c r="B1030">
        <v>7.34</v>
      </c>
      <c r="C1030">
        <v>155.29</v>
      </c>
      <c r="D1030">
        <v>3.468</v>
      </c>
      <c r="E1030">
        <v>12.02</v>
      </c>
      <c r="F1030">
        <v>6.4</v>
      </c>
      <c r="G1030">
        <v>1.57</v>
      </c>
      <c r="H1030">
        <v>5.66</v>
      </c>
      <c r="I1030">
        <v>29.8</v>
      </c>
      <c r="J1030">
        <v>18.7</v>
      </c>
      <c r="K1030">
        <v>11.55</v>
      </c>
      <c r="L1030">
        <v>1.42</v>
      </c>
      <c r="M1030">
        <v>2.4809999999999999</v>
      </c>
      <c r="N1030">
        <v>0.217</v>
      </c>
      <c r="O1030">
        <v>2.5870000000000002</v>
      </c>
      <c r="P1030">
        <v>0.63</v>
      </c>
    </row>
    <row r="1031" spans="1:16" x14ac:dyDescent="0.25">
      <c r="A1031" s="1">
        <v>42688</v>
      </c>
      <c r="B1031">
        <v>7.34</v>
      </c>
      <c r="C1031">
        <v>152.91</v>
      </c>
      <c r="D1031">
        <v>3.45</v>
      </c>
      <c r="E1031">
        <v>11.4</v>
      </c>
      <c r="F1031">
        <v>6.4</v>
      </c>
      <c r="G1031">
        <v>1.61</v>
      </c>
      <c r="H1031">
        <v>5.6109999999999998</v>
      </c>
      <c r="I1031">
        <v>29.9</v>
      </c>
      <c r="J1031">
        <v>18.7</v>
      </c>
      <c r="K1031">
        <v>11.5</v>
      </c>
      <c r="L1031">
        <v>1.4</v>
      </c>
      <c r="M1031">
        <v>2.4809999999999999</v>
      </c>
      <c r="N1031">
        <v>0.22</v>
      </c>
      <c r="O1031">
        <v>2.5369999999999999</v>
      </c>
      <c r="P1031">
        <v>0.67</v>
      </c>
    </row>
    <row r="1032" spans="1:16" x14ac:dyDescent="0.25">
      <c r="A1032" s="1">
        <v>42689</v>
      </c>
      <c r="B1032">
        <v>7.33</v>
      </c>
      <c r="C1032">
        <v>153.69999999999999</v>
      </c>
      <c r="D1032">
        <v>3.45</v>
      </c>
      <c r="E1032">
        <v>11.08</v>
      </c>
      <c r="F1032">
        <v>6.39</v>
      </c>
      <c r="G1032">
        <v>1.65</v>
      </c>
      <c r="H1032">
        <v>5.5220000000000002</v>
      </c>
      <c r="I1032">
        <v>30</v>
      </c>
      <c r="J1032">
        <v>18.7</v>
      </c>
      <c r="K1032">
        <v>11.7</v>
      </c>
      <c r="L1032">
        <v>1.4</v>
      </c>
      <c r="M1032">
        <v>2.456</v>
      </c>
      <c r="N1032">
        <v>0.23200000000000001</v>
      </c>
      <c r="O1032">
        <v>2.52</v>
      </c>
      <c r="P1032">
        <v>0.64</v>
      </c>
    </row>
    <row r="1033" spans="1:16" x14ac:dyDescent="0.25">
      <c r="A1033" s="1">
        <v>42690</v>
      </c>
      <c r="B1033">
        <v>7.29</v>
      </c>
      <c r="C1033">
        <v>152</v>
      </c>
      <c r="D1033">
        <v>3.5110000000000001</v>
      </c>
      <c r="E1033">
        <v>11</v>
      </c>
      <c r="F1033">
        <v>6.32</v>
      </c>
      <c r="G1033">
        <v>1.7</v>
      </c>
      <c r="H1033">
        <v>5.5220000000000002</v>
      </c>
      <c r="I1033">
        <v>30</v>
      </c>
      <c r="J1033">
        <v>18.7</v>
      </c>
      <c r="K1033">
        <v>11.79</v>
      </c>
      <c r="L1033">
        <v>1.47</v>
      </c>
      <c r="M1033">
        <v>2.4809999999999999</v>
      </c>
      <c r="N1033">
        <v>0.249</v>
      </c>
      <c r="O1033">
        <v>2.5099999999999998</v>
      </c>
      <c r="P1033">
        <v>0.65</v>
      </c>
    </row>
    <row r="1034" spans="1:16" x14ac:dyDescent="0.25">
      <c r="A1034" s="1">
        <v>42695</v>
      </c>
      <c r="B1034">
        <v>7.22</v>
      </c>
      <c r="C1034">
        <v>150.5</v>
      </c>
      <c r="D1034">
        <v>3.468</v>
      </c>
      <c r="E1034">
        <v>11.16</v>
      </c>
      <c r="F1034">
        <v>6.27</v>
      </c>
      <c r="G1034">
        <v>1.7</v>
      </c>
      <c r="H1034">
        <v>4.9189999999999996</v>
      </c>
      <c r="I1034">
        <v>29.8</v>
      </c>
      <c r="J1034">
        <v>18.7</v>
      </c>
      <c r="K1034">
        <v>11.7</v>
      </c>
      <c r="L1034">
        <v>1.48</v>
      </c>
      <c r="M1034">
        <v>2.4980000000000002</v>
      </c>
      <c r="N1034">
        <v>0.249</v>
      </c>
      <c r="O1034">
        <v>2.5</v>
      </c>
      <c r="P1034">
        <v>0.63</v>
      </c>
    </row>
    <row r="1035" spans="1:16" x14ac:dyDescent="0.25">
      <c r="A1035" s="1">
        <v>42696</v>
      </c>
      <c r="B1035">
        <v>7.16</v>
      </c>
      <c r="C1035">
        <v>150.80000000000001</v>
      </c>
      <c r="D1035">
        <v>3.476</v>
      </c>
      <c r="E1035">
        <v>11.41</v>
      </c>
      <c r="F1035">
        <v>6.25</v>
      </c>
      <c r="G1035">
        <v>1.7</v>
      </c>
      <c r="H1035">
        <v>4.742</v>
      </c>
      <c r="I1035">
        <v>30</v>
      </c>
      <c r="J1035">
        <v>19.010000000000002</v>
      </c>
      <c r="K1035">
        <v>11.522</v>
      </c>
      <c r="L1035">
        <v>1.48</v>
      </c>
      <c r="M1035">
        <v>2.5059999999999998</v>
      </c>
      <c r="N1035">
        <v>0.24399999999999999</v>
      </c>
      <c r="O1035">
        <v>2.5499999999999998</v>
      </c>
      <c r="P1035">
        <v>0.63</v>
      </c>
    </row>
    <row r="1036" spans="1:16" x14ac:dyDescent="0.25">
      <c r="A1036" s="1">
        <v>42697</v>
      </c>
      <c r="B1036">
        <v>7.3</v>
      </c>
      <c r="C1036">
        <v>149.6</v>
      </c>
      <c r="D1036">
        <v>3.468</v>
      </c>
      <c r="E1036">
        <v>11.09</v>
      </c>
      <c r="F1036">
        <v>6.3</v>
      </c>
      <c r="G1036">
        <v>1.7</v>
      </c>
      <c r="H1036">
        <v>4.4950000000000001</v>
      </c>
      <c r="I1036">
        <v>30.1</v>
      </c>
      <c r="J1036">
        <v>19.05</v>
      </c>
      <c r="K1036">
        <v>11.541</v>
      </c>
      <c r="L1036">
        <v>1.52</v>
      </c>
      <c r="M1036">
        <v>2.5059999999999998</v>
      </c>
      <c r="N1036">
        <v>0.24399999999999999</v>
      </c>
      <c r="O1036">
        <v>2.65</v>
      </c>
      <c r="P1036">
        <v>0.64</v>
      </c>
    </row>
    <row r="1037" spans="1:16" x14ac:dyDescent="0.25">
      <c r="A1037" s="1">
        <v>42698</v>
      </c>
      <c r="B1037">
        <v>7.3</v>
      </c>
      <c r="C1037">
        <v>149.6</v>
      </c>
      <c r="D1037">
        <v>3.4239999999999999</v>
      </c>
      <c r="E1037">
        <v>11.2</v>
      </c>
      <c r="F1037">
        <v>6.3</v>
      </c>
      <c r="G1037">
        <v>1.7</v>
      </c>
      <c r="H1037">
        <v>4.4450000000000003</v>
      </c>
      <c r="I1037">
        <v>30.38</v>
      </c>
      <c r="J1037">
        <v>19.16</v>
      </c>
      <c r="K1037">
        <v>11.541</v>
      </c>
      <c r="L1037">
        <v>1.49</v>
      </c>
      <c r="M1037">
        <v>2.4980000000000002</v>
      </c>
      <c r="N1037">
        <v>0.24399999999999999</v>
      </c>
      <c r="O1037">
        <v>2.6</v>
      </c>
      <c r="P1037">
        <v>0.67</v>
      </c>
    </row>
    <row r="1038" spans="1:16" x14ac:dyDescent="0.25">
      <c r="A1038" s="1">
        <v>42699</v>
      </c>
      <c r="B1038">
        <v>7.3</v>
      </c>
      <c r="C1038">
        <v>152</v>
      </c>
      <c r="D1038">
        <v>3.407</v>
      </c>
      <c r="E1038">
        <v>11.05</v>
      </c>
      <c r="F1038">
        <v>6.2</v>
      </c>
      <c r="G1038">
        <v>1.7</v>
      </c>
      <c r="H1038">
        <v>4.4450000000000003</v>
      </c>
      <c r="I1038">
        <v>30.55</v>
      </c>
      <c r="J1038">
        <v>19.399999999999999</v>
      </c>
      <c r="K1038">
        <v>11.63</v>
      </c>
      <c r="L1038">
        <v>1.49</v>
      </c>
      <c r="M1038">
        <v>2.5059999999999998</v>
      </c>
      <c r="N1038">
        <v>0.23200000000000001</v>
      </c>
      <c r="O1038">
        <v>2.6</v>
      </c>
      <c r="P1038">
        <v>0.68</v>
      </c>
    </row>
    <row r="1039" spans="1:16" x14ac:dyDescent="0.25">
      <c r="A1039" s="1">
        <v>42702</v>
      </c>
      <c r="B1039">
        <v>7.39</v>
      </c>
      <c r="C1039">
        <v>151.4</v>
      </c>
      <c r="D1039">
        <v>3.407</v>
      </c>
      <c r="E1039">
        <v>11.4</v>
      </c>
      <c r="F1039">
        <v>6.25</v>
      </c>
      <c r="G1039">
        <v>1.69</v>
      </c>
      <c r="H1039">
        <v>4.4450000000000003</v>
      </c>
      <c r="I1039">
        <v>30.6</v>
      </c>
      <c r="J1039">
        <v>19.399999999999999</v>
      </c>
      <c r="K1039">
        <v>11.61</v>
      </c>
      <c r="L1039">
        <v>1.49</v>
      </c>
      <c r="M1039">
        <v>2.5059999999999998</v>
      </c>
      <c r="N1039">
        <v>0.23100000000000001</v>
      </c>
      <c r="O1039">
        <v>2.6</v>
      </c>
      <c r="P1039">
        <v>0.7</v>
      </c>
    </row>
    <row r="1040" spans="1:16" x14ac:dyDescent="0.25">
      <c r="A1040" s="1">
        <v>42703</v>
      </c>
      <c r="B1040">
        <v>7.37</v>
      </c>
      <c r="C1040">
        <v>154.30000000000001</v>
      </c>
      <c r="D1040">
        <v>3.4239999999999999</v>
      </c>
      <c r="E1040">
        <v>11.13</v>
      </c>
      <c r="F1040">
        <v>6.25</v>
      </c>
      <c r="G1040">
        <v>1.68</v>
      </c>
      <c r="H1040">
        <v>4.2969999999999997</v>
      </c>
      <c r="I1040">
        <v>31</v>
      </c>
      <c r="J1040">
        <v>19.45</v>
      </c>
      <c r="K1040">
        <v>11.61</v>
      </c>
      <c r="L1040">
        <v>1.45</v>
      </c>
      <c r="M1040">
        <v>2.5059999999999998</v>
      </c>
      <c r="N1040">
        <v>0.23499999999999999</v>
      </c>
      <c r="O1040">
        <v>2.58</v>
      </c>
      <c r="P1040">
        <v>0.7</v>
      </c>
    </row>
    <row r="1041" spans="1:16" x14ac:dyDescent="0.25">
      <c r="A1041" s="1">
        <v>42704</v>
      </c>
      <c r="B1041">
        <v>7.34</v>
      </c>
      <c r="C1041">
        <v>156.69999999999999</v>
      </c>
      <c r="D1041">
        <v>3.4239999999999999</v>
      </c>
      <c r="E1041">
        <v>11.1</v>
      </c>
      <c r="F1041">
        <v>6.3</v>
      </c>
      <c r="G1041">
        <v>1.71</v>
      </c>
      <c r="H1041">
        <v>4.2969999999999997</v>
      </c>
      <c r="I1041">
        <v>31.6</v>
      </c>
      <c r="J1041">
        <v>19.02</v>
      </c>
      <c r="K1041">
        <v>11.64</v>
      </c>
      <c r="L1041">
        <v>1.44</v>
      </c>
      <c r="M1041">
        <v>2.6469999999999998</v>
      </c>
      <c r="N1041">
        <v>0.24</v>
      </c>
      <c r="O1041">
        <v>2.61</v>
      </c>
      <c r="P1041">
        <v>0.68</v>
      </c>
    </row>
    <row r="1042" spans="1:16" x14ac:dyDescent="0.25">
      <c r="A1042" s="1">
        <v>42705</v>
      </c>
      <c r="B1042">
        <v>7.34</v>
      </c>
      <c r="C1042">
        <v>159.19999999999999</v>
      </c>
      <c r="D1042">
        <v>3.4239999999999999</v>
      </c>
      <c r="E1042">
        <v>11.15</v>
      </c>
      <c r="F1042">
        <v>6.29</v>
      </c>
      <c r="G1042">
        <v>1.71</v>
      </c>
      <c r="H1042">
        <v>4.3760000000000003</v>
      </c>
      <c r="I1042">
        <v>32</v>
      </c>
      <c r="J1042">
        <v>19.100000000000001</v>
      </c>
      <c r="K1042">
        <v>11.61</v>
      </c>
      <c r="L1042">
        <v>1.44</v>
      </c>
      <c r="M1042">
        <v>2.58</v>
      </c>
      <c r="N1042">
        <v>0.24399999999999999</v>
      </c>
      <c r="O1042">
        <v>2.56</v>
      </c>
      <c r="P1042">
        <v>0.7</v>
      </c>
    </row>
    <row r="1043" spans="1:16" x14ac:dyDescent="0.25">
      <c r="A1043" s="1">
        <v>42706</v>
      </c>
      <c r="B1043">
        <v>7.3</v>
      </c>
      <c r="C1043">
        <v>155.69999999999999</v>
      </c>
      <c r="D1043">
        <v>3.4420000000000002</v>
      </c>
      <c r="E1043">
        <v>11.48</v>
      </c>
      <c r="F1043">
        <v>6.25</v>
      </c>
      <c r="G1043">
        <v>1.72</v>
      </c>
      <c r="H1043">
        <v>4.4450000000000003</v>
      </c>
      <c r="I1043">
        <v>31.9</v>
      </c>
      <c r="J1043">
        <v>19.149999999999999</v>
      </c>
      <c r="K1043">
        <v>11.64</v>
      </c>
      <c r="L1043">
        <v>1.44</v>
      </c>
      <c r="M1043">
        <v>2.605</v>
      </c>
      <c r="N1043">
        <v>0.23300000000000001</v>
      </c>
      <c r="O1043">
        <v>2.5099999999999998</v>
      </c>
      <c r="P1043">
        <v>0.7</v>
      </c>
    </row>
    <row r="1044" spans="1:16" x14ac:dyDescent="0.25">
      <c r="A1044" s="1">
        <v>42709</v>
      </c>
      <c r="B1044">
        <v>7.26</v>
      </c>
      <c r="C1044">
        <v>157.41</v>
      </c>
      <c r="D1044">
        <v>3.45</v>
      </c>
      <c r="E1044">
        <v>11.61</v>
      </c>
      <c r="F1044">
        <v>6.25</v>
      </c>
      <c r="G1044">
        <v>1.72</v>
      </c>
      <c r="H1044">
        <v>4.4349999999999996</v>
      </c>
      <c r="I1044">
        <v>31.85</v>
      </c>
      <c r="J1044">
        <v>19.21</v>
      </c>
      <c r="K1044">
        <v>11.64</v>
      </c>
      <c r="L1044">
        <v>1.43</v>
      </c>
      <c r="M1044">
        <v>2.5640000000000001</v>
      </c>
      <c r="N1044">
        <v>0.23300000000000001</v>
      </c>
      <c r="O1044">
        <v>2.5499999999999998</v>
      </c>
      <c r="P1044">
        <v>0.7</v>
      </c>
    </row>
    <row r="1045" spans="1:16" x14ac:dyDescent="0.25">
      <c r="A1045" s="1">
        <v>42710</v>
      </c>
      <c r="B1045">
        <v>7.26</v>
      </c>
      <c r="C1045">
        <v>157.21</v>
      </c>
      <c r="D1045">
        <v>3.4849999999999999</v>
      </c>
      <c r="E1045">
        <v>11.79</v>
      </c>
      <c r="F1045">
        <v>6.2</v>
      </c>
      <c r="G1045">
        <v>1.7</v>
      </c>
      <c r="H1045">
        <v>4.4450000000000003</v>
      </c>
      <c r="I1045">
        <v>31.85</v>
      </c>
      <c r="J1045">
        <v>19.21</v>
      </c>
      <c r="K1045">
        <v>11.63</v>
      </c>
      <c r="L1045">
        <v>1.45</v>
      </c>
      <c r="M1045">
        <v>2.5640000000000001</v>
      </c>
      <c r="N1045">
        <v>0.24</v>
      </c>
      <c r="O1045">
        <v>2.5099999999999998</v>
      </c>
      <c r="P1045">
        <v>0.69</v>
      </c>
    </row>
    <row r="1046" spans="1:16" x14ac:dyDescent="0.25">
      <c r="A1046" s="1">
        <v>42711</v>
      </c>
      <c r="B1046">
        <v>7.26</v>
      </c>
      <c r="C1046">
        <v>158</v>
      </c>
      <c r="D1046">
        <v>3.5720000000000001</v>
      </c>
      <c r="E1046">
        <v>11.94</v>
      </c>
      <c r="F1046">
        <v>6.18</v>
      </c>
      <c r="G1046">
        <v>1.65</v>
      </c>
      <c r="H1046">
        <v>4.4749999999999996</v>
      </c>
      <c r="I1046">
        <v>31.8</v>
      </c>
      <c r="J1046">
        <v>19.22</v>
      </c>
      <c r="K1046">
        <v>11.6</v>
      </c>
      <c r="L1046">
        <v>1.44</v>
      </c>
      <c r="M1046">
        <v>2.63</v>
      </c>
      <c r="N1046">
        <v>0.23799999999999999</v>
      </c>
      <c r="O1046">
        <v>2.48</v>
      </c>
      <c r="P1046">
        <v>0.71</v>
      </c>
    </row>
    <row r="1047" spans="1:16" x14ac:dyDescent="0.25">
      <c r="A1047" s="1">
        <v>42713</v>
      </c>
      <c r="B1047">
        <v>7.2</v>
      </c>
      <c r="C1047">
        <v>159.69999999999999</v>
      </c>
      <c r="D1047">
        <v>3.5539999999999998</v>
      </c>
      <c r="E1047">
        <v>11.17</v>
      </c>
      <c r="F1047">
        <v>6.18</v>
      </c>
      <c r="G1047">
        <v>1.65</v>
      </c>
      <c r="H1047">
        <v>4.4450000000000003</v>
      </c>
      <c r="I1047">
        <v>31</v>
      </c>
      <c r="J1047">
        <v>19.32</v>
      </c>
      <c r="K1047">
        <v>11.6</v>
      </c>
      <c r="L1047">
        <v>1.46</v>
      </c>
      <c r="M1047">
        <v>2.7290000000000001</v>
      </c>
      <c r="N1047">
        <v>0.23599999999999999</v>
      </c>
      <c r="O1047">
        <v>2.4700000000000002</v>
      </c>
      <c r="P1047">
        <v>0.72</v>
      </c>
    </row>
    <row r="1048" spans="1:16" x14ac:dyDescent="0.25">
      <c r="A1048" s="1">
        <v>42716</v>
      </c>
      <c r="B1048">
        <v>7.1</v>
      </c>
      <c r="C1048">
        <v>155.69999999999999</v>
      </c>
      <c r="D1048">
        <v>3.5539999999999998</v>
      </c>
      <c r="E1048">
        <v>11.36</v>
      </c>
      <c r="F1048">
        <v>6.2</v>
      </c>
      <c r="G1048">
        <v>1.65</v>
      </c>
      <c r="H1048">
        <v>4.4950000000000001</v>
      </c>
      <c r="I1048">
        <v>30.5</v>
      </c>
      <c r="J1048">
        <v>19.3</v>
      </c>
      <c r="K1048">
        <v>11.7</v>
      </c>
      <c r="L1048">
        <v>1.5</v>
      </c>
      <c r="M1048">
        <v>2.746</v>
      </c>
      <c r="N1048">
        <v>0.23599999999999999</v>
      </c>
      <c r="O1048">
        <v>2.4500000000000002</v>
      </c>
      <c r="P1048">
        <v>0.75</v>
      </c>
    </row>
    <row r="1049" spans="1:16" x14ac:dyDescent="0.25">
      <c r="A1049" s="1">
        <v>42717</v>
      </c>
      <c r="B1049">
        <v>7.04</v>
      </c>
      <c r="C1049">
        <v>157.30000000000001</v>
      </c>
      <c r="D1049">
        <v>3.6760000000000002</v>
      </c>
      <c r="E1049">
        <v>11.3</v>
      </c>
      <c r="F1049">
        <v>6.2</v>
      </c>
      <c r="G1049">
        <v>1.68</v>
      </c>
      <c r="H1049">
        <v>4.4450000000000003</v>
      </c>
      <c r="I1049">
        <v>30.63</v>
      </c>
      <c r="J1049">
        <v>19.5</v>
      </c>
      <c r="K1049">
        <v>11.91</v>
      </c>
      <c r="L1049">
        <v>1.48</v>
      </c>
      <c r="M1049">
        <v>2.746</v>
      </c>
      <c r="N1049">
        <v>0.23499999999999999</v>
      </c>
      <c r="O1049">
        <v>2.48</v>
      </c>
      <c r="P1049">
        <v>0.75</v>
      </c>
    </row>
    <row r="1050" spans="1:16" x14ac:dyDescent="0.25">
      <c r="A1050" s="1">
        <v>42718</v>
      </c>
      <c r="B1050">
        <v>7.03</v>
      </c>
      <c r="C1050">
        <v>156.6</v>
      </c>
      <c r="D1050">
        <v>3.641</v>
      </c>
      <c r="E1050">
        <v>10.89</v>
      </c>
      <c r="F1050">
        <v>6.15</v>
      </c>
      <c r="G1050">
        <v>1.71</v>
      </c>
      <c r="H1050">
        <v>4.415</v>
      </c>
      <c r="I1050">
        <v>31.02</v>
      </c>
      <c r="J1050">
        <v>19.5</v>
      </c>
      <c r="K1050">
        <v>12.22</v>
      </c>
      <c r="L1050">
        <v>1.45</v>
      </c>
      <c r="M1050">
        <v>2.8119999999999998</v>
      </c>
      <c r="N1050">
        <v>0.23</v>
      </c>
      <c r="O1050">
        <v>2.5</v>
      </c>
      <c r="P1050">
        <v>0.75</v>
      </c>
    </row>
    <row r="1051" spans="1:16" x14ac:dyDescent="0.25">
      <c r="A1051" s="1">
        <v>42719</v>
      </c>
      <c r="B1051">
        <v>7</v>
      </c>
      <c r="C1051">
        <v>156.80000000000001</v>
      </c>
      <c r="D1051">
        <v>3.641</v>
      </c>
      <c r="E1051">
        <v>10.16</v>
      </c>
      <c r="F1051">
        <v>6.14</v>
      </c>
      <c r="G1051">
        <v>1.7</v>
      </c>
      <c r="H1051">
        <v>4.4950000000000001</v>
      </c>
      <c r="I1051">
        <v>31.2</v>
      </c>
      <c r="J1051">
        <v>19.5</v>
      </c>
      <c r="K1051">
        <v>12.25</v>
      </c>
      <c r="L1051">
        <v>1.45</v>
      </c>
      <c r="M1051">
        <v>2.7869999999999999</v>
      </c>
      <c r="N1051">
        <v>0.22800000000000001</v>
      </c>
      <c r="O1051">
        <v>2.48</v>
      </c>
      <c r="P1051">
        <v>0.73</v>
      </c>
    </row>
    <row r="1052" spans="1:16" x14ac:dyDescent="0.25">
      <c r="A1052" s="1">
        <v>42720</v>
      </c>
      <c r="B1052">
        <v>7.08</v>
      </c>
      <c r="C1052">
        <v>156.80000000000001</v>
      </c>
      <c r="D1052">
        <v>3.641</v>
      </c>
      <c r="E1052">
        <v>10.14</v>
      </c>
      <c r="F1052">
        <v>6.15</v>
      </c>
      <c r="G1052">
        <v>1.7</v>
      </c>
      <c r="H1052">
        <v>4.5439999999999996</v>
      </c>
      <c r="I1052">
        <v>31.8</v>
      </c>
      <c r="J1052">
        <v>19.7</v>
      </c>
      <c r="K1052">
        <v>12.3</v>
      </c>
      <c r="L1052">
        <v>1.45</v>
      </c>
      <c r="M1052">
        <v>2.7869999999999999</v>
      </c>
      <c r="N1052">
        <v>0.218</v>
      </c>
      <c r="O1052">
        <v>2.48</v>
      </c>
      <c r="P1052">
        <v>0.72</v>
      </c>
    </row>
    <row r="1053" spans="1:16" x14ac:dyDescent="0.25">
      <c r="A1053" s="1">
        <v>42723</v>
      </c>
      <c r="B1053">
        <v>7.08</v>
      </c>
      <c r="C1053">
        <v>155.69999999999999</v>
      </c>
      <c r="D1053">
        <v>3.6240000000000001</v>
      </c>
      <c r="E1053">
        <v>10.11</v>
      </c>
      <c r="F1053">
        <v>6.14</v>
      </c>
      <c r="G1053">
        <v>1.68</v>
      </c>
      <c r="H1053">
        <v>4.5140000000000002</v>
      </c>
      <c r="I1053">
        <v>31.95</v>
      </c>
      <c r="J1053">
        <v>19.5</v>
      </c>
      <c r="K1053">
        <v>12.5</v>
      </c>
      <c r="L1053">
        <v>1.45</v>
      </c>
      <c r="M1053">
        <v>2.7869999999999999</v>
      </c>
      <c r="N1053">
        <v>0.215</v>
      </c>
      <c r="O1053">
        <v>2.5</v>
      </c>
      <c r="P1053">
        <v>0.71</v>
      </c>
    </row>
    <row r="1054" spans="1:16" x14ac:dyDescent="0.25">
      <c r="A1054" s="1">
        <v>42724</v>
      </c>
      <c r="B1054">
        <v>7.18</v>
      </c>
      <c r="C1054">
        <v>156.9</v>
      </c>
      <c r="D1054">
        <v>3.6240000000000001</v>
      </c>
      <c r="E1054">
        <v>10.4</v>
      </c>
      <c r="F1054">
        <v>6.19</v>
      </c>
      <c r="G1054">
        <v>1.66</v>
      </c>
      <c r="H1054">
        <v>4.5439999999999996</v>
      </c>
      <c r="I1054">
        <v>31.9</v>
      </c>
      <c r="J1054">
        <v>19.5</v>
      </c>
      <c r="K1054">
        <v>12.56</v>
      </c>
      <c r="L1054">
        <v>1.47</v>
      </c>
      <c r="M1054">
        <v>2.7869999999999999</v>
      </c>
      <c r="N1054">
        <v>0.22</v>
      </c>
      <c r="O1054">
        <v>2.5499999999999998</v>
      </c>
      <c r="P1054">
        <v>0.71</v>
      </c>
    </row>
    <row r="1055" spans="1:16" x14ac:dyDescent="0.25">
      <c r="A1055" s="1">
        <v>42725</v>
      </c>
      <c r="B1055">
        <v>7.3</v>
      </c>
      <c r="C1055">
        <v>158.30000000000001</v>
      </c>
      <c r="D1055">
        <v>3.6059999999999999</v>
      </c>
      <c r="E1055">
        <v>10.4</v>
      </c>
      <c r="F1055">
        <v>6.25</v>
      </c>
      <c r="G1055">
        <v>1.7</v>
      </c>
      <c r="H1055">
        <v>5.117</v>
      </c>
      <c r="I1055">
        <v>31.84</v>
      </c>
      <c r="J1055">
        <v>19.5</v>
      </c>
      <c r="K1055">
        <v>12.9</v>
      </c>
      <c r="L1055">
        <v>1.47</v>
      </c>
      <c r="M1055">
        <v>2.7869999999999999</v>
      </c>
      <c r="N1055">
        <v>0.22500000000000001</v>
      </c>
      <c r="O1055">
        <v>2.5499999999999998</v>
      </c>
      <c r="P1055">
        <v>0.73</v>
      </c>
    </row>
    <row r="1056" spans="1:16" x14ac:dyDescent="0.25">
      <c r="A1056" s="1">
        <v>42726</v>
      </c>
      <c r="B1056">
        <v>7.3</v>
      </c>
      <c r="C1056">
        <v>156.5</v>
      </c>
      <c r="D1056">
        <v>3.5979999999999999</v>
      </c>
      <c r="E1056">
        <v>10.61</v>
      </c>
      <c r="F1056">
        <v>6.2</v>
      </c>
      <c r="G1056">
        <v>1.71</v>
      </c>
      <c r="H1056">
        <v>4.9889999999999999</v>
      </c>
      <c r="I1056">
        <v>31.95</v>
      </c>
      <c r="J1056">
        <v>19.489999999999998</v>
      </c>
      <c r="K1056">
        <v>13</v>
      </c>
      <c r="L1056">
        <v>1.47</v>
      </c>
      <c r="M1056">
        <v>2.8119999999999998</v>
      </c>
      <c r="N1056">
        <v>0.222</v>
      </c>
      <c r="O1056">
        <v>2.5299999999999998</v>
      </c>
      <c r="P1056">
        <v>0.73</v>
      </c>
    </row>
    <row r="1057" spans="1:16" x14ac:dyDescent="0.25">
      <c r="A1057" s="1">
        <v>42727</v>
      </c>
      <c r="B1057">
        <v>7.3</v>
      </c>
      <c r="C1057">
        <v>156.30000000000001</v>
      </c>
      <c r="D1057">
        <v>3.5979999999999999</v>
      </c>
      <c r="E1057">
        <v>10.32</v>
      </c>
      <c r="F1057">
        <v>6.2</v>
      </c>
      <c r="G1057">
        <v>1.71</v>
      </c>
      <c r="H1057">
        <v>4.9189999999999996</v>
      </c>
      <c r="I1057">
        <v>31.75</v>
      </c>
      <c r="J1057">
        <v>19.489999999999998</v>
      </c>
      <c r="K1057">
        <v>13.05</v>
      </c>
      <c r="L1057">
        <v>1.47</v>
      </c>
      <c r="M1057">
        <v>2.8119999999999998</v>
      </c>
      <c r="N1057">
        <v>0.215</v>
      </c>
      <c r="O1057">
        <v>2.5299999999999998</v>
      </c>
      <c r="P1057">
        <v>0.73</v>
      </c>
    </row>
    <row r="1058" spans="1:16" x14ac:dyDescent="0.25">
      <c r="A1058" s="1">
        <v>42730</v>
      </c>
      <c r="B1058">
        <v>7.3</v>
      </c>
      <c r="C1058">
        <v>156.19999999999999</v>
      </c>
      <c r="D1058">
        <v>3.5539999999999998</v>
      </c>
      <c r="E1058">
        <v>10.5</v>
      </c>
      <c r="F1058">
        <v>6.15</v>
      </c>
      <c r="G1058">
        <v>1.71</v>
      </c>
      <c r="H1058">
        <v>4.9000000000000004</v>
      </c>
      <c r="I1058">
        <v>31.76</v>
      </c>
      <c r="J1058">
        <v>19.45</v>
      </c>
      <c r="K1058">
        <v>13.06</v>
      </c>
      <c r="L1058">
        <v>1.48</v>
      </c>
      <c r="M1058">
        <v>2.82</v>
      </c>
      <c r="N1058">
        <v>0.215</v>
      </c>
      <c r="O1058">
        <v>2.5299999999999998</v>
      </c>
      <c r="P1058">
        <v>0.73</v>
      </c>
    </row>
    <row r="1059" spans="1:16" x14ac:dyDescent="0.25">
      <c r="A1059" s="1">
        <v>42731</v>
      </c>
      <c r="B1059">
        <v>7.3</v>
      </c>
      <c r="C1059">
        <v>156</v>
      </c>
      <c r="D1059">
        <v>3.5539999999999998</v>
      </c>
      <c r="E1059">
        <v>10.93</v>
      </c>
      <c r="F1059">
        <v>6.15</v>
      </c>
      <c r="G1059">
        <v>1.71</v>
      </c>
      <c r="H1059">
        <v>4.7709999999999999</v>
      </c>
      <c r="I1059">
        <v>31.77</v>
      </c>
      <c r="J1059">
        <v>19.399999999999999</v>
      </c>
      <c r="K1059">
        <v>13.06</v>
      </c>
      <c r="L1059">
        <v>1.45</v>
      </c>
      <c r="M1059">
        <v>2.82</v>
      </c>
      <c r="N1059">
        <v>0.222</v>
      </c>
      <c r="O1059">
        <v>2.48</v>
      </c>
      <c r="P1059">
        <v>0.73</v>
      </c>
    </row>
    <row r="1060" spans="1:16" x14ac:dyDescent="0.25">
      <c r="A1060" s="1">
        <v>42732</v>
      </c>
      <c r="B1060">
        <v>7.35</v>
      </c>
      <c r="C1060">
        <v>158</v>
      </c>
      <c r="D1060">
        <v>3.5110000000000001</v>
      </c>
      <c r="E1060">
        <v>11.17</v>
      </c>
      <c r="F1060">
        <v>6.14</v>
      </c>
      <c r="G1060">
        <v>1.7</v>
      </c>
      <c r="H1060">
        <v>4.6719999999999997</v>
      </c>
      <c r="I1060">
        <v>31.77</v>
      </c>
      <c r="J1060">
        <v>19.399999999999999</v>
      </c>
      <c r="K1060">
        <v>13.1</v>
      </c>
      <c r="L1060">
        <v>1.45</v>
      </c>
      <c r="M1060">
        <v>2.82</v>
      </c>
      <c r="N1060">
        <v>0.22500000000000001</v>
      </c>
      <c r="O1060">
        <v>2.48</v>
      </c>
      <c r="P1060">
        <v>0.74</v>
      </c>
    </row>
    <row r="1061" spans="1:16" x14ac:dyDescent="0.25">
      <c r="A1061" s="1">
        <v>42733</v>
      </c>
      <c r="B1061">
        <v>7.3</v>
      </c>
      <c r="C1061">
        <v>158.19999999999999</v>
      </c>
      <c r="D1061">
        <v>3.5110000000000001</v>
      </c>
      <c r="E1061">
        <v>11.8</v>
      </c>
      <c r="F1061">
        <v>6.15</v>
      </c>
      <c r="G1061">
        <v>1.73</v>
      </c>
      <c r="H1061">
        <v>4.6920000000000002</v>
      </c>
      <c r="I1061">
        <v>31.7</v>
      </c>
      <c r="J1061">
        <v>19.38</v>
      </c>
      <c r="K1061">
        <v>13.09</v>
      </c>
      <c r="L1061">
        <v>1.45</v>
      </c>
      <c r="M1061">
        <v>2.8290000000000002</v>
      </c>
      <c r="N1061">
        <v>0.23</v>
      </c>
      <c r="O1061">
        <v>2.4900000000000002</v>
      </c>
      <c r="P1061">
        <v>0.73</v>
      </c>
    </row>
    <row r="1062" spans="1:16" x14ac:dyDescent="0.25">
      <c r="A1062" s="1">
        <v>42734</v>
      </c>
      <c r="B1062">
        <v>7.3</v>
      </c>
      <c r="C1062">
        <v>158.19999999999999</v>
      </c>
      <c r="D1062">
        <v>3.468</v>
      </c>
      <c r="E1062">
        <v>11.5</v>
      </c>
      <c r="F1062">
        <v>6.3</v>
      </c>
      <c r="G1062">
        <v>1.69</v>
      </c>
      <c r="H1062">
        <v>4.6429999999999998</v>
      </c>
      <c r="I1062">
        <v>32</v>
      </c>
      <c r="J1062">
        <v>19.38</v>
      </c>
      <c r="K1062">
        <v>13.09</v>
      </c>
      <c r="L1062">
        <v>1.45</v>
      </c>
      <c r="M1062">
        <v>2.8290000000000002</v>
      </c>
      <c r="N1062">
        <v>0.23300000000000001</v>
      </c>
      <c r="O1062">
        <v>2.56</v>
      </c>
      <c r="P1062">
        <v>0.72</v>
      </c>
    </row>
    <row r="1063" spans="1:16" x14ac:dyDescent="0.25">
      <c r="A1063" s="1">
        <v>42737</v>
      </c>
      <c r="B1063">
        <v>7.29</v>
      </c>
      <c r="C1063">
        <v>158.30000000000001</v>
      </c>
      <c r="D1063">
        <v>3.468</v>
      </c>
      <c r="E1063">
        <v>11.35</v>
      </c>
      <c r="F1063">
        <v>6.31</v>
      </c>
      <c r="G1063">
        <v>1.69</v>
      </c>
      <c r="H1063">
        <v>4.5439999999999996</v>
      </c>
      <c r="I1063">
        <v>32</v>
      </c>
      <c r="J1063">
        <v>19.38</v>
      </c>
      <c r="K1063">
        <v>13.09</v>
      </c>
      <c r="L1063">
        <v>1.45</v>
      </c>
      <c r="M1063">
        <v>2.8450000000000002</v>
      </c>
      <c r="N1063">
        <v>0.23799999999999999</v>
      </c>
      <c r="O1063">
        <v>2.56</v>
      </c>
      <c r="P1063">
        <v>0.72</v>
      </c>
    </row>
    <row r="1064" spans="1:16" x14ac:dyDescent="0.25">
      <c r="A1064" s="1">
        <v>42738</v>
      </c>
      <c r="B1064">
        <v>7.29</v>
      </c>
      <c r="C1064">
        <v>161.30000000000001</v>
      </c>
      <c r="D1064">
        <v>3.4239999999999999</v>
      </c>
      <c r="E1064">
        <v>12</v>
      </c>
      <c r="F1064">
        <v>6.3</v>
      </c>
      <c r="G1064">
        <v>1.68</v>
      </c>
      <c r="H1064">
        <v>4.5739999999999998</v>
      </c>
      <c r="I1064">
        <v>32</v>
      </c>
      <c r="J1064">
        <v>19.399999999999999</v>
      </c>
      <c r="K1064">
        <v>13.04</v>
      </c>
      <c r="L1064">
        <v>1.47</v>
      </c>
      <c r="M1064">
        <v>2.8450000000000002</v>
      </c>
      <c r="N1064">
        <v>0.24399999999999999</v>
      </c>
      <c r="O1064">
        <v>2.57</v>
      </c>
      <c r="P1064">
        <v>0.75</v>
      </c>
    </row>
    <row r="1065" spans="1:16" x14ac:dyDescent="0.25">
      <c r="A1065" s="1">
        <v>42739</v>
      </c>
      <c r="B1065">
        <v>7.3</v>
      </c>
      <c r="C1065">
        <v>163.80000000000001</v>
      </c>
      <c r="D1065">
        <v>3.468</v>
      </c>
      <c r="E1065">
        <v>12.6</v>
      </c>
      <c r="F1065">
        <v>6.34</v>
      </c>
      <c r="G1065">
        <v>1.65</v>
      </c>
      <c r="H1065">
        <v>4.4450000000000003</v>
      </c>
      <c r="I1065">
        <v>31.98</v>
      </c>
      <c r="J1065">
        <v>19.3</v>
      </c>
      <c r="K1065">
        <v>13.02</v>
      </c>
      <c r="L1065">
        <v>1.45</v>
      </c>
      <c r="M1065">
        <v>2.8290000000000002</v>
      </c>
      <c r="N1065">
        <v>0.248</v>
      </c>
      <c r="O1065">
        <v>2.56</v>
      </c>
      <c r="P1065">
        <v>0.76</v>
      </c>
    </row>
    <row r="1066" spans="1:16" x14ac:dyDescent="0.25">
      <c r="A1066" s="1">
        <v>42740</v>
      </c>
      <c r="B1066">
        <v>7.4</v>
      </c>
      <c r="C1066">
        <v>164.01</v>
      </c>
      <c r="D1066">
        <v>3.5539999999999998</v>
      </c>
      <c r="E1066">
        <v>13</v>
      </c>
      <c r="F1066">
        <v>6.4</v>
      </c>
      <c r="G1066">
        <v>1.69</v>
      </c>
      <c r="H1066">
        <v>4.2380000000000004</v>
      </c>
      <c r="I1066">
        <v>31.95</v>
      </c>
      <c r="J1066">
        <v>19.399999999999999</v>
      </c>
      <c r="K1066">
        <v>12.82</v>
      </c>
      <c r="L1066">
        <v>1.48</v>
      </c>
      <c r="M1066">
        <v>2.8780000000000001</v>
      </c>
      <c r="N1066">
        <v>0.24</v>
      </c>
      <c r="O1066">
        <v>2.54</v>
      </c>
      <c r="P1066">
        <v>0.76</v>
      </c>
    </row>
    <row r="1067" spans="1:16" x14ac:dyDescent="0.25">
      <c r="A1067" s="1">
        <v>42741</v>
      </c>
      <c r="B1067">
        <v>7.45</v>
      </c>
      <c r="C1067">
        <v>164.6</v>
      </c>
      <c r="D1067">
        <v>3.5369999999999999</v>
      </c>
      <c r="E1067">
        <v>12.4</v>
      </c>
      <c r="F1067">
        <v>6.45</v>
      </c>
      <c r="G1067">
        <v>1.69</v>
      </c>
      <c r="H1067">
        <v>4.1589999999999998</v>
      </c>
      <c r="I1067">
        <v>31.9</v>
      </c>
      <c r="J1067">
        <v>19.39</v>
      </c>
      <c r="K1067">
        <v>12.8</v>
      </c>
      <c r="L1067">
        <v>1.49</v>
      </c>
      <c r="M1067">
        <v>2.9529999999999998</v>
      </c>
      <c r="N1067">
        <v>0.24</v>
      </c>
      <c r="O1067">
        <v>2.5099999999999998</v>
      </c>
      <c r="P1067">
        <v>0.76</v>
      </c>
    </row>
    <row r="1068" spans="1:16" x14ac:dyDescent="0.25">
      <c r="A1068" s="1">
        <v>42744</v>
      </c>
      <c r="B1068">
        <v>7.5</v>
      </c>
      <c r="C1068">
        <v>164.05</v>
      </c>
      <c r="D1068">
        <v>3.5539999999999998</v>
      </c>
      <c r="E1068">
        <v>13</v>
      </c>
      <c r="F1068">
        <v>6.44</v>
      </c>
      <c r="G1068">
        <v>1.7</v>
      </c>
      <c r="H1068">
        <v>3.8530000000000002</v>
      </c>
      <c r="I1068">
        <v>31.87</v>
      </c>
      <c r="J1068">
        <v>19.25</v>
      </c>
      <c r="K1068">
        <v>12.85</v>
      </c>
      <c r="L1068">
        <v>1.5</v>
      </c>
      <c r="M1068">
        <v>2.9529999999999998</v>
      </c>
      <c r="N1068">
        <v>0.23100000000000001</v>
      </c>
      <c r="O1068">
        <v>2.5</v>
      </c>
      <c r="P1068">
        <v>0.76</v>
      </c>
    </row>
    <row r="1069" spans="1:16" x14ac:dyDescent="0.25">
      <c r="A1069" s="1">
        <v>42745</v>
      </c>
      <c r="B1069">
        <v>7.52</v>
      </c>
      <c r="C1069">
        <v>165.06</v>
      </c>
      <c r="D1069">
        <v>3.5539999999999998</v>
      </c>
      <c r="E1069">
        <v>13.1</v>
      </c>
      <c r="F1069">
        <v>6.5</v>
      </c>
      <c r="G1069">
        <v>1.72</v>
      </c>
      <c r="H1069">
        <v>3.823</v>
      </c>
      <c r="I1069">
        <v>31.51</v>
      </c>
      <c r="J1069">
        <v>19.5</v>
      </c>
      <c r="K1069">
        <v>13.15</v>
      </c>
      <c r="L1069">
        <v>1.5</v>
      </c>
      <c r="M1069">
        <v>2.9769999999999999</v>
      </c>
      <c r="N1069">
        <v>0.24</v>
      </c>
      <c r="O1069">
        <v>2.5</v>
      </c>
      <c r="P1069">
        <v>0.77</v>
      </c>
    </row>
    <row r="1070" spans="1:16" x14ac:dyDescent="0.25">
      <c r="A1070" s="1">
        <v>42746</v>
      </c>
      <c r="B1070">
        <v>7.53</v>
      </c>
      <c r="C1070">
        <v>164</v>
      </c>
      <c r="D1070">
        <v>3.5720000000000001</v>
      </c>
      <c r="E1070">
        <v>13</v>
      </c>
      <c r="F1070">
        <v>6.5</v>
      </c>
      <c r="G1070">
        <v>1.72</v>
      </c>
      <c r="H1070">
        <v>3.4569999999999999</v>
      </c>
      <c r="I1070">
        <v>32</v>
      </c>
      <c r="J1070">
        <v>19.5</v>
      </c>
      <c r="K1070">
        <v>13.15</v>
      </c>
      <c r="L1070">
        <v>1.51</v>
      </c>
      <c r="M1070">
        <v>2.9529999999999998</v>
      </c>
      <c r="N1070">
        <v>0.24399999999999999</v>
      </c>
      <c r="O1070">
        <v>2.5</v>
      </c>
      <c r="P1070">
        <v>0.77</v>
      </c>
    </row>
    <row r="1071" spans="1:16" x14ac:dyDescent="0.25">
      <c r="A1071" s="1">
        <v>42747</v>
      </c>
      <c r="B1071">
        <v>7.4</v>
      </c>
      <c r="C1071">
        <v>163.19999999999999</v>
      </c>
      <c r="D1071">
        <v>3.5720000000000001</v>
      </c>
      <c r="E1071">
        <v>13.15</v>
      </c>
      <c r="F1071">
        <v>6.4</v>
      </c>
      <c r="G1071">
        <v>1.72</v>
      </c>
      <c r="H1071">
        <v>2.9540000000000002</v>
      </c>
      <c r="I1071">
        <v>31.51</v>
      </c>
      <c r="J1071">
        <v>19.5</v>
      </c>
      <c r="K1071">
        <v>12.95</v>
      </c>
      <c r="L1071">
        <v>1.5</v>
      </c>
      <c r="M1071">
        <v>2.9529999999999998</v>
      </c>
      <c r="N1071">
        <v>0.24</v>
      </c>
      <c r="O1071">
        <v>2.48</v>
      </c>
      <c r="P1071">
        <v>0.78</v>
      </c>
    </row>
    <row r="1072" spans="1:16" x14ac:dyDescent="0.25">
      <c r="A1072" s="1">
        <v>42748</v>
      </c>
      <c r="B1072">
        <v>7.37</v>
      </c>
      <c r="C1072">
        <v>160.81</v>
      </c>
      <c r="D1072">
        <v>3.589</v>
      </c>
      <c r="E1072">
        <v>13.08</v>
      </c>
      <c r="F1072">
        <v>6.4</v>
      </c>
      <c r="G1072">
        <v>1.72</v>
      </c>
      <c r="H1072">
        <v>3.25</v>
      </c>
      <c r="I1072">
        <v>32</v>
      </c>
      <c r="J1072">
        <v>19.399999999999999</v>
      </c>
      <c r="K1072">
        <v>12.75</v>
      </c>
      <c r="L1072">
        <v>1.5</v>
      </c>
      <c r="M1072">
        <v>2.895</v>
      </c>
      <c r="N1072">
        <v>0.24</v>
      </c>
      <c r="O1072">
        <v>2.5</v>
      </c>
      <c r="P1072">
        <v>0.81</v>
      </c>
    </row>
    <row r="1073" spans="1:16" x14ac:dyDescent="0.25">
      <c r="A1073" s="1">
        <v>42751</v>
      </c>
      <c r="B1073">
        <v>7.33</v>
      </c>
      <c r="C1073">
        <v>160.81</v>
      </c>
      <c r="D1073">
        <v>3.5630000000000002</v>
      </c>
      <c r="E1073">
        <v>13.08</v>
      </c>
      <c r="F1073">
        <v>6.37</v>
      </c>
      <c r="G1073">
        <v>1.71</v>
      </c>
      <c r="H1073">
        <v>3.25</v>
      </c>
      <c r="I1073">
        <v>32</v>
      </c>
      <c r="J1073">
        <v>19.5</v>
      </c>
      <c r="K1073">
        <v>12.75</v>
      </c>
      <c r="L1073">
        <v>1.49</v>
      </c>
      <c r="M1073">
        <v>2.7290000000000001</v>
      </c>
      <c r="N1073">
        <v>0.24</v>
      </c>
      <c r="O1073">
        <v>2.5</v>
      </c>
      <c r="P1073">
        <v>0.81</v>
      </c>
    </row>
    <row r="1074" spans="1:16" x14ac:dyDescent="0.25">
      <c r="A1074" s="1">
        <v>42752</v>
      </c>
      <c r="B1074">
        <v>7.2</v>
      </c>
      <c r="C1074">
        <v>160.69999999999999</v>
      </c>
      <c r="D1074">
        <v>3.589</v>
      </c>
      <c r="E1074">
        <v>13.4</v>
      </c>
      <c r="F1074">
        <v>6.34</v>
      </c>
      <c r="G1074">
        <v>1.72</v>
      </c>
      <c r="H1074">
        <v>3.21</v>
      </c>
      <c r="I1074">
        <v>32</v>
      </c>
      <c r="J1074">
        <v>19.5</v>
      </c>
      <c r="K1074">
        <v>12.75</v>
      </c>
      <c r="L1074">
        <v>1.49</v>
      </c>
      <c r="M1074">
        <v>2.7290000000000001</v>
      </c>
      <c r="N1074">
        <v>0.24</v>
      </c>
      <c r="O1074">
        <v>2.48</v>
      </c>
      <c r="P1074">
        <v>0.81</v>
      </c>
    </row>
    <row r="1075" spans="1:16" x14ac:dyDescent="0.25">
      <c r="A1075" s="1">
        <v>42753</v>
      </c>
      <c r="B1075">
        <v>7.22</v>
      </c>
      <c r="C1075">
        <v>161.5</v>
      </c>
      <c r="D1075">
        <v>3.5630000000000002</v>
      </c>
      <c r="E1075">
        <v>13</v>
      </c>
      <c r="F1075">
        <v>6.37</v>
      </c>
      <c r="G1075">
        <v>1.73</v>
      </c>
      <c r="H1075">
        <v>3.24</v>
      </c>
      <c r="I1075">
        <v>31.9</v>
      </c>
      <c r="J1075">
        <v>19.45</v>
      </c>
      <c r="K1075">
        <v>12.69</v>
      </c>
      <c r="L1075">
        <v>1.49</v>
      </c>
      <c r="M1075">
        <v>2.7709999999999999</v>
      </c>
      <c r="N1075">
        <v>0.23400000000000001</v>
      </c>
      <c r="O1075">
        <v>2.4700000000000002</v>
      </c>
      <c r="P1075">
        <v>0.8</v>
      </c>
    </row>
    <row r="1076" spans="1:16" x14ac:dyDescent="0.25">
      <c r="A1076" s="1">
        <v>42754</v>
      </c>
      <c r="B1076">
        <v>7.22</v>
      </c>
      <c r="C1076">
        <v>159.5</v>
      </c>
      <c r="D1076">
        <v>3.5720000000000001</v>
      </c>
      <c r="E1076">
        <v>12.9</v>
      </c>
      <c r="F1076">
        <v>6.3</v>
      </c>
      <c r="G1076">
        <v>1.72</v>
      </c>
      <c r="H1076">
        <v>3.1120000000000001</v>
      </c>
      <c r="I1076">
        <v>31.7</v>
      </c>
      <c r="J1076">
        <v>19.45</v>
      </c>
      <c r="K1076">
        <v>12.65</v>
      </c>
      <c r="L1076">
        <v>1.49</v>
      </c>
      <c r="M1076">
        <v>2.7290000000000001</v>
      </c>
      <c r="N1076">
        <v>0.249</v>
      </c>
      <c r="O1076">
        <v>2.4700000000000002</v>
      </c>
      <c r="P1076">
        <v>0.79</v>
      </c>
    </row>
    <row r="1077" spans="1:16" x14ac:dyDescent="0.25">
      <c r="A1077" s="1">
        <v>42755</v>
      </c>
      <c r="B1077">
        <v>7.27</v>
      </c>
      <c r="C1077">
        <v>160</v>
      </c>
      <c r="D1077">
        <v>3.5720000000000001</v>
      </c>
      <c r="E1077">
        <v>13.19</v>
      </c>
      <c r="F1077">
        <v>6.25</v>
      </c>
      <c r="G1077">
        <v>1.72</v>
      </c>
      <c r="H1077">
        <v>2.9630000000000001</v>
      </c>
      <c r="I1077">
        <v>31.35</v>
      </c>
      <c r="J1077">
        <v>19.45</v>
      </c>
      <c r="K1077">
        <v>12.64</v>
      </c>
      <c r="L1077">
        <v>1.49</v>
      </c>
      <c r="M1077">
        <v>2.7370000000000001</v>
      </c>
      <c r="N1077">
        <v>0.245</v>
      </c>
      <c r="O1077">
        <v>2.46</v>
      </c>
      <c r="P1077">
        <v>0.8</v>
      </c>
    </row>
    <row r="1078" spans="1:16" x14ac:dyDescent="0.25">
      <c r="A1078" s="1">
        <v>42758</v>
      </c>
      <c r="B1078">
        <v>7.35</v>
      </c>
      <c r="C1078">
        <v>164</v>
      </c>
      <c r="D1078">
        <v>3.589</v>
      </c>
      <c r="E1078">
        <v>13.5</v>
      </c>
      <c r="F1078">
        <v>6.23</v>
      </c>
      <c r="G1078">
        <v>1.73</v>
      </c>
      <c r="H1078">
        <v>2.9140000000000001</v>
      </c>
      <c r="I1078">
        <v>31.35</v>
      </c>
      <c r="J1078">
        <v>19.399999999999999</v>
      </c>
      <c r="K1078">
        <v>12.75</v>
      </c>
      <c r="L1078">
        <v>1.46</v>
      </c>
      <c r="M1078">
        <v>2.7709999999999999</v>
      </c>
      <c r="N1078">
        <v>0.24</v>
      </c>
      <c r="O1078">
        <v>2.4700000000000002</v>
      </c>
      <c r="P1078">
        <v>0.81</v>
      </c>
    </row>
    <row r="1079" spans="1:16" x14ac:dyDescent="0.25">
      <c r="A1079" s="1">
        <v>42759</v>
      </c>
      <c r="B1079">
        <v>7.41</v>
      </c>
      <c r="C1079">
        <v>165.7</v>
      </c>
      <c r="D1079">
        <v>3.589</v>
      </c>
      <c r="E1079">
        <v>13.49</v>
      </c>
      <c r="F1079">
        <v>6.26</v>
      </c>
      <c r="G1079">
        <v>1.75</v>
      </c>
      <c r="H1079">
        <v>3.4279999999999999</v>
      </c>
      <c r="I1079">
        <v>31.65</v>
      </c>
      <c r="J1079">
        <v>19.3</v>
      </c>
      <c r="K1079">
        <v>12.66</v>
      </c>
      <c r="L1079">
        <v>1.47</v>
      </c>
      <c r="M1079">
        <v>2.895</v>
      </c>
      <c r="N1079">
        <v>0.245</v>
      </c>
      <c r="O1079">
        <v>2.4500000000000002</v>
      </c>
      <c r="P1079">
        <v>0.82799999999999996</v>
      </c>
    </row>
    <row r="1080" spans="1:16" x14ac:dyDescent="0.25">
      <c r="A1080" s="1">
        <v>42760</v>
      </c>
      <c r="B1080">
        <v>7.45</v>
      </c>
      <c r="C1080">
        <v>168.3</v>
      </c>
      <c r="D1080">
        <v>3.6150000000000002</v>
      </c>
      <c r="E1080">
        <v>13</v>
      </c>
      <c r="F1080">
        <v>6.38</v>
      </c>
      <c r="G1080">
        <v>1.75</v>
      </c>
      <c r="H1080">
        <v>3.5070000000000001</v>
      </c>
      <c r="I1080">
        <v>31.75</v>
      </c>
      <c r="J1080">
        <v>19.350000000000001</v>
      </c>
      <c r="K1080">
        <v>13</v>
      </c>
      <c r="L1080">
        <v>1.46</v>
      </c>
      <c r="M1080">
        <v>2.895</v>
      </c>
      <c r="N1080">
        <v>0.24</v>
      </c>
      <c r="O1080">
        <v>2.4700000000000002</v>
      </c>
      <c r="P1080">
        <v>0.81799999999999995</v>
      </c>
    </row>
    <row r="1081" spans="1:16" x14ac:dyDescent="0.25">
      <c r="A1081" s="1">
        <v>42761</v>
      </c>
      <c r="B1081">
        <v>7.35</v>
      </c>
      <c r="C1081">
        <v>165.3</v>
      </c>
      <c r="D1081">
        <v>3.6320000000000001</v>
      </c>
      <c r="E1081">
        <v>12.98</v>
      </c>
      <c r="F1081">
        <v>6.35</v>
      </c>
      <c r="G1081">
        <v>1.75</v>
      </c>
      <c r="H1081">
        <v>3.3879999999999999</v>
      </c>
      <c r="I1081">
        <v>31.75</v>
      </c>
      <c r="J1081">
        <v>19.239999999999998</v>
      </c>
      <c r="K1081">
        <v>12.75</v>
      </c>
      <c r="L1081">
        <v>1.44</v>
      </c>
      <c r="M1081">
        <v>2.8119999999999998</v>
      </c>
      <c r="N1081">
        <v>0.245</v>
      </c>
      <c r="O1081">
        <v>2.4700000000000002</v>
      </c>
      <c r="P1081">
        <v>0.81799999999999995</v>
      </c>
    </row>
    <row r="1082" spans="1:16" x14ac:dyDescent="0.25">
      <c r="A1082" s="1">
        <v>42762</v>
      </c>
      <c r="B1082">
        <v>7.28</v>
      </c>
      <c r="C1082">
        <v>166</v>
      </c>
      <c r="D1082">
        <v>3.641</v>
      </c>
      <c r="E1082">
        <v>13.32</v>
      </c>
      <c r="F1082">
        <v>6.27</v>
      </c>
      <c r="G1082">
        <v>1.75</v>
      </c>
      <c r="H1082">
        <v>3.1019999999999999</v>
      </c>
      <c r="I1082">
        <v>31.51</v>
      </c>
      <c r="J1082">
        <v>19.149999999999999</v>
      </c>
      <c r="K1082">
        <v>12.75</v>
      </c>
      <c r="L1082">
        <v>1.44</v>
      </c>
      <c r="M1082">
        <v>2.7949999999999999</v>
      </c>
      <c r="N1082">
        <v>0.24</v>
      </c>
      <c r="O1082">
        <v>2.4</v>
      </c>
      <c r="P1082">
        <v>0.79800000000000004</v>
      </c>
    </row>
    <row r="1083" spans="1:16" x14ac:dyDescent="0.25">
      <c r="A1083" s="1">
        <v>42765</v>
      </c>
      <c r="B1083">
        <v>7.35</v>
      </c>
      <c r="C1083">
        <v>164.1</v>
      </c>
      <c r="D1083">
        <v>3.6320000000000001</v>
      </c>
      <c r="E1083">
        <v>13.33</v>
      </c>
      <c r="F1083">
        <v>6.22</v>
      </c>
      <c r="G1083">
        <v>1.8</v>
      </c>
      <c r="H1083">
        <v>2.9929999999999999</v>
      </c>
      <c r="I1083">
        <v>31.51</v>
      </c>
      <c r="J1083">
        <v>19.100000000000001</v>
      </c>
      <c r="K1083">
        <v>12.72</v>
      </c>
      <c r="L1083">
        <v>1.44</v>
      </c>
      <c r="M1083">
        <v>2.7949999999999999</v>
      </c>
      <c r="N1083">
        <v>0.23499999999999999</v>
      </c>
      <c r="O1083">
        <v>2.4</v>
      </c>
      <c r="P1083">
        <v>0.79800000000000004</v>
      </c>
    </row>
    <row r="1084" spans="1:16" x14ac:dyDescent="0.25">
      <c r="A1084" s="1">
        <v>42766</v>
      </c>
      <c r="B1084">
        <v>7.51</v>
      </c>
      <c r="C1084">
        <v>163.41</v>
      </c>
      <c r="D1084">
        <v>3.641</v>
      </c>
      <c r="E1084">
        <v>13.75</v>
      </c>
      <c r="F1084">
        <v>6.3</v>
      </c>
      <c r="G1084">
        <v>1.8</v>
      </c>
      <c r="H1084">
        <v>2.9729999999999999</v>
      </c>
      <c r="I1084">
        <v>32</v>
      </c>
      <c r="J1084">
        <v>19</v>
      </c>
      <c r="K1084">
        <v>12.72</v>
      </c>
      <c r="L1084">
        <v>1.4</v>
      </c>
      <c r="M1084">
        <v>2.7949999999999999</v>
      </c>
      <c r="N1084">
        <v>0.23599999999999999</v>
      </c>
      <c r="O1084">
        <v>2.4079999999999999</v>
      </c>
      <c r="P1084">
        <v>0.80800000000000005</v>
      </c>
    </row>
    <row r="1085" spans="1:16" x14ac:dyDescent="0.25">
      <c r="A1085" s="1">
        <v>42767</v>
      </c>
      <c r="B1085">
        <v>7.57</v>
      </c>
      <c r="C1085">
        <v>163.19999999999999</v>
      </c>
      <c r="D1085">
        <v>3.6589999999999998</v>
      </c>
      <c r="E1085">
        <v>13.59</v>
      </c>
      <c r="F1085">
        <v>6.5</v>
      </c>
      <c r="G1085">
        <v>1.82</v>
      </c>
      <c r="H1085">
        <v>3.0030000000000001</v>
      </c>
      <c r="I1085">
        <v>32.99</v>
      </c>
      <c r="J1085">
        <v>18.95</v>
      </c>
      <c r="K1085">
        <v>12.72</v>
      </c>
      <c r="L1085">
        <v>1.41</v>
      </c>
      <c r="M1085">
        <v>2.7949999999999999</v>
      </c>
      <c r="N1085">
        <v>0.23599999999999999</v>
      </c>
      <c r="O1085">
        <v>2.4079999999999999</v>
      </c>
      <c r="P1085">
        <v>0.80800000000000005</v>
      </c>
    </row>
    <row r="1086" spans="1:16" x14ac:dyDescent="0.25">
      <c r="A1086" s="1">
        <v>42768</v>
      </c>
      <c r="B1086">
        <v>7.56</v>
      </c>
      <c r="C1086">
        <v>162.4</v>
      </c>
      <c r="D1086">
        <v>3.6760000000000002</v>
      </c>
      <c r="E1086">
        <v>13.78</v>
      </c>
      <c r="F1086">
        <v>6.5</v>
      </c>
      <c r="G1086">
        <v>1.82</v>
      </c>
      <c r="H1086">
        <v>3.0619999999999998</v>
      </c>
      <c r="I1086">
        <v>33.35</v>
      </c>
      <c r="J1086">
        <v>19.260000000000002</v>
      </c>
      <c r="K1086">
        <v>12.94</v>
      </c>
      <c r="L1086">
        <v>1.42</v>
      </c>
      <c r="M1086">
        <v>2.8780000000000001</v>
      </c>
      <c r="N1086">
        <v>0.255</v>
      </c>
      <c r="O1086">
        <v>2.4079999999999999</v>
      </c>
      <c r="P1086">
        <v>0.80800000000000005</v>
      </c>
    </row>
    <row r="1087" spans="1:16" x14ac:dyDescent="0.25">
      <c r="A1087" s="1">
        <v>42769</v>
      </c>
      <c r="B1087">
        <v>7.55</v>
      </c>
      <c r="C1087">
        <v>164</v>
      </c>
      <c r="D1087">
        <v>3.6760000000000002</v>
      </c>
      <c r="E1087">
        <v>13.6</v>
      </c>
      <c r="F1087">
        <v>6.5</v>
      </c>
      <c r="G1087">
        <v>1.85</v>
      </c>
      <c r="H1087">
        <v>3.0129999999999999</v>
      </c>
      <c r="I1087">
        <v>33.4</v>
      </c>
      <c r="J1087">
        <v>19.399999999999999</v>
      </c>
      <c r="K1087">
        <v>12.94</v>
      </c>
      <c r="L1087">
        <v>1.45</v>
      </c>
      <c r="M1087">
        <v>2.895</v>
      </c>
      <c r="N1087">
        <v>0.26100000000000001</v>
      </c>
      <c r="O1087">
        <v>2.4169999999999998</v>
      </c>
      <c r="P1087">
        <v>0.83799999999999997</v>
      </c>
    </row>
    <row r="1088" spans="1:16" x14ac:dyDescent="0.25">
      <c r="A1088" s="1">
        <v>42772</v>
      </c>
      <c r="B1088">
        <v>7.51</v>
      </c>
      <c r="C1088">
        <v>162.01</v>
      </c>
      <c r="D1088">
        <v>3.6760000000000002</v>
      </c>
      <c r="E1088">
        <v>14.45</v>
      </c>
      <c r="F1088">
        <v>6.46</v>
      </c>
      <c r="G1088">
        <v>1.89</v>
      </c>
      <c r="H1088">
        <v>3.1120000000000001</v>
      </c>
      <c r="I1088">
        <v>33.39</v>
      </c>
      <c r="J1088">
        <v>19.399999999999999</v>
      </c>
      <c r="K1088">
        <v>12.95</v>
      </c>
      <c r="L1088">
        <v>1.44</v>
      </c>
      <c r="M1088">
        <v>2.8620000000000001</v>
      </c>
      <c r="N1088">
        <v>0.26800000000000002</v>
      </c>
      <c r="O1088">
        <v>2.4369999999999998</v>
      </c>
      <c r="P1088">
        <v>0.82799999999999996</v>
      </c>
    </row>
    <row r="1089" spans="1:16" x14ac:dyDescent="0.25">
      <c r="A1089" s="1">
        <v>42773</v>
      </c>
      <c r="B1089">
        <v>7.5</v>
      </c>
      <c r="C1089">
        <v>166.8</v>
      </c>
      <c r="D1089">
        <v>3.641</v>
      </c>
      <c r="E1089">
        <v>14.38</v>
      </c>
      <c r="F1089">
        <v>6.47</v>
      </c>
      <c r="G1089">
        <v>1.92</v>
      </c>
      <c r="H1089">
        <v>3.0619999999999998</v>
      </c>
      <c r="I1089">
        <v>33.35</v>
      </c>
      <c r="J1089">
        <v>19.399999999999999</v>
      </c>
      <c r="K1089">
        <v>12.79</v>
      </c>
      <c r="L1089">
        <v>1.41</v>
      </c>
      <c r="M1089">
        <v>2.8450000000000002</v>
      </c>
      <c r="N1089">
        <v>0.26400000000000001</v>
      </c>
      <c r="O1089">
        <v>2.4870000000000001</v>
      </c>
      <c r="P1089">
        <v>0.85</v>
      </c>
    </row>
    <row r="1090" spans="1:16" x14ac:dyDescent="0.25">
      <c r="A1090" s="1">
        <v>42774</v>
      </c>
      <c r="B1090">
        <v>7.5</v>
      </c>
      <c r="C1090">
        <v>168.2</v>
      </c>
      <c r="D1090">
        <v>3.6760000000000002</v>
      </c>
      <c r="E1090">
        <v>14.2</v>
      </c>
      <c r="F1090">
        <v>6.45</v>
      </c>
      <c r="G1090">
        <v>1.92</v>
      </c>
      <c r="H1090">
        <v>3.0230000000000001</v>
      </c>
      <c r="I1090">
        <v>33.35</v>
      </c>
      <c r="J1090">
        <v>19.100000000000001</v>
      </c>
      <c r="K1090">
        <v>12.58</v>
      </c>
      <c r="L1090">
        <v>1.41</v>
      </c>
      <c r="M1090">
        <v>2.8450000000000002</v>
      </c>
      <c r="N1090">
        <v>0.26900000000000002</v>
      </c>
      <c r="O1090">
        <v>2.4969999999999999</v>
      </c>
      <c r="P1090">
        <v>0.89</v>
      </c>
    </row>
    <row r="1091" spans="1:16" x14ac:dyDescent="0.25">
      <c r="A1091" s="1">
        <v>42775</v>
      </c>
      <c r="B1091">
        <v>7.55</v>
      </c>
      <c r="C1091">
        <v>169.82</v>
      </c>
      <c r="D1091">
        <v>3.6150000000000002</v>
      </c>
      <c r="E1091">
        <v>13.86</v>
      </c>
      <c r="F1091">
        <v>6.45</v>
      </c>
      <c r="G1091">
        <v>1.9</v>
      </c>
      <c r="H1091">
        <v>3.0129999999999999</v>
      </c>
      <c r="I1091">
        <v>33.200000000000003</v>
      </c>
      <c r="J1091">
        <v>19.100000000000001</v>
      </c>
      <c r="K1091">
        <v>12.51</v>
      </c>
      <c r="L1091">
        <v>1.4</v>
      </c>
      <c r="M1091">
        <v>2.8290000000000002</v>
      </c>
      <c r="N1091">
        <v>0.26700000000000002</v>
      </c>
      <c r="O1091">
        <v>2.4969999999999999</v>
      </c>
      <c r="P1091">
        <v>0.88</v>
      </c>
    </row>
    <row r="1092" spans="1:16" x14ac:dyDescent="0.25">
      <c r="A1092" s="1">
        <v>42776</v>
      </c>
      <c r="B1092">
        <v>7.6</v>
      </c>
      <c r="C1092">
        <v>172.3</v>
      </c>
      <c r="D1092">
        <v>3.6150000000000002</v>
      </c>
      <c r="E1092">
        <v>14.18</v>
      </c>
      <c r="F1092">
        <v>6.35</v>
      </c>
      <c r="G1092">
        <v>1.9</v>
      </c>
      <c r="H1092">
        <v>3.0129999999999999</v>
      </c>
      <c r="I1092">
        <v>33.200000000000003</v>
      </c>
      <c r="J1092">
        <v>19.100000000000001</v>
      </c>
      <c r="K1092">
        <v>12.6</v>
      </c>
      <c r="L1092">
        <v>1.41</v>
      </c>
      <c r="M1092">
        <v>2.911</v>
      </c>
      <c r="N1092">
        <v>0.26900000000000002</v>
      </c>
      <c r="O1092">
        <v>2.4969999999999999</v>
      </c>
      <c r="P1092">
        <v>0.91</v>
      </c>
    </row>
    <row r="1093" spans="1:16" x14ac:dyDescent="0.25">
      <c r="A1093" s="1">
        <v>42779</v>
      </c>
      <c r="B1093">
        <v>7.67</v>
      </c>
      <c r="C1093">
        <v>170.3</v>
      </c>
      <c r="D1093">
        <v>3.6930000000000001</v>
      </c>
      <c r="E1093">
        <v>13.92</v>
      </c>
      <c r="F1093">
        <v>6.25</v>
      </c>
      <c r="G1093">
        <v>1.89</v>
      </c>
      <c r="H1093">
        <v>3.1120000000000001</v>
      </c>
      <c r="I1093">
        <v>32.5</v>
      </c>
      <c r="J1093">
        <v>19.16</v>
      </c>
      <c r="K1093">
        <v>12.6</v>
      </c>
      <c r="L1093">
        <v>1.4</v>
      </c>
      <c r="M1093">
        <v>2.919</v>
      </c>
      <c r="N1093">
        <v>0.26500000000000001</v>
      </c>
      <c r="O1093">
        <v>2.4900000000000002</v>
      </c>
      <c r="P1093">
        <v>0.94</v>
      </c>
    </row>
    <row r="1094" spans="1:16" x14ac:dyDescent="0.25">
      <c r="A1094" s="1">
        <v>42780</v>
      </c>
      <c r="B1094">
        <v>7.8</v>
      </c>
      <c r="C1094">
        <v>166.8</v>
      </c>
      <c r="D1094">
        <v>3.6930000000000001</v>
      </c>
      <c r="E1094">
        <v>13.73</v>
      </c>
      <c r="F1094">
        <v>6.2</v>
      </c>
      <c r="G1094">
        <v>1.9</v>
      </c>
      <c r="H1094">
        <v>3.161</v>
      </c>
      <c r="I1094">
        <v>32.5</v>
      </c>
      <c r="J1094">
        <v>19.11</v>
      </c>
      <c r="K1094">
        <v>12.6</v>
      </c>
      <c r="L1094">
        <v>1.38</v>
      </c>
      <c r="M1094">
        <v>2.895</v>
      </c>
      <c r="N1094">
        <v>0.245</v>
      </c>
      <c r="O1094">
        <v>2.4900000000000002</v>
      </c>
      <c r="P1094">
        <v>0.9</v>
      </c>
    </row>
    <row r="1095" spans="1:16" x14ac:dyDescent="0.25">
      <c r="A1095" s="1">
        <v>42781</v>
      </c>
      <c r="B1095">
        <v>7.9</v>
      </c>
      <c r="C1095">
        <v>167.8</v>
      </c>
      <c r="D1095">
        <v>3.6840000000000002</v>
      </c>
      <c r="E1095">
        <v>13.72</v>
      </c>
      <c r="F1095">
        <v>6.1</v>
      </c>
      <c r="G1095">
        <v>1.9</v>
      </c>
      <c r="H1095">
        <v>3.24</v>
      </c>
      <c r="I1095">
        <v>32.51</v>
      </c>
      <c r="J1095">
        <v>19.11</v>
      </c>
      <c r="K1095">
        <v>12.6</v>
      </c>
      <c r="L1095">
        <v>1.45</v>
      </c>
      <c r="M1095">
        <v>2.895</v>
      </c>
      <c r="N1095">
        <v>0.23799999999999999</v>
      </c>
      <c r="O1095">
        <v>2.5</v>
      </c>
      <c r="P1095">
        <v>0.89</v>
      </c>
    </row>
    <row r="1096" spans="1:16" x14ac:dyDescent="0.25">
      <c r="A1096" s="1">
        <v>42782</v>
      </c>
      <c r="B1096">
        <v>7.95</v>
      </c>
      <c r="C1096">
        <v>167.4</v>
      </c>
      <c r="D1096">
        <v>3.7280000000000002</v>
      </c>
      <c r="E1096">
        <v>13.53</v>
      </c>
      <c r="F1096">
        <v>6.08</v>
      </c>
      <c r="G1096">
        <v>1.9</v>
      </c>
      <c r="H1096">
        <v>3.24</v>
      </c>
      <c r="I1096">
        <v>32.6</v>
      </c>
      <c r="J1096">
        <v>19.3</v>
      </c>
      <c r="K1096">
        <v>12.55</v>
      </c>
      <c r="L1096">
        <v>1.45</v>
      </c>
      <c r="M1096">
        <v>2.895</v>
      </c>
      <c r="N1096">
        <v>0.23699999999999999</v>
      </c>
      <c r="O1096">
        <v>2.48</v>
      </c>
      <c r="P1096">
        <v>0.85</v>
      </c>
    </row>
    <row r="1097" spans="1:16" x14ac:dyDescent="0.25">
      <c r="A1097" s="1">
        <v>42783</v>
      </c>
      <c r="B1097">
        <v>7.85</v>
      </c>
      <c r="C1097">
        <v>166</v>
      </c>
      <c r="D1097">
        <v>3.7280000000000002</v>
      </c>
      <c r="E1097">
        <v>13.15</v>
      </c>
      <c r="F1097">
        <v>6.05</v>
      </c>
      <c r="G1097">
        <v>1.9</v>
      </c>
      <c r="H1097">
        <v>3.319</v>
      </c>
      <c r="I1097">
        <v>33</v>
      </c>
      <c r="J1097">
        <v>19.100000000000001</v>
      </c>
      <c r="K1097">
        <v>12.25</v>
      </c>
      <c r="L1097">
        <v>1.45</v>
      </c>
      <c r="M1097">
        <v>2.895</v>
      </c>
      <c r="N1097">
        <v>0.23799999999999999</v>
      </c>
      <c r="O1097">
        <v>2.5</v>
      </c>
      <c r="P1097">
        <v>0.86</v>
      </c>
    </row>
    <row r="1098" spans="1:16" x14ac:dyDescent="0.25">
      <c r="A1098" s="1">
        <v>42786</v>
      </c>
      <c r="B1098">
        <v>7.71</v>
      </c>
      <c r="C1098">
        <v>166</v>
      </c>
      <c r="D1098">
        <v>3.7709999999999999</v>
      </c>
      <c r="E1098">
        <v>13.15</v>
      </c>
      <c r="F1098">
        <v>6.01</v>
      </c>
      <c r="G1098">
        <v>1.91</v>
      </c>
      <c r="H1098">
        <v>3.3980000000000001</v>
      </c>
      <c r="I1098">
        <v>33</v>
      </c>
      <c r="J1098">
        <v>19.149999999999999</v>
      </c>
      <c r="K1098">
        <v>12.2</v>
      </c>
      <c r="L1098">
        <v>1.45</v>
      </c>
      <c r="M1098">
        <v>2.895</v>
      </c>
      <c r="N1098">
        <v>0.23499999999999999</v>
      </c>
      <c r="O1098">
        <v>2.46</v>
      </c>
      <c r="P1098">
        <v>0.87</v>
      </c>
    </row>
    <row r="1099" spans="1:16" x14ac:dyDescent="0.25">
      <c r="A1099" s="1">
        <v>42787</v>
      </c>
      <c r="B1099">
        <v>7.85</v>
      </c>
      <c r="C1099">
        <v>170.5</v>
      </c>
      <c r="D1099">
        <v>3.7709999999999999</v>
      </c>
      <c r="E1099">
        <v>13</v>
      </c>
      <c r="F1099">
        <v>6.04</v>
      </c>
      <c r="G1099">
        <v>1.9</v>
      </c>
      <c r="H1099">
        <v>3.359</v>
      </c>
      <c r="I1099">
        <v>33</v>
      </c>
      <c r="J1099">
        <v>19.149999999999999</v>
      </c>
      <c r="K1099">
        <v>12</v>
      </c>
      <c r="L1099">
        <v>1.45</v>
      </c>
      <c r="M1099">
        <v>2.8530000000000002</v>
      </c>
      <c r="N1099">
        <v>0.23</v>
      </c>
      <c r="O1099">
        <v>2.46</v>
      </c>
      <c r="P1099">
        <v>0.85</v>
      </c>
    </row>
    <row r="1100" spans="1:16" x14ac:dyDescent="0.25">
      <c r="A1100" s="1">
        <v>42788</v>
      </c>
      <c r="B1100">
        <v>7.9</v>
      </c>
      <c r="C1100">
        <v>170.51</v>
      </c>
      <c r="D1100">
        <v>3.8140000000000001</v>
      </c>
      <c r="E1100">
        <v>12.94</v>
      </c>
      <c r="F1100">
        <v>5.96</v>
      </c>
      <c r="G1100">
        <v>1.87</v>
      </c>
      <c r="H1100">
        <v>3.3090000000000002</v>
      </c>
      <c r="I1100">
        <v>33</v>
      </c>
      <c r="J1100">
        <v>19.29</v>
      </c>
      <c r="K1100">
        <v>11.95</v>
      </c>
      <c r="L1100">
        <v>1.45</v>
      </c>
      <c r="M1100">
        <v>2.8530000000000002</v>
      </c>
      <c r="N1100">
        <v>0.23</v>
      </c>
      <c r="O1100">
        <v>2.44</v>
      </c>
      <c r="P1100">
        <v>0.87</v>
      </c>
    </row>
    <row r="1101" spans="1:16" x14ac:dyDescent="0.25">
      <c r="A1101" s="1">
        <v>42789</v>
      </c>
      <c r="B1101">
        <v>7.95</v>
      </c>
      <c r="C1101">
        <v>170.09</v>
      </c>
      <c r="D1101">
        <v>3.7709999999999999</v>
      </c>
      <c r="E1101">
        <v>12.9</v>
      </c>
      <c r="F1101">
        <v>6</v>
      </c>
      <c r="G1101">
        <v>1.85</v>
      </c>
      <c r="H1101">
        <v>3.26</v>
      </c>
      <c r="I1101">
        <v>33</v>
      </c>
      <c r="J1101">
        <v>19.34</v>
      </c>
      <c r="K1101">
        <v>11.82</v>
      </c>
      <c r="L1101">
        <v>1.45</v>
      </c>
      <c r="M1101">
        <v>2.7949999999999999</v>
      </c>
      <c r="N1101">
        <v>0.23</v>
      </c>
      <c r="O1101">
        <v>2.42</v>
      </c>
      <c r="P1101">
        <v>0.87</v>
      </c>
    </row>
    <row r="1102" spans="1:16" x14ac:dyDescent="0.25">
      <c r="A1102" s="1">
        <v>42790</v>
      </c>
      <c r="B1102">
        <v>7.9</v>
      </c>
      <c r="C1102">
        <v>167.79</v>
      </c>
      <c r="D1102">
        <v>3.754</v>
      </c>
      <c r="E1102">
        <v>12.7</v>
      </c>
      <c r="F1102">
        <v>6</v>
      </c>
      <c r="G1102">
        <v>1.82</v>
      </c>
      <c r="H1102">
        <v>2.173</v>
      </c>
      <c r="I1102">
        <v>32.6</v>
      </c>
      <c r="J1102">
        <v>19.399999999999999</v>
      </c>
      <c r="K1102">
        <v>11.8</v>
      </c>
      <c r="L1102">
        <v>1.4</v>
      </c>
      <c r="M1102">
        <v>2.7290000000000001</v>
      </c>
      <c r="N1102">
        <v>0.23</v>
      </c>
      <c r="O1102">
        <v>2.42</v>
      </c>
      <c r="P1102">
        <v>0.86</v>
      </c>
    </row>
    <row r="1103" spans="1:16" x14ac:dyDescent="0.25">
      <c r="A1103" s="1">
        <v>42793</v>
      </c>
      <c r="B1103">
        <v>7.85</v>
      </c>
      <c r="C1103">
        <v>166.6</v>
      </c>
      <c r="D1103">
        <v>3.7709999999999999</v>
      </c>
      <c r="E1103">
        <v>12.21</v>
      </c>
      <c r="F1103">
        <v>6</v>
      </c>
      <c r="G1103">
        <v>1.8</v>
      </c>
      <c r="H1103">
        <v>1.61</v>
      </c>
      <c r="I1103">
        <v>32.6</v>
      </c>
      <c r="J1103">
        <v>19.399999999999999</v>
      </c>
      <c r="K1103">
        <v>11.7</v>
      </c>
      <c r="L1103">
        <v>1.38</v>
      </c>
      <c r="M1103">
        <v>2.7290000000000001</v>
      </c>
      <c r="N1103">
        <v>0.22500000000000001</v>
      </c>
      <c r="O1103">
        <v>2.4</v>
      </c>
      <c r="P1103">
        <v>0.85</v>
      </c>
    </row>
    <row r="1104" spans="1:16" x14ac:dyDescent="0.25">
      <c r="A1104" s="1">
        <v>42794</v>
      </c>
      <c r="B1104">
        <v>7.69</v>
      </c>
      <c r="C1104">
        <v>164.5</v>
      </c>
      <c r="D1104">
        <v>3.7709999999999999</v>
      </c>
      <c r="E1104">
        <v>12.28</v>
      </c>
      <c r="F1104">
        <v>6</v>
      </c>
      <c r="G1104">
        <v>1.86</v>
      </c>
      <c r="H1104">
        <v>1.877</v>
      </c>
      <c r="I1104">
        <v>33</v>
      </c>
      <c r="J1104">
        <v>19.39</v>
      </c>
      <c r="K1104">
        <v>11.69</v>
      </c>
      <c r="L1104">
        <v>1.37</v>
      </c>
      <c r="M1104">
        <v>2.7290000000000001</v>
      </c>
      <c r="N1104">
        <v>0.23</v>
      </c>
      <c r="O1104">
        <v>2.31</v>
      </c>
      <c r="P1104">
        <v>0.84</v>
      </c>
    </row>
    <row r="1105" spans="1:16" x14ac:dyDescent="0.25">
      <c r="A1105" s="1">
        <v>42795</v>
      </c>
      <c r="B1105">
        <v>7.75</v>
      </c>
      <c r="C1105">
        <v>167.9</v>
      </c>
      <c r="D1105">
        <v>3.78</v>
      </c>
      <c r="E1105">
        <v>12.65</v>
      </c>
      <c r="F1105">
        <v>6.6</v>
      </c>
      <c r="G1105">
        <v>1.86</v>
      </c>
      <c r="H1105">
        <v>1.897</v>
      </c>
      <c r="I1105">
        <v>33</v>
      </c>
      <c r="J1105">
        <v>19.149999999999999</v>
      </c>
      <c r="K1105">
        <v>11.69</v>
      </c>
      <c r="L1105">
        <v>1.37</v>
      </c>
      <c r="M1105">
        <v>2.7290000000000001</v>
      </c>
      <c r="N1105">
        <v>0.22</v>
      </c>
      <c r="O1105">
        <v>2.34</v>
      </c>
      <c r="P1105">
        <v>0.85</v>
      </c>
    </row>
    <row r="1106" spans="1:16" x14ac:dyDescent="0.25">
      <c r="A1106" s="1">
        <v>42796</v>
      </c>
      <c r="B1106">
        <v>7.73</v>
      </c>
      <c r="C1106">
        <v>165.55</v>
      </c>
      <c r="D1106">
        <v>3.8140000000000001</v>
      </c>
      <c r="E1106">
        <v>11.88</v>
      </c>
      <c r="F1106">
        <v>6.75</v>
      </c>
      <c r="G1106">
        <v>1.86</v>
      </c>
      <c r="H1106">
        <v>1.9159999999999999</v>
      </c>
      <c r="I1106">
        <v>33.4</v>
      </c>
      <c r="J1106">
        <v>19.100000000000001</v>
      </c>
      <c r="K1106">
        <v>11.65</v>
      </c>
      <c r="L1106">
        <v>1.37</v>
      </c>
      <c r="M1106">
        <v>2.7370000000000001</v>
      </c>
      <c r="N1106">
        <v>0.22</v>
      </c>
      <c r="O1106">
        <v>2.2799999999999998</v>
      </c>
      <c r="P1106">
        <v>0.81</v>
      </c>
    </row>
    <row r="1107" spans="1:16" x14ac:dyDescent="0.25">
      <c r="A1107" s="1">
        <v>42797</v>
      </c>
      <c r="B1107">
        <v>7.73</v>
      </c>
      <c r="C1107">
        <v>167.8</v>
      </c>
      <c r="D1107">
        <v>3.8410000000000002</v>
      </c>
      <c r="E1107">
        <v>12.1</v>
      </c>
      <c r="F1107">
        <v>6.75</v>
      </c>
      <c r="G1107">
        <v>1.87</v>
      </c>
      <c r="H1107">
        <v>1.9159999999999999</v>
      </c>
      <c r="I1107">
        <v>33</v>
      </c>
      <c r="J1107">
        <v>19.100000000000001</v>
      </c>
      <c r="K1107">
        <v>11.65</v>
      </c>
      <c r="L1107">
        <v>1.37</v>
      </c>
      <c r="M1107">
        <v>2.8370000000000002</v>
      </c>
      <c r="N1107">
        <v>0.22</v>
      </c>
      <c r="O1107">
        <v>2.2799999999999998</v>
      </c>
      <c r="P1107">
        <v>0.83</v>
      </c>
    </row>
    <row r="1108" spans="1:16" x14ac:dyDescent="0.25">
      <c r="A1108" s="1">
        <v>42800</v>
      </c>
      <c r="B1108">
        <v>7.52</v>
      </c>
      <c r="C1108">
        <v>165.6</v>
      </c>
      <c r="D1108">
        <v>3.6930000000000001</v>
      </c>
      <c r="E1108">
        <v>11.63</v>
      </c>
      <c r="F1108">
        <v>6.65</v>
      </c>
      <c r="G1108">
        <v>1.85</v>
      </c>
      <c r="H1108">
        <v>1.798</v>
      </c>
      <c r="I1108">
        <v>32.799999999999997</v>
      </c>
      <c r="J1108">
        <v>19</v>
      </c>
      <c r="K1108">
        <v>11.55</v>
      </c>
      <c r="L1108">
        <v>1.36</v>
      </c>
      <c r="M1108">
        <v>2.82</v>
      </c>
      <c r="N1108">
        <v>0.22</v>
      </c>
      <c r="O1108">
        <v>2.0699999999999998</v>
      </c>
      <c r="P1108">
        <v>0.8</v>
      </c>
    </row>
    <row r="1109" spans="1:16" x14ac:dyDescent="0.25">
      <c r="A1109" s="1">
        <v>42801</v>
      </c>
      <c r="B1109">
        <v>7.48</v>
      </c>
      <c r="C1109">
        <v>163</v>
      </c>
      <c r="D1109">
        <v>3.6930000000000001</v>
      </c>
      <c r="E1109">
        <v>11.69</v>
      </c>
      <c r="F1109">
        <v>6.55</v>
      </c>
      <c r="G1109">
        <v>1.85</v>
      </c>
      <c r="H1109">
        <v>1.6990000000000001</v>
      </c>
      <c r="I1109">
        <v>32.5</v>
      </c>
      <c r="J1109">
        <v>19</v>
      </c>
      <c r="K1109">
        <v>11.54</v>
      </c>
      <c r="L1109">
        <v>1.35</v>
      </c>
      <c r="M1109">
        <v>2.7869999999999999</v>
      </c>
      <c r="N1109">
        <v>0.22500000000000001</v>
      </c>
      <c r="O1109">
        <v>2.1800000000000002</v>
      </c>
      <c r="P1109">
        <v>0.8</v>
      </c>
    </row>
    <row r="1110" spans="1:16" x14ac:dyDescent="0.25">
      <c r="A1110" s="1">
        <v>42802</v>
      </c>
      <c r="B1110">
        <v>7.4</v>
      </c>
      <c r="C1110">
        <v>160.80000000000001</v>
      </c>
      <c r="D1110">
        <v>3.6930000000000001</v>
      </c>
      <c r="E1110">
        <v>11.47</v>
      </c>
      <c r="F1110">
        <v>6.55</v>
      </c>
      <c r="G1110">
        <v>1.85</v>
      </c>
      <c r="H1110">
        <v>1.748</v>
      </c>
      <c r="I1110">
        <v>32.299999999999997</v>
      </c>
      <c r="J1110">
        <v>19.010000000000002</v>
      </c>
      <c r="K1110">
        <v>11.54</v>
      </c>
      <c r="L1110">
        <v>1.36</v>
      </c>
      <c r="M1110">
        <v>2.7869999999999999</v>
      </c>
      <c r="N1110">
        <v>0.221</v>
      </c>
      <c r="O1110">
        <v>2.16</v>
      </c>
      <c r="P1110">
        <v>0.84</v>
      </c>
    </row>
    <row r="1111" spans="1:16" x14ac:dyDescent="0.25">
      <c r="A1111" s="1">
        <v>42803</v>
      </c>
      <c r="B1111">
        <v>7.39</v>
      </c>
      <c r="C1111">
        <v>159.19999999999999</v>
      </c>
      <c r="D1111">
        <v>3.6930000000000001</v>
      </c>
      <c r="E1111">
        <v>11.36</v>
      </c>
      <c r="F1111">
        <v>6.5</v>
      </c>
      <c r="G1111">
        <v>1.86</v>
      </c>
      <c r="H1111">
        <v>1.7090000000000001</v>
      </c>
      <c r="I1111">
        <v>32.5</v>
      </c>
      <c r="J1111">
        <v>19.149999999999999</v>
      </c>
      <c r="K1111">
        <v>11.55</v>
      </c>
      <c r="L1111">
        <v>1.33</v>
      </c>
      <c r="M1111">
        <v>2.7869999999999999</v>
      </c>
      <c r="N1111">
        <v>0.22</v>
      </c>
      <c r="O1111">
        <v>2.19</v>
      </c>
      <c r="P1111">
        <v>0.84</v>
      </c>
    </row>
    <row r="1112" spans="1:16" x14ac:dyDescent="0.25">
      <c r="A1112" s="1">
        <v>42804</v>
      </c>
      <c r="B1112">
        <v>7.18</v>
      </c>
      <c r="C1112">
        <v>157.9</v>
      </c>
      <c r="D1112">
        <v>3.6240000000000001</v>
      </c>
      <c r="E1112">
        <v>11.95</v>
      </c>
      <c r="F1112">
        <v>6.63</v>
      </c>
      <c r="G1112">
        <v>1.84</v>
      </c>
      <c r="H1112">
        <v>1.63</v>
      </c>
      <c r="I1112">
        <v>32.61</v>
      </c>
      <c r="J1112">
        <v>19.100000000000001</v>
      </c>
      <c r="K1112">
        <v>11.55</v>
      </c>
      <c r="L1112">
        <v>1.35</v>
      </c>
      <c r="M1112">
        <v>2.7869999999999999</v>
      </c>
      <c r="N1112">
        <v>0.22</v>
      </c>
      <c r="O1112">
        <v>2.2000000000000002</v>
      </c>
      <c r="P1112">
        <v>0.86</v>
      </c>
    </row>
    <row r="1113" spans="1:16" x14ac:dyDescent="0.25">
      <c r="A1113" s="1">
        <v>42807</v>
      </c>
      <c r="B1113">
        <v>7.19</v>
      </c>
      <c r="C1113">
        <v>158.30000000000001</v>
      </c>
      <c r="D1113">
        <v>3.6240000000000001</v>
      </c>
      <c r="E1113">
        <v>11.99</v>
      </c>
      <c r="F1113">
        <v>6.4</v>
      </c>
      <c r="G1113">
        <v>1.87</v>
      </c>
      <c r="H1113">
        <v>1.63</v>
      </c>
      <c r="I1113">
        <v>32.6</v>
      </c>
      <c r="J1113">
        <v>19.05</v>
      </c>
      <c r="K1113">
        <v>11.55</v>
      </c>
      <c r="L1113">
        <v>1.35</v>
      </c>
      <c r="M1113">
        <v>2.8290000000000002</v>
      </c>
      <c r="N1113">
        <v>0.221</v>
      </c>
      <c r="O1113">
        <v>2.15</v>
      </c>
      <c r="P1113">
        <v>0.86</v>
      </c>
    </row>
    <row r="1114" spans="1:16" x14ac:dyDescent="0.25">
      <c r="A1114" s="1">
        <v>42808</v>
      </c>
      <c r="B1114">
        <v>7.05</v>
      </c>
      <c r="C1114">
        <v>157.5</v>
      </c>
      <c r="D1114">
        <v>3.4849999999999999</v>
      </c>
      <c r="E1114">
        <v>11.6</v>
      </c>
      <c r="F1114">
        <v>6.4</v>
      </c>
      <c r="G1114">
        <v>1.83</v>
      </c>
      <c r="H1114">
        <v>1.5309999999999999</v>
      </c>
      <c r="I1114">
        <v>32.299999999999997</v>
      </c>
      <c r="J1114">
        <v>19</v>
      </c>
      <c r="K1114">
        <v>11.3</v>
      </c>
      <c r="L1114">
        <v>1.35</v>
      </c>
      <c r="M1114">
        <v>2.8119999999999998</v>
      </c>
      <c r="N1114">
        <v>0.215</v>
      </c>
      <c r="O1114">
        <v>2.15</v>
      </c>
      <c r="P1114">
        <v>0.85</v>
      </c>
    </row>
    <row r="1115" spans="1:16" x14ac:dyDescent="0.25">
      <c r="A1115" s="1">
        <v>42809</v>
      </c>
      <c r="B1115">
        <v>7.08</v>
      </c>
      <c r="C1115">
        <v>159.9</v>
      </c>
      <c r="D1115">
        <v>3.5539999999999998</v>
      </c>
      <c r="E1115">
        <v>12.82</v>
      </c>
      <c r="F1115">
        <v>6.7</v>
      </c>
      <c r="G1115">
        <v>1.83</v>
      </c>
      <c r="H1115">
        <v>1.452</v>
      </c>
      <c r="I1115">
        <v>32.5</v>
      </c>
      <c r="J1115">
        <v>19.05</v>
      </c>
      <c r="K1115">
        <v>11.3</v>
      </c>
      <c r="L1115">
        <v>1.4</v>
      </c>
      <c r="M1115">
        <v>2.8290000000000002</v>
      </c>
      <c r="N1115">
        <v>0.222</v>
      </c>
      <c r="O1115">
        <v>2.15</v>
      </c>
      <c r="P1115">
        <v>0.9</v>
      </c>
    </row>
    <row r="1116" spans="1:16" x14ac:dyDescent="0.25">
      <c r="A1116" s="1">
        <v>42810</v>
      </c>
      <c r="B1116">
        <v>7.2</v>
      </c>
      <c r="C1116">
        <v>163.49</v>
      </c>
      <c r="D1116">
        <v>3.5979999999999999</v>
      </c>
      <c r="E1116">
        <v>12.8</v>
      </c>
      <c r="F1116">
        <v>7</v>
      </c>
      <c r="G1116">
        <v>1.85</v>
      </c>
      <c r="H1116">
        <v>1.452</v>
      </c>
      <c r="I1116">
        <v>32.75</v>
      </c>
      <c r="J1116">
        <v>19.05</v>
      </c>
      <c r="K1116">
        <v>11.15</v>
      </c>
      <c r="L1116">
        <v>1.48</v>
      </c>
      <c r="M1116">
        <v>2.8530000000000002</v>
      </c>
      <c r="N1116">
        <v>0.223</v>
      </c>
      <c r="O1116">
        <v>2.21</v>
      </c>
      <c r="P1116">
        <v>0.94</v>
      </c>
    </row>
    <row r="1117" spans="1:16" x14ac:dyDescent="0.25">
      <c r="A1117" s="1">
        <v>42811</v>
      </c>
      <c r="B1117">
        <v>7.45</v>
      </c>
      <c r="C1117">
        <v>164.1</v>
      </c>
      <c r="D1117">
        <v>3.5110000000000001</v>
      </c>
      <c r="E1117">
        <v>12.7</v>
      </c>
      <c r="F1117">
        <v>7</v>
      </c>
      <c r="G1117">
        <v>1.87</v>
      </c>
      <c r="H1117">
        <v>1.452</v>
      </c>
      <c r="I1117">
        <v>32.75</v>
      </c>
      <c r="J1117">
        <v>19.059999999999999</v>
      </c>
      <c r="K1117">
        <v>11.13</v>
      </c>
      <c r="L1117">
        <v>1.45</v>
      </c>
      <c r="M1117">
        <v>2.8530000000000002</v>
      </c>
      <c r="N1117">
        <v>0.223</v>
      </c>
      <c r="O1117">
        <v>2.2599999999999998</v>
      </c>
      <c r="P1117">
        <v>0.93</v>
      </c>
    </row>
    <row r="1118" spans="1:16" x14ac:dyDescent="0.25">
      <c r="A1118" s="1">
        <v>42814</v>
      </c>
      <c r="B1118">
        <v>7.55</v>
      </c>
      <c r="C1118">
        <v>163.9</v>
      </c>
      <c r="D1118">
        <v>3.5539999999999998</v>
      </c>
      <c r="E1118">
        <v>12.63</v>
      </c>
      <c r="F1118">
        <v>7.06</v>
      </c>
      <c r="G1118">
        <v>1.94</v>
      </c>
      <c r="H1118">
        <v>1.452</v>
      </c>
      <c r="I1118">
        <v>32.75</v>
      </c>
      <c r="J1118">
        <v>19</v>
      </c>
      <c r="K1118">
        <v>11.17</v>
      </c>
      <c r="L1118">
        <v>1.45</v>
      </c>
      <c r="M1118">
        <v>2.919</v>
      </c>
      <c r="N1118">
        <v>0.215</v>
      </c>
      <c r="O1118">
        <v>2.35</v>
      </c>
      <c r="P1118">
        <v>0.91</v>
      </c>
    </row>
    <row r="1119" spans="1:16" x14ac:dyDescent="0.25">
      <c r="A1119" s="1">
        <v>42815</v>
      </c>
      <c r="B1119">
        <v>7.4</v>
      </c>
      <c r="C1119">
        <v>160</v>
      </c>
      <c r="D1119">
        <v>3.5369999999999999</v>
      </c>
      <c r="E1119">
        <v>12.84</v>
      </c>
      <c r="F1119">
        <v>7.32</v>
      </c>
      <c r="G1119">
        <v>1.95</v>
      </c>
      <c r="H1119">
        <v>1.452</v>
      </c>
      <c r="I1119">
        <v>32.75</v>
      </c>
      <c r="J1119">
        <v>19</v>
      </c>
      <c r="K1119">
        <v>11.18</v>
      </c>
      <c r="L1119">
        <v>1.45</v>
      </c>
      <c r="M1119">
        <v>3.06</v>
      </c>
      <c r="N1119">
        <v>0.21</v>
      </c>
      <c r="O1119">
        <v>2.4700000000000002</v>
      </c>
      <c r="P1119">
        <v>0.87</v>
      </c>
    </row>
    <row r="1120" spans="1:16" x14ac:dyDescent="0.25">
      <c r="A1120" s="1">
        <v>42816</v>
      </c>
      <c r="B1120">
        <v>7.4</v>
      </c>
      <c r="C1120">
        <v>161.6</v>
      </c>
      <c r="D1120">
        <v>3.468</v>
      </c>
      <c r="E1120">
        <v>12.58</v>
      </c>
      <c r="F1120">
        <v>7.27</v>
      </c>
      <c r="G1120">
        <v>1.94</v>
      </c>
      <c r="H1120">
        <v>1.482</v>
      </c>
      <c r="I1120">
        <v>32.700000000000003</v>
      </c>
      <c r="J1120">
        <v>19.100000000000001</v>
      </c>
      <c r="K1120">
        <v>11.2</v>
      </c>
      <c r="L1120">
        <v>1.45</v>
      </c>
      <c r="M1120">
        <v>3.0190000000000001</v>
      </c>
      <c r="N1120">
        <v>0.215</v>
      </c>
      <c r="O1120">
        <v>2.4700000000000002</v>
      </c>
      <c r="P1120">
        <v>0.83</v>
      </c>
    </row>
    <row r="1121" spans="1:16" x14ac:dyDescent="0.25">
      <c r="A1121" s="1">
        <v>42817</v>
      </c>
      <c r="B1121">
        <v>7.5</v>
      </c>
      <c r="C1121">
        <v>164.3</v>
      </c>
      <c r="D1121">
        <v>3.476</v>
      </c>
      <c r="E1121">
        <v>12.45</v>
      </c>
      <c r="F1121">
        <v>7.27</v>
      </c>
      <c r="G1121">
        <v>1.94</v>
      </c>
      <c r="H1121">
        <v>1.502</v>
      </c>
      <c r="I1121">
        <v>32.6</v>
      </c>
      <c r="J1121">
        <v>19.05</v>
      </c>
      <c r="K1121">
        <v>11.21</v>
      </c>
      <c r="L1121">
        <v>1.45</v>
      </c>
      <c r="M1121">
        <v>3.0190000000000001</v>
      </c>
      <c r="N1121">
        <v>0.21</v>
      </c>
      <c r="O1121">
        <v>2.54</v>
      </c>
      <c r="P1121">
        <v>0.84</v>
      </c>
    </row>
    <row r="1122" spans="1:16" x14ac:dyDescent="0.25">
      <c r="A1122" s="1">
        <v>42818</v>
      </c>
      <c r="B1122">
        <v>7.66</v>
      </c>
      <c r="C1122">
        <v>164.36</v>
      </c>
      <c r="D1122">
        <v>3.52</v>
      </c>
      <c r="E1122">
        <v>12.45</v>
      </c>
      <c r="F1122">
        <v>7.4</v>
      </c>
      <c r="G1122">
        <v>1.9</v>
      </c>
      <c r="H1122">
        <v>1.6</v>
      </c>
      <c r="I1122">
        <v>32.5</v>
      </c>
      <c r="J1122">
        <v>19</v>
      </c>
      <c r="K1122">
        <v>11.21</v>
      </c>
      <c r="L1122">
        <v>1.38</v>
      </c>
      <c r="M1122">
        <v>3.1429999999999998</v>
      </c>
      <c r="N1122">
        <v>0.22</v>
      </c>
      <c r="O1122">
        <v>2.54</v>
      </c>
      <c r="P1122">
        <v>0.84</v>
      </c>
    </row>
    <row r="1123" spans="1:16" x14ac:dyDescent="0.25">
      <c r="A1123" s="1">
        <v>42821</v>
      </c>
      <c r="B1123">
        <v>7.65</v>
      </c>
      <c r="C1123">
        <v>163.19999999999999</v>
      </c>
      <c r="D1123">
        <v>3.52</v>
      </c>
      <c r="E1123">
        <v>12.55</v>
      </c>
      <c r="F1123">
        <v>7.5</v>
      </c>
      <c r="G1123">
        <v>1.86</v>
      </c>
      <c r="H1123">
        <v>1.6990000000000001</v>
      </c>
      <c r="I1123">
        <v>32.1</v>
      </c>
      <c r="J1123">
        <v>18.7</v>
      </c>
      <c r="K1123">
        <v>11.21</v>
      </c>
      <c r="L1123">
        <v>1.37</v>
      </c>
      <c r="M1123">
        <v>3.1179999999999999</v>
      </c>
      <c r="N1123">
        <v>0.23100000000000001</v>
      </c>
      <c r="O1123">
        <v>2.54</v>
      </c>
      <c r="P1123">
        <v>0.84</v>
      </c>
    </row>
    <row r="1124" spans="1:16" x14ac:dyDescent="0.25">
      <c r="A1124" s="1">
        <v>42822</v>
      </c>
      <c r="B1124">
        <v>7.5</v>
      </c>
      <c r="C1124">
        <v>166.2</v>
      </c>
      <c r="D1124">
        <v>3.528</v>
      </c>
      <c r="E1124">
        <v>12.46</v>
      </c>
      <c r="F1124">
        <v>7.34</v>
      </c>
      <c r="G1124">
        <v>1.94</v>
      </c>
      <c r="H1124">
        <v>1.9259999999999999</v>
      </c>
      <c r="I1124">
        <v>32.49</v>
      </c>
      <c r="J1124">
        <v>18.850000000000001</v>
      </c>
      <c r="K1124">
        <v>11.141</v>
      </c>
      <c r="L1124">
        <v>1.4</v>
      </c>
      <c r="M1124">
        <v>3.1179999999999999</v>
      </c>
      <c r="N1124">
        <v>0.23100000000000001</v>
      </c>
      <c r="O1124">
        <v>2.54</v>
      </c>
      <c r="P1124">
        <v>0.84</v>
      </c>
    </row>
    <row r="1125" spans="1:16" x14ac:dyDescent="0.25">
      <c r="A1125" s="1">
        <v>42823</v>
      </c>
      <c r="B1125">
        <v>7.5</v>
      </c>
      <c r="C1125">
        <v>164</v>
      </c>
      <c r="D1125">
        <v>3.5979999999999999</v>
      </c>
      <c r="E1125">
        <v>12.42</v>
      </c>
      <c r="F1125">
        <v>7.35</v>
      </c>
      <c r="G1125">
        <v>1.94</v>
      </c>
      <c r="H1125">
        <v>1.986</v>
      </c>
      <c r="I1125">
        <v>32.5</v>
      </c>
      <c r="J1125">
        <v>19</v>
      </c>
      <c r="K1125">
        <v>11.141</v>
      </c>
      <c r="L1125">
        <v>1.4</v>
      </c>
      <c r="M1125">
        <v>3.06</v>
      </c>
      <c r="N1125">
        <v>0.23</v>
      </c>
      <c r="O1125">
        <v>2.5499999999999998</v>
      </c>
      <c r="P1125">
        <v>0.86</v>
      </c>
    </row>
    <row r="1126" spans="1:16" x14ac:dyDescent="0.25">
      <c r="A1126" s="1">
        <v>42824</v>
      </c>
      <c r="B1126">
        <v>7.55</v>
      </c>
      <c r="C1126">
        <v>164.67</v>
      </c>
      <c r="D1126">
        <v>3.641</v>
      </c>
      <c r="E1126">
        <v>12.02</v>
      </c>
      <c r="F1126">
        <v>7.4</v>
      </c>
      <c r="G1126">
        <v>2.0299999999999998</v>
      </c>
      <c r="H1126">
        <v>1.986</v>
      </c>
      <c r="I1126">
        <v>32.6</v>
      </c>
      <c r="J1126">
        <v>19.010000000000002</v>
      </c>
      <c r="K1126">
        <v>11.141</v>
      </c>
      <c r="L1126">
        <v>1.4</v>
      </c>
      <c r="M1126">
        <v>3.1179999999999999</v>
      </c>
      <c r="N1126">
        <v>0.23499999999999999</v>
      </c>
      <c r="O1126">
        <v>2.56</v>
      </c>
      <c r="P1126">
        <v>0.88</v>
      </c>
    </row>
    <row r="1127" spans="1:16" x14ac:dyDescent="0.25">
      <c r="A1127" s="1">
        <v>42825</v>
      </c>
      <c r="B1127">
        <v>7.7</v>
      </c>
      <c r="C1127">
        <v>150.71</v>
      </c>
      <c r="D1127">
        <v>3.7970000000000002</v>
      </c>
      <c r="E1127">
        <v>12.1</v>
      </c>
      <c r="F1127">
        <v>7.3</v>
      </c>
      <c r="G1127">
        <v>2.04</v>
      </c>
      <c r="H1127">
        <v>2.0739999999999998</v>
      </c>
      <c r="I1127">
        <v>33</v>
      </c>
      <c r="J1127">
        <v>19.02</v>
      </c>
      <c r="K1127">
        <v>11.141</v>
      </c>
      <c r="L1127">
        <v>1.4</v>
      </c>
      <c r="M1127">
        <v>3.2250000000000001</v>
      </c>
      <c r="N1127">
        <v>0.23499999999999999</v>
      </c>
      <c r="O1127">
        <v>2.6</v>
      </c>
      <c r="P1127">
        <v>0.88</v>
      </c>
    </row>
    <row r="1128" spans="1:16" x14ac:dyDescent="0.25">
      <c r="A1128" s="1">
        <v>42828</v>
      </c>
      <c r="B1128">
        <v>7.7</v>
      </c>
      <c r="C1128">
        <v>149.94999999999999</v>
      </c>
      <c r="D1128">
        <v>3.8140000000000001</v>
      </c>
      <c r="E1128">
        <v>12.2</v>
      </c>
      <c r="F1128">
        <v>7.3</v>
      </c>
      <c r="G1128">
        <v>2.04</v>
      </c>
      <c r="H1128">
        <v>2.262</v>
      </c>
      <c r="I1128">
        <v>33.4</v>
      </c>
      <c r="J1128">
        <v>19.010000000000002</v>
      </c>
      <c r="K1128">
        <v>11.151</v>
      </c>
      <c r="L1128">
        <v>1.4</v>
      </c>
      <c r="M1128">
        <v>3.2250000000000001</v>
      </c>
      <c r="N1128">
        <v>0.23</v>
      </c>
      <c r="O1128">
        <v>2.59</v>
      </c>
      <c r="P1128">
        <v>0.86</v>
      </c>
    </row>
    <row r="1129" spans="1:16" x14ac:dyDescent="0.25">
      <c r="A1129" s="1">
        <v>42829</v>
      </c>
      <c r="B1129">
        <v>7.65</v>
      </c>
      <c r="C1129">
        <v>152.26</v>
      </c>
      <c r="D1129">
        <v>3.9009999999999998</v>
      </c>
      <c r="E1129">
        <v>12.44</v>
      </c>
      <c r="F1129">
        <v>7.4</v>
      </c>
      <c r="G1129">
        <v>2.0299999999999998</v>
      </c>
      <c r="H1129">
        <v>2.4</v>
      </c>
      <c r="I1129">
        <v>33.51</v>
      </c>
      <c r="J1129">
        <v>19.010000000000002</v>
      </c>
      <c r="K1129">
        <v>11.161</v>
      </c>
      <c r="L1129">
        <v>1.4</v>
      </c>
      <c r="M1129">
        <v>3.3079999999999998</v>
      </c>
      <c r="N1129">
        <v>0.23</v>
      </c>
      <c r="O1129">
        <v>2.62</v>
      </c>
      <c r="P1129">
        <v>0.89</v>
      </c>
    </row>
    <row r="1130" spans="1:16" x14ac:dyDescent="0.25">
      <c r="A1130" s="1">
        <v>42830</v>
      </c>
      <c r="B1130">
        <v>7.65</v>
      </c>
      <c r="C1130">
        <v>151.44</v>
      </c>
      <c r="D1130">
        <v>3.9449999999999998</v>
      </c>
      <c r="E1130">
        <v>12.5</v>
      </c>
      <c r="F1130">
        <v>7.4</v>
      </c>
      <c r="G1130">
        <v>2.0499999999999998</v>
      </c>
      <c r="H1130">
        <v>2.41</v>
      </c>
      <c r="I1130">
        <v>33.799999999999997</v>
      </c>
      <c r="J1130">
        <v>19.2</v>
      </c>
      <c r="K1130">
        <v>11.24</v>
      </c>
      <c r="L1130">
        <v>1.42</v>
      </c>
      <c r="M1130">
        <v>3.3740000000000001</v>
      </c>
      <c r="N1130">
        <v>0.22900000000000001</v>
      </c>
      <c r="O1130">
        <v>2.62</v>
      </c>
      <c r="P1130">
        <v>0.91</v>
      </c>
    </row>
    <row r="1131" spans="1:16" x14ac:dyDescent="0.25">
      <c r="A1131" s="1">
        <v>42831</v>
      </c>
      <c r="B1131">
        <v>7.65</v>
      </c>
      <c r="C1131">
        <v>148.96</v>
      </c>
      <c r="D1131">
        <v>3.9449999999999998</v>
      </c>
      <c r="E1131">
        <v>12.3</v>
      </c>
      <c r="F1131">
        <v>7.35</v>
      </c>
      <c r="G1131">
        <v>2.0499999999999998</v>
      </c>
      <c r="H1131">
        <v>2.766</v>
      </c>
      <c r="I1131">
        <v>33.799999999999997</v>
      </c>
      <c r="J1131">
        <v>19.079999999999998</v>
      </c>
      <c r="K1131">
        <v>11.24</v>
      </c>
      <c r="L1131">
        <v>1.44</v>
      </c>
      <c r="M1131">
        <v>3.3079999999999998</v>
      </c>
      <c r="N1131">
        <v>0.23499999999999999</v>
      </c>
      <c r="O1131">
        <v>2.56</v>
      </c>
      <c r="P1131">
        <v>0.9</v>
      </c>
    </row>
    <row r="1132" spans="1:16" x14ac:dyDescent="0.25">
      <c r="A1132" s="1">
        <v>42832</v>
      </c>
      <c r="B1132">
        <v>7.65</v>
      </c>
      <c r="C1132">
        <v>147.79</v>
      </c>
      <c r="D1132">
        <v>3.9449999999999998</v>
      </c>
      <c r="E1132">
        <v>12.1</v>
      </c>
      <c r="F1132">
        <v>7.3</v>
      </c>
      <c r="G1132">
        <v>2.0499999999999998</v>
      </c>
      <c r="H1132">
        <v>2.8650000000000002</v>
      </c>
      <c r="I1132">
        <v>33.5</v>
      </c>
      <c r="J1132">
        <v>19.079999999999998</v>
      </c>
      <c r="K1132">
        <v>11.24</v>
      </c>
      <c r="L1132">
        <v>1.46</v>
      </c>
      <c r="M1132">
        <v>3.3079999999999998</v>
      </c>
      <c r="N1132">
        <v>0.23499999999999999</v>
      </c>
      <c r="O1132">
        <v>2.5099999999999998</v>
      </c>
      <c r="P1132">
        <v>0.9</v>
      </c>
    </row>
    <row r="1133" spans="1:16" x14ac:dyDescent="0.25">
      <c r="A1133" s="1">
        <v>42835</v>
      </c>
      <c r="B1133">
        <v>7.4640000000000004</v>
      </c>
      <c r="C1133">
        <v>147.66</v>
      </c>
      <c r="D1133">
        <v>3.7970000000000002</v>
      </c>
      <c r="E1133">
        <v>12.13</v>
      </c>
      <c r="F1133">
        <v>7.3</v>
      </c>
      <c r="G1133">
        <v>2.09</v>
      </c>
      <c r="H1133">
        <v>2.6179999999999999</v>
      </c>
      <c r="I1133">
        <v>33.61</v>
      </c>
      <c r="J1133">
        <v>18.27</v>
      </c>
      <c r="K1133">
        <v>11.25</v>
      </c>
      <c r="L1133">
        <v>1.46</v>
      </c>
      <c r="M1133">
        <v>3.4740000000000002</v>
      </c>
      <c r="N1133">
        <v>0.23400000000000001</v>
      </c>
      <c r="O1133">
        <v>2.5099999999999998</v>
      </c>
      <c r="P1133">
        <v>0.87</v>
      </c>
    </row>
    <row r="1134" spans="1:16" x14ac:dyDescent="0.25">
      <c r="A1134" s="1">
        <v>42836</v>
      </c>
      <c r="B1134">
        <v>7.4640000000000004</v>
      </c>
      <c r="C1134">
        <v>147.08000000000001</v>
      </c>
      <c r="D1134">
        <v>3.7970000000000002</v>
      </c>
      <c r="E1134">
        <v>12</v>
      </c>
      <c r="F1134">
        <v>7.3</v>
      </c>
      <c r="G1134">
        <v>2.15</v>
      </c>
      <c r="H1134">
        <v>2.7160000000000002</v>
      </c>
      <c r="I1134">
        <v>34.4</v>
      </c>
      <c r="J1134">
        <v>18.367000000000001</v>
      </c>
      <c r="K1134">
        <v>11.37</v>
      </c>
      <c r="L1134">
        <v>1.45</v>
      </c>
      <c r="M1134">
        <v>4.1500000000000004</v>
      </c>
      <c r="N1134">
        <v>0.23</v>
      </c>
      <c r="O1134">
        <v>2.46</v>
      </c>
      <c r="P1134">
        <v>0.87</v>
      </c>
    </row>
    <row r="1135" spans="1:16" x14ac:dyDescent="0.25">
      <c r="A1135" s="1">
        <v>42837</v>
      </c>
      <c r="B1135">
        <v>7.4640000000000004</v>
      </c>
      <c r="C1135">
        <v>158.79</v>
      </c>
      <c r="D1135">
        <v>3.7280000000000002</v>
      </c>
      <c r="E1135">
        <v>12.07</v>
      </c>
      <c r="F1135">
        <v>7.25</v>
      </c>
      <c r="G1135">
        <v>2.15</v>
      </c>
      <c r="H1135">
        <v>2.6669999999999998</v>
      </c>
      <c r="I1135">
        <v>34.630000000000003</v>
      </c>
      <c r="J1135">
        <v>18.367000000000001</v>
      </c>
      <c r="K1135">
        <v>11.38</v>
      </c>
      <c r="L1135">
        <v>1.45</v>
      </c>
      <c r="M1135">
        <v>3.4409999999999998</v>
      </c>
      <c r="N1135">
        <v>0.23</v>
      </c>
      <c r="O1135">
        <v>2.4500000000000002</v>
      </c>
      <c r="P1135">
        <v>0.87</v>
      </c>
    </row>
    <row r="1136" spans="1:16" x14ac:dyDescent="0.25">
      <c r="A1136" s="1">
        <v>42842</v>
      </c>
      <c r="B1136">
        <v>7.5129999999999999</v>
      </c>
      <c r="C1136">
        <v>155.05000000000001</v>
      </c>
      <c r="D1136">
        <v>3.7280000000000002</v>
      </c>
      <c r="E1136">
        <v>12.3</v>
      </c>
      <c r="F1136">
        <v>7.32</v>
      </c>
      <c r="G1136">
        <v>2.0099999999999998</v>
      </c>
      <c r="H1136">
        <v>2.4500000000000002</v>
      </c>
      <c r="I1136">
        <v>34.630000000000003</v>
      </c>
      <c r="J1136">
        <v>18.396000000000001</v>
      </c>
      <c r="K1136">
        <v>11.5</v>
      </c>
      <c r="L1136">
        <v>1.46</v>
      </c>
      <c r="M1136">
        <v>3.4409999999999998</v>
      </c>
      <c r="N1136">
        <v>0.22500000000000001</v>
      </c>
      <c r="O1136">
        <v>2.4500000000000002</v>
      </c>
      <c r="P1136">
        <v>0.87</v>
      </c>
    </row>
    <row r="1137" spans="1:16" x14ac:dyDescent="0.25">
      <c r="A1137" s="1">
        <v>42843</v>
      </c>
      <c r="B1137">
        <v>7.5620000000000003</v>
      </c>
      <c r="C1137">
        <v>153.4</v>
      </c>
      <c r="D1137">
        <v>3.6320000000000001</v>
      </c>
      <c r="E1137">
        <v>12.65</v>
      </c>
      <c r="F1137">
        <v>7.38</v>
      </c>
      <c r="G1137">
        <v>1.9159999999999999</v>
      </c>
      <c r="H1137">
        <v>2.5680000000000001</v>
      </c>
      <c r="I1137">
        <v>29.318000000000001</v>
      </c>
      <c r="J1137">
        <v>18.347999999999999</v>
      </c>
      <c r="K1137">
        <v>11.51</v>
      </c>
      <c r="L1137">
        <v>1.45</v>
      </c>
      <c r="M1137">
        <v>3.391</v>
      </c>
      <c r="N1137">
        <v>0.22500000000000001</v>
      </c>
      <c r="O1137">
        <v>2.35</v>
      </c>
      <c r="P1137">
        <v>0.84</v>
      </c>
    </row>
    <row r="1138" spans="1:16" x14ac:dyDescent="0.25">
      <c r="A1138" s="1">
        <v>42844</v>
      </c>
      <c r="B1138">
        <v>7.5620000000000003</v>
      </c>
      <c r="C1138">
        <v>152</v>
      </c>
      <c r="D1138">
        <v>3.65</v>
      </c>
      <c r="E1138">
        <v>12.25</v>
      </c>
      <c r="F1138">
        <v>7.32</v>
      </c>
      <c r="G1138">
        <v>1.9159999999999999</v>
      </c>
      <c r="H1138">
        <v>2.5779999999999998</v>
      </c>
      <c r="I1138">
        <v>29.640999999999998</v>
      </c>
      <c r="J1138">
        <v>18.347999999999999</v>
      </c>
      <c r="K1138">
        <v>11.52</v>
      </c>
      <c r="L1138">
        <v>1.46</v>
      </c>
      <c r="M1138">
        <v>3.391</v>
      </c>
      <c r="N1138">
        <v>0.22800000000000001</v>
      </c>
      <c r="O1138">
        <v>2.4</v>
      </c>
      <c r="P1138">
        <v>0.85</v>
      </c>
    </row>
    <row r="1139" spans="1:16" x14ac:dyDescent="0.25">
      <c r="A1139" s="1">
        <v>42845</v>
      </c>
      <c r="B1139">
        <v>7.69</v>
      </c>
      <c r="C1139">
        <v>154.9</v>
      </c>
      <c r="D1139">
        <v>3.7040000000000002</v>
      </c>
      <c r="E1139">
        <v>12.25</v>
      </c>
      <c r="F1139">
        <v>7.3</v>
      </c>
      <c r="G1139">
        <v>1.87</v>
      </c>
      <c r="H1139">
        <v>2.5190000000000001</v>
      </c>
      <c r="I1139">
        <v>29.640999999999998</v>
      </c>
      <c r="J1139">
        <v>18.79</v>
      </c>
      <c r="K1139">
        <v>11.8</v>
      </c>
      <c r="L1139">
        <v>1.46</v>
      </c>
      <c r="M1139">
        <v>3.391</v>
      </c>
      <c r="N1139">
        <v>0.22700000000000001</v>
      </c>
      <c r="O1139">
        <v>2.4</v>
      </c>
      <c r="P1139">
        <v>0.87</v>
      </c>
    </row>
    <row r="1140" spans="1:16" x14ac:dyDescent="0.25">
      <c r="A1140" s="1">
        <v>42846</v>
      </c>
      <c r="B1140">
        <v>7.73</v>
      </c>
      <c r="C1140">
        <v>153.4</v>
      </c>
      <c r="D1140">
        <v>3.7040000000000002</v>
      </c>
      <c r="E1140">
        <v>12.28</v>
      </c>
      <c r="F1140">
        <v>7.3</v>
      </c>
      <c r="G1140">
        <v>1.87</v>
      </c>
      <c r="H1140">
        <v>2.4300000000000002</v>
      </c>
      <c r="I1140">
        <v>29.640999999999998</v>
      </c>
      <c r="J1140">
        <v>18.600000000000001</v>
      </c>
      <c r="K1140">
        <v>12</v>
      </c>
      <c r="L1140">
        <v>1.46</v>
      </c>
      <c r="M1140">
        <v>3.391</v>
      </c>
      <c r="N1140">
        <v>0.22600000000000001</v>
      </c>
      <c r="O1140">
        <v>2.4</v>
      </c>
      <c r="P1140">
        <v>0.87</v>
      </c>
    </row>
    <row r="1141" spans="1:16" x14ac:dyDescent="0.25">
      <c r="A1141" s="1">
        <v>42849</v>
      </c>
      <c r="B1141">
        <v>7.73</v>
      </c>
      <c r="C1141">
        <v>151.88</v>
      </c>
      <c r="D1141">
        <v>3.6960000000000002</v>
      </c>
      <c r="E1141">
        <v>12</v>
      </c>
      <c r="F1141">
        <v>7.2</v>
      </c>
      <c r="G1141">
        <v>1.823</v>
      </c>
      <c r="H1141">
        <v>2.4300000000000002</v>
      </c>
      <c r="I1141">
        <v>29.23</v>
      </c>
      <c r="J1141">
        <v>18.5</v>
      </c>
      <c r="K1141">
        <v>12</v>
      </c>
      <c r="L1141">
        <v>1.46</v>
      </c>
      <c r="M1141">
        <v>3.3079999999999998</v>
      </c>
      <c r="N1141">
        <v>0.22600000000000001</v>
      </c>
      <c r="O1141">
        <v>2.35</v>
      </c>
      <c r="P1141">
        <v>0.87</v>
      </c>
    </row>
    <row r="1142" spans="1:16" x14ac:dyDescent="0.25">
      <c r="A1142" s="1">
        <v>42850</v>
      </c>
      <c r="B1142">
        <v>7.85</v>
      </c>
      <c r="C1142">
        <v>153.15</v>
      </c>
      <c r="D1142">
        <v>3.6960000000000002</v>
      </c>
      <c r="E1142">
        <v>11.8</v>
      </c>
      <c r="F1142">
        <v>7</v>
      </c>
      <c r="G1142">
        <v>1.8979999999999999</v>
      </c>
      <c r="H1142">
        <v>2.3210000000000002</v>
      </c>
      <c r="I1142">
        <v>28.881</v>
      </c>
      <c r="J1142">
        <v>18.350000000000001</v>
      </c>
      <c r="K1142">
        <v>11.55</v>
      </c>
      <c r="L1142">
        <v>1.46</v>
      </c>
      <c r="M1142">
        <v>3.3079999999999998</v>
      </c>
      <c r="N1142">
        <v>0.24</v>
      </c>
      <c r="O1142">
        <v>2.4</v>
      </c>
      <c r="P1142">
        <v>0.86</v>
      </c>
    </row>
    <row r="1143" spans="1:16" x14ac:dyDescent="0.25">
      <c r="A1143" s="1">
        <v>42851</v>
      </c>
      <c r="B1143">
        <v>7.87</v>
      </c>
      <c r="C1143">
        <v>152.80000000000001</v>
      </c>
      <c r="D1143">
        <v>3.6960000000000002</v>
      </c>
      <c r="E1143">
        <v>12</v>
      </c>
      <c r="F1143">
        <v>6.98</v>
      </c>
      <c r="G1143">
        <v>1.907</v>
      </c>
      <c r="H1143">
        <v>2.2719999999999998</v>
      </c>
      <c r="I1143">
        <v>32.65</v>
      </c>
      <c r="J1143">
        <v>18.45</v>
      </c>
      <c r="K1143">
        <v>11.6</v>
      </c>
      <c r="L1143">
        <v>1.46</v>
      </c>
      <c r="M1143">
        <v>3.3079999999999998</v>
      </c>
      <c r="N1143">
        <v>0.23599999999999999</v>
      </c>
      <c r="O1143">
        <v>2.4700000000000002</v>
      </c>
      <c r="P1143">
        <v>0.88</v>
      </c>
    </row>
    <row r="1144" spans="1:16" x14ac:dyDescent="0.25">
      <c r="A1144" s="1">
        <v>42852</v>
      </c>
      <c r="B1144">
        <v>7.75</v>
      </c>
      <c r="C1144">
        <v>152.1</v>
      </c>
      <c r="D1144">
        <v>3.6960000000000002</v>
      </c>
      <c r="E1144">
        <v>11.6</v>
      </c>
      <c r="F1144">
        <v>7</v>
      </c>
      <c r="G1144">
        <v>1.841</v>
      </c>
      <c r="H1144">
        <v>2.1139999999999999</v>
      </c>
      <c r="I1144">
        <v>32.5</v>
      </c>
      <c r="J1144">
        <v>18.45</v>
      </c>
      <c r="K1144">
        <v>11.65</v>
      </c>
      <c r="L1144">
        <v>1.45</v>
      </c>
      <c r="M1144">
        <v>3.3490000000000002</v>
      </c>
      <c r="N1144">
        <v>0.24</v>
      </c>
      <c r="O1144">
        <v>2.38</v>
      </c>
      <c r="P1144">
        <v>0.88</v>
      </c>
    </row>
    <row r="1145" spans="1:16" x14ac:dyDescent="0.25">
      <c r="A1145" s="1">
        <v>42853</v>
      </c>
      <c r="B1145">
        <v>7.7</v>
      </c>
      <c r="C1145">
        <v>152.75</v>
      </c>
      <c r="D1145">
        <v>3.6960000000000002</v>
      </c>
      <c r="E1145">
        <v>12</v>
      </c>
      <c r="F1145">
        <v>7</v>
      </c>
      <c r="G1145">
        <v>1.87</v>
      </c>
      <c r="H1145">
        <v>2.1629999999999998</v>
      </c>
      <c r="I1145">
        <v>32.130000000000003</v>
      </c>
      <c r="J1145">
        <v>18.399999999999999</v>
      </c>
      <c r="K1145">
        <v>11.35</v>
      </c>
      <c r="L1145">
        <v>1.45</v>
      </c>
      <c r="M1145">
        <v>3.3490000000000002</v>
      </c>
      <c r="N1145">
        <v>0.23</v>
      </c>
      <c r="O1145">
        <v>2.35</v>
      </c>
      <c r="P1145">
        <v>0.86</v>
      </c>
    </row>
    <row r="1146" spans="1:16" x14ac:dyDescent="0.25">
      <c r="A1146" s="1">
        <v>42857</v>
      </c>
      <c r="B1146">
        <v>7.89</v>
      </c>
      <c r="C1146">
        <v>157.15</v>
      </c>
      <c r="D1146">
        <v>3.6869999999999998</v>
      </c>
      <c r="E1146">
        <v>11.81</v>
      </c>
      <c r="F1146">
        <v>6.9</v>
      </c>
      <c r="G1146">
        <v>1.93</v>
      </c>
      <c r="H1146">
        <v>2.1339999999999999</v>
      </c>
      <c r="I1146">
        <v>32</v>
      </c>
      <c r="J1146">
        <v>17.850000000000001</v>
      </c>
      <c r="K1146">
        <v>11.4</v>
      </c>
      <c r="L1146">
        <v>1.46</v>
      </c>
      <c r="M1146">
        <v>3.556</v>
      </c>
      <c r="N1146">
        <v>0.24299999999999999</v>
      </c>
      <c r="O1146">
        <v>2.46</v>
      </c>
      <c r="P1146">
        <v>0.85</v>
      </c>
    </row>
    <row r="1147" spans="1:16" x14ac:dyDescent="0.25">
      <c r="A1147" s="1">
        <v>42858</v>
      </c>
      <c r="B1147">
        <v>7.85</v>
      </c>
      <c r="C1147">
        <v>157.44999999999999</v>
      </c>
      <c r="D1147">
        <v>3.6960000000000002</v>
      </c>
      <c r="E1147">
        <v>11.95</v>
      </c>
      <c r="F1147">
        <v>6.9</v>
      </c>
      <c r="G1147">
        <v>1.92</v>
      </c>
      <c r="H1147">
        <v>2.0640000000000001</v>
      </c>
      <c r="I1147">
        <v>32</v>
      </c>
      <c r="J1147">
        <v>18</v>
      </c>
      <c r="K1147">
        <v>11.6</v>
      </c>
      <c r="L1147">
        <v>1.46</v>
      </c>
      <c r="M1147">
        <v>3.5979999999999999</v>
      </c>
      <c r="N1147">
        <v>0.24</v>
      </c>
      <c r="O1147">
        <v>2.4</v>
      </c>
      <c r="P1147">
        <v>0.86</v>
      </c>
    </row>
    <row r="1148" spans="1:16" x14ac:dyDescent="0.25">
      <c r="A1148" s="1">
        <v>42859</v>
      </c>
      <c r="B1148">
        <v>7.85</v>
      </c>
      <c r="C1148">
        <v>157.6</v>
      </c>
      <c r="D1148">
        <v>3.831</v>
      </c>
      <c r="E1148">
        <v>11.79</v>
      </c>
      <c r="F1148">
        <v>7.05</v>
      </c>
      <c r="G1148">
        <v>1.9</v>
      </c>
      <c r="H1148">
        <v>2.0550000000000002</v>
      </c>
      <c r="I1148">
        <v>31.5</v>
      </c>
      <c r="J1148">
        <v>18</v>
      </c>
      <c r="K1148">
        <v>11.57</v>
      </c>
      <c r="L1148">
        <v>1.46</v>
      </c>
      <c r="M1148">
        <v>3.581</v>
      </c>
      <c r="N1148">
        <v>0.22500000000000001</v>
      </c>
      <c r="O1148">
        <v>2.36</v>
      </c>
      <c r="P1148">
        <v>0.85</v>
      </c>
    </row>
    <row r="1149" spans="1:16" x14ac:dyDescent="0.25">
      <c r="A1149" s="1">
        <v>42860</v>
      </c>
      <c r="B1149">
        <v>7.82</v>
      </c>
      <c r="C1149">
        <v>157.26</v>
      </c>
      <c r="D1149">
        <v>3.831</v>
      </c>
      <c r="E1149">
        <v>12.45</v>
      </c>
      <c r="F1149">
        <v>7.05</v>
      </c>
      <c r="G1149">
        <v>1.88</v>
      </c>
      <c r="H1149">
        <v>2.0840000000000001</v>
      </c>
      <c r="I1149">
        <v>32</v>
      </c>
      <c r="J1149">
        <v>18.3</v>
      </c>
      <c r="K1149">
        <v>11.61</v>
      </c>
      <c r="L1149">
        <v>1.45</v>
      </c>
      <c r="M1149">
        <v>3.581</v>
      </c>
      <c r="N1149">
        <v>0.23499999999999999</v>
      </c>
      <c r="O1149">
        <v>2.3679999999999999</v>
      </c>
      <c r="P1149">
        <v>0.84</v>
      </c>
    </row>
    <row r="1150" spans="1:16" x14ac:dyDescent="0.25">
      <c r="A1150" s="1">
        <v>42863</v>
      </c>
      <c r="B1150">
        <v>7.82</v>
      </c>
      <c r="C1150">
        <v>157.30000000000001</v>
      </c>
      <c r="D1150">
        <v>3.831</v>
      </c>
      <c r="E1150">
        <v>12.5</v>
      </c>
      <c r="F1150">
        <v>7</v>
      </c>
      <c r="G1150">
        <v>1.88</v>
      </c>
      <c r="H1150">
        <v>2.1440000000000001</v>
      </c>
      <c r="I1150">
        <v>32</v>
      </c>
      <c r="J1150">
        <v>18</v>
      </c>
      <c r="K1150">
        <v>11.7</v>
      </c>
      <c r="L1150">
        <v>1.45</v>
      </c>
      <c r="M1150">
        <v>3.581</v>
      </c>
      <c r="N1150">
        <v>0.23599999999999999</v>
      </c>
      <c r="O1150">
        <v>2.387</v>
      </c>
      <c r="P1150">
        <v>0.83</v>
      </c>
    </row>
    <row r="1151" spans="1:16" x14ac:dyDescent="0.25">
      <c r="A1151" s="1">
        <v>42864</v>
      </c>
      <c r="B1151">
        <v>7.9</v>
      </c>
      <c r="C1151">
        <v>159.55000000000001</v>
      </c>
      <c r="D1151">
        <v>3.9209999999999998</v>
      </c>
      <c r="E1151">
        <v>12.16</v>
      </c>
      <c r="F1151">
        <v>7.08</v>
      </c>
      <c r="G1151">
        <v>1.9</v>
      </c>
      <c r="H1151">
        <v>2.1040000000000001</v>
      </c>
      <c r="I1151">
        <v>32</v>
      </c>
      <c r="J1151">
        <v>18.2</v>
      </c>
      <c r="K1151">
        <v>11.76</v>
      </c>
      <c r="L1151">
        <v>1.45</v>
      </c>
      <c r="M1151">
        <v>3.5979999999999999</v>
      </c>
      <c r="N1151">
        <v>0.24</v>
      </c>
      <c r="O1151">
        <v>2.4870000000000001</v>
      </c>
      <c r="P1151">
        <v>0.84</v>
      </c>
    </row>
    <row r="1152" spans="1:16" x14ac:dyDescent="0.25">
      <c r="A1152" s="1">
        <v>42865</v>
      </c>
      <c r="B1152">
        <v>7.91</v>
      </c>
      <c r="C1152">
        <v>162.85</v>
      </c>
      <c r="D1152">
        <v>3.9660000000000002</v>
      </c>
      <c r="E1152">
        <v>12.16</v>
      </c>
      <c r="F1152">
        <v>7.15</v>
      </c>
      <c r="G1152">
        <v>1.94</v>
      </c>
      <c r="H1152">
        <v>2.1040000000000001</v>
      </c>
      <c r="I1152">
        <v>32.049999999999997</v>
      </c>
      <c r="J1152">
        <v>18.2</v>
      </c>
      <c r="K1152">
        <v>12</v>
      </c>
      <c r="L1152">
        <v>1.47</v>
      </c>
      <c r="M1152">
        <v>3.68</v>
      </c>
      <c r="N1152">
        <v>0.25</v>
      </c>
      <c r="O1152">
        <v>2.5169999999999999</v>
      </c>
      <c r="P1152">
        <v>0.82</v>
      </c>
    </row>
    <row r="1153" spans="1:16" x14ac:dyDescent="0.25">
      <c r="A1153" s="1">
        <v>42866</v>
      </c>
      <c r="B1153">
        <v>7.9</v>
      </c>
      <c r="C1153">
        <v>163.30000000000001</v>
      </c>
      <c r="D1153">
        <v>3.9660000000000002</v>
      </c>
      <c r="E1153">
        <v>12.5</v>
      </c>
      <c r="F1153">
        <v>7.35</v>
      </c>
      <c r="G1153">
        <v>1.99</v>
      </c>
      <c r="H1153">
        <v>2.2229999999999999</v>
      </c>
      <c r="I1153">
        <v>32.04</v>
      </c>
      <c r="J1153">
        <v>18.2</v>
      </c>
      <c r="K1153">
        <v>12.1</v>
      </c>
      <c r="L1153">
        <v>1.46</v>
      </c>
      <c r="M1153">
        <v>3.68</v>
      </c>
      <c r="N1153">
        <v>0.252</v>
      </c>
      <c r="O1153">
        <v>2.5169999999999999</v>
      </c>
      <c r="P1153">
        <v>0.82</v>
      </c>
    </row>
    <row r="1154" spans="1:16" x14ac:dyDescent="0.25">
      <c r="A1154" s="1">
        <v>42867</v>
      </c>
      <c r="B1154">
        <v>7.91</v>
      </c>
      <c r="C1154">
        <v>167.2</v>
      </c>
      <c r="D1154">
        <v>3.9660000000000002</v>
      </c>
      <c r="E1154">
        <v>12.56</v>
      </c>
      <c r="F1154">
        <v>7.25</v>
      </c>
      <c r="G1154">
        <v>2</v>
      </c>
      <c r="H1154">
        <v>2.3410000000000002</v>
      </c>
      <c r="I1154">
        <v>31.76</v>
      </c>
      <c r="J1154">
        <v>18.2</v>
      </c>
      <c r="K1154">
        <v>12</v>
      </c>
      <c r="L1154">
        <v>1.46</v>
      </c>
      <c r="M1154">
        <v>3.7130000000000001</v>
      </c>
      <c r="N1154">
        <v>0.255</v>
      </c>
      <c r="O1154">
        <v>2.5070000000000001</v>
      </c>
      <c r="P1154">
        <v>0.82</v>
      </c>
    </row>
    <row r="1155" spans="1:16" x14ac:dyDescent="0.25">
      <c r="A1155" s="1">
        <v>42870</v>
      </c>
      <c r="B1155">
        <v>7.91</v>
      </c>
      <c r="C1155">
        <v>171.4</v>
      </c>
      <c r="D1155">
        <v>3.9660000000000002</v>
      </c>
      <c r="E1155">
        <v>12.5</v>
      </c>
      <c r="F1155">
        <v>7.2</v>
      </c>
      <c r="G1155">
        <v>2.0299999999999998</v>
      </c>
      <c r="H1155">
        <v>2.371</v>
      </c>
      <c r="I1155">
        <v>32</v>
      </c>
      <c r="J1155">
        <v>18.2</v>
      </c>
      <c r="K1155">
        <v>12.1</v>
      </c>
      <c r="L1155">
        <v>1.46</v>
      </c>
      <c r="M1155">
        <v>3.722</v>
      </c>
      <c r="N1155">
        <v>0.25800000000000001</v>
      </c>
      <c r="O1155">
        <v>2.4569999999999999</v>
      </c>
      <c r="P1155">
        <v>0.82</v>
      </c>
    </row>
    <row r="1156" spans="1:16" x14ac:dyDescent="0.25">
      <c r="A1156" s="1">
        <v>42871</v>
      </c>
      <c r="B1156">
        <v>7.8</v>
      </c>
      <c r="C1156">
        <v>170.5</v>
      </c>
      <c r="D1156">
        <v>3.8940000000000001</v>
      </c>
      <c r="E1156">
        <v>12.5</v>
      </c>
      <c r="F1156">
        <v>7.24</v>
      </c>
      <c r="G1156">
        <v>1.96</v>
      </c>
      <c r="H1156">
        <v>2.0739999999999998</v>
      </c>
      <c r="I1156">
        <v>32.049999999999997</v>
      </c>
      <c r="J1156">
        <v>18.100000000000001</v>
      </c>
      <c r="K1156">
        <v>11.62</v>
      </c>
      <c r="L1156">
        <v>1.45</v>
      </c>
      <c r="M1156">
        <v>3.722</v>
      </c>
      <c r="N1156">
        <v>0.255</v>
      </c>
      <c r="O1156">
        <v>2.41</v>
      </c>
      <c r="P1156">
        <v>0.85</v>
      </c>
    </row>
    <row r="1157" spans="1:16" x14ac:dyDescent="0.25">
      <c r="A1157" s="1">
        <v>42872</v>
      </c>
      <c r="B1157">
        <v>7.83</v>
      </c>
      <c r="C1157">
        <v>171.8</v>
      </c>
      <c r="D1157">
        <v>3.7949999999999999</v>
      </c>
      <c r="E1157">
        <v>12.6</v>
      </c>
      <c r="F1157">
        <v>7.24</v>
      </c>
      <c r="G1157">
        <v>1.96</v>
      </c>
      <c r="H1157">
        <v>1.986</v>
      </c>
      <c r="I1157">
        <v>32.049999999999997</v>
      </c>
      <c r="J1157">
        <v>18.100000000000001</v>
      </c>
      <c r="K1157">
        <v>11.8</v>
      </c>
      <c r="L1157">
        <v>1.46</v>
      </c>
      <c r="M1157">
        <v>3.722</v>
      </c>
      <c r="N1157">
        <v>0.254</v>
      </c>
      <c r="O1157">
        <v>2.4300000000000002</v>
      </c>
      <c r="P1157">
        <v>0.86</v>
      </c>
    </row>
    <row r="1158" spans="1:16" x14ac:dyDescent="0.25">
      <c r="A1158" s="1">
        <v>42873</v>
      </c>
      <c r="B1158">
        <v>7.7</v>
      </c>
      <c r="C1158">
        <v>171.08</v>
      </c>
      <c r="D1158">
        <v>3.7410000000000001</v>
      </c>
      <c r="E1158">
        <v>12.12</v>
      </c>
      <c r="F1158">
        <v>7.2</v>
      </c>
      <c r="G1158">
        <v>1.94</v>
      </c>
      <c r="H1158">
        <v>1.857</v>
      </c>
      <c r="I1158">
        <v>32.200000000000003</v>
      </c>
      <c r="J1158">
        <v>17.649999999999999</v>
      </c>
      <c r="K1158">
        <v>11.65</v>
      </c>
      <c r="L1158">
        <v>1.45</v>
      </c>
      <c r="M1158">
        <v>3.6389999999999998</v>
      </c>
      <c r="N1158">
        <v>0.25</v>
      </c>
      <c r="O1158">
        <v>2.42</v>
      </c>
      <c r="P1158">
        <v>0.82</v>
      </c>
    </row>
    <row r="1159" spans="1:16" x14ac:dyDescent="0.25">
      <c r="A1159" s="1">
        <v>42874</v>
      </c>
      <c r="B1159">
        <v>7.8</v>
      </c>
      <c r="C1159">
        <v>172.23</v>
      </c>
      <c r="D1159">
        <v>3.7040000000000002</v>
      </c>
      <c r="E1159">
        <v>12.5</v>
      </c>
      <c r="F1159">
        <v>7.35</v>
      </c>
      <c r="G1159">
        <v>1.95</v>
      </c>
      <c r="H1159">
        <v>2.0449999999999999</v>
      </c>
      <c r="I1159">
        <v>32.200000000000003</v>
      </c>
      <c r="J1159">
        <v>17.600000000000001</v>
      </c>
      <c r="K1159">
        <v>11.65</v>
      </c>
      <c r="L1159">
        <v>1.46</v>
      </c>
      <c r="M1159">
        <v>3.8039999999999998</v>
      </c>
      <c r="N1159">
        <v>0.255</v>
      </c>
      <c r="O1159">
        <v>2.5</v>
      </c>
      <c r="P1159">
        <v>0.85</v>
      </c>
    </row>
    <row r="1160" spans="1:16" x14ac:dyDescent="0.25">
      <c r="A1160" s="1">
        <v>42877</v>
      </c>
      <c r="B1160">
        <v>7.8</v>
      </c>
      <c r="C1160">
        <v>173.6</v>
      </c>
      <c r="D1160">
        <v>3.1629999999999998</v>
      </c>
      <c r="E1160">
        <v>12.42</v>
      </c>
      <c r="F1160">
        <v>7.4</v>
      </c>
      <c r="G1160">
        <v>1.95</v>
      </c>
      <c r="H1160">
        <v>2.0249999999999999</v>
      </c>
      <c r="I1160">
        <v>32.15</v>
      </c>
      <c r="J1160">
        <v>17.600000000000001</v>
      </c>
      <c r="K1160">
        <v>11.8</v>
      </c>
      <c r="L1160">
        <v>1.46</v>
      </c>
      <c r="M1160">
        <v>3.3490000000000002</v>
      </c>
      <c r="N1160">
        <v>0.255</v>
      </c>
      <c r="O1160">
        <v>2.46</v>
      </c>
      <c r="P1160">
        <v>0.84</v>
      </c>
    </row>
    <row r="1161" spans="1:16" x14ac:dyDescent="0.25">
      <c r="A1161" s="1">
        <v>42878</v>
      </c>
      <c r="B1161">
        <v>7.75</v>
      </c>
      <c r="C1161">
        <v>173</v>
      </c>
      <c r="D1161">
        <v>3.1779999999999999</v>
      </c>
      <c r="E1161">
        <v>12.01</v>
      </c>
      <c r="F1161">
        <v>7.5</v>
      </c>
      <c r="G1161">
        <v>1.95</v>
      </c>
      <c r="H1161">
        <v>2.0350000000000001</v>
      </c>
      <c r="I1161">
        <v>32.159999999999997</v>
      </c>
      <c r="J1161">
        <v>17.600000000000001</v>
      </c>
      <c r="K1161">
        <v>11.8</v>
      </c>
      <c r="L1161">
        <v>1.46</v>
      </c>
      <c r="M1161">
        <v>3.3490000000000002</v>
      </c>
      <c r="N1161">
        <v>0.255</v>
      </c>
      <c r="O1161">
        <v>2.46</v>
      </c>
      <c r="P1161">
        <v>0.83</v>
      </c>
    </row>
    <row r="1162" spans="1:16" x14ac:dyDescent="0.25">
      <c r="A1162" s="1">
        <v>42879</v>
      </c>
      <c r="B1162">
        <v>7.77</v>
      </c>
      <c r="C1162">
        <v>172</v>
      </c>
      <c r="D1162">
        <v>3.2160000000000002</v>
      </c>
      <c r="E1162">
        <v>11.95</v>
      </c>
      <c r="F1162">
        <v>7.5</v>
      </c>
      <c r="G1162">
        <v>1.97</v>
      </c>
      <c r="H1162">
        <v>2.0150000000000001</v>
      </c>
      <c r="I1162">
        <v>32.159999999999997</v>
      </c>
      <c r="J1162">
        <v>17.600000000000001</v>
      </c>
      <c r="K1162">
        <v>11.8</v>
      </c>
      <c r="L1162">
        <v>1.45</v>
      </c>
      <c r="M1162">
        <v>3.3330000000000002</v>
      </c>
      <c r="N1162">
        <v>0.255</v>
      </c>
      <c r="O1162">
        <v>2.46</v>
      </c>
      <c r="P1162">
        <v>0.83</v>
      </c>
    </row>
    <row r="1163" spans="1:16" x14ac:dyDescent="0.25">
      <c r="A1163" s="1">
        <v>42880</v>
      </c>
      <c r="B1163">
        <v>7.77</v>
      </c>
      <c r="C1163">
        <v>169.5</v>
      </c>
      <c r="D1163">
        <v>3.2850000000000001</v>
      </c>
      <c r="E1163">
        <v>12.15</v>
      </c>
      <c r="F1163">
        <v>7.5</v>
      </c>
      <c r="G1163">
        <v>1.98</v>
      </c>
      <c r="H1163">
        <v>1.9950000000000001</v>
      </c>
      <c r="I1163">
        <v>32.15</v>
      </c>
      <c r="J1163">
        <v>17.5</v>
      </c>
      <c r="K1163">
        <v>11.79</v>
      </c>
      <c r="L1163">
        <v>1.44</v>
      </c>
      <c r="M1163">
        <v>3.3490000000000002</v>
      </c>
      <c r="N1163">
        <v>0.25700000000000001</v>
      </c>
      <c r="O1163">
        <v>2.5</v>
      </c>
      <c r="P1163">
        <v>0.84</v>
      </c>
    </row>
    <row r="1164" spans="1:16" x14ac:dyDescent="0.25">
      <c r="A1164" s="1">
        <v>42881</v>
      </c>
      <c r="B1164">
        <v>7.84</v>
      </c>
      <c r="C1164">
        <v>168.75</v>
      </c>
      <c r="D1164">
        <v>3.2850000000000001</v>
      </c>
      <c r="E1164">
        <v>12.48</v>
      </c>
      <c r="F1164">
        <v>7.62</v>
      </c>
      <c r="G1164">
        <v>1.98</v>
      </c>
      <c r="H1164">
        <v>2.0550000000000002</v>
      </c>
      <c r="I1164">
        <v>32.15</v>
      </c>
      <c r="J1164">
        <v>17.25</v>
      </c>
      <c r="K1164">
        <v>11.8</v>
      </c>
      <c r="L1164">
        <v>1.44</v>
      </c>
      <c r="M1164">
        <v>3.101</v>
      </c>
      <c r="N1164">
        <v>0.252</v>
      </c>
      <c r="O1164">
        <v>2.5</v>
      </c>
      <c r="P1164">
        <v>0.85</v>
      </c>
    </row>
    <row r="1165" spans="1:16" x14ac:dyDescent="0.25">
      <c r="A1165" s="1">
        <v>42884</v>
      </c>
      <c r="B1165">
        <v>7.83</v>
      </c>
      <c r="C1165">
        <v>169.5</v>
      </c>
      <c r="D1165">
        <v>3.2850000000000001</v>
      </c>
      <c r="E1165">
        <v>12.48</v>
      </c>
      <c r="F1165">
        <v>7.5</v>
      </c>
      <c r="G1165">
        <v>1.96</v>
      </c>
      <c r="H1165">
        <v>2.0550000000000002</v>
      </c>
      <c r="I1165">
        <v>32.15</v>
      </c>
      <c r="J1165">
        <v>17</v>
      </c>
      <c r="K1165">
        <v>11.8</v>
      </c>
      <c r="L1165">
        <v>1.45</v>
      </c>
      <c r="M1165">
        <v>3.101</v>
      </c>
      <c r="N1165">
        <v>0.255</v>
      </c>
      <c r="O1165">
        <v>2.5099999999999998</v>
      </c>
      <c r="P1165">
        <v>0.86</v>
      </c>
    </row>
    <row r="1166" spans="1:16" x14ac:dyDescent="0.25">
      <c r="A1166" s="1">
        <v>42885</v>
      </c>
      <c r="B1166">
        <v>7.92</v>
      </c>
      <c r="C1166">
        <v>167.8</v>
      </c>
      <c r="D1166">
        <v>3.2770000000000001</v>
      </c>
      <c r="E1166">
        <v>12.4</v>
      </c>
      <c r="F1166">
        <v>7.45</v>
      </c>
      <c r="G1166">
        <v>1.96</v>
      </c>
      <c r="H1166">
        <v>2.0249999999999999</v>
      </c>
      <c r="I1166">
        <v>32.15</v>
      </c>
      <c r="J1166">
        <v>16.600000000000001</v>
      </c>
      <c r="K1166">
        <v>11.8</v>
      </c>
      <c r="L1166">
        <v>1.47</v>
      </c>
      <c r="M1166">
        <v>3.101</v>
      </c>
      <c r="N1166">
        <v>0.255</v>
      </c>
      <c r="O1166">
        <v>2.5</v>
      </c>
      <c r="P1166">
        <v>0.85</v>
      </c>
    </row>
    <row r="1167" spans="1:16" x14ac:dyDescent="0.25">
      <c r="A1167" s="1">
        <v>42886</v>
      </c>
      <c r="B1167">
        <v>7.92</v>
      </c>
      <c r="C1167">
        <v>168.3</v>
      </c>
      <c r="D1167">
        <v>3.2389999999999999</v>
      </c>
      <c r="E1167">
        <v>12.37</v>
      </c>
      <c r="F1167">
        <v>7.4</v>
      </c>
      <c r="G1167">
        <v>1.96</v>
      </c>
      <c r="H1167">
        <v>2.0449999999999999</v>
      </c>
      <c r="I1167">
        <v>32.700000000000003</v>
      </c>
      <c r="J1167">
        <v>17.010000000000002</v>
      </c>
      <c r="K1167">
        <v>11.9</v>
      </c>
      <c r="L1167">
        <v>1.47</v>
      </c>
      <c r="M1167">
        <v>2.9860000000000002</v>
      </c>
      <c r="N1167">
        <v>0.25</v>
      </c>
      <c r="O1167">
        <v>2.5</v>
      </c>
      <c r="P1167">
        <v>0.84</v>
      </c>
    </row>
    <row r="1168" spans="1:16" x14ac:dyDescent="0.25">
      <c r="A1168" s="1">
        <v>42887</v>
      </c>
      <c r="B1168">
        <v>7.9</v>
      </c>
      <c r="C1168">
        <v>169.3</v>
      </c>
      <c r="D1168">
        <v>3.2010000000000001</v>
      </c>
      <c r="E1168">
        <v>12.38</v>
      </c>
      <c r="F1168">
        <v>7.33</v>
      </c>
      <c r="G1168">
        <v>1.93</v>
      </c>
      <c r="H1168">
        <v>2.0350000000000001</v>
      </c>
      <c r="I1168">
        <v>32.15</v>
      </c>
      <c r="J1168">
        <v>17.059999999999999</v>
      </c>
      <c r="K1168">
        <v>11.8</v>
      </c>
      <c r="L1168">
        <v>1.46</v>
      </c>
      <c r="M1168">
        <v>2.8119999999999998</v>
      </c>
      <c r="N1168">
        <v>0.25</v>
      </c>
      <c r="O1168">
        <v>2.46</v>
      </c>
      <c r="P1168">
        <v>0.84</v>
      </c>
    </row>
    <row r="1169" spans="1:16" x14ac:dyDescent="0.25">
      <c r="A1169" s="1">
        <v>42888</v>
      </c>
      <c r="B1169">
        <v>7.89</v>
      </c>
      <c r="C1169">
        <v>167.3</v>
      </c>
      <c r="D1169">
        <v>3.2160000000000002</v>
      </c>
      <c r="E1169">
        <v>12.18</v>
      </c>
      <c r="F1169">
        <v>7.52</v>
      </c>
      <c r="G1169">
        <v>1.97</v>
      </c>
      <c r="H1169">
        <v>2.0249999999999999</v>
      </c>
      <c r="I1169">
        <v>32.5</v>
      </c>
      <c r="J1169">
        <v>17.059999999999999</v>
      </c>
      <c r="K1169">
        <v>11.7</v>
      </c>
      <c r="L1169">
        <v>1.46</v>
      </c>
      <c r="M1169">
        <v>2.8119999999999998</v>
      </c>
      <c r="N1169">
        <v>0.25</v>
      </c>
      <c r="O1169">
        <v>2.46</v>
      </c>
      <c r="P1169">
        <v>0.85</v>
      </c>
    </row>
    <row r="1170" spans="1:16" x14ac:dyDescent="0.25">
      <c r="A1170" s="1">
        <v>42891</v>
      </c>
      <c r="B1170">
        <v>7.88</v>
      </c>
      <c r="C1170">
        <v>168.8</v>
      </c>
      <c r="D1170">
        <v>3.2080000000000002</v>
      </c>
      <c r="E1170">
        <v>12.5</v>
      </c>
      <c r="F1170">
        <v>7.52</v>
      </c>
      <c r="G1170">
        <v>1.95</v>
      </c>
      <c r="H1170">
        <v>2.0249999999999999</v>
      </c>
      <c r="I1170">
        <v>32.5</v>
      </c>
      <c r="J1170">
        <v>17.7</v>
      </c>
      <c r="K1170">
        <v>11.553000000000001</v>
      </c>
      <c r="L1170">
        <v>1.46</v>
      </c>
      <c r="M1170">
        <v>2.895</v>
      </c>
      <c r="N1170">
        <v>0.245</v>
      </c>
      <c r="O1170">
        <v>2.44</v>
      </c>
      <c r="P1170">
        <v>0.82</v>
      </c>
    </row>
    <row r="1171" spans="1:16" x14ac:dyDescent="0.25">
      <c r="A1171" s="1">
        <v>42892</v>
      </c>
      <c r="B1171">
        <v>7.86</v>
      </c>
      <c r="C1171">
        <v>171.4</v>
      </c>
      <c r="D1171">
        <v>3.2160000000000002</v>
      </c>
      <c r="E1171">
        <v>12.75</v>
      </c>
      <c r="F1171">
        <v>7.52</v>
      </c>
      <c r="G1171">
        <v>1.95</v>
      </c>
      <c r="H1171">
        <v>2.0840000000000001</v>
      </c>
      <c r="I1171">
        <v>32.4</v>
      </c>
      <c r="J1171">
        <v>17.77</v>
      </c>
      <c r="K1171">
        <v>11.553000000000001</v>
      </c>
      <c r="L1171">
        <v>1.43</v>
      </c>
      <c r="M1171">
        <v>2.895</v>
      </c>
      <c r="N1171">
        <v>0.24199999999999999</v>
      </c>
      <c r="O1171">
        <v>2.44</v>
      </c>
      <c r="P1171">
        <v>0.81</v>
      </c>
    </row>
    <row r="1172" spans="1:16" x14ac:dyDescent="0.25">
      <c r="A1172" s="1">
        <v>42893</v>
      </c>
      <c r="B1172">
        <v>7.88</v>
      </c>
      <c r="C1172">
        <v>173.5</v>
      </c>
      <c r="D1172">
        <v>2.92</v>
      </c>
      <c r="E1172">
        <v>12.6</v>
      </c>
      <c r="F1172">
        <v>7.5</v>
      </c>
      <c r="G1172">
        <v>1.92</v>
      </c>
      <c r="H1172">
        <v>2.153</v>
      </c>
      <c r="I1172">
        <v>32.380000000000003</v>
      </c>
      <c r="J1172">
        <v>17.8</v>
      </c>
      <c r="K1172">
        <v>11.691000000000001</v>
      </c>
      <c r="L1172">
        <v>1.4</v>
      </c>
      <c r="M1172">
        <v>2.8530000000000002</v>
      </c>
      <c r="N1172">
        <v>0.24099999999999999</v>
      </c>
      <c r="O1172">
        <v>2.44</v>
      </c>
      <c r="P1172">
        <v>0.8</v>
      </c>
    </row>
    <row r="1173" spans="1:16" x14ac:dyDescent="0.25">
      <c r="A1173" s="1">
        <v>42894</v>
      </c>
      <c r="B1173">
        <v>7.85</v>
      </c>
      <c r="C1173">
        <v>172.34</v>
      </c>
      <c r="D1173">
        <v>2.9889999999999999</v>
      </c>
      <c r="E1173">
        <v>12.72</v>
      </c>
      <c r="F1173">
        <v>7.55</v>
      </c>
      <c r="G1173">
        <v>1.95</v>
      </c>
      <c r="H1173">
        <v>2.2229999999999999</v>
      </c>
      <c r="I1173">
        <v>32.5</v>
      </c>
      <c r="J1173">
        <v>18</v>
      </c>
      <c r="K1173">
        <v>11.829000000000001</v>
      </c>
      <c r="L1173">
        <v>1.38</v>
      </c>
      <c r="M1173">
        <v>2.895</v>
      </c>
      <c r="N1173">
        <v>0.245</v>
      </c>
      <c r="O1173">
        <v>2.44</v>
      </c>
      <c r="P1173">
        <v>0.81</v>
      </c>
    </row>
    <row r="1174" spans="1:16" x14ac:dyDescent="0.25">
      <c r="A1174" s="1">
        <v>42895</v>
      </c>
      <c r="B1174">
        <v>7.85</v>
      </c>
      <c r="C1174">
        <v>173.1</v>
      </c>
      <c r="D1174">
        <v>2.927</v>
      </c>
      <c r="E1174">
        <v>12.7</v>
      </c>
      <c r="F1174">
        <v>7.5</v>
      </c>
      <c r="G1174">
        <v>1.95</v>
      </c>
      <c r="H1174">
        <v>2.2719999999999998</v>
      </c>
      <c r="I1174">
        <v>32.4</v>
      </c>
      <c r="J1174">
        <v>18</v>
      </c>
      <c r="K1174">
        <v>11.78</v>
      </c>
      <c r="L1174">
        <v>1.38</v>
      </c>
      <c r="M1174">
        <v>2.895</v>
      </c>
      <c r="N1174">
        <v>0.245</v>
      </c>
      <c r="O1174">
        <v>2.44</v>
      </c>
      <c r="P1174">
        <v>0.82</v>
      </c>
    </row>
    <row r="1175" spans="1:16" x14ac:dyDescent="0.25">
      <c r="A1175" s="1">
        <v>42898</v>
      </c>
      <c r="B1175">
        <v>7.87</v>
      </c>
      <c r="C1175">
        <v>172.6</v>
      </c>
      <c r="D1175">
        <v>2.927</v>
      </c>
      <c r="E1175">
        <v>11.55</v>
      </c>
      <c r="F1175">
        <v>7.53</v>
      </c>
      <c r="G1175">
        <v>1.94</v>
      </c>
      <c r="H1175">
        <v>2.242</v>
      </c>
      <c r="I1175">
        <v>32.25</v>
      </c>
      <c r="J1175">
        <v>18.5</v>
      </c>
      <c r="K1175">
        <v>11.78</v>
      </c>
      <c r="L1175">
        <v>1.38</v>
      </c>
      <c r="M1175">
        <v>2.87</v>
      </c>
      <c r="N1175">
        <v>0.24</v>
      </c>
      <c r="O1175">
        <v>2.44</v>
      </c>
      <c r="P1175">
        <v>0.81</v>
      </c>
    </row>
    <row r="1176" spans="1:16" x14ac:dyDescent="0.25">
      <c r="A1176" s="1">
        <v>42899</v>
      </c>
      <c r="B1176">
        <v>7.77</v>
      </c>
      <c r="C1176">
        <v>177.5</v>
      </c>
      <c r="D1176">
        <v>2.9889999999999999</v>
      </c>
      <c r="E1176">
        <v>11.64</v>
      </c>
      <c r="F1176">
        <v>7.52</v>
      </c>
      <c r="G1176">
        <v>1.93</v>
      </c>
      <c r="H1176">
        <v>2.173</v>
      </c>
      <c r="I1176">
        <v>32.200000000000003</v>
      </c>
      <c r="J1176">
        <v>18</v>
      </c>
      <c r="K1176">
        <v>11.553000000000001</v>
      </c>
      <c r="L1176">
        <v>1.4</v>
      </c>
      <c r="M1176">
        <v>2.8119999999999998</v>
      </c>
      <c r="N1176">
        <v>0.23699999999999999</v>
      </c>
      <c r="O1176">
        <v>2.35</v>
      </c>
      <c r="P1176">
        <v>0.8</v>
      </c>
    </row>
    <row r="1177" spans="1:16" x14ac:dyDescent="0.25">
      <c r="A1177" s="1">
        <v>42900</v>
      </c>
      <c r="B1177">
        <v>7.75</v>
      </c>
      <c r="C1177">
        <v>180</v>
      </c>
      <c r="D1177">
        <v>2.9889999999999999</v>
      </c>
      <c r="E1177">
        <v>11.33</v>
      </c>
      <c r="F1177">
        <v>7.5</v>
      </c>
      <c r="G1177">
        <v>1.92</v>
      </c>
      <c r="H1177">
        <v>2.173</v>
      </c>
      <c r="I1177">
        <v>32.5</v>
      </c>
      <c r="J1177">
        <v>18</v>
      </c>
      <c r="K1177">
        <v>11.78</v>
      </c>
      <c r="L1177">
        <v>1.4</v>
      </c>
      <c r="M1177">
        <v>2.8530000000000002</v>
      </c>
      <c r="N1177">
        <v>0.23499999999999999</v>
      </c>
      <c r="O1177">
        <v>2.4</v>
      </c>
      <c r="P1177">
        <v>0.8</v>
      </c>
    </row>
    <row r="1178" spans="1:16" x14ac:dyDescent="0.25">
      <c r="A1178" s="1">
        <v>42901</v>
      </c>
      <c r="B1178">
        <v>7.75</v>
      </c>
      <c r="C1178">
        <v>178.5</v>
      </c>
      <c r="D1178">
        <v>2.9889999999999999</v>
      </c>
      <c r="E1178">
        <v>11.16</v>
      </c>
      <c r="F1178">
        <v>7.47</v>
      </c>
      <c r="G1178">
        <v>1.88</v>
      </c>
      <c r="H1178">
        <v>2.1240000000000001</v>
      </c>
      <c r="I1178">
        <v>32.200000000000003</v>
      </c>
      <c r="J1178">
        <v>17.7</v>
      </c>
      <c r="K1178">
        <v>11.5</v>
      </c>
      <c r="L1178">
        <v>1.4</v>
      </c>
      <c r="M1178">
        <v>2.68</v>
      </c>
      <c r="N1178">
        <v>0.23</v>
      </c>
      <c r="O1178">
        <v>2.39</v>
      </c>
      <c r="P1178">
        <v>0.78</v>
      </c>
    </row>
    <row r="1179" spans="1:16" x14ac:dyDescent="0.25">
      <c r="A1179" s="1">
        <v>42902</v>
      </c>
      <c r="B1179">
        <v>7.67</v>
      </c>
      <c r="C1179">
        <v>178.9</v>
      </c>
      <c r="D1179">
        <v>2.9550000000000001</v>
      </c>
      <c r="E1179">
        <v>11.2</v>
      </c>
      <c r="F1179">
        <v>7.45</v>
      </c>
      <c r="G1179">
        <v>1.83</v>
      </c>
      <c r="H1179">
        <v>2.1240000000000001</v>
      </c>
      <c r="I1179">
        <v>32.200000000000003</v>
      </c>
      <c r="J1179">
        <v>18</v>
      </c>
      <c r="K1179">
        <v>11.2</v>
      </c>
      <c r="L1179">
        <v>1.39</v>
      </c>
      <c r="M1179">
        <v>2.6880000000000002</v>
      </c>
      <c r="N1179">
        <v>0.22500000000000001</v>
      </c>
      <c r="O1179">
        <v>2.35</v>
      </c>
      <c r="P1179">
        <v>0.76</v>
      </c>
    </row>
    <row r="1180" spans="1:16" x14ac:dyDescent="0.25">
      <c r="A1180" s="1">
        <v>42905</v>
      </c>
      <c r="B1180">
        <v>7.7</v>
      </c>
      <c r="C1180">
        <v>181.25</v>
      </c>
      <c r="D1180">
        <v>2.9889999999999999</v>
      </c>
      <c r="E1180">
        <v>11.3</v>
      </c>
      <c r="F1180">
        <v>7.45</v>
      </c>
      <c r="G1180">
        <v>1.83</v>
      </c>
      <c r="H1180">
        <v>2.0939999999999999</v>
      </c>
      <c r="I1180">
        <v>32.4</v>
      </c>
      <c r="J1180">
        <v>18</v>
      </c>
      <c r="K1180">
        <v>11.5</v>
      </c>
      <c r="L1180">
        <v>1.39</v>
      </c>
      <c r="M1180">
        <v>2.6880000000000002</v>
      </c>
      <c r="N1180">
        <v>0.23100000000000001</v>
      </c>
      <c r="O1180">
        <v>2.39</v>
      </c>
      <c r="P1180">
        <v>0.77</v>
      </c>
    </row>
    <row r="1181" spans="1:16" x14ac:dyDescent="0.25">
      <c r="A1181" s="1">
        <v>42906</v>
      </c>
      <c r="B1181">
        <v>7.7</v>
      </c>
      <c r="C1181">
        <v>182.2</v>
      </c>
      <c r="D1181">
        <v>2.9889999999999999</v>
      </c>
      <c r="E1181">
        <v>11.3</v>
      </c>
      <c r="F1181">
        <v>7.48</v>
      </c>
      <c r="G1181">
        <v>1.8</v>
      </c>
      <c r="H1181">
        <v>1.976</v>
      </c>
      <c r="I1181">
        <v>32.200000000000003</v>
      </c>
      <c r="J1181">
        <v>17.510000000000002</v>
      </c>
      <c r="K1181">
        <v>11.25</v>
      </c>
      <c r="L1181">
        <v>1.39</v>
      </c>
      <c r="M1181">
        <v>2.7210000000000001</v>
      </c>
      <c r="N1181">
        <v>0.22</v>
      </c>
      <c r="O1181">
        <v>2.35</v>
      </c>
      <c r="P1181">
        <v>0.76</v>
      </c>
    </row>
    <row r="1182" spans="1:16" x14ac:dyDescent="0.25">
      <c r="A1182" s="1">
        <v>42907</v>
      </c>
      <c r="B1182">
        <v>7.85</v>
      </c>
      <c r="C1182">
        <v>182.1</v>
      </c>
      <c r="D1182">
        <v>3.024</v>
      </c>
      <c r="E1182">
        <v>11.5</v>
      </c>
      <c r="F1182">
        <v>7.5</v>
      </c>
      <c r="G1182">
        <v>1.84</v>
      </c>
      <c r="H1182">
        <v>2.1240000000000001</v>
      </c>
      <c r="I1182">
        <v>33</v>
      </c>
      <c r="J1182">
        <v>17.5</v>
      </c>
      <c r="K1182">
        <v>11.35</v>
      </c>
      <c r="L1182">
        <v>1.39</v>
      </c>
      <c r="M1182">
        <v>2.7370000000000001</v>
      </c>
      <c r="N1182">
        <v>0.22</v>
      </c>
      <c r="O1182">
        <v>2.35</v>
      </c>
      <c r="P1182">
        <v>0.79</v>
      </c>
    </row>
    <row r="1183" spans="1:16" x14ac:dyDescent="0.25">
      <c r="A1183" s="1">
        <v>42908</v>
      </c>
      <c r="B1183">
        <v>8</v>
      </c>
      <c r="C1183">
        <v>181.8</v>
      </c>
      <c r="D1183">
        <v>3.0449999999999999</v>
      </c>
      <c r="E1183">
        <v>11.5</v>
      </c>
      <c r="F1183">
        <v>7.45</v>
      </c>
      <c r="G1183">
        <v>1.82</v>
      </c>
      <c r="H1183">
        <v>2.0739999999999998</v>
      </c>
      <c r="I1183">
        <v>33.01</v>
      </c>
      <c r="J1183">
        <v>17.5</v>
      </c>
      <c r="K1183">
        <v>11.4</v>
      </c>
      <c r="L1183">
        <v>1.38</v>
      </c>
      <c r="M1183">
        <v>2.7370000000000001</v>
      </c>
      <c r="N1183">
        <v>0.222</v>
      </c>
      <c r="O1183">
        <v>2.4</v>
      </c>
      <c r="P1183">
        <v>0.78</v>
      </c>
    </row>
    <row r="1184" spans="1:16" x14ac:dyDescent="0.25">
      <c r="A1184" s="1">
        <v>42909</v>
      </c>
      <c r="B1184">
        <v>8.1199999999999992</v>
      </c>
      <c r="C1184">
        <v>180.4</v>
      </c>
      <c r="D1184">
        <v>3.0590000000000002</v>
      </c>
      <c r="E1184">
        <v>11.6</v>
      </c>
      <c r="F1184">
        <v>7.42</v>
      </c>
      <c r="G1184">
        <v>1.82</v>
      </c>
      <c r="H1184">
        <v>2.0350000000000001</v>
      </c>
      <c r="I1184">
        <v>33.799999999999997</v>
      </c>
      <c r="J1184">
        <v>17.5</v>
      </c>
      <c r="K1184">
        <v>11.4</v>
      </c>
      <c r="L1184">
        <v>1.38</v>
      </c>
      <c r="M1184">
        <v>2.7370000000000001</v>
      </c>
      <c r="N1184">
        <v>0.22800000000000001</v>
      </c>
      <c r="O1184">
        <v>2.4</v>
      </c>
      <c r="P1184">
        <v>0.79</v>
      </c>
    </row>
    <row r="1185" spans="1:16" x14ac:dyDescent="0.25">
      <c r="A1185" s="1">
        <v>42912</v>
      </c>
      <c r="B1185">
        <v>8.25</v>
      </c>
      <c r="C1185">
        <v>180.4</v>
      </c>
      <c r="D1185">
        <v>3.0659999999999998</v>
      </c>
      <c r="E1185">
        <v>11.46</v>
      </c>
      <c r="F1185">
        <v>7.45</v>
      </c>
      <c r="G1185">
        <v>1.84</v>
      </c>
      <c r="H1185">
        <v>2.0350000000000001</v>
      </c>
      <c r="I1185">
        <v>33.799999999999997</v>
      </c>
      <c r="J1185">
        <v>17.510000000000002</v>
      </c>
      <c r="K1185">
        <v>11.4</v>
      </c>
      <c r="L1185">
        <v>1.38</v>
      </c>
      <c r="M1185">
        <v>2.7370000000000001</v>
      </c>
      <c r="N1185">
        <v>0.22800000000000001</v>
      </c>
      <c r="O1185">
        <v>2.4500000000000002</v>
      </c>
      <c r="P1185">
        <v>0.8</v>
      </c>
    </row>
    <row r="1186" spans="1:16" x14ac:dyDescent="0.25">
      <c r="A1186" s="1">
        <v>42913</v>
      </c>
      <c r="B1186">
        <v>8.25</v>
      </c>
      <c r="C1186">
        <v>179.7</v>
      </c>
      <c r="D1186">
        <v>3.0939999999999999</v>
      </c>
      <c r="E1186">
        <v>11</v>
      </c>
      <c r="F1186">
        <v>7.5</v>
      </c>
      <c r="G1186">
        <v>1.83</v>
      </c>
      <c r="H1186">
        <v>2.0739999999999998</v>
      </c>
      <c r="I1186">
        <v>33.799999999999997</v>
      </c>
      <c r="J1186">
        <v>17.510000000000002</v>
      </c>
      <c r="K1186">
        <v>11.47</v>
      </c>
      <c r="L1186">
        <v>1.35</v>
      </c>
      <c r="M1186">
        <v>2.8039999999999998</v>
      </c>
      <c r="N1186">
        <v>0.23</v>
      </c>
      <c r="O1186">
        <v>2.4500000000000002</v>
      </c>
      <c r="P1186">
        <v>0.82</v>
      </c>
    </row>
    <row r="1187" spans="1:16" x14ac:dyDescent="0.25">
      <c r="A1187" s="1">
        <v>42914</v>
      </c>
      <c r="B1187">
        <v>8.1999999999999993</v>
      </c>
      <c r="C1187">
        <v>179.8</v>
      </c>
      <c r="D1187">
        <v>3.1080000000000001</v>
      </c>
      <c r="E1187">
        <v>11.05</v>
      </c>
      <c r="F1187">
        <v>7.45</v>
      </c>
      <c r="G1187">
        <v>1.8</v>
      </c>
      <c r="H1187">
        <v>2.1240000000000001</v>
      </c>
      <c r="I1187">
        <v>33.5</v>
      </c>
      <c r="J1187">
        <v>17.5</v>
      </c>
      <c r="K1187">
        <v>11.5</v>
      </c>
      <c r="L1187">
        <v>1.36</v>
      </c>
      <c r="M1187">
        <v>2.8039999999999998</v>
      </c>
      <c r="N1187">
        <v>0.223</v>
      </c>
      <c r="O1187">
        <v>2.36</v>
      </c>
      <c r="P1187">
        <v>0.81</v>
      </c>
    </row>
    <row r="1188" spans="1:16" x14ac:dyDescent="0.25">
      <c r="A1188" s="1">
        <v>42916</v>
      </c>
      <c r="B1188">
        <v>8.14</v>
      </c>
      <c r="C1188">
        <v>179.5</v>
      </c>
      <c r="D1188">
        <v>3.1080000000000001</v>
      </c>
      <c r="E1188">
        <v>11.63</v>
      </c>
      <c r="F1188">
        <v>7.5</v>
      </c>
      <c r="G1188">
        <v>1.81</v>
      </c>
      <c r="H1188">
        <v>2.1339999999999999</v>
      </c>
      <c r="I1188">
        <v>34</v>
      </c>
      <c r="J1188">
        <v>17.5</v>
      </c>
      <c r="K1188">
        <v>11.51</v>
      </c>
      <c r="L1188">
        <v>1.36</v>
      </c>
      <c r="M1188">
        <v>2.8039999999999998</v>
      </c>
      <c r="N1188">
        <v>0.22500000000000001</v>
      </c>
      <c r="O1188">
        <v>2.36</v>
      </c>
      <c r="P1188">
        <v>0.83</v>
      </c>
    </row>
    <row r="1189" spans="1:16" x14ac:dyDescent="0.25">
      <c r="A1189" s="1">
        <v>42919</v>
      </c>
      <c r="B1189">
        <v>8.16</v>
      </c>
      <c r="C1189">
        <v>182.09</v>
      </c>
      <c r="D1189">
        <v>3.1080000000000001</v>
      </c>
      <c r="E1189">
        <v>11.2</v>
      </c>
      <c r="F1189">
        <v>7.45</v>
      </c>
      <c r="G1189">
        <v>1.81</v>
      </c>
      <c r="H1189">
        <v>2.1440000000000001</v>
      </c>
      <c r="I1189">
        <v>34</v>
      </c>
      <c r="J1189">
        <v>17.45</v>
      </c>
      <c r="K1189">
        <v>11.75</v>
      </c>
      <c r="L1189">
        <v>1.36</v>
      </c>
      <c r="M1189">
        <v>2.8370000000000002</v>
      </c>
      <c r="N1189">
        <v>0.23</v>
      </c>
      <c r="O1189">
        <v>2.36</v>
      </c>
      <c r="P1189">
        <v>0.83</v>
      </c>
    </row>
    <row r="1190" spans="1:16" x14ac:dyDescent="0.25">
      <c r="A1190" s="1">
        <v>42920</v>
      </c>
      <c r="B1190">
        <v>8.15</v>
      </c>
      <c r="C1190">
        <v>182.09</v>
      </c>
      <c r="D1190">
        <v>3.1280000000000001</v>
      </c>
      <c r="E1190">
        <v>11.52</v>
      </c>
      <c r="F1190">
        <v>7.51</v>
      </c>
      <c r="G1190">
        <v>1.82</v>
      </c>
      <c r="H1190">
        <v>2.1440000000000001</v>
      </c>
      <c r="I1190">
        <v>33.799999999999997</v>
      </c>
      <c r="J1190">
        <v>17.5</v>
      </c>
      <c r="K1190">
        <v>11.75</v>
      </c>
      <c r="L1190">
        <v>1.35</v>
      </c>
      <c r="M1190">
        <v>2.8370000000000002</v>
      </c>
      <c r="N1190">
        <v>0.23599999999999999</v>
      </c>
      <c r="O1190">
        <v>2.36</v>
      </c>
      <c r="P1190">
        <v>0.83</v>
      </c>
    </row>
    <row r="1191" spans="1:16" x14ac:dyDescent="0.25">
      <c r="A1191" s="1">
        <v>42921</v>
      </c>
      <c r="B1191">
        <v>8.15</v>
      </c>
      <c r="C1191">
        <v>181.9</v>
      </c>
      <c r="D1191">
        <v>3.1280000000000001</v>
      </c>
      <c r="E1191">
        <v>11.65</v>
      </c>
      <c r="F1191">
        <v>7.45</v>
      </c>
      <c r="G1191">
        <v>1.81</v>
      </c>
      <c r="H1191">
        <v>2.1240000000000001</v>
      </c>
      <c r="I1191">
        <v>33.75</v>
      </c>
      <c r="J1191">
        <v>17</v>
      </c>
      <c r="K1191">
        <v>12</v>
      </c>
      <c r="L1191">
        <v>1.34</v>
      </c>
      <c r="M1191">
        <v>2.9359999999999999</v>
      </c>
      <c r="N1191">
        <v>0.23499999999999999</v>
      </c>
      <c r="O1191">
        <v>2.36</v>
      </c>
      <c r="P1191">
        <v>0.83</v>
      </c>
    </row>
    <row r="1192" spans="1:16" x14ac:dyDescent="0.25">
      <c r="A1192" s="1">
        <v>42922</v>
      </c>
      <c r="B1192">
        <v>8.1300000000000008</v>
      </c>
      <c r="C1192">
        <v>181</v>
      </c>
      <c r="D1192">
        <v>3.1280000000000001</v>
      </c>
      <c r="E1192">
        <v>11.55</v>
      </c>
      <c r="F1192">
        <v>7.51</v>
      </c>
      <c r="G1192">
        <v>1.82</v>
      </c>
      <c r="H1192">
        <v>2.1240000000000001</v>
      </c>
      <c r="I1192">
        <v>33.75</v>
      </c>
      <c r="J1192">
        <v>17.3</v>
      </c>
      <c r="K1192">
        <v>11.95</v>
      </c>
      <c r="L1192">
        <v>1.34</v>
      </c>
      <c r="M1192">
        <v>2.919</v>
      </c>
      <c r="N1192">
        <v>0.23</v>
      </c>
      <c r="O1192">
        <v>2.36</v>
      </c>
      <c r="P1192">
        <v>0.81</v>
      </c>
    </row>
    <row r="1193" spans="1:16" x14ac:dyDescent="0.25">
      <c r="A1193" s="1">
        <v>42923</v>
      </c>
      <c r="B1193">
        <v>8.14</v>
      </c>
      <c r="C1193">
        <v>182.2</v>
      </c>
      <c r="D1193">
        <v>3.1219999999999999</v>
      </c>
      <c r="E1193">
        <v>11.5</v>
      </c>
      <c r="F1193">
        <v>7.48</v>
      </c>
      <c r="G1193">
        <v>1.82</v>
      </c>
      <c r="H1193">
        <v>2.0550000000000002</v>
      </c>
      <c r="I1193">
        <v>33.75</v>
      </c>
      <c r="J1193">
        <v>17.32</v>
      </c>
      <c r="K1193">
        <v>11.9</v>
      </c>
      <c r="L1193">
        <v>1.33</v>
      </c>
      <c r="M1193">
        <v>2.919</v>
      </c>
      <c r="N1193">
        <v>0.23</v>
      </c>
      <c r="O1193">
        <v>2.38</v>
      </c>
      <c r="P1193">
        <v>0.81</v>
      </c>
    </row>
    <row r="1194" spans="1:16" x14ac:dyDescent="0.25">
      <c r="A1194" s="1">
        <v>42926</v>
      </c>
      <c r="B1194">
        <v>8.14</v>
      </c>
      <c r="C1194">
        <v>182.2</v>
      </c>
      <c r="D1194">
        <v>2.996</v>
      </c>
      <c r="E1194">
        <v>11.53</v>
      </c>
      <c r="F1194">
        <v>7.35</v>
      </c>
      <c r="G1194">
        <v>1.79</v>
      </c>
      <c r="H1194">
        <v>2.0550000000000002</v>
      </c>
      <c r="I1194">
        <v>33.799999999999997</v>
      </c>
      <c r="J1194">
        <v>17.32</v>
      </c>
      <c r="K1194">
        <v>11.9</v>
      </c>
      <c r="L1194">
        <v>1.33</v>
      </c>
      <c r="M1194">
        <v>2.919</v>
      </c>
      <c r="N1194">
        <v>0.23</v>
      </c>
      <c r="O1194">
        <v>2.38</v>
      </c>
      <c r="P1194">
        <v>0.81</v>
      </c>
    </row>
    <row r="1195" spans="1:16" x14ac:dyDescent="0.25">
      <c r="A1195" s="1">
        <v>42927</v>
      </c>
      <c r="B1195">
        <v>8.14</v>
      </c>
      <c r="C1195">
        <v>184.4</v>
      </c>
      <c r="D1195">
        <v>3.0870000000000002</v>
      </c>
      <c r="E1195">
        <v>11.64</v>
      </c>
      <c r="F1195">
        <v>7.37</v>
      </c>
      <c r="G1195">
        <v>1.8</v>
      </c>
      <c r="H1195">
        <v>2.0739999999999998</v>
      </c>
      <c r="I1195">
        <v>34</v>
      </c>
      <c r="J1195">
        <v>17.329999999999998</v>
      </c>
      <c r="K1195">
        <v>11.9</v>
      </c>
      <c r="L1195">
        <v>1.33</v>
      </c>
      <c r="M1195">
        <v>2.9359999999999999</v>
      </c>
      <c r="N1195">
        <v>0.223</v>
      </c>
      <c r="O1195">
        <v>2.38</v>
      </c>
      <c r="P1195">
        <v>0.83</v>
      </c>
    </row>
    <row r="1196" spans="1:16" x14ac:dyDescent="0.25">
      <c r="A1196" s="1">
        <v>42928</v>
      </c>
      <c r="B1196">
        <v>8.1999999999999993</v>
      </c>
      <c r="C1196">
        <v>185.9</v>
      </c>
      <c r="D1196">
        <v>3.024</v>
      </c>
      <c r="E1196">
        <v>11.85</v>
      </c>
      <c r="F1196">
        <v>7.5</v>
      </c>
      <c r="G1196">
        <v>1.77</v>
      </c>
      <c r="H1196">
        <v>2.0939999999999999</v>
      </c>
      <c r="I1196">
        <v>33.99</v>
      </c>
      <c r="J1196">
        <v>17.399999999999999</v>
      </c>
      <c r="K1196">
        <v>11.9</v>
      </c>
      <c r="L1196">
        <v>1.33</v>
      </c>
      <c r="M1196">
        <v>2.919</v>
      </c>
      <c r="N1196">
        <v>0.223</v>
      </c>
      <c r="O1196">
        <v>2.4</v>
      </c>
      <c r="P1196">
        <v>0.83</v>
      </c>
    </row>
    <row r="1197" spans="1:16" x14ac:dyDescent="0.25">
      <c r="A1197" s="1">
        <v>42929</v>
      </c>
      <c r="B1197">
        <v>8.31</v>
      </c>
      <c r="C1197">
        <v>185.19</v>
      </c>
      <c r="D1197">
        <v>3.0230000000000001</v>
      </c>
      <c r="E1197">
        <v>11.73</v>
      </c>
      <c r="F1197">
        <v>7.5</v>
      </c>
      <c r="G1197">
        <v>1.77</v>
      </c>
      <c r="H1197">
        <v>2.0739999999999998</v>
      </c>
      <c r="I1197">
        <v>33.979999999999997</v>
      </c>
      <c r="J1197">
        <v>17.399999999999999</v>
      </c>
      <c r="K1197">
        <v>11.9</v>
      </c>
      <c r="L1197">
        <v>1.33</v>
      </c>
      <c r="M1197">
        <v>2.9279999999999999</v>
      </c>
      <c r="N1197">
        <v>0.23499999999999999</v>
      </c>
      <c r="O1197">
        <v>2.4</v>
      </c>
      <c r="P1197">
        <v>0.84</v>
      </c>
    </row>
    <row r="1198" spans="1:16" x14ac:dyDescent="0.25">
      <c r="A1198" s="1">
        <v>42930</v>
      </c>
      <c r="B1198">
        <v>8.4</v>
      </c>
      <c r="C1198">
        <v>186.7</v>
      </c>
      <c r="D1198">
        <v>3.0230000000000001</v>
      </c>
      <c r="E1198">
        <v>12</v>
      </c>
      <c r="F1198">
        <v>7.55</v>
      </c>
      <c r="G1198">
        <v>1.77</v>
      </c>
      <c r="H1198">
        <v>2.0840000000000001</v>
      </c>
      <c r="I1198">
        <v>29.335000000000001</v>
      </c>
      <c r="J1198">
        <v>17.399999999999999</v>
      </c>
      <c r="K1198">
        <v>11.9</v>
      </c>
      <c r="L1198">
        <v>1.34</v>
      </c>
      <c r="M1198">
        <v>2.9279999999999999</v>
      </c>
      <c r="N1198">
        <v>0.23</v>
      </c>
      <c r="O1198">
        <v>2.4</v>
      </c>
      <c r="P1198">
        <v>0.83</v>
      </c>
    </row>
    <row r="1199" spans="1:16" x14ac:dyDescent="0.25">
      <c r="A1199" s="1">
        <v>42933</v>
      </c>
      <c r="B1199">
        <v>8.39</v>
      </c>
      <c r="C1199">
        <v>185.4</v>
      </c>
      <c r="D1199">
        <v>3.1619999999999999</v>
      </c>
      <c r="E1199">
        <v>12.1</v>
      </c>
      <c r="F1199">
        <v>7.55</v>
      </c>
      <c r="G1199">
        <v>1.79</v>
      </c>
      <c r="H1199">
        <v>2.0550000000000002</v>
      </c>
      <c r="I1199">
        <v>29.344000000000001</v>
      </c>
      <c r="J1199">
        <v>17.46</v>
      </c>
      <c r="K1199">
        <v>11.8</v>
      </c>
      <c r="L1199">
        <v>1.36</v>
      </c>
      <c r="M1199">
        <v>2.944</v>
      </c>
      <c r="N1199">
        <v>0.23</v>
      </c>
      <c r="O1199">
        <v>2.38</v>
      </c>
      <c r="P1199">
        <v>0.84</v>
      </c>
    </row>
    <row r="1200" spans="1:16" x14ac:dyDescent="0.25">
      <c r="A1200" s="1">
        <v>42934</v>
      </c>
      <c r="B1200">
        <v>8.3000000000000007</v>
      </c>
      <c r="C1200">
        <v>185.4</v>
      </c>
      <c r="D1200">
        <v>3.085</v>
      </c>
      <c r="E1200">
        <v>12.1</v>
      </c>
      <c r="F1200">
        <v>7.62</v>
      </c>
      <c r="G1200">
        <v>1.78</v>
      </c>
      <c r="H1200">
        <v>2.0550000000000002</v>
      </c>
      <c r="I1200">
        <v>29.344000000000001</v>
      </c>
      <c r="J1200">
        <v>17.7</v>
      </c>
      <c r="K1200">
        <v>11.95</v>
      </c>
      <c r="L1200">
        <v>1.36</v>
      </c>
      <c r="M1200">
        <v>2.9769999999999999</v>
      </c>
      <c r="N1200">
        <v>0.23400000000000001</v>
      </c>
      <c r="O1200">
        <v>2.4</v>
      </c>
      <c r="P1200">
        <v>0.84</v>
      </c>
    </row>
    <row r="1201" spans="1:16" x14ac:dyDescent="0.25">
      <c r="A1201" s="1">
        <v>42935</v>
      </c>
      <c r="B1201">
        <v>8.26</v>
      </c>
      <c r="C1201">
        <v>185.6</v>
      </c>
      <c r="D1201">
        <v>3.1619999999999999</v>
      </c>
      <c r="E1201">
        <v>12.1</v>
      </c>
      <c r="F1201">
        <v>7.62</v>
      </c>
      <c r="G1201">
        <v>1.79</v>
      </c>
      <c r="H1201">
        <v>2.0640000000000001</v>
      </c>
      <c r="I1201">
        <v>29.344000000000001</v>
      </c>
      <c r="J1201">
        <v>17.72</v>
      </c>
      <c r="K1201">
        <v>11.99</v>
      </c>
      <c r="L1201">
        <v>1.37</v>
      </c>
      <c r="M1201">
        <v>2.9769999999999999</v>
      </c>
      <c r="N1201">
        <v>0.23499999999999999</v>
      </c>
      <c r="O1201">
        <v>2.4</v>
      </c>
      <c r="P1201">
        <v>0.85</v>
      </c>
    </row>
    <row r="1202" spans="1:16" x14ac:dyDescent="0.25">
      <c r="A1202" s="1">
        <v>42936</v>
      </c>
      <c r="B1202">
        <v>8.1999999999999993</v>
      </c>
      <c r="C1202">
        <v>185.2</v>
      </c>
      <c r="D1202">
        <v>3.1619999999999999</v>
      </c>
      <c r="E1202">
        <v>12.3</v>
      </c>
      <c r="F1202">
        <v>7.62</v>
      </c>
      <c r="G1202">
        <v>1.8</v>
      </c>
      <c r="H1202">
        <v>2.0739999999999998</v>
      </c>
      <c r="I1202">
        <v>29.128</v>
      </c>
      <c r="J1202">
        <v>18.05</v>
      </c>
      <c r="K1202">
        <v>11.99</v>
      </c>
      <c r="L1202">
        <v>1.38</v>
      </c>
      <c r="M1202">
        <v>2.9359999999999999</v>
      </c>
      <c r="N1202">
        <v>0.23200000000000001</v>
      </c>
      <c r="O1202">
        <v>2.4</v>
      </c>
      <c r="P1202">
        <v>0.87</v>
      </c>
    </row>
    <row r="1203" spans="1:16" x14ac:dyDescent="0.25">
      <c r="A1203" s="1">
        <v>42937</v>
      </c>
      <c r="B1203">
        <v>8.19</v>
      </c>
      <c r="C1203">
        <v>185.6</v>
      </c>
      <c r="D1203">
        <v>3.1619999999999999</v>
      </c>
      <c r="E1203">
        <v>12.3</v>
      </c>
      <c r="F1203">
        <v>7.65</v>
      </c>
      <c r="G1203">
        <v>1.79</v>
      </c>
      <c r="H1203">
        <v>2.0550000000000002</v>
      </c>
      <c r="I1203">
        <v>29.128</v>
      </c>
      <c r="J1203">
        <v>18.3</v>
      </c>
      <c r="K1203">
        <v>12</v>
      </c>
      <c r="L1203">
        <v>1.39</v>
      </c>
      <c r="M1203">
        <v>2.9359999999999999</v>
      </c>
      <c r="N1203">
        <v>0.23200000000000001</v>
      </c>
      <c r="O1203">
        <v>2.4</v>
      </c>
      <c r="P1203">
        <v>0.88</v>
      </c>
    </row>
    <row r="1204" spans="1:16" x14ac:dyDescent="0.25">
      <c r="A1204" s="1">
        <v>42940</v>
      </c>
      <c r="B1204">
        <v>8.19</v>
      </c>
      <c r="C1204">
        <v>184.2</v>
      </c>
      <c r="D1204">
        <v>3.1619999999999999</v>
      </c>
      <c r="E1204">
        <v>12.25</v>
      </c>
      <c r="F1204">
        <v>7.6</v>
      </c>
      <c r="G1204">
        <v>1.79</v>
      </c>
      <c r="H1204">
        <v>2.0939999999999999</v>
      </c>
      <c r="I1204">
        <v>29.128</v>
      </c>
      <c r="J1204">
        <v>18.3</v>
      </c>
      <c r="K1204">
        <v>11.95</v>
      </c>
      <c r="L1204">
        <v>1.39</v>
      </c>
      <c r="M1204">
        <v>2.944</v>
      </c>
      <c r="N1204">
        <v>0.22500000000000001</v>
      </c>
      <c r="O1204">
        <v>2.4700000000000002</v>
      </c>
      <c r="P1204">
        <v>0.87</v>
      </c>
    </row>
    <row r="1205" spans="1:16" x14ac:dyDescent="0.25">
      <c r="A1205" s="1">
        <v>42941</v>
      </c>
      <c r="B1205">
        <v>8.1</v>
      </c>
      <c r="C1205">
        <v>185</v>
      </c>
      <c r="D1205">
        <v>3.1619999999999999</v>
      </c>
      <c r="E1205">
        <v>12.39</v>
      </c>
      <c r="F1205">
        <v>7.66</v>
      </c>
      <c r="G1205">
        <v>1.8</v>
      </c>
      <c r="H1205">
        <v>2.0739999999999998</v>
      </c>
      <c r="I1205">
        <v>29.128</v>
      </c>
      <c r="J1205">
        <v>18.3</v>
      </c>
      <c r="K1205">
        <v>11.9</v>
      </c>
      <c r="L1205">
        <v>1.35</v>
      </c>
      <c r="M1205">
        <v>2.9769999999999999</v>
      </c>
      <c r="N1205">
        <v>0.22500000000000001</v>
      </c>
      <c r="O1205">
        <v>2.5070000000000001</v>
      </c>
      <c r="P1205">
        <v>0.87</v>
      </c>
    </row>
    <row r="1206" spans="1:16" x14ac:dyDescent="0.25">
      <c r="A1206" s="1">
        <v>42942</v>
      </c>
      <c r="B1206">
        <v>8.02</v>
      </c>
      <c r="C1206">
        <v>187</v>
      </c>
      <c r="D1206">
        <v>3.1619999999999999</v>
      </c>
      <c r="E1206">
        <v>12.3</v>
      </c>
      <c r="F1206">
        <v>7.6</v>
      </c>
      <c r="G1206">
        <v>1.8</v>
      </c>
      <c r="H1206">
        <v>2.1139999999999999</v>
      </c>
      <c r="I1206">
        <v>29.128</v>
      </c>
      <c r="J1206">
        <v>18.3</v>
      </c>
      <c r="K1206">
        <v>11.8</v>
      </c>
      <c r="L1206">
        <v>1.37</v>
      </c>
      <c r="M1206">
        <v>3.0190000000000001</v>
      </c>
      <c r="N1206">
        <v>0.22</v>
      </c>
      <c r="O1206">
        <v>2.4870000000000001</v>
      </c>
      <c r="P1206">
        <v>0.88</v>
      </c>
    </row>
    <row r="1207" spans="1:16" x14ac:dyDescent="0.25">
      <c r="A1207" s="1">
        <v>42943</v>
      </c>
      <c r="B1207">
        <v>8.3000000000000007</v>
      </c>
      <c r="C1207">
        <v>187.41</v>
      </c>
      <c r="D1207">
        <v>3.1619999999999999</v>
      </c>
      <c r="E1207">
        <v>12.48</v>
      </c>
      <c r="F1207">
        <v>7.62</v>
      </c>
      <c r="G1207">
        <v>1.8</v>
      </c>
      <c r="H1207">
        <v>2.1139999999999999</v>
      </c>
      <c r="I1207">
        <v>29.128</v>
      </c>
      <c r="J1207">
        <v>18.3</v>
      </c>
      <c r="K1207">
        <v>11.7</v>
      </c>
      <c r="L1207">
        <v>1.37</v>
      </c>
      <c r="M1207">
        <v>3.077</v>
      </c>
      <c r="N1207">
        <v>0.22500000000000001</v>
      </c>
      <c r="O1207">
        <v>2.4870000000000001</v>
      </c>
      <c r="P1207">
        <v>0.89</v>
      </c>
    </row>
    <row r="1208" spans="1:16" x14ac:dyDescent="0.25">
      <c r="A1208" s="1">
        <v>42947</v>
      </c>
      <c r="B1208">
        <v>8.31</v>
      </c>
      <c r="C1208">
        <v>185.3</v>
      </c>
      <c r="D1208">
        <v>3.0470000000000002</v>
      </c>
      <c r="E1208">
        <v>12.22</v>
      </c>
      <c r="F1208">
        <v>7.65</v>
      </c>
      <c r="G1208">
        <v>1.8</v>
      </c>
      <c r="H1208">
        <v>2.0939999999999999</v>
      </c>
      <c r="I1208">
        <v>29.774999999999999</v>
      </c>
      <c r="J1208">
        <v>18.5</v>
      </c>
      <c r="K1208">
        <v>11.7</v>
      </c>
      <c r="L1208">
        <v>1.37</v>
      </c>
      <c r="M1208">
        <v>3.093</v>
      </c>
      <c r="N1208">
        <v>0.21199999999999999</v>
      </c>
      <c r="O1208">
        <v>2.5369999999999999</v>
      </c>
      <c r="P1208">
        <v>0.85</v>
      </c>
    </row>
    <row r="1209" spans="1:16" x14ac:dyDescent="0.25">
      <c r="A1209" s="1">
        <v>42948</v>
      </c>
      <c r="B1209">
        <v>8.41</v>
      </c>
      <c r="C1209">
        <v>188.7</v>
      </c>
      <c r="D1209">
        <v>3.085</v>
      </c>
      <c r="E1209">
        <v>12.25</v>
      </c>
      <c r="F1209">
        <v>7.6</v>
      </c>
      <c r="G1209">
        <v>1.85</v>
      </c>
      <c r="H1209">
        <v>2.1339999999999999</v>
      </c>
      <c r="I1209">
        <v>29.689</v>
      </c>
      <c r="J1209">
        <v>18.8</v>
      </c>
      <c r="K1209">
        <v>11.77</v>
      </c>
      <c r="L1209">
        <v>1.32</v>
      </c>
      <c r="M1209">
        <v>3.1429999999999998</v>
      </c>
      <c r="N1209">
        <v>0.215</v>
      </c>
      <c r="O1209">
        <v>2.4870000000000001</v>
      </c>
      <c r="P1209">
        <v>0.86</v>
      </c>
    </row>
    <row r="1210" spans="1:16" x14ac:dyDescent="0.25">
      <c r="A1210" s="1">
        <v>42949</v>
      </c>
      <c r="B1210">
        <v>8.5</v>
      </c>
      <c r="C1210">
        <v>187.8</v>
      </c>
      <c r="D1210">
        <v>3.0230000000000001</v>
      </c>
      <c r="E1210">
        <v>12.25</v>
      </c>
      <c r="F1210">
        <v>7.76</v>
      </c>
      <c r="G1210">
        <v>1.87</v>
      </c>
      <c r="H1210">
        <v>2.153</v>
      </c>
      <c r="I1210">
        <v>29.689</v>
      </c>
      <c r="J1210">
        <v>18.75</v>
      </c>
      <c r="K1210">
        <v>11.8</v>
      </c>
      <c r="L1210">
        <v>1.32</v>
      </c>
      <c r="M1210">
        <v>3.1429999999999998</v>
      </c>
      <c r="N1210">
        <v>0.22</v>
      </c>
      <c r="O1210">
        <v>2.4969999999999999</v>
      </c>
      <c r="P1210">
        <v>0.86</v>
      </c>
    </row>
    <row r="1211" spans="1:16" x14ac:dyDescent="0.25">
      <c r="A1211" s="1">
        <v>42950</v>
      </c>
      <c r="B1211">
        <v>8.65</v>
      </c>
      <c r="C1211">
        <v>189.9</v>
      </c>
      <c r="D1211">
        <v>3.0230000000000001</v>
      </c>
      <c r="E1211">
        <v>12.25</v>
      </c>
      <c r="F1211">
        <v>7.61</v>
      </c>
      <c r="G1211">
        <v>1.88</v>
      </c>
      <c r="H1211">
        <v>2.1930000000000001</v>
      </c>
      <c r="I1211">
        <v>29.128</v>
      </c>
      <c r="J1211">
        <v>18.95</v>
      </c>
      <c r="K1211">
        <v>11.81</v>
      </c>
      <c r="L1211">
        <v>1.32</v>
      </c>
      <c r="M1211">
        <v>3.1429999999999998</v>
      </c>
      <c r="N1211">
        <v>0.218</v>
      </c>
      <c r="O1211">
        <v>2.5270000000000001</v>
      </c>
      <c r="P1211">
        <v>0.85</v>
      </c>
    </row>
    <row r="1212" spans="1:16" x14ac:dyDescent="0.25">
      <c r="A1212" s="1">
        <v>42951</v>
      </c>
      <c r="B1212">
        <v>8.7100000000000009</v>
      </c>
      <c r="C1212">
        <v>189.01</v>
      </c>
      <c r="D1212">
        <v>3.0779999999999998</v>
      </c>
      <c r="E1212">
        <v>12.12</v>
      </c>
      <c r="F1212">
        <v>7.61</v>
      </c>
      <c r="G1212">
        <v>1.88</v>
      </c>
      <c r="H1212">
        <v>2.2130000000000001</v>
      </c>
      <c r="I1212">
        <v>29.128</v>
      </c>
      <c r="J1212">
        <v>18.95</v>
      </c>
      <c r="K1212">
        <v>11.81</v>
      </c>
      <c r="L1212">
        <v>1.32</v>
      </c>
      <c r="M1212">
        <v>3.1429999999999998</v>
      </c>
      <c r="N1212">
        <v>0.219</v>
      </c>
      <c r="O1212">
        <v>2.5070000000000001</v>
      </c>
      <c r="P1212">
        <v>0.84</v>
      </c>
    </row>
    <row r="1213" spans="1:16" x14ac:dyDescent="0.25">
      <c r="A1213" s="1">
        <v>42954</v>
      </c>
      <c r="B1213">
        <v>8.74</v>
      </c>
      <c r="C1213">
        <v>187.8</v>
      </c>
      <c r="D1213">
        <v>3.0539999999999998</v>
      </c>
      <c r="E1213">
        <v>12</v>
      </c>
      <c r="F1213">
        <v>7.61</v>
      </c>
      <c r="G1213">
        <v>1.87</v>
      </c>
      <c r="H1213">
        <v>2.1930000000000001</v>
      </c>
      <c r="I1213">
        <v>29.257000000000001</v>
      </c>
      <c r="J1213">
        <v>18.95</v>
      </c>
      <c r="K1213">
        <v>11.84</v>
      </c>
      <c r="L1213">
        <v>1.32</v>
      </c>
      <c r="M1213">
        <v>3.1429999999999998</v>
      </c>
      <c r="N1213">
        <v>0.217</v>
      </c>
      <c r="O1213">
        <v>2.5070000000000001</v>
      </c>
      <c r="P1213">
        <v>0.83</v>
      </c>
    </row>
    <row r="1214" spans="1:16" x14ac:dyDescent="0.25">
      <c r="A1214" s="1">
        <v>42955</v>
      </c>
      <c r="B1214">
        <v>8.75</v>
      </c>
      <c r="C1214">
        <v>195</v>
      </c>
      <c r="D1214">
        <v>3.0470000000000002</v>
      </c>
      <c r="E1214">
        <v>12.13</v>
      </c>
      <c r="F1214">
        <v>7.49</v>
      </c>
      <c r="G1214">
        <v>1.85</v>
      </c>
      <c r="H1214">
        <v>2.173</v>
      </c>
      <c r="I1214">
        <v>29.128</v>
      </c>
      <c r="J1214">
        <v>19.05</v>
      </c>
      <c r="K1214">
        <v>11.9</v>
      </c>
      <c r="L1214">
        <v>1.35</v>
      </c>
      <c r="M1214">
        <v>3.101</v>
      </c>
      <c r="N1214">
        <v>0.21</v>
      </c>
      <c r="O1214">
        <v>2.52</v>
      </c>
      <c r="P1214">
        <v>0.84</v>
      </c>
    </row>
    <row r="1215" spans="1:16" x14ac:dyDescent="0.25">
      <c r="A1215" s="1">
        <v>42956</v>
      </c>
      <c r="B1215">
        <v>8.74</v>
      </c>
      <c r="C1215">
        <v>200.4</v>
      </c>
      <c r="D1215">
        <v>3.0619999999999998</v>
      </c>
      <c r="E1215">
        <v>12.32</v>
      </c>
      <c r="F1215">
        <v>7.5</v>
      </c>
      <c r="G1215">
        <v>1.83</v>
      </c>
      <c r="H1215">
        <v>2.1139999999999999</v>
      </c>
      <c r="I1215">
        <v>29.344000000000001</v>
      </c>
      <c r="J1215">
        <v>18.87</v>
      </c>
      <c r="K1215">
        <v>11.82</v>
      </c>
      <c r="L1215">
        <v>1.32</v>
      </c>
      <c r="M1215">
        <v>2.9769999999999999</v>
      </c>
      <c r="N1215">
        <v>0.21299999999999999</v>
      </c>
      <c r="O1215">
        <v>2.5</v>
      </c>
      <c r="P1215">
        <v>0.85</v>
      </c>
    </row>
    <row r="1216" spans="1:16" x14ac:dyDescent="0.25">
      <c r="A1216" s="1">
        <v>42957</v>
      </c>
      <c r="B1216">
        <v>8.6</v>
      </c>
      <c r="C1216">
        <v>193.6</v>
      </c>
      <c r="D1216">
        <v>3.0310000000000001</v>
      </c>
      <c r="E1216">
        <v>12.37</v>
      </c>
      <c r="F1216">
        <v>7.5</v>
      </c>
      <c r="G1216">
        <v>1.81</v>
      </c>
      <c r="H1216">
        <v>2.0739999999999998</v>
      </c>
      <c r="I1216">
        <v>29.170999999999999</v>
      </c>
      <c r="J1216">
        <v>18.5</v>
      </c>
      <c r="K1216">
        <v>11.8</v>
      </c>
      <c r="L1216">
        <v>1.3</v>
      </c>
      <c r="M1216">
        <v>2.9359999999999999</v>
      </c>
      <c r="N1216">
        <v>0.21099999999999999</v>
      </c>
      <c r="O1216">
        <v>2.4900000000000002</v>
      </c>
      <c r="P1216">
        <v>0.83</v>
      </c>
    </row>
    <row r="1217" spans="1:16" x14ac:dyDescent="0.25">
      <c r="A1217" s="1">
        <v>42958</v>
      </c>
      <c r="B1217">
        <v>8.6999999999999993</v>
      </c>
      <c r="C1217">
        <v>194.21</v>
      </c>
      <c r="D1217">
        <v>3.0619999999999998</v>
      </c>
      <c r="E1217">
        <v>12.35</v>
      </c>
      <c r="F1217">
        <v>7.5</v>
      </c>
      <c r="G1217">
        <v>1.81</v>
      </c>
      <c r="H1217">
        <v>1.9950000000000001</v>
      </c>
      <c r="I1217">
        <v>29.170999999999999</v>
      </c>
      <c r="J1217">
        <v>18.75</v>
      </c>
      <c r="K1217">
        <v>11.53</v>
      </c>
      <c r="L1217">
        <v>1.29</v>
      </c>
      <c r="M1217">
        <v>2.9769999999999999</v>
      </c>
      <c r="N1217">
        <v>0.21299999999999999</v>
      </c>
      <c r="O1217">
        <v>2.4900000000000002</v>
      </c>
      <c r="P1217">
        <v>0.85</v>
      </c>
    </row>
    <row r="1218" spans="1:16" x14ac:dyDescent="0.25">
      <c r="A1218" s="1">
        <v>42961</v>
      </c>
      <c r="B1218">
        <v>8.7200000000000006</v>
      </c>
      <c r="C1218">
        <v>197.2</v>
      </c>
      <c r="D1218">
        <v>3.0619999999999998</v>
      </c>
      <c r="E1218">
        <v>12.25</v>
      </c>
      <c r="F1218">
        <v>7.45</v>
      </c>
      <c r="G1218">
        <v>1.81</v>
      </c>
      <c r="H1218">
        <v>1.956</v>
      </c>
      <c r="I1218">
        <v>29.170999999999999</v>
      </c>
      <c r="J1218">
        <v>18.75</v>
      </c>
      <c r="K1218">
        <v>11.55</v>
      </c>
      <c r="L1218">
        <v>1.28</v>
      </c>
      <c r="M1218">
        <v>2.9769999999999999</v>
      </c>
      <c r="N1218">
        <v>0.21299999999999999</v>
      </c>
      <c r="O1218">
        <v>2.4900000000000002</v>
      </c>
      <c r="P1218">
        <v>0.84</v>
      </c>
    </row>
    <row r="1219" spans="1:16" x14ac:dyDescent="0.25">
      <c r="A1219" s="1">
        <v>42962</v>
      </c>
      <c r="B1219">
        <v>8.6999999999999993</v>
      </c>
      <c r="C1219">
        <v>199.4</v>
      </c>
      <c r="D1219">
        <v>3.0230000000000001</v>
      </c>
      <c r="E1219">
        <v>11.91</v>
      </c>
      <c r="F1219">
        <v>7.4</v>
      </c>
      <c r="G1219">
        <v>1.81</v>
      </c>
      <c r="H1219">
        <v>2.0249999999999999</v>
      </c>
      <c r="I1219">
        <v>29.344000000000001</v>
      </c>
      <c r="J1219">
        <v>18.75</v>
      </c>
      <c r="K1219">
        <v>11.65</v>
      </c>
      <c r="L1219">
        <v>1.29</v>
      </c>
      <c r="M1219">
        <v>2.9769999999999999</v>
      </c>
      <c r="N1219">
        <v>0.20599999999999999</v>
      </c>
      <c r="O1219">
        <v>2.4500000000000002</v>
      </c>
      <c r="P1219">
        <v>0.84</v>
      </c>
    </row>
    <row r="1220" spans="1:16" x14ac:dyDescent="0.25">
      <c r="A1220" s="1">
        <v>42963</v>
      </c>
      <c r="B1220">
        <v>8.64</v>
      </c>
      <c r="C1220">
        <v>200.6</v>
      </c>
      <c r="D1220">
        <v>3.0310000000000001</v>
      </c>
      <c r="E1220">
        <v>12.39</v>
      </c>
      <c r="F1220">
        <v>7.45</v>
      </c>
      <c r="G1220">
        <v>1.82</v>
      </c>
      <c r="H1220">
        <v>2.0049999999999999</v>
      </c>
      <c r="I1220">
        <v>29.344000000000001</v>
      </c>
      <c r="J1220">
        <v>18.649999999999999</v>
      </c>
      <c r="K1220">
        <v>11.9</v>
      </c>
      <c r="L1220">
        <v>1.32</v>
      </c>
      <c r="M1220">
        <v>3.077</v>
      </c>
      <c r="N1220">
        <v>0.20799999999999999</v>
      </c>
      <c r="O1220">
        <v>2.42</v>
      </c>
      <c r="P1220">
        <v>0.88</v>
      </c>
    </row>
    <row r="1221" spans="1:16" x14ac:dyDescent="0.25">
      <c r="A1221" s="1">
        <v>42964</v>
      </c>
      <c r="B1221">
        <v>8.5500000000000007</v>
      </c>
      <c r="C1221">
        <v>199.4</v>
      </c>
      <c r="D1221">
        <v>3.0310000000000001</v>
      </c>
      <c r="E1221">
        <v>12.15</v>
      </c>
      <c r="F1221">
        <v>7.6</v>
      </c>
      <c r="G1221">
        <v>1.84</v>
      </c>
      <c r="H1221">
        <v>2.0739999999999998</v>
      </c>
      <c r="I1221">
        <v>29.257000000000001</v>
      </c>
      <c r="J1221">
        <v>18.5</v>
      </c>
      <c r="K1221">
        <v>11.99</v>
      </c>
      <c r="L1221">
        <v>1.33</v>
      </c>
      <c r="M1221">
        <v>3.101</v>
      </c>
      <c r="N1221">
        <v>0.20599999999999999</v>
      </c>
      <c r="O1221">
        <v>2.42</v>
      </c>
      <c r="P1221">
        <v>0.89</v>
      </c>
    </row>
    <row r="1222" spans="1:16" x14ac:dyDescent="0.25">
      <c r="A1222" s="1">
        <v>42965</v>
      </c>
      <c r="B1222">
        <v>8.6199999999999992</v>
      </c>
      <c r="C1222">
        <v>202.21</v>
      </c>
      <c r="D1222">
        <v>3.0470000000000002</v>
      </c>
      <c r="E1222">
        <v>12.47</v>
      </c>
      <c r="F1222">
        <v>7.65</v>
      </c>
      <c r="G1222">
        <v>1.86</v>
      </c>
      <c r="H1222">
        <v>2.1240000000000001</v>
      </c>
      <c r="I1222">
        <v>29.257000000000001</v>
      </c>
      <c r="J1222">
        <v>18.5</v>
      </c>
      <c r="K1222">
        <v>11.95</v>
      </c>
      <c r="L1222">
        <v>1.32</v>
      </c>
      <c r="M1222">
        <v>3.1840000000000002</v>
      </c>
      <c r="N1222">
        <v>0.20599999999999999</v>
      </c>
      <c r="O1222">
        <v>2.4300000000000002</v>
      </c>
      <c r="P1222">
        <v>0.9</v>
      </c>
    </row>
    <row r="1223" spans="1:16" x14ac:dyDescent="0.25">
      <c r="A1223" s="1">
        <v>42968</v>
      </c>
      <c r="B1223">
        <v>8.64</v>
      </c>
      <c r="C1223">
        <v>204.3</v>
      </c>
      <c r="D1223">
        <v>3.0470000000000002</v>
      </c>
      <c r="E1223">
        <v>12.69</v>
      </c>
      <c r="F1223">
        <v>7.6</v>
      </c>
      <c r="G1223">
        <v>1.87</v>
      </c>
      <c r="H1223">
        <v>2.1240000000000001</v>
      </c>
      <c r="I1223">
        <v>29.257000000000001</v>
      </c>
      <c r="J1223">
        <v>18.5</v>
      </c>
      <c r="K1223">
        <v>11.94</v>
      </c>
      <c r="L1223">
        <v>1.32</v>
      </c>
      <c r="M1223">
        <v>3.1840000000000002</v>
      </c>
      <c r="N1223">
        <v>0.21</v>
      </c>
      <c r="O1223">
        <v>2.4300000000000002</v>
      </c>
      <c r="P1223">
        <v>0.91</v>
      </c>
    </row>
    <row r="1224" spans="1:16" x14ac:dyDescent="0.25">
      <c r="A1224" s="1">
        <v>42969</v>
      </c>
      <c r="B1224">
        <v>8.6</v>
      </c>
      <c r="C1224">
        <v>203.27</v>
      </c>
      <c r="D1224">
        <v>3.085</v>
      </c>
      <c r="E1224">
        <v>12.82</v>
      </c>
      <c r="F1224">
        <v>7.75</v>
      </c>
      <c r="G1224">
        <v>1.89</v>
      </c>
      <c r="H1224">
        <v>2.1440000000000001</v>
      </c>
      <c r="I1224">
        <v>29.344000000000001</v>
      </c>
      <c r="J1224">
        <v>18.5</v>
      </c>
      <c r="K1224">
        <v>11.9</v>
      </c>
      <c r="L1224">
        <v>1.32</v>
      </c>
      <c r="M1224">
        <v>3.1349999999999998</v>
      </c>
      <c r="N1224">
        <v>0.21299999999999999</v>
      </c>
      <c r="O1224">
        <v>2.5</v>
      </c>
      <c r="P1224">
        <v>0.91</v>
      </c>
    </row>
    <row r="1225" spans="1:16" x14ac:dyDescent="0.25">
      <c r="A1225" s="1">
        <v>42970</v>
      </c>
      <c r="B1225">
        <v>8.5</v>
      </c>
      <c r="C1225">
        <v>202</v>
      </c>
      <c r="D1225">
        <v>3.1619999999999999</v>
      </c>
      <c r="E1225">
        <v>12.9</v>
      </c>
      <c r="F1225">
        <v>7.85</v>
      </c>
      <c r="G1225">
        <v>1.89</v>
      </c>
      <c r="H1225">
        <v>2.1240000000000001</v>
      </c>
      <c r="I1225">
        <v>29.43</v>
      </c>
      <c r="J1225">
        <v>18.75</v>
      </c>
      <c r="K1225">
        <v>11.84</v>
      </c>
      <c r="L1225">
        <v>1.33</v>
      </c>
      <c r="M1225">
        <v>3.052</v>
      </c>
      <c r="N1225">
        <v>0.21099999999999999</v>
      </c>
      <c r="O1225">
        <v>2.5</v>
      </c>
      <c r="P1225">
        <v>0.88</v>
      </c>
    </row>
    <row r="1226" spans="1:16" x14ac:dyDescent="0.25">
      <c r="A1226" s="1">
        <v>42971</v>
      </c>
      <c r="B1226">
        <v>8.6999999999999993</v>
      </c>
      <c r="C1226">
        <v>203.22</v>
      </c>
      <c r="D1226">
        <v>3.1469999999999998</v>
      </c>
      <c r="E1226">
        <v>13.02</v>
      </c>
      <c r="F1226">
        <v>7.84</v>
      </c>
      <c r="G1226">
        <v>1.89</v>
      </c>
      <c r="H1226">
        <v>2.1440000000000001</v>
      </c>
      <c r="I1226">
        <v>29.344000000000001</v>
      </c>
      <c r="J1226">
        <v>18.75</v>
      </c>
      <c r="K1226">
        <v>11.7</v>
      </c>
      <c r="L1226">
        <v>1.33</v>
      </c>
      <c r="M1226">
        <v>3.052</v>
      </c>
      <c r="N1226">
        <v>0.21199999999999999</v>
      </c>
      <c r="O1226">
        <v>2.4900000000000002</v>
      </c>
      <c r="P1226">
        <v>0.91</v>
      </c>
    </row>
    <row r="1227" spans="1:16" x14ac:dyDescent="0.25">
      <c r="A1227" s="1">
        <v>42972</v>
      </c>
      <c r="B1227">
        <v>8.6999999999999993</v>
      </c>
      <c r="C1227">
        <v>205.6</v>
      </c>
      <c r="D1227">
        <v>3.1080000000000001</v>
      </c>
      <c r="E1227">
        <v>13.13</v>
      </c>
      <c r="F1227">
        <v>7.73</v>
      </c>
      <c r="G1227">
        <v>1.88</v>
      </c>
      <c r="H1227">
        <v>2.153</v>
      </c>
      <c r="I1227">
        <v>29.344000000000001</v>
      </c>
      <c r="J1227">
        <v>18.75</v>
      </c>
      <c r="K1227">
        <v>11.6</v>
      </c>
      <c r="L1227">
        <v>1.35</v>
      </c>
      <c r="M1227">
        <v>3.052</v>
      </c>
      <c r="N1227">
        <v>0.214</v>
      </c>
      <c r="O1227">
        <v>2.4900000000000002</v>
      </c>
      <c r="P1227">
        <v>0.89</v>
      </c>
    </row>
    <row r="1228" spans="1:16" x14ac:dyDescent="0.25">
      <c r="A1228" s="1">
        <v>42975</v>
      </c>
      <c r="B1228">
        <v>8.75</v>
      </c>
      <c r="C1228">
        <v>202.35</v>
      </c>
      <c r="D1228">
        <v>3.085</v>
      </c>
      <c r="E1228">
        <v>13.68</v>
      </c>
      <c r="F1228">
        <v>7.74</v>
      </c>
      <c r="G1228">
        <v>1.88</v>
      </c>
      <c r="H1228">
        <v>2.173</v>
      </c>
      <c r="I1228">
        <v>29.603000000000002</v>
      </c>
      <c r="J1228">
        <v>18.510000000000002</v>
      </c>
      <c r="K1228">
        <v>11.52</v>
      </c>
      <c r="L1228">
        <v>1.35</v>
      </c>
      <c r="M1228">
        <v>3.052</v>
      </c>
      <c r="N1228">
        <v>0.22800000000000001</v>
      </c>
      <c r="O1228">
        <v>2.5</v>
      </c>
      <c r="P1228">
        <v>0.91</v>
      </c>
    </row>
    <row r="1229" spans="1:16" x14ac:dyDescent="0.25">
      <c r="A1229" s="1">
        <v>42976</v>
      </c>
      <c r="B1229">
        <v>8.75</v>
      </c>
      <c r="C1229">
        <v>202.07</v>
      </c>
      <c r="D1229">
        <v>3.0539999999999998</v>
      </c>
      <c r="E1229">
        <v>13.7</v>
      </c>
      <c r="F1229">
        <v>7.77</v>
      </c>
      <c r="G1229">
        <v>1.88</v>
      </c>
      <c r="H1229">
        <v>2.2229999999999999</v>
      </c>
      <c r="I1229">
        <v>29.689</v>
      </c>
      <c r="J1229">
        <v>18.5</v>
      </c>
      <c r="K1229">
        <v>11.75</v>
      </c>
      <c r="L1229">
        <v>1.36</v>
      </c>
      <c r="M1229">
        <v>3.0270000000000001</v>
      </c>
      <c r="N1229">
        <v>0.23</v>
      </c>
      <c r="O1229">
        <v>2.5</v>
      </c>
      <c r="P1229">
        <v>0.9</v>
      </c>
    </row>
    <row r="1230" spans="1:16" x14ac:dyDescent="0.25">
      <c r="A1230" s="1">
        <v>42978</v>
      </c>
      <c r="B1230">
        <v>8.75</v>
      </c>
      <c r="C1230">
        <v>202.83</v>
      </c>
      <c r="D1230">
        <v>3.0539999999999998</v>
      </c>
      <c r="E1230">
        <v>13.38</v>
      </c>
      <c r="F1230">
        <v>8</v>
      </c>
      <c r="G1230">
        <v>1.92</v>
      </c>
      <c r="H1230">
        <v>2.2519999999999998</v>
      </c>
      <c r="I1230">
        <v>30.207000000000001</v>
      </c>
      <c r="J1230">
        <v>18.3</v>
      </c>
      <c r="K1230">
        <v>11.75</v>
      </c>
      <c r="L1230">
        <v>1.33</v>
      </c>
      <c r="M1230">
        <v>3.093</v>
      </c>
      <c r="N1230">
        <v>0.23</v>
      </c>
      <c r="O1230">
        <v>2.5099999999999998</v>
      </c>
      <c r="P1230">
        <v>0.93</v>
      </c>
    </row>
    <row r="1231" spans="1:16" x14ac:dyDescent="0.25">
      <c r="A1231" s="1">
        <v>42979</v>
      </c>
      <c r="B1231">
        <v>8.75</v>
      </c>
      <c r="C1231">
        <v>206.24</v>
      </c>
      <c r="D1231">
        <v>3.085</v>
      </c>
      <c r="E1231">
        <v>13.43</v>
      </c>
      <c r="F1231">
        <v>8.0500000000000007</v>
      </c>
      <c r="G1231">
        <v>1.94</v>
      </c>
      <c r="H1231">
        <v>2.44</v>
      </c>
      <c r="I1231">
        <v>30.422000000000001</v>
      </c>
      <c r="J1231">
        <v>18.399999999999999</v>
      </c>
      <c r="K1231">
        <v>11.75</v>
      </c>
      <c r="L1231">
        <v>1.34</v>
      </c>
      <c r="M1231">
        <v>3.06</v>
      </c>
      <c r="N1231">
        <v>0.23</v>
      </c>
      <c r="O1231">
        <v>2.5499999999999998</v>
      </c>
      <c r="P1231">
        <v>0.96</v>
      </c>
    </row>
    <row r="1232" spans="1:16" x14ac:dyDescent="0.25">
      <c r="A1232" s="1">
        <v>42982</v>
      </c>
      <c r="B1232">
        <v>8.8000000000000007</v>
      </c>
      <c r="C1232">
        <v>204</v>
      </c>
      <c r="D1232">
        <v>3.1240000000000001</v>
      </c>
      <c r="E1232">
        <v>13.68</v>
      </c>
      <c r="F1232">
        <v>8</v>
      </c>
      <c r="G1232">
        <v>1.95</v>
      </c>
      <c r="H1232">
        <v>2.4700000000000002</v>
      </c>
      <c r="I1232">
        <v>31.07</v>
      </c>
      <c r="J1232">
        <v>18.41</v>
      </c>
      <c r="K1232">
        <v>11.9</v>
      </c>
      <c r="L1232">
        <v>1.36</v>
      </c>
      <c r="M1232">
        <v>3.1259999999999999</v>
      </c>
      <c r="N1232">
        <v>0.23</v>
      </c>
      <c r="O1232">
        <v>2.65</v>
      </c>
      <c r="P1232">
        <v>0.97</v>
      </c>
    </row>
    <row r="1233" spans="1:16" x14ac:dyDescent="0.25">
      <c r="A1233" s="1">
        <v>42983</v>
      </c>
      <c r="B1233">
        <v>8.85</v>
      </c>
      <c r="C1233">
        <v>201.05</v>
      </c>
      <c r="D1233">
        <v>3.1240000000000001</v>
      </c>
      <c r="E1233">
        <v>14</v>
      </c>
      <c r="F1233">
        <v>8.1</v>
      </c>
      <c r="G1233">
        <v>1.94</v>
      </c>
      <c r="H1233">
        <v>2.5489999999999999</v>
      </c>
      <c r="I1233">
        <v>31.07</v>
      </c>
      <c r="J1233">
        <v>18.399999999999999</v>
      </c>
      <c r="K1233">
        <v>11.95</v>
      </c>
      <c r="L1233">
        <v>1.33</v>
      </c>
      <c r="M1233">
        <v>3.1179999999999999</v>
      </c>
      <c r="N1233">
        <v>0.24</v>
      </c>
      <c r="O1233">
        <v>2.65</v>
      </c>
      <c r="P1233">
        <v>0.96</v>
      </c>
    </row>
    <row r="1234" spans="1:16" x14ac:dyDescent="0.25">
      <c r="A1234" s="1">
        <v>42984</v>
      </c>
      <c r="B1234">
        <v>8.8800000000000008</v>
      </c>
      <c r="C1234">
        <v>206.65</v>
      </c>
      <c r="D1234">
        <v>3.24</v>
      </c>
      <c r="E1234">
        <v>13.9</v>
      </c>
      <c r="F1234">
        <v>8.16</v>
      </c>
      <c r="G1234">
        <v>1.94</v>
      </c>
      <c r="H1234">
        <v>2.766</v>
      </c>
      <c r="I1234">
        <v>31.286000000000001</v>
      </c>
      <c r="J1234">
        <v>18.649999999999999</v>
      </c>
      <c r="K1234">
        <v>11.9</v>
      </c>
      <c r="L1234">
        <v>1.34</v>
      </c>
      <c r="M1234">
        <v>3.1259999999999999</v>
      </c>
      <c r="N1234">
        <v>0.24</v>
      </c>
      <c r="O1234">
        <v>2.66</v>
      </c>
      <c r="P1234">
        <v>0.96</v>
      </c>
    </row>
    <row r="1235" spans="1:16" x14ac:dyDescent="0.25">
      <c r="A1235" s="1">
        <v>42985</v>
      </c>
      <c r="B1235">
        <v>8.86</v>
      </c>
      <c r="C1235">
        <v>203.4</v>
      </c>
      <c r="D1235">
        <v>3.2549999999999999</v>
      </c>
      <c r="E1235">
        <v>14</v>
      </c>
      <c r="F1235">
        <v>8.1999999999999993</v>
      </c>
      <c r="G1235">
        <v>1.95</v>
      </c>
      <c r="H1235">
        <v>2.8050000000000002</v>
      </c>
      <c r="I1235">
        <v>31.501000000000001</v>
      </c>
      <c r="J1235">
        <v>18.59</v>
      </c>
      <c r="K1235">
        <v>11.95</v>
      </c>
      <c r="L1235">
        <v>1.37</v>
      </c>
      <c r="M1235">
        <v>3.1840000000000002</v>
      </c>
      <c r="N1235">
        <v>0.24</v>
      </c>
      <c r="O1235">
        <v>2.68</v>
      </c>
      <c r="P1235">
        <v>0.98</v>
      </c>
    </row>
    <row r="1236" spans="1:16" x14ac:dyDescent="0.25">
      <c r="A1236" s="1">
        <v>42986</v>
      </c>
      <c r="B1236">
        <v>9</v>
      </c>
      <c r="C1236">
        <v>202.76</v>
      </c>
      <c r="D1236">
        <v>3.2469999999999999</v>
      </c>
      <c r="E1236">
        <v>13.9</v>
      </c>
      <c r="F1236">
        <v>8.16</v>
      </c>
      <c r="G1236">
        <v>1.98</v>
      </c>
      <c r="H1236">
        <v>2.6379999999999999</v>
      </c>
      <c r="I1236">
        <v>31.501000000000001</v>
      </c>
      <c r="J1236">
        <v>18.59</v>
      </c>
      <c r="K1236">
        <v>11.95</v>
      </c>
      <c r="L1236">
        <v>1.37</v>
      </c>
      <c r="M1236">
        <v>3.1179999999999999</v>
      </c>
      <c r="N1236">
        <v>0.24</v>
      </c>
      <c r="O1236">
        <v>2.68</v>
      </c>
      <c r="P1236">
        <v>0.97</v>
      </c>
    </row>
    <row r="1237" spans="1:16" x14ac:dyDescent="0.25">
      <c r="A1237" s="1">
        <v>42989</v>
      </c>
      <c r="B1237">
        <v>9.01</v>
      </c>
      <c r="C1237">
        <v>208</v>
      </c>
      <c r="D1237">
        <v>3.24</v>
      </c>
      <c r="E1237">
        <v>13.26</v>
      </c>
      <c r="F1237">
        <v>8.1999999999999993</v>
      </c>
      <c r="G1237">
        <v>2.0499999999999998</v>
      </c>
      <c r="H1237">
        <v>2.6669999999999998</v>
      </c>
      <c r="I1237">
        <v>31.457999999999998</v>
      </c>
      <c r="J1237">
        <v>18.59</v>
      </c>
      <c r="K1237">
        <v>11.771000000000001</v>
      </c>
      <c r="L1237">
        <v>1.4</v>
      </c>
      <c r="M1237">
        <v>3.1259999999999999</v>
      </c>
      <c r="N1237">
        <v>0.24</v>
      </c>
      <c r="O1237">
        <v>2.68</v>
      </c>
      <c r="P1237">
        <v>0.97</v>
      </c>
    </row>
    <row r="1238" spans="1:16" x14ac:dyDescent="0.25">
      <c r="A1238" s="1">
        <v>42990</v>
      </c>
      <c r="B1238">
        <v>9.1</v>
      </c>
      <c r="C1238">
        <v>207.82</v>
      </c>
      <c r="D1238">
        <v>3.2160000000000002</v>
      </c>
      <c r="E1238">
        <v>13.32</v>
      </c>
      <c r="F1238">
        <v>8.35</v>
      </c>
      <c r="G1238">
        <v>1.98</v>
      </c>
      <c r="H1238">
        <v>2.6469999999999998</v>
      </c>
      <c r="I1238">
        <v>31.286000000000001</v>
      </c>
      <c r="J1238">
        <v>18.7</v>
      </c>
      <c r="K1238">
        <v>11.731</v>
      </c>
      <c r="L1238">
        <v>1.41</v>
      </c>
      <c r="M1238">
        <v>3.1259999999999999</v>
      </c>
      <c r="N1238">
        <v>0.24</v>
      </c>
      <c r="O1238">
        <v>2.67</v>
      </c>
      <c r="P1238">
        <v>0.96</v>
      </c>
    </row>
    <row r="1239" spans="1:16" x14ac:dyDescent="0.25">
      <c r="A1239" s="1">
        <v>42991</v>
      </c>
      <c r="B1239">
        <v>9.1</v>
      </c>
      <c r="C1239">
        <v>211.06</v>
      </c>
      <c r="D1239">
        <v>3.2010000000000001</v>
      </c>
      <c r="E1239">
        <v>13.08</v>
      </c>
      <c r="F1239">
        <v>8.41</v>
      </c>
      <c r="G1239">
        <v>1.99</v>
      </c>
      <c r="H1239">
        <v>2.726</v>
      </c>
      <c r="I1239">
        <v>31.07</v>
      </c>
      <c r="J1239">
        <v>18.71</v>
      </c>
      <c r="K1239">
        <v>11.83</v>
      </c>
      <c r="L1239">
        <v>1.4</v>
      </c>
      <c r="M1239">
        <v>3.1179999999999999</v>
      </c>
      <c r="N1239">
        <v>0.25</v>
      </c>
      <c r="O1239">
        <v>2.68</v>
      </c>
      <c r="P1239">
        <v>0.95</v>
      </c>
    </row>
    <row r="1240" spans="1:16" x14ac:dyDescent="0.25">
      <c r="A1240" s="1">
        <v>42992</v>
      </c>
      <c r="B1240">
        <v>9.1199999999999992</v>
      </c>
      <c r="C1240">
        <v>211.23</v>
      </c>
      <c r="D1240">
        <v>3.2010000000000001</v>
      </c>
      <c r="E1240">
        <v>13.2</v>
      </c>
      <c r="F1240">
        <v>8.3699999999999992</v>
      </c>
      <c r="G1240">
        <v>2</v>
      </c>
      <c r="H1240">
        <v>2.7559999999999998</v>
      </c>
      <c r="I1240">
        <v>31.07</v>
      </c>
      <c r="J1240">
        <v>18.7</v>
      </c>
      <c r="K1240">
        <v>11.781000000000001</v>
      </c>
      <c r="L1240">
        <v>1.38</v>
      </c>
      <c r="M1240">
        <v>3.1179999999999999</v>
      </c>
      <c r="N1240">
        <v>0.245</v>
      </c>
      <c r="O1240">
        <v>2.66</v>
      </c>
      <c r="P1240">
        <v>0.94</v>
      </c>
    </row>
    <row r="1241" spans="1:16" x14ac:dyDescent="0.25">
      <c r="A1241" s="1">
        <v>42993</v>
      </c>
      <c r="B1241">
        <v>9.15</v>
      </c>
      <c r="C1241">
        <v>212.62</v>
      </c>
      <c r="D1241">
        <v>3.2010000000000001</v>
      </c>
      <c r="E1241">
        <v>13.13</v>
      </c>
      <c r="F1241">
        <v>8.2899999999999991</v>
      </c>
      <c r="G1241">
        <v>1.99</v>
      </c>
      <c r="H1241">
        <v>2.8149999999999999</v>
      </c>
      <c r="I1241">
        <v>31.414999999999999</v>
      </c>
      <c r="J1241">
        <v>18.7</v>
      </c>
      <c r="K1241">
        <v>11.781000000000001</v>
      </c>
      <c r="L1241">
        <v>1.37</v>
      </c>
      <c r="M1241">
        <v>3.11</v>
      </c>
      <c r="N1241">
        <v>0.24399999999999999</v>
      </c>
      <c r="O1241">
        <v>2.64</v>
      </c>
      <c r="P1241">
        <v>0.94</v>
      </c>
    </row>
    <row r="1242" spans="1:16" x14ac:dyDescent="0.25">
      <c r="A1242" s="1">
        <v>42996</v>
      </c>
      <c r="B1242">
        <v>9.25</v>
      </c>
      <c r="C1242">
        <v>211.44</v>
      </c>
      <c r="D1242">
        <v>3.2010000000000001</v>
      </c>
      <c r="E1242">
        <v>13.05</v>
      </c>
      <c r="F1242">
        <v>8.3000000000000007</v>
      </c>
      <c r="G1242">
        <v>2</v>
      </c>
      <c r="H1242">
        <v>2.944</v>
      </c>
      <c r="I1242">
        <v>31.457999999999998</v>
      </c>
      <c r="J1242">
        <v>18.7</v>
      </c>
      <c r="K1242">
        <v>11.781000000000001</v>
      </c>
      <c r="L1242">
        <v>1.37</v>
      </c>
      <c r="M1242">
        <v>3.1179999999999999</v>
      </c>
      <c r="N1242">
        <v>0.25</v>
      </c>
      <c r="O1242">
        <v>2.62</v>
      </c>
      <c r="P1242">
        <v>0.94</v>
      </c>
    </row>
    <row r="1243" spans="1:16" x14ac:dyDescent="0.25">
      <c r="A1243" s="1">
        <v>42997</v>
      </c>
      <c r="B1243">
        <v>9.35</v>
      </c>
      <c r="C1243">
        <v>203.87</v>
      </c>
      <c r="D1243">
        <v>3.24</v>
      </c>
      <c r="E1243">
        <v>13.05</v>
      </c>
      <c r="F1243">
        <v>8.2799999999999994</v>
      </c>
      <c r="G1243">
        <v>2.0099999999999998</v>
      </c>
      <c r="H1243">
        <v>2.9630000000000001</v>
      </c>
      <c r="I1243">
        <v>31.457999999999998</v>
      </c>
      <c r="J1243">
        <v>19.02</v>
      </c>
      <c r="K1243">
        <v>11.781000000000001</v>
      </c>
      <c r="L1243">
        <v>1.38</v>
      </c>
      <c r="M1243">
        <v>3.548</v>
      </c>
      <c r="N1243">
        <v>0.25</v>
      </c>
      <c r="O1243">
        <v>2.63</v>
      </c>
      <c r="P1243">
        <v>0.97</v>
      </c>
    </row>
    <row r="1244" spans="1:16" x14ac:dyDescent="0.25">
      <c r="A1244" s="1">
        <v>42998</v>
      </c>
      <c r="B1244">
        <v>9.48</v>
      </c>
      <c r="C1244">
        <v>203.8</v>
      </c>
      <c r="D1244">
        <v>3.24</v>
      </c>
      <c r="E1244">
        <v>12.71</v>
      </c>
      <c r="F1244">
        <v>8.2799999999999994</v>
      </c>
      <c r="G1244">
        <v>2.04</v>
      </c>
      <c r="H1244">
        <v>2.9630000000000001</v>
      </c>
      <c r="I1244">
        <v>31.286000000000001</v>
      </c>
      <c r="J1244">
        <v>18.899999999999999</v>
      </c>
      <c r="K1244">
        <v>11.781000000000001</v>
      </c>
      <c r="L1244">
        <v>1.38</v>
      </c>
      <c r="M1244">
        <v>3.6059999999999999</v>
      </c>
      <c r="N1244">
        <v>0.25</v>
      </c>
      <c r="O1244">
        <v>2.61</v>
      </c>
      <c r="P1244">
        <v>0.96</v>
      </c>
    </row>
    <row r="1245" spans="1:16" x14ac:dyDescent="0.25">
      <c r="A1245" s="1">
        <v>42999</v>
      </c>
      <c r="B1245">
        <v>9.5299999999999994</v>
      </c>
      <c r="C1245">
        <v>204.59</v>
      </c>
      <c r="D1245">
        <v>3.2549999999999999</v>
      </c>
      <c r="E1245">
        <v>12.8</v>
      </c>
      <c r="F1245">
        <v>8.3000000000000007</v>
      </c>
      <c r="G1245">
        <v>2.0699999999999998</v>
      </c>
      <c r="H1245">
        <v>2.855</v>
      </c>
      <c r="I1245">
        <v>31.501000000000001</v>
      </c>
      <c r="J1245">
        <v>19.010000000000002</v>
      </c>
      <c r="K1245">
        <v>11.82</v>
      </c>
      <c r="L1245">
        <v>1.44</v>
      </c>
      <c r="M1245">
        <v>3.6890000000000001</v>
      </c>
      <c r="N1245">
        <v>0.252</v>
      </c>
      <c r="O1245">
        <v>2.65</v>
      </c>
      <c r="P1245">
        <v>0.96</v>
      </c>
    </row>
    <row r="1246" spans="1:16" x14ac:dyDescent="0.25">
      <c r="A1246" s="1">
        <v>43000</v>
      </c>
      <c r="B1246">
        <v>9.52</v>
      </c>
      <c r="C1246">
        <v>202.04</v>
      </c>
      <c r="D1246">
        <v>3.2010000000000001</v>
      </c>
      <c r="E1246">
        <v>12.84</v>
      </c>
      <c r="F1246">
        <v>8.27</v>
      </c>
      <c r="G1246">
        <v>2.1</v>
      </c>
      <c r="H1246">
        <v>2.9140000000000001</v>
      </c>
      <c r="I1246">
        <v>31.501000000000001</v>
      </c>
      <c r="J1246">
        <v>19.010000000000002</v>
      </c>
      <c r="K1246">
        <v>11.82</v>
      </c>
      <c r="L1246">
        <v>1.5</v>
      </c>
      <c r="M1246">
        <v>3.722</v>
      </c>
      <c r="N1246">
        <v>0.255</v>
      </c>
      <c r="O1246">
        <v>2.7</v>
      </c>
      <c r="P1246">
        <v>0.97</v>
      </c>
    </row>
    <row r="1247" spans="1:16" x14ac:dyDescent="0.25">
      <c r="A1247" s="1">
        <v>43003</v>
      </c>
      <c r="B1247">
        <v>9.4600000000000009</v>
      </c>
      <c r="C1247">
        <v>202.5</v>
      </c>
      <c r="D1247">
        <v>3.278</v>
      </c>
      <c r="E1247">
        <v>13.4</v>
      </c>
      <c r="F1247">
        <v>8.3000000000000007</v>
      </c>
      <c r="G1247">
        <v>2.1</v>
      </c>
      <c r="H1247">
        <v>2.9630000000000001</v>
      </c>
      <c r="I1247">
        <v>31.484000000000002</v>
      </c>
      <c r="J1247">
        <v>19.100000000000001</v>
      </c>
      <c r="K1247">
        <v>11.82</v>
      </c>
      <c r="L1247">
        <v>1.57</v>
      </c>
      <c r="M1247">
        <v>3.8039999999999998</v>
      </c>
      <c r="N1247">
        <v>0.26</v>
      </c>
      <c r="O1247">
        <v>2.68</v>
      </c>
      <c r="P1247">
        <v>0.99</v>
      </c>
    </row>
    <row r="1248" spans="1:16" x14ac:dyDescent="0.25">
      <c r="A1248" s="1">
        <v>43004</v>
      </c>
      <c r="B1248">
        <v>9.4</v>
      </c>
      <c r="C1248">
        <v>204.4</v>
      </c>
      <c r="D1248">
        <v>3.278</v>
      </c>
      <c r="E1248">
        <v>13.14</v>
      </c>
      <c r="F1248">
        <v>8.3000000000000007</v>
      </c>
      <c r="G1248">
        <v>2.08</v>
      </c>
      <c r="H1248">
        <v>3.0619999999999998</v>
      </c>
      <c r="I1248">
        <v>31.414999999999999</v>
      </c>
      <c r="J1248">
        <v>19</v>
      </c>
      <c r="K1248">
        <v>11.83</v>
      </c>
      <c r="L1248">
        <v>1.55</v>
      </c>
      <c r="M1248">
        <v>3.7629999999999999</v>
      </c>
      <c r="N1248">
        <v>0.255</v>
      </c>
      <c r="O1248">
        <v>2.71</v>
      </c>
      <c r="P1248">
        <v>1</v>
      </c>
    </row>
    <row r="1249" spans="1:16" x14ac:dyDescent="0.25">
      <c r="A1249" s="1">
        <v>43005</v>
      </c>
      <c r="B1249">
        <v>9.31</v>
      </c>
      <c r="C1249">
        <v>204.2</v>
      </c>
      <c r="D1249">
        <v>3.278</v>
      </c>
      <c r="E1249">
        <v>13</v>
      </c>
      <c r="F1249">
        <v>8.3000000000000007</v>
      </c>
      <c r="G1249">
        <v>2.1</v>
      </c>
      <c r="H1249">
        <v>3.0129999999999999</v>
      </c>
      <c r="I1249">
        <v>31.423999999999999</v>
      </c>
      <c r="J1249">
        <v>19</v>
      </c>
      <c r="K1249">
        <v>11.9</v>
      </c>
      <c r="L1249">
        <v>1.55</v>
      </c>
      <c r="M1249">
        <v>3.8460000000000001</v>
      </c>
      <c r="N1249">
        <v>0.255</v>
      </c>
      <c r="O1249">
        <v>2.77</v>
      </c>
      <c r="P1249">
        <v>1.05</v>
      </c>
    </row>
    <row r="1250" spans="1:16" x14ac:dyDescent="0.25">
      <c r="A1250" s="1">
        <v>43006</v>
      </c>
      <c r="B1250">
        <v>9.3000000000000007</v>
      </c>
      <c r="C1250">
        <v>204.12</v>
      </c>
      <c r="D1250">
        <v>3.3940000000000001</v>
      </c>
      <c r="E1250">
        <v>13.15</v>
      </c>
      <c r="F1250">
        <v>8.3699999999999992</v>
      </c>
      <c r="G1250">
        <v>2.12</v>
      </c>
      <c r="H1250">
        <v>3.0419999999999998</v>
      </c>
      <c r="I1250">
        <v>31.51</v>
      </c>
      <c r="J1250">
        <v>19.149999999999999</v>
      </c>
      <c r="K1250">
        <v>11.9</v>
      </c>
      <c r="L1250">
        <v>1.56</v>
      </c>
      <c r="M1250">
        <v>3.887</v>
      </c>
      <c r="N1250">
        <v>0.25</v>
      </c>
      <c r="O1250">
        <v>2.8</v>
      </c>
      <c r="P1250">
        <v>1.1200000000000001</v>
      </c>
    </row>
    <row r="1251" spans="1:16" x14ac:dyDescent="0.25">
      <c r="A1251" s="1">
        <v>43007</v>
      </c>
      <c r="B1251">
        <v>9.27</v>
      </c>
      <c r="C1251">
        <v>205.9</v>
      </c>
      <c r="D1251">
        <v>3.3170000000000002</v>
      </c>
      <c r="E1251">
        <v>12.8</v>
      </c>
      <c r="F1251">
        <v>8.4</v>
      </c>
      <c r="G1251">
        <v>2.13</v>
      </c>
      <c r="H1251">
        <v>3.0419999999999998</v>
      </c>
      <c r="I1251">
        <v>31.942</v>
      </c>
      <c r="J1251">
        <v>19</v>
      </c>
      <c r="K1251">
        <v>12</v>
      </c>
      <c r="L1251">
        <v>1.407</v>
      </c>
      <c r="M1251">
        <v>3.887</v>
      </c>
      <c r="N1251">
        <v>0.25</v>
      </c>
      <c r="O1251">
        <v>2.85</v>
      </c>
      <c r="P1251">
        <v>1.17</v>
      </c>
    </row>
    <row r="1252" spans="1:16" x14ac:dyDescent="0.25">
      <c r="A1252" s="1">
        <v>43010</v>
      </c>
      <c r="B1252">
        <v>9.3000000000000007</v>
      </c>
      <c r="C1252">
        <v>210.55</v>
      </c>
      <c r="D1252">
        <v>3.286</v>
      </c>
      <c r="E1252">
        <v>12.79</v>
      </c>
      <c r="F1252">
        <v>8.35</v>
      </c>
      <c r="G1252">
        <v>2.14</v>
      </c>
      <c r="H1252">
        <v>3.1509999999999998</v>
      </c>
      <c r="I1252">
        <v>31.942</v>
      </c>
      <c r="J1252">
        <v>19</v>
      </c>
      <c r="K1252">
        <v>12.03</v>
      </c>
      <c r="L1252">
        <v>1.4330000000000001</v>
      </c>
      <c r="M1252">
        <v>3.9860000000000002</v>
      </c>
      <c r="N1252">
        <v>0.25</v>
      </c>
      <c r="O1252">
        <v>2.95</v>
      </c>
      <c r="P1252">
        <v>1.23</v>
      </c>
    </row>
    <row r="1253" spans="1:16" x14ac:dyDescent="0.25">
      <c r="A1253" s="1">
        <v>43011</v>
      </c>
      <c r="B1253">
        <v>9.3800000000000008</v>
      </c>
      <c r="C1253">
        <v>211.56</v>
      </c>
      <c r="D1253">
        <v>3.2469999999999999</v>
      </c>
      <c r="E1253">
        <v>13.18</v>
      </c>
      <c r="F1253">
        <v>8.4</v>
      </c>
      <c r="G1253">
        <v>2.27</v>
      </c>
      <c r="H1253">
        <v>3.24</v>
      </c>
      <c r="I1253">
        <v>31.942</v>
      </c>
      <c r="J1253">
        <v>19</v>
      </c>
      <c r="K1253">
        <v>12.03</v>
      </c>
      <c r="L1253">
        <v>1.548</v>
      </c>
      <c r="M1253">
        <v>4.4249999999999998</v>
      </c>
      <c r="N1253">
        <v>0.26700000000000002</v>
      </c>
      <c r="O1253">
        <v>2.99</v>
      </c>
      <c r="P1253">
        <v>1.31</v>
      </c>
    </row>
    <row r="1254" spans="1:16" x14ac:dyDescent="0.25">
      <c r="A1254" s="1">
        <v>43012</v>
      </c>
      <c r="B1254">
        <v>9.5</v>
      </c>
      <c r="C1254">
        <v>208.5</v>
      </c>
      <c r="D1254">
        <v>3.3239999999999998</v>
      </c>
      <c r="E1254">
        <v>13.5</v>
      </c>
      <c r="F1254">
        <v>8.4</v>
      </c>
      <c r="G1254">
        <v>2.33</v>
      </c>
      <c r="H1254">
        <v>3.26</v>
      </c>
      <c r="I1254">
        <v>31.942</v>
      </c>
      <c r="J1254">
        <v>19</v>
      </c>
      <c r="K1254">
        <v>12.15</v>
      </c>
      <c r="L1254">
        <v>1.609</v>
      </c>
      <c r="M1254">
        <v>4.3419999999999996</v>
      </c>
      <c r="N1254">
        <v>0.27500000000000002</v>
      </c>
      <c r="O1254">
        <v>2.95</v>
      </c>
      <c r="P1254">
        <v>1.35</v>
      </c>
    </row>
    <row r="1255" spans="1:16" x14ac:dyDescent="0.25">
      <c r="A1255" s="1">
        <v>43013</v>
      </c>
      <c r="B1255">
        <v>9.6</v>
      </c>
      <c r="C1255">
        <v>209</v>
      </c>
      <c r="D1255">
        <v>3.3010000000000002</v>
      </c>
      <c r="E1255">
        <v>13.75</v>
      </c>
      <c r="F1255">
        <v>8.49</v>
      </c>
      <c r="G1255">
        <v>2.39</v>
      </c>
      <c r="H1255">
        <v>3.3490000000000002</v>
      </c>
      <c r="I1255">
        <v>32.149000000000001</v>
      </c>
      <c r="J1255">
        <v>19</v>
      </c>
      <c r="K1255">
        <v>12.12</v>
      </c>
      <c r="L1255">
        <v>1.6970000000000001</v>
      </c>
      <c r="M1255">
        <v>4.96</v>
      </c>
      <c r="N1255">
        <v>0.28399999999999997</v>
      </c>
      <c r="O1255">
        <v>2.95</v>
      </c>
      <c r="P1255">
        <v>1.48</v>
      </c>
    </row>
    <row r="1256" spans="1:16" x14ac:dyDescent="0.25">
      <c r="A1256" s="1">
        <v>43014</v>
      </c>
      <c r="B1256">
        <v>9.6</v>
      </c>
      <c r="C1256">
        <v>206</v>
      </c>
      <c r="D1256">
        <v>3.278</v>
      </c>
      <c r="E1256">
        <v>13.87</v>
      </c>
      <c r="F1256">
        <v>8.5</v>
      </c>
      <c r="G1256">
        <v>2.39</v>
      </c>
      <c r="H1256">
        <v>3.1120000000000001</v>
      </c>
      <c r="I1256">
        <v>32.149000000000001</v>
      </c>
      <c r="J1256">
        <v>19</v>
      </c>
      <c r="K1256">
        <v>11.9</v>
      </c>
      <c r="L1256">
        <v>1.609</v>
      </c>
      <c r="M1256">
        <v>4.96</v>
      </c>
      <c r="N1256">
        <v>0.28000000000000003</v>
      </c>
      <c r="O1256">
        <v>2.9</v>
      </c>
      <c r="P1256">
        <v>1.375</v>
      </c>
    </row>
    <row r="1257" spans="1:16" x14ac:dyDescent="0.25">
      <c r="A1257" s="1">
        <v>43017</v>
      </c>
      <c r="B1257">
        <v>9.76</v>
      </c>
      <c r="C1257">
        <v>203.55</v>
      </c>
      <c r="D1257">
        <v>3.3090000000000002</v>
      </c>
      <c r="E1257">
        <v>13.8</v>
      </c>
      <c r="F1257">
        <v>8.5</v>
      </c>
      <c r="G1257">
        <v>2.38</v>
      </c>
      <c r="H1257">
        <v>2.9630000000000001</v>
      </c>
      <c r="I1257">
        <v>32.968000000000004</v>
      </c>
      <c r="J1257">
        <v>19.059999999999999</v>
      </c>
      <c r="K1257">
        <v>11.9</v>
      </c>
      <c r="L1257">
        <v>1.6439999999999999</v>
      </c>
      <c r="M1257">
        <v>4.8</v>
      </c>
      <c r="N1257">
        <v>0.27900000000000003</v>
      </c>
      <c r="O1257">
        <v>2.88</v>
      </c>
      <c r="P1257">
        <v>1.3560000000000001</v>
      </c>
    </row>
    <row r="1258" spans="1:16" x14ac:dyDescent="0.25">
      <c r="A1258" s="1">
        <v>43018</v>
      </c>
      <c r="B1258">
        <v>9.8000000000000007</v>
      </c>
      <c r="C1258">
        <v>201.8</v>
      </c>
      <c r="D1258">
        <v>3.3170000000000002</v>
      </c>
      <c r="E1258">
        <v>13.62</v>
      </c>
      <c r="F1258">
        <v>8.4</v>
      </c>
      <c r="G1258">
        <v>2.35</v>
      </c>
      <c r="H1258">
        <v>2.9340000000000002</v>
      </c>
      <c r="I1258">
        <v>32.968000000000004</v>
      </c>
      <c r="J1258">
        <v>19.100000000000001</v>
      </c>
      <c r="K1258">
        <v>11.9</v>
      </c>
      <c r="L1258">
        <v>1.84</v>
      </c>
      <c r="M1258">
        <v>4.7</v>
      </c>
      <c r="N1258">
        <v>0.27500000000000002</v>
      </c>
      <c r="O1258">
        <v>2.84</v>
      </c>
      <c r="P1258">
        <v>1.3560000000000001</v>
      </c>
    </row>
    <row r="1259" spans="1:16" x14ac:dyDescent="0.25">
      <c r="A1259" s="1">
        <v>43019</v>
      </c>
      <c r="B1259">
        <v>9.9</v>
      </c>
      <c r="C1259">
        <v>203.83</v>
      </c>
      <c r="D1259">
        <v>3.3010000000000002</v>
      </c>
      <c r="E1259">
        <v>13.65</v>
      </c>
      <c r="F1259">
        <v>8.4</v>
      </c>
      <c r="G1259">
        <v>2.3199999999999998</v>
      </c>
      <c r="H1259">
        <v>2.8650000000000002</v>
      </c>
      <c r="I1259">
        <v>32.795999999999999</v>
      </c>
      <c r="J1259">
        <v>19.149999999999999</v>
      </c>
      <c r="K1259">
        <v>11.9</v>
      </c>
      <c r="L1259">
        <v>1.84</v>
      </c>
      <c r="M1259">
        <v>4.6399999999999997</v>
      </c>
      <c r="N1259">
        <v>0.28499999999999998</v>
      </c>
      <c r="O1259">
        <v>2.82</v>
      </c>
      <c r="P1259">
        <v>1.375</v>
      </c>
    </row>
    <row r="1260" spans="1:16" x14ac:dyDescent="0.25">
      <c r="A1260" s="1">
        <v>43020</v>
      </c>
      <c r="B1260">
        <v>10.029999999999999</v>
      </c>
      <c r="C1260">
        <v>204.9</v>
      </c>
      <c r="D1260">
        <v>3.3010000000000002</v>
      </c>
      <c r="E1260">
        <v>14</v>
      </c>
      <c r="F1260">
        <v>8.4</v>
      </c>
      <c r="G1260">
        <v>2.34</v>
      </c>
      <c r="H1260">
        <v>2.9140000000000001</v>
      </c>
      <c r="I1260">
        <v>33.226999999999997</v>
      </c>
      <c r="J1260">
        <v>19.25</v>
      </c>
      <c r="K1260">
        <v>11.93</v>
      </c>
      <c r="L1260">
        <v>1.84</v>
      </c>
      <c r="M1260">
        <v>4.4000000000000004</v>
      </c>
      <c r="N1260">
        <v>0.28399999999999997</v>
      </c>
      <c r="O1260">
        <v>2.83</v>
      </c>
      <c r="P1260">
        <v>1.385</v>
      </c>
    </row>
    <row r="1261" spans="1:16" x14ac:dyDescent="0.25">
      <c r="A1261" s="1">
        <v>43021</v>
      </c>
      <c r="B1261">
        <v>10</v>
      </c>
      <c r="C1261">
        <v>208.57</v>
      </c>
      <c r="D1261">
        <v>3.3170000000000002</v>
      </c>
      <c r="E1261">
        <v>14.46</v>
      </c>
      <c r="F1261">
        <v>8.35</v>
      </c>
      <c r="G1261">
        <v>2.37</v>
      </c>
      <c r="H1261">
        <v>2.9630000000000001</v>
      </c>
      <c r="I1261">
        <v>32.838999999999999</v>
      </c>
      <c r="J1261">
        <v>19.25</v>
      </c>
      <c r="K1261">
        <v>11.93</v>
      </c>
      <c r="L1261">
        <v>1.8</v>
      </c>
      <c r="M1261">
        <v>4.32</v>
      </c>
      <c r="N1261">
        <v>0.28000000000000003</v>
      </c>
      <c r="O1261">
        <v>2.84</v>
      </c>
      <c r="P1261">
        <v>1.375</v>
      </c>
    </row>
    <row r="1262" spans="1:16" x14ac:dyDescent="0.25">
      <c r="A1262" s="1">
        <v>43024</v>
      </c>
      <c r="B1262">
        <v>10.06</v>
      </c>
      <c r="C1262">
        <v>207.88</v>
      </c>
      <c r="D1262">
        <v>3.3170000000000002</v>
      </c>
      <c r="E1262">
        <v>14.77</v>
      </c>
      <c r="F1262">
        <v>8.35</v>
      </c>
      <c r="G1262">
        <v>2.39</v>
      </c>
      <c r="H1262">
        <v>2.9630000000000001</v>
      </c>
      <c r="I1262">
        <v>32.924999999999997</v>
      </c>
      <c r="J1262">
        <v>19.25</v>
      </c>
      <c r="K1262">
        <v>11.94</v>
      </c>
      <c r="L1262">
        <v>1.82</v>
      </c>
      <c r="M1262">
        <v>4.33</v>
      </c>
      <c r="N1262">
        <v>0.28000000000000003</v>
      </c>
      <c r="O1262">
        <v>2.95</v>
      </c>
      <c r="P1262">
        <v>1.4039999999999999</v>
      </c>
    </row>
    <row r="1263" spans="1:16" x14ac:dyDescent="0.25">
      <c r="A1263" s="1">
        <v>43025</v>
      </c>
      <c r="B1263">
        <v>9.99</v>
      </c>
      <c r="C1263">
        <v>208</v>
      </c>
      <c r="D1263">
        <v>3.3170000000000002</v>
      </c>
      <c r="E1263">
        <v>14.85</v>
      </c>
      <c r="F1263">
        <v>8.4</v>
      </c>
      <c r="G1263">
        <v>2.37</v>
      </c>
      <c r="H1263">
        <v>3.0230000000000001</v>
      </c>
      <c r="I1263">
        <v>32.924999999999997</v>
      </c>
      <c r="J1263">
        <v>19.25</v>
      </c>
      <c r="K1263">
        <v>11.95</v>
      </c>
      <c r="L1263">
        <v>1.82</v>
      </c>
      <c r="M1263">
        <v>4.3099999999999996</v>
      </c>
      <c r="N1263">
        <v>0.27700000000000002</v>
      </c>
      <c r="O1263">
        <v>2.95</v>
      </c>
      <c r="P1263">
        <v>1.3660000000000001</v>
      </c>
    </row>
    <row r="1264" spans="1:16" x14ac:dyDescent="0.25">
      <c r="A1264" s="1">
        <v>43026</v>
      </c>
      <c r="B1264">
        <v>9.9</v>
      </c>
      <c r="C1264">
        <v>207.8</v>
      </c>
      <c r="D1264">
        <v>3.286</v>
      </c>
      <c r="E1264">
        <v>14.74</v>
      </c>
      <c r="F1264">
        <v>8.39</v>
      </c>
      <c r="G1264">
        <v>2.35</v>
      </c>
      <c r="H1264">
        <v>2.9830000000000001</v>
      </c>
      <c r="I1264">
        <v>32.881999999999998</v>
      </c>
      <c r="J1264">
        <v>19.25</v>
      </c>
      <c r="K1264">
        <v>12</v>
      </c>
      <c r="L1264">
        <v>1.76</v>
      </c>
      <c r="M1264">
        <v>4.4000000000000004</v>
      </c>
      <c r="N1264">
        <v>0.28000000000000003</v>
      </c>
      <c r="O1264">
        <v>2.95</v>
      </c>
      <c r="P1264">
        <v>1.43</v>
      </c>
    </row>
    <row r="1265" spans="1:16" x14ac:dyDescent="0.25">
      <c r="A1265" s="1">
        <v>43027</v>
      </c>
      <c r="B1265">
        <v>9.9499999999999993</v>
      </c>
      <c r="C1265">
        <v>206</v>
      </c>
      <c r="D1265">
        <v>3.278</v>
      </c>
      <c r="E1265">
        <v>14.4</v>
      </c>
      <c r="F1265">
        <v>8.35</v>
      </c>
      <c r="G1265">
        <v>2.33</v>
      </c>
      <c r="H1265">
        <v>2.9830000000000001</v>
      </c>
      <c r="I1265">
        <v>32.881999999999998</v>
      </c>
      <c r="J1265">
        <v>19.25</v>
      </c>
      <c r="K1265">
        <v>12.01</v>
      </c>
      <c r="L1265">
        <v>1.79</v>
      </c>
      <c r="M1265">
        <v>4.55</v>
      </c>
      <c r="N1265">
        <v>0.28399999999999997</v>
      </c>
      <c r="O1265">
        <v>2.95</v>
      </c>
      <c r="P1265">
        <v>1.48</v>
      </c>
    </row>
    <row r="1266" spans="1:16" x14ac:dyDescent="0.25">
      <c r="A1266" s="1">
        <v>43028</v>
      </c>
      <c r="B1266">
        <v>9.9499999999999993</v>
      </c>
      <c r="C1266">
        <v>208.01</v>
      </c>
      <c r="D1266">
        <v>3.286</v>
      </c>
      <c r="E1266">
        <v>14.26</v>
      </c>
      <c r="F1266">
        <v>8.3699999999999992</v>
      </c>
      <c r="G1266">
        <v>2.33</v>
      </c>
      <c r="H1266">
        <v>2.9140000000000001</v>
      </c>
      <c r="I1266">
        <v>32.968000000000004</v>
      </c>
      <c r="J1266">
        <v>19.39</v>
      </c>
      <c r="K1266">
        <v>12.05</v>
      </c>
      <c r="L1266">
        <v>1.79</v>
      </c>
      <c r="M1266">
        <v>4.6399999999999997</v>
      </c>
      <c r="N1266">
        <v>0.3</v>
      </c>
      <c r="O1266">
        <v>2.97</v>
      </c>
      <c r="P1266">
        <v>1.57</v>
      </c>
    </row>
    <row r="1267" spans="1:16" x14ac:dyDescent="0.25">
      <c r="A1267" s="1">
        <v>43031</v>
      </c>
      <c r="B1267">
        <v>9.98</v>
      </c>
      <c r="C1267">
        <v>207.77</v>
      </c>
      <c r="D1267">
        <v>3.286</v>
      </c>
      <c r="E1267">
        <v>14.23</v>
      </c>
      <c r="F1267">
        <v>8.4</v>
      </c>
      <c r="G1267">
        <v>2.4</v>
      </c>
      <c r="H1267">
        <v>2.766</v>
      </c>
      <c r="I1267">
        <v>32.968000000000004</v>
      </c>
      <c r="J1267">
        <v>19.399999999999999</v>
      </c>
      <c r="K1267">
        <v>12.06</v>
      </c>
      <c r="L1267">
        <v>1.87</v>
      </c>
      <c r="M1267">
        <v>4.72</v>
      </c>
      <c r="N1267">
        <v>0.31</v>
      </c>
      <c r="O1267">
        <v>3</v>
      </c>
      <c r="P1267">
        <v>1.66</v>
      </c>
    </row>
    <row r="1268" spans="1:16" x14ac:dyDescent="0.25">
      <c r="A1268" s="1">
        <v>43032</v>
      </c>
      <c r="B1268">
        <v>9.99</v>
      </c>
      <c r="C1268">
        <v>208</v>
      </c>
      <c r="D1268">
        <v>3.2930000000000001</v>
      </c>
      <c r="E1268">
        <v>14.2</v>
      </c>
      <c r="F1268">
        <v>8.3699999999999992</v>
      </c>
      <c r="G1268">
        <v>2.4500000000000002</v>
      </c>
      <c r="H1268">
        <v>2.786</v>
      </c>
      <c r="I1268">
        <v>33.140999999999998</v>
      </c>
      <c r="J1268">
        <v>19.55</v>
      </c>
      <c r="K1268">
        <v>12.06</v>
      </c>
      <c r="L1268">
        <v>1.9</v>
      </c>
      <c r="M1268">
        <v>4.6500000000000004</v>
      </c>
      <c r="N1268">
        <v>0.31</v>
      </c>
      <c r="O1268">
        <v>3</v>
      </c>
      <c r="P1268">
        <v>1.65</v>
      </c>
    </row>
    <row r="1269" spans="1:16" x14ac:dyDescent="0.25">
      <c r="A1269" s="1">
        <v>43033</v>
      </c>
      <c r="B1269">
        <v>10.16</v>
      </c>
      <c r="C1269">
        <v>207</v>
      </c>
      <c r="D1269">
        <v>3.2930000000000001</v>
      </c>
      <c r="E1269">
        <v>14.1</v>
      </c>
      <c r="F1269">
        <v>8.4</v>
      </c>
      <c r="G1269">
        <v>2.44</v>
      </c>
      <c r="H1269">
        <v>2.7959999999999998</v>
      </c>
      <c r="I1269">
        <v>33.658999999999999</v>
      </c>
      <c r="J1269">
        <v>19.850000000000001</v>
      </c>
      <c r="K1269">
        <v>12.5</v>
      </c>
      <c r="L1269">
        <v>2</v>
      </c>
      <c r="M1269">
        <v>5</v>
      </c>
      <c r="N1269">
        <v>0.32</v>
      </c>
      <c r="O1269">
        <v>3</v>
      </c>
      <c r="P1269">
        <v>1.64</v>
      </c>
    </row>
    <row r="1270" spans="1:16" x14ac:dyDescent="0.25">
      <c r="A1270" s="1">
        <v>43034</v>
      </c>
      <c r="B1270">
        <v>10.36</v>
      </c>
      <c r="C1270">
        <v>207.3</v>
      </c>
      <c r="D1270">
        <v>3.278</v>
      </c>
      <c r="E1270">
        <v>13.9</v>
      </c>
      <c r="F1270">
        <v>8.41</v>
      </c>
      <c r="G1270">
        <v>2.52</v>
      </c>
      <c r="H1270">
        <v>2.8650000000000002</v>
      </c>
      <c r="I1270">
        <v>33.226999999999997</v>
      </c>
      <c r="J1270">
        <v>19.95</v>
      </c>
      <c r="K1270">
        <v>12.7</v>
      </c>
      <c r="L1270">
        <v>2.0499999999999998</v>
      </c>
      <c r="M1270">
        <v>5.25</v>
      </c>
      <c r="N1270">
        <v>0.32</v>
      </c>
      <c r="O1270">
        <v>3</v>
      </c>
      <c r="P1270">
        <v>1.62</v>
      </c>
    </row>
    <row r="1271" spans="1:16" x14ac:dyDescent="0.25">
      <c r="A1271" s="1">
        <v>43035</v>
      </c>
      <c r="B1271">
        <v>10.3</v>
      </c>
      <c r="C1271">
        <v>210.3</v>
      </c>
      <c r="D1271">
        <v>3.278</v>
      </c>
      <c r="E1271">
        <v>13.93</v>
      </c>
      <c r="F1271">
        <v>8.4</v>
      </c>
      <c r="G1271">
        <v>2.56</v>
      </c>
      <c r="H1271">
        <v>2.9540000000000002</v>
      </c>
      <c r="I1271">
        <v>33.314</v>
      </c>
      <c r="J1271">
        <v>20</v>
      </c>
      <c r="K1271">
        <v>12.6</v>
      </c>
      <c r="L1271">
        <v>2</v>
      </c>
      <c r="M1271">
        <v>5.0999999999999996</v>
      </c>
      <c r="N1271">
        <v>0.31900000000000001</v>
      </c>
      <c r="O1271">
        <v>2.97</v>
      </c>
      <c r="P1271">
        <v>1.6</v>
      </c>
    </row>
    <row r="1272" spans="1:16" x14ac:dyDescent="0.25">
      <c r="A1272" s="1">
        <v>43038</v>
      </c>
      <c r="B1272">
        <v>10.1</v>
      </c>
      <c r="C1272">
        <v>209.5</v>
      </c>
      <c r="D1272">
        <v>3.278</v>
      </c>
      <c r="E1272">
        <v>13.74</v>
      </c>
      <c r="F1272">
        <v>8.4499999999999993</v>
      </c>
      <c r="G1272">
        <v>2.61</v>
      </c>
      <c r="H1272">
        <v>2.9140000000000001</v>
      </c>
      <c r="I1272">
        <v>33.314</v>
      </c>
      <c r="J1272">
        <v>19.850000000000001</v>
      </c>
      <c r="K1272">
        <v>12.03</v>
      </c>
      <c r="L1272">
        <v>2.02</v>
      </c>
      <c r="M1272">
        <v>5.0999999999999996</v>
      </c>
      <c r="N1272">
        <v>0.316</v>
      </c>
      <c r="O1272">
        <v>2.9</v>
      </c>
      <c r="P1272">
        <v>1.6</v>
      </c>
    </row>
    <row r="1273" spans="1:16" x14ac:dyDescent="0.25">
      <c r="A1273" s="1">
        <v>43039</v>
      </c>
      <c r="B1273">
        <v>10.15</v>
      </c>
      <c r="C1273">
        <v>193.92</v>
      </c>
      <c r="D1273">
        <v>3.3090000000000002</v>
      </c>
      <c r="E1273">
        <v>13.85</v>
      </c>
      <c r="F1273">
        <v>8.5</v>
      </c>
      <c r="G1273">
        <v>2.54</v>
      </c>
      <c r="H1273">
        <v>2.9039999999999999</v>
      </c>
      <c r="I1273">
        <v>33.658999999999999</v>
      </c>
      <c r="J1273">
        <v>19.850000000000001</v>
      </c>
      <c r="K1273">
        <v>12.05</v>
      </c>
      <c r="L1273">
        <v>2.02</v>
      </c>
      <c r="M1273">
        <v>4.95</v>
      </c>
      <c r="N1273">
        <v>0.32300000000000001</v>
      </c>
      <c r="O1273">
        <v>2.96</v>
      </c>
      <c r="P1273">
        <v>1.6</v>
      </c>
    </row>
    <row r="1274" spans="1:16" x14ac:dyDescent="0.25">
      <c r="A1274" s="1">
        <v>43041</v>
      </c>
      <c r="B1274">
        <v>10.82</v>
      </c>
      <c r="C1274">
        <v>191.53</v>
      </c>
      <c r="D1274">
        <v>3.3170000000000002</v>
      </c>
      <c r="E1274">
        <v>14.5</v>
      </c>
      <c r="F1274">
        <v>8.59</v>
      </c>
      <c r="G1274">
        <v>2.67</v>
      </c>
      <c r="H1274">
        <v>3.0329999999999999</v>
      </c>
      <c r="I1274">
        <v>34.090000000000003</v>
      </c>
      <c r="J1274">
        <v>20</v>
      </c>
      <c r="K1274">
        <v>12.3</v>
      </c>
      <c r="L1274">
        <v>2</v>
      </c>
      <c r="M1274">
        <v>4.8099999999999996</v>
      </c>
      <c r="N1274">
        <v>0.35</v>
      </c>
      <c r="O1274">
        <v>3</v>
      </c>
      <c r="P1274">
        <v>1.61</v>
      </c>
    </row>
    <row r="1275" spans="1:16" x14ac:dyDescent="0.25">
      <c r="A1275" s="1">
        <v>43042</v>
      </c>
      <c r="B1275">
        <v>10.75</v>
      </c>
      <c r="C1275">
        <v>190.75</v>
      </c>
      <c r="D1275">
        <v>3.3170000000000002</v>
      </c>
      <c r="E1275">
        <v>14.4</v>
      </c>
      <c r="F1275">
        <v>8.1389999999999993</v>
      </c>
      <c r="G1275">
        <v>2.66</v>
      </c>
      <c r="H1275">
        <v>3.2</v>
      </c>
      <c r="I1275">
        <v>34.262999999999998</v>
      </c>
      <c r="J1275">
        <v>20.010000000000002</v>
      </c>
      <c r="K1275">
        <v>12.3</v>
      </c>
      <c r="L1275">
        <v>2</v>
      </c>
      <c r="M1275">
        <v>4.76</v>
      </c>
      <c r="N1275">
        <v>0.35</v>
      </c>
      <c r="O1275">
        <v>3.02</v>
      </c>
      <c r="P1275">
        <v>1.55</v>
      </c>
    </row>
    <row r="1276" spans="1:16" x14ac:dyDescent="0.25">
      <c r="A1276" s="1">
        <v>43045</v>
      </c>
      <c r="B1276">
        <v>10.5</v>
      </c>
      <c r="C1276">
        <v>194.08</v>
      </c>
      <c r="D1276">
        <v>3.3319999999999999</v>
      </c>
      <c r="E1276">
        <v>14.47</v>
      </c>
      <c r="F1276">
        <v>8.1110000000000007</v>
      </c>
      <c r="G1276">
        <v>2.61</v>
      </c>
      <c r="H1276">
        <v>3.161</v>
      </c>
      <c r="I1276">
        <v>33.996000000000002</v>
      </c>
      <c r="J1276">
        <v>20.399999999999999</v>
      </c>
      <c r="K1276">
        <v>12.15</v>
      </c>
      <c r="L1276">
        <v>2.16</v>
      </c>
      <c r="M1276">
        <v>4.7</v>
      </c>
      <c r="N1276">
        <v>0.34300000000000003</v>
      </c>
      <c r="O1276">
        <v>2.9969999999999999</v>
      </c>
      <c r="P1276">
        <v>1.48</v>
      </c>
    </row>
    <row r="1277" spans="1:16" x14ac:dyDescent="0.25">
      <c r="A1277" s="1">
        <v>43046</v>
      </c>
      <c r="B1277">
        <v>10.4</v>
      </c>
      <c r="C1277">
        <v>190.38</v>
      </c>
      <c r="D1277">
        <v>3.3170000000000002</v>
      </c>
      <c r="E1277">
        <v>14.4</v>
      </c>
      <c r="F1277">
        <v>8.0909999999999993</v>
      </c>
      <c r="G1277">
        <v>2.57</v>
      </c>
      <c r="H1277">
        <v>3.1120000000000001</v>
      </c>
      <c r="I1277">
        <v>33.314</v>
      </c>
      <c r="J1277">
        <v>20.3</v>
      </c>
      <c r="K1277">
        <v>12.2</v>
      </c>
      <c r="L1277">
        <v>2.0299999999999998</v>
      </c>
      <c r="M1277">
        <v>4.55</v>
      </c>
      <c r="N1277">
        <v>0.32400000000000001</v>
      </c>
      <c r="O1277">
        <v>2.9670000000000001</v>
      </c>
      <c r="P1277">
        <v>1.48</v>
      </c>
    </row>
    <row r="1278" spans="1:16" x14ac:dyDescent="0.25">
      <c r="A1278" s="1">
        <v>43047</v>
      </c>
      <c r="B1278">
        <v>10.4</v>
      </c>
      <c r="C1278">
        <v>190.66</v>
      </c>
      <c r="D1278">
        <v>3.3170000000000002</v>
      </c>
      <c r="E1278">
        <v>14.23</v>
      </c>
      <c r="F1278">
        <v>8.0440000000000005</v>
      </c>
      <c r="G1278">
        <v>2.56</v>
      </c>
      <c r="H1278">
        <v>3.0619999999999998</v>
      </c>
      <c r="I1278">
        <v>33.314</v>
      </c>
      <c r="J1278">
        <v>20.399999999999999</v>
      </c>
      <c r="K1278">
        <v>12.3</v>
      </c>
      <c r="L1278">
        <v>2.0499999999999998</v>
      </c>
      <c r="M1278">
        <v>4.53</v>
      </c>
      <c r="N1278">
        <v>0.32300000000000001</v>
      </c>
      <c r="O1278">
        <v>2.9169999999999998</v>
      </c>
      <c r="P1278">
        <v>1.47</v>
      </c>
    </row>
    <row r="1279" spans="1:16" x14ac:dyDescent="0.25">
      <c r="A1279" s="1">
        <v>43048</v>
      </c>
      <c r="B1279">
        <v>10.3</v>
      </c>
      <c r="C1279">
        <v>192.23</v>
      </c>
      <c r="D1279">
        <v>3.4710000000000001</v>
      </c>
      <c r="E1279">
        <v>14.15</v>
      </c>
      <c r="F1279">
        <v>8.0630000000000006</v>
      </c>
      <c r="G1279">
        <v>2.56</v>
      </c>
      <c r="H1279">
        <v>3.0619999999999998</v>
      </c>
      <c r="I1279">
        <v>33.219000000000001</v>
      </c>
      <c r="J1279">
        <v>21</v>
      </c>
      <c r="K1279">
        <v>12.55</v>
      </c>
      <c r="L1279">
        <v>2.0499999999999998</v>
      </c>
      <c r="M1279">
        <v>4.54</v>
      </c>
      <c r="N1279">
        <v>0.315</v>
      </c>
      <c r="O1279">
        <v>2.9969999999999999</v>
      </c>
      <c r="P1279">
        <v>1.4</v>
      </c>
    </row>
    <row r="1280" spans="1:16" x14ac:dyDescent="0.25">
      <c r="A1280" s="1">
        <v>43049</v>
      </c>
      <c r="B1280">
        <v>10.199999999999999</v>
      </c>
      <c r="C1280">
        <v>191.23</v>
      </c>
      <c r="D1280">
        <v>3.3940000000000001</v>
      </c>
      <c r="E1280">
        <v>13.82</v>
      </c>
      <c r="F1280">
        <v>7.9480000000000004</v>
      </c>
      <c r="G1280">
        <v>2.56</v>
      </c>
      <c r="H1280">
        <v>2.371</v>
      </c>
      <c r="I1280">
        <v>33.201999999999998</v>
      </c>
      <c r="J1280">
        <v>21.15</v>
      </c>
      <c r="K1280">
        <v>12.55</v>
      </c>
      <c r="L1280">
        <v>2</v>
      </c>
      <c r="M1280">
        <v>4.5</v>
      </c>
      <c r="N1280">
        <v>0.315</v>
      </c>
      <c r="O1280">
        <v>2.9870000000000001</v>
      </c>
      <c r="P1280">
        <v>1.35</v>
      </c>
    </row>
    <row r="1281" spans="1:16" x14ac:dyDescent="0.25">
      <c r="A1281" s="1">
        <v>43052</v>
      </c>
      <c r="B1281">
        <v>10.199999999999999</v>
      </c>
      <c r="C1281">
        <v>200.22</v>
      </c>
      <c r="D1281">
        <v>3.3780000000000001</v>
      </c>
      <c r="E1281">
        <v>13.77</v>
      </c>
      <c r="F1281">
        <v>7.9</v>
      </c>
      <c r="G1281">
        <v>2.54</v>
      </c>
      <c r="H1281">
        <v>2.2719999999999998</v>
      </c>
      <c r="I1281">
        <v>32.795999999999999</v>
      </c>
      <c r="J1281">
        <v>21.5</v>
      </c>
      <c r="K1281">
        <v>12.6</v>
      </c>
      <c r="L1281">
        <v>2</v>
      </c>
      <c r="M1281">
        <v>4.7</v>
      </c>
      <c r="N1281">
        <v>0.316</v>
      </c>
      <c r="O1281">
        <v>2.9870000000000001</v>
      </c>
      <c r="P1281">
        <v>1.3</v>
      </c>
    </row>
    <row r="1282" spans="1:16" x14ac:dyDescent="0.25">
      <c r="A1282" s="1">
        <v>43053</v>
      </c>
      <c r="B1282">
        <v>10</v>
      </c>
      <c r="C1282">
        <v>203.2</v>
      </c>
      <c r="D1282">
        <v>3.3319999999999999</v>
      </c>
      <c r="E1282">
        <v>13.88</v>
      </c>
      <c r="F1282">
        <v>7.95</v>
      </c>
      <c r="G1282">
        <v>2.5</v>
      </c>
      <c r="H1282">
        <v>2.2719999999999998</v>
      </c>
      <c r="I1282">
        <v>32.494</v>
      </c>
      <c r="J1282">
        <v>21.2</v>
      </c>
      <c r="K1282">
        <v>12.6</v>
      </c>
      <c r="L1282">
        <v>1.97</v>
      </c>
      <c r="M1282">
        <v>4.5999999999999996</v>
      </c>
      <c r="N1282">
        <v>0.31</v>
      </c>
      <c r="O1282">
        <v>2.9870000000000001</v>
      </c>
      <c r="P1282">
        <v>1.29</v>
      </c>
    </row>
    <row r="1283" spans="1:16" x14ac:dyDescent="0.25">
      <c r="A1283" s="1">
        <v>43054</v>
      </c>
      <c r="B1283">
        <v>9.85</v>
      </c>
      <c r="C1283">
        <v>202.84</v>
      </c>
      <c r="D1283">
        <v>3.3010000000000002</v>
      </c>
      <c r="E1283">
        <v>13.65</v>
      </c>
      <c r="F1283">
        <v>7.9</v>
      </c>
      <c r="G1283">
        <v>2.4300000000000002</v>
      </c>
      <c r="H1283">
        <v>2.173</v>
      </c>
      <c r="I1283">
        <v>32.494</v>
      </c>
      <c r="J1283">
        <v>21.2</v>
      </c>
      <c r="K1283">
        <v>12.3</v>
      </c>
      <c r="L1283">
        <v>1.97</v>
      </c>
      <c r="M1283">
        <v>4.49</v>
      </c>
      <c r="N1283">
        <v>0.31</v>
      </c>
      <c r="O1283">
        <v>2.99</v>
      </c>
      <c r="P1283">
        <v>1.3</v>
      </c>
    </row>
    <row r="1284" spans="1:16" x14ac:dyDescent="0.25">
      <c r="A1284" s="1">
        <v>43055</v>
      </c>
      <c r="B1284">
        <v>9.8000000000000007</v>
      </c>
      <c r="C1284">
        <v>203.6</v>
      </c>
      <c r="D1284">
        <v>3.3010000000000002</v>
      </c>
      <c r="E1284">
        <v>13.44</v>
      </c>
      <c r="F1284">
        <v>7.9</v>
      </c>
      <c r="G1284">
        <v>2.4700000000000002</v>
      </c>
      <c r="H1284">
        <v>2.153</v>
      </c>
      <c r="I1284">
        <v>32.795999999999999</v>
      </c>
      <c r="J1284">
        <v>21</v>
      </c>
      <c r="K1284">
        <v>12.05</v>
      </c>
      <c r="L1284">
        <v>1.95</v>
      </c>
      <c r="M1284">
        <v>4.47</v>
      </c>
      <c r="N1284">
        <v>0.31</v>
      </c>
      <c r="O1284">
        <v>2.99</v>
      </c>
      <c r="P1284">
        <v>1.32</v>
      </c>
    </row>
    <row r="1285" spans="1:16" x14ac:dyDescent="0.25">
      <c r="A1285" s="1">
        <v>43056</v>
      </c>
      <c r="B1285">
        <v>9.9499999999999993</v>
      </c>
      <c r="C1285">
        <v>208.45</v>
      </c>
      <c r="D1285">
        <v>3.3010000000000002</v>
      </c>
      <c r="E1285">
        <v>13.55</v>
      </c>
      <c r="F1285">
        <v>7.9</v>
      </c>
      <c r="G1285">
        <v>2.5499999999999998</v>
      </c>
      <c r="H1285">
        <v>1.986</v>
      </c>
      <c r="I1285">
        <v>32.795999999999999</v>
      </c>
      <c r="J1285">
        <v>21</v>
      </c>
      <c r="K1285">
        <v>12.06</v>
      </c>
      <c r="L1285">
        <v>1.9</v>
      </c>
      <c r="M1285">
        <v>4.38</v>
      </c>
      <c r="N1285">
        <v>0.30499999999999999</v>
      </c>
      <c r="O1285">
        <v>2.99</v>
      </c>
      <c r="P1285">
        <v>1.33</v>
      </c>
    </row>
    <row r="1286" spans="1:16" x14ac:dyDescent="0.25">
      <c r="A1286" s="1">
        <v>43059</v>
      </c>
      <c r="B1286">
        <v>10.210000000000001</v>
      </c>
      <c r="C1286">
        <v>210</v>
      </c>
      <c r="D1286">
        <v>3.3010000000000002</v>
      </c>
      <c r="E1286">
        <v>13.87</v>
      </c>
      <c r="F1286">
        <v>8</v>
      </c>
      <c r="G1286">
        <v>2.57</v>
      </c>
      <c r="H1286">
        <v>2.0049999999999999</v>
      </c>
      <c r="I1286">
        <v>32.795999999999999</v>
      </c>
      <c r="J1286">
        <v>21</v>
      </c>
      <c r="K1286">
        <v>12.05</v>
      </c>
      <c r="L1286">
        <v>1.9</v>
      </c>
      <c r="M1286">
        <v>4.3499999999999996</v>
      </c>
      <c r="N1286">
        <v>0.29099999999999998</v>
      </c>
      <c r="O1286">
        <v>2.95</v>
      </c>
      <c r="P1286">
        <v>1.31</v>
      </c>
    </row>
    <row r="1287" spans="1:16" x14ac:dyDescent="0.25">
      <c r="A1287" s="1">
        <v>43060</v>
      </c>
      <c r="B1287">
        <v>10.27</v>
      </c>
      <c r="C1287">
        <v>211.55</v>
      </c>
      <c r="D1287">
        <v>3.278</v>
      </c>
      <c r="E1287">
        <v>14.32</v>
      </c>
      <c r="F1287">
        <v>8.0500000000000007</v>
      </c>
      <c r="G1287">
        <v>2.6</v>
      </c>
      <c r="H1287">
        <v>2.0550000000000002</v>
      </c>
      <c r="I1287">
        <v>32.795999999999999</v>
      </c>
      <c r="J1287">
        <v>21.2</v>
      </c>
      <c r="K1287">
        <v>12.05</v>
      </c>
      <c r="L1287">
        <v>1.95</v>
      </c>
      <c r="M1287">
        <v>4.3499999999999996</v>
      </c>
      <c r="N1287">
        <v>0.30499999999999999</v>
      </c>
      <c r="O1287">
        <v>3</v>
      </c>
      <c r="P1287">
        <v>1.33</v>
      </c>
    </row>
    <row r="1288" spans="1:16" x14ac:dyDescent="0.25">
      <c r="A1288" s="1">
        <v>43061</v>
      </c>
      <c r="B1288">
        <v>10.3</v>
      </c>
      <c r="C1288">
        <v>212.02</v>
      </c>
      <c r="D1288">
        <v>3.3170000000000002</v>
      </c>
      <c r="E1288">
        <v>14.3</v>
      </c>
      <c r="F1288">
        <v>8.15</v>
      </c>
      <c r="G1288">
        <v>2.66</v>
      </c>
      <c r="H1288">
        <v>2.0150000000000001</v>
      </c>
      <c r="I1288">
        <v>32.976999999999997</v>
      </c>
      <c r="J1288">
        <v>20.85</v>
      </c>
      <c r="K1288">
        <v>12.2</v>
      </c>
      <c r="L1288">
        <v>1.95</v>
      </c>
      <c r="M1288">
        <v>4.53</v>
      </c>
      <c r="N1288">
        <v>0.313</v>
      </c>
      <c r="O1288">
        <v>3</v>
      </c>
      <c r="P1288">
        <v>1.36</v>
      </c>
    </row>
    <row r="1289" spans="1:16" x14ac:dyDescent="0.25">
      <c r="A1289" s="1">
        <v>43062</v>
      </c>
      <c r="B1289">
        <v>10.3</v>
      </c>
      <c r="C1289">
        <v>212.02</v>
      </c>
      <c r="D1289">
        <v>3.3239999999999998</v>
      </c>
      <c r="E1289">
        <v>14.32</v>
      </c>
      <c r="F1289">
        <v>8.2200000000000006</v>
      </c>
      <c r="G1289">
        <v>2.65</v>
      </c>
      <c r="H1289">
        <v>2.0150000000000001</v>
      </c>
      <c r="I1289">
        <v>32.881999999999998</v>
      </c>
      <c r="J1289">
        <v>20.7</v>
      </c>
      <c r="K1289">
        <v>12.3</v>
      </c>
      <c r="L1289">
        <v>1.95</v>
      </c>
      <c r="M1289">
        <v>4.55</v>
      </c>
      <c r="N1289">
        <v>0.32</v>
      </c>
      <c r="O1289">
        <v>3</v>
      </c>
      <c r="P1289">
        <v>1.37</v>
      </c>
    </row>
    <row r="1290" spans="1:16" x14ac:dyDescent="0.25">
      <c r="A1290" s="1">
        <v>43063</v>
      </c>
      <c r="B1290">
        <v>9.9169999999999998</v>
      </c>
      <c r="C1290">
        <v>213.25</v>
      </c>
      <c r="D1290">
        <v>3.355</v>
      </c>
      <c r="E1290">
        <v>14.4</v>
      </c>
      <c r="F1290">
        <v>7.42</v>
      </c>
      <c r="G1290">
        <v>2.2789999999999999</v>
      </c>
      <c r="H1290">
        <v>1.976</v>
      </c>
      <c r="I1290">
        <v>32.890999999999998</v>
      </c>
      <c r="J1290">
        <v>20.385999999999999</v>
      </c>
      <c r="K1290">
        <v>10.722</v>
      </c>
      <c r="L1290">
        <v>1.913</v>
      </c>
      <c r="M1290">
        <v>4.0629999999999997</v>
      </c>
      <c r="N1290">
        <v>0.315</v>
      </c>
      <c r="O1290">
        <v>2.8769999999999998</v>
      </c>
      <c r="P1290">
        <v>1.357</v>
      </c>
    </row>
    <row r="1291" spans="1:16" x14ac:dyDescent="0.25">
      <c r="A1291" s="1">
        <v>43066</v>
      </c>
      <c r="B1291">
        <v>9.7929999999999993</v>
      </c>
      <c r="C1291">
        <v>213.2</v>
      </c>
      <c r="D1291">
        <v>3.3940000000000001</v>
      </c>
      <c r="E1291">
        <v>14.25</v>
      </c>
      <c r="F1291">
        <v>7.4740000000000002</v>
      </c>
      <c r="G1291">
        <v>2.27</v>
      </c>
      <c r="H1291">
        <v>1.9359999999999999</v>
      </c>
      <c r="I1291">
        <v>33.012</v>
      </c>
      <c r="J1291">
        <v>19.997</v>
      </c>
      <c r="K1291">
        <v>10.712999999999999</v>
      </c>
      <c r="L1291">
        <v>1.865</v>
      </c>
      <c r="M1291">
        <v>3.9750000000000001</v>
      </c>
      <c r="N1291">
        <v>0.31</v>
      </c>
      <c r="O1291">
        <v>2.8769999999999998</v>
      </c>
      <c r="P1291">
        <v>1.3169999999999999</v>
      </c>
    </row>
    <row r="1292" spans="1:16" x14ac:dyDescent="0.25">
      <c r="A1292" s="1">
        <v>43067</v>
      </c>
      <c r="B1292">
        <v>9.7550000000000008</v>
      </c>
      <c r="C1292">
        <v>214.1</v>
      </c>
      <c r="D1292">
        <v>3.3940000000000001</v>
      </c>
      <c r="E1292">
        <v>14.1</v>
      </c>
      <c r="F1292">
        <v>7.42</v>
      </c>
      <c r="G1292">
        <v>2.2789999999999999</v>
      </c>
      <c r="H1292">
        <v>1.976</v>
      </c>
      <c r="I1292">
        <v>33.012</v>
      </c>
      <c r="J1292">
        <v>19.997</v>
      </c>
      <c r="K1292">
        <v>10.808999999999999</v>
      </c>
      <c r="L1292">
        <v>1.865</v>
      </c>
      <c r="M1292">
        <v>4.0190000000000001</v>
      </c>
      <c r="N1292">
        <v>0.30199999999999999</v>
      </c>
      <c r="O1292">
        <v>2.8769999999999998</v>
      </c>
      <c r="P1292">
        <v>1.3069999999999999</v>
      </c>
    </row>
    <row r="1293" spans="1:16" x14ac:dyDescent="0.25">
      <c r="A1293" s="1">
        <v>43068</v>
      </c>
      <c r="B1293">
        <v>9.8699999999999992</v>
      </c>
      <c r="C1293">
        <v>213.75</v>
      </c>
      <c r="D1293">
        <v>3.3940000000000001</v>
      </c>
      <c r="E1293">
        <v>14.09</v>
      </c>
      <c r="F1293">
        <v>7.4649999999999999</v>
      </c>
      <c r="G1293">
        <v>2.262</v>
      </c>
      <c r="H1293">
        <v>1.976</v>
      </c>
      <c r="I1293">
        <v>32.71</v>
      </c>
      <c r="J1293">
        <v>20.143000000000001</v>
      </c>
      <c r="K1293">
        <v>10.722</v>
      </c>
      <c r="L1293">
        <v>1.8560000000000001</v>
      </c>
      <c r="M1293">
        <v>4.1059999999999999</v>
      </c>
      <c r="N1293">
        <v>0.3</v>
      </c>
      <c r="O1293">
        <v>2.8769999999999998</v>
      </c>
      <c r="P1293">
        <v>1.3169999999999999</v>
      </c>
    </row>
    <row r="1294" spans="1:16" x14ac:dyDescent="0.25">
      <c r="A1294" s="1">
        <v>43069</v>
      </c>
      <c r="B1294">
        <v>9.8219999999999992</v>
      </c>
      <c r="C1294">
        <v>211</v>
      </c>
      <c r="D1294">
        <v>3.355</v>
      </c>
      <c r="E1294">
        <v>13.94</v>
      </c>
      <c r="F1294">
        <v>7.4560000000000004</v>
      </c>
      <c r="G1294">
        <v>2.2360000000000002</v>
      </c>
      <c r="H1294">
        <v>1.9259999999999999</v>
      </c>
      <c r="I1294">
        <v>32.71</v>
      </c>
      <c r="J1294">
        <v>20.239999999999998</v>
      </c>
      <c r="K1294">
        <v>10.678000000000001</v>
      </c>
      <c r="L1294">
        <v>1.8560000000000001</v>
      </c>
      <c r="M1294">
        <v>4.2370000000000001</v>
      </c>
      <c r="N1294">
        <v>0.31900000000000001</v>
      </c>
      <c r="O1294">
        <v>2.8769999999999998</v>
      </c>
      <c r="P1294">
        <v>1.3660000000000001</v>
      </c>
    </row>
    <row r="1295" spans="1:16" x14ac:dyDescent="0.25">
      <c r="A1295" s="1">
        <v>43070</v>
      </c>
      <c r="B1295">
        <v>9.8309999999999995</v>
      </c>
      <c r="C1295">
        <v>210.98</v>
      </c>
      <c r="D1295">
        <v>3.3170000000000002</v>
      </c>
      <c r="E1295">
        <v>13.95</v>
      </c>
      <c r="F1295">
        <v>7.3310000000000004</v>
      </c>
      <c r="G1295">
        <v>2.27</v>
      </c>
      <c r="H1295">
        <v>1.758</v>
      </c>
      <c r="I1295">
        <v>33.140999999999998</v>
      </c>
      <c r="J1295">
        <v>19.997</v>
      </c>
      <c r="K1295">
        <v>10.747999999999999</v>
      </c>
      <c r="L1295">
        <v>1.8169999999999999</v>
      </c>
      <c r="M1295">
        <v>4.194</v>
      </c>
      <c r="N1295">
        <v>0.32</v>
      </c>
      <c r="O1295">
        <v>2.8769999999999998</v>
      </c>
      <c r="P1295">
        <v>1.3759999999999999</v>
      </c>
    </row>
    <row r="1296" spans="1:16" x14ac:dyDescent="0.25">
      <c r="A1296" s="1">
        <v>43073</v>
      </c>
      <c r="B1296">
        <v>9.8219999999999992</v>
      </c>
      <c r="C1296">
        <v>209.25</v>
      </c>
      <c r="D1296">
        <v>3.3010000000000002</v>
      </c>
      <c r="E1296">
        <v>13.68</v>
      </c>
      <c r="F1296">
        <v>7.3040000000000003</v>
      </c>
      <c r="G1296">
        <v>2.2360000000000002</v>
      </c>
      <c r="H1296">
        <v>1.679</v>
      </c>
      <c r="I1296">
        <v>33.140999999999998</v>
      </c>
      <c r="J1296">
        <v>19.997</v>
      </c>
      <c r="K1296">
        <v>10.756</v>
      </c>
      <c r="L1296">
        <v>1.837</v>
      </c>
      <c r="M1296">
        <v>4.194</v>
      </c>
      <c r="N1296">
        <v>0.307</v>
      </c>
      <c r="O1296">
        <v>2.8679999999999999</v>
      </c>
      <c r="P1296">
        <v>1.357</v>
      </c>
    </row>
    <row r="1297" spans="1:16" x14ac:dyDescent="0.25">
      <c r="A1297" s="1">
        <v>43074</v>
      </c>
      <c r="B1297">
        <v>9.7550000000000008</v>
      </c>
      <c r="C1297">
        <v>207</v>
      </c>
      <c r="D1297">
        <v>3.24</v>
      </c>
      <c r="E1297">
        <v>13.44</v>
      </c>
      <c r="F1297">
        <v>7.3220000000000001</v>
      </c>
      <c r="G1297">
        <v>2.21</v>
      </c>
      <c r="H1297">
        <v>1.877</v>
      </c>
      <c r="I1297">
        <v>33.167000000000002</v>
      </c>
      <c r="J1297">
        <v>19.997</v>
      </c>
      <c r="K1297">
        <v>11.07</v>
      </c>
      <c r="L1297">
        <v>1.837</v>
      </c>
      <c r="M1297">
        <v>3.9929999999999999</v>
      </c>
      <c r="N1297">
        <v>0.29699999999999999</v>
      </c>
      <c r="O1297">
        <v>2.8580000000000001</v>
      </c>
      <c r="P1297">
        <v>1.3069999999999999</v>
      </c>
    </row>
    <row r="1298" spans="1:16" x14ac:dyDescent="0.25">
      <c r="A1298" s="1">
        <v>43075</v>
      </c>
      <c r="B1298">
        <v>9.7829999999999995</v>
      </c>
      <c r="C1298">
        <v>205.7</v>
      </c>
      <c r="D1298">
        <v>3.1779999999999999</v>
      </c>
      <c r="E1298">
        <v>13.26</v>
      </c>
      <c r="F1298">
        <v>7.2409999999999997</v>
      </c>
      <c r="G1298">
        <v>2.133</v>
      </c>
      <c r="H1298">
        <v>1.837</v>
      </c>
      <c r="I1298">
        <v>32.640999999999998</v>
      </c>
      <c r="J1298">
        <v>19.997</v>
      </c>
      <c r="K1298">
        <v>10.704000000000001</v>
      </c>
      <c r="L1298">
        <v>1.7310000000000001</v>
      </c>
      <c r="M1298">
        <v>3.9929999999999999</v>
      </c>
      <c r="N1298">
        <v>0.28699999999999998</v>
      </c>
      <c r="O1298">
        <v>2.8479999999999999</v>
      </c>
      <c r="P1298">
        <v>1.268</v>
      </c>
    </row>
    <row r="1299" spans="1:16" x14ac:dyDescent="0.25">
      <c r="A1299" s="1">
        <v>43076</v>
      </c>
      <c r="B1299">
        <v>9.7929999999999993</v>
      </c>
      <c r="C1299">
        <v>206.08</v>
      </c>
      <c r="D1299">
        <v>3.093</v>
      </c>
      <c r="E1299">
        <v>13.17</v>
      </c>
      <c r="F1299">
        <v>7.1970000000000001</v>
      </c>
      <c r="G1299">
        <v>2.15</v>
      </c>
      <c r="H1299">
        <v>1.9359999999999999</v>
      </c>
      <c r="I1299">
        <v>32.277999999999999</v>
      </c>
      <c r="J1299">
        <v>19.899999999999999</v>
      </c>
      <c r="K1299">
        <v>10.504</v>
      </c>
      <c r="L1299">
        <v>1.655</v>
      </c>
      <c r="M1299">
        <v>3.9929999999999999</v>
      </c>
      <c r="N1299">
        <v>0.28799999999999998</v>
      </c>
      <c r="O1299">
        <v>2.7909999999999999</v>
      </c>
      <c r="P1299">
        <v>1.3069999999999999</v>
      </c>
    </row>
    <row r="1300" spans="1:16" x14ac:dyDescent="0.25">
      <c r="A1300" s="1">
        <v>43080</v>
      </c>
      <c r="B1300">
        <v>9.9849999999999994</v>
      </c>
      <c r="C1300">
        <v>207.49</v>
      </c>
      <c r="D1300">
        <v>3.1240000000000001</v>
      </c>
      <c r="E1300">
        <v>12.8</v>
      </c>
      <c r="F1300">
        <v>7.125</v>
      </c>
      <c r="G1300">
        <v>2.15</v>
      </c>
      <c r="H1300">
        <v>1.966</v>
      </c>
      <c r="I1300">
        <v>32.14</v>
      </c>
      <c r="J1300">
        <v>19.899999999999999</v>
      </c>
      <c r="K1300">
        <v>10.46</v>
      </c>
      <c r="L1300">
        <v>1.6359999999999999</v>
      </c>
      <c r="M1300">
        <v>3.8530000000000002</v>
      </c>
      <c r="N1300">
        <v>0.28999999999999998</v>
      </c>
      <c r="O1300">
        <v>2.839</v>
      </c>
      <c r="P1300">
        <v>1.3069999999999999</v>
      </c>
    </row>
    <row r="1301" spans="1:16" x14ac:dyDescent="0.25">
      <c r="A1301" s="1">
        <v>43081</v>
      </c>
      <c r="B1301">
        <v>10.109</v>
      </c>
      <c r="C1301">
        <v>210.49</v>
      </c>
      <c r="D1301">
        <v>3.1240000000000001</v>
      </c>
      <c r="E1301">
        <v>13.05</v>
      </c>
      <c r="F1301">
        <v>7.3220000000000001</v>
      </c>
      <c r="G1301">
        <v>2.141</v>
      </c>
      <c r="H1301">
        <v>1.946</v>
      </c>
      <c r="I1301">
        <v>32.104999999999997</v>
      </c>
      <c r="J1301">
        <v>19.706</v>
      </c>
      <c r="K1301">
        <v>10.372999999999999</v>
      </c>
      <c r="L1301">
        <v>1.6359999999999999</v>
      </c>
      <c r="M1301">
        <v>3.8620000000000001</v>
      </c>
      <c r="N1301">
        <v>0.28999999999999998</v>
      </c>
      <c r="O1301">
        <v>2.82</v>
      </c>
      <c r="P1301">
        <v>1.288</v>
      </c>
    </row>
    <row r="1302" spans="1:16" x14ac:dyDescent="0.25">
      <c r="A1302" s="1">
        <v>43082</v>
      </c>
      <c r="B1302">
        <v>10.195</v>
      </c>
      <c r="C1302">
        <v>207.95</v>
      </c>
      <c r="D1302">
        <v>3.085</v>
      </c>
      <c r="E1302">
        <v>13.21</v>
      </c>
      <c r="F1302">
        <v>7.1340000000000003</v>
      </c>
      <c r="G1302">
        <v>2.0979999999999999</v>
      </c>
      <c r="H1302">
        <v>1.9259999999999999</v>
      </c>
      <c r="I1302">
        <v>31.673999999999999</v>
      </c>
      <c r="J1302">
        <v>19.706</v>
      </c>
      <c r="K1302">
        <v>10.372999999999999</v>
      </c>
      <c r="L1302">
        <v>1.55</v>
      </c>
      <c r="M1302">
        <v>3.8</v>
      </c>
      <c r="N1302">
        <v>0.28999999999999998</v>
      </c>
      <c r="O1302">
        <v>2.7330000000000001</v>
      </c>
      <c r="P1302">
        <v>1.278</v>
      </c>
    </row>
    <row r="1303" spans="1:16" x14ac:dyDescent="0.25">
      <c r="A1303" s="1">
        <v>43083</v>
      </c>
      <c r="B1303">
        <v>9.5340000000000007</v>
      </c>
      <c r="C1303">
        <v>196.5</v>
      </c>
      <c r="D1303">
        <v>3.008</v>
      </c>
      <c r="E1303">
        <v>12.92</v>
      </c>
      <c r="F1303">
        <v>6.9909999999999997</v>
      </c>
      <c r="G1303">
        <v>1.9950000000000001</v>
      </c>
      <c r="H1303">
        <v>1.837</v>
      </c>
      <c r="I1303">
        <v>31.061</v>
      </c>
      <c r="J1303">
        <v>19.123999999999999</v>
      </c>
      <c r="K1303">
        <v>10.198</v>
      </c>
      <c r="L1303">
        <v>1.5109999999999999</v>
      </c>
      <c r="M1303">
        <v>3.669</v>
      </c>
      <c r="N1303">
        <v>0.28000000000000003</v>
      </c>
      <c r="O1303">
        <v>2.6850000000000001</v>
      </c>
      <c r="P1303">
        <v>1.1990000000000001</v>
      </c>
    </row>
    <row r="1304" spans="1:16" x14ac:dyDescent="0.25">
      <c r="A1304" s="1">
        <v>43084</v>
      </c>
      <c r="B1304">
        <v>9.4960000000000004</v>
      </c>
      <c r="C1304">
        <v>193.87</v>
      </c>
      <c r="D1304">
        <v>3.008</v>
      </c>
      <c r="E1304">
        <v>12.82</v>
      </c>
      <c r="F1304">
        <v>6.9279999999999999</v>
      </c>
      <c r="G1304">
        <v>1.952</v>
      </c>
      <c r="H1304">
        <v>1.778</v>
      </c>
      <c r="I1304">
        <v>30.198</v>
      </c>
      <c r="J1304">
        <v>18.783999999999999</v>
      </c>
      <c r="K1304">
        <v>10.111000000000001</v>
      </c>
      <c r="L1304">
        <v>1.4830000000000001</v>
      </c>
      <c r="M1304">
        <v>3.5470000000000002</v>
      </c>
      <c r="N1304">
        <v>0.26600000000000001</v>
      </c>
      <c r="O1304">
        <v>2.6850000000000001</v>
      </c>
      <c r="P1304">
        <v>1.17</v>
      </c>
    </row>
    <row r="1305" spans="1:16" x14ac:dyDescent="0.25">
      <c r="A1305" s="1">
        <v>43087</v>
      </c>
      <c r="B1305">
        <v>9.6489999999999991</v>
      </c>
      <c r="C1305">
        <v>201.45</v>
      </c>
      <c r="D1305">
        <v>3.008</v>
      </c>
      <c r="E1305">
        <v>13.08</v>
      </c>
      <c r="F1305">
        <v>6.9279999999999999</v>
      </c>
      <c r="G1305">
        <v>2.012</v>
      </c>
      <c r="H1305">
        <v>1.867</v>
      </c>
      <c r="I1305">
        <v>30.129000000000001</v>
      </c>
      <c r="J1305">
        <v>18.765000000000001</v>
      </c>
      <c r="K1305">
        <v>10.023999999999999</v>
      </c>
      <c r="L1305">
        <v>1.5880000000000001</v>
      </c>
      <c r="M1305">
        <v>3.722</v>
      </c>
      <c r="N1305">
        <v>0.27900000000000003</v>
      </c>
      <c r="O1305">
        <v>2.81</v>
      </c>
      <c r="P1305">
        <v>1.2090000000000001</v>
      </c>
    </row>
    <row r="1306" spans="1:16" x14ac:dyDescent="0.25">
      <c r="A1306" s="1">
        <v>43088</v>
      </c>
      <c r="B1306">
        <v>9.8699999999999992</v>
      </c>
      <c r="C1306">
        <v>204.56</v>
      </c>
      <c r="D1306">
        <v>3.0470000000000002</v>
      </c>
      <c r="E1306">
        <v>13.19</v>
      </c>
      <c r="F1306">
        <v>6.9729999999999999</v>
      </c>
      <c r="G1306">
        <v>1.978</v>
      </c>
      <c r="H1306">
        <v>1.798</v>
      </c>
      <c r="I1306">
        <v>30.215</v>
      </c>
      <c r="J1306">
        <v>18.579999999999998</v>
      </c>
      <c r="K1306">
        <v>10.068</v>
      </c>
      <c r="L1306">
        <v>1.55</v>
      </c>
      <c r="M1306">
        <v>3.5379999999999998</v>
      </c>
      <c r="N1306">
        <v>0.26600000000000001</v>
      </c>
      <c r="O1306">
        <v>2.8</v>
      </c>
      <c r="P1306">
        <v>1.1890000000000001</v>
      </c>
    </row>
    <row r="1307" spans="1:16" x14ac:dyDescent="0.25">
      <c r="A1307" s="1">
        <v>43089</v>
      </c>
      <c r="B1307">
        <v>9.8699999999999992</v>
      </c>
      <c r="C1307">
        <v>205.06</v>
      </c>
      <c r="D1307">
        <v>3.085</v>
      </c>
      <c r="E1307">
        <v>13.6</v>
      </c>
      <c r="F1307">
        <v>7.0090000000000003</v>
      </c>
      <c r="G1307">
        <v>2.0379999999999998</v>
      </c>
      <c r="H1307">
        <v>1.8080000000000001</v>
      </c>
      <c r="I1307">
        <v>30.853999999999999</v>
      </c>
      <c r="J1307">
        <v>18.492999999999999</v>
      </c>
      <c r="K1307">
        <v>10.183</v>
      </c>
      <c r="L1307">
        <v>1.55</v>
      </c>
      <c r="M1307">
        <v>3.6259999999999999</v>
      </c>
      <c r="N1307">
        <v>0.27500000000000002</v>
      </c>
      <c r="O1307">
        <v>2.7810000000000001</v>
      </c>
      <c r="P1307">
        <v>1.2090000000000001</v>
      </c>
    </row>
    <row r="1308" spans="1:16" x14ac:dyDescent="0.25">
      <c r="A1308" s="1">
        <v>43090</v>
      </c>
      <c r="B1308">
        <v>9.8699999999999992</v>
      </c>
      <c r="C1308">
        <v>200.3</v>
      </c>
      <c r="D1308">
        <v>3.085</v>
      </c>
      <c r="E1308">
        <v>13.71</v>
      </c>
      <c r="F1308">
        <v>6.9550000000000001</v>
      </c>
      <c r="G1308">
        <v>2.1070000000000002</v>
      </c>
      <c r="H1308">
        <v>1.778</v>
      </c>
      <c r="I1308">
        <v>31.242000000000001</v>
      </c>
      <c r="J1308">
        <v>18.734999999999999</v>
      </c>
      <c r="K1308">
        <v>10.307</v>
      </c>
      <c r="L1308">
        <v>1.55</v>
      </c>
      <c r="M1308">
        <v>3.722</v>
      </c>
      <c r="N1308">
        <v>0.28199999999999997</v>
      </c>
      <c r="O1308">
        <v>2.7719999999999998</v>
      </c>
      <c r="P1308">
        <v>1.248</v>
      </c>
    </row>
    <row r="1309" spans="1:16" x14ac:dyDescent="0.25">
      <c r="A1309" s="1">
        <v>43091</v>
      </c>
      <c r="B1309">
        <v>10.157</v>
      </c>
      <c r="C1309">
        <v>207.5</v>
      </c>
      <c r="D1309">
        <v>3.2010000000000001</v>
      </c>
      <c r="E1309">
        <v>13.7</v>
      </c>
      <c r="F1309">
        <v>7.2320000000000002</v>
      </c>
      <c r="G1309">
        <v>2.1760000000000002</v>
      </c>
      <c r="H1309">
        <v>1.887</v>
      </c>
      <c r="I1309">
        <v>32.104999999999997</v>
      </c>
      <c r="J1309">
        <v>19.512</v>
      </c>
      <c r="K1309">
        <v>10.528</v>
      </c>
      <c r="L1309">
        <v>1.712</v>
      </c>
      <c r="M1309">
        <v>4.0190000000000001</v>
      </c>
      <c r="N1309">
        <v>0.3</v>
      </c>
      <c r="O1309">
        <v>2.8290000000000002</v>
      </c>
      <c r="P1309">
        <v>1.3169999999999999</v>
      </c>
    </row>
    <row r="1310" spans="1:16" x14ac:dyDescent="0.25">
      <c r="A1310" s="1">
        <v>43095</v>
      </c>
      <c r="B1310">
        <v>10.147</v>
      </c>
      <c r="C1310">
        <v>206.39</v>
      </c>
      <c r="D1310">
        <v>3.2010000000000001</v>
      </c>
      <c r="E1310">
        <v>14</v>
      </c>
      <c r="F1310">
        <v>7.0720000000000001</v>
      </c>
      <c r="G1310">
        <v>2.141</v>
      </c>
      <c r="H1310">
        <v>1.778</v>
      </c>
      <c r="I1310">
        <v>32.192</v>
      </c>
      <c r="J1310">
        <v>19.512</v>
      </c>
      <c r="K1310">
        <v>10.528</v>
      </c>
      <c r="L1310">
        <v>1.6259999999999999</v>
      </c>
      <c r="M1310">
        <v>4.0190000000000001</v>
      </c>
      <c r="N1310">
        <v>0.29899999999999999</v>
      </c>
      <c r="O1310">
        <v>2.8290000000000002</v>
      </c>
      <c r="P1310">
        <v>1.258</v>
      </c>
    </row>
    <row r="1311" spans="1:16" x14ac:dyDescent="0.25">
      <c r="A1311" s="1">
        <v>43096</v>
      </c>
      <c r="B1311">
        <v>10.09</v>
      </c>
      <c r="C1311">
        <v>206.3</v>
      </c>
      <c r="D1311">
        <v>3.2010000000000001</v>
      </c>
      <c r="E1311">
        <v>13.98</v>
      </c>
      <c r="F1311">
        <v>7.0720000000000001</v>
      </c>
      <c r="G1311">
        <v>2.15</v>
      </c>
      <c r="H1311">
        <v>1.827</v>
      </c>
      <c r="I1311">
        <v>32.363999999999997</v>
      </c>
      <c r="J1311">
        <v>19.899999999999999</v>
      </c>
      <c r="K1311">
        <v>10.528</v>
      </c>
      <c r="L1311">
        <v>1.6259999999999999</v>
      </c>
      <c r="M1311">
        <v>4.0190000000000001</v>
      </c>
      <c r="N1311">
        <v>0.28999999999999998</v>
      </c>
      <c r="O1311">
        <v>2.8290000000000002</v>
      </c>
      <c r="P1311">
        <v>1.258</v>
      </c>
    </row>
    <row r="1312" spans="1:16" x14ac:dyDescent="0.25">
      <c r="A1312" s="1">
        <v>43097</v>
      </c>
      <c r="B1312">
        <v>10.061</v>
      </c>
      <c r="C1312">
        <v>206.9</v>
      </c>
      <c r="D1312">
        <v>3.2010000000000001</v>
      </c>
      <c r="E1312">
        <v>14.07</v>
      </c>
      <c r="F1312">
        <v>7.1970000000000001</v>
      </c>
      <c r="G1312">
        <v>2.1930000000000001</v>
      </c>
      <c r="H1312">
        <v>1.778</v>
      </c>
      <c r="I1312">
        <v>33.226999999999997</v>
      </c>
      <c r="J1312">
        <v>20.385999999999999</v>
      </c>
      <c r="K1312">
        <v>10.616</v>
      </c>
      <c r="L1312">
        <v>1.7030000000000001</v>
      </c>
      <c r="M1312">
        <v>4.0190000000000001</v>
      </c>
      <c r="N1312">
        <v>0.31</v>
      </c>
      <c r="O1312">
        <v>2.8580000000000001</v>
      </c>
      <c r="P1312">
        <v>1.278</v>
      </c>
    </row>
    <row r="1313" spans="1:16" x14ac:dyDescent="0.25">
      <c r="A1313" s="1">
        <v>43098</v>
      </c>
      <c r="B1313">
        <v>10.157</v>
      </c>
      <c r="C1313">
        <v>208</v>
      </c>
      <c r="D1313">
        <v>3.2010000000000001</v>
      </c>
      <c r="E1313">
        <v>14.12</v>
      </c>
      <c r="F1313">
        <v>7.2859999999999996</v>
      </c>
      <c r="G1313">
        <v>2.1930000000000001</v>
      </c>
      <c r="H1313">
        <v>1.847</v>
      </c>
      <c r="I1313">
        <v>33.226999999999997</v>
      </c>
      <c r="J1313">
        <v>20.385999999999999</v>
      </c>
      <c r="K1313">
        <v>10.661</v>
      </c>
      <c r="L1313">
        <v>1.722</v>
      </c>
      <c r="M1313">
        <v>4.0190000000000001</v>
      </c>
      <c r="N1313">
        <v>0.31</v>
      </c>
      <c r="O1313">
        <v>2.8769999999999998</v>
      </c>
      <c r="P1313">
        <v>1.298</v>
      </c>
    </row>
    <row r="1314" spans="1:16" x14ac:dyDescent="0.25">
      <c r="A1314" s="1">
        <v>43102</v>
      </c>
      <c r="B1314">
        <v>10.301</v>
      </c>
      <c r="C1314">
        <v>213.05</v>
      </c>
      <c r="D1314">
        <v>3.278</v>
      </c>
      <c r="E1314">
        <v>14.5</v>
      </c>
      <c r="F1314">
        <v>7.1970000000000001</v>
      </c>
      <c r="G1314">
        <v>2.2360000000000002</v>
      </c>
      <c r="H1314">
        <v>1.847</v>
      </c>
      <c r="I1314">
        <v>33.097999999999999</v>
      </c>
      <c r="J1314">
        <v>20.385999999999999</v>
      </c>
      <c r="K1314">
        <v>10.616</v>
      </c>
      <c r="L1314">
        <v>1.7410000000000001</v>
      </c>
      <c r="M1314">
        <v>4.1059999999999999</v>
      </c>
      <c r="N1314">
        <v>0.32</v>
      </c>
      <c r="O1314">
        <v>2.8769999999999998</v>
      </c>
      <c r="P1314">
        <v>1.337</v>
      </c>
    </row>
    <row r="1315" spans="1:16" x14ac:dyDescent="0.25">
      <c r="A1315" s="1">
        <v>43103</v>
      </c>
      <c r="B1315">
        <v>10.253</v>
      </c>
      <c r="C1315">
        <v>218</v>
      </c>
      <c r="D1315">
        <v>3.286</v>
      </c>
      <c r="E1315">
        <v>14.6</v>
      </c>
      <c r="F1315">
        <v>7.2409999999999997</v>
      </c>
      <c r="G1315">
        <v>2.2269999999999999</v>
      </c>
      <c r="H1315">
        <v>1.827</v>
      </c>
      <c r="I1315">
        <v>33.115000000000002</v>
      </c>
      <c r="J1315">
        <v>20.289000000000001</v>
      </c>
      <c r="K1315">
        <v>10.705</v>
      </c>
      <c r="L1315">
        <v>1.798</v>
      </c>
      <c r="M1315">
        <v>4.1059999999999999</v>
      </c>
      <c r="N1315">
        <v>0.32200000000000001</v>
      </c>
      <c r="O1315">
        <v>2.8479999999999999</v>
      </c>
      <c r="P1315">
        <v>1.327</v>
      </c>
    </row>
    <row r="1316" spans="1:16" x14ac:dyDescent="0.25">
      <c r="A1316" s="1">
        <v>43104</v>
      </c>
      <c r="B1316">
        <v>10.396000000000001</v>
      </c>
      <c r="C1316">
        <v>219.5</v>
      </c>
      <c r="D1316">
        <v>3.3239999999999998</v>
      </c>
      <c r="E1316">
        <v>15</v>
      </c>
      <c r="F1316">
        <v>7.1970000000000001</v>
      </c>
      <c r="G1316">
        <v>2.2269999999999999</v>
      </c>
      <c r="H1316">
        <v>1.827</v>
      </c>
      <c r="I1316">
        <v>33.658999999999999</v>
      </c>
      <c r="J1316">
        <v>20.289000000000001</v>
      </c>
      <c r="K1316">
        <v>10.625</v>
      </c>
      <c r="L1316">
        <v>1.837</v>
      </c>
      <c r="M1316">
        <v>4.194</v>
      </c>
      <c r="N1316">
        <v>0.34300000000000003</v>
      </c>
      <c r="O1316">
        <v>2.8</v>
      </c>
      <c r="P1316">
        <v>1.347</v>
      </c>
    </row>
    <row r="1317" spans="1:16" x14ac:dyDescent="0.25">
      <c r="A1317" s="1">
        <v>43105</v>
      </c>
      <c r="B1317">
        <v>10.683999999999999</v>
      </c>
      <c r="C1317">
        <v>223</v>
      </c>
      <c r="D1317">
        <v>3.3780000000000001</v>
      </c>
      <c r="E1317">
        <v>14.87</v>
      </c>
      <c r="F1317">
        <v>7.2409999999999997</v>
      </c>
      <c r="G1317">
        <v>2.2269999999999999</v>
      </c>
      <c r="H1317">
        <v>1.827</v>
      </c>
      <c r="I1317">
        <v>33.658999999999999</v>
      </c>
      <c r="J1317">
        <v>20.192</v>
      </c>
      <c r="K1317">
        <v>10.643000000000001</v>
      </c>
      <c r="L1317">
        <v>1.865</v>
      </c>
      <c r="M1317">
        <v>4.2460000000000004</v>
      </c>
      <c r="N1317">
        <v>0.34</v>
      </c>
      <c r="O1317">
        <v>2.82</v>
      </c>
      <c r="P1317">
        <v>1.337</v>
      </c>
    </row>
    <row r="1318" spans="1:16" x14ac:dyDescent="0.25">
      <c r="A1318" s="1">
        <v>43108</v>
      </c>
      <c r="B1318">
        <v>10.731999999999999</v>
      </c>
      <c r="C1318">
        <v>220.3</v>
      </c>
      <c r="D1318">
        <v>3.355</v>
      </c>
      <c r="E1318">
        <v>14.31</v>
      </c>
      <c r="F1318">
        <v>7.1970000000000001</v>
      </c>
      <c r="G1318">
        <v>2.2189999999999999</v>
      </c>
      <c r="H1318">
        <v>1.837</v>
      </c>
      <c r="I1318">
        <v>34.090000000000003</v>
      </c>
      <c r="J1318">
        <v>20.385999999999999</v>
      </c>
      <c r="K1318">
        <v>10.705</v>
      </c>
      <c r="L1318">
        <v>1.875</v>
      </c>
      <c r="M1318">
        <v>4.2460000000000004</v>
      </c>
      <c r="N1318">
        <v>0.34499999999999997</v>
      </c>
      <c r="O1318">
        <v>2.82</v>
      </c>
      <c r="P1318">
        <v>1.3660000000000001</v>
      </c>
    </row>
    <row r="1319" spans="1:16" x14ac:dyDescent="0.25">
      <c r="A1319" s="1">
        <v>43109</v>
      </c>
      <c r="B1319">
        <v>10.78</v>
      </c>
      <c r="C1319">
        <v>219.8</v>
      </c>
      <c r="D1319">
        <v>3.355</v>
      </c>
      <c r="E1319">
        <v>14.21</v>
      </c>
      <c r="F1319">
        <v>7.25</v>
      </c>
      <c r="G1319">
        <v>2.2269999999999999</v>
      </c>
      <c r="H1319">
        <v>1.857</v>
      </c>
      <c r="I1319">
        <v>34.262999999999998</v>
      </c>
      <c r="J1319">
        <v>20.221</v>
      </c>
      <c r="K1319">
        <v>10.616</v>
      </c>
      <c r="L1319">
        <v>1.875</v>
      </c>
      <c r="M1319">
        <v>4.2370000000000001</v>
      </c>
      <c r="N1319">
        <v>0.35699999999999998</v>
      </c>
      <c r="O1319">
        <v>2.7810000000000001</v>
      </c>
      <c r="P1319">
        <v>1.3959999999999999</v>
      </c>
    </row>
    <row r="1320" spans="1:16" x14ac:dyDescent="0.25">
      <c r="A1320" s="1">
        <v>43110</v>
      </c>
      <c r="B1320">
        <v>10.731999999999999</v>
      </c>
      <c r="C1320">
        <v>219.1</v>
      </c>
      <c r="D1320">
        <v>3.363</v>
      </c>
      <c r="E1320">
        <v>14.2</v>
      </c>
      <c r="F1320">
        <v>7.25</v>
      </c>
      <c r="G1320">
        <v>2.2189999999999999</v>
      </c>
      <c r="H1320">
        <v>1.887</v>
      </c>
      <c r="I1320">
        <v>34.521999999999998</v>
      </c>
      <c r="J1320">
        <v>20.221</v>
      </c>
      <c r="K1320">
        <v>10.616</v>
      </c>
      <c r="L1320">
        <v>1.8939999999999999</v>
      </c>
      <c r="M1320">
        <v>4.3680000000000003</v>
      </c>
      <c r="N1320">
        <v>0.36399999999999999</v>
      </c>
      <c r="O1320">
        <v>2.81</v>
      </c>
      <c r="P1320">
        <v>1.3859999999999999</v>
      </c>
    </row>
    <row r="1321" spans="1:16" x14ac:dyDescent="0.25">
      <c r="A1321" s="1">
        <v>43111</v>
      </c>
      <c r="B1321">
        <v>10.683999999999999</v>
      </c>
      <c r="C1321">
        <v>219.6</v>
      </c>
      <c r="D1321">
        <v>3.3860000000000001</v>
      </c>
      <c r="E1321">
        <v>14.26</v>
      </c>
      <c r="F1321">
        <v>7.2859999999999996</v>
      </c>
      <c r="G1321">
        <v>2.2269999999999999</v>
      </c>
      <c r="H1321">
        <v>1.9259999999999999</v>
      </c>
      <c r="I1321">
        <v>34.512999999999998</v>
      </c>
      <c r="J1321">
        <v>20.385999999999999</v>
      </c>
      <c r="K1321">
        <v>10.661</v>
      </c>
      <c r="L1321">
        <v>1.8939999999999999</v>
      </c>
      <c r="M1321">
        <v>4.3949999999999996</v>
      </c>
      <c r="N1321">
        <v>0.34799999999999998</v>
      </c>
      <c r="O1321">
        <v>2.8769999999999998</v>
      </c>
      <c r="P1321">
        <v>1.3759999999999999</v>
      </c>
    </row>
    <row r="1322" spans="1:16" x14ac:dyDescent="0.25">
      <c r="A1322" s="1">
        <v>43112</v>
      </c>
      <c r="B1322">
        <v>10.827999999999999</v>
      </c>
      <c r="C1322">
        <v>222.8</v>
      </c>
      <c r="D1322">
        <v>3.3860000000000001</v>
      </c>
      <c r="E1322">
        <v>14.62</v>
      </c>
      <c r="F1322">
        <v>7.375</v>
      </c>
      <c r="G1322">
        <v>2.2189999999999999</v>
      </c>
      <c r="H1322">
        <v>1.966</v>
      </c>
      <c r="I1322">
        <v>34.695</v>
      </c>
      <c r="J1322">
        <v>20.239999999999998</v>
      </c>
      <c r="K1322">
        <v>10.661</v>
      </c>
      <c r="L1322">
        <v>1.913</v>
      </c>
      <c r="M1322">
        <v>4.4290000000000003</v>
      </c>
      <c r="N1322">
        <v>0.36</v>
      </c>
      <c r="O1322">
        <v>2.8769999999999998</v>
      </c>
      <c r="P1322">
        <v>1.3859999999999999</v>
      </c>
    </row>
    <row r="1323" spans="1:16" x14ac:dyDescent="0.25">
      <c r="A1323" s="1">
        <v>43115</v>
      </c>
      <c r="B1323">
        <v>10.827999999999999</v>
      </c>
      <c r="C1323">
        <v>222.3</v>
      </c>
      <c r="D1323">
        <v>3.3239999999999998</v>
      </c>
      <c r="E1323">
        <v>14.7</v>
      </c>
      <c r="F1323">
        <v>7.4290000000000003</v>
      </c>
      <c r="G1323">
        <v>2.2269999999999999</v>
      </c>
      <c r="H1323">
        <v>1.966</v>
      </c>
      <c r="I1323">
        <v>34.695</v>
      </c>
      <c r="J1323">
        <v>20.192</v>
      </c>
      <c r="K1323">
        <v>10.661</v>
      </c>
      <c r="L1323">
        <v>1.913</v>
      </c>
      <c r="M1323">
        <v>4.4640000000000004</v>
      </c>
      <c r="N1323">
        <v>0.35499999999999998</v>
      </c>
      <c r="O1323">
        <v>2.8769999999999998</v>
      </c>
      <c r="P1323">
        <v>1.3959999999999999</v>
      </c>
    </row>
    <row r="1324" spans="1:16" x14ac:dyDescent="0.25">
      <c r="A1324" s="1">
        <v>43116</v>
      </c>
      <c r="B1324">
        <v>11.259</v>
      </c>
      <c r="C1324">
        <v>223.7</v>
      </c>
      <c r="D1324">
        <v>3.3780000000000001</v>
      </c>
      <c r="E1324">
        <v>14.83</v>
      </c>
      <c r="F1324">
        <v>7.4649999999999999</v>
      </c>
      <c r="G1324">
        <v>2.2360000000000002</v>
      </c>
      <c r="H1324">
        <v>1.976</v>
      </c>
      <c r="I1324">
        <v>34.686</v>
      </c>
      <c r="J1324">
        <v>20.192</v>
      </c>
      <c r="K1324">
        <v>10.571999999999999</v>
      </c>
      <c r="L1324">
        <v>1.913</v>
      </c>
      <c r="M1324">
        <v>4.4989999999999997</v>
      </c>
      <c r="N1324">
        <v>0.35499999999999998</v>
      </c>
      <c r="O1324">
        <v>2.8769999999999998</v>
      </c>
      <c r="P1324">
        <v>1.3759999999999999</v>
      </c>
    </row>
    <row r="1325" spans="1:16" x14ac:dyDescent="0.25">
      <c r="A1325" s="1">
        <v>43117</v>
      </c>
      <c r="B1325">
        <v>11.125</v>
      </c>
      <c r="C1325">
        <v>225.75</v>
      </c>
      <c r="D1325">
        <v>3.3780000000000001</v>
      </c>
      <c r="E1325">
        <v>14.68</v>
      </c>
      <c r="F1325">
        <v>7.51</v>
      </c>
      <c r="G1325">
        <v>2.2269999999999999</v>
      </c>
      <c r="H1325">
        <v>1.966</v>
      </c>
      <c r="I1325">
        <v>34.521999999999998</v>
      </c>
      <c r="J1325">
        <v>19.803000000000001</v>
      </c>
      <c r="K1325">
        <v>10.616</v>
      </c>
      <c r="L1325">
        <v>1.827</v>
      </c>
      <c r="M1325">
        <v>4.4820000000000002</v>
      </c>
      <c r="N1325">
        <v>0.35</v>
      </c>
      <c r="O1325">
        <v>2.8769999999999998</v>
      </c>
      <c r="P1325">
        <v>1.357</v>
      </c>
    </row>
    <row r="1326" spans="1:16" x14ac:dyDescent="0.25">
      <c r="A1326" s="1">
        <v>43118</v>
      </c>
      <c r="B1326">
        <v>11.125</v>
      </c>
      <c r="C1326">
        <v>226.8</v>
      </c>
      <c r="D1326">
        <v>3.3780000000000001</v>
      </c>
      <c r="E1326">
        <v>14.79</v>
      </c>
      <c r="F1326">
        <v>7.51</v>
      </c>
      <c r="G1326">
        <v>2.2360000000000002</v>
      </c>
      <c r="H1326">
        <v>1.966</v>
      </c>
      <c r="I1326">
        <v>34.521999999999998</v>
      </c>
      <c r="J1326">
        <v>19.803000000000001</v>
      </c>
      <c r="K1326">
        <v>10.705</v>
      </c>
      <c r="L1326">
        <v>1.827</v>
      </c>
      <c r="M1326">
        <v>4.4989999999999997</v>
      </c>
      <c r="N1326">
        <v>0.35</v>
      </c>
      <c r="O1326">
        <v>2.8290000000000002</v>
      </c>
      <c r="P1326">
        <v>1.3759999999999999</v>
      </c>
    </row>
    <row r="1327" spans="1:16" x14ac:dyDescent="0.25">
      <c r="A1327" s="1">
        <v>43119</v>
      </c>
      <c r="B1327">
        <v>10.923999999999999</v>
      </c>
      <c r="C1327">
        <v>229.43</v>
      </c>
      <c r="D1327">
        <v>3.3090000000000002</v>
      </c>
      <c r="E1327">
        <v>15.05</v>
      </c>
      <c r="F1327">
        <v>7.51</v>
      </c>
      <c r="G1327">
        <v>2.2269999999999999</v>
      </c>
      <c r="H1327">
        <v>1.966</v>
      </c>
      <c r="I1327">
        <v>34.436</v>
      </c>
      <c r="J1327">
        <v>19.803000000000001</v>
      </c>
      <c r="K1327">
        <v>10.705</v>
      </c>
      <c r="L1327">
        <v>1.827</v>
      </c>
      <c r="M1327">
        <v>4.4989999999999997</v>
      </c>
      <c r="N1327">
        <v>0.34499999999999997</v>
      </c>
      <c r="O1327">
        <v>2.8580000000000001</v>
      </c>
      <c r="P1327">
        <v>1.3759999999999999</v>
      </c>
    </row>
    <row r="1328" spans="1:16" x14ac:dyDescent="0.25">
      <c r="A1328" s="1">
        <v>43122</v>
      </c>
      <c r="B1328">
        <v>10.971</v>
      </c>
      <c r="C1328">
        <v>229.9</v>
      </c>
      <c r="D1328">
        <v>3.286</v>
      </c>
      <c r="E1328">
        <v>15.14</v>
      </c>
      <c r="F1328">
        <v>7.51</v>
      </c>
      <c r="G1328">
        <v>2.2189999999999999</v>
      </c>
      <c r="H1328">
        <v>1.9259999999999999</v>
      </c>
      <c r="I1328">
        <v>34.436</v>
      </c>
      <c r="J1328">
        <v>19.997</v>
      </c>
      <c r="K1328">
        <v>10.705</v>
      </c>
      <c r="L1328">
        <v>1.827</v>
      </c>
      <c r="M1328">
        <v>4.4560000000000004</v>
      </c>
      <c r="N1328">
        <v>0.35099999999999998</v>
      </c>
      <c r="O1328">
        <v>2.8580000000000001</v>
      </c>
      <c r="P1328">
        <v>1.357</v>
      </c>
    </row>
    <row r="1329" spans="1:16" x14ac:dyDescent="0.25">
      <c r="A1329" s="1">
        <v>43123</v>
      </c>
      <c r="B1329">
        <v>11</v>
      </c>
      <c r="C1329">
        <v>232.8</v>
      </c>
      <c r="D1329">
        <v>3.3319999999999999</v>
      </c>
      <c r="E1329">
        <v>15.15</v>
      </c>
      <c r="F1329">
        <v>7.4379999999999997</v>
      </c>
      <c r="G1329">
        <v>2.21</v>
      </c>
      <c r="H1329">
        <v>1.9259999999999999</v>
      </c>
      <c r="I1329">
        <v>34.530999999999999</v>
      </c>
      <c r="J1329">
        <v>19.988</v>
      </c>
      <c r="K1329">
        <v>10.705</v>
      </c>
      <c r="L1329">
        <v>1.827</v>
      </c>
      <c r="M1329">
        <v>4.4640000000000004</v>
      </c>
      <c r="N1329">
        <v>0.35099999999999998</v>
      </c>
      <c r="O1329">
        <v>2.82</v>
      </c>
      <c r="P1329">
        <v>1.347</v>
      </c>
    </row>
    <row r="1330" spans="1:16" x14ac:dyDescent="0.25">
      <c r="A1330" s="1">
        <v>43124</v>
      </c>
      <c r="B1330">
        <v>11.125</v>
      </c>
      <c r="C1330">
        <v>236.35</v>
      </c>
      <c r="D1330">
        <v>3.371</v>
      </c>
      <c r="E1330">
        <v>15.81</v>
      </c>
      <c r="F1330">
        <v>7.4740000000000002</v>
      </c>
      <c r="G1330">
        <v>2.2189999999999999</v>
      </c>
      <c r="H1330">
        <v>1.9159999999999999</v>
      </c>
      <c r="I1330">
        <v>34.695</v>
      </c>
      <c r="J1330">
        <v>19.978000000000002</v>
      </c>
      <c r="K1330">
        <v>10.705</v>
      </c>
      <c r="L1330">
        <v>1.827</v>
      </c>
      <c r="M1330">
        <v>4.4820000000000002</v>
      </c>
      <c r="N1330">
        <v>0.36499999999999999</v>
      </c>
      <c r="O1330">
        <v>2.839</v>
      </c>
      <c r="P1330">
        <v>1.3660000000000001</v>
      </c>
    </row>
    <row r="1331" spans="1:16" x14ac:dyDescent="0.25">
      <c r="A1331" s="1">
        <v>43125</v>
      </c>
      <c r="B1331">
        <v>11.125</v>
      </c>
      <c r="C1331">
        <v>234.7</v>
      </c>
      <c r="D1331">
        <v>3.3780000000000001</v>
      </c>
      <c r="E1331">
        <v>15.71</v>
      </c>
      <c r="F1331">
        <v>7.4020000000000001</v>
      </c>
      <c r="G1331">
        <v>2.21</v>
      </c>
      <c r="H1331">
        <v>1.9159999999999999</v>
      </c>
      <c r="I1331">
        <v>34.720999999999997</v>
      </c>
      <c r="J1331">
        <v>19.899999999999999</v>
      </c>
      <c r="K1331">
        <v>10.705</v>
      </c>
      <c r="L1331">
        <v>1.7789999999999999</v>
      </c>
      <c r="M1331">
        <v>4.5960000000000001</v>
      </c>
      <c r="N1331">
        <v>0.36499999999999999</v>
      </c>
      <c r="O1331">
        <v>2.9249999999999998</v>
      </c>
      <c r="P1331">
        <v>1.347</v>
      </c>
    </row>
    <row r="1332" spans="1:16" x14ac:dyDescent="0.25">
      <c r="A1332" s="1">
        <v>43126</v>
      </c>
      <c r="B1332">
        <v>11.153</v>
      </c>
      <c r="C1332">
        <v>235.17</v>
      </c>
      <c r="D1332">
        <v>3.3780000000000001</v>
      </c>
      <c r="E1332">
        <v>16.2</v>
      </c>
      <c r="F1332">
        <v>7.375</v>
      </c>
      <c r="G1332">
        <v>2.3050000000000002</v>
      </c>
      <c r="H1332">
        <v>1.788</v>
      </c>
      <c r="I1332">
        <v>34.841000000000001</v>
      </c>
      <c r="J1332">
        <v>19.997</v>
      </c>
      <c r="K1332">
        <v>10.705</v>
      </c>
      <c r="L1332">
        <v>1.77</v>
      </c>
      <c r="M1332">
        <v>4.6740000000000004</v>
      </c>
      <c r="N1332">
        <v>0.36099999999999999</v>
      </c>
      <c r="O1332">
        <v>2.9249999999999998</v>
      </c>
      <c r="P1332">
        <v>1.347</v>
      </c>
    </row>
    <row r="1333" spans="1:16" x14ac:dyDescent="0.25">
      <c r="A1333" s="1">
        <v>43129</v>
      </c>
      <c r="B1333">
        <v>11.134</v>
      </c>
      <c r="C1333">
        <v>236.79</v>
      </c>
      <c r="D1333">
        <v>3.363</v>
      </c>
      <c r="E1333">
        <v>15.78</v>
      </c>
      <c r="F1333">
        <v>7.375</v>
      </c>
      <c r="G1333">
        <v>2.2789999999999999</v>
      </c>
      <c r="H1333">
        <v>1.788</v>
      </c>
      <c r="I1333">
        <v>34.970999999999997</v>
      </c>
      <c r="J1333">
        <v>20.492000000000001</v>
      </c>
      <c r="K1333">
        <v>10.705</v>
      </c>
      <c r="L1333">
        <v>1.7889999999999999</v>
      </c>
      <c r="M1333">
        <v>4.8049999999999997</v>
      </c>
      <c r="N1333">
        <v>0.36</v>
      </c>
      <c r="O1333">
        <v>2.9060000000000001</v>
      </c>
      <c r="P1333">
        <v>1.3660000000000001</v>
      </c>
    </row>
    <row r="1334" spans="1:16" x14ac:dyDescent="0.25">
      <c r="A1334" s="1">
        <v>43130</v>
      </c>
      <c r="B1334">
        <v>11.019</v>
      </c>
      <c r="C1334">
        <v>236</v>
      </c>
      <c r="D1334">
        <v>3.3239999999999998</v>
      </c>
      <c r="E1334">
        <v>15.3</v>
      </c>
      <c r="F1334">
        <v>7.3310000000000004</v>
      </c>
      <c r="G1334">
        <v>2.2269999999999999</v>
      </c>
      <c r="H1334">
        <v>1.788</v>
      </c>
      <c r="I1334">
        <v>34.978999999999999</v>
      </c>
      <c r="J1334">
        <v>20.870999999999999</v>
      </c>
      <c r="K1334">
        <v>10.712999999999999</v>
      </c>
      <c r="L1334">
        <v>1.77</v>
      </c>
      <c r="M1334">
        <v>4.8049999999999997</v>
      </c>
      <c r="N1334">
        <v>0.36</v>
      </c>
      <c r="O1334">
        <v>2.8769999999999998</v>
      </c>
      <c r="P1334">
        <v>1.347</v>
      </c>
    </row>
    <row r="1335" spans="1:16" x14ac:dyDescent="0.25">
      <c r="A1335" s="1">
        <v>43131</v>
      </c>
      <c r="B1335">
        <v>10.694000000000001</v>
      </c>
      <c r="C1335">
        <v>233.1</v>
      </c>
      <c r="D1335">
        <v>3.363</v>
      </c>
      <c r="E1335">
        <v>15.45</v>
      </c>
      <c r="F1335">
        <v>7.4649999999999999</v>
      </c>
      <c r="G1335">
        <v>2.2269999999999999</v>
      </c>
      <c r="H1335">
        <v>1.827</v>
      </c>
      <c r="I1335">
        <v>34.780999999999999</v>
      </c>
      <c r="J1335">
        <v>21.356000000000002</v>
      </c>
      <c r="K1335">
        <v>10.616</v>
      </c>
      <c r="L1335">
        <v>1.8169999999999999</v>
      </c>
      <c r="M1335">
        <v>4.8490000000000002</v>
      </c>
      <c r="N1335">
        <v>0.35099999999999998</v>
      </c>
      <c r="O1335">
        <v>2.9249999999999998</v>
      </c>
      <c r="P1335">
        <v>1.347</v>
      </c>
    </row>
    <row r="1336" spans="1:16" x14ac:dyDescent="0.25">
      <c r="A1336" s="1">
        <v>43132</v>
      </c>
      <c r="B1336">
        <v>10.789</v>
      </c>
      <c r="C1336">
        <v>231</v>
      </c>
      <c r="D1336">
        <v>3.3940000000000001</v>
      </c>
      <c r="E1336">
        <v>15.76</v>
      </c>
      <c r="F1336">
        <v>7.4470000000000001</v>
      </c>
      <c r="G1336">
        <v>2.2269999999999999</v>
      </c>
      <c r="H1336">
        <v>1.976</v>
      </c>
      <c r="I1336">
        <v>34.997</v>
      </c>
      <c r="J1336">
        <v>21.356000000000002</v>
      </c>
      <c r="K1336">
        <v>10.616</v>
      </c>
      <c r="L1336">
        <v>1.8169999999999999</v>
      </c>
      <c r="M1336">
        <v>4.8490000000000002</v>
      </c>
      <c r="N1336">
        <v>0.35499999999999998</v>
      </c>
      <c r="O1336">
        <v>2.8769999999999998</v>
      </c>
      <c r="P1336">
        <v>1.3169999999999999</v>
      </c>
    </row>
    <row r="1337" spans="1:16" x14ac:dyDescent="0.25">
      <c r="A1337" s="1">
        <v>43133</v>
      </c>
      <c r="B1337">
        <v>10.731999999999999</v>
      </c>
      <c r="C1337">
        <v>224</v>
      </c>
      <c r="D1337">
        <v>3.371</v>
      </c>
      <c r="E1337">
        <v>15.2</v>
      </c>
      <c r="F1337">
        <v>7.4470000000000001</v>
      </c>
      <c r="G1337">
        <v>2.2269999999999999</v>
      </c>
      <c r="H1337">
        <v>1.907</v>
      </c>
      <c r="I1337">
        <v>35.427999999999997</v>
      </c>
      <c r="J1337">
        <v>21.259</v>
      </c>
      <c r="K1337">
        <v>10.829000000000001</v>
      </c>
      <c r="L1337">
        <v>1.77</v>
      </c>
      <c r="M1337">
        <v>4.7350000000000003</v>
      </c>
      <c r="N1337">
        <v>0.34</v>
      </c>
      <c r="O1337">
        <v>2.8769999999999998</v>
      </c>
      <c r="P1337">
        <v>1.258</v>
      </c>
    </row>
    <row r="1338" spans="1:16" x14ac:dyDescent="0.25">
      <c r="A1338" s="1">
        <v>43136</v>
      </c>
      <c r="B1338">
        <v>10.731999999999999</v>
      </c>
      <c r="C1338">
        <v>217.49</v>
      </c>
      <c r="D1338">
        <v>3.278</v>
      </c>
      <c r="E1338">
        <v>15.25</v>
      </c>
      <c r="F1338">
        <v>7.375</v>
      </c>
      <c r="G1338">
        <v>2.2269999999999999</v>
      </c>
      <c r="H1338">
        <v>1.877</v>
      </c>
      <c r="I1338">
        <v>35.384999999999998</v>
      </c>
      <c r="J1338">
        <v>21.161999999999999</v>
      </c>
      <c r="K1338">
        <v>10.749000000000001</v>
      </c>
      <c r="L1338">
        <v>1.75</v>
      </c>
      <c r="M1338">
        <v>4.4560000000000004</v>
      </c>
      <c r="N1338">
        <v>0.34</v>
      </c>
      <c r="O1338">
        <v>2.8769999999999998</v>
      </c>
      <c r="P1338">
        <v>1.238</v>
      </c>
    </row>
    <row r="1339" spans="1:16" x14ac:dyDescent="0.25">
      <c r="A1339" s="1">
        <v>43137</v>
      </c>
      <c r="B1339">
        <v>10.683999999999999</v>
      </c>
      <c r="C1339">
        <v>222.02</v>
      </c>
      <c r="D1339">
        <v>3.355</v>
      </c>
      <c r="E1339">
        <v>14.89</v>
      </c>
      <c r="F1339">
        <v>7.1520000000000001</v>
      </c>
      <c r="G1339">
        <v>2.1930000000000001</v>
      </c>
      <c r="H1339">
        <v>1.877</v>
      </c>
      <c r="I1339">
        <v>35.212000000000003</v>
      </c>
      <c r="J1339">
        <v>20.59</v>
      </c>
      <c r="K1339">
        <v>10.625</v>
      </c>
      <c r="L1339">
        <v>1.7030000000000001</v>
      </c>
      <c r="M1339">
        <v>4.5430000000000001</v>
      </c>
      <c r="N1339">
        <v>0.34</v>
      </c>
      <c r="O1339">
        <v>2.8290000000000002</v>
      </c>
      <c r="P1339">
        <v>1.248</v>
      </c>
    </row>
    <row r="1340" spans="1:16" x14ac:dyDescent="0.25">
      <c r="A1340" s="1">
        <v>43138</v>
      </c>
      <c r="B1340">
        <v>10.683999999999999</v>
      </c>
      <c r="C1340">
        <v>221.08</v>
      </c>
      <c r="D1340">
        <v>3.355</v>
      </c>
      <c r="E1340">
        <v>14.75</v>
      </c>
      <c r="F1340">
        <v>7.1520000000000001</v>
      </c>
      <c r="G1340">
        <v>2.21</v>
      </c>
      <c r="H1340">
        <v>1.9259999999999999</v>
      </c>
      <c r="I1340">
        <v>35.212000000000003</v>
      </c>
      <c r="J1340">
        <v>20.628</v>
      </c>
      <c r="K1340">
        <v>10.625</v>
      </c>
      <c r="L1340">
        <v>1.7030000000000001</v>
      </c>
      <c r="M1340">
        <v>4.5430000000000001</v>
      </c>
      <c r="N1340">
        <v>0.34</v>
      </c>
      <c r="O1340">
        <v>2.8580000000000001</v>
      </c>
      <c r="P1340">
        <v>1.238</v>
      </c>
    </row>
    <row r="1341" spans="1:16" x14ac:dyDescent="0.25">
      <c r="A1341" s="1">
        <v>43139</v>
      </c>
      <c r="B1341">
        <v>10.683999999999999</v>
      </c>
      <c r="C1341">
        <v>210.9</v>
      </c>
      <c r="D1341">
        <v>3.355</v>
      </c>
      <c r="E1341">
        <v>14.6</v>
      </c>
      <c r="F1341">
        <v>7.1520000000000001</v>
      </c>
      <c r="G1341">
        <v>2.21</v>
      </c>
      <c r="H1341">
        <v>1.9259999999999999</v>
      </c>
      <c r="I1341">
        <v>34.384</v>
      </c>
      <c r="J1341">
        <v>20.628</v>
      </c>
      <c r="K1341">
        <v>10.625</v>
      </c>
      <c r="L1341">
        <v>1.7030000000000001</v>
      </c>
      <c r="M1341">
        <v>4.5430000000000001</v>
      </c>
      <c r="N1341">
        <v>0.33200000000000002</v>
      </c>
      <c r="O1341">
        <v>2.81</v>
      </c>
      <c r="P1341">
        <v>1.2090000000000001</v>
      </c>
    </row>
    <row r="1342" spans="1:16" x14ac:dyDescent="0.25">
      <c r="A1342" s="1">
        <v>43140</v>
      </c>
      <c r="B1342">
        <v>10.664999999999999</v>
      </c>
      <c r="C1342">
        <v>211</v>
      </c>
      <c r="D1342">
        <v>3.3090000000000002</v>
      </c>
      <c r="E1342">
        <v>14.35</v>
      </c>
      <c r="F1342">
        <v>7.1520000000000001</v>
      </c>
      <c r="G1342">
        <v>2.2010000000000001</v>
      </c>
      <c r="H1342">
        <v>1.877</v>
      </c>
      <c r="I1342">
        <v>34.341000000000001</v>
      </c>
      <c r="J1342">
        <v>20.774000000000001</v>
      </c>
      <c r="K1342">
        <v>10.483000000000001</v>
      </c>
      <c r="L1342">
        <v>1.6259999999999999</v>
      </c>
      <c r="M1342">
        <v>4.3769999999999998</v>
      </c>
      <c r="N1342">
        <v>0.33500000000000002</v>
      </c>
      <c r="O1342">
        <v>2.8769999999999998</v>
      </c>
      <c r="P1342">
        <v>1.2190000000000001</v>
      </c>
    </row>
    <row r="1343" spans="1:16" x14ac:dyDescent="0.25">
      <c r="A1343" s="1">
        <v>43143</v>
      </c>
      <c r="B1343">
        <v>10.54</v>
      </c>
      <c r="C1343">
        <v>215</v>
      </c>
      <c r="D1343">
        <v>3.3479999999999999</v>
      </c>
      <c r="E1343">
        <v>15.1</v>
      </c>
      <c r="F1343">
        <v>7.1520000000000001</v>
      </c>
      <c r="G1343">
        <v>2.2010000000000001</v>
      </c>
      <c r="H1343">
        <v>1.857</v>
      </c>
      <c r="I1343">
        <v>33.658999999999999</v>
      </c>
      <c r="J1343">
        <v>20.628</v>
      </c>
      <c r="K1343">
        <v>10.492000000000001</v>
      </c>
      <c r="L1343">
        <v>1.6259999999999999</v>
      </c>
      <c r="M1343">
        <v>4.5430000000000001</v>
      </c>
      <c r="N1343">
        <v>0.33200000000000002</v>
      </c>
      <c r="O1343">
        <v>2.8959999999999999</v>
      </c>
      <c r="P1343">
        <v>1.1990000000000001</v>
      </c>
    </row>
    <row r="1344" spans="1:16" x14ac:dyDescent="0.25">
      <c r="A1344" s="1">
        <v>43144</v>
      </c>
      <c r="B1344">
        <v>10.531000000000001</v>
      </c>
      <c r="C1344">
        <v>216.2</v>
      </c>
      <c r="D1344">
        <v>3.3319999999999999</v>
      </c>
      <c r="E1344">
        <v>15.07</v>
      </c>
      <c r="F1344">
        <v>7.1520000000000001</v>
      </c>
      <c r="G1344">
        <v>2.1930000000000001</v>
      </c>
      <c r="H1344">
        <v>1.857</v>
      </c>
      <c r="I1344">
        <v>33.140999999999998</v>
      </c>
      <c r="J1344">
        <v>20.619</v>
      </c>
      <c r="K1344">
        <v>10.537000000000001</v>
      </c>
      <c r="L1344">
        <v>1.6259999999999999</v>
      </c>
      <c r="M1344">
        <v>4.4560000000000004</v>
      </c>
      <c r="N1344">
        <v>0.33500000000000002</v>
      </c>
      <c r="O1344">
        <v>2.9089999999999998</v>
      </c>
      <c r="P1344">
        <v>1.17</v>
      </c>
    </row>
    <row r="1345" spans="1:16" x14ac:dyDescent="0.25">
      <c r="A1345" s="1">
        <v>43145</v>
      </c>
      <c r="B1345">
        <v>10.54</v>
      </c>
      <c r="C1345">
        <v>219.2</v>
      </c>
      <c r="D1345">
        <v>3.3170000000000002</v>
      </c>
      <c r="E1345">
        <v>16.03</v>
      </c>
      <c r="F1345">
        <v>7.1520000000000001</v>
      </c>
      <c r="G1345">
        <v>2.2269999999999999</v>
      </c>
      <c r="H1345">
        <v>1.827</v>
      </c>
      <c r="I1345">
        <v>34.090000000000003</v>
      </c>
      <c r="J1345">
        <v>20.385999999999999</v>
      </c>
      <c r="K1345">
        <v>10.616</v>
      </c>
      <c r="L1345">
        <v>1.6930000000000001</v>
      </c>
      <c r="M1345">
        <v>4.4560000000000004</v>
      </c>
      <c r="N1345">
        <v>0.33800000000000002</v>
      </c>
      <c r="O1345">
        <v>2.899</v>
      </c>
      <c r="P1345">
        <v>1.1990000000000001</v>
      </c>
    </row>
    <row r="1346" spans="1:16" x14ac:dyDescent="0.25">
      <c r="A1346" s="1">
        <v>43146</v>
      </c>
      <c r="B1346">
        <v>10.54</v>
      </c>
      <c r="C1346">
        <v>223</v>
      </c>
      <c r="D1346">
        <v>3.3239999999999998</v>
      </c>
      <c r="E1346">
        <v>16.05</v>
      </c>
      <c r="F1346">
        <v>7.1520000000000001</v>
      </c>
      <c r="G1346">
        <v>2.2360000000000002</v>
      </c>
      <c r="H1346">
        <v>1.8180000000000001</v>
      </c>
      <c r="I1346">
        <v>34.090000000000003</v>
      </c>
      <c r="J1346">
        <v>20.385999999999999</v>
      </c>
      <c r="K1346">
        <v>10.634</v>
      </c>
      <c r="L1346">
        <v>1.7410000000000001</v>
      </c>
      <c r="M1346">
        <v>4.4560000000000004</v>
      </c>
      <c r="N1346">
        <v>0.315</v>
      </c>
      <c r="O1346">
        <v>2.899</v>
      </c>
      <c r="P1346">
        <v>1.2090000000000001</v>
      </c>
    </row>
    <row r="1347" spans="1:16" x14ac:dyDescent="0.25">
      <c r="A1347" s="1">
        <v>43147</v>
      </c>
      <c r="B1347">
        <v>10.54</v>
      </c>
      <c r="C1347">
        <v>218.95</v>
      </c>
      <c r="D1347">
        <v>3.3239999999999998</v>
      </c>
      <c r="E1347">
        <v>15.6</v>
      </c>
      <c r="F1347">
        <v>7.1429999999999998</v>
      </c>
      <c r="G1347">
        <v>2.2360000000000002</v>
      </c>
      <c r="H1347">
        <v>1.8080000000000001</v>
      </c>
      <c r="I1347">
        <v>34.090000000000003</v>
      </c>
      <c r="J1347">
        <v>20.385999999999999</v>
      </c>
      <c r="K1347">
        <v>10.651999999999999</v>
      </c>
      <c r="L1347">
        <v>1.6739999999999999</v>
      </c>
      <c r="M1347">
        <v>4.7530000000000001</v>
      </c>
      <c r="N1347">
        <v>0.32</v>
      </c>
      <c r="O1347">
        <v>2.8610000000000002</v>
      </c>
      <c r="P1347">
        <v>1.179</v>
      </c>
    </row>
    <row r="1348" spans="1:16" x14ac:dyDescent="0.25">
      <c r="A1348" s="1">
        <v>43150</v>
      </c>
      <c r="B1348">
        <v>10.54</v>
      </c>
      <c r="C1348">
        <v>218.95</v>
      </c>
      <c r="D1348">
        <v>3.3319999999999999</v>
      </c>
      <c r="E1348">
        <v>15.6</v>
      </c>
      <c r="F1348">
        <v>7.1070000000000002</v>
      </c>
      <c r="G1348">
        <v>2.2269999999999999</v>
      </c>
      <c r="H1348">
        <v>1.8080000000000001</v>
      </c>
      <c r="I1348">
        <v>34.090000000000003</v>
      </c>
      <c r="J1348">
        <v>20.385999999999999</v>
      </c>
      <c r="K1348">
        <v>10.651999999999999</v>
      </c>
      <c r="L1348">
        <v>1.6739999999999999</v>
      </c>
      <c r="M1348">
        <v>4.7610000000000001</v>
      </c>
      <c r="N1348">
        <v>0.32</v>
      </c>
      <c r="O1348">
        <v>2.8610000000000002</v>
      </c>
      <c r="P1348">
        <v>1.1599999999999999</v>
      </c>
    </row>
    <row r="1349" spans="1:16" x14ac:dyDescent="0.25">
      <c r="A1349" s="1">
        <v>43151</v>
      </c>
      <c r="B1349">
        <v>10.54</v>
      </c>
      <c r="C1349">
        <v>216.27</v>
      </c>
      <c r="D1349">
        <v>3.3239999999999998</v>
      </c>
      <c r="E1349">
        <v>15.5</v>
      </c>
      <c r="F1349">
        <v>7.0620000000000003</v>
      </c>
      <c r="G1349">
        <v>2.2189999999999999</v>
      </c>
      <c r="H1349">
        <v>1.966</v>
      </c>
      <c r="I1349">
        <v>34.090000000000003</v>
      </c>
      <c r="J1349">
        <v>20.385999999999999</v>
      </c>
      <c r="K1349">
        <v>10.669</v>
      </c>
      <c r="L1349">
        <v>1.6739999999999999</v>
      </c>
      <c r="M1349">
        <v>4.8049999999999997</v>
      </c>
      <c r="N1349">
        <v>0.32</v>
      </c>
      <c r="O1349">
        <v>2.89</v>
      </c>
      <c r="P1349">
        <v>1.179</v>
      </c>
    </row>
    <row r="1350" spans="1:16" x14ac:dyDescent="0.25">
      <c r="A1350" s="1">
        <v>43152</v>
      </c>
      <c r="B1350">
        <v>10.683999999999999</v>
      </c>
      <c r="C1350">
        <v>217.6</v>
      </c>
      <c r="D1350">
        <v>3.3239999999999998</v>
      </c>
      <c r="E1350">
        <v>15.4</v>
      </c>
      <c r="F1350">
        <v>7.1070000000000002</v>
      </c>
      <c r="G1350">
        <v>2.21</v>
      </c>
      <c r="H1350">
        <v>1.837</v>
      </c>
      <c r="I1350">
        <v>35.384999999999998</v>
      </c>
      <c r="J1350">
        <v>20.483000000000001</v>
      </c>
      <c r="K1350">
        <v>10.669</v>
      </c>
      <c r="L1350">
        <v>1.6739999999999999</v>
      </c>
      <c r="M1350">
        <v>4.7439999999999998</v>
      </c>
      <c r="N1350">
        <v>0.31900000000000001</v>
      </c>
      <c r="O1350">
        <v>2.8410000000000002</v>
      </c>
      <c r="P1350">
        <v>1.1599999999999999</v>
      </c>
    </row>
    <row r="1351" spans="1:16" x14ac:dyDescent="0.25">
      <c r="A1351" s="1">
        <v>43153</v>
      </c>
      <c r="B1351">
        <v>10.827999999999999</v>
      </c>
      <c r="C1351">
        <v>216</v>
      </c>
      <c r="D1351">
        <v>3.278</v>
      </c>
      <c r="E1351">
        <v>15.65</v>
      </c>
      <c r="F1351">
        <v>7.1070000000000002</v>
      </c>
      <c r="G1351">
        <v>2.1930000000000001</v>
      </c>
      <c r="H1351">
        <v>1.778</v>
      </c>
      <c r="I1351">
        <v>36.939</v>
      </c>
      <c r="J1351">
        <v>20.483000000000001</v>
      </c>
      <c r="K1351">
        <v>10.882</v>
      </c>
      <c r="L1351">
        <v>1.722</v>
      </c>
      <c r="M1351">
        <v>4.5869999999999997</v>
      </c>
      <c r="N1351">
        <v>0.31</v>
      </c>
      <c r="O1351">
        <v>2.8220000000000001</v>
      </c>
      <c r="P1351">
        <v>1.1599999999999999</v>
      </c>
    </row>
    <row r="1352" spans="1:16" x14ac:dyDescent="0.25">
      <c r="A1352" s="1">
        <v>43154</v>
      </c>
      <c r="B1352">
        <v>10.731999999999999</v>
      </c>
      <c r="C1352">
        <v>218</v>
      </c>
      <c r="D1352">
        <v>3.2549999999999999</v>
      </c>
      <c r="E1352">
        <v>15.65</v>
      </c>
      <c r="F1352">
        <v>7.0620000000000003</v>
      </c>
      <c r="G1352">
        <v>2.1930000000000001</v>
      </c>
      <c r="H1352">
        <v>1.7190000000000001</v>
      </c>
      <c r="I1352">
        <v>36.247999999999998</v>
      </c>
      <c r="J1352">
        <v>20.483000000000001</v>
      </c>
      <c r="K1352">
        <v>10.872999999999999</v>
      </c>
      <c r="L1352">
        <v>1.722</v>
      </c>
      <c r="M1352">
        <v>4.5869999999999997</v>
      </c>
      <c r="N1352">
        <v>0.315</v>
      </c>
      <c r="O1352">
        <v>2.8220000000000001</v>
      </c>
      <c r="P1352">
        <v>1.1499999999999999</v>
      </c>
    </row>
    <row r="1353" spans="1:16" x14ac:dyDescent="0.25">
      <c r="A1353" s="1">
        <v>43157</v>
      </c>
      <c r="B1353">
        <v>10.731999999999999</v>
      </c>
      <c r="C1353">
        <v>216</v>
      </c>
      <c r="D1353">
        <v>3.2240000000000002</v>
      </c>
      <c r="E1353">
        <v>16.03</v>
      </c>
      <c r="F1353">
        <v>7.0620000000000003</v>
      </c>
      <c r="G1353">
        <v>2.1930000000000001</v>
      </c>
      <c r="H1353">
        <v>1.679</v>
      </c>
      <c r="I1353">
        <v>36.238999999999997</v>
      </c>
      <c r="J1353">
        <v>20.58</v>
      </c>
      <c r="K1353">
        <v>10.749000000000001</v>
      </c>
      <c r="L1353">
        <v>1.655</v>
      </c>
      <c r="M1353">
        <v>4.63</v>
      </c>
      <c r="N1353">
        <v>0.315</v>
      </c>
      <c r="O1353">
        <v>2.7450000000000001</v>
      </c>
      <c r="P1353">
        <v>1.1299999999999999</v>
      </c>
    </row>
    <row r="1354" spans="1:16" x14ac:dyDescent="0.25">
      <c r="A1354" s="1">
        <v>43158</v>
      </c>
      <c r="B1354">
        <v>10.683999999999999</v>
      </c>
      <c r="C1354">
        <v>217</v>
      </c>
      <c r="D1354">
        <v>3.278</v>
      </c>
      <c r="E1354">
        <v>15.65</v>
      </c>
      <c r="F1354">
        <v>7.0620000000000003</v>
      </c>
      <c r="G1354">
        <v>2.1930000000000001</v>
      </c>
      <c r="H1354">
        <v>1.63</v>
      </c>
      <c r="I1354">
        <v>35.817</v>
      </c>
      <c r="J1354">
        <v>20.628</v>
      </c>
      <c r="K1354">
        <v>10.705</v>
      </c>
      <c r="L1354">
        <v>1.6359999999999999</v>
      </c>
      <c r="M1354">
        <v>4.63</v>
      </c>
      <c r="N1354">
        <v>0.32</v>
      </c>
      <c r="O1354">
        <v>2.7450000000000001</v>
      </c>
      <c r="P1354">
        <v>1.17</v>
      </c>
    </row>
    <row r="1355" spans="1:16" x14ac:dyDescent="0.25">
      <c r="A1355" s="1">
        <v>43159</v>
      </c>
      <c r="B1355">
        <v>10.54</v>
      </c>
      <c r="C1355">
        <v>217</v>
      </c>
      <c r="D1355">
        <v>3.278</v>
      </c>
      <c r="E1355">
        <v>15.63</v>
      </c>
      <c r="F1355">
        <v>7.0620000000000003</v>
      </c>
      <c r="G1355">
        <v>2.1760000000000002</v>
      </c>
      <c r="H1355">
        <v>1.61</v>
      </c>
      <c r="I1355">
        <v>35.843000000000004</v>
      </c>
      <c r="J1355">
        <v>20.725000000000001</v>
      </c>
      <c r="K1355">
        <v>10.678000000000001</v>
      </c>
      <c r="L1355">
        <v>1.6739999999999999</v>
      </c>
      <c r="M1355">
        <v>4.5609999999999999</v>
      </c>
      <c r="N1355">
        <v>0.32</v>
      </c>
      <c r="O1355">
        <v>2.88</v>
      </c>
      <c r="P1355">
        <v>1.2090000000000001</v>
      </c>
    </row>
    <row r="1356" spans="1:16" x14ac:dyDescent="0.25">
      <c r="A1356" s="1">
        <v>43160</v>
      </c>
      <c r="B1356">
        <v>10.635999999999999</v>
      </c>
      <c r="C1356">
        <v>216.31</v>
      </c>
      <c r="D1356">
        <v>3.278</v>
      </c>
      <c r="E1356">
        <v>15.54</v>
      </c>
      <c r="F1356">
        <v>7.0620000000000003</v>
      </c>
      <c r="G1356">
        <v>2.1589999999999998</v>
      </c>
      <c r="H1356">
        <v>1.581</v>
      </c>
      <c r="I1356">
        <v>35.729999999999997</v>
      </c>
      <c r="J1356">
        <v>20.870999999999999</v>
      </c>
      <c r="K1356">
        <v>10.678000000000001</v>
      </c>
      <c r="L1356">
        <v>1.6359999999999999</v>
      </c>
      <c r="M1356">
        <v>4.5780000000000003</v>
      </c>
      <c r="N1356">
        <v>0.315</v>
      </c>
      <c r="O1356">
        <v>2.8410000000000002</v>
      </c>
      <c r="P1356">
        <v>1.2190000000000001</v>
      </c>
    </row>
    <row r="1357" spans="1:16" x14ac:dyDescent="0.25">
      <c r="A1357" s="1">
        <v>43161</v>
      </c>
      <c r="B1357">
        <v>10.587999999999999</v>
      </c>
      <c r="C1357">
        <v>217.21</v>
      </c>
      <c r="D1357">
        <v>3.355</v>
      </c>
      <c r="E1357">
        <v>15.95</v>
      </c>
      <c r="F1357">
        <v>7.0620000000000003</v>
      </c>
      <c r="G1357">
        <v>2.1669999999999998</v>
      </c>
      <c r="H1357">
        <v>1.5609999999999999</v>
      </c>
      <c r="I1357">
        <v>35.902999999999999</v>
      </c>
      <c r="J1357">
        <v>21.114000000000001</v>
      </c>
      <c r="K1357">
        <v>10.678000000000001</v>
      </c>
      <c r="L1357">
        <v>1.6739999999999999</v>
      </c>
      <c r="M1357">
        <v>4.5960000000000001</v>
      </c>
      <c r="N1357">
        <v>0.32</v>
      </c>
      <c r="O1357">
        <v>2.8410000000000002</v>
      </c>
      <c r="P1357">
        <v>1.268</v>
      </c>
    </row>
    <row r="1358" spans="1:16" x14ac:dyDescent="0.25">
      <c r="A1358" s="1">
        <v>43164</v>
      </c>
      <c r="B1358">
        <v>10.54</v>
      </c>
      <c r="C1358">
        <v>221.05</v>
      </c>
      <c r="D1358">
        <v>3.3170000000000002</v>
      </c>
      <c r="E1358">
        <v>15.7</v>
      </c>
      <c r="F1358">
        <v>6.9729999999999999</v>
      </c>
      <c r="G1358">
        <v>2.21</v>
      </c>
      <c r="H1358">
        <v>1.581</v>
      </c>
      <c r="I1358">
        <v>35.902999999999999</v>
      </c>
      <c r="J1358">
        <v>21.114000000000001</v>
      </c>
      <c r="K1358">
        <v>10.678000000000001</v>
      </c>
      <c r="L1358">
        <v>1.6739999999999999</v>
      </c>
      <c r="M1358">
        <v>4.5960000000000001</v>
      </c>
      <c r="N1358">
        <v>0.32</v>
      </c>
      <c r="O1358">
        <v>2.7930000000000001</v>
      </c>
      <c r="P1358">
        <v>1.248</v>
      </c>
    </row>
    <row r="1359" spans="1:16" x14ac:dyDescent="0.25">
      <c r="A1359" s="1">
        <v>43165</v>
      </c>
      <c r="B1359">
        <v>10.54</v>
      </c>
      <c r="C1359">
        <v>224.9</v>
      </c>
      <c r="D1359">
        <v>3.278</v>
      </c>
      <c r="E1359">
        <v>15.89</v>
      </c>
      <c r="F1359">
        <v>6.9729999999999999</v>
      </c>
      <c r="G1359">
        <v>2.21</v>
      </c>
      <c r="H1359">
        <v>1.5609999999999999</v>
      </c>
      <c r="I1359">
        <v>35.902999999999999</v>
      </c>
      <c r="J1359">
        <v>21.123000000000001</v>
      </c>
      <c r="K1359">
        <v>10.616</v>
      </c>
      <c r="L1359">
        <v>1.6930000000000001</v>
      </c>
      <c r="M1359">
        <v>4.665</v>
      </c>
      <c r="N1359">
        <v>0.32</v>
      </c>
      <c r="O1359">
        <v>2.7930000000000001</v>
      </c>
      <c r="P1359">
        <v>1.258</v>
      </c>
    </row>
    <row r="1360" spans="1:16" x14ac:dyDescent="0.25">
      <c r="A1360" s="1">
        <v>43166</v>
      </c>
      <c r="B1360">
        <v>10.587999999999999</v>
      </c>
      <c r="C1360">
        <v>221.8</v>
      </c>
      <c r="D1360">
        <v>3.355</v>
      </c>
      <c r="E1360">
        <v>15.21</v>
      </c>
      <c r="F1360">
        <v>6.9279999999999999</v>
      </c>
      <c r="G1360">
        <v>2.2189999999999999</v>
      </c>
      <c r="H1360">
        <v>1.581</v>
      </c>
      <c r="I1360">
        <v>36.031999999999996</v>
      </c>
      <c r="J1360">
        <v>21.452999999999999</v>
      </c>
      <c r="K1360">
        <v>10.528</v>
      </c>
      <c r="L1360">
        <v>1.6930000000000001</v>
      </c>
      <c r="M1360">
        <v>4.6390000000000002</v>
      </c>
      <c r="N1360">
        <v>0.31900000000000001</v>
      </c>
      <c r="O1360">
        <v>2.7450000000000001</v>
      </c>
      <c r="P1360">
        <v>1.248</v>
      </c>
    </row>
    <row r="1361" spans="1:16" x14ac:dyDescent="0.25">
      <c r="A1361" s="1">
        <v>43167</v>
      </c>
      <c r="B1361">
        <v>10.54</v>
      </c>
      <c r="C1361">
        <v>220.3</v>
      </c>
      <c r="D1361">
        <v>3.355</v>
      </c>
      <c r="E1361">
        <v>15.22</v>
      </c>
      <c r="F1361">
        <v>6.8840000000000003</v>
      </c>
      <c r="G1361">
        <v>2.2440000000000002</v>
      </c>
      <c r="H1361">
        <v>1.571</v>
      </c>
      <c r="I1361">
        <v>36.119</v>
      </c>
      <c r="J1361">
        <v>21.452999999999999</v>
      </c>
      <c r="K1361">
        <v>10.528</v>
      </c>
      <c r="L1361">
        <v>1.6930000000000001</v>
      </c>
      <c r="M1361">
        <v>4.6390000000000002</v>
      </c>
      <c r="N1361">
        <v>0.31</v>
      </c>
      <c r="O1361">
        <v>2.8029999999999999</v>
      </c>
      <c r="P1361">
        <v>1.2090000000000001</v>
      </c>
    </row>
    <row r="1362" spans="1:16" x14ac:dyDescent="0.25">
      <c r="A1362" s="1">
        <v>43168</v>
      </c>
      <c r="B1362">
        <v>10.635999999999999</v>
      </c>
      <c r="C1362">
        <v>221.8</v>
      </c>
      <c r="D1362">
        <v>3.3860000000000001</v>
      </c>
      <c r="E1362">
        <v>15.35</v>
      </c>
      <c r="F1362">
        <v>6.9729999999999999</v>
      </c>
      <c r="G1362">
        <v>2.2440000000000002</v>
      </c>
      <c r="H1362">
        <v>1.5609999999999999</v>
      </c>
      <c r="I1362">
        <v>36.11</v>
      </c>
      <c r="J1362">
        <v>21.452999999999999</v>
      </c>
      <c r="K1362">
        <v>10.528</v>
      </c>
      <c r="L1362">
        <v>1.6930000000000001</v>
      </c>
      <c r="M1362">
        <v>4.6040000000000001</v>
      </c>
      <c r="N1362">
        <v>0.31</v>
      </c>
      <c r="O1362">
        <v>2.8410000000000002</v>
      </c>
      <c r="P1362">
        <v>1.1990000000000001</v>
      </c>
    </row>
    <row r="1363" spans="1:16" x14ac:dyDescent="0.25">
      <c r="A1363" s="1">
        <v>43171</v>
      </c>
      <c r="B1363">
        <v>10.78</v>
      </c>
      <c r="C1363">
        <v>219.94</v>
      </c>
      <c r="D1363">
        <v>3.355</v>
      </c>
      <c r="E1363">
        <v>15.5</v>
      </c>
      <c r="F1363">
        <v>6.8840000000000003</v>
      </c>
      <c r="G1363">
        <v>2.2189999999999999</v>
      </c>
      <c r="H1363">
        <v>1.581</v>
      </c>
      <c r="I1363">
        <v>36.11</v>
      </c>
      <c r="J1363">
        <v>21.452999999999999</v>
      </c>
      <c r="K1363">
        <v>10.528</v>
      </c>
      <c r="L1363">
        <v>1.6930000000000001</v>
      </c>
      <c r="M1363">
        <v>4.6040000000000001</v>
      </c>
      <c r="N1363">
        <v>0.3</v>
      </c>
      <c r="O1363">
        <v>2.8130000000000002</v>
      </c>
      <c r="P1363">
        <v>1.179</v>
      </c>
    </row>
    <row r="1364" spans="1:16" x14ac:dyDescent="0.25">
      <c r="A1364" s="1">
        <v>43172</v>
      </c>
      <c r="B1364">
        <v>10.923999999999999</v>
      </c>
      <c r="C1364">
        <v>219.91</v>
      </c>
      <c r="D1364">
        <v>3.355</v>
      </c>
      <c r="E1364">
        <v>15.1</v>
      </c>
      <c r="F1364">
        <v>6.8390000000000004</v>
      </c>
      <c r="G1364">
        <v>2.21</v>
      </c>
      <c r="H1364">
        <v>1.61</v>
      </c>
      <c r="I1364">
        <v>36.119</v>
      </c>
      <c r="J1364">
        <v>21.550999999999998</v>
      </c>
      <c r="K1364">
        <v>10.528</v>
      </c>
      <c r="L1364">
        <v>1.6930000000000001</v>
      </c>
      <c r="M1364">
        <v>4.4989999999999997</v>
      </c>
      <c r="N1364">
        <v>0.29499999999999998</v>
      </c>
      <c r="O1364">
        <v>2.7930000000000001</v>
      </c>
      <c r="P1364">
        <v>1.17</v>
      </c>
    </row>
    <row r="1365" spans="1:16" x14ac:dyDescent="0.25">
      <c r="A1365" s="1">
        <v>43173</v>
      </c>
      <c r="B1365">
        <v>10.943</v>
      </c>
      <c r="C1365">
        <v>215.85</v>
      </c>
      <c r="D1365">
        <v>3.355</v>
      </c>
      <c r="E1365">
        <v>15.02</v>
      </c>
      <c r="F1365">
        <v>6.8390000000000004</v>
      </c>
      <c r="G1365">
        <v>2.1840000000000002</v>
      </c>
      <c r="H1365">
        <v>1.581</v>
      </c>
      <c r="I1365">
        <v>36.119</v>
      </c>
      <c r="J1365">
        <v>21.696000000000002</v>
      </c>
      <c r="K1365">
        <v>10.528</v>
      </c>
      <c r="L1365">
        <v>1.6930000000000001</v>
      </c>
      <c r="M1365">
        <v>4.4470000000000001</v>
      </c>
      <c r="N1365">
        <v>0.29299999999999998</v>
      </c>
      <c r="O1365">
        <v>2.7930000000000001</v>
      </c>
      <c r="P1365">
        <v>1.17</v>
      </c>
    </row>
    <row r="1366" spans="1:16" x14ac:dyDescent="0.25">
      <c r="A1366" s="1">
        <v>43174</v>
      </c>
      <c r="B1366">
        <v>11.019</v>
      </c>
      <c r="C1366">
        <v>216.15</v>
      </c>
      <c r="D1366">
        <v>3.2469999999999999</v>
      </c>
      <c r="E1366">
        <v>14.65</v>
      </c>
      <c r="F1366">
        <v>6.8840000000000003</v>
      </c>
      <c r="G1366">
        <v>2.1930000000000001</v>
      </c>
      <c r="H1366">
        <v>1.6</v>
      </c>
      <c r="I1366">
        <v>36.127000000000002</v>
      </c>
      <c r="J1366">
        <v>21.792999999999999</v>
      </c>
      <c r="K1366">
        <v>10.528</v>
      </c>
      <c r="L1366">
        <v>1.6930000000000001</v>
      </c>
      <c r="M1366">
        <v>4.4119999999999999</v>
      </c>
      <c r="N1366">
        <v>0.29099999999999998</v>
      </c>
      <c r="O1366">
        <v>2.7930000000000001</v>
      </c>
      <c r="P1366">
        <v>1.1499999999999999</v>
      </c>
    </row>
    <row r="1367" spans="1:16" x14ac:dyDescent="0.25">
      <c r="A1367" s="1">
        <v>43175</v>
      </c>
      <c r="B1367">
        <v>11.067</v>
      </c>
      <c r="C1367">
        <v>216.2</v>
      </c>
      <c r="D1367">
        <v>3.24</v>
      </c>
      <c r="E1367">
        <v>14.4</v>
      </c>
      <c r="F1367">
        <v>6.8840000000000003</v>
      </c>
      <c r="G1367">
        <v>2.1840000000000002</v>
      </c>
      <c r="H1367">
        <v>1.581</v>
      </c>
      <c r="I1367">
        <v>36.290999999999997</v>
      </c>
      <c r="J1367">
        <v>21.792999999999999</v>
      </c>
      <c r="K1367">
        <v>10.528</v>
      </c>
      <c r="L1367">
        <v>1.607</v>
      </c>
      <c r="M1367">
        <v>4.4119999999999999</v>
      </c>
      <c r="N1367">
        <v>0.28599999999999998</v>
      </c>
      <c r="O1367">
        <v>2.7930000000000001</v>
      </c>
      <c r="P1367">
        <v>1.121</v>
      </c>
    </row>
    <row r="1368" spans="1:16" x14ac:dyDescent="0.25">
      <c r="A1368" s="1">
        <v>43178</v>
      </c>
      <c r="B1368">
        <v>10.971</v>
      </c>
      <c r="C1368">
        <v>216.2</v>
      </c>
      <c r="D1368">
        <v>3.24</v>
      </c>
      <c r="E1368">
        <v>14.44</v>
      </c>
      <c r="F1368">
        <v>6.9279999999999999</v>
      </c>
      <c r="G1368">
        <v>2.1840000000000002</v>
      </c>
      <c r="H1368">
        <v>1.581</v>
      </c>
      <c r="I1368">
        <v>35.384999999999998</v>
      </c>
      <c r="J1368">
        <v>21.792999999999999</v>
      </c>
      <c r="K1368">
        <v>10.528</v>
      </c>
      <c r="L1368">
        <v>1.607</v>
      </c>
      <c r="M1368">
        <v>4.4119999999999999</v>
      </c>
      <c r="N1368">
        <v>0.28999999999999998</v>
      </c>
      <c r="O1368">
        <v>2.7450000000000001</v>
      </c>
      <c r="P1368">
        <v>1.101</v>
      </c>
    </row>
    <row r="1369" spans="1:16" x14ac:dyDescent="0.25">
      <c r="A1369" s="1">
        <v>43179</v>
      </c>
      <c r="B1369">
        <v>10.923999999999999</v>
      </c>
      <c r="C1369">
        <v>222</v>
      </c>
      <c r="D1369">
        <v>3.1779999999999999</v>
      </c>
      <c r="E1369">
        <v>14.58</v>
      </c>
      <c r="F1369">
        <v>6.8840000000000003</v>
      </c>
      <c r="G1369">
        <v>2.1669999999999998</v>
      </c>
      <c r="H1369">
        <v>1.482</v>
      </c>
      <c r="I1369">
        <v>34.962000000000003</v>
      </c>
      <c r="J1369">
        <v>21.550999999999998</v>
      </c>
      <c r="K1369">
        <v>10.537000000000001</v>
      </c>
      <c r="L1369">
        <v>1.569</v>
      </c>
      <c r="M1369">
        <v>4.3769999999999998</v>
      </c>
      <c r="N1369">
        <v>0.29299999999999998</v>
      </c>
      <c r="O1369">
        <v>2.726</v>
      </c>
      <c r="P1369">
        <v>1.1299999999999999</v>
      </c>
    </row>
    <row r="1370" spans="1:16" x14ac:dyDescent="0.25">
      <c r="A1370" s="1">
        <v>43180</v>
      </c>
      <c r="B1370">
        <v>10.808999999999999</v>
      </c>
      <c r="C1370">
        <v>225</v>
      </c>
      <c r="D1370">
        <v>3.2010000000000001</v>
      </c>
      <c r="E1370">
        <v>14.99</v>
      </c>
      <c r="F1370">
        <v>6.7679999999999998</v>
      </c>
      <c r="G1370">
        <v>2.1760000000000002</v>
      </c>
      <c r="H1370">
        <v>1.5609999999999999</v>
      </c>
      <c r="I1370">
        <v>34.780999999999999</v>
      </c>
      <c r="J1370">
        <v>22.084</v>
      </c>
      <c r="K1370">
        <v>10.439</v>
      </c>
      <c r="L1370">
        <v>1.645</v>
      </c>
      <c r="M1370">
        <v>4.5869999999999997</v>
      </c>
      <c r="N1370">
        <v>0.314</v>
      </c>
      <c r="O1370">
        <v>2.7450000000000001</v>
      </c>
      <c r="P1370">
        <v>1.1890000000000001</v>
      </c>
    </row>
    <row r="1371" spans="1:16" x14ac:dyDescent="0.25">
      <c r="A1371" s="1">
        <v>43181</v>
      </c>
      <c r="B1371">
        <v>10.78</v>
      </c>
      <c r="C1371">
        <v>217.5</v>
      </c>
      <c r="D1371">
        <v>3.278</v>
      </c>
      <c r="E1371">
        <v>14.74</v>
      </c>
      <c r="F1371">
        <v>6.9729999999999999</v>
      </c>
      <c r="G1371">
        <v>2.1840000000000002</v>
      </c>
      <c r="H1371">
        <v>1.5409999999999999</v>
      </c>
      <c r="I1371">
        <v>35.384999999999998</v>
      </c>
      <c r="J1371">
        <v>22.036000000000001</v>
      </c>
      <c r="K1371">
        <v>10.528</v>
      </c>
      <c r="L1371">
        <v>1.645</v>
      </c>
      <c r="M1371">
        <v>4.5869999999999997</v>
      </c>
      <c r="N1371">
        <v>0.31</v>
      </c>
      <c r="O1371">
        <v>2.7549999999999999</v>
      </c>
      <c r="P1371">
        <v>1.179</v>
      </c>
    </row>
    <row r="1372" spans="1:16" x14ac:dyDescent="0.25">
      <c r="A1372" s="1">
        <v>43182</v>
      </c>
      <c r="B1372">
        <v>10.78</v>
      </c>
      <c r="C1372">
        <v>219.5</v>
      </c>
      <c r="D1372">
        <v>3.286</v>
      </c>
      <c r="E1372">
        <v>14.94</v>
      </c>
      <c r="F1372">
        <v>7.1970000000000001</v>
      </c>
      <c r="G1372">
        <v>2.1930000000000001</v>
      </c>
      <c r="H1372">
        <v>1.62</v>
      </c>
      <c r="I1372">
        <v>35.298999999999999</v>
      </c>
      <c r="J1372">
        <v>22.036000000000001</v>
      </c>
      <c r="K1372">
        <v>10.528</v>
      </c>
      <c r="L1372">
        <v>1.645</v>
      </c>
      <c r="M1372">
        <v>4.5519999999999996</v>
      </c>
      <c r="N1372">
        <v>0.317</v>
      </c>
      <c r="O1372">
        <v>2.9279999999999999</v>
      </c>
      <c r="P1372">
        <v>1.1990000000000001</v>
      </c>
    </row>
    <row r="1373" spans="1:16" x14ac:dyDescent="0.25">
      <c r="A1373" s="1">
        <v>43185</v>
      </c>
      <c r="B1373">
        <v>10.856</v>
      </c>
      <c r="C1373">
        <v>223.6</v>
      </c>
      <c r="D1373">
        <v>3.278</v>
      </c>
      <c r="E1373">
        <v>14.96</v>
      </c>
      <c r="F1373">
        <v>7.2859999999999996</v>
      </c>
      <c r="G1373">
        <v>2.1930000000000001</v>
      </c>
      <c r="H1373">
        <v>1.63</v>
      </c>
      <c r="I1373">
        <v>34.953000000000003</v>
      </c>
      <c r="J1373">
        <v>21.939</v>
      </c>
      <c r="K1373">
        <v>10.537000000000001</v>
      </c>
      <c r="L1373">
        <v>1.655</v>
      </c>
      <c r="M1373">
        <v>4.4729999999999999</v>
      </c>
      <c r="N1373">
        <v>0.313</v>
      </c>
      <c r="O1373">
        <v>2.9279999999999999</v>
      </c>
      <c r="P1373">
        <v>1.2190000000000001</v>
      </c>
    </row>
    <row r="1374" spans="1:16" x14ac:dyDescent="0.25">
      <c r="A1374" s="1">
        <v>43186</v>
      </c>
      <c r="B1374">
        <v>10.827999999999999</v>
      </c>
      <c r="C1374">
        <v>222.2</v>
      </c>
      <c r="D1374">
        <v>3.3170000000000002</v>
      </c>
      <c r="E1374">
        <v>14.96</v>
      </c>
      <c r="F1374">
        <v>7.2409999999999997</v>
      </c>
      <c r="G1374">
        <v>2.1840000000000002</v>
      </c>
      <c r="H1374">
        <v>1.788</v>
      </c>
      <c r="I1374">
        <v>34.953000000000003</v>
      </c>
      <c r="J1374">
        <v>21.648</v>
      </c>
      <c r="K1374">
        <v>10.528</v>
      </c>
      <c r="L1374">
        <v>1.655</v>
      </c>
      <c r="M1374">
        <v>4.4909999999999997</v>
      </c>
      <c r="N1374">
        <v>0.29499999999999998</v>
      </c>
      <c r="O1374">
        <v>2.8410000000000002</v>
      </c>
      <c r="P1374">
        <v>1.1990000000000001</v>
      </c>
    </row>
    <row r="1375" spans="1:16" x14ac:dyDescent="0.25">
      <c r="A1375" s="1">
        <v>43187</v>
      </c>
      <c r="B1375">
        <v>10.78</v>
      </c>
      <c r="C1375">
        <v>224.65</v>
      </c>
      <c r="D1375">
        <v>3.355</v>
      </c>
      <c r="E1375">
        <v>14.66</v>
      </c>
      <c r="F1375">
        <v>7.1970000000000001</v>
      </c>
      <c r="G1375">
        <v>2.1840000000000002</v>
      </c>
      <c r="H1375">
        <v>1.887</v>
      </c>
      <c r="I1375">
        <v>34.953000000000003</v>
      </c>
      <c r="J1375">
        <v>21.599</v>
      </c>
      <c r="K1375">
        <v>10.483000000000001</v>
      </c>
      <c r="L1375">
        <v>1.655</v>
      </c>
      <c r="M1375">
        <v>4.5430000000000001</v>
      </c>
      <c r="N1375">
        <v>0.28499999999999998</v>
      </c>
      <c r="O1375">
        <v>2.8410000000000002</v>
      </c>
      <c r="P1375">
        <v>1.179</v>
      </c>
    </row>
    <row r="1376" spans="1:16" x14ac:dyDescent="0.25">
      <c r="A1376" s="1">
        <v>43192</v>
      </c>
      <c r="B1376">
        <v>10.683999999999999</v>
      </c>
      <c r="C1376">
        <v>213.95</v>
      </c>
      <c r="D1376">
        <v>3.3940000000000001</v>
      </c>
      <c r="E1376">
        <v>15.59</v>
      </c>
      <c r="F1376">
        <v>7.2409999999999997</v>
      </c>
      <c r="G1376">
        <v>2.1760000000000002</v>
      </c>
      <c r="H1376">
        <v>1.877</v>
      </c>
      <c r="I1376">
        <v>34.953000000000003</v>
      </c>
      <c r="J1376">
        <v>21.599</v>
      </c>
      <c r="K1376">
        <v>10.457000000000001</v>
      </c>
      <c r="L1376">
        <v>1.607</v>
      </c>
      <c r="M1376">
        <v>4.5430000000000001</v>
      </c>
      <c r="N1376">
        <v>0.28399999999999997</v>
      </c>
      <c r="O1376">
        <v>2.8130000000000002</v>
      </c>
      <c r="P1376">
        <v>1.1499999999999999</v>
      </c>
    </row>
    <row r="1377" spans="1:16" x14ac:dyDescent="0.25">
      <c r="A1377" s="1">
        <v>43193</v>
      </c>
      <c r="B1377">
        <v>10.54</v>
      </c>
      <c r="C1377">
        <v>218.42</v>
      </c>
      <c r="D1377">
        <v>3.3940000000000001</v>
      </c>
      <c r="E1377">
        <v>15.56</v>
      </c>
      <c r="F1377">
        <v>7.1520000000000001</v>
      </c>
      <c r="G1377">
        <v>2.1669999999999998</v>
      </c>
      <c r="H1377">
        <v>1.877</v>
      </c>
      <c r="I1377">
        <v>34.953000000000003</v>
      </c>
      <c r="J1377">
        <v>21.599</v>
      </c>
      <c r="K1377">
        <v>10.616</v>
      </c>
      <c r="L1377">
        <v>1.5880000000000001</v>
      </c>
      <c r="M1377">
        <v>4.4560000000000004</v>
      </c>
      <c r="N1377">
        <v>0.28799999999999998</v>
      </c>
      <c r="O1377">
        <v>2.8130000000000002</v>
      </c>
      <c r="P1377">
        <v>1.179</v>
      </c>
    </row>
    <row r="1378" spans="1:16" x14ac:dyDescent="0.25">
      <c r="A1378" s="1">
        <v>43194</v>
      </c>
      <c r="B1378">
        <v>10.54</v>
      </c>
      <c r="C1378">
        <v>219.83</v>
      </c>
      <c r="D1378">
        <v>3.4630000000000001</v>
      </c>
      <c r="E1378">
        <v>15.96</v>
      </c>
      <c r="F1378">
        <v>7.1970000000000001</v>
      </c>
      <c r="G1378">
        <v>2.1840000000000002</v>
      </c>
      <c r="H1378">
        <v>1.9159999999999999</v>
      </c>
      <c r="I1378">
        <v>34.521999999999998</v>
      </c>
      <c r="J1378">
        <v>21.599</v>
      </c>
      <c r="K1378">
        <v>10.616</v>
      </c>
      <c r="L1378">
        <v>1.5780000000000001</v>
      </c>
      <c r="M1378">
        <v>4.4560000000000004</v>
      </c>
      <c r="N1378">
        <v>0.29499999999999998</v>
      </c>
      <c r="O1378">
        <v>2.7639999999999998</v>
      </c>
      <c r="P1378">
        <v>1.17</v>
      </c>
    </row>
    <row r="1379" spans="1:16" x14ac:dyDescent="0.25">
      <c r="A1379" s="1">
        <v>43195</v>
      </c>
      <c r="B1379">
        <v>10.606999999999999</v>
      </c>
      <c r="C1379">
        <v>222.65</v>
      </c>
      <c r="D1379">
        <v>3.4710000000000001</v>
      </c>
      <c r="E1379">
        <v>15.85</v>
      </c>
      <c r="F1379">
        <v>7.1970000000000001</v>
      </c>
      <c r="G1379">
        <v>2.1760000000000002</v>
      </c>
      <c r="H1379">
        <v>1.907</v>
      </c>
      <c r="I1379">
        <v>34.625999999999998</v>
      </c>
      <c r="J1379">
        <v>21.599</v>
      </c>
      <c r="K1379">
        <v>10.616</v>
      </c>
      <c r="L1379">
        <v>1.5780000000000001</v>
      </c>
      <c r="M1379">
        <v>4.4560000000000004</v>
      </c>
      <c r="N1379">
        <v>0.29499999999999998</v>
      </c>
      <c r="O1379">
        <v>2.7930000000000001</v>
      </c>
      <c r="P1379">
        <v>1.1599999999999999</v>
      </c>
    </row>
    <row r="1380" spans="1:16" x14ac:dyDescent="0.25">
      <c r="A1380" s="1">
        <v>43196</v>
      </c>
      <c r="B1380">
        <v>10.683999999999999</v>
      </c>
      <c r="C1380">
        <v>219.55</v>
      </c>
      <c r="D1380">
        <v>3.4710000000000001</v>
      </c>
      <c r="E1380">
        <v>15.96</v>
      </c>
      <c r="F1380">
        <v>7.08</v>
      </c>
      <c r="G1380">
        <v>2.1930000000000001</v>
      </c>
      <c r="H1380">
        <v>1.946</v>
      </c>
      <c r="I1380">
        <v>34.607999999999997</v>
      </c>
      <c r="J1380">
        <v>21.792999999999999</v>
      </c>
      <c r="K1380">
        <v>10.616</v>
      </c>
      <c r="L1380">
        <v>1.5780000000000001</v>
      </c>
      <c r="M1380">
        <v>4.4560000000000004</v>
      </c>
      <c r="N1380">
        <v>0.28999999999999998</v>
      </c>
      <c r="O1380">
        <v>2.7450000000000001</v>
      </c>
      <c r="P1380">
        <v>1.1399999999999999</v>
      </c>
    </row>
    <row r="1381" spans="1:16" x14ac:dyDescent="0.25">
      <c r="A1381" s="1">
        <v>43199</v>
      </c>
      <c r="B1381">
        <v>10.683999999999999</v>
      </c>
      <c r="C1381">
        <v>220.49</v>
      </c>
      <c r="D1381">
        <v>3.4710000000000001</v>
      </c>
      <c r="E1381">
        <v>15.95</v>
      </c>
      <c r="F1381">
        <v>7.0540000000000003</v>
      </c>
      <c r="G1381">
        <v>2.1760000000000002</v>
      </c>
      <c r="H1381">
        <v>2.0049999999999999</v>
      </c>
      <c r="I1381">
        <v>34.607999999999997</v>
      </c>
      <c r="J1381">
        <v>21.792999999999999</v>
      </c>
      <c r="K1381">
        <v>10.616</v>
      </c>
      <c r="L1381">
        <v>1.607</v>
      </c>
      <c r="M1381">
        <v>4.4560000000000004</v>
      </c>
      <c r="N1381">
        <v>0.28499999999999998</v>
      </c>
      <c r="O1381">
        <v>2.7069999999999999</v>
      </c>
      <c r="P1381">
        <v>1.111</v>
      </c>
    </row>
    <row r="1382" spans="1:16" x14ac:dyDescent="0.25">
      <c r="A1382" s="1">
        <v>43200</v>
      </c>
      <c r="B1382">
        <v>10.722</v>
      </c>
      <c r="C1382">
        <v>222.55</v>
      </c>
      <c r="D1382">
        <v>3.4319999999999999</v>
      </c>
      <c r="E1382">
        <v>16.010000000000002</v>
      </c>
      <c r="F1382">
        <v>7.08</v>
      </c>
      <c r="G1382">
        <v>2.1840000000000002</v>
      </c>
      <c r="H1382">
        <v>2.0350000000000001</v>
      </c>
      <c r="I1382">
        <v>34.607999999999997</v>
      </c>
      <c r="J1382">
        <v>21.745000000000001</v>
      </c>
      <c r="K1382">
        <v>10.625</v>
      </c>
      <c r="L1382">
        <v>1.607</v>
      </c>
      <c r="M1382">
        <v>4.4989999999999997</v>
      </c>
      <c r="N1382">
        <v>0.29499999999999998</v>
      </c>
      <c r="O1382">
        <v>2.7549999999999999</v>
      </c>
      <c r="P1382">
        <v>1.111</v>
      </c>
    </row>
    <row r="1383" spans="1:16" x14ac:dyDescent="0.25">
      <c r="A1383" s="1">
        <v>43201</v>
      </c>
      <c r="B1383">
        <v>10.722</v>
      </c>
      <c r="C1383">
        <v>221</v>
      </c>
      <c r="D1383">
        <v>3.4249999999999998</v>
      </c>
      <c r="E1383">
        <v>16.45</v>
      </c>
      <c r="F1383">
        <v>7.1070000000000002</v>
      </c>
      <c r="G1383">
        <v>2.1930000000000001</v>
      </c>
      <c r="H1383">
        <v>2.0550000000000002</v>
      </c>
      <c r="I1383">
        <v>35.384999999999998</v>
      </c>
      <c r="J1383">
        <v>21.841999999999999</v>
      </c>
      <c r="K1383">
        <v>10.705</v>
      </c>
      <c r="L1383">
        <v>1.607</v>
      </c>
      <c r="M1383">
        <v>4.4560000000000004</v>
      </c>
      <c r="N1383">
        <v>0.30499999999999999</v>
      </c>
      <c r="O1383">
        <v>2.7639999999999998</v>
      </c>
      <c r="P1383">
        <v>1.1499999999999999</v>
      </c>
    </row>
    <row r="1384" spans="1:16" x14ac:dyDescent="0.25">
      <c r="A1384" s="1">
        <v>43202</v>
      </c>
      <c r="B1384">
        <v>10.808999999999999</v>
      </c>
      <c r="C1384">
        <v>219.27</v>
      </c>
      <c r="D1384">
        <v>3.4089999999999998</v>
      </c>
      <c r="E1384">
        <v>16.57</v>
      </c>
      <c r="F1384">
        <v>7.1070000000000002</v>
      </c>
      <c r="G1384">
        <v>2.1930000000000001</v>
      </c>
      <c r="H1384">
        <v>2.1339999999999999</v>
      </c>
      <c r="I1384">
        <v>35.393999999999998</v>
      </c>
      <c r="J1384">
        <v>21.841999999999999</v>
      </c>
      <c r="K1384">
        <v>10.705</v>
      </c>
      <c r="L1384">
        <v>1.607</v>
      </c>
      <c r="M1384">
        <v>4.3680000000000003</v>
      </c>
      <c r="N1384">
        <v>0.30499999999999999</v>
      </c>
      <c r="O1384">
        <v>2.7930000000000001</v>
      </c>
      <c r="P1384">
        <v>1.1299999999999999</v>
      </c>
    </row>
    <row r="1385" spans="1:16" x14ac:dyDescent="0.25">
      <c r="A1385" s="1">
        <v>43206</v>
      </c>
      <c r="B1385">
        <v>10.808999999999999</v>
      </c>
      <c r="C1385">
        <v>215.32</v>
      </c>
      <c r="D1385">
        <v>3.4089999999999998</v>
      </c>
      <c r="E1385">
        <v>16.45</v>
      </c>
      <c r="F1385">
        <v>7.0620000000000003</v>
      </c>
      <c r="G1385">
        <v>2.1930000000000001</v>
      </c>
      <c r="H1385">
        <v>2.39</v>
      </c>
      <c r="I1385">
        <v>35.825000000000003</v>
      </c>
      <c r="J1385">
        <v>22.327000000000002</v>
      </c>
      <c r="K1385">
        <v>10.625</v>
      </c>
      <c r="L1385">
        <v>1.607</v>
      </c>
      <c r="M1385">
        <v>4.3600000000000003</v>
      </c>
      <c r="N1385">
        <v>0.30499999999999999</v>
      </c>
      <c r="O1385">
        <v>2.774</v>
      </c>
      <c r="P1385">
        <v>1.121</v>
      </c>
    </row>
    <row r="1386" spans="1:16" x14ac:dyDescent="0.25">
      <c r="A1386" s="1">
        <v>43207</v>
      </c>
      <c r="B1386">
        <v>10.952</v>
      </c>
      <c r="C1386">
        <v>228</v>
      </c>
      <c r="D1386">
        <v>3.4710000000000001</v>
      </c>
      <c r="E1386">
        <v>16.41</v>
      </c>
      <c r="F1386">
        <v>7.0620000000000003</v>
      </c>
      <c r="G1386">
        <v>2.2440000000000002</v>
      </c>
      <c r="H1386">
        <v>2.371</v>
      </c>
      <c r="I1386">
        <v>36.247999999999998</v>
      </c>
      <c r="J1386">
        <v>23.055</v>
      </c>
      <c r="K1386">
        <v>10.829000000000001</v>
      </c>
      <c r="L1386">
        <v>1.712</v>
      </c>
      <c r="M1386">
        <v>4.6740000000000004</v>
      </c>
      <c r="N1386">
        <v>0.311</v>
      </c>
      <c r="O1386">
        <v>2.7930000000000001</v>
      </c>
      <c r="P1386">
        <v>1.1399999999999999</v>
      </c>
    </row>
    <row r="1387" spans="1:16" x14ac:dyDescent="0.25">
      <c r="A1387" s="1">
        <v>43208</v>
      </c>
      <c r="B1387">
        <v>11.096</v>
      </c>
      <c r="C1387">
        <v>228.57</v>
      </c>
      <c r="D1387">
        <v>3.468</v>
      </c>
      <c r="E1387">
        <v>16.440000000000001</v>
      </c>
      <c r="F1387">
        <v>7.1070000000000002</v>
      </c>
      <c r="G1387">
        <v>2.2879999999999998</v>
      </c>
      <c r="H1387">
        <v>2.2229999999999999</v>
      </c>
      <c r="I1387">
        <v>36.247999999999998</v>
      </c>
      <c r="J1387">
        <v>23.055</v>
      </c>
      <c r="K1387">
        <v>10.829000000000001</v>
      </c>
      <c r="L1387">
        <v>1.6259999999999999</v>
      </c>
      <c r="M1387">
        <v>4.63</v>
      </c>
      <c r="N1387">
        <v>0.314</v>
      </c>
      <c r="O1387">
        <v>2.7930000000000001</v>
      </c>
      <c r="P1387">
        <v>1.1399999999999999</v>
      </c>
    </row>
    <row r="1388" spans="1:16" x14ac:dyDescent="0.25">
      <c r="A1388" s="1">
        <v>43209</v>
      </c>
      <c r="B1388">
        <v>11.259</v>
      </c>
      <c r="C1388">
        <v>229.4</v>
      </c>
      <c r="D1388">
        <v>3.476</v>
      </c>
      <c r="E1388">
        <v>16.71</v>
      </c>
      <c r="F1388">
        <v>7.0179999999999998</v>
      </c>
      <c r="G1388">
        <v>2.2959999999999998</v>
      </c>
      <c r="H1388">
        <v>2.262</v>
      </c>
      <c r="I1388">
        <v>36.661999999999999</v>
      </c>
      <c r="J1388">
        <v>23.297999999999998</v>
      </c>
      <c r="K1388">
        <v>10.855</v>
      </c>
      <c r="L1388">
        <v>1.722</v>
      </c>
      <c r="M1388">
        <v>4.63</v>
      </c>
      <c r="N1388">
        <v>0.318</v>
      </c>
      <c r="O1388">
        <v>2.8029999999999999</v>
      </c>
      <c r="P1388">
        <v>1.1399999999999999</v>
      </c>
    </row>
    <row r="1389" spans="1:16" x14ac:dyDescent="0.25">
      <c r="A1389" s="1">
        <v>43210</v>
      </c>
      <c r="B1389">
        <v>11.298</v>
      </c>
      <c r="C1389">
        <v>230.6</v>
      </c>
      <c r="D1389">
        <v>3.476</v>
      </c>
      <c r="E1389">
        <v>16.5</v>
      </c>
      <c r="F1389">
        <v>7.0620000000000003</v>
      </c>
      <c r="G1389">
        <v>2.319</v>
      </c>
      <c r="H1389">
        <v>2.282</v>
      </c>
      <c r="I1389">
        <v>37.542999999999999</v>
      </c>
      <c r="J1389">
        <v>23.297999999999998</v>
      </c>
      <c r="K1389">
        <v>10.855</v>
      </c>
      <c r="L1389">
        <v>1.722</v>
      </c>
      <c r="M1389">
        <v>4.63</v>
      </c>
      <c r="N1389">
        <v>0.31</v>
      </c>
      <c r="O1389">
        <v>2.8319999999999999</v>
      </c>
      <c r="P1389">
        <v>1.1599999999999999</v>
      </c>
    </row>
    <row r="1390" spans="1:16" x14ac:dyDescent="0.25">
      <c r="A1390" s="1">
        <v>43213</v>
      </c>
      <c r="B1390">
        <v>11.347</v>
      </c>
      <c r="C1390">
        <v>231.7</v>
      </c>
      <c r="D1390">
        <v>3.556</v>
      </c>
      <c r="E1390">
        <v>16.45</v>
      </c>
      <c r="F1390">
        <v>7.0620000000000003</v>
      </c>
      <c r="G1390">
        <v>2.31</v>
      </c>
      <c r="H1390">
        <v>2.2719999999999998</v>
      </c>
      <c r="I1390">
        <v>40.923999999999999</v>
      </c>
      <c r="J1390">
        <v>23.492000000000001</v>
      </c>
      <c r="K1390">
        <v>10.855</v>
      </c>
      <c r="L1390">
        <v>1.722</v>
      </c>
      <c r="M1390">
        <v>4.63</v>
      </c>
      <c r="N1390">
        <v>0.3</v>
      </c>
      <c r="O1390">
        <v>2.7839999999999998</v>
      </c>
      <c r="P1390">
        <v>1.1399999999999999</v>
      </c>
    </row>
    <row r="1391" spans="1:16" x14ac:dyDescent="0.25">
      <c r="A1391" s="1">
        <v>43214</v>
      </c>
      <c r="B1391">
        <v>11.308</v>
      </c>
      <c r="C1391">
        <v>234.55</v>
      </c>
      <c r="D1391">
        <v>3.508</v>
      </c>
      <c r="E1391">
        <v>16.399999999999999</v>
      </c>
      <c r="F1391">
        <v>7.1520000000000001</v>
      </c>
      <c r="G1391">
        <v>2.3279999999999998</v>
      </c>
      <c r="H1391">
        <v>2.282</v>
      </c>
      <c r="I1391">
        <v>41.213000000000001</v>
      </c>
      <c r="J1391">
        <v>23.541</v>
      </c>
      <c r="K1391">
        <v>10.945</v>
      </c>
      <c r="L1391">
        <v>1.76</v>
      </c>
      <c r="M1391">
        <v>4.63</v>
      </c>
      <c r="N1391">
        <v>0.29499999999999998</v>
      </c>
      <c r="O1391">
        <v>2.7839999999999998</v>
      </c>
      <c r="P1391">
        <v>1.1399999999999999</v>
      </c>
    </row>
    <row r="1392" spans="1:16" x14ac:dyDescent="0.25">
      <c r="A1392" s="1">
        <v>43215</v>
      </c>
      <c r="B1392">
        <v>11.414999999999999</v>
      </c>
      <c r="C1392">
        <v>231.96</v>
      </c>
      <c r="D1392">
        <v>3.58</v>
      </c>
      <c r="E1392">
        <v>16.149999999999999</v>
      </c>
      <c r="F1392">
        <v>7.1520000000000001</v>
      </c>
      <c r="G1392">
        <v>2.355</v>
      </c>
      <c r="H1392">
        <v>2.262</v>
      </c>
      <c r="I1392">
        <v>41.213000000000001</v>
      </c>
      <c r="J1392">
        <v>23.297999999999998</v>
      </c>
      <c r="K1392">
        <v>10.945</v>
      </c>
      <c r="L1392">
        <v>1.76</v>
      </c>
      <c r="M1392">
        <v>4.4989999999999997</v>
      </c>
      <c r="N1392">
        <v>0.30499999999999999</v>
      </c>
      <c r="O1392">
        <v>2.8319999999999999</v>
      </c>
      <c r="P1392">
        <v>1.1299999999999999</v>
      </c>
    </row>
    <row r="1393" spans="1:16" x14ac:dyDescent="0.25">
      <c r="A1393" s="1">
        <v>43216</v>
      </c>
      <c r="B1393">
        <v>11.542999999999999</v>
      </c>
      <c r="C1393">
        <v>234.05</v>
      </c>
      <c r="D1393">
        <v>3.5960000000000001</v>
      </c>
      <c r="E1393">
        <v>16.09</v>
      </c>
      <c r="F1393">
        <v>7.2409999999999997</v>
      </c>
      <c r="G1393">
        <v>2.3919999999999999</v>
      </c>
      <c r="H1393">
        <v>2.2719999999999998</v>
      </c>
      <c r="I1393">
        <v>41.213000000000001</v>
      </c>
      <c r="J1393">
        <v>23.297999999999998</v>
      </c>
      <c r="K1393">
        <v>10.945</v>
      </c>
      <c r="L1393">
        <v>1.77</v>
      </c>
      <c r="M1393">
        <v>4.5430000000000001</v>
      </c>
      <c r="N1393">
        <v>0.31</v>
      </c>
      <c r="O1393">
        <v>2.8319999999999999</v>
      </c>
      <c r="P1393">
        <v>1.121</v>
      </c>
    </row>
    <row r="1394" spans="1:16" x14ac:dyDescent="0.25">
      <c r="A1394" s="1">
        <v>43217</v>
      </c>
      <c r="B1394">
        <v>11.552</v>
      </c>
      <c r="C1394">
        <v>234.15</v>
      </c>
      <c r="D1394">
        <v>3.5960000000000001</v>
      </c>
      <c r="E1394">
        <v>15.96</v>
      </c>
      <c r="F1394">
        <v>7.2050000000000001</v>
      </c>
      <c r="G1394">
        <v>2.383</v>
      </c>
      <c r="H1394">
        <v>2.1829999999999998</v>
      </c>
      <c r="I1394">
        <v>41.213000000000001</v>
      </c>
      <c r="J1394">
        <v>23.103999999999999</v>
      </c>
      <c r="K1394">
        <v>10.945</v>
      </c>
      <c r="L1394">
        <v>1.7310000000000001</v>
      </c>
      <c r="M1394">
        <v>4.5430000000000001</v>
      </c>
      <c r="N1394">
        <v>0.30599999999999999</v>
      </c>
      <c r="O1394">
        <v>2.8220000000000001</v>
      </c>
      <c r="P1394">
        <v>1.121</v>
      </c>
    </row>
    <row r="1395" spans="1:16" x14ac:dyDescent="0.25">
      <c r="A1395" s="1">
        <v>43220</v>
      </c>
      <c r="B1395">
        <v>11.689</v>
      </c>
      <c r="C1395">
        <v>231</v>
      </c>
      <c r="D1395">
        <v>3.5960000000000001</v>
      </c>
      <c r="E1395">
        <v>15.87</v>
      </c>
      <c r="F1395">
        <v>7.2859999999999996</v>
      </c>
      <c r="G1395">
        <v>2.383</v>
      </c>
      <c r="H1395">
        <v>2.2229999999999999</v>
      </c>
      <c r="I1395">
        <v>41.203000000000003</v>
      </c>
      <c r="J1395">
        <v>23.201000000000001</v>
      </c>
      <c r="K1395">
        <v>10.945</v>
      </c>
      <c r="L1395">
        <v>1.7310000000000001</v>
      </c>
      <c r="M1395">
        <v>4.5430000000000001</v>
      </c>
      <c r="N1395">
        <v>0.30499999999999999</v>
      </c>
      <c r="O1395">
        <v>2.8130000000000002</v>
      </c>
      <c r="P1395">
        <v>1.1499999999999999</v>
      </c>
    </row>
    <row r="1396" spans="1:16" x14ac:dyDescent="0.25">
      <c r="A1396" s="1">
        <v>43222</v>
      </c>
      <c r="B1396">
        <v>11.689</v>
      </c>
      <c r="C1396">
        <v>229.5</v>
      </c>
      <c r="D1396">
        <v>3.6280000000000001</v>
      </c>
      <c r="E1396">
        <v>15.45</v>
      </c>
      <c r="F1396">
        <v>7.3310000000000004</v>
      </c>
      <c r="G1396">
        <v>2.383</v>
      </c>
      <c r="H1396">
        <v>2.2519999999999998</v>
      </c>
      <c r="I1396">
        <v>40.731999999999999</v>
      </c>
      <c r="J1396">
        <v>23.201000000000001</v>
      </c>
      <c r="K1396">
        <v>10.945</v>
      </c>
      <c r="L1396">
        <v>1.7030000000000001</v>
      </c>
      <c r="M1396">
        <v>4.63</v>
      </c>
      <c r="N1396">
        <v>0.28000000000000003</v>
      </c>
      <c r="O1396">
        <v>2.8220000000000001</v>
      </c>
      <c r="P1396">
        <v>1.121</v>
      </c>
    </row>
    <row r="1397" spans="1:16" x14ac:dyDescent="0.25">
      <c r="A1397" s="1">
        <v>43223</v>
      </c>
      <c r="B1397">
        <v>11.425000000000001</v>
      </c>
      <c r="C1397">
        <v>223.4</v>
      </c>
      <c r="D1397">
        <v>3.6280000000000001</v>
      </c>
      <c r="E1397">
        <v>15.51</v>
      </c>
      <c r="F1397">
        <v>7.375</v>
      </c>
      <c r="G1397">
        <v>2.3650000000000002</v>
      </c>
      <c r="H1397">
        <v>2.2719999999999998</v>
      </c>
      <c r="I1397">
        <v>40.154000000000003</v>
      </c>
      <c r="J1397">
        <v>22.957999999999998</v>
      </c>
      <c r="K1397">
        <v>10.9</v>
      </c>
      <c r="L1397">
        <v>1.7030000000000001</v>
      </c>
      <c r="M1397">
        <v>4.63</v>
      </c>
      <c r="N1397">
        <v>0.28000000000000003</v>
      </c>
      <c r="O1397">
        <v>2.8220000000000001</v>
      </c>
      <c r="P1397">
        <v>1.121</v>
      </c>
    </row>
    <row r="1398" spans="1:16" x14ac:dyDescent="0.25">
      <c r="A1398" s="1">
        <v>43224</v>
      </c>
      <c r="B1398">
        <v>11.151</v>
      </c>
      <c r="C1398">
        <v>227.59</v>
      </c>
      <c r="D1398">
        <v>3.5960000000000001</v>
      </c>
      <c r="E1398">
        <v>15.2</v>
      </c>
      <c r="F1398">
        <v>7.375</v>
      </c>
      <c r="G1398">
        <v>2.3370000000000002</v>
      </c>
      <c r="H1398">
        <v>2.2719999999999998</v>
      </c>
      <c r="I1398">
        <v>39.479999999999997</v>
      </c>
      <c r="J1398">
        <v>22.861000000000001</v>
      </c>
      <c r="K1398">
        <v>10.917999999999999</v>
      </c>
      <c r="L1398">
        <v>1.6259999999999999</v>
      </c>
      <c r="M1398">
        <v>4.63</v>
      </c>
      <c r="N1398">
        <v>0.28000000000000003</v>
      </c>
      <c r="O1398">
        <v>2.8319999999999999</v>
      </c>
      <c r="P1398">
        <v>1.111</v>
      </c>
    </row>
    <row r="1399" spans="1:16" x14ac:dyDescent="0.25">
      <c r="A1399" s="1">
        <v>43227</v>
      </c>
      <c r="B1399">
        <v>11.249000000000001</v>
      </c>
      <c r="C1399">
        <v>228.97</v>
      </c>
      <c r="D1399">
        <v>3.6440000000000001</v>
      </c>
      <c r="E1399">
        <v>15.19</v>
      </c>
      <c r="F1399">
        <v>7.34</v>
      </c>
      <c r="G1399">
        <v>2.3370000000000002</v>
      </c>
      <c r="H1399">
        <v>2.2229999999999999</v>
      </c>
      <c r="I1399">
        <v>39.47</v>
      </c>
      <c r="J1399">
        <v>22.861000000000001</v>
      </c>
      <c r="K1399">
        <v>10.927</v>
      </c>
      <c r="L1399">
        <v>1.5780000000000001</v>
      </c>
      <c r="M1399">
        <v>4.63</v>
      </c>
      <c r="N1399">
        <v>0.28499999999999998</v>
      </c>
      <c r="O1399">
        <v>2.88</v>
      </c>
      <c r="P1399">
        <v>1.081</v>
      </c>
    </row>
    <row r="1400" spans="1:16" x14ac:dyDescent="0.25">
      <c r="A1400" s="1">
        <v>43228</v>
      </c>
      <c r="B1400">
        <v>11.396000000000001</v>
      </c>
      <c r="C1400">
        <v>229.4</v>
      </c>
      <c r="D1400">
        <v>3.6360000000000001</v>
      </c>
      <c r="E1400">
        <v>15.11</v>
      </c>
      <c r="F1400">
        <v>7.3490000000000002</v>
      </c>
      <c r="G1400">
        <v>2.3370000000000002</v>
      </c>
      <c r="H1400">
        <v>2.2229999999999999</v>
      </c>
      <c r="I1400">
        <v>39.47</v>
      </c>
      <c r="J1400">
        <v>22.919</v>
      </c>
      <c r="K1400">
        <v>10.98</v>
      </c>
      <c r="L1400">
        <v>1.5880000000000001</v>
      </c>
      <c r="M1400">
        <v>4.4119999999999999</v>
      </c>
      <c r="N1400">
        <v>0.28000000000000003</v>
      </c>
      <c r="O1400">
        <v>2.88</v>
      </c>
      <c r="P1400">
        <v>1.0620000000000001</v>
      </c>
    </row>
    <row r="1401" spans="1:16" x14ac:dyDescent="0.25">
      <c r="A1401" s="1">
        <v>43229</v>
      </c>
      <c r="B1401">
        <v>11.532999999999999</v>
      </c>
      <c r="C1401">
        <v>226</v>
      </c>
      <c r="D1401">
        <v>3.6520000000000001</v>
      </c>
      <c r="E1401">
        <v>15.34</v>
      </c>
      <c r="F1401">
        <v>7.3490000000000002</v>
      </c>
      <c r="G1401">
        <v>2.3279999999999998</v>
      </c>
      <c r="H1401">
        <v>2.2320000000000002</v>
      </c>
      <c r="I1401">
        <v>39.384</v>
      </c>
      <c r="J1401">
        <v>23.395</v>
      </c>
      <c r="K1401">
        <v>10.811</v>
      </c>
      <c r="L1401">
        <v>1.5880000000000001</v>
      </c>
      <c r="M1401">
        <v>4.4119999999999999</v>
      </c>
      <c r="N1401">
        <v>0.28000000000000003</v>
      </c>
      <c r="O1401">
        <v>2.8410000000000002</v>
      </c>
      <c r="P1401">
        <v>1.0620000000000001</v>
      </c>
    </row>
    <row r="1402" spans="1:16" x14ac:dyDescent="0.25">
      <c r="A1402" s="1">
        <v>43230</v>
      </c>
      <c r="B1402">
        <v>11.689</v>
      </c>
      <c r="C1402">
        <v>227.4</v>
      </c>
      <c r="D1402">
        <v>3.6360000000000001</v>
      </c>
      <c r="E1402">
        <v>15.64</v>
      </c>
      <c r="F1402">
        <v>7.2770000000000001</v>
      </c>
      <c r="G1402">
        <v>2.3650000000000002</v>
      </c>
      <c r="H1402">
        <v>2.282</v>
      </c>
      <c r="I1402">
        <v>40.337000000000003</v>
      </c>
      <c r="J1402">
        <v>23.103999999999999</v>
      </c>
      <c r="K1402">
        <v>10.9</v>
      </c>
      <c r="L1402">
        <v>1.645</v>
      </c>
      <c r="M1402">
        <v>4.4560000000000004</v>
      </c>
      <c r="N1402">
        <v>0.28499999999999998</v>
      </c>
      <c r="O1402">
        <v>2.88</v>
      </c>
      <c r="P1402">
        <v>1.081</v>
      </c>
    </row>
    <row r="1403" spans="1:16" x14ac:dyDescent="0.25">
      <c r="A1403" s="1">
        <v>43231</v>
      </c>
      <c r="B1403">
        <v>11.64</v>
      </c>
      <c r="C1403">
        <v>227.4</v>
      </c>
      <c r="D1403">
        <v>3.6440000000000001</v>
      </c>
      <c r="E1403">
        <v>15.63</v>
      </c>
      <c r="F1403">
        <v>7.2949999999999999</v>
      </c>
      <c r="G1403">
        <v>2.3730000000000002</v>
      </c>
      <c r="H1403">
        <v>2.3210000000000002</v>
      </c>
      <c r="I1403">
        <v>40.539000000000001</v>
      </c>
      <c r="J1403">
        <v>23.297999999999998</v>
      </c>
      <c r="K1403">
        <v>11.079000000000001</v>
      </c>
      <c r="L1403">
        <v>1.6259999999999999</v>
      </c>
      <c r="M1403">
        <v>4.4640000000000004</v>
      </c>
      <c r="N1403">
        <v>0.28000000000000003</v>
      </c>
      <c r="O1403">
        <v>2.851</v>
      </c>
      <c r="P1403">
        <v>1.091</v>
      </c>
    </row>
    <row r="1404" spans="1:16" x14ac:dyDescent="0.25">
      <c r="A1404" s="1">
        <v>43234</v>
      </c>
      <c r="B1404">
        <v>11.347</v>
      </c>
      <c r="C1404">
        <v>225.95</v>
      </c>
      <c r="D1404">
        <v>3.6360000000000001</v>
      </c>
      <c r="E1404">
        <v>15.55</v>
      </c>
      <c r="F1404">
        <v>7.3129999999999997</v>
      </c>
      <c r="G1404">
        <v>2.319</v>
      </c>
      <c r="H1404">
        <v>2.3210000000000002</v>
      </c>
      <c r="I1404">
        <v>39.960999999999999</v>
      </c>
      <c r="J1404">
        <v>23.297999999999998</v>
      </c>
      <c r="K1404">
        <v>11.034000000000001</v>
      </c>
      <c r="L1404">
        <v>1.6259999999999999</v>
      </c>
      <c r="M1404">
        <v>4.4560000000000004</v>
      </c>
      <c r="N1404">
        <v>0.27400000000000002</v>
      </c>
      <c r="O1404">
        <v>2.851</v>
      </c>
      <c r="P1404">
        <v>1.071</v>
      </c>
    </row>
    <row r="1405" spans="1:16" x14ac:dyDescent="0.25">
      <c r="A1405" s="1">
        <v>43235</v>
      </c>
      <c r="B1405">
        <v>11.396000000000001</v>
      </c>
      <c r="C1405">
        <v>225.75</v>
      </c>
      <c r="D1405">
        <v>3.6440000000000001</v>
      </c>
      <c r="E1405">
        <v>15.46</v>
      </c>
      <c r="F1405">
        <v>7.1970000000000001</v>
      </c>
      <c r="G1405">
        <v>2.31</v>
      </c>
      <c r="H1405">
        <v>2.3210000000000002</v>
      </c>
      <c r="I1405">
        <v>40.201999999999998</v>
      </c>
      <c r="J1405">
        <v>23.297999999999998</v>
      </c>
      <c r="K1405">
        <v>10.9</v>
      </c>
      <c r="L1405">
        <v>1.6259999999999999</v>
      </c>
      <c r="M1405">
        <v>4.4989999999999997</v>
      </c>
      <c r="N1405">
        <v>0.27400000000000002</v>
      </c>
      <c r="O1405">
        <v>2.851</v>
      </c>
      <c r="P1405">
        <v>1.0620000000000001</v>
      </c>
    </row>
    <row r="1406" spans="1:16" x14ac:dyDescent="0.25">
      <c r="A1406" s="1">
        <v>43236</v>
      </c>
      <c r="B1406">
        <v>11.347</v>
      </c>
      <c r="C1406">
        <v>221.81</v>
      </c>
      <c r="D1406">
        <v>3.6440000000000001</v>
      </c>
      <c r="E1406">
        <v>15.4</v>
      </c>
      <c r="F1406">
        <v>7.08</v>
      </c>
      <c r="G1406">
        <v>2.319</v>
      </c>
      <c r="H1406">
        <v>2.2719999999999998</v>
      </c>
      <c r="I1406">
        <v>40.442999999999998</v>
      </c>
      <c r="J1406">
        <v>23.297999999999998</v>
      </c>
      <c r="K1406">
        <v>10.721</v>
      </c>
      <c r="L1406">
        <v>1.569</v>
      </c>
      <c r="M1406">
        <v>4.4989999999999997</v>
      </c>
      <c r="N1406">
        <v>0.28000000000000003</v>
      </c>
      <c r="O1406">
        <v>2.806</v>
      </c>
      <c r="P1406">
        <v>1.0620000000000001</v>
      </c>
    </row>
    <row r="1407" spans="1:16" x14ac:dyDescent="0.25">
      <c r="A1407" s="1">
        <v>43237</v>
      </c>
      <c r="B1407">
        <v>11.542999999999999</v>
      </c>
      <c r="C1407">
        <v>223.75</v>
      </c>
      <c r="D1407">
        <v>3.5960000000000001</v>
      </c>
      <c r="E1407">
        <v>15.23</v>
      </c>
      <c r="F1407">
        <v>7.1340000000000003</v>
      </c>
      <c r="G1407">
        <v>2.3730000000000002</v>
      </c>
      <c r="H1407">
        <v>2.2719999999999998</v>
      </c>
      <c r="I1407">
        <v>39.960999999999999</v>
      </c>
      <c r="J1407">
        <v>24.268999999999998</v>
      </c>
      <c r="K1407">
        <v>10.721</v>
      </c>
      <c r="L1407">
        <v>1.6259999999999999</v>
      </c>
      <c r="M1407">
        <v>4.4560000000000004</v>
      </c>
      <c r="N1407">
        <v>0.28000000000000003</v>
      </c>
      <c r="O1407">
        <v>2.806</v>
      </c>
      <c r="P1407">
        <v>1.052</v>
      </c>
    </row>
    <row r="1408" spans="1:16" x14ac:dyDescent="0.25">
      <c r="A1408" s="1">
        <v>43238</v>
      </c>
      <c r="B1408">
        <v>11.728</v>
      </c>
      <c r="C1408">
        <v>222.25</v>
      </c>
      <c r="D1408">
        <v>3.556</v>
      </c>
      <c r="E1408">
        <v>15.48</v>
      </c>
      <c r="F1408">
        <v>7.17</v>
      </c>
      <c r="G1408">
        <v>2.3650000000000002</v>
      </c>
      <c r="H1408">
        <v>2.0249999999999999</v>
      </c>
      <c r="I1408">
        <v>39.479999999999997</v>
      </c>
      <c r="J1408">
        <v>24.026</v>
      </c>
      <c r="K1408">
        <v>10.837999999999999</v>
      </c>
      <c r="L1408">
        <v>1.6359999999999999</v>
      </c>
      <c r="M1408">
        <v>4.4989999999999997</v>
      </c>
      <c r="N1408">
        <v>0.28000000000000003</v>
      </c>
      <c r="O1408">
        <v>2.806</v>
      </c>
      <c r="P1408">
        <v>1.032</v>
      </c>
    </row>
    <row r="1409" spans="1:16" x14ac:dyDescent="0.25">
      <c r="A1409" s="1">
        <v>43241</v>
      </c>
      <c r="B1409">
        <v>11.64</v>
      </c>
      <c r="C1409">
        <v>223.4</v>
      </c>
      <c r="D1409">
        <v>3.5960000000000001</v>
      </c>
      <c r="E1409">
        <v>15.39</v>
      </c>
      <c r="F1409">
        <v>7.1790000000000003</v>
      </c>
      <c r="G1409">
        <v>2.3730000000000002</v>
      </c>
      <c r="H1409">
        <v>1.877</v>
      </c>
      <c r="I1409">
        <v>39.479999999999997</v>
      </c>
      <c r="J1409">
        <v>24.268999999999998</v>
      </c>
      <c r="K1409">
        <v>10.9</v>
      </c>
      <c r="L1409">
        <v>1.607</v>
      </c>
      <c r="M1409">
        <v>4.4989999999999997</v>
      </c>
      <c r="N1409">
        <v>0.28000000000000003</v>
      </c>
      <c r="O1409">
        <v>2.806</v>
      </c>
      <c r="P1409">
        <v>1.0620000000000001</v>
      </c>
    </row>
    <row r="1410" spans="1:16" x14ac:dyDescent="0.25">
      <c r="A1410" s="1">
        <v>43242</v>
      </c>
      <c r="B1410">
        <v>11.621</v>
      </c>
      <c r="C1410">
        <v>223.3</v>
      </c>
      <c r="D1410">
        <v>3.5880000000000001</v>
      </c>
      <c r="E1410">
        <v>15.81</v>
      </c>
      <c r="F1410">
        <v>7.1520000000000001</v>
      </c>
      <c r="G1410">
        <v>2.41</v>
      </c>
      <c r="H1410">
        <v>1.897</v>
      </c>
      <c r="I1410">
        <v>39.286999999999999</v>
      </c>
      <c r="J1410">
        <v>24.026</v>
      </c>
      <c r="K1410">
        <v>10.989000000000001</v>
      </c>
      <c r="L1410">
        <v>1.6359999999999999</v>
      </c>
      <c r="M1410">
        <v>4.508</v>
      </c>
      <c r="N1410">
        <v>0.27500000000000002</v>
      </c>
      <c r="O1410">
        <v>2.7570000000000001</v>
      </c>
      <c r="P1410">
        <v>1.071</v>
      </c>
    </row>
    <row r="1411" spans="1:16" x14ac:dyDescent="0.25">
      <c r="A1411" s="1">
        <v>43243</v>
      </c>
      <c r="B1411">
        <v>11.590999999999999</v>
      </c>
      <c r="C1411">
        <v>218.73</v>
      </c>
      <c r="D1411">
        <v>3.6120000000000001</v>
      </c>
      <c r="E1411">
        <v>15.6</v>
      </c>
      <c r="F1411">
        <v>7.1070000000000002</v>
      </c>
      <c r="G1411">
        <v>2.383</v>
      </c>
      <c r="H1411">
        <v>2.0049999999999999</v>
      </c>
      <c r="I1411">
        <v>39.286999999999999</v>
      </c>
      <c r="J1411">
        <v>24.026</v>
      </c>
      <c r="K1411">
        <v>11.167999999999999</v>
      </c>
      <c r="L1411">
        <v>1.617</v>
      </c>
      <c r="M1411">
        <v>4.5430000000000001</v>
      </c>
      <c r="N1411">
        <v>0.28000000000000003</v>
      </c>
      <c r="O1411">
        <v>2.806</v>
      </c>
      <c r="P1411">
        <v>1.052</v>
      </c>
    </row>
    <row r="1412" spans="1:16" x14ac:dyDescent="0.25">
      <c r="A1412" s="1">
        <v>43244</v>
      </c>
      <c r="B1412">
        <v>11.68</v>
      </c>
      <c r="C1412">
        <v>219.05</v>
      </c>
      <c r="D1412">
        <v>3.6360000000000001</v>
      </c>
      <c r="E1412">
        <v>15.92</v>
      </c>
      <c r="F1412">
        <v>7.1520000000000001</v>
      </c>
      <c r="G1412">
        <v>2.3919999999999999</v>
      </c>
      <c r="H1412">
        <v>2.173</v>
      </c>
      <c r="I1412">
        <v>39.671999999999997</v>
      </c>
      <c r="J1412">
        <v>23.783000000000001</v>
      </c>
      <c r="K1412">
        <v>11.167999999999999</v>
      </c>
      <c r="L1412">
        <v>1.617</v>
      </c>
      <c r="M1412">
        <v>4.63</v>
      </c>
      <c r="N1412">
        <v>0.28000000000000003</v>
      </c>
      <c r="O1412">
        <v>2.806</v>
      </c>
      <c r="P1412">
        <v>1.032</v>
      </c>
    </row>
    <row r="1413" spans="1:16" x14ac:dyDescent="0.25">
      <c r="A1413" s="1">
        <v>43245</v>
      </c>
      <c r="B1413">
        <v>11.542999999999999</v>
      </c>
      <c r="C1413">
        <v>224.15</v>
      </c>
      <c r="D1413">
        <v>3.5960000000000001</v>
      </c>
      <c r="E1413">
        <v>15.71</v>
      </c>
      <c r="F1413">
        <v>7.2050000000000001</v>
      </c>
      <c r="G1413">
        <v>2.3919999999999999</v>
      </c>
      <c r="H1413">
        <v>2.173</v>
      </c>
      <c r="I1413">
        <v>39.671999999999997</v>
      </c>
      <c r="J1413">
        <v>23.588999999999999</v>
      </c>
      <c r="K1413">
        <v>11.167999999999999</v>
      </c>
      <c r="L1413">
        <v>1.617</v>
      </c>
      <c r="M1413">
        <v>4.63</v>
      </c>
      <c r="N1413">
        <v>0.27800000000000002</v>
      </c>
      <c r="O1413">
        <v>2.806</v>
      </c>
      <c r="P1413">
        <v>1.0029999999999999</v>
      </c>
    </row>
    <row r="1414" spans="1:16" x14ac:dyDescent="0.25">
      <c r="A1414" s="1">
        <v>43248</v>
      </c>
      <c r="B1414">
        <v>11.494</v>
      </c>
      <c r="C1414">
        <v>224</v>
      </c>
      <c r="D1414">
        <v>3.6280000000000001</v>
      </c>
      <c r="E1414">
        <v>15.55</v>
      </c>
      <c r="F1414">
        <v>7.2949999999999999</v>
      </c>
      <c r="G1414">
        <v>2.4009999999999998</v>
      </c>
      <c r="H1414">
        <v>2.1440000000000001</v>
      </c>
      <c r="I1414">
        <v>39.479999999999997</v>
      </c>
      <c r="J1414">
        <v>23.783000000000001</v>
      </c>
      <c r="K1414">
        <v>11.167999999999999</v>
      </c>
      <c r="L1414">
        <v>1.6739999999999999</v>
      </c>
      <c r="M1414">
        <v>4.63</v>
      </c>
      <c r="N1414">
        <v>0.27300000000000002</v>
      </c>
      <c r="O1414">
        <v>2.835</v>
      </c>
      <c r="P1414">
        <v>1.0029999999999999</v>
      </c>
    </row>
    <row r="1415" spans="1:16" x14ac:dyDescent="0.25">
      <c r="A1415" s="1">
        <v>43249</v>
      </c>
      <c r="B1415">
        <v>11.396000000000001</v>
      </c>
      <c r="C1415">
        <v>217.68</v>
      </c>
      <c r="D1415">
        <v>3.5960000000000001</v>
      </c>
      <c r="E1415">
        <v>15.5</v>
      </c>
      <c r="F1415">
        <v>7.1159999999999997</v>
      </c>
      <c r="G1415">
        <v>2.41</v>
      </c>
      <c r="H1415">
        <v>2.0739999999999998</v>
      </c>
      <c r="I1415">
        <v>38.997999999999998</v>
      </c>
      <c r="J1415">
        <v>23.686</v>
      </c>
      <c r="K1415">
        <v>11.167999999999999</v>
      </c>
      <c r="L1415">
        <v>1.645</v>
      </c>
      <c r="M1415">
        <v>4.5430000000000001</v>
      </c>
      <c r="N1415">
        <v>0.27</v>
      </c>
      <c r="O1415">
        <v>2.835</v>
      </c>
      <c r="P1415">
        <v>0.99299999999999999</v>
      </c>
    </row>
    <row r="1416" spans="1:16" x14ac:dyDescent="0.25">
      <c r="A1416" s="1">
        <v>43250</v>
      </c>
      <c r="B1416">
        <v>11.494</v>
      </c>
      <c r="C1416">
        <v>219.85</v>
      </c>
      <c r="D1416">
        <v>3.556</v>
      </c>
      <c r="E1416">
        <v>15.5</v>
      </c>
      <c r="F1416">
        <v>7.0179999999999998</v>
      </c>
      <c r="G1416">
        <v>2.41</v>
      </c>
      <c r="H1416">
        <v>1.9950000000000001</v>
      </c>
      <c r="I1416">
        <v>39.479999999999997</v>
      </c>
      <c r="J1416">
        <v>23.783000000000001</v>
      </c>
      <c r="K1416">
        <v>11.167999999999999</v>
      </c>
      <c r="L1416">
        <v>1.645</v>
      </c>
      <c r="M1416">
        <v>4.5430000000000001</v>
      </c>
      <c r="N1416">
        <v>0.26500000000000001</v>
      </c>
      <c r="O1416">
        <v>2.8250000000000002</v>
      </c>
      <c r="P1416">
        <v>0.96299999999999997</v>
      </c>
    </row>
    <row r="1417" spans="1:16" x14ac:dyDescent="0.25">
      <c r="A1417" s="1">
        <v>43251</v>
      </c>
      <c r="B1417">
        <v>11.347</v>
      </c>
      <c r="C1417">
        <v>221.7</v>
      </c>
      <c r="D1417">
        <v>3.5640000000000001</v>
      </c>
      <c r="E1417">
        <v>15.32</v>
      </c>
      <c r="F1417">
        <v>7.0179999999999998</v>
      </c>
      <c r="G1417">
        <v>2.41</v>
      </c>
      <c r="H1417">
        <v>2.0150000000000001</v>
      </c>
      <c r="I1417">
        <v>39.960999999999999</v>
      </c>
      <c r="J1417">
        <v>24.56</v>
      </c>
      <c r="K1417">
        <v>11.167999999999999</v>
      </c>
      <c r="L1417">
        <v>1.6259999999999999</v>
      </c>
      <c r="M1417">
        <v>4.4989999999999997</v>
      </c>
      <c r="N1417">
        <v>0.26200000000000001</v>
      </c>
      <c r="O1417">
        <v>2.8250000000000002</v>
      </c>
      <c r="P1417">
        <v>0.97299999999999998</v>
      </c>
    </row>
    <row r="1418" spans="1:16" x14ac:dyDescent="0.25">
      <c r="A1418" s="1">
        <v>43252</v>
      </c>
      <c r="B1418">
        <v>11.375999999999999</v>
      </c>
      <c r="C1418">
        <v>226.4</v>
      </c>
      <c r="D1418">
        <v>3.6360000000000001</v>
      </c>
      <c r="E1418">
        <v>15.62</v>
      </c>
      <c r="F1418">
        <v>7.17</v>
      </c>
      <c r="G1418">
        <v>2.3650000000000002</v>
      </c>
      <c r="H1418">
        <v>2.0350000000000001</v>
      </c>
      <c r="I1418">
        <v>39.970999999999997</v>
      </c>
      <c r="J1418">
        <v>24.617999999999999</v>
      </c>
      <c r="K1418">
        <v>11.159000000000001</v>
      </c>
      <c r="L1418">
        <v>1.597</v>
      </c>
      <c r="M1418">
        <v>4.4989999999999997</v>
      </c>
      <c r="N1418">
        <v>0.26500000000000001</v>
      </c>
      <c r="O1418">
        <v>2.8250000000000002</v>
      </c>
      <c r="P1418">
        <v>0.99299999999999999</v>
      </c>
    </row>
    <row r="1419" spans="1:16" x14ac:dyDescent="0.25">
      <c r="A1419" s="1">
        <v>43255</v>
      </c>
      <c r="B1419">
        <v>11.347</v>
      </c>
      <c r="C1419">
        <v>228.1</v>
      </c>
      <c r="D1419">
        <v>3.7080000000000002</v>
      </c>
      <c r="E1419">
        <v>15.86</v>
      </c>
      <c r="F1419">
        <v>7.17</v>
      </c>
      <c r="G1419">
        <v>2.383</v>
      </c>
      <c r="H1419">
        <v>2.0550000000000002</v>
      </c>
      <c r="I1419">
        <v>40.442999999999998</v>
      </c>
      <c r="J1419">
        <v>24.997</v>
      </c>
      <c r="K1419">
        <v>11.159000000000001</v>
      </c>
      <c r="L1419">
        <v>1.597</v>
      </c>
      <c r="M1419">
        <v>4.4989999999999997</v>
      </c>
      <c r="N1419">
        <v>0.26300000000000001</v>
      </c>
      <c r="O1419">
        <v>2.806</v>
      </c>
      <c r="P1419">
        <v>0.99299999999999999</v>
      </c>
    </row>
    <row r="1420" spans="1:16" x14ac:dyDescent="0.25">
      <c r="A1420" s="1">
        <v>43256</v>
      </c>
      <c r="B1420">
        <v>11.259</v>
      </c>
      <c r="C1420">
        <v>228.15</v>
      </c>
      <c r="D1420">
        <v>3.7160000000000002</v>
      </c>
      <c r="E1420">
        <v>16.03</v>
      </c>
      <c r="F1420">
        <v>7.1970000000000001</v>
      </c>
      <c r="G1420">
        <v>2.355</v>
      </c>
      <c r="H1420">
        <v>2.1040000000000001</v>
      </c>
      <c r="I1420">
        <v>39.191000000000003</v>
      </c>
      <c r="J1420">
        <v>24.986999999999998</v>
      </c>
      <c r="K1420">
        <v>11.167999999999999</v>
      </c>
      <c r="L1420">
        <v>1.597</v>
      </c>
      <c r="M1420">
        <v>4.4989999999999997</v>
      </c>
      <c r="N1420">
        <v>0.26300000000000001</v>
      </c>
      <c r="O1420">
        <v>2.806</v>
      </c>
      <c r="P1420">
        <v>0.99299999999999999</v>
      </c>
    </row>
    <row r="1421" spans="1:16" x14ac:dyDescent="0.25">
      <c r="A1421" s="1">
        <v>43257</v>
      </c>
      <c r="B1421">
        <v>11.298</v>
      </c>
      <c r="C1421">
        <v>232</v>
      </c>
      <c r="D1421">
        <v>3.6760000000000002</v>
      </c>
      <c r="E1421">
        <v>15.84</v>
      </c>
      <c r="F1421">
        <v>7.1970000000000001</v>
      </c>
      <c r="G1421">
        <v>2.383</v>
      </c>
      <c r="H1421">
        <v>2.0739999999999998</v>
      </c>
      <c r="I1421">
        <v>39.191000000000003</v>
      </c>
      <c r="J1421">
        <v>25.094000000000001</v>
      </c>
      <c r="K1421">
        <v>10.945</v>
      </c>
      <c r="L1421">
        <v>1.6259999999999999</v>
      </c>
      <c r="M1421">
        <v>4.4989999999999997</v>
      </c>
      <c r="N1421">
        <v>0.26500000000000001</v>
      </c>
      <c r="O1421">
        <v>2.7770000000000001</v>
      </c>
      <c r="P1421">
        <v>1.012</v>
      </c>
    </row>
    <row r="1422" spans="1:16" x14ac:dyDescent="0.25">
      <c r="A1422" s="1">
        <v>43258</v>
      </c>
      <c r="B1422">
        <v>11.631</v>
      </c>
      <c r="C1422">
        <v>228.25</v>
      </c>
      <c r="D1422">
        <v>3.6360000000000001</v>
      </c>
      <c r="E1422">
        <v>16.11</v>
      </c>
      <c r="F1422">
        <v>7.125</v>
      </c>
      <c r="G1422">
        <v>2.355</v>
      </c>
      <c r="H1422">
        <v>2.0739999999999998</v>
      </c>
      <c r="I1422">
        <v>39.479999999999997</v>
      </c>
      <c r="J1422">
        <v>25.239000000000001</v>
      </c>
      <c r="K1422">
        <v>10.945</v>
      </c>
      <c r="L1422">
        <v>1.597</v>
      </c>
      <c r="M1422">
        <v>4.4989999999999997</v>
      </c>
      <c r="N1422">
        <v>0.26300000000000001</v>
      </c>
      <c r="O1422">
        <v>2.7189999999999999</v>
      </c>
      <c r="P1422">
        <v>0.99299999999999999</v>
      </c>
    </row>
    <row r="1423" spans="1:16" x14ac:dyDescent="0.25">
      <c r="A1423" s="1">
        <v>43259</v>
      </c>
      <c r="B1423">
        <v>11.542999999999999</v>
      </c>
      <c r="C1423">
        <v>229.65</v>
      </c>
      <c r="D1423">
        <v>3.6360000000000001</v>
      </c>
      <c r="E1423">
        <v>15.83</v>
      </c>
      <c r="F1423">
        <v>7.0979999999999999</v>
      </c>
      <c r="G1423">
        <v>2.3370000000000002</v>
      </c>
      <c r="H1423">
        <v>2.0739999999999998</v>
      </c>
      <c r="I1423">
        <v>39.479999999999997</v>
      </c>
      <c r="J1423">
        <v>25.239000000000001</v>
      </c>
      <c r="K1423">
        <v>10.945</v>
      </c>
      <c r="L1423">
        <v>1.597</v>
      </c>
      <c r="M1423">
        <v>4.4379999999999997</v>
      </c>
      <c r="N1423">
        <v>0.25</v>
      </c>
      <c r="O1423">
        <v>2.738</v>
      </c>
      <c r="P1423">
        <v>0.99299999999999999</v>
      </c>
    </row>
    <row r="1424" spans="1:16" x14ac:dyDescent="0.25">
      <c r="A1424" s="1">
        <v>43262</v>
      </c>
      <c r="B1424">
        <v>11.542999999999999</v>
      </c>
      <c r="C1424">
        <v>228.7</v>
      </c>
      <c r="D1424">
        <v>3.6280000000000001</v>
      </c>
      <c r="E1424">
        <v>15.75</v>
      </c>
      <c r="F1424">
        <v>7.1520000000000001</v>
      </c>
      <c r="G1424">
        <v>2.2829999999999999</v>
      </c>
      <c r="H1424">
        <v>2.0550000000000002</v>
      </c>
      <c r="I1424">
        <v>39.960999999999999</v>
      </c>
      <c r="J1424">
        <v>25.23</v>
      </c>
      <c r="K1424">
        <v>11.122999999999999</v>
      </c>
      <c r="L1424">
        <v>1.5780000000000001</v>
      </c>
      <c r="M1424">
        <v>4.4820000000000002</v>
      </c>
      <c r="N1424">
        <v>0.255</v>
      </c>
      <c r="O1424">
        <v>2.7570000000000001</v>
      </c>
      <c r="P1424">
        <v>1.0029999999999999</v>
      </c>
    </row>
    <row r="1425" spans="1:16" x14ac:dyDescent="0.25">
      <c r="A1425" s="1">
        <v>43263</v>
      </c>
      <c r="B1425">
        <v>11.64</v>
      </c>
      <c r="C1425">
        <v>231.55</v>
      </c>
      <c r="D1425">
        <v>3.6440000000000001</v>
      </c>
      <c r="E1425">
        <v>15.89</v>
      </c>
      <c r="F1425">
        <v>7.1970000000000001</v>
      </c>
      <c r="G1425">
        <v>2.2919999999999998</v>
      </c>
      <c r="H1425">
        <v>2.0249999999999999</v>
      </c>
      <c r="I1425">
        <v>39.479999999999997</v>
      </c>
      <c r="J1425">
        <v>25.22</v>
      </c>
      <c r="K1425">
        <v>11.122999999999999</v>
      </c>
      <c r="L1425">
        <v>1.5780000000000001</v>
      </c>
      <c r="M1425">
        <v>4.4379999999999997</v>
      </c>
      <c r="N1425">
        <v>0.254</v>
      </c>
      <c r="O1425">
        <v>2.738</v>
      </c>
      <c r="P1425">
        <v>1.022</v>
      </c>
    </row>
    <row r="1426" spans="1:16" x14ac:dyDescent="0.25">
      <c r="A1426" s="1">
        <v>43264</v>
      </c>
      <c r="B1426">
        <v>11.64</v>
      </c>
      <c r="C1426">
        <v>230.6</v>
      </c>
      <c r="D1426">
        <v>3.6760000000000002</v>
      </c>
      <c r="E1426">
        <v>15.31</v>
      </c>
      <c r="F1426">
        <v>7.1070000000000002</v>
      </c>
      <c r="G1426">
        <v>2.2829999999999999</v>
      </c>
      <c r="H1426">
        <v>2.0249999999999999</v>
      </c>
      <c r="I1426">
        <v>39.865000000000002</v>
      </c>
      <c r="J1426">
        <v>25.239000000000001</v>
      </c>
      <c r="K1426">
        <v>10.989000000000001</v>
      </c>
      <c r="L1426">
        <v>1.5780000000000001</v>
      </c>
      <c r="M1426">
        <v>4.4379999999999997</v>
      </c>
      <c r="N1426">
        <v>0.25</v>
      </c>
      <c r="O1426">
        <v>2.738</v>
      </c>
      <c r="P1426">
        <v>1.0029999999999999</v>
      </c>
    </row>
    <row r="1427" spans="1:16" x14ac:dyDescent="0.25">
      <c r="A1427" s="1">
        <v>43265</v>
      </c>
      <c r="B1427">
        <v>11.590999999999999</v>
      </c>
      <c r="C1427">
        <v>226.3</v>
      </c>
      <c r="D1427">
        <v>3.6440000000000001</v>
      </c>
      <c r="E1427">
        <v>15.49</v>
      </c>
      <c r="F1427">
        <v>7.0620000000000003</v>
      </c>
      <c r="G1427">
        <v>2.2829999999999999</v>
      </c>
      <c r="H1427">
        <v>2.0249999999999999</v>
      </c>
      <c r="I1427">
        <v>39.479999999999997</v>
      </c>
      <c r="J1427">
        <v>24.754000000000001</v>
      </c>
      <c r="K1427">
        <v>11.132</v>
      </c>
      <c r="L1427">
        <v>1.5780000000000001</v>
      </c>
      <c r="M1427">
        <v>4.3680000000000003</v>
      </c>
      <c r="N1427">
        <v>0.25</v>
      </c>
      <c r="O1427">
        <v>2.7189999999999999</v>
      </c>
      <c r="P1427">
        <v>0.99299999999999999</v>
      </c>
    </row>
    <row r="1428" spans="1:16" x14ac:dyDescent="0.25">
      <c r="A1428" s="1">
        <v>43266</v>
      </c>
      <c r="B1428">
        <v>11.445</v>
      </c>
      <c r="C1428">
        <v>225</v>
      </c>
      <c r="D1428">
        <v>3.66</v>
      </c>
      <c r="E1428">
        <v>14.64</v>
      </c>
      <c r="F1428">
        <v>7.1070000000000002</v>
      </c>
      <c r="G1428">
        <v>2.2200000000000002</v>
      </c>
      <c r="H1428">
        <v>2.0249999999999999</v>
      </c>
      <c r="I1428">
        <v>38.902000000000001</v>
      </c>
      <c r="J1428">
        <v>25.239000000000001</v>
      </c>
      <c r="K1428">
        <v>11.007</v>
      </c>
      <c r="L1428">
        <v>1.5589999999999999</v>
      </c>
      <c r="M1428">
        <v>4.3680000000000003</v>
      </c>
      <c r="N1428">
        <v>0.24099999999999999</v>
      </c>
      <c r="O1428">
        <v>2.7189999999999999</v>
      </c>
      <c r="P1428">
        <v>0.98299999999999998</v>
      </c>
    </row>
    <row r="1429" spans="1:16" x14ac:dyDescent="0.25">
      <c r="A1429" s="1">
        <v>43269</v>
      </c>
      <c r="B1429">
        <v>11.396000000000001</v>
      </c>
      <c r="C1429">
        <v>223.3</v>
      </c>
      <c r="D1429">
        <v>3.6920000000000002</v>
      </c>
      <c r="E1429">
        <v>14.75</v>
      </c>
      <c r="F1429">
        <v>7.08</v>
      </c>
      <c r="G1429">
        <v>2.2010000000000001</v>
      </c>
      <c r="H1429">
        <v>2.0249999999999999</v>
      </c>
      <c r="I1429">
        <v>38.902000000000001</v>
      </c>
      <c r="J1429">
        <v>24.754000000000001</v>
      </c>
      <c r="K1429">
        <v>11.052</v>
      </c>
      <c r="L1429">
        <v>1.5589999999999999</v>
      </c>
      <c r="M1429">
        <v>4.3680000000000003</v>
      </c>
      <c r="N1429">
        <v>0.245</v>
      </c>
      <c r="O1429">
        <v>2.7090000000000001</v>
      </c>
      <c r="P1429">
        <v>0.97299999999999998</v>
      </c>
    </row>
    <row r="1430" spans="1:16" x14ac:dyDescent="0.25">
      <c r="A1430" s="1">
        <v>43270</v>
      </c>
      <c r="B1430">
        <v>11.445</v>
      </c>
      <c r="C1430">
        <v>223.5</v>
      </c>
      <c r="D1430">
        <v>3.6760000000000002</v>
      </c>
      <c r="E1430">
        <v>14.65</v>
      </c>
      <c r="F1430">
        <v>7.0449999999999999</v>
      </c>
      <c r="G1430">
        <v>2.165</v>
      </c>
      <c r="H1430">
        <v>2.0249999999999999</v>
      </c>
      <c r="I1430">
        <v>40.25</v>
      </c>
      <c r="J1430">
        <v>24.268999999999998</v>
      </c>
      <c r="K1430">
        <v>10.989000000000001</v>
      </c>
      <c r="L1430">
        <v>1.53</v>
      </c>
      <c r="M1430">
        <v>4.2809999999999997</v>
      </c>
      <c r="N1430">
        <v>0.24399999999999999</v>
      </c>
      <c r="O1430">
        <v>2.69</v>
      </c>
      <c r="P1430">
        <v>0.97299999999999998</v>
      </c>
    </row>
    <row r="1431" spans="1:16" x14ac:dyDescent="0.25">
      <c r="A1431" s="1">
        <v>43271</v>
      </c>
      <c r="B1431">
        <v>11.347</v>
      </c>
      <c r="C1431">
        <v>222.1</v>
      </c>
      <c r="D1431">
        <v>3.7160000000000002</v>
      </c>
      <c r="E1431">
        <v>14.5</v>
      </c>
      <c r="F1431">
        <v>6.9729999999999999</v>
      </c>
      <c r="G1431">
        <v>2.165</v>
      </c>
      <c r="H1431">
        <v>2.0249999999999999</v>
      </c>
      <c r="I1431">
        <v>40.25</v>
      </c>
      <c r="J1431">
        <v>24.074999999999999</v>
      </c>
      <c r="K1431">
        <v>10.853</v>
      </c>
      <c r="L1431">
        <v>1.53</v>
      </c>
      <c r="M1431">
        <v>4.194</v>
      </c>
      <c r="N1431">
        <v>0.23</v>
      </c>
      <c r="O1431">
        <v>2.69</v>
      </c>
      <c r="P1431">
        <v>0.98299999999999998</v>
      </c>
    </row>
    <row r="1432" spans="1:16" x14ac:dyDescent="0.25">
      <c r="A1432" s="1">
        <v>43272</v>
      </c>
      <c r="B1432">
        <v>11.308</v>
      </c>
      <c r="C1432">
        <v>219.6</v>
      </c>
      <c r="D1432">
        <v>3.69</v>
      </c>
      <c r="E1432">
        <v>14.66</v>
      </c>
      <c r="F1432">
        <v>7.0179999999999998</v>
      </c>
      <c r="G1432">
        <v>2.1739999999999999</v>
      </c>
      <c r="H1432">
        <v>2.0249999999999999</v>
      </c>
      <c r="I1432">
        <v>40.058</v>
      </c>
      <c r="J1432">
        <v>24.268999999999998</v>
      </c>
      <c r="K1432">
        <v>10.853</v>
      </c>
      <c r="L1432">
        <v>1.5209999999999999</v>
      </c>
      <c r="M1432">
        <v>4.194</v>
      </c>
      <c r="N1432">
        <v>0.23</v>
      </c>
      <c r="O1432">
        <v>2.7090000000000001</v>
      </c>
      <c r="P1432">
        <v>0.95299999999999996</v>
      </c>
    </row>
    <row r="1433" spans="1:16" x14ac:dyDescent="0.25">
      <c r="A1433" s="1">
        <v>43273</v>
      </c>
      <c r="B1433">
        <v>11.474</v>
      </c>
      <c r="C1433">
        <v>220.55</v>
      </c>
      <c r="D1433">
        <v>3.7509999999999999</v>
      </c>
      <c r="E1433">
        <v>14.6</v>
      </c>
      <c r="F1433">
        <v>7.0179999999999998</v>
      </c>
      <c r="G1433">
        <v>2.1560000000000001</v>
      </c>
      <c r="H1433">
        <v>2.0249999999999999</v>
      </c>
      <c r="I1433">
        <v>39.47</v>
      </c>
      <c r="J1433">
        <v>24.084</v>
      </c>
      <c r="K1433">
        <v>10.88</v>
      </c>
      <c r="L1433">
        <v>1.5109999999999999</v>
      </c>
      <c r="M1433">
        <v>4.1500000000000004</v>
      </c>
      <c r="N1433">
        <v>0.22</v>
      </c>
      <c r="O1433">
        <v>2.7090000000000001</v>
      </c>
      <c r="P1433">
        <v>0.93400000000000005</v>
      </c>
    </row>
    <row r="1434" spans="1:16" x14ac:dyDescent="0.25">
      <c r="A1434" s="1">
        <v>43276</v>
      </c>
      <c r="B1434">
        <v>11.298</v>
      </c>
      <c r="C1434">
        <v>219</v>
      </c>
      <c r="D1434">
        <v>3.637</v>
      </c>
      <c r="E1434">
        <v>14.79</v>
      </c>
      <c r="F1434">
        <v>7.1070000000000002</v>
      </c>
      <c r="G1434">
        <v>2.1469999999999998</v>
      </c>
      <c r="H1434">
        <v>2.0640000000000001</v>
      </c>
      <c r="I1434">
        <v>39.47</v>
      </c>
      <c r="J1434">
        <v>24.074999999999999</v>
      </c>
      <c r="K1434">
        <v>10.853</v>
      </c>
      <c r="L1434">
        <v>1.4830000000000001</v>
      </c>
      <c r="M1434">
        <v>3.8879999999999999</v>
      </c>
      <c r="N1434">
        <v>0.20499999999999999</v>
      </c>
      <c r="O1434">
        <v>2.7189999999999999</v>
      </c>
      <c r="P1434">
        <v>0.88500000000000001</v>
      </c>
    </row>
    <row r="1435" spans="1:16" x14ac:dyDescent="0.25">
      <c r="A1435" s="1">
        <v>43277</v>
      </c>
      <c r="B1435">
        <v>11.151</v>
      </c>
      <c r="C1435">
        <v>221.5</v>
      </c>
      <c r="D1435">
        <v>3.69</v>
      </c>
      <c r="E1435">
        <v>13.85</v>
      </c>
      <c r="F1435">
        <v>7.1070000000000002</v>
      </c>
      <c r="G1435">
        <v>2.1920000000000002</v>
      </c>
      <c r="H1435">
        <v>2.0550000000000002</v>
      </c>
      <c r="I1435">
        <v>39.094999999999999</v>
      </c>
      <c r="J1435">
        <v>23.977</v>
      </c>
      <c r="K1435">
        <v>10.808</v>
      </c>
      <c r="L1435">
        <v>1.4830000000000001</v>
      </c>
      <c r="M1435">
        <v>3.827</v>
      </c>
      <c r="N1435">
        <v>0.21299999999999999</v>
      </c>
      <c r="O1435">
        <v>2.7570000000000001</v>
      </c>
      <c r="P1435">
        <v>0.875</v>
      </c>
    </row>
    <row r="1436" spans="1:16" x14ac:dyDescent="0.25">
      <c r="A1436" s="1">
        <v>43278</v>
      </c>
      <c r="B1436">
        <v>10.975</v>
      </c>
      <c r="C1436">
        <v>222</v>
      </c>
      <c r="D1436">
        <v>3.734</v>
      </c>
      <c r="E1436">
        <v>13.83</v>
      </c>
      <c r="F1436">
        <v>6.9909999999999997</v>
      </c>
      <c r="G1436">
        <v>2.1920000000000002</v>
      </c>
      <c r="H1436">
        <v>2.0249999999999999</v>
      </c>
      <c r="I1436">
        <v>38.853999999999999</v>
      </c>
      <c r="J1436">
        <v>23.977</v>
      </c>
      <c r="K1436">
        <v>10.853</v>
      </c>
      <c r="L1436">
        <v>1.492</v>
      </c>
      <c r="M1436">
        <v>3.8879999999999999</v>
      </c>
      <c r="N1436">
        <v>0.22500000000000001</v>
      </c>
      <c r="O1436">
        <v>2.7570000000000001</v>
      </c>
      <c r="P1436">
        <v>0.86499999999999999</v>
      </c>
    </row>
    <row r="1437" spans="1:16" x14ac:dyDescent="0.25">
      <c r="A1437" s="1">
        <v>43279</v>
      </c>
      <c r="B1437">
        <v>10.808999999999999</v>
      </c>
      <c r="C1437">
        <v>221</v>
      </c>
      <c r="D1437">
        <v>3.6629999999999998</v>
      </c>
      <c r="E1437">
        <v>13.7</v>
      </c>
      <c r="F1437">
        <v>6.9909999999999997</v>
      </c>
      <c r="G1437">
        <v>2.129</v>
      </c>
      <c r="H1437">
        <v>2.0550000000000002</v>
      </c>
      <c r="I1437">
        <v>38.469000000000001</v>
      </c>
      <c r="J1437">
        <v>24.268999999999998</v>
      </c>
      <c r="K1437">
        <v>10.88</v>
      </c>
      <c r="L1437">
        <v>1.4830000000000001</v>
      </c>
      <c r="M1437">
        <v>3.8090000000000002</v>
      </c>
      <c r="N1437">
        <v>0.21</v>
      </c>
      <c r="O1437">
        <v>2.7570000000000001</v>
      </c>
      <c r="P1437">
        <v>0.79600000000000004</v>
      </c>
    </row>
    <row r="1438" spans="1:16" x14ac:dyDescent="0.25">
      <c r="A1438" s="1">
        <v>43283</v>
      </c>
      <c r="B1438">
        <v>10.956</v>
      </c>
      <c r="C1438">
        <v>224</v>
      </c>
      <c r="D1438">
        <v>3.69</v>
      </c>
      <c r="E1438">
        <v>13.62</v>
      </c>
      <c r="F1438">
        <v>6.9279999999999999</v>
      </c>
      <c r="G1438">
        <v>2.1379999999999999</v>
      </c>
      <c r="H1438">
        <v>1.976</v>
      </c>
      <c r="I1438">
        <v>38.131999999999998</v>
      </c>
      <c r="J1438">
        <v>24.268999999999998</v>
      </c>
      <c r="K1438">
        <v>10.88</v>
      </c>
      <c r="L1438">
        <v>1.397</v>
      </c>
      <c r="M1438">
        <v>3.7919999999999998</v>
      </c>
      <c r="N1438">
        <v>0.21</v>
      </c>
      <c r="O1438">
        <v>2.7570000000000001</v>
      </c>
      <c r="P1438">
        <v>0.76700000000000002</v>
      </c>
    </row>
    <row r="1439" spans="1:16" x14ac:dyDescent="0.25">
      <c r="A1439" s="1">
        <v>43284</v>
      </c>
      <c r="B1439">
        <v>11.239000000000001</v>
      </c>
      <c r="C1439">
        <v>218.51</v>
      </c>
      <c r="D1439">
        <v>3.6989999999999998</v>
      </c>
      <c r="E1439">
        <v>13.45</v>
      </c>
      <c r="F1439">
        <v>6.9909999999999997</v>
      </c>
      <c r="G1439">
        <v>2.1739999999999999</v>
      </c>
      <c r="H1439">
        <v>1.986</v>
      </c>
      <c r="I1439">
        <v>37.65</v>
      </c>
      <c r="J1439">
        <v>24.754000000000001</v>
      </c>
      <c r="K1439">
        <v>10.808</v>
      </c>
      <c r="L1439">
        <v>1.3580000000000001</v>
      </c>
      <c r="M1439">
        <v>3.5379999999999998</v>
      </c>
      <c r="N1439">
        <v>0.20499999999999999</v>
      </c>
      <c r="O1439">
        <v>2.806</v>
      </c>
      <c r="P1439">
        <v>0.73699999999999999</v>
      </c>
    </row>
    <row r="1440" spans="1:16" x14ac:dyDescent="0.25">
      <c r="A1440" s="1">
        <v>43285</v>
      </c>
      <c r="B1440">
        <v>11.151</v>
      </c>
      <c r="C1440">
        <v>218.51</v>
      </c>
      <c r="D1440">
        <v>3.681</v>
      </c>
      <c r="E1440">
        <v>13.4</v>
      </c>
      <c r="F1440">
        <v>6.9640000000000004</v>
      </c>
      <c r="G1440">
        <v>2.1469999999999998</v>
      </c>
      <c r="H1440">
        <v>1.9950000000000001</v>
      </c>
      <c r="I1440">
        <v>37.65</v>
      </c>
      <c r="J1440">
        <v>24.754000000000001</v>
      </c>
      <c r="K1440">
        <v>10.808</v>
      </c>
      <c r="L1440">
        <v>1.33</v>
      </c>
      <c r="M1440">
        <v>3.4950000000000001</v>
      </c>
      <c r="N1440">
        <v>0.21</v>
      </c>
      <c r="O1440">
        <v>2.8540000000000001</v>
      </c>
      <c r="P1440">
        <v>0.77600000000000002</v>
      </c>
    </row>
    <row r="1441" spans="1:16" x14ac:dyDescent="0.25">
      <c r="A1441" s="1">
        <v>43286</v>
      </c>
      <c r="B1441">
        <v>11.013999999999999</v>
      </c>
      <c r="C1441">
        <v>226.65</v>
      </c>
      <c r="D1441">
        <v>3.6190000000000002</v>
      </c>
      <c r="E1441">
        <v>13.53</v>
      </c>
      <c r="F1441">
        <v>6.9729999999999999</v>
      </c>
      <c r="G1441">
        <v>2.1379999999999999</v>
      </c>
      <c r="H1441">
        <v>2.0939999999999999</v>
      </c>
      <c r="I1441">
        <v>37.554000000000002</v>
      </c>
      <c r="J1441">
        <v>24.754000000000001</v>
      </c>
      <c r="K1441">
        <v>10.853</v>
      </c>
      <c r="L1441">
        <v>1.33</v>
      </c>
      <c r="M1441">
        <v>3.4950000000000001</v>
      </c>
      <c r="N1441">
        <v>0.21</v>
      </c>
      <c r="O1441">
        <v>2.806</v>
      </c>
      <c r="P1441">
        <v>0.76700000000000002</v>
      </c>
    </row>
    <row r="1442" spans="1:16" x14ac:dyDescent="0.25">
      <c r="A1442" s="1">
        <v>43287</v>
      </c>
      <c r="B1442">
        <v>11.005000000000001</v>
      </c>
      <c r="C1442">
        <v>228.2</v>
      </c>
      <c r="D1442">
        <v>3.6019999999999999</v>
      </c>
      <c r="E1442">
        <v>13.5</v>
      </c>
      <c r="F1442">
        <v>6.9640000000000004</v>
      </c>
      <c r="G1442">
        <v>2.1379999999999999</v>
      </c>
      <c r="H1442">
        <v>2.173</v>
      </c>
      <c r="I1442">
        <v>37.65</v>
      </c>
      <c r="J1442">
        <v>24.754000000000001</v>
      </c>
      <c r="K1442">
        <v>10.826000000000001</v>
      </c>
      <c r="L1442">
        <v>1.32</v>
      </c>
      <c r="M1442">
        <v>3.5379999999999998</v>
      </c>
      <c r="N1442">
        <v>0.224</v>
      </c>
      <c r="O1442">
        <v>2.806</v>
      </c>
      <c r="P1442">
        <v>0.80600000000000005</v>
      </c>
    </row>
    <row r="1443" spans="1:16" x14ac:dyDescent="0.25">
      <c r="A1443" s="1">
        <v>43290</v>
      </c>
      <c r="B1443">
        <v>11.023999999999999</v>
      </c>
      <c r="C1443">
        <v>230</v>
      </c>
      <c r="D1443">
        <v>3.6019999999999999</v>
      </c>
      <c r="E1443">
        <v>13.69</v>
      </c>
      <c r="F1443">
        <v>6.9729999999999999</v>
      </c>
      <c r="G1443">
        <v>2.129</v>
      </c>
      <c r="H1443">
        <v>2.242</v>
      </c>
      <c r="I1443">
        <v>37.65</v>
      </c>
      <c r="J1443">
        <v>24.754000000000001</v>
      </c>
      <c r="K1443">
        <v>10.808</v>
      </c>
      <c r="L1443">
        <v>1.3580000000000001</v>
      </c>
      <c r="M1443">
        <v>3.5910000000000002</v>
      </c>
      <c r="N1443">
        <v>0.221</v>
      </c>
      <c r="O1443">
        <v>2.806</v>
      </c>
      <c r="P1443">
        <v>0.85499999999999998</v>
      </c>
    </row>
    <row r="1444" spans="1:16" x14ac:dyDescent="0.25">
      <c r="A1444" s="1">
        <v>43291</v>
      </c>
      <c r="B1444">
        <v>11.151</v>
      </c>
      <c r="C1444">
        <v>229.6</v>
      </c>
      <c r="D1444">
        <v>3.6019999999999999</v>
      </c>
      <c r="E1444">
        <v>13.26</v>
      </c>
      <c r="F1444">
        <v>6.9729999999999999</v>
      </c>
      <c r="G1444">
        <v>2.1560000000000001</v>
      </c>
      <c r="H1444">
        <v>2.282</v>
      </c>
      <c r="I1444">
        <v>38.238</v>
      </c>
      <c r="J1444">
        <v>24.510999999999999</v>
      </c>
      <c r="K1444">
        <v>10.79</v>
      </c>
      <c r="L1444">
        <v>1.3580000000000001</v>
      </c>
      <c r="M1444">
        <v>3.5910000000000002</v>
      </c>
      <c r="N1444">
        <v>0.219</v>
      </c>
      <c r="O1444">
        <v>2.7570000000000001</v>
      </c>
      <c r="P1444">
        <v>0.82599999999999996</v>
      </c>
    </row>
    <row r="1445" spans="1:16" x14ac:dyDescent="0.25">
      <c r="A1445" s="1">
        <v>43292</v>
      </c>
      <c r="B1445">
        <v>11.044</v>
      </c>
      <c r="C1445">
        <v>228.4</v>
      </c>
      <c r="D1445">
        <v>3.6019999999999999</v>
      </c>
      <c r="E1445">
        <v>12.68</v>
      </c>
      <c r="F1445">
        <v>6.8840000000000003</v>
      </c>
      <c r="G1445">
        <v>2.0750000000000002</v>
      </c>
      <c r="H1445">
        <v>2.2719999999999998</v>
      </c>
      <c r="I1445">
        <v>38.238</v>
      </c>
      <c r="J1445">
        <v>24.268999999999998</v>
      </c>
      <c r="K1445">
        <v>10.762</v>
      </c>
      <c r="L1445">
        <v>1.33</v>
      </c>
      <c r="M1445">
        <v>3.4950000000000001</v>
      </c>
      <c r="N1445">
        <v>0.216</v>
      </c>
      <c r="O1445">
        <v>2.7090000000000001</v>
      </c>
      <c r="P1445">
        <v>0.76700000000000002</v>
      </c>
    </row>
    <row r="1446" spans="1:16" x14ac:dyDescent="0.25">
      <c r="A1446" s="1">
        <v>43293</v>
      </c>
      <c r="B1446">
        <v>11.151</v>
      </c>
      <c r="C1446">
        <v>229</v>
      </c>
      <c r="D1446">
        <v>3.7250000000000001</v>
      </c>
      <c r="E1446">
        <v>12.63</v>
      </c>
      <c r="F1446">
        <v>6.92</v>
      </c>
      <c r="G1446">
        <v>2.0840000000000001</v>
      </c>
      <c r="H1446">
        <v>2.282</v>
      </c>
      <c r="I1446">
        <v>38.238</v>
      </c>
      <c r="J1446">
        <v>24.754000000000001</v>
      </c>
      <c r="K1446">
        <v>10.808</v>
      </c>
      <c r="L1446">
        <v>1.2909999999999999</v>
      </c>
      <c r="M1446">
        <v>3.4769999999999999</v>
      </c>
      <c r="N1446">
        <v>0.21</v>
      </c>
      <c r="O1446">
        <v>2.7090000000000001</v>
      </c>
      <c r="P1446">
        <v>0.80600000000000005</v>
      </c>
    </row>
    <row r="1447" spans="1:16" x14ac:dyDescent="0.25">
      <c r="A1447" s="1">
        <v>43294</v>
      </c>
      <c r="B1447">
        <v>11.102</v>
      </c>
      <c r="C1447">
        <v>227</v>
      </c>
      <c r="D1447">
        <v>3.7250000000000001</v>
      </c>
      <c r="E1447">
        <v>12.7</v>
      </c>
      <c r="F1447">
        <v>6.9370000000000003</v>
      </c>
      <c r="G1447">
        <v>2.0840000000000001</v>
      </c>
      <c r="H1447">
        <v>2.371</v>
      </c>
      <c r="I1447">
        <v>38.238</v>
      </c>
      <c r="J1447">
        <v>24.754000000000001</v>
      </c>
      <c r="K1447">
        <v>10.762</v>
      </c>
      <c r="L1447">
        <v>1.2909999999999999</v>
      </c>
      <c r="M1447">
        <v>3.4769999999999999</v>
      </c>
      <c r="N1447">
        <v>0.21</v>
      </c>
      <c r="O1447">
        <v>2.786</v>
      </c>
      <c r="P1447">
        <v>0.81599999999999995</v>
      </c>
    </row>
    <row r="1448" spans="1:16" x14ac:dyDescent="0.25">
      <c r="A1448" s="1">
        <v>43297</v>
      </c>
      <c r="B1448">
        <v>11.161</v>
      </c>
      <c r="C1448">
        <v>227.9</v>
      </c>
      <c r="D1448">
        <v>3.7250000000000001</v>
      </c>
      <c r="E1448">
        <v>12.46</v>
      </c>
      <c r="F1448">
        <v>6.9729999999999999</v>
      </c>
      <c r="G1448">
        <v>2.0659999999999998</v>
      </c>
      <c r="H1448">
        <v>2.371</v>
      </c>
      <c r="I1448">
        <v>38.238</v>
      </c>
      <c r="J1448">
        <v>24.754000000000001</v>
      </c>
      <c r="K1448">
        <v>10.762</v>
      </c>
      <c r="L1448">
        <v>1.2909999999999999</v>
      </c>
      <c r="M1448">
        <v>3.4950000000000001</v>
      </c>
      <c r="N1448">
        <v>0.20499999999999999</v>
      </c>
      <c r="O1448">
        <v>2.7570000000000001</v>
      </c>
      <c r="P1448">
        <v>0.79600000000000004</v>
      </c>
    </row>
    <row r="1449" spans="1:16" x14ac:dyDescent="0.25">
      <c r="A1449" s="1">
        <v>43298</v>
      </c>
      <c r="B1449">
        <v>11.347</v>
      </c>
      <c r="C1449">
        <v>228.45</v>
      </c>
      <c r="D1449">
        <v>3.6459999999999999</v>
      </c>
      <c r="E1449">
        <v>13.3</v>
      </c>
      <c r="F1449">
        <v>7.0620000000000003</v>
      </c>
      <c r="G1449">
        <v>2.093</v>
      </c>
      <c r="H1449">
        <v>2.46</v>
      </c>
      <c r="I1449">
        <v>38.517000000000003</v>
      </c>
      <c r="J1449">
        <v>25.239000000000001</v>
      </c>
      <c r="K1449">
        <v>10.808</v>
      </c>
      <c r="L1449">
        <v>1.2909999999999999</v>
      </c>
      <c r="M1449">
        <v>3.4950000000000001</v>
      </c>
      <c r="N1449">
        <v>0.20799999999999999</v>
      </c>
      <c r="O1449">
        <v>2.7959999999999998</v>
      </c>
      <c r="P1449">
        <v>0.82599999999999996</v>
      </c>
    </row>
    <row r="1450" spans="1:16" x14ac:dyDescent="0.25">
      <c r="A1450" s="1">
        <v>43299</v>
      </c>
      <c r="B1450">
        <v>11.249000000000001</v>
      </c>
      <c r="C1450">
        <v>228.56</v>
      </c>
      <c r="D1450">
        <v>3.6459999999999999</v>
      </c>
      <c r="E1450">
        <v>13.15</v>
      </c>
      <c r="F1450">
        <v>7.0179999999999998</v>
      </c>
      <c r="G1450">
        <v>2.1019999999999999</v>
      </c>
      <c r="H1450">
        <v>2.4889999999999999</v>
      </c>
      <c r="I1450">
        <v>38.517000000000003</v>
      </c>
      <c r="J1450">
        <v>24.754000000000001</v>
      </c>
      <c r="K1450">
        <v>10.853</v>
      </c>
      <c r="L1450">
        <v>1.377</v>
      </c>
      <c r="M1450">
        <v>3.7389999999999999</v>
      </c>
      <c r="N1450">
        <v>0.21</v>
      </c>
      <c r="O1450">
        <v>2.7770000000000001</v>
      </c>
      <c r="P1450">
        <v>0.83599999999999997</v>
      </c>
    </row>
    <row r="1451" spans="1:16" x14ac:dyDescent="0.25">
      <c r="A1451" s="1">
        <v>43300</v>
      </c>
      <c r="B1451">
        <v>11.2</v>
      </c>
      <c r="C1451">
        <v>226.9</v>
      </c>
      <c r="D1451">
        <v>3.6459999999999999</v>
      </c>
      <c r="E1451">
        <v>12.9</v>
      </c>
      <c r="F1451">
        <v>7.0179999999999998</v>
      </c>
      <c r="G1451">
        <v>2.1379999999999999</v>
      </c>
      <c r="H1451">
        <v>2.4889999999999999</v>
      </c>
      <c r="I1451">
        <v>38.892000000000003</v>
      </c>
      <c r="J1451">
        <v>24.754000000000001</v>
      </c>
      <c r="K1451">
        <v>10.853</v>
      </c>
      <c r="L1451">
        <v>1.33</v>
      </c>
      <c r="M1451">
        <v>3.7389999999999999</v>
      </c>
      <c r="N1451">
        <v>0.20799999999999999</v>
      </c>
      <c r="O1451">
        <v>2.7770000000000001</v>
      </c>
      <c r="P1451">
        <v>0.81599999999999995</v>
      </c>
    </row>
    <row r="1452" spans="1:16" x14ac:dyDescent="0.25">
      <c r="A1452" s="1">
        <v>43301</v>
      </c>
      <c r="B1452">
        <v>11.151</v>
      </c>
      <c r="C1452">
        <v>229.7</v>
      </c>
      <c r="D1452">
        <v>3.6629999999999998</v>
      </c>
      <c r="E1452">
        <v>12.85</v>
      </c>
      <c r="F1452">
        <v>7.0179999999999998</v>
      </c>
      <c r="G1452">
        <v>2.1739999999999999</v>
      </c>
      <c r="H1452">
        <v>2.5680000000000001</v>
      </c>
      <c r="I1452">
        <v>38.805999999999997</v>
      </c>
      <c r="J1452">
        <v>24.754000000000001</v>
      </c>
      <c r="K1452">
        <v>10.853</v>
      </c>
      <c r="L1452">
        <v>1.33</v>
      </c>
      <c r="M1452">
        <v>3.7389999999999999</v>
      </c>
      <c r="N1452">
        <v>0.20699999999999999</v>
      </c>
      <c r="O1452">
        <v>2.7669999999999999</v>
      </c>
      <c r="P1452">
        <v>0.84499999999999997</v>
      </c>
    </row>
    <row r="1453" spans="1:16" x14ac:dyDescent="0.25">
      <c r="A1453" s="1">
        <v>43304</v>
      </c>
      <c r="B1453">
        <v>11.298</v>
      </c>
      <c r="C1453">
        <v>228</v>
      </c>
      <c r="D1453">
        <v>3.734</v>
      </c>
      <c r="E1453">
        <v>12.92</v>
      </c>
      <c r="F1453">
        <v>6.91</v>
      </c>
      <c r="G1453">
        <v>2.1920000000000002</v>
      </c>
      <c r="H1453">
        <v>2.6179999999999999</v>
      </c>
      <c r="I1453">
        <v>39.335000000000001</v>
      </c>
      <c r="J1453">
        <v>25.239000000000001</v>
      </c>
      <c r="K1453">
        <v>10.962</v>
      </c>
      <c r="L1453">
        <v>1.4350000000000001</v>
      </c>
      <c r="M1453">
        <v>4.01</v>
      </c>
      <c r="N1453">
        <v>0.21199999999999999</v>
      </c>
      <c r="O1453">
        <v>2.7669999999999999</v>
      </c>
      <c r="P1453">
        <v>0.83599999999999997</v>
      </c>
    </row>
    <row r="1454" spans="1:16" x14ac:dyDescent="0.25">
      <c r="A1454" s="1">
        <v>43305</v>
      </c>
      <c r="B1454">
        <v>11.298</v>
      </c>
      <c r="C1454">
        <v>230.5</v>
      </c>
      <c r="D1454">
        <v>3.69</v>
      </c>
      <c r="E1454">
        <v>13.2</v>
      </c>
      <c r="F1454">
        <v>6.91</v>
      </c>
      <c r="G1454">
        <v>2.2290000000000001</v>
      </c>
      <c r="H1454">
        <v>2.5489999999999999</v>
      </c>
      <c r="I1454">
        <v>39.488999999999997</v>
      </c>
      <c r="J1454">
        <v>25.239000000000001</v>
      </c>
      <c r="K1454">
        <v>10.898999999999999</v>
      </c>
      <c r="L1454">
        <v>1.502</v>
      </c>
      <c r="M1454">
        <v>4.01</v>
      </c>
      <c r="N1454">
        <v>0.214</v>
      </c>
      <c r="O1454">
        <v>2.7570000000000001</v>
      </c>
      <c r="P1454">
        <v>0.85499999999999998</v>
      </c>
    </row>
    <row r="1455" spans="1:16" x14ac:dyDescent="0.25">
      <c r="A1455" s="1">
        <v>43306</v>
      </c>
      <c r="B1455">
        <v>11.347</v>
      </c>
      <c r="C1455">
        <v>232</v>
      </c>
      <c r="D1455">
        <v>3.69</v>
      </c>
      <c r="E1455">
        <v>13.4</v>
      </c>
      <c r="F1455">
        <v>6.8659999999999997</v>
      </c>
      <c r="G1455">
        <v>2.2200000000000002</v>
      </c>
      <c r="H1455">
        <v>2.4790000000000001</v>
      </c>
      <c r="I1455">
        <v>39.499000000000002</v>
      </c>
      <c r="J1455">
        <v>25.239000000000001</v>
      </c>
      <c r="K1455">
        <v>10.888999999999999</v>
      </c>
      <c r="L1455">
        <v>1.502</v>
      </c>
      <c r="M1455">
        <v>4.01</v>
      </c>
      <c r="N1455">
        <v>0.20799999999999999</v>
      </c>
      <c r="O1455">
        <v>2.7570000000000001</v>
      </c>
      <c r="P1455">
        <v>0.81599999999999995</v>
      </c>
    </row>
    <row r="1456" spans="1:16" x14ac:dyDescent="0.25">
      <c r="A1456" s="1">
        <v>43307</v>
      </c>
      <c r="B1456">
        <v>11.494</v>
      </c>
      <c r="C1456">
        <v>231</v>
      </c>
      <c r="D1456">
        <v>3.6019999999999999</v>
      </c>
      <c r="E1456">
        <v>13.59</v>
      </c>
      <c r="F1456">
        <v>6.7050000000000001</v>
      </c>
      <c r="G1456">
        <v>2.21</v>
      </c>
      <c r="H1456">
        <v>2.4790000000000001</v>
      </c>
      <c r="I1456">
        <v>39.499000000000002</v>
      </c>
      <c r="J1456">
        <v>24.754000000000001</v>
      </c>
      <c r="K1456">
        <v>10.898999999999999</v>
      </c>
      <c r="L1456">
        <v>1.502</v>
      </c>
      <c r="M1456">
        <v>4.01</v>
      </c>
      <c r="N1456">
        <v>0.20799999999999999</v>
      </c>
      <c r="O1456">
        <v>2.7669999999999999</v>
      </c>
      <c r="P1456">
        <v>0.82599999999999996</v>
      </c>
    </row>
    <row r="1457" spans="1:16" x14ac:dyDescent="0.25">
      <c r="A1457" s="1">
        <v>43308</v>
      </c>
      <c r="B1457">
        <v>11.542999999999999</v>
      </c>
      <c r="C1457">
        <v>230.6</v>
      </c>
      <c r="D1457">
        <v>3.6019999999999999</v>
      </c>
      <c r="E1457">
        <v>13.55</v>
      </c>
      <c r="F1457">
        <v>6.7050000000000001</v>
      </c>
      <c r="G1457">
        <v>2.21</v>
      </c>
      <c r="H1457">
        <v>2.41</v>
      </c>
      <c r="I1457">
        <v>39.499000000000002</v>
      </c>
      <c r="J1457">
        <v>24.754000000000001</v>
      </c>
      <c r="K1457">
        <v>10.898999999999999</v>
      </c>
      <c r="L1457">
        <v>1.502</v>
      </c>
      <c r="M1457">
        <v>4.01</v>
      </c>
      <c r="N1457">
        <v>0.20799999999999999</v>
      </c>
      <c r="O1457">
        <v>2.7669999999999999</v>
      </c>
      <c r="P1457">
        <v>0.82599999999999996</v>
      </c>
    </row>
    <row r="1458" spans="1:16" x14ac:dyDescent="0.25">
      <c r="A1458" s="1">
        <v>43311</v>
      </c>
      <c r="B1458">
        <v>11.494</v>
      </c>
      <c r="C1458">
        <v>229.33</v>
      </c>
      <c r="D1458">
        <v>3.6459999999999999</v>
      </c>
      <c r="E1458">
        <v>13.7</v>
      </c>
      <c r="F1458">
        <v>6.6959999999999997</v>
      </c>
      <c r="G1458">
        <v>2.1920000000000002</v>
      </c>
      <c r="H1458">
        <v>2.371</v>
      </c>
      <c r="I1458">
        <v>39.576000000000001</v>
      </c>
      <c r="J1458">
        <v>24.754000000000001</v>
      </c>
      <c r="K1458">
        <v>10.898999999999999</v>
      </c>
      <c r="L1458">
        <v>1.502</v>
      </c>
      <c r="M1458">
        <v>4.01</v>
      </c>
      <c r="N1458">
        <v>0.2</v>
      </c>
      <c r="O1458">
        <v>2.7570000000000001</v>
      </c>
      <c r="P1458">
        <v>0.81599999999999995</v>
      </c>
    </row>
    <row r="1459" spans="1:16" x14ac:dyDescent="0.25">
      <c r="A1459" s="1">
        <v>43312</v>
      </c>
      <c r="B1459">
        <v>11.484</v>
      </c>
      <c r="C1459">
        <v>228.43</v>
      </c>
      <c r="D1459">
        <v>3.6459999999999999</v>
      </c>
      <c r="E1459">
        <v>13.68</v>
      </c>
      <c r="F1459">
        <v>6.7939999999999996</v>
      </c>
      <c r="G1459">
        <v>2.1379999999999999</v>
      </c>
      <c r="H1459">
        <v>2.4700000000000002</v>
      </c>
      <c r="I1459">
        <v>40.78</v>
      </c>
      <c r="J1459">
        <v>25.045000000000002</v>
      </c>
      <c r="K1459">
        <v>11.08</v>
      </c>
      <c r="L1459">
        <v>1.569</v>
      </c>
      <c r="M1459">
        <v>4.29</v>
      </c>
      <c r="N1459">
        <v>0.19</v>
      </c>
      <c r="O1459">
        <v>2.7570000000000001</v>
      </c>
      <c r="P1459">
        <v>0.79600000000000004</v>
      </c>
    </row>
    <row r="1460" spans="1:16" x14ac:dyDescent="0.25">
      <c r="A1460" s="1">
        <v>43313</v>
      </c>
      <c r="B1460">
        <v>11.396000000000001</v>
      </c>
      <c r="C1460">
        <v>228.2</v>
      </c>
      <c r="D1460">
        <v>3.6459999999999999</v>
      </c>
      <c r="E1460">
        <v>13.82</v>
      </c>
      <c r="F1460">
        <v>6.75</v>
      </c>
      <c r="G1460">
        <v>2.129</v>
      </c>
      <c r="H1460">
        <v>2.4700000000000002</v>
      </c>
      <c r="I1460">
        <v>40.78</v>
      </c>
      <c r="J1460">
        <v>25.045000000000002</v>
      </c>
      <c r="K1460">
        <v>10.917</v>
      </c>
      <c r="L1460">
        <v>1.569</v>
      </c>
      <c r="M1460">
        <v>4.29</v>
      </c>
      <c r="N1460">
        <v>0.189</v>
      </c>
      <c r="O1460">
        <v>2.6989999999999998</v>
      </c>
      <c r="P1460">
        <v>0.76700000000000002</v>
      </c>
    </row>
    <row r="1461" spans="1:16" x14ac:dyDescent="0.25">
      <c r="A1461" s="1">
        <v>43314</v>
      </c>
      <c r="B1461">
        <v>11.337</v>
      </c>
      <c r="C1461">
        <v>226.13</v>
      </c>
      <c r="D1461">
        <v>3.6019999999999999</v>
      </c>
      <c r="E1461">
        <v>13.71</v>
      </c>
      <c r="F1461">
        <v>6.75</v>
      </c>
      <c r="G1461">
        <v>2.1379999999999999</v>
      </c>
      <c r="H1461">
        <v>2.4700000000000002</v>
      </c>
      <c r="I1461">
        <v>40.25</v>
      </c>
      <c r="J1461">
        <v>24.754000000000001</v>
      </c>
      <c r="K1461">
        <v>10.898999999999999</v>
      </c>
      <c r="L1461">
        <v>1.5209999999999999</v>
      </c>
      <c r="M1461">
        <v>4.194</v>
      </c>
      <c r="N1461">
        <v>0.19500000000000001</v>
      </c>
      <c r="O1461">
        <v>2.641</v>
      </c>
      <c r="P1461">
        <v>0.77600000000000002</v>
      </c>
    </row>
    <row r="1462" spans="1:16" x14ac:dyDescent="0.25">
      <c r="A1462" s="1">
        <v>43315</v>
      </c>
      <c r="B1462">
        <v>11.337</v>
      </c>
      <c r="C1462">
        <v>230.15</v>
      </c>
      <c r="D1462">
        <v>3.6110000000000002</v>
      </c>
      <c r="E1462">
        <v>13.71</v>
      </c>
      <c r="F1462">
        <v>6.7590000000000003</v>
      </c>
      <c r="G1462">
        <v>2.1739999999999999</v>
      </c>
      <c r="H1462">
        <v>2.4700000000000002</v>
      </c>
      <c r="I1462">
        <v>40.298000000000002</v>
      </c>
      <c r="J1462">
        <v>25.239000000000001</v>
      </c>
      <c r="K1462">
        <v>10.898999999999999</v>
      </c>
      <c r="L1462">
        <v>1.5209999999999999</v>
      </c>
      <c r="M1462">
        <v>4.194</v>
      </c>
      <c r="N1462">
        <v>0.19</v>
      </c>
      <c r="O1462">
        <v>2.641</v>
      </c>
      <c r="P1462">
        <v>0.79600000000000004</v>
      </c>
    </row>
    <row r="1463" spans="1:16" x14ac:dyDescent="0.25">
      <c r="A1463" s="1">
        <v>43318</v>
      </c>
      <c r="B1463">
        <v>11.2</v>
      </c>
      <c r="C1463">
        <v>229</v>
      </c>
      <c r="D1463">
        <v>3.6110000000000002</v>
      </c>
      <c r="E1463">
        <v>13.6</v>
      </c>
      <c r="F1463">
        <v>6.7409999999999997</v>
      </c>
      <c r="G1463">
        <v>2.1739999999999999</v>
      </c>
      <c r="H1463">
        <v>2.4700000000000002</v>
      </c>
      <c r="I1463">
        <v>40.298000000000002</v>
      </c>
      <c r="J1463">
        <v>25.23</v>
      </c>
      <c r="K1463">
        <v>10.898999999999999</v>
      </c>
      <c r="L1463">
        <v>1.4350000000000001</v>
      </c>
      <c r="M1463">
        <v>4.0979999999999999</v>
      </c>
      <c r="N1463">
        <v>0.186</v>
      </c>
      <c r="O1463">
        <v>2.67</v>
      </c>
      <c r="P1463">
        <v>0.78600000000000003</v>
      </c>
    </row>
    <row r="1464" spans="1:16" x14ac:dyDescent="0.25">
      <c r="A1464" s="1">
        <v>43319</v>
      </c>
      <c r="B1464">
        <v>11.2</v>
      </c>
      <c r="C1464">
        <v>231</v>
      </c>
      <c r="D1464">
        <v>3.6019999999999999</v>
      </c>
      <c r="E1464">
        <v>13.66</v>
      </c>
      <c r="F1464">
        <v>6.7050000000000001</v>
      </c>
      <c r="G1464">
        <v>2.1739999999999999</v>
      </c>
      <c r="H1464">
        <v>2.4500000000000002</v>
      </c>
      <c r="I1464">
        <v>40.298000000000002</v>
      </c>
      <c r="J1464">
        <v>25.141999999999999</v>
      </c>
      <c r="K1464">
        <v>10.88</v>
      </c>
      <c r="L1464">
        <v>1.4350000000000001</v>
      </c>
      <c r="M1464">
        <v>4.1059999999999999</v>
      </c>
      <c r="N1464">
        <v>0.184</v>
      </c>
      <c r="O1464">
        <v>2.6309999999999998</v>
      </c>
      <c r="P1464">
        <v>0.78600000000000003</v>
      </c>
    </row>
    <row r="1465" spans="1:16" x14ac:dyDescent="0.25">
      <c r="A1465" s="1">
        <v>43320</v>
      </c>
      <c r="B1465">
        <v>11.2</v>
      </c>
      <c r="C1465">
        <v>230</v>
      </c>
      <c r="D1465">
        <v>3.6019999999999999</v>
      </c>
      <c r="E1465">
        <v>13.61</v>
      </c>
      <c r="F1465">
        <v>6.7050000000000001</v>
      </c>
      <c r="G1465">
        <v>2.1739999999999999</v>
      </c>
      <c r="H1465">
        <v>2.4500000000000002</v>
      </c>
      <c r="I1465">
        <v>40.298000000000002</v>
      </c>
      <c r="J1465">
        <v>25.239000000000001</v>
      </c>
      <c r="K1465">
        <v>10.88</v>
      </c>
      <c r="L1465">
        <v>1.4350000000000001</v>
      </c>
      <c r="M1465">
        <v>4.1059999999999999</v>
      </c>
      <c r="N1465">
        <v>0.184</v>
      </c>
      <c r="O1465">
        <v>2.6989999999999998</v>
      </c>
      <c r="P1465">
        <v>0.78600000000000003</v>
      </c>
    </row>
    <row r="1466" spans="1:16" x14ac:dyDescent="0.25">
      <c r="A1466" s="1">
        <v>43321</v>
      </c>
      <c r="B1466">
        <v>11.2</v>
      </c>
      <c r="C1466">
        <v>230</v>
      </c>
      <c r="D1466">
        <v>3.5579999999999998</v>
      </c>
      <c r="E1466">
        <v>13.53</v>
      </c>
      <c r="F1466">
        <v>6.66</v>
      </c>
      <c r="G1466">
        <v>2.1739999999999999</v>
      </c>
      <c r="H1466">
        <v>2.3210000000000002</v>
      </c>
      <c r="I1466">
        <v>40.298000000000002</v>
      </c>
      <c r="J1466">
        <v>25.239000000000001</v>
      </c>
      <c r="K1466">
        <v>10.898999999999999</v>
      </c>
      <c r="L1466">
        <v>1.4350000000000001</v>
      </c>
      <c r="M1466">
        <v>4.1059999999999999</v>
      </c>
      <c r="N1466">
        <v>0.185</v>
      </c>
      <c r="O1466">
        <v>2.6219999999999999</v>
      </c>
      <c r="P1466">
        <v>0.79</v>
      </c>
    </row>
    <row r="1467" spans="1:16" x14ac:dyDescent="0.25">
      <c r="A1467" s="1">
        <v>43322</v>
      </c>
      <c r="B1467">
        <v>11.151</v>
      </c>
      <c r="C1467">
        <v>227</v>
      </c>
      <c r="D1467">
        <v>3.5579999999999998</v>
      </c>
      <c r="E1467">
        <v>13.64</v>
      </c>
      <c r="F1467">
        <v>6.7050000000000001</v>
      </c>
      <c r="G1467">
        <v>2.1739999999999999</v>
      </c>
      <c r="H1467">
        <v>2.3210000000000002</v>
      </c>
      <c r="I1467">
        <v>40.25</v>
      </c>
      <c r="J1467">
        <v>25.045000000000002</v>
      </c>
      <c r="K1467">
        <v>10.898999999999999</v>
      </c>
      <c r="L1467">
        <v>1.397</v>
      </c>
      <c r="M1467">
        <v>4.0979999999999999</v>
      </c>
      <c r="N1467">
        <v>0.185</v>
      </c>
      <c r="O1467">
        <v>2.68</v>
      </c>
      <c r="P1467">
        <v>0.79</v>
      </c>
    </row>
    <row r="1468" spans="1:16" x14ac:dyDescent="0.25">
      <c r="A1468" s="1">
        <v>43325</v>
      </c>
      <c r="B1468">
        <v>11.053000000000001</v>
      </c>
      <c r="C1468">
        <v>224</v>
      </c>
      <c r="D1468">
        <v>3.54</v>
      </c>
      <c r="E1468">
        <v>13.33</v>
      </c>
      <c r="F1468">
        <v>6.7050000000000001</v>
      </c>
      <c r="G1468">
        <v>2.165</v>
      </c>
      <c r="H1468">
        <v>2.3210000000000002</v>
      </c>
      <c r="I1468">
        <v>40.25</v>
      </c>
      <c r="J1468">
        <v>24.948</v>
      </c>
      <c r="K1468">
        <v>10.898999999999999</v>
      </c>
      <c r="L1468">
        <v>1.3680000000000001</v>
      </c>
      <c r="M1468">
        <v>4.0979999999999999</v>
      </c>
      <c r="N1468">
        <v>0.18099999999999999</v>
      </c>
      <c r="O1468">
        <v>2.6629999999999998</v>
      </c>
      <c r="P1468">
        <v>0.75</v>
      </c>
    </row>
    <row r="1469" spans="1:16" x14ac:dyDescent="0.25">
      <c r="A1469" s="1">
        <v>43326</v>
      </c>
      <c r="B1469">
        <v>11.005000000000001</v>
      </c>
      <c r="C1469">
        <v>224.4</v>
      </c>
      <c r="D1469">
        <v>3.5579999999999998</v>
      </c>
      <c r="E1469">
        <v>13.33</v>
      </c>
      <c r="F1469">
        <v>6.7409999999999997</v>
      </c>
      <c r="G1469">
        <v>2.165</v>
      </c>
      <c r="H1469">
        <v>2.3210000000000002</v>
      </c>
      <c r="I1469">
        <v>40.25</v>
      </c>
      <c r="J1469">
        <v>24.939</v>
      </c>
      <c r="K1469">
        <v>10.888999999999999</v>
      </c>
      <c r="L1469">
        <v>1.349</v>
      </c>
      <c r="M1469">
        <v>4.0010000000000003</v>
      </c>
      <c r="N1469">
        <v>0.184</v>
      </c>
      <c r="O1469">
        <v>2.6629999999999998</v>
      </c>
      <c r="P1469">
        <v>0.77</v>
      </c>
    </row>
    <row r="1470" spans="1:16" x14ac:dyDescent="0.25">
      <c r="A1470" s="1">
        <v>43327</v>
      </c>
      <c r="B1470">
        <v>11.005000000000001</v>
      </c>
      <c r="C1470">
        <v>222</v>
      </c>
      <c r="D1470">
        <v>3.54</v>
      </c>
      <c r="E1470">
        <v>12.15</v>
      </c>
      <c r="F1470">
        <v>6.66</v>
      </c>
      <c r="G1470">
        <v>2.1019999999999999</v>
      </c>
      <c r="H1470">
        <v>2.3210000000000002</v>
      </c>
      <c r="I1470">
        <v>40.25</v>
      </c>
      <c r="J1470">
        <v>25.045000000000002</v>
      </c>
      <c r="K1470">
        <v>10.898999999999999</v>
      </c>
      <c r="L1470">
        <v>1.3009999999999999</v>
      </c>
      <c r="M1470">
        <v>3.835</v>
      </c>
      <c r="N1470">
        <v>0.17</v>
      </c>
      <c r="O1470">
        <v>2.5760000000000001</v>
      </c>
      <c r="P1470">
        <v>0.71</v>
      </c>
    </row>
    <row r="1471" spans="1:16" x14ac:dyDescent="0.25">
      <c r="A1471" s="1">
        <v>43328</v>
      </c>
      <c r="B1471">
        <v>10.907</v>
      </c>
      <c r="C1471">
        <v>222.5</v>
      </c>
      <c r="D1471">
        <v>3.5670000000000002</v>
      </c>
      <c r="E1471">
        <v>11.81</v>
      </c>
      <c r="F1471">
        <v>6.5890000000000004</v>
      </c>
      <c r="G1471">
        <v>2.0840000000000001</v>
      </c>
      <c r="H1471">
        <v>2.3210000000000002</v>
      </c>
      <c r="I1471">
        <v>40.154000000000003</v>
      </c>
      <c r="J1471">
        <v>24.803000000000001</v>
      </c>
      <c r="K1471">
        <v>10.888999999999999</v>
      </c>
      <c r="L1471">
        <v>1.3009999999999999</v>
      </c>
      <c r="M1471">
        <v>3.835</v>
      </c>
      <c r="N1471">
        <v>0.18</v>
      </c>
      <c r="O1471">
        <v>2.5470000000000002</v>
      </c>
      <c r="P1471">
        <v>0.73</v>
      </c>
    </row>
    <row r="1472" spans="1:16" x14ac:dyDescent="0.25">
      <c r="A1472" s="1">
        <v>43329</v>
      </c>
      <c r="B1472">
        <v>10.907</v>
      </c>
      <c r="C1472">
        <v>220.9</v>
      </c>
      <c r="D1472">
        <v>3.593</v>
      </c>
      <c r="E1472">
        <v>12.17</v>
      </c>
      <c r="F1472">
        <v>6.4809999999999999</v>
      </c>
      <c r="G1472">
        <v>2.1019999999999999</v>
      </c>
      <c r="H1472">
        <v>2.3210000000000002</v>
      </c>
      <c r="I1472">
        <v>40.154000000000003</v>
      </c>
      <c r="J1472">
        <v>24.754000000000001</v>
      </c>
      <c r="K1472">
        <v>10.898999999999999</v>
      </c>
      <c r="L1472">
        <v>1.3009999999999999</v>
      </c>
      <c r="M1472">
        <v>3.669</v>
      </c>
      <c r="N1472">
        <v>0.17599999999999999</v>
      </c>
      <c r="O1472">
        <v>2.5470000000000002</v>
      </c>
      <c r="P1472">
        <v>0.73</v>
      </c>
    </row>
    <row r="1473" spans="1:16" x14ac:dyDescent="0.25">
      <c r="A1473" s="1">
        <v>43332</v>
      </c>
      <c r="B1473">
        <v>10.858000000000001</v>
      </c>
      <c r="C1473">
        <v>222.6</v>
      </c>
      <c r="D1473">
        <v>3.593</v>
      </c>
      <c r="E1473">
        <v>12.23</v>
      </c>
      <c r="F1473">
        <v>6.4370000000000003</v>
      </c>
      <c r="G1473">
        <v>2.0840000000000001</v>
      </c>
      <c r="H1473">
        <v>2.282</v>
      </c>
      <c r="I1473">
        <v>40.154000000000003</v>
      </c>
      <c r="J1473">
        <v>24.754000000000001</v>
      </c>
      <c r="K1473">
        <v>10.898999999999999</v>
      </c>
      <c r="L1473">
        <v>1.31</v>
      </c>
      <c r="M1473">
        <v>3.835</v>
      </c>
      <c r="N1473">
        <v>0.18</v>
      </c>
      <c r="O1473">
        <v>2.5470000000000002</v>
      </c>
      <c r="P1473">
        <v>0.73</v>
      </c>
    </row>
    <row r="1474" spans="1:16" x14ac:dyDescent="0.25">
      <c r="A1474" s="1">
        <v>43333</v>
      </c>
      <c r="B1474">
        <v>10.007</v>
      </c>
      <c r="C1474">
        <v>220.3</v>
      </c>
      <c r="D1474">
        <v>3.6019999999999999</v>
      </c>
      <c r="E1474">
        <v>12.66</v>
      </c>
      <c r="F1474">
        <v>6.3470000000000004</v>
      </c>
      <c r="G1474">
        <v>2.0840000000000001</v>
      </c>
      <c r="H1474">
        <v>2.1240000000000001</v>
      </c>
      <c r="I1474">
        <v>39.384</v>
      </c>
      <c r="J1474">
        <v>24.366</v>
      </c>
      <c r="K1474">
        <v>10.898999999999999</v>
      </c>
      <c r="L1474">
        <v>1.31</v>
      </c>
      <c r="M1474">
        <v>3.7570000000000001</v>
      </c>
      <c r="N1474">
        <v>0.18</v>
      </c>
      <c r="O1474">
        <v>2.5179999999999998</v>
      </c>
      <c r="P1474">
        <v>0.74</v>
      </c>
    </row>
    <row r="1475" spans="1:16" x14ac:dyDescent="0.25">
      <c r="A1475" s="1">
        <v>43334</v>
      </c>
      <c r="B1475">
        <v>10.76</v>
      </c>
      <c r="C1475">
        <v>220</v>
      </c>
      <c r="D1475">
        <v>3.6019999999999999</v>
      </c>
      <c r="E1475">
        <v>12.8</v>
      </c>
      <c r="F1475">
        <v>6.3559999999999999</v>
      </c>
      <c r="G1475">
        <v>2.0659999999999998</v>
      </c>
      <c r="H1475">
        <v>2.1240000000000001</v>
      </c>
      <c r="I1475">
        <v>40.154000000000003</v>
      </c>
      <c r="J1475">
        <v>24.706</v>
      </c>
      <c r="K1475">
        <v>10.907999999999999</v>
      </c>
      <c r="L1475">
        <v>1.349</v>
      </c>
      <c r="M1475">
        <v>3.7570000000000001</v>
      </c>
      <c r="N1475">
        <v>0.184</v>
      </c>
      <c r="O1475">
        <v>2.5179999999999998</v>
      </c>
      <c r="P1475">
        <v>0.75</v>
      </c>
    </row>
    <row r="1476" spans="1:16" x14ac:dyDescent="0.25">
      <c r="A1476" s="1">
        <v>43335</v>
      </c>
      <c r="B1476">
        <v>10.76</v>
      </c>
      <c r="C1476">
        <v>222</v>
      </c>
      <c r="D1476">
        <v>3.6019999999999999</v>
      </c>
      <c r="E1476">
        <v>12.42</v>
      </c>
      <c r="F1476">
        <v>6.258</v>
      </c>
      <c r="G1476">
        <v>2.0659999999999998</v>
      </c>
      <c r="H1476">
        <v>2.1240000000000001</v>
      </c>
      <c r="I1476">
        <v>39.479999999999997</v>
      </c>
      <c r="J1476">
        <v>24.463000000000001</v>
      </c>
      <c r="K1476">
        <v>10.898999999999999</v>
      </c>
      <c r="L1476">
        <v>1.339</v>
      </c>
      <c r="M1476">
        <v>3.7570000000000001</v>
      </c>
      <c r="N1476">
        <v>0.184</v>
      </c>
      <c r="O1476">
        <v>2.5179999999999998</v>
      </c>
      <c r="P1476">
        <v>0.74</v>
      </c>
    </row>
    <row r="1477" spans="1:16" x14ac:dyDescent="0.25">
      <c r="A1477" s="1">
        <v>43336</v>
      </c>
      <c r="B1477">
        <v>10.76</v>
      </c>
      <c r="C1477">
        <v>222</v>
      </c>
      <c r="D1477">
        <v>3.6110000000000002</v>
      </c>
      <c r="E1477">
        <v>13</v>
      </c>
      <c r="F1477">
        <v>6.3470000000000004</v>
      </c>
      <c r="G1477">
        <v>2.0840000000000001</v>
      </c>
      <c r="H1477">
        <v>2.1240000000000001</v>
      </c>
      <c r="I1477">
        <v>39.479999999999997</v>
      </c>
      <c r="J1477">
        <v>24.463000000000001</v>
      </c>
      <c r="K1477">
        <v>10.898999999999999</v>
      </c>
      <c r="L1477">
        <v>1.397</v>
      </c>
      <c r="M1477">
        <v>3.6349999999999998</v>
      </c>
      <c r="N1477">
        <v>0.19</v>
      </c>
      <c r="O1477">
        <v>2.508</v>
      </c>
      <c r="P1477">
        <v>0.8</v>
      </c>
    </row>
    <row r="1478" spans="1:16" x14ac:dyDescent="0.25">
      <c r="A1478" s="1">
        <v>43339</v>
      </c>
      <c r="B1478">
        <v>10.858000000000001</v>
      </c>
      <c r="C1478">
        <v>223.5</v>
      </c>
      <c r="D1478">
        <v>3.6459999999999999</v>
      </c>
      <c r="E1478">
        <v>12.9</v>
      </c>
      <c r="F1478">
        <v>6.3739999999999997</v>
      </c>
      <c r="G1478">
        <v>2.093</v>
      </c>
      <c r="H1478">
        <v>2.1240000000000001</v>
      </c>
      <c r="I1478">
        <v>39.479999999999997</v>
      </c>
      <c r="J1478">
        <v>24.754000000000001</v>
      </c>
      <c r="K1478">
        <v>10.898999999999999</v>
      </c>
      <c r="L1478">
        <v>1.4159999999999999</v>
      </c>
      <c r="M1478">
        <v>3.6349999999999998</v>
      </c>
      <c r="N1478">
        <v>0.19</v>
      </c>
      <c r="O1478">
        <v>2.5179999999999998</v>
      </c>
      <c r="P1478">
        <v>0.8</v>
      </c>
    </row>
    <row r="1479" spans="1:16" x14ac:dyDescent="0.25">
      <c r="A1479" s="1">
        <v>43340</v>
      </c>
      <c r="B1479">
        <v>10.858000000000001</v>
      </c>
      <c r="C1479">
        <v>221.7</v>
      </c>
      <c r="D1479">
        <v>3.5750000000000002</v>
      </c>
      <c r="E1479">
        <v>12.7</v>
      </c>
      <c r="F1479">
        <v>6.4370000000000003</v>
      </c>
      <c r="G1479">
        <v>2.093</v>
      </c>
      <c r="H1479">
        <v>2.0739999999999998</v>
      </c>
      <c r="I1479">
        <v>39.479999999999997</v>
      </c>
      <c r="J1479">
        <v>25.141999999999999</v>
      </c>
      <c r="K1479">
        <v>10.898999999999999</v>
      </c>
      <c r="L1479">
        <v>1.4350000000000001</v>
      </c>
      <c r="M1479">
        <v>3.6349999999999998</v>
      </c>
      <c r="N1479">
        <v>0.19</v>
      </c>
      <c r="O1479">
        <v>2.4300000000000002</v>
      </c>
      <c r="P1479">
        <v>0.78</v>
      </c>
    </row>
    <row r="1480" spans="1:16" x14ac:dyDescent="0.25">
      <c r="A1480" s="1">
        <v>43341</v>
      </c>
      <c r="B1480">
        <v>10.808999999999999</v>
      </c>
      <c r="C1480">
        <v>221.1</v>
      </c>
      <c r="D1480">
        <v>3.6019999999999999</v>
      </c>
      <c r="E1480">
        <v>12.8</v>
      </c>
      <c r="F1480">
        <v>6.4809999999999999</v>
      </c>
      <c r="G1480">
        <v>2.0659999999999998</v>
      </c>
      <c r="H1480">
        <v>2.0739999999999998</v>
      </c>
      <c r="I1480">
        <v>39.479999999999997</v>
      </c>
      <c r="J1480">
        <v>25.239000000000001</v>
      </c>
      <c r="K1480">
        <v>10.898999999999999</v>
      </c>
      <c r="L1480">
        <v>1.492</v>
      </c>
      <c r="M1480">
        <v>3.6349999999999998</v>
      </c>
      <c r="N1480">
        <v>0.19</v>
      </c>
      <c r="O1480">
        <v>2.4300000000000002</v>
      </c>
      <c r="P1480">
        <v>0.79</v>
      </c>
    </row>
    <row r="1481" spans="1:16" x14ac:dyDescent="0.25">
      <c r="A1481" s="1">
        <v>43343</v>
      </c>
      <c r="B1481">
        <v>10.662000000000001</v>
      </c>
      <c r="C1481">
        <v>216.86</v>
      </c>
      <c r="D1481">
        <v>3.69</v>
      </c>
      <c r="E1481">
        <v>12.5</v>
      </c>
      <c r="F1481">
        <v>6.258</v>
      </c>
      <c r="G1481">
        <v>2.0840000000000001</v>
      </c>
      <c r="H1481">
        <v>2.0739999999999998</v>
      </c>
      <c r="I1481">
        <v>38.323999999999998</v>
      </c>
      <c r="J1481">
        <v>25.337</v>
      </c>
      <c r="K1481">
        <v>10.898999999999999</v>
      </c>
      <c r="L1481">
        <v>1.464</v>
      </c>
      <c r="M1481">
        <v>3.6349999999999998</v>
      </c>
      <c r="N1481">
        <v>0.187</v>
      </c>
      <c r="O1481">
        <v>2.4300000000000002</v>
      </c>
      <c r="P1481">
        <v>0.82</v>
      </c>
    </row>
    <row r="1482" spans="1:16" x14ac:dyDescent="0.25">
      <c r="A1482" s="1">
        <v>43346</v>
      </c>
      <c r="B1482">
        <v>10.662000000000001</v>
      </c>
      <c r="C1482">
        <v>218</v>
      </c>
      <c r="D1482">
        <v>3.7250000000000001</v>
      </c>
      <c r="E1482">
        <v>12.5</v>
      </c>
      <c r="F1482">
        <v>6.2220000000000004</v>
      </c>
      <c r="G1482">
        <v>2.0840000000000001</v>
      </c>
      <c r="H1482">
        <v>2.0739999999999998</v>
      </c>
      <c r="I1482">
        <v>38.323999999999998</v>
      </c>
      <c r="J1482">
        <v>25.337</v>
      </c>
      <c r="K1482">
        <v>10.898999999999999</v>
      </c>
      <c r="L1482">
        <v>1.4830000000000001</v>
      </c>
      <c r="M1482">
        <v>3.7570000000000001</v>
      </c>
      <c r="N1482">
        <v>0.19</v>
      </c>
      <c r="O1482">
        <v>2.4300000000000002</v>
      </c>
      <c r="P1482">
        <v>0.81</v>
      </c>
    </row>
    <row r="1483" spans="1:16" x14ac:dyDescent="0.25">
      <c r="A1483" s="1">
        <v>43347</v>
      </c>
      <c r="B1483">
        <v>10.465999999999999</v>
      </c>
      <c r="C1483">
        <v>212</v>
      </c>
      <c r="D1483">
        <v>3.6019999999999999</v>
      </c>
      <c r="E1483">
        <v>12.33</v>
      </c>
      <c r="F1483">
        <v>6.0970000000000004</v>
      </c>
      <c r="G1483">
        <v>2.0840000000000001</v>
      </c>
      <c r="H1483">
        <v>1.976</v>
      </c>
      <c r="I1483">
        <v>38.323999999999998</v>
      </c>
      <c r="J1483">
        <v>25.337</v>
      </c>
      <c r="K1483">
        <v>10.808</v>
      </c>
      <c r="L1483">
        <v>1.425</v>
      </c>
      <c r="M1483">
        <v>3.6259999999999999</v>
      </c>
      <c r="N1483">
        <v>0.17799999999999999</v>
      </c>
      <c r="O1483">
        <v>2.4300000000000002</v>
      </c>
      <c r="P1483">
        <v>0.79</v>
      </c>
    </row>
    <row r="1484" spans="1:16" x14ac:dyDescent="0.25">
      <c r="A1484" s="1">
        <v>43348</v>
      </c>
      <c r="B1484">
        <v>10.271000000000001</v>
      </c>
      <c r="C1484">
        <v>210</v>
      </c>
      <c r="D1484">
        <v>3.6549999999999998</v>
      </c>
      <c r="E1484">
        <v>12.25</v>
      </c>
      <c r="F1484">
        <v>5.9180000000000001</v>
      </c>
      <c r="G1484">
        <v>2.0289999999999999</v>
      </c>
      <c r="H1484">
        <v>1.887</v>
      </c>
      <c r="I1484">
        <v>37.168999999999997</v>
      </c>
      <c r="J1484">
        <v>24.754000000000001</v>
      </c>
      <c r="K1484">
        <v>10.898999999999999</v>
      </c>
      <c r="L1484">
        <v>1.425</v>
      </c>
      <c r="M1484">
        <v>3.5379999999999998</v>
      </c>
      <c r="N1484">
        <v>0.16900000000000001</v>
      </c>
      <c r="O1484">
        <v>2.4300000000000002</v>
      </c>
      <c r="P1484">
        <v>0.77</v>
      </c>
    </row>
    <row r="1485" spans="1:16" x14ac:dyDescent="0.25">
      <c r="A1485" s="1">
        <v>43349</v>
      </c>
      <c r="B1485">
        <v>10.271000000000001</v>
      </c>
      <c r="C1485">
        <v>210.31</v>
      </c>
      <c r="D1485">
        <v>3.637</v>
      </c>
      <c r="E1485">
        <v>12.1</v>
      </c>
      <c r="F1485">
        <v>5.9180000000000001</v>
      </c>
      <c r="G1485">
        <v>1.9930000000000001</v>
      </c>
      <c r="H1485">
        <v>1.778</v>
      </c>
      <c r="I1485">
        <v>37.360999999999997</v>
      </c>
      <c r="J1485">
        <v>24.754000000000001</v>
      </c>
      <c r="K1485">
        <v>10.808</v>
      </c>
      <c r="L1485">
        <v>1.425</v>
      </c>
      <c r="M1485">
        <v>3.4769999999999999</v>
      </c>
      <c r="N1485">
        <v>0.16700000000000001</v>
      </c>
      <c r="O1485">
        <v>2.4300000000000002</v>
      </c>
      <c r="P1485">
        <v>0.75</v>
      </c>
    </row>
    <row r="1486" spans="1:16" x14ac:dyDescent="0.25">
      <c r="A1486" s="1">
        <v>43350</v>
      </c>
      <c r="B1486">
        <v>10.271000000000001</v>
      </c>
      <c r="C1486">
        <v>209.9</v>
      </c>
      <c r="D1486">
        <v>3.6549999999999998</v>
      </c>
      <c r="E1486">
        <v>12.4</v>
      </c>
      <c r="F1486">
        <v>5.9450000000000003</v>
      </c>
      <c r="G1486">
        <v>1.966</v>
      </c>
      <c r="H1486">
        <v>1.778</v>
      </c>
      <c r="I1486">
        <v>37.360999999999997</v>
      </c>
      <c r="J1486">
        <v>24.754000000000001</v>
      </c>
      <c r="K1486">
        <v>10.853</v>
      </c>
      <c r="L1486">
        <v>1.3580000000000001</v>
      </c>
      <c r="M1486">
        <v>3.4769999999999999</v>
      </c>
      <c r="N1486">
        <v>0.17</v>
      </c>
      <c r="O1486">
        <v>2.4300000000000002</v>
      </c>
      <c r="P1486">
        <v>0.75</v>
      </c>
    </row>
    <row r="1487" spans="1:16" x14ac:dyDescent="0.25">
      <c r="A1487" s="1">
        <v>43353</v>
      </c>
      <c r="B1487">
        <v>10.124000000000001</v>
      </c>
      <c r="C1487">
        <v>209.86</v>
      </c>
      <c r="D1487">
        <v>3.6549999999999998</v>
      </c>
      <c r="E1487">
        <v>12.3</v>
      </c>
      <c r="F1487">
        <v>5.9450000000000003</v>
      </c>
      <c r="G1487">
        <v>1.9390000000000001</v>
      </c>
      <c r="H1487">
        <v>1.877</v>
      </c>
      <c r="I1487">
        <v>37.360999999999997</v>
      </c>
      <c r="J1487">
        <v>24.657</v>
      </c>
      <c r="K1487">
        <v>10.853</v>
      </c>
      <c r="L1487">
        <v>1.3580000000000001</v>
      </c>
      <c r="M1487">
        <v>3.0670000000000002</v>
      </c>
      <c r="N1487">
        <v>0.17299999999999999</v>
      </c>
      <c r="O1487">
        <v>2.4300000000000002</v>
      </c>
      <c r="P1487">
        <v>0.76</v>
      </c>
    </row>
    <row r="1488" spans="1:16" x14ac:dyDescent="0.25">
      <c r="A1488" s="1">
        <v>43354</v>
      </c>
      <c r="B1488">
        <v>9.8309999999999995</v>
      </c>
      <c r="C1488">
        <v>208.5</v>
      </c>
      <c r="D1488">
        <v>3.6549999999999998</v>
      </c>
      <c r="E1488">
        <v>12.3</v>
      </c>
      <c r="F1488">
        <v>5.9180000000000001</v>
      </c>
      <c r="G1488">
        <v>1.911</v>
      </c>
      <c r="H1488">
        <v>1.867</v>
      </c>
      <c r="I1488">
        <v>37.360999999999997</v>
      </c>
      <c r="J1488">
        <v>24.172000000000001</v>
      </c>
      <c r="K1488">
        <v>10.88</v>
      </c>
      <c r="L1488">
        <v>1.387</v>
      </c>
      <c r="M1488">
        <v>3.407</v>
      </c>
      <c r="N1488">
        <v>0.17</v>
      </c>
      <c r="O1488">
        <v>2.4300000000000002</v>
      </c>
      <c r="P1488">
        <v>0.76</v>
      </c>
    </row>
    <row r="1489" spans="1:16" x14ac:dyDescent="0.25">
      <c r="A1489" s="1">
        <v>43355</v>
      </c>
      <c r="B1489">
        <v>9.8800000000000008</v>
      </c>
      <c r="C1489">
        <v>213.2</v>
      </c>
      <c r="D1489">
        <v>3.6190000000000002</v>
      </c>
      <c r="E1489">
        <v>13.1</v>
      </c>
      <c r="F1489">
        <v>5.9</v>
      </c>
      <c r="G1489">
        <v>1.911</v>
      </c>
      <c r="H1489">
        <v>1.778</v>
      </c>
      <c r="I1489">
        <v>35.628</v>
      </c>
      <c r="J1489">
        <v>24.56</v>
      </c>
      <c r="K1489">
        <v>10.817</v>
      </c>
      <c r="L1489">
        <v>1.387</v>
      </c>
      <c r="M1489">
        <v>3.3290000000000002</v>
      </c>
      <c r="N1489">
        <v>0.17499999999999999</v>
      </c>
      <c r="O1489">
        <v>2.4300000000000002</v>
      </c>
      <c r="P1489">
        <v>0.76</v>
      </c>
    </row>
    <row r="1490" spans="1:16" x14ac:dyDescent="0.25">
      <c r="A1490" s="1">
        <v>43356</v>
      </c>
      <c r="B1490">
        <v>9.9770000000000003</v>
      </c>
      <c r="C1490">
        <v>213</v>
      </c>
      <c r="D1490">
        <v>3.593</v>
      </c>
      <c r="E1490">
        <v>13.1</v>
      </c>
      <c r="F1490">
        <v>5.8559999999999999</v>
      </c>
      <c r="G1490">
        <v>1.966</v>
      </c>
      <c r="H1490">
        <v>1.6990000000000001</v>
      </c>
      <c r="I1490">
        <v>37.360999999999997</v>
      </c>
      <c r="J1490">
        <v>24.56</v>
      </c>
      <c r="K1490">
        <v>10.717000000000001</v>
      </c>
      <c r="L1490">
        <v>1.339</v>
      </c>
      <c r="M1490">
        <v>3.32</v>
      </c>
      <c r="N1490">
        <v>0.16200000000000001</v>
      </c>
      <c r="O1490">
        <v>2.44</v>
      </c>
      <c r="P1490">
        <v>0.77</v>
      </c>
    </row>
    <row r="1491" spans="1:16" x14ac:dyDescent="0.25">
      <c r="A1491" s="1">
        <v>43357</v>
      </c>
      <c r="B1491">
        <v>9.9280000000000008</v>
      </c>
      <c r="C1491">
        <v>213.95</v>
      </c>
      <c r="D1491">
        <v>3.5579999999999998</v>
      </c>
      <c r="E1491">
        <v>12.9</v>
      </c>
      <c r="F1491">
        <v>5.8380000000000001</v>
      </c>
      <c r="G1491">
        <v>1.984</v>
      </c>
      <c r="H1491">
        <v>1.6990000000000001</v>
      </c>
      <c r="I1491">
        <v>37.360999999999997</v>
      </c>
      <c r="J1491">
        <v>24.56</v>
      </c>
      <c r="K1491">
        <v>10.717000000000001</v>
      </c>
      <c r="L1491">
        <v>1.339</v>
      </c>
      <c r="M1491">
        <v>3.3290000000000002</v>
      </c>
      <c r="N1491">
        <v>0.16400000000000001</v>
      </c>
      <c r="O1491">
        <v>2.44</v>
      </c>
      <c r="P1491">
        <v>0.75</v>
      </c>
    </row>
    <row r="1492" spans="1:16" x14ac:dyDescent="0.25">
      <c r="A1492" s="1">
        <v>43360</v>
      </c>
      <c r="B1492">
        <v>9.8889999999999993</v>
      </c>
      <c r="C1492">
        <v>214.5</v>
      </c>
      <c r="D1492">
        <v>3.5139999999999998</v>
      </c>
      <c r="E1492">
        <v>12.2</v>
      </c>
      <c r="F1492">
        <v>5.7750000000000004</v>
      </c>
      <c r="G1492">
        <v>1.984</v>
      </c>
      <c r="H1492">
        <v>1.7190000000000001</v>
      </c>
      <c r="I1492">
        <v>37.360999999999997</v>
      </c>
      <c r="J1492">
        <v>24.56</v>
      </c>
      <c r="K1492">
        <v>10.624000000000001</v>
      </c>
      <c r="L1492">
        <v>1.339</v>
      </c>
      <c r="M1492">
        <v>3.3290000000000002</v>
      </c>
      <c r="N1492">
        <v>0.158</v>
      </c>
      <c r="O1492">
        <v>2.2650000000000001</v>
      </c>
      <c r="P1492">
        <v>0.72</v>
      </c>
    </row>
    <row r="1493" spans="1:16" x14ac:dyDescent="0.25">
      <c r="A1493" s="1">
        <v>43361</v>
      </c>
      <c r="B1493">
        <v>9.8800000000000008</v>
      </c>
      <c r="C1493">
        <v>216.6</v>
      </c>
      <c r="D1493">
        <v>3.5139999999999998</v>
      </c>
      <c r="E1493">
        <v>12.25</v>
      </c>
      <c r="F1493">
        <v>5.9</v>
      </c>
      <c r="G1493">
        <v>2.0289999999999999</v>
      </c>
      <c r="H1493">
        <v>1.7190000000000001</v>
      </c>
      <c r="I1493">
        <v>37.601999999999997</v>
      </c>
      <c r="J1493">
        <v>24.56</v>
      </c>
      <c r="K1493">
        <v>10.624000000000001</v>
      </c>
      <c r="L1493">
        <v>1.387</v>
      </c>
      <c r="M1493">
        <v>3.3370000000000002</v>
      </c>
      <c r="N1493">
        <v>0.154</v>
      </c>
      <c r="O1493">
        <v>2.3719999999999999</v>
      </c>
      <c r="P1493">
        <v>0.74</v>
      </c>
    </row>
    <row r="1494" spans="1:16" x14ac:dyDescent="0.25">
      <c r="A1494" s="1">
        <v>43362</v>
      </c>
      <c r="B1494">
        <v>9.9280000000000008</v>
      </c>
      <c r="C1494">
        <v>220.45</v>
      </c>
      <c r="D1494">
        <v>3.5139999999999998</v>
      </c>
      <c r="E1494">
        <v>13.04</v>
      </c>
      <c r="F1494">
        <v>5.9</v>
      </c>
      <c r="G1494">
        <v>2.1110000000000002</v>
      </c>
      <c r="H1494">
        <v>1.748</v>
      </c>
      <c r="I1494">
        <v>37.659999999999997</v>
      </c>
      <c r="J1494">
        <v>24.754000000000001</v>
      </c>
      <c r="K1494">
        <v>10.624000000000001</v>
      </c>
      <c r="L1494">
        <v>1.387</v>
      </c>
      <c r="M1494">
        <v>3.3370000000000002</v>
      </c>
      <c r="N1494">
        <v>0.154</v>
      </c>
      <c r="O1494">
        <v>2.3719999999999999</v>
      </c>
      <c r="P1494">
        <v>0.77</v>
      </c>
    </row>
    <row r="1495" spans="1:16" x14ac:dyDescent="0.25">
      <c r="A1495" s="1">
        <v>43363</v>
      </c>
      <c r="B1495">
        <v>9.8800000000000008</v>
      </c>
      <c r="C1495">
        <v>226.4</v>
      </c>
      <c r="D1495">
        <v>3.5579999999999998</v>
      </c>
      <c r="E1495">
        <v>13.42</v>
      </c>
      <c r="F1495">
        <v>6.0609999999999999</v>
      </c>
      <c r="G1495">
        <v>2.129</v>
      </c>
      <c r="H1495">
        <v>1.778</v>
      </c>
      <c r="I1495">
        <v>37.843000000000004</v>
      </c>
      <c r="J1495">
        <v>24.997</v>
      </c>
      <c r="K1495">
        <v>10.754</v>
      </c>
      <c r="L1495">
        <v>1.4350000000000001</v>
      </c>
      <c r="M1495">
        <v>3.4769999999999999</v>
      </c>
      <c r="N1495">
        <v>0.15</v>
      </c>
      <c r="O1495">
        <v>2.3130000000000002</v>
      </c>
      <c r="P1495">
        <v>0.76</v>
      </c>
    </row>
    <row r="1496" spans="1:16" x14ac:dyDescent="0.25">
      <c r="A1496" s="1">
        <v>43364</v>
      </c>
      <c r="B1496">
        <v>9.9870000000000001</v>
      </c>
      <c r="C1496">
        <v>226.7</v>
      </c>
      <c r="D1496">
        <v>3.5579999999999998</v>
      </c>
      <c r="E1496">
        <v>13.38</v>
      </c>
      <c r="F1496">
        <v>6.1059999999999999</v>
      </c>
      <c r="G1496">
        <v>2.2200000000000002</v>
      </c>
      <c r="H1496">
        <v>1.669</v>
      </c>
      <c r="I1496">
        <v>37.843000000000004</v>
      </c>
      <c r="J1496">
        <v>25.385000000000002</v>
      </c>
      <c r="K1496">
        <v>10.763</v>
      </c>
      <c r="L1496">
        <v>1.4350000000000001</v>
      </c>
      <c r="M1496">
        <v>3.4769999999999999</v>
      </c>
      <c r="N1496">
        <v>0.16200000000000001</v>
      </c>
      <c r="O1496">
        <v>2.3130000000000002</v>
      </c>
      <c r="P1496">
        <v>0.78</v>
      </c>
    </row>
    <row r="1497" spans="1:16" x14ac:dyDescent="0.25">
      <c r="A1497" s="1">
        <v>43367</v>
      </c>
      <c r="B1497">
        <v>10.036</v>
      </c>
      <c r="C1497">
        <v>224.5</v>
      </c>
      <c r="D1497">
        <v>3.5139999999999998</v>
      </c>
      <c r="E1497">
        <v>13.45</v>
      </c>
      <c r="F1497">
        <v>6.1779999999999999</v>
      </c>
      <c r="G1497">
        <v>2.1829999999999998</v>
      </c>
      <c r="H1497">
        <v>1.669</v>
      </c>
      <c r="I1497">
        <v>37.843000000000004</v>
      </c>
      <c r="J1497">
        <v>25.385000000000002</v>
      </c>
      <c r="K1497">
        <v>10.763</v>
      </c>
      <c r="L1497">
        <v>1.4350000000000001</v>
      </c>
      <c r="M1497">
        <v>3.4950000000000001</v>
      </c>
      <c r="N1497">
        <v>0.159</v>
      </c>
      <c r="O1497">
        <v>2.3130000000000002</v>
      </c>
      <c r="P1497">
        <v>0.77</v>
      </c>
    </row>
    <row r="1498" spans="1:16" x14ac:dyDescent="0.25">
      <c r="A1498" s="1">
        <v>43368</v>
      </c>
      <c r="B1498">
        <v>10.183</v>
      </c>
      <c r="C1498">
        <v>226.94</v>
      </c>
      <c r="D1498">
        <v>3.488</v>
      </c>
      <c r="E1498">
        <v>13.46</v>
      </c>
      <c r="F1498">
        <v>6.3650000000000002</v>
      </c>
      <c r="G1498">
        <v>2.1739999999999999</v>
      </c>
      <c r="H1498">
        <v>1.669</v>
      </c>
      <c r="I1498">
        <v>37.698999999999998</v>
      </c>
      <c r="J1498">
        <v>25.337</v>
      </c>
      <c r="K1498">
        <v>10.763</v>
      </c>
      <c r="L1498">
        <v>1.4350000000000001</v>
      </c>
      <c r="M1498">
        <v>3.4510000000000001</v>
      </c>
      <c r="N1498">
        <v>0.158</v>
      </c>
      <c r="O1498">
        <v>2.2360000000000002</v>
      </c>
      <c r="P1498">
        <v>0.74</v>
      </c>
    </row>
    <row r="1499" spans="1:16" x14ac:dyDescent="0.25">
      <c r="A1499" s="1">
        <v>43369</v>
      </c>
      <c r="B1499">
        <v>10.222</v>
      </c>
      <c r="C1499">
        <v>226.6</v>
      </c>
      <c r="D1499">
        <v>3.488</v>
      </c>
      <c r="E1499">
        <v>13.46</v>
      </c>
      <c r="F1499">
        <v>6.41</v>
      </c>
      <c r="G1499">
        <v>2.1469999999999998</v>
      </c>
      <c r="H1499">
        <v>1.7390000000000001</v>
      </c>
      <c r="I1499">
        <v>37.843000000000004</v>
      </c>
      <c r="J1499">
        <v>25.337</v>
      </c>
      <c r="K1499">
        <v>10.791</v>
      </c>
      <c r="L1499">
        <v>1.4350000000000001</v>
      </c>
      <c r="M1499">
        <v>3.4510000000000001</v>
      </c>
      <c r="N1499">
        <v>0.158</v>
      </c>
      <c r="O1499">
        <v>2.2360000000000002</v>
      </c>
      <c r="P1499">
        <v>0.74</v>
      </c>
    </row>
    <row r="1500" spans="1:16" x14ac:dyDescent="0.25">
      <c r="A1500" s="1">
        <v>43370</v>
      </c>
      <c r="B1500">
        <v>10.271000000000001</v>
      </c>
      <c r="C1500">
        <v>227</v>
      </c>
      <c r="D1500">
        <v>3.496</v>
      </c>
      <c r="E1500">
        <v>13.3</v>
      </c>
      <c r="F1500">
        <v>6.3920000000000003</v>
      </c>
      <c r="G1500">
        <v>2.1110000000000002</v>
      </c>
      <c r="H1500">
        <v>1.8080000000000001</v>
      </c>
      <c r="I1500">
        <v>38.034999999999997</v>
      </c>
      <c r="J1500">
        <v>25.337</v>
      </c>
      <c r="K1500">
        <v>10.791</v>
      </c>
      <c r="L1500">
        <v>1.387</v>
      </c>
      <c r="M1500">
        <v>3.4510000000000001</v>
      </c>
      <c r="N1500">
        <v>0.151</v>
      </c>
      <c r="O1500">
        <v>2.2360000000000002</v>
      </c>
      <c r="P1500">
        <v>0.74</v>
      </c>
    </row>
    <row r="1501" spans="1:16" x14ac:dyDescent="0.25">
      <c r="A1501" s="1">
        <v>43371</v>
      </c>
      <c r="B1501">
        <v>10.32</v>
      </c>
      <c r="C1501">
        <v>223</v>
      </c>
      <c r="D1501">
        <v>3.496</v>
      </c>
      <c r="E1501">
        <v>13.3</v>
      </c>
      <c r="F1501">
        <v>6.4809999999999999</v>
      </c>
      <c r="G1501">
        <v>2.129</v>
      </c>
      <c r="H1501">
        <v>1.8080000000000001</v>
      </c>
      <c r="I1501">
        <v>38.517000000000003</v>
      </c>
      <c r="J1501">
        <v>25.337</v>
      </c>
      <c r="K1501">
        <v>10.948</v>
      </c>
      <c r="L1501">
        <v>1.387</v>
      </c>
      <c r="M1501">
        <v>3.399</v>
      </c>
      <c r="N1501">
        <v>0.155</v>
      </c>
      <c r="O1501">
        <v>2.2360000000000002</v>
      </c>
      <c r="P1501">
        <v>0.77</v>
      </c>
    </row>
    <row r="1502" spans="1:16" x14ac:dyDescent="0.25">
      <c r="A1502" s="1">
        <v>43374</v>
      </c>
      <c r="B1502">
        <v>10.32</v>
      </c>
      <c r="C1502">
        <v>226.51</v>
      </c>
      <c r="D1502">
        <v>3.496</v>
      </c>
      <c r="E1502">
        <v>13.44</v>
      </c>
      <c r="F1502">
        <v>6.4809999999999999</v>
      </c>
      <c r="G1502">
        <v>2.1469999999999998</v>
      </c>
      <c r="H1502">
        <v>1.8080000000000001</v>
      </c>
      <c r="I1502">
        <v>38.517000000000003</v>
      </c>
      <c r="J1502">
        <v>25.337</v>
      </c>
      <c r="K1502">
        <v>10.939</v>
      </c>
      <c r="L1502">
        <v>1.387</v>
      </c>
      <c r="M1502">
        <v>3.4329999999999998</v>
      </c>
      <c r="N1502">
        <v>0.16</v>
      </c>
      <c r="O1502">
        <v>2.1190000000000002</v>
      </c>
      <c r="P1502">
        <v>0.75</v>
      </c>
    </row>
    <row r="1503" spans="1:16" x14ac:dyDescent="0.25">
      <c r="A1503" s="1">
        <v>43375</v>
      </c>
      <c r="B1503">
        <v>10.369</v>
      </c>
      <c r="C1503">
        <v>226.25</v>
      </c>
      <c r="D1503">
        <v>3.5049999999999999</v>
      </c>
      <c r="E1503">
        <v>13.49</v>
      </c>
      <c r="F1503">
        <v>6.5439999999999996</v>
      </c>
      <c r="G1503">
        <v>2.1469999999999998</v>
      </c>
      <c r="H1503">
        <v>1.907</v>
      </c>
      <c r="I1503">
        <v>38.517000000000003</v>
      </c>
      <c r="J1503">
        <v>25.337</v>
      </c>
      <c r="K1503">
        <v>11.086</v>
      </c>
      <c r="L1503">
        <v>1.387</v>
      </c>
      <c r="M1503">
        <v>3.4510000000000001</v>
      </c>
      <c r="N1503">
        <v>0.16300000000000001</v>
      </c>
      <c r="O1503">
        <v>2.2360000000000002</v>
      </c>
      <c r="P1503">
        <v>0.75</v>
      </c>
    </row>
    <row r="1504" spans="1:16" x14ac:dyDescent="0.25">
      <c r="A1504" s="1">
        <v>43376</v>
      </c>
      <c r="B1504">
        <v>10.32</v>
      </c>
      <c r="C1504">
        <v>227.2</v>
      </c>
      <c r="D1504">
        <v>3.496</v>
      </c>
      <c r="E1504">
        <v>13.62</v>
      </c>
      <c r="F1504">
        <v>6.633</v>
      </c>
      <c r="G1504">
        <v>2.129</v>
      </c>
      <c r="H1504">
        <v>2.0249999999999999</v>
      </c>
      <c r="I1504">
        <v>38.517000000000003</v>
      </c>
      <c r="J1504">
        <v>25.628</v>
      </c>
      <c r="K1504">
        <v>11.068</v>
      </c>
      <c r="L1504">
        <v>1.387</v>
      </c>
      <c r="M1504">
        <v>3.4950000000000001</v>
      </c>
      <c r="N1504">
        <v>0.16</v>
      </c>
      <c r="O1504">
        <v>2.2549999999999999</v>
      </c>
      <c r="P1504">
        <v>0.77</v>
      </c>
    </row>
    <row r="1505" spans="1:16" x14ac:dyDescent="0.25">
      <c r="A1505" s="1">
        <v>43377</v>
      </c>
      <c r="B1505">
        <v>10.271000000000001</v>
      </c>
      <c r="C1505">
        <v>222.8</v>
      </c>
      <c r="D1505">
        <v>3.496</v>
      </c>
      <c r="E1505">
        <v>13.35</v>
      </c>
      <c r="F1505">
        <v>6.6150000000000002</v>
      </c>
      <c r="G1505">
        <v>2.129</v>
      </c>
      <c r="H1505">
        <v>1.877</v>
      </c>
      <c r="I1505">
        <v>38.420999999999999</v>
      </c>
      <c r="J1505">
        <v>25.337</v>
      </c>
      <c r="K1505">
        <v>10.901999999999999</v>
      </c>
      <c r="L1505">
        <v>1.387</v>
      </c>
      <c r="M1505">
        <v>3.4950000000000001</v>
      </c>
      <c r="N1505">
        <v>0.16600000000000001</v>
      </c>
      <c r="O1505">
        <v>2.2160000000000002</v>
      </c>
      <c r="P1505">
        <v>0.77</v>
      </c>
    </row>
    <row r="1506" spans="1:16" x14ac:dyDescent="0.25">
      <c r="A1506" s="1">
        <v>43378</v>
      </c>
      <c r="B1506">
        <v>10.173</v>
      </c>
      <c r="C1506">
        <v>221</v>
      </c>
      <c r="D1506">
        <v>3.496</v>
      </c>
      <c r="E1506">
        <v>13.23</v>
      </c>
      <c r="F1506">
        <v>6.5979999999999999</v>
      </c>
      <c r="G1506">
        <v>2.1110000000000002</v>
      </c>
      <c r="H1506">
        <v>1.827</v>
      </c>
      <c r="I1506">
        <v>38.18</v>
      </c>
      <c r="J1506">
        <v>25.337</v>
      </c>
      <c r="K1506">
        <v>10.763</v>
      </c>
      <c r="L1506">
        <v>1.387</v>
      </c>
      <c r="M1506">
        <v>3.4510000000000001</v>
      </c>
      <c r="N1506">
        <v>0.161</v>
      </c>
      <c r="O1506">
        <v>2.129</v>
      </c>
      <c r="P1506">
        <v>0.75</v>
      </c>
    </row>
    <row r="1507" spans="1:16" x14ac:dyDescent="0.25">
      <c r="A1507" s="1">
        <v>43382</v>
      </c>
      <c r="B1507">
        <v>10.124000000000001</v>
      </c>
      <c r="C1507">
        <v>222.52</v>
      </c>
      <c r="D1507">
        <v>3.4529999999999998</v>
      </c>
      <c r="E1507">
        <v>13.11</v>
      </c>
      <c r="F1507">
        <v>6.5890000000000004</v>
      </c>
      <c r="G1507">
        <v>2.1110000000000002</v>
      </c>
      <c r="H1507">
        <v>1.827</v>
      </c>
      <c r="I1507">
        <v>38.18</v>
      </c>
      <c r="J1507">
        <v>25.434000000000001</v>
      </c>
      <c r="K1507">
        <v>10.763</v>
      </c>
      <c r="L1507">
        <v>1.4059999999999999</v>
      </c>
      <c r="M1507">
        <v>3.3639999999999999</v>
      </c>
      <c r="N1507">
        <v>0.16300000000000001</v>
      </c>
      <c r="O1507">
        <v>2.09</v>
      </c>
      <c r="P1507">
        <v>0.76</v>
      </c>
    </row>
    <row r="1508" spans="1:16" x14ac:dyDescent="0.25">
      <c r="A1508" s="1">
        <v>43383</v>
      </c>
      <c r="B1508">
        <v>10.026</v>
      </c>
      <c r="C1508">
        <v>219.5</v>
      </c>
      <c r="D1508">
        <v>3.47</v>
      </c>
      <c r="E1508">
        <v>13.2</v>
      </c>
      <c r="F1508">
        <v>6.58</v>
      </c>
      <c r="G1508">
        <v>2.1110000000000002</v>
      </c>
      <c r="H1508">
        <v>1.748</v>
      </c>
      <c r="I1508">
        <v>38.18</v>
      </c>
      <c r="J1508">
        <v>25.239000000000001</v>
      </c>
      <c r="K1508">
        <v>10.957000000000001</v>
      </c>
      <c r="L1508">
        <v>1.3680000000000001</v>
      </c>
      <c r="M1508">
        <v>3.2759999999999998</v>
      </c>
      <c r="N1508">
        <v>0.157</v>
      </c>
      <c r="O1508">
        <v>2.129</v>
      </c>
      <c r="P1508">
        <v>0.7</v>
      </c>
    </row>
    <row r="1509" spans="1:16" x14ac:dyDescent="0.25">
      <c r="A1509" s="1">
        <v>43384</v>
      </c>
      <c r="B1509">
        <v>9.8800000000000008</v>
      </c>
      <c r="C1509">
        <v>214.35</v>
      </c>
      <c r="D1509">
        <v>3.47</v>
      </c>
      <c r="E1509">
        <v>14</v>
      </c>
      <c r="F1509">
        <v>6.5890000000000004</v>
      </c>
      <c r="G1509">
        <v>2.093</v>
      </c>
      <c r="H1509">
        <v>1.867</v>
      </c>
      <c r="I1509">
        <v>37.168999999999997</v>
      </c>
      <c r="J1509">
        <v>24.754000000000001</v>
      </c>
      <c r="K1509">
        <v>11.04</v>
      </c>
      <c r="L1509">
        <v>1.3680000000000001</v>
      </c>
      <c r="M1509">
        <v>3.2759999999999998</v>
      </c>
      <c r="N1509">
        <v>0.157</v>
      </c>
      <c r="O1509">
        <v>2.109</v>
      </c>
      <c r="P1509">
        <v>0.72</v>
      </c>
    </row>
    <row r="1510" spans="1:16" x14ac:dyDescent="0.25">
      <c r="A1510" s="1">
        <v>43385</v>
      </c>
      <c r="B1510">
        <v>9.8309999999999995</v>
      </c>
      <c r="C1510">
        <v>216</v>
      </c>
      <c r="D1510">
        <v>3.47</v>
      </c>
      <c r="E1510">
        <v>13.77</v>
      </c>
      <c r="F1510">
        <v>6.5529999999999999</v>
      </c>
      <c r="G1510">
        <v>2.0840000000000001</v>
      </c>
      <c r="H1510">
        <v>1.867</v>
      </c>
      <c r="I1510">
        <v>37.747</v>
      </c>
      <c r="J1510">
        <v>24.754000000000001</v>
      </c>
      <c r="K1510">
        <v>11.04</v>
      </c>
      <c r="L1510">
        <v>1.339</v>
      </c>
      <c r="M1510">
        <v>3.206</v>
      </c>
      <c r="N1510">
        <v>0.16</v>
      </c>
      <c r="O1510">
        <v>2.1480000000000001</v>
      </c>
      <c r="P1510">
        <v>0.71</v>
      </c>
    </row>
    <row r="1511" spans="1:16" x14ac:dyDescent="0.25">
      <c r="A1511" s="1">
        <v>43388</v>
      </c>
      <c r="B1511">
        <v>9.8309999999999995</v>
      </c>
      <c r="C1511">
        <v>218.47</v>
      </c>
      <c r="D1511">
        <v>3.496</v>
      </c>
      <c r="E1511">
        <v>14.33</v>
      </c>
      <c r="F1511">
        <v>6.5529999999999999</v>
      </c>
      <c r="G1511">
        <v>2.0840000000000001</v>
      </c>
      <c r="H1511">
        <v>1.837</v>
      </c>
      <c r="I1511">
        <v>37.177999999999997</v>
      </c>
      <c r="J1511">
        <v>24.754000000000001</v>
      </c>
      <c r="K1511">
        <v>10.726000000000001</v>
      </c>
      <c r="L1511">
        <v>1.339</v>
      </c>
      <c r="M1511">
        <v>3.206</v>
      </c>
      <c r="N1511">
        <v>0.154</v>
      </c>
      <c r="O1511">
        <v>2.1480000000000001</v>
      </c>
      <c r="P1511">
        <v>0.7</v>
      </c>
    </row>
    <row r="1512" spans="1:16" x14ac:dyDescent="0.25">
      <c r="A1512" s="1">
        <v>43389</v>
      </c>
      <c r="B1512">
        <v>9.8309999999999995</v>
      </c>
      <c r="C1512">
        <v>224</v>
      </c>
      <c r="D1512">
        <v>3.496</v>
      </c>
      <c r="E1512">
        <v>14.15</v>
      </c>
      <c r="F1512">
        <v>6.4989999999999997</v>
      </c>
      <c r="G1512">
        <v>2.02</v>
      </c>
      <c r="H1512">
        <v>1.8080000000000001</v>
      </c>
      <c r="I1512">
        <v>38.131999999999998</v>
      </c>
      <c r="J1512">
        <v>24.948</v>
      </c>
      <c r="K1512">
        <v>11.04</v>
      </c>
      <c r="L1512">
        <v>1.31</v>
      </c>
      <c r="M1512">
        <v>3.206</v>
      </c>
      <c r="N1512">
        <v>0.154</v>
      </c>
      <c r="O1512">
        <v>2.1480000000000001</v>
      </c>
      <c r="P1512">
        <v>0.68</v>
      </c>
    </row>
    <row r="1513" spans="1:16" x14ac:dyDescent="0.25">
      <c r="A1513" s="1">
        <v>43390</v>
      </c>
      <c r="B1513">
        <v>9.782</v>
      </c>
      <c r="C1513">
        <v>223.15</v>
      </c>
      <c r="D1513">
        <v>3.496</v>
      </c>
      <c r="E1513">
        <v>14.02</v>
      </c>
      <c r="F1513">
        <v>6.4989999999999997</v>
      </c>
      <c r="G1513">
        <v>1.9930000000000001</v>
      </c>
      <c r="H1513">
        <v>1.798</v>
      </c>
      <c r="I1513">
        <v>38.131999999999998</v>
      </c>
      <c r="J1513">
        <v>24.948</v>
      </c>
      <c r="K1513">
        <v>10.726000000000001</v>
      </c>
      <c r="L1513">
        <v>1.32</v>
      </c>
      <c r="M1513">
        <v>3.206</v>
      </c>
      <c r="N1513">
        <v>0.15</v>
      </c>
      <c r="O1513">
        <v>2.0510000000000002</v>
      </c>
      <c r="P1513">
        <v>0.67</v>
      </c>
    </row>
    <row r="1514" spans="1:16" x14ac:dyDescent="0.25">
      <c r="A1514" s="1">
        <v>43391</v>
      </c>
      <c r="B1514">
        <v>9.7330000000000005</v>
      </c>
      <c r="C1514">
        <v>219.27</v>
      </c>
      <c r="D1514">
        <v>3.496</v>
      </c>
      <c r="E1514">
        <v>14.2</v>
      </c>
      <c r="F1514">
        <v>6.3289999999999997</v>
      </c>
      <c r="G1514">
        <v>1.9750000000000001</v>
      </c>
      <c r="H1514">
        <v>1.9259999999999999</v>
      </c>
      <c r="I1514">
        <v>38.131999999999998</v>
      </c>
      <c r="J1514">
        <v>24.948</v>
      </c>
      <c r="K1514">
        <v>10.532</v>
      </c>
      <c r="L1514">
        <v>1.32</v>
      </c>
      <c r="M1514">
        <v>3.145</v>
      </c>
      <c r="N1514">
        <v>0.14499999999999999</v>
      </c>
      <c r="O1514">
        <v>2.0510000000000002</v>
      </c>
      <c r="P1514">
        <v>0.63</v>
      </c>
    </row>
    <row r="1515" spans="1:16" x14ac:dyDescent="0.25">
      <c r="A1515" s="1">
        <v>43392</v>
      </c>
      <c r="B1515">
        <v>9.8010000000000002</v>
      </c>
      <c r="C1515">
        <v>220.5</v>
      </c>
      <c r="D1515">
        <v>3.5049999999999999</v>
      </c>
      <c r="E1515">
        <v>14.13</v>
      </c>
      <c r="F1515">
        <v>6.1680000000000001</v>
      </c>
      <c r="G1515">
        <v>1.9750000000000001</v>
      </c>
      <c r="H1515">
        <v>1.976</v>
      </c>
      <c r="I1515">
        <v>37.987000000000002</v>
      </c>
      <c r="J1515">
        <v>24.850999999999999</v>
      </c>
      <c r="K1515">
        <v>10.532</v>
      </c>
      <c r="L1515">
        <v>1.32</v>
      </c>
      <c r="M1515">
        <v>3.11</v>
      </c>
      <c r="N1515">
        <v>0.14299999999999999</v>
      </c>
      <c r="O1515">
        <v>2.1869999999999998</v>
      </c>
      <c r="P1515">
        <v>0.65</v>
      </c>
    </row>
    <row r="1516" spans="1:16" x14ac:dyDescent="0.25">
      <c r="A1516" s="1">
        <v>43395</v>
      </c>
      <c r="B1516">
        <v>9.7330000000000005</v>
      </c>
      <c r="C1516">
        <v>218.06</v>
      </c>
      <c r="D1516">
        <v>3.5489999999999999</v>
      </c>
      <c r="E1516">
        <v>14.15</v>
      </c>
      <c r="F1516">
        <v>6.1239999999999997</v>
      </c>
      <c r="G1516">
        <v>1.9750000000000001</v>
      </c>
      <c r="H1516">
        <v>2.0150000000000001</v>
      </c>
      <c r="I1516">
        <v>37.457999999999998</v>
      </c>
      <c r="J1516">
        <v>24.754000000000001</v>
      </c>
      <c r="K1516">
        <v>10.44</v>
      </c>
      <c r="L1516">
        <v>1.3009999999999999</v>
      </c>
      <c r="M1516">
        <v>3.11</v>
      </c>
      <c r="N1516">
        <v>0.14199999999999999</v>
      </c>
      <c r="O1516">
        <v>2.1480000000000001</v>
      </c>
      <c r="P1516">
        <v>0.63</v>
      </c>
    </row>
    <row r="1517" spans="1:16" x14ac:dyDescent="0.25">
      <c r="A1517" s="1">
        <v>43396</v>
      </c>
      <c r="B1517">
        <v>9.7330000000000005</v>
      </c>
      <c r="C1517">
        <v>216.05</v>
      </c>
      <c r="D1517">
        <v>3.5579999999999998</v>
      </c>
      <c r="E1517">
        <v>14.3</v>
      </c>
      <c r="F1517">
        <v>6.0339999999999998</v>
      </c>
      <c r="G1517">
        <v>1.921</v>
      </c>
      <c r="H1517">
        <v>2.0150000000000001</v>
      </c>
      <c r="I1517">
        <v>37.073</v>
      </c>
      <c r="J1517">
        <v>24.850999999999999</v>
      </c>
      <c r="K1517">
        <v>10.44</v>
      </c>
      <c r="L1517">
        <v>1.282</v>
      </c>
      <c r="M1517">
        <v>3.1019999999999999</v>
      </c>
      <c r="N1517">
        <v>0.13600000000000001</v>
      </c>
      <c r="O1517">
        <v>2.1</v>
      </c>
      <c r="P1517">
        <v>0.57999999999999996</v>
      </c>
    </row>
    <row r="1518" spans="1:16" x14ac:dyDescent="0.25">
      <c r="A1518" s="1">
        <v>43397</v>
      </c>
      <c r="B1518">
        <v>9.7430000000000003</v>
      </c>
      <c r="C1518">
        <v>214.85</v>
      </c>
      <c r="D1518">
        <v>3.5750000000000002</v>
      </c>
      <c r="E1518">
        <v>14.25</v>
      </c>
      <c r="F1518">
        <v>5.99</v>
      </c>
      <c r="G1518">
        <v>1.921</v>
      </c>
      <c r="H1518">
        <v>2.0640000000000001</v>
      </c>
      <c r="I1518">
        <v>36.398000000000003</v>
      </c>
      <c r="J1518">
        <v>24.850999999999999</v>
      </c>
      <c r="K1518">
        <v>10.44</v>
      </c>
      <c r="L1518">
        <v>1.244</v>
      </c>
      <c r="M1518">
        <v>3.1019999999999999</v>
      </c>
      <c r="N1518">
        <v>0.13500000000000001</v>
      </c>
      <c r="O1518">
        <v>2.09</v>
      </c>
      <c r="P1518">
        <v>0.61</v>
      </c>
    </row>
    <row r="1519" spans="1:16" x14ac:dyDescent="0.25">
      <c r="A1519" s="1">
        <v>43398</v>
      </c>
      <c r="B1519">
        <v>9.7430000000000003</v>
      </c>
      <c r="C1519">
        <v>215.18</v>
      </c>
      <c r="D1519">
        <v>3.5139999999999998</v>
      </c>
      <c r="E1519">
        <v>14.19</v>
      </c>
      <c r="F1519">
        <v>6.0339999999999998</v>
      </c>
      <c r="G1519">
        <v>1.9019999999999999</v>
      </c>
      <c r="H1519">
        <v>2.0249999999999999</v>
      </c>
      <c r="I1519">
        <v>36.398000000000003</v>
      </c>
      <c r="J1519">
        <v>24.366</v>
      </c>
      <c r="K1519">
        <v>10.44</v>
      </c>
      <c r="L1519">
        <v>1.224</v>
      </c>
      <c r="M1519">
        <v>3.145</v>
      </c>
      <c r="N1519">
        <v>0.13500000000000001</v>
      </c>
      <c r="O1519">
        <v>2.09</v>
      </c>
      <c r="P1519">
        <v>0.62</v>
      </c>
    </row>
    <row r="1520" spans="1:16" x14ac:dyDescent="0.25">
      <c r="A1520" s="1">
        <v>43399</v>
      </c>
      <c r="B1520">
        <v>9.6839999999999993</v>
      </c>
      <c r="C1520">
        <v>214.7</v>
      </c>
      <c r="D1520">
        <v>3.5049999999999999</v>
      </c>
      <c r="E1520">
        <v>13.84</v>
      </c>
      <c r="F1520">
        <v>5.99</v>
      </c>
      <c r="G1520">
        <v>1.857</v>
      </c>
      <c r="H1520">
        <v>2.0739999999999998</v>
      </c>
      <c r="I1520">
        <v>35.917000000000002</v>
      </c>
      <c r="J1520">
        <v>24.268999999999998</v>
      </c>
      <c r="K1520">
        <v>10.458</v>
      </c>
      <c r="L1520">
        <v>1.224</v>
      </c>
      <c r="M1520">
        <v>3.206</v>
      </c>
      <c r="N1520">
        <v>0.13500000000000001</v>
      </c>
      <c r="O1520">
        <v>2.0609999999999999</v>
      </c>
      <c r="P1520">
        <v>0.62</v>
      </c>
    </row>
    <row r="1521" spans="1:16" x14ac:dyDescent="0.25">
      <c r="A1521" s="1">
        <v>43402</v>
      </c>
      <c r="B1521">
        <v>9.6349999999999998</v>
      </c>
      <c r="C1521">
        <v>214.5</v>
      </c>
      <c r="D1521">
        <v>3.5049999999999999</v>
      </c>
      <c r="E1521">
        <v>14</v>
      </c>
      <c r="F1521">
        <v>5.99</v>
      </c>
      <c r="G1521">
        <v>1.875</v>
      </c>
      <c r="H1521">
        <v>2.0739999999999998</v>
      </c>
      <c r="I1521">
        <v>35.917000000000002</v>
      </c>
      <c r="J1521">
        <v>24.997</v>
      </c>
      <c r="K1521">
        <v>10.458</v>
      </c>
      <c r="L1521">
        <v>1.224</v>
      </c>
      <c r="M1521">
        <v>3.206</v>
      </c>
      <c r="N1521">
        <v>0.13700000000000001</v>
      </c>
      <c r="O1521">
        <v>2.0510000000000002</v>
      </c>
      <c r="P1521">
        <v>0.62</v>
      </c>
    </row>
    <row r="1522" spans="1:16" x14ac:dyDescent="0.25">
      <c r="A1522" s="1">
        <v>43403</v>
      </c>
      <c r="B1522">
        <v>9.6349999999999998</v>
      </c>
      <c r="C1522">
        <v>219</v>
      </c>
      <c r="D1522">
        <v>3.496</v>
      </c>
      <c r="E1522">
        <v>13.9</v>
      </c>
      <c r="F1522">
        <v>6.0789999999999997</v>
      </c>
      <c r="G1522">
        <v>1.875</v>
      </c>
      <c r="H1522">
        <v>2.0739999999999998</v>
      </c>
      <c r="I1522">
        <v>35.917000000000002</v>
      </c>
      <c r="J1522">
        <v>24.948</v>
      </c>
      <c r="K1522">
        <v>10.458</v>
      </c>
      <c r="L1522">
        <v>1.234</v>
      </c>
      <c r="M1522">
        <v>3.1539999999999999</v>
      </c>
      <c r="N1522">
        <v>0.13500000000000001</v>
      </c>
      <c r="O1522">
        <v>2.0510000000000002</v>
      </c>
      <c r="P1522">
        <v>0.6</v>
      </c>
    </row>
    <row r="1523" spans="1:16" x14ac:dyDescent="0.25">
      <c r="A1523" s="1">
        <v>43404</v>
      </c>
      <c r="B1523">
        <v>9.5370000000000008</v>
      </c>
      <c r="C1523">
        <v>225</v>
      </c>
      <c r="D1523">
        <v>3.4790000000000001</v>
      </c>
      <c r="E1523">
        <v>13.9</v>
      </c>
      <c r="F1523">
        <v>6.1239999999999997</v>
      </c>
      <c r="G1523">
        <v>1.911</v>
      </c>
      <c r="H1523">
        <v>2.0739999999999998</v>
      </c>
      <c r="I1523">
        <v>35.917000000000002</v>
      </c>
      <c r="J1523">
        <v>25.045000000000002</v>
      </c>
      <c r="K1523">
        <v>10.458</v>
      </c>
      <c r="L1523">
        <v>1.2909999999999999</v>
      </c>
      <c r="M1523">
        <v>3.1539999999999999</v>
      </c>
      <c r="N1523">
        <v>0.13500000000000001</v>
      </c>
      <c r="O1523">
        <v>2.0510000000000002</v>
      </c>
      <c r="P1523">
        <v>0.62</v>
      </c>
    </row>
    <row r="1524" spans="1:16" x14ac:dyDescent="0.25">
      <c r="A1524" s="1">
        <v>43406</v>
      </c>
      <c r="B1524">
        <v>9.5570000000000004</v>
      </c>
      <c r="C1524">
        <v>228.77</v>
      </c>
      <c r="D1524">
        <v>3.496</v>
      </c>
      <c r="E1524">
        <v>14.15</v>
      </c>
      <c r="F1524">
        <v>6.1239999999999997</v>
      </c>
      <c r="G1524">
        <v>2.056</v>
      </c>
      <c r="H1524">
        <v>2.0449999999999999</v>
      </c>
      <c r="I1524">
        <v>35.917000000000002</v>
      </c>
      <c r="J1524">
        <v>24.850999999999999</v>
      </c>
      <c r="K1524">
        <v>10.458</v>
      </c>
      <c r="L1524">
        <v>1.272</v>
      </c>
      <c r="M1524">
        <v>3.1539999999999999</v>
      </c>
      <c r="N1524">
        <v>0.123</v>
      </c>
      <c r="O1524">
        <v>2.0409999999999999</v>
      </c>
      <c r="P1524">
        <v>0.61</v>
      </c>
    </row>
    <row r="1525" spans="1:16" x14ac:dyDescent="0.25">
      <c r="A1525" s="1">
        <v>43409</v>
      </c>
      <c r="B1525">
        <v>9.7330000000000005</v>
      </c>
      <c r="C1525">
        <v>229.05</v>
      </c>
      <c r="D1525">
        <v>3.47</v>
      </c>
      <c r="E1525">
        <v>14.15</v>
      </c>
      <c r="F1525">
        <v>6.3920000000000003</v>
      </c>
      <c r="G1525">
        <v>2.1019999999999999</v>
      </c>
      <c r="H1525">
        <v>2.0449999999999999</v>
      </c>
      <c r="I1525">
        <v>35.628</v>
      </c>
      <c r="J1525">
        <v>24.850999999999999</v>
      </c>
      <c r="K1525">
        <v>10.44</v>
      </c>
      <c r="L1525">
        <v>1.272</v>
      </c>
      <c r="M1525">
        <v>3.1539999999999999</v>
      </c>
      <c r="N1525">
        <v>0.125</v>
      </c>
      <c r="O1525">
        <v>2.1579999999999999</v>
      </c>
      <c r="P1525">
        <v>0.65</v>
      </c>
    </row>
    <row r="1526" spans="1:16" x14ac:dyDescent="0.25">
      <c r="A1526" s="1">
        <v>43410</v>
      </c>
      <c r="B1526">
        <v>9.7520000000000007</v>
      </c>
      <c r="C1526">
        <v>227.54</v>
      </c>
      <c r="D1526">
        <v>3.4089999999999998</v>
      </c>
      <c r="E1526">
        <v>14.15</v>
      </c>
      <c r="F1526">
        <v>6.4370000000000003</v>
      </c>
      <c r="G1526">
        <v>2.129</v>
      </c>
      <c r="H1526">
        <v>2.0550000000000002</v>
      </c>
      <c r="I1526">
        <v>35.927</v>
      </c>
      <c r="J1526">
        <v>24.850999999999999</v>
      </c>
      <c r="K1526">
        <v>10.163</v>
      </c>
      <c r="L1526">
        <v>1.2909999999999999</v>
      </c>
      <c r="M1526">
        <v>3.1539999999999999</v>
      </c>
      <c r="N1526">
        <v>0.13</v>
      </c>
      <c r="O1526">
        <v>2.1389999999999998</v>
      </c>
      <c r="P1526">
        <v>0.66</v>
      </c>
    </row>
    <row r="1527" spans="1:16" x14ac:dyDescent="0.25">
      <c r="A1527" s="1">
        <v>43411</v>
      </c>
      <c r="B1527">
        <v>9.7620000000000005</v>
      </c>
      <c r="C1527">
        <v>228.82</v>
      </c>
      <c r="D1527">
        <v>3.391</v>
      </c>
      <c r="E1527">
        <v>14</v>
      </c>
      <c r="F1527">
        <v>6.3920000000000003</v>
      </c>
      <c r="G1527">
        <v>2.165</v>
      </c>
      <c r="H1527">
        <v>2.0739999999999998</v>
      </c>
      <c r="I1527">
        <v>35.965000000000003</v>
      </c>
      <c r="J1527">
        <v>24.997</v>
      </c>
      <c r="K1527">
        <v>9.9779999999999998</v>
      </c>
      <c r="L1527">
        <v>1.2909999999999999</v>
      </c>
      <c r="M1527">
        <v>3.206</v>
      </c>
      <c r="N1527">
        <v>0.13400000000000001</v>
      </c>
      <c r="O1527">
        <v>2.1190000000000002</v>
      </c>
      <c r="P1527">
        <v>0.71</v>
      </c>
    </row>
    <row r="1528" spans="1:16" x14ac:dyDescent="0.25">
      <c r="A1528" s="1">
        <v>43412</v>
      </c>
      <c r="B1528">
        <v>9.782</v>
      </c>
      <c r="C1528">
        <v>226.8</v>
      </c>
      <c r="D1528">
        <v>3.3820000000000001</v>
      </c>
      <c r="E1528">
        <v>14.05</v>
      </c>
      <c r="F1528">
        <v>6.38</v>
      </c>
      <c r="G1528">
        <v>2.1739999999999999</v>
      </c>
      <c r="H1528">
        <v>2.1339999999999999</v>
      </c>
      <c r="I1528">
        <v>35.965000000000003</v>
      </c>
      <c r="J1528">
        <v>25.385000000000002</v>
      </c>
      <c r="K1528">
        <v>9.9779999999999998</v>
      </c>
      <c r="L1528">
        <v>1.31</v>
      </c>
      <c r="M1528">
        <v>3.2330000000000001</v>
      </c>
      <c r="N1528">
        <v>0.13300000000000001</v>
      </c>
      <c r="O1528">
        <v>2.0510000000000002</v>
      </c>
      <c r="P1528">
        <v>0.77</v>
      </c>
    </row>
    <row r="1529" spans="1:16" x14ac:dyDescent="0.25">
      <c r="A1529" s="1">
        <v>43413</v>
      </c>
      <c r="B1529">
        <v>9.7520000000000007</v>
      </c>
      <c r="C1529">
        <v>222.8</v>
      </c>
      <c r="D1529">
        <v>3.3380000000000001</v>
      </c>
      <c r="E1529">
        <v>13.85</v>
      </c>
      <c r="F1529">
        <v>6.2759999999999998</v>
      </c>
      <c r="G1529">
        <v>2.1379999999999999</v>
      </c>
      <c r="H1529">
        <v>2.0739999999999998</v>
      </c>
      <c r="I1529">
        <v>36.686999999999998</v>
      </c>
      <c r="J1529">
        <v>25.395</v>
      </c>
      <c r="K1529">
        <v>9.9779999999999998</v>
      </c>
      <c r="L1529">
        <v>1.3009999999999999</v>
      </c>
      <c r="M1529">
        <v>3.2330000000000001</v>
      </c>
      <c r="N1529">
        <v>0.125</v>
      </c>
      <c r="O1529">
        <v>2.1389999999999998</v>
      </c>
      <c r="P1529">
        <v>0.74</v>
      </c>
    </row>
    <row r="1530" spans="1:16" x14ac:dyDescent="0.25">
      <c r="A1530" s="1">
        <v>43416</v>
      </c>
      <c r="B1530">
        <v>9.5860000000000003</v>
      </c>
      <c r="C1530">
        <v>222</v>
      </c>
      <c r="D1530">
        <v>3.294</v>
      </c>
      <c r="E1530">
        <v>13.72</v>
      </c>
      <c r="F1530">
        <v>6.1820000000000004</v>
      </c>
      <c r="G1530">
        <v>2.0840000000000001</v>
      </c>
      <c r="H1530">
        <v>2.0739999999999998</v>
      </c>
      <c r="I1530">
        <v>36.697000000000003</v>
      </c>
      <c r="J1530">
        <v>25.395</v>
      </c>
      <c r="K1530">
        <v>9.7010000000000005</v>
      </c>
      <c r="L1530">
        <v>1.2909999999999999</v>
      </c>
      <c r="M1530">
        <v>3.2149999999999999</v>
      </c>
      <c r="N1530">
        <v>0.126</v>
      </c>
      <c r="O1530">
        <v>2.1389999999999998</v>
      </c>
      <c r="P1530">
        <v>0.72</v>
      </c>
    </row>
    <row r="1531" spans="1:16" x14ac:dyDescent="0.25">
      <c r="A1531" s="1">
        <v>43417</v>
      </c>
      <c r="B1531">
        <v>9.5960000000000001</v>
      </c>
      <c r="C1531">
        <v>223.8</v>
      </c>
      <c r="D1531">
        <v>3.2330000000000001</v>
      </c>
      <c r="E1531">
        <v>13.75</v>
      </c>
      <c r="F1531">
        <v>6.1820000000000004</v>
      </c>
      <c r="G1531">
        <v>2.0840000000000001</v>
      </c>
      <c r="H1531">
        <v>2.0840000000000001</v>
      </c>
      <c r="I1531">
        <v>36.927999999999997</v>
      </c>
      <c r="J1531">
        <v>25.434000000000001</v>
      </c>
      <c r="K1531">
        <v>9.7010000000000005</v>
      </c>
      <c r="L1531">
        <v>1.2909999999999999</v>
      </c>
      <c r="M1531">
        <v>3.2240000000000002</v>
      </c>
      <c r="N1531">
        <v>0.125</v>
      </c>
      <c r="O1531">
        <v>2.09</v>
      </c>
      <c r="P1531">
        <v>0.72</v>
      </c>
    </row>
    <row r="1532" spans="1:16" x14ac:dyDescent="0.25">
      <c r="A1532" s="1">
        <v>43418</v>
      </c>
      <c r="B1532">
        <v>9.5960000000000001</v>
      </c>
      <c r="C1532">
        <v>220.5</v>
      </c>
      <c r="D1532">
        <v>3.2240000000000002</v>
      </c>
      <c r="E1532">
        <v>14.04</v>
      </c>
      <c r="F1532">
        <v>6.1340000000000003</v>
      </c>
      <c r="G1532">
        <v>2.0750000000000002</v>
      </c>
      <c r="H1532">
        <v>2.0249999999999999</v>
      </c>
      <c r="I1532">
        <v>36.938000000000002</v>
      </c>
      <c r="J1532">
        <v>26.21</v>
      </c>
      <c r="K1532">
        <v>9.6080000000000005</v>
      </c>
      <c r="L1532">
        <v>1.3009999999999999</v>
      </c>
      <c r="M1532">
        <v>3.2330000000000001</v>
      </c>
      <c r="N1532">
        <v>0.122</v>
      </c>
      <c r="O1532">
        <v>2.08</v>
      </c>
      <c r="P1532">
        <v>0.72</v>
      </c>
    </row>
    <row r="1533" spans="1:16" x14ac:dyDescent="0.25">
      <c r="A1533" s="1">
        <v>43419</v>
      </c>
      <c r="B1533">
        <v>9.5960000000000001</v>
      </c>
      <c r="C1533">
        <v>224.6</v>
      </c>
      <c r="D1533">
        <v>3.47</v>
      </c>
      <c r="E1533">
        <v>14.34</v>
      </c>
      <c r="F1533">
        <v>6.1340000000000003</v>
      </c>
      <c r="G1533">
        <v>2.0750000000000002</v>
      </c>
      <c r="H1533">
        <v>2.0249999999999999</v>
      </c>
      <c r="I1533">
        <v>37.216999999999999</v>
      </c>
      <c r="J1533">
        <v>26.21</v>
      </c>
      <c r="K1533">
        <v>9.7010000000000005</v>
      </c>
      <c r="L1533">
        <v>1.339</v>
      </c>
      <c r="M1533">
        <v>3.2850000000000001</v>
      </c>
      <c r="N1533">
        <v>0.122</v>
      </c>
      <c r="O1533">
        <v>2.0539999999999998</v>
      </c>
      <c r="P1533">
        <v>0.72</v>
      </c>
    </row>
    <row r="1534" spans="1:16" x14ac:dyDescent="0.25">
      <c r="A1534" s="1">
        <v>43420</v>
      </c>
      <c r="B1534">
        <v>9.6940000000000008</v>
      </c>
      <c r="C1534">
        <v>226.57</v>
      </c>
      <c r="D1534">
        <v>3.4169999999999998</v>
      </c>
      <c r="E1534">
        <v>14.9</v>
      </c>
      <c r="F1534">
        <v>6.1529999999999996</v>
      </c>
      <c r="G1534">
        <v>2.1469999999999998</v>
      </c>
      <c r="H1534">
        <v>2.0249999999999999</v>
      </c>
      <c r="I1534">
        <v>37.795000000000002</v>
      </c>
      <c r="J1534">
        <v>27.472000000000001</v>
      </c>
      <c r="K1534">
        <v>9.7010000000000005</v>
      </c>
      <c r="L1534">
        <v>1.387</v>
      </c>
      <c r="M1534">
        <v>3.32</v>
      </c>
      <c r="N1534">
        <v>0.123</v>
      </c>
      <c r="O1534">
        <v>2.0539999999999998</v>
      </c>
      <c r="P1534">
        <v>0.73</v>
      </c>
    </row>
    <row r="1535" spans="1:16" x14ac:dyDescent="0.25">
      <c r="A1535" s="1">
        <v>43423</v>
      </c>
      <c r="B1535">
        <v>9.7330000000000005</v>
      </c>
      <c r="C1535">
        <v>225.02</v>
      </c>
      <c r="D1535">
        <v>3.3820000000000001</v>
      </c>
      <c r="E1535">
        <v>14.79</v>
      </c>
      <c r="F1535">
        <v>6.1529999999999996</v>
      </c>
      <c r="G1535">
        <v>2.129</v>
      </c>
      <c r="H1535">
        <v>2.0249999999999999</v>
      </c>
      <c r="I1535">
        <v>38.034999999999997</v>
      </c>
      <c r="J1535">
        <v>27.908999999999999</v>
      </c>
      <c r="K1535">
        <v>9.7010000000000005</v>
      </c>
      <c r="L1535">
        <v>1.387</v>
      </c>
      <c r="M1535">
        <v>3.32</v>
      </c>
      <c r="N1535">
        <v>0.123</v>
      </c>
      <c r="O1535">
        <v>2.0539999999999998</v>
      </c>
      <c r="P1535">
        <v>0.7</v>
      </c>
    </row>
    <row r="1536" spans="1:16" x14ac:dyDescent="0.25">
      <c r="A1536" s="1">
        <v>43424</v>
      </c>
      <c r="B1536">
        <v>9.6449999999999996</v>
      </c>
      <c r="C1536">
        <v>218</v>
      </c>
      <c r="D1536">
        <v>3.25</v>
      </c>
      <c r="E1536">
        <v>14.4</v>
      </c>
      <c r="F1536">
        <v>6.1340000000000003</v>
      </c>
      <c r="G1536">
        <v>2.1560000000000001</v>
      </c>
      <c r="H1536">
        <v>2.153</v>
      </c>
      <c r="I1536">
        <v>37.554000000000002</v>
      </c>
      <c r="J1536">
        <v>27.666</v>
      </c>
      <c r="K1536">
        <v>9.7010000000000005</v>
      </c>
      <c r="L1536">
        <v>1.3580000000000001</v>
      </c>
      <c r="M1536">
        <v>3.3290000000000002</v>
      </c>
      <c r="N1536">
        <v>0.123</v>
      </c>
      <c r="O1536">
        <v>2.0539999999999998</v>
      </c>
      <c r="P1536">
        <v>0.68</v>
      </c>
    </row>
    <row r="1537" spans="1:16" x14ac:dyDescent="0.25">
      <c r="A1537" s="1">
        <v>43425</v>
      </c>
      <c r="B1537">
        <v>9.6449999999999996</v>
      </c>
      <c r="C1537">
        <v>223.5</v>
      </c>
      <c r="D1537">
        <v>3.25</v>
      </c>
      <c r="E1537">
        <v>14.14</v>
      </c>
      <c r="F1537">
        <v>6.1340000000000003</v>
      </c>
      <c r="G1537">
        <v>2.1469999999999998</v>
      </c>
      <c r="H1537">
        <v>2.153</v>
      </c>
      <c r="I1537">
        <v>37.747</v>
      </c>
      <c r="J1537">
        <v>27.472000000000001</v>
      </c>
      <c r="K1537">
        <v>9.6910000000000007</v>
      </c>
      <c r="L1537">
        <v>1.3580000000000001</v>
      </c>
      <c r="M1537">
        <v>3.3290000000000002</v>
      </c>
      <c r="N1537">
        <v>0.121</v>
      </c>
      <c r="O1537">
        <v>2.0539999999999998</v>
      </c>
      <c r="P1537">
        <v>0.7</v>
      </c>
    </row>
    <row r="1538" spans="1:16" x14ac:dyDescent="0.25">
      <c r="A1538" s="1">
        <v>43426</v>
      </c>
      <c r="B1538">
        <v>9.6159999999999997</v>
      </c>
      <c r="C1538">
        <v>223</v>
      </c>
      <c r="D1538">
        <v>3.3380000000000001</v>
      </c>
      <c r="E1538">
        <v>14.14</v>
      </c>
      <c r="F1538">
        <v>6.1820000000000004</v>
      </c>
      <c r="G1538">
        <v>2.1560000000000001</v>
      </c>
      <c r="H1538">
        <v>2.13</v>
      </c>
      <c r="I1538">
        <v>37.554000000000002</v>
      </c>
      <c r="J1538">
        <v>27.492000000000001</v>
      </c>
      <c r="K1538">
        <v>9.7010000000000005</v>
      </c>
      <c r="L1538">
        <v>1.3580000000000001</v>
      </c>
      <c r="M1538">
        <v>3.3639999999999999</v>
      </c>
      <c r="N1538">
        <v>0.12</v>
      </c>
      <c r="O1538">
        <v>2.0539999999999998</v>
      </c>
      <c r="P1538">
        <v>0.7</v>
      </c>
    </row>
    <row r="1539" spans="1:16" x14ac:dyDescent="0.25">
      <c r="A1539" s="1">
        <v>43427</v>
      </c>
      <c r="B1539">
        <v>9.6449999999999996</v>
      </c>
      <c r="C1539">
        <v>218</v>
      </c>
      <c r="D1539">
        <v>3.3650000000000002</v>
      </c>
      <c r="E1539">
        <v>14.14</v>
      </c>
      <c r="F1539">
        <v>6.1820000000000004</v>
      </c>
      <c r="G1539">
        <v>2.1469999999999998</v>
      </c>
      <c r="H1539">
        <v>2.06</v>
      </c>
      <c r="I1539">
        <v>37.65</v>
      </c>
      <c r="J1539">
        <v>27.481999999999999</v>
      </c>
      <c r="K1539">
        <v>9.6539999999999999</v>
      </c>
      <c r="L1539">
        <v>1.349</v>
      </c>
      <c r="M1539">
        <v>3.3639999999999999</v>
      </c>
      <c r="N1539">
        <v>0.12</v>
      </c>
      <c r="O1539">
        <v>2.073</v>
      </c>
      <c r="P1539">
        <v>0.68</v>
      </c>
    </row>
    <row r="1540" spans="1:16" x14ac:dyDescent="0.25">
      <c r="A1540" s="1">
        <v>43430</v>
      </c>
      <c r="B1540">
        <v>9.6839999999999993</v>
      </c>
      <c r="C1540">
        <v>221.8</v>
      </c>
      <c r="D1540">
        <v>3.3820000000000001</v>
      </c>
      <c r="E1540">
        <v>14.1</v>
      </c>
      <c r="F1540">
        <v>6.1529999999999996</v>
      </c>
      <c r="G1540">
        <v>2.1560000000000001</v>
      </c>
      <c r="H1540">
        <v>2.06</v>
      </c>
      <c r="I1540">
        <v>37.890999999999998</v>
      </c>
      <c r="J1540">
        <v>27.666</v>
      </c>
      <c r="K1540">
        <v>9.6539999999999999</v>
      </c>
      <c r="L1540">
        <v>1.349</v>
      </c>
      <c r="M1540">
        <v>3.3809999999999998</v>
      </c>
      <c r="N1540">
        <v>0.121</v>
      </c>
      <c r="O1540">
        <v>2.1709999999999998</v>
      </c>
      <c r="P1540">
        <v>0.68</v>
      </c>
    </row>
    <row r="1541" spans="1:16" x14ac:dyDescent="0.25">
      <c r="A1541" s="1">
        <v>43431</v>
      </c>
      <c r="B1541">
        <v>9.782</v>
      </c>
      <c r="C1541">
        <v>221.5</v>
      </c>
      <c r="D1541">
        <v>3.3730000000000002</v>
      </c>
      <c r="E1541">
        <v>13.6</v>
      </c>
      <c r="F1541">
        <v>6.1340000000000003</v>
      </c>
      <c r="G1541">
        <v>2.129</v>
      </c>
      <c r="H1541">
        <v>2.06</v>
      </c>
      <c r="I1541">
        <v>38.334000000000003</v>
      </c>
      <c r="J1541">
        <v>27.783000000000001</v>
      </c>
      <c r="K1541">
        <v>9.6539999999999999</v>
      </c>
      <c r="L1541">
        <v>1.349</v>
      </c>
      <c r="M1541">
        <v>3.3809999999999998</v>
      </c>
      <c r="N1541">
        <v>0.122</v>
      </c>
      <c r="O1541">
        <v>2.2000000000000002</v>
      </c>
      <c r="P1541">
        <v>0.7</v>
      </c>
    </row>
    <row r="1542" spans="1:16" x14ac:dyDescent="0.25">
      <c r="A1542" s="1">
        <v>43432</v>
      </c>
      <c r="B1542">
        <v>9.9770000000000003</v>
      </c>
      <c r="C1542">
        <v>225.05</v>
      </c>
      <c r="D1542">
        <v>3.4260000000000002</v>
      </c>
      <c r="E1542">
        <v>13.9</v>
      </c>
      <c r="F1542">
        <v>6.1150000000000002</v>
      </c>
      <c r="G1542">
        <v>2.1110000000000002</v>
      </c>
      <c r="H1542">
        <v>2.08</v>
      </c>
      <c r="I1542">
        <v>38.334000000000003</v>
      </c>
      <c r="J1542">
        <v>28.443000000000001</v>
      </c>
      <c r="K1542">
        <v>9.7010000000000005</v>
      </c>
      <c r="L1542">
        <v>1.387</v>
      </c>
      <c r="M1542">
        <v>3.399</v>
      </c>
      <c r="N1542">
        <v>0.124</v>
      </c>
      <c r="O1542">
        <v>2.2490000000000001</v>
      </c>
      <c r="P1542">
        <v>0.71</v>
      </c>
    </row>
    <row r="1543" spans="1:16" x14ac:dyDescent="0.25">
      <c r="A1543" s="1">
        <v>43433</v>
      </c>
      <c r="B1543">
        <v>10.074999999999999</v>
      </c>
      <c r="C1543">
        <v>225.25</v>
      </c>
      <c r="D1543">
        <v>3.4350000000000001</v>
      </c>
      <c r="E1543">
        <v>14</v>
      </c>
      <c r="F1543">
        <v>6.1150000000000002</v>
      </c>
      <c r="G1543">
        <v>2.129</v>
      </c>
      <c r="H1543">
        <v>2.08</v>
      </c>
      <c r="I1543">
        <v>38.420999999999999</v>
      </c>
      <c r="J1543">
        <v>28.54</v>
      </c>
      <c r="K1543">
        <v>9.7010000000000005</v>
      </c>
      <c r="L1543">
        <v>1.3580000000000001</v>
      </c>
      <c r="M1543">
        <v>3.399</v>
      </c>
      <c r="N1543">
        <v>0.123</v>
      </c>
      <c r="O1543">
        <v>2.347</v>
      </c>
      <c r="P1543">
        <v>0.72</v>
      </c>
    </row>
    <row r="1544" spans="1:16" x14ac:dyDescent="0.25">
      <c r="A1544" s="1">
        <v>43434</v>
      </c>
      <c r="B1544">
        <v>10.074999999999999</v>
      </c>
      <c r="C1544">
        <v>219.2</v>
      </c>
      <c r="D1544">
        <v>3.4350000000000001</v>
      </c>
      <c r="E1544">
        <v>14.04</v>
      </c>
      <c r="F1544">
        <v>6.1340000000000003</v>
      </c>
      <c r="G1544">
        <v>2.12</v>
      </c>
      <c r="H1544">
        <v>2.08</v>
      </c>
      <c r="I1544">
        <v>38.997999999999998</v>
      </c>
      <c r="J1544">
        <v>28.346</v>
      </c>
      <c r="K1544">
        <v>9.7010000000000005</v>
      </c>
      <c r="L1544">
        <v>1.3580000000000001</v>
      </c>
      <c r="M1544">
        <v>3.4249999999999998</v>
      </c>
      <c r="N1544">
        <v>0.13600000000000001</v>
      </c>
      <c r="O1544">
        <v>2.347</v>
      </c>
      <c r="P1544">
        <v>0.75</v>
      </c>
    </row>
    <row r="1545" spans="1:16" x14ac:dyDescent="0.25">
      <c r="A1545" s="1">
        <v>43437</v>
      </c>
      <c r="B1545">
        <v>10.026</v>
      </c>
      <c r="C1545">
        <v>223.7</v>
      </c>
      <c r="D1545">
        <v>3.4260000000000002</v>
      </c>
      <c r="E1545">
        <v>14.05</v>
      </c>
      <c r="F1545">
        <v>6.1820000000000004</v>
      </c>
      <c r="G1545">
        <v>2.1379999999999999</v>
      </c>
      <c r="H1545">
        <v>2.16</v>
      </c>
      <c r="I1545">
        <v>39.479999999999997</v>
      </c>
      <c r="J1545">
        <v>28.346</v>
      </c>
      <c r="K1545">
        <v>9.7010000000000005</v>
      </c>
      <c r="L1545">
        <v>1.3680000000000001</v>
      </c>
      <c r="M1545">
        <v>3.4510000000000001</v>
      </c>
      <c r="N1545">
        <v>0.13500000000000001</v>
      </c>
      <c r="O1545">
        <v>2.5920000000000001</v>
      </c>
      <c r="P1545">
        <v>0.76</v>
      </c>
    </row>
    <row r="1546" spans="1:16" x14ac:dyDescent="0.25">
      <c r="A1546" s="1">
        <v>43438</v>
      </c>
      <c r="B1546">
        <v>10.222</v>
      </c>
      <c r="C1546">
        <v>222.2</v>
      </c>
      <c r="D1546">
        <v>3.4260000000000002</v>
      </c>
      <c r="E1546">
        <v>14.72</v>
      </c>
      <c r="F1546">
        <v>6.2290000000000001</v>
      </c>
      <c r="G1546">
        <v>2.1920000000000002</v>
      </c>
      <c r="H1546">
        <v>2.1</v>
      </c>
      <c r="I1546">
        <v>39.960999999999999</v>
      </c>
      <c r="J1546">
        <v>28.346</v>
      </c>
      <c r="K1546">
        <v>9.7010000000000005</v>
      </c>
      <c r="L1546">
        <v>1.387</v>
      </c>
      <c r="M1546">
        <v>3.46</v>
      </c>
      <c r="N1546">
        <v>0.13200000000000001</v>
      </c>
      <c r="O1546">
        <v>2.601</v>
      </c>
      <c r="P1546">
        <v>0.76</v>
      </c>
    </row>
    <row r="1547" spans="1:16" x14ac:dyDescent="0.25">
      <c r="A1547" s="1">
        <v>43439</v>
      </c>
      <c r="B1547">
        <v>10.222</v>
      </c>
      <c r="C1547">
        <v>225</v>
      </c>
      <c r="D1547">
        <v>3.4260000000000002</v>
      </c>
      <c r="E1547">
        <v>14.72</v>
      </c>
      <c r="F1547">
        <v>6.2190000000000003</v>
      </c>
      <c r="G1547">
        <v>2.1560000000000001</v>
      </c>
      <c r="H1547">
        <v>2.1800000000000002</v>
      </c>
      <c r="I1547">
        <v>39.970999999999997</v>
      </c>
      <c r="J1547">
        <v>28.346</v>
      </c>
      <c r="K1547">
        <v>9.6170000000000009</v>
      </c>
      <c r="L1547">
        <v>1.349</v>
      </c>
      <c r="M1547">
        <v>3.46</v>
      </c>
      <c r="N1547">
        <v>0.13200000000000001</v>
      </c>
      <c r="O1547">
        <v>2.6989999999999998</v>
      </c>
      <c r="P1547">
        <v>0.75</v>
      </c>
    </row>
    <row r="1548" spans="1:16" x14ac:dyDescent="0.25">
      <c r="A1548" s="1">
        <v>43440</v>
      </c>
      <c r="B1548">
        <v>10.026</v>
      </c>
      <c r="C1548">
        <v>221.6</v>
      </c>
      <c r="D1548">
        <v>3.4260000000000002</v>
      </c>
      <c r="E1548">
        <v>14.65</v>
      </c>
      <c r="F1548">
        <v>6.1340000000000003</v>
      </c>
      <c r="G1548">
        <v>2.12</v>
      </c>
      <c r="H1548">
        <v>2.0699999999999998</v>
      </c>
      <c r="I1548">
        <v>39.970999999999997</v>
      </c>
      <c r="J1548">
        <v>28.055</v>
      </c>
      <c r="K1548">
        <v>9.7010000000000005</v>
      </c>
      <c r="L1548">
        <v>1.3009999999999999</v>
      </c>
      <c r="M1548">
        <v>3.46</v>
      </c>
      <c r="N1548">
        <v>0.13</v>
      </c>
      <c r="O1548">
        <v>2.6890000000000001</v>
      </c>
      <c r="P1548">
        <v>0.73</v>
      </c>
    </row>
    <row r="1549" spans="1:16" x14ac:dyDescent="0.25">
      <c r="A1549" s="1">
        <v>43441</v>
      </c>
      <c r="B1549">
        <v>9.9280000000000008</v>
      </c>
      <c r="C1549">
        <v>222.29</v>
      </c>
      <c r="D1549">
        <v>3.47</v>
      </c>
      <c r="E1549">
        <v>15.09</v>
      </c>
      <c r="F1549">
        <v>6.1340000000000003</v>
      </c>
      <c r="G1549">
        <v>2.093</v>
      </c>
      <c r="H1549">
        <v>2.0499999999999998</v>
      </c>
      <c r="I1549">
        <v>39.865000000000002</v>
      </c>
      <c r="J1549">
        <v>28.248999999999999</v>
      </c>
      <c r="K1549">
        <v>9.7010000000000005</v>
      </c>
      <c r="L1549">
        <v>1.3009999999999999</v>
      </c>
      <c r="M1549">
        <v>3.46</v>
      </c>
      <c r="N1549">
        <v>0.13</v>
      </c>
      <c r="O1549">
        <v>2.64</v>
      </c>
      <c r="P1549">
        <v>0.73</v>
      </c>
    </row>
    <row r="1550" spans="1:16" x14ac:dyDescent="0.25">
      <c r="A1550" s="1">
        <v>43444</v>
      </c>
      <c r="B1550">
        <v>9.9090000000000007</v>
      </c>
      <c r="C1550">
        <v>216.1</v>
      </c>
      <c r="D1550">
        <v>3.4350000000000001</v>
      </c>
      <c r="E1550">
        <v>15.14</v>
      </c>
      <c r="F1550">
        <v>6.0869999999999997</v>
      </c>
      <c r="G1550">
        <v>2.1019999999999999</v>
      </c>
      <c r="H1550">
        <v>2.0499999999999998</v>
      </c>
      <c r="I1550">
        <v>39.865000000000002</v>
      </c>
      <c r="J1550">
        <v>28.152000000000001</v>
      </c>
      <c r="K1550">
        <v>9.7010000000000005</v>
      </c>
      <c r="L1550">
        <v>1.3009999999999999</v>
      </c>
      <c r="M1550">
        <v>3.46</v>
      </c>
      <c r="N1550">
        <v>0.128</v>
      </c>
      <c r="O1550">
        <v>2.5920000000000001</v>
      </c>
      <c r="P1550">
        <v>0.72</v>
      </c>
    </row>
    <row r="1551" spans="1:16" x14ac:dyDescent="0.25">
      <c r="A1551" s="1">
        <v>43445</v>
      </c>
      <c r="B1551">
        <v>9.9090000000000007</v>
      </c>
      <c r="C1551">
        <v>221.35</v>
      </c>
      <c r="D1551">
        <v>3.4260000000000002</v>
      </c>
      <c r="E1551">
        <v>15</v>
      </c>
      <c r="F1551">
        <v>5.9930000000000003</v>
      </c>
      <c r="G1551">
        <v>2.0840000000000001</v>
      </c>
      <c r="H1551">
        <v>2.08</v>
      </c>
      <c r="I1551">
        <v>39.854999999999997</v>
      </c>
      <c r="J1551">
        <v>28.152000000000001</v>
      </c>
      <c r="K1551">
        <v>9.7010000000000005</v>
      </c>
      <c r="L1551">
        <v>1.31</v>
      </c>
      <c r="M1551">
        <v>3.46</v>
      </c>
      <c r="N1551">
        <v>0.129</v>
      </c>
      <c r="O1551">
        <v>2.5819999999999999</v>
      </c>
      <c r="P1551">
        <v>0.73</v>
      </c>
    </row>
    <row r="1552" spans="1:16" x14ac:dyDescent="0.25">
      <c r="A1552" s="1">
        <v>43446</v>
      </c>
      <c r="B1552">
        <v>9.9380000000000006</v>
      </c>
      <c r="C1552">
        <v>217.8</v>
      </c>
      <c r="D1552">
        <v>3.47</v>
      </c>
      <c r="E1552">
        <v>15.2</v>
      </c>
      <c r="F1552">
        <v>6.04</v>
      </c>
      <c r="G1552">
        <v>2.1110000000000002</v>
      </c>
      <c r="H1552">
        <v>2.08</v>
      </c>
      <c r="I1552">
        <v>39.826999999999998</v>
      </c>
      <c r="J1552">
        <v>28.152000000000001</v>
      </c>
      <c r="K1552">
        <v>9.7010000000000005</v>
      </c>
      <c r="L1552">
        <v>1.33</v>
      </c>
      <c r="M1552">
        <v>3.4769999999999999</v>
      </c>
      <c r="N1552">
        <v>0.129</v>
      </c>
      <c r="O1552">
        <v>2.64</v>
      </c>
      <c r="P1552">
        <v>0.76</v>
      </c>
    </row>
    <row r="1553" spans="1:16" x14ac:dyDescent="0.25">
      <c r="A1553" s="1">
        <v>43447</v>
      </c>
      <c r="B1553">
        <v>9.9380000000000006</v>
      </c>
      <c r="C1553">
        <v>218.3</v>
      </c>
      <c r="D1553">
        <v>3.47</v>
      </c>
      <c r="E1553">
        <v>15.05</v>
      </c>
      <c r="F1553">
        <v>6.04</v>
      </c>
      <c r="G1553">
        <v>2.0840000000000001</v>
      </c>
      <c r="H1553">
        <v>2.08</v>
      </c>
      <c r="I1553">
        <v>39.826999999999998</v>
      </c>
      <c r="J1553">
        <v>28.055</v>
      </c>
      <c r="K1553">
        <v>9.7469999999999999</v>
      </c>
      <c r="L1553">
        <v>1.339</v>
      </c>
      <c r="M1553">
        <v>3.4950000000000001</v>
      </c>
      <c r="N1553">
        <v>0.129</v>
      </c>
      <c r="O1553">
        <v>2.5920000000000001</v>
      </c>
      <c r="P1553">
        <v>0.77</v>
      </c>
    </row>
    <row r="1554" spans="1:16" x14ac:dyDescent="0.25">
      <c r="A1554" s="1">
        <v>43448</v>
      </c>
      <c r="B1554">
        <v>9.8800000000000008</v>
      </c>
      <c r="C1554">
        <v>218.2</v>
      </c>
      <c r="D1554">
        <v>3.47</v>
      </c>
      <c r="E1554">
        <v>14.75</v>
      </c>
      <c r="F1554">
        <v>6.0869999999999997</v>
      </c>
      <c r="G1554">
        <v>2.129</v>
      </c>
      <c r="H1554">
        <v>2.09</v>
      </c>
      <c r="I1554">
        <v>39.460999999999999</v>
      </c>
      <c r="J1554">
        <v>27.666</v>
      </c>
      <c r="K1554">
        <v>9.7469999999999999</v>
      </c>
      <c r="L1554">
        <v>1.339</v>
      </c>
      <c r="M1554">
        <v>3.6259999999999999</v>
      </c>
      <c r="N1554">
        <v>0.125</v>
      </c>
      <c r="O1554">
        <v>2.5920000000000001</v>
      </c>
      <c r="P1554">
        <v>0.74</v>
      </c>
    </row>
    <row r="1555" spans="1:16" x14ac:dyDescent="0.25">
      <c r="A1555" s="1">
        <v>43451</v>
      </c>
      <c r="B1555">
        <v>10.026</v>
      </c>
      <c r="C1555">
        <v>216.35</v>
      </c>
      <c r="D1555">
        <v>3.47</v>
      </c>
      <c r="E1555">
        <v>15.85</v>
      </c>
      <c r="F1555">
        <v>6.0869999999999997</v>
      </c>
      <c r="G1555">
        <v>2.129</v>
      </c>
      <c r="H1555">
        <v>2.09</v>
      </c>
      <c r="I1555">
        <v>38.680999999999997</v>
      </c>
      <c r="J1555">
        <v>27.666</v>
      </c>
      <c r="K1555">
        <v>10.285</v>
      </c>
      <c r="L1555">
        <v>1.32</v>
      </c>
      <c r="M1555">
        <v>3.5819999999999999</v>
      </c>
      <c r="N1555">
        <v>0.13</v>
      </c>
      <c r="O1555">
        <v>2.5920000000000001</v>
      </c>
      <c r="P1555">
        <v>0.73</v>
      </c>
    </row>
    <row r="1556" spans="1:16" x14ac:dyDescent="0.25">
      <c r="A1556" s="1">
        <v>43452</v>
      </c>
      <c r="B1556">
        <v>9.8800000000000008</v>
      </c>
      <c r="C1556">
        <v>215.68</v>
      </c>
      <c r="D1556">
        <v>3.47</v>
      </c>
      <c r="E1556">
        <v>15.9</v>
      </c>
      <c r="F1556">
        <v>6.0869999999999997</v>
      </c>
      <c r="G1556">
        <v>2.2200000000000002</v>
      </c>
      <c r="H1556">
        <v>2.08</v>
      </c>
      <c r="I1556">
        <v>38.517000000000003</v>
      </c>
      <c r="J1556">
        <v>27.617999999999999</v>
      </c>
      <c r="K1556">
        <v>10.285</v>
      </c>
      <c r="L1556">
        <v>1.339</v>
      </c>
      <c r="M1556">
        <v>3.5819999999999999</v>
      </c>
      <c r="N1556">
        <v>0.128</v>
      </c>
      <c r="O1556">
        <v>2.6309999999999998</v>
      </c>
      <c r="P1556">
        <v>0.74</v>
      </c>
    </row>
    <row r="1557" spans="1:16" x14ac:dyDescent="0.25">
      <c r="A1557" s="1">
        <v>43453</v>
      </c>
      <c r="B1557">
        <v>9.8800000000000008</v>
      </c>
      <c r="C1557">
        <v>216.4</v>
      </c>
      <c r="D1557">
        <v>3.47</v>
      </c>
      <c r="E1557">
        <v>15.8</v>
      </c>
      <c r="F1557">
        <v>6.0780000000000003</v>
      </c>
      <c r="G1557">
        <v>2.2469999999999999</v>
      </c>
      <c r="H1557">
        <v>2.04</v>
      </c>
      <c r="I1557">
        <v>38.517000000000003</v>
      </c>
      <c r="J1557">
        <v>27.666</v>
      </c>
      <c r="K1557">
        <v>10.285</v>
      </c>
      <c r="L1557">
        <v>1.339</v>
      </c>
      <c r="M1557">
        <v>3.4950000000000001</v>
      </c>
      <c r="N1557">
        <v>0.128</v>
      </c>
      <c r="O1557">
        <v>2.5430000000000001</v>
      </c>
      <c r="P1557">
        <v>0.7</v>
      </c>
    </row>
    <row r="1558" spans="1:16" x14ac:dyDescent="0.25">
      <c r="A1558" s="1">
        <v>43454</v>
      </c>
      <c r="B1558">
        <v>9.8800000000000008</v>
      </c>
      <c r="C1558">
        <v>215.9</v>
      </c>
      <c r="D1558">
        <v>3.47</v>
      </c>
      <c r="E1558">
        <v>16.350000000000001</v>
      </c>
      <c r="F1558">
        <v>6.0780000000000003</v>
      </c>
      <c r="G1558">
        <v>2.2200000000000002</v>
      </c>
      <c r="H1558">
        <v>2.04</v>
      </c>
      <c r="I1558">
        <v>38.323999999999998</v>
      </c>
      <c r="J1558">
        <v>27.666</v>
      </c>
      <c r="K1558">
        <v>10.285</v>
      </c>
      <c r="L1558">
        <v>1.33</v>
      </c>
      <c r="M1558">
        <v>3.4950000000000001</v>
      </c>
      <c r="N1558">
        <v>0.126</v>
      </c>
      <c r="O1558">
        <v>2.5430000000000001</v>
      </c>
      <c r="P1558">
        <v>0.73</v>
      </c>
    </row>
    <row r="1559" spans="1:16" x14ac:dyDescent="0.25">
      <c r="A1559" s="1">
        <v>43455</v>
      </c>
      <c r="B1559">
        <v>9.782</v>
      </c>
      <c r="C1559">
        <v>214</v>
      </c>
      <c r="D1559">
        <v>3.4</v>
      </c>
      <c r="E1559">
        <v>16.14</v>
      </c>
      <c r="F1559">
        <v>6.1150000000000002</v>
      </c>
      <c r="G1559">
        <v>2.2200000000000002</v>
      </c>
      <c r="H1559">
        <v>2.04</v>
      </c>
      <c r="I1559">
        <v>38.084000000000003</v>
      </c>
      <c r="J1559">
        <v>27.472000000000001</v>
      </c>
      <c r="K1559">
        <v>10.332000000000001</v>
      </c>
      <c r="L1559">
        <v>1.32</v>
      </c>
      <c r="M1559">
        <v>3.512</v>
      </c>
      <c r="N1559">
        <v>0.126</v>
      </c>
      <c r="O1559">
        <v>2.5430000000000001</v>
      </c>
      <c r="P1559">
        <v>0.71</v>
      </c>
    </row>
    <row r="1560" spans="1:16" x14ac:dyDescent="0.25">
      <c r="A1560" s="1">
        <v>43458</v>
      </c>
      <c r="B1560">
        <v>9.782</v>
      </c>
      <c r="C1560">
        <v>213</v>
      </c>
      <c r="D1560">
        <v>3.4</v>
      </c>
      <c r="E1560">
        <v>16.440000000000001</v>
      </c>
      <c r="F1560">
        <v>6.1340000000000003</v>
      </c>
      <c r="G1560">
        <v>2.2200000000000002</v>
      </c>
      <c r="H1560">
        <v>2.0299999999999998</v>
      </c>
      <c r="I1560">
        <v>38.228000000000002</v>
      </c>
      <c r="J1560">
        <v>27.472000000000001</v>
      </c>
      <c r="K1560">
        <v>10.332000000000001</v>
      </c>
      <c r="L1560">
        <v>1.32</v>
      </c>
      <c r="M1560">
        <v>3.512</v>
      </c>
      <c r="N1560">
        <v>0.128</v>
      </c>
      <c r="O1560">
        <v>2.5430000000000001</v>
      </c>
      <c r="P1560">
        <v>0.72</v>
      </c>
    </row>
    <row r="1561" spans="1:16" x14ac:dyDescent="0.25">
      <c r="A1561" s="1">
        <v>43460</v>
      </c>
      <c r="B1561">
        <v>9.7620000000000005</v>
      </c>
      <c r="C1561">
        <v>217</v>
      </c>
      <c r="D1561">
        <v>3.4</v>
      </c>
      <c r="E1561">
        <v>15.93</v>
      </c>
      <c r="F1561">
        <v>6.1340000000000003</v>
      </c>
      <c r="G1561">
        <v>2.2010000000000001</v>
      </c>
      <c r="H1561">
        <v>2.02</v>
      </c>
      <c r="I1561">
        <v>38.228000000000002</v>
      </c>
      <c r="J1561">
        <v>27.326000000000001</v>
      </c>
      <c r="K1561">
        <v>10.332000000000001</v>
      </c>
      <c r="L1561">
        <v>1.32</v>
      </c>
      <c r="M1561">
        <v>3.5379999999999998</v>
      </c>
      <c r="N1561">
        <v>0.128</v>
      </c>
      <c r="O1561">
        <v>2.5430000000000001</v>
      </c>
      <c r="P1561">
        <v>0.71</v>
      </c>
    </row>
    <row r="1562" spans="1:16" x14ac:dyDescent="0.25">
      <c r="A1562" s="1">
        <v>43461</v>
      </c>
      <c r="B1562">
        <v>9.7330000000000005</v>
      </c>
      <c r="C1562">
        <v>218.64</v>
      </c>
      <c r="D1562">
        <v>3.4260000000000002</v>
      </c>
      <c r="E1562">
        <v>16</v>
      </c>
      <c r="F1562">
        <v>6.1440000000000001</v>
      </c>
      <c r="G1562">
        <v>2.2200000000000002</v>
      </c>
      <c r="H1562">
        <v>1.99</v>
      </c>
      <c r="I1562">
        <v>38.997999999999998</v>
      </c>
      <c r="J1562">
        <v>27.472000000000001</v>
      </c>
      <c r="K1562">
        <v>10.332000000000001</v>
      </c>
      <c r="L1562">
        <v>1.32</v>
      </c>
      <c r="M1562">
        <v>3.5379999999999998</v>
      </c>
      <c r="N1562">
        <v>0.127</v>
      </c>
      <c r="O1562">
        <v>2.5430000000000001</v>
      </c>
      <c r="P1562">
        <v>0.71</v>
      </c>
    </row>
    <row r="1563" spans="1:16" x14ac:dyDescent="0.25">
      <c r="A1563" s="1">
        <v>43462</v>
      </c>
      <c r="B1563">
        <v>9.7330000000000005</v>
      </c>
      <c r="C1563">
        <v>221.1</v>
      </c>
      <c r="D1563">
        <v>3.47</v>
      </c>
      <c r="E1563">
        <v>16.079999999999998</v>
      </c>
      <c r="F1563">
        <v>6.1340000000000003</v>
      </c>
      <c r="G1563">
        <v>2.1920000000000002</v>
      </c>
      <c r="H1563">
        <v>1.99</v>
      </c>
      <c r="I1563">
        <v>39.479999999999997</v>
      </c>
      <c r="J1563">
        <v>27.472000000000001</v>
      </c>
      <c r="K1563">
        <v>10.332000000000001</v>
      </c>
      <c r="L1563">
        <v>1.32</v>
      </c>
      <c r="M1563">
        <v>3.669</v>
      </c>
      <c r="N1563">
        <v>0.126</v>
      </c>
      <c r="O1563">
        <v>2.5430000000000001</v>
      </c>
      <c r="P1563">
        <v>0.71</v>
      </c>
    </row>
    <row r="1564" spans="1:16" x14ac:dyDescent="0.25">
      <c r="A1564" s="1">
        <v>43465</v>
      </c>
      <c r="B1564">
        <v>9.7330000000000005</v>
      </c>
      <c r="C1564">
        <v>221.3</v>
      </c>
      <c r="D1564">
        <v>3.47</v>
      </c>
      <c r="E1564">
        <v>16.100000000000001</v>
      </c>
      <c r="F1564">
        <v>6.0869999999999997</v>
      </c>
      <c r="G1564">
        <v>2.3010000000000002</v>
      </c>
      <c r="H1564">
        <v>1.99</v>
      </c>
      <c r="I1564">
        <v>40.442999999999998</v>
      </c>
      <c r="J1564">
        <v>27.472000000000001</v>
      </c>
      <c r="K1564">
        <v>10.332000000000001</v>
      </c>
      <c r="L1564">
        <v>1.32</v>
      </c>
      <c r="M1564">
        <v>3.669</v>
      </c>
      <c r="N1564">
        <v>0.126</v>
      </c>
      <c r="O1564">
        <v>2.5430000000000001</v>
      </c>
      <c r="P1564">
        <v>0.71</v>
      </c>
    </row>
    <row r="1565" spans="1:16" x14ac:dyDescent="0.25">
      <c r="A1565" s="1">
        <v>43467</v>
      </c>
      <c r="B1565">
        <v>9.6839999999999993</v>
      </c>
      <c r="C1565">
        <v>226</v>
      </c>
      <c r="D1565">
        <v>3.4260000000000002</v>
      </c>
      <c r="E1565">
        <v>16.2</v>
      </c>
      <c r="F1565">
        <v>6.0869999999999997</v>
      </c>
      <c r="G1565">
        <v>2.2200000000000002</v>
      </c>
      <c r="H1565">
        <v>1.91</v>
      </c>
      <c r="I1565">
        <v>40.442999999999998</v>
      </c>
      <c r="J1565">
        <v>27.957000000000001</v>
      </c>
      <c r="K1565">
        <v>10.332000000000001</v>
      </c>
      <c r="L1565">
        <v>1.32</v>
      </c>
      <c r="M1565">
        <v>3.669</v>
      </c>
      <c r="N1565">
        <v>0.125</v>
      </c>
      <c r="O1565">
        <v>2.5230000000000001</v>
      </c>
      <c r="P1565">
        <v>0.68</v>
      </c>
    </row>
    <row r="1566" spans="1:16" x14ac:dyDescent="0.25">
      <c r="A1566" s="1">
        <v>43468</v>
      </c>
      <c r="B1566">
        <v>9.6839999999999993</v>
      </c>
      <c r="C1566">
        <v>222.42</v>
      </c>
      <c r="D1566">
        <v>3.3820000000000001</v>
      </c>
      <c r="E1566">
        <v>16.72</v>
      </c>
      <c r="F1566">
        <v>6.0679999999999996</v>
      </c>
      <c r="G1566">
        <v>2.1739999999999999</v>
      </c>
      <c r="H1566">
        <v>1.91</v>
      </c>
      <c r="I1566">
        <v>39.960999999999999</v>
      </c>
      <c r="J1566">
        <v>28.346</v>
      </c>
      <c r="K1566">
        <v>10.332000000000001</v>
      </c>
      <c r="L1566">
        <v>1.32</v>
      </c>
      <c r="M1566">
        <v>3.669</v>
      </c>
      <c r="N1566">
        <v>0.125</v>
      </c>
      <c r="O1566">
        <v>2.4940000000000002</v>
      </c>
      <c r="P1566">
        <v>0.65</v>
      </c>
    </row>
    <row r="1567" spans="1:16" x14ac:dyDescent="0.25">
      <c r="A1567" s="1">
        <v>43469</v>
      </c>
      <c r="B1567">
        <v>9.782</v>
      </c>
      <c r="C1567">
        <v>228</v>
      </c>
      <c r="D1567">
        <v>3.3820000000000001</v>
      </c>
      <c r="E1567">
        <v>16.600000000000001</v>
      </c>
      <c r="F1567">
        <v>6.0590000000000002</v>
      </c>
      <c r="G1567">
        <v>2.1739999999999999</v>
      </c>
      <c r="H1567">
        <v>1.8</v>
      </c>
      <c r="I1567">
        <v>40.345999999999997</v>
      </c>
      <c r="J1567">
        <v>29.52</v>
      </c>
      <c r="K1567">
        <v>10.321999999999999</v>
      </c>
      <c r="L1567">
        <v>1.31</v>
      </c>
      <c r="M1567">
        <v>3.6259999999999999</v>
      </c>
      <c r="N1567">
        <v>0.124</v>
      </c>
      <c r="O1567">
        <v>2.5230000000000001</v>
      </c>
      <c r="P1567">
        <v>0.69</v>
      </c>
    </row>
    <row r="1568" spans="1:16" x14ac:dyDescent="0.25">
      <c r="A1568" s="1">
        <v>43472</v>
      </c>
      <c r="B1568">
        <v>9.782</v>
      </c>
      <c r="C1568">
        <v>227.05</v>
      </c>
      <c r="D1568">
        <v>3.294</v>
      </c>
      <c r="E1568">
        <v>16.399999999999999</v>
      </c>
      <c r="F1568">
        <v>6.0309999999999997</v>
      </c>
      <c r="G1568">
        <v>2.21</v>
      </c>
      <c r="H1568">
        <v>1.78</v>
      </c>
      <c r="I1568">
        <v>40.345999999999997</v>
      </c>
      <c r="J1568">
        <v>29.948</v>
      </c>
      <c r="K1568">
        <v>10.321999999999999</v>
      </c>
      <c r="L1568">
        <v>1.31</v>
      </c>
      <c r="M1568">
        <v>3.6259999999999999</v>
      </c>
      <c r="N1568">
        <v>0.124</v>
      </c>
      <c r="O1568">
        <v>2.5230000000000001</v>
      </c>
      <c r="P1568">
        <v>0.67</v>
      </c>
    </row>
    <row r="1569" spans="1:16" x14ac:dyDescent="0.25">
      <c r="A1569" s="1">
        <v>43473</v>
      </c>
      <c r="B1569">
        <v>9.782</v>
      </c>
      <c r="C1569">
        <v>226.49</v>
      </c>
      <c r="D1569">
        <v>3.25</v>
      </c>
      <c r="E1569">
        <v>16.07</v>
      </c>
      <c r="F1569">
        <v>6.0309999999999997</v>
      </c>
      <c r="G1569">
        <v>2.3010000000000002</v>
      </c>
      <c r="H1569">
        <v>1.8</v>
      </c>
      <c r="I1569">
        <v>40.356000000000002</v>
      </c>
      <c r="J1569">
        <v>30.577999999999999</v>
      </c>
      <c r="K1569">
        <v>10.048999999999999</v>
      </c>
      <c r="L1569">
        <v>1.31</v>
      </c>
      <c r="M1569">
        <v>3.6259999999999999</v>
      </c>
      <c r="N1569">
        <v>0.123</v>
      </c>
      <c r="O1569">
        <v>2.484</v>
      </c>
      <c r="P1569">
        <v>0.67</v>
      </c>
    </row>
    <row r="1570" spans="1:16" x14ac:dyDescent="0.25">
      <c r="A1570" s="1">
        <v>43474</v>
      </c>
      <c r="B1570">
        <v>9.8800000000000008</v>
      </c>
      <c r="C1570">
        <v>227.2</v>
      </c>
      <c r="D1570">
        <v>3.3380000000000001</v>
      </c>
      <c r="E1570">
        <v>16.23</v>
      </c>
      <c r="F1570">
        <v>6.1340000000000003</v>
      </c>
      <c r="G1570">
        <v>2.2919999999999998</v>
      </c>
      <c r="H1570">
        <v>1.8</v>
      </c>
      <c r="I1570">
        <v>40.442999999999998</v>
      </c>
      <c r="J1570">
        <v>30.87</v>
      </c>
      <c r="K1570">
        <v>10.199999999999999</v>
      </c>
      <c r="L1570">
        <v>1.4159999999999999</v>
      </c>
      <c r="M1570">
        <v>3.6259999999999999</v>
      </c>
      <c r="N1570">
        <v>0.13</v>
      </c>
      <c r="O1570">
        <v>2.5430000000000001</v>
      </c>
      <c r="P1570">
        <v>0.7</v>
      </c>
    </row>
    <row r="1571" spans="1:16" x14ac:dyDescent="0.25">
      <c r="A1571" s="1">
        <v>43475</v>
      </c>
      <c r="B1571">
        <v>9.9280000000000008</v>
      </c>
      <c r="C1571">
        <v>230.5</v>
      </c>
      <c r="D1571">
        <v>3.3820000000000001</v>
      </c>
      <c r="E1571">
        <v>16.600000000000001</v>
      </c>
      <c r="F1571">
        <v>6.1820000000000004</v>
      </c>
      <c r="G1571">
        <v>2.31</v>
      </c>
      <c r="H1571">
        <v>1.95</v>
      </c>
      <c r="I1571">
        <v>40.451999999999998</v>
      </c>
      <c r="J1571">
        <v>31.064</v>
      </c>
      <c r="K1571">
        <v>10.285</v>
      </c>
      <c r="L1571">
        <v>1.349</v>
      </c>
      <c r="M1571">
        <v>3.6259999999999999</v>
      </c>
      <c r="N1571">
        <v>0.13</v>
      </c>
      <c r="O1571">
        <v>2.5430000000000001</v>
      </c>
      <c r="P1571">
        <v>0.67</v>
      </c>
    </row>
    <row r="1572" spans="1:16" x14ac:dyDescent="0.25">
      <c r="A1572" s="1">
        <v>43476</v>
      </c>
      <c r="B1572">
        <v>9.8989999999999991</v>
      </c>
      <c r="C1572">
        <v>228.65</v>
      </c>
      <c r="D1572">
        <v>3.3380000000000001</v>
      </c>
      <c r="E1572">
        <v>15.9</v>
      </c>
      <c r="F1572">
        <v>6.2380000000000004</v>
      </c>
      <c r="G1572">
        <v>2.3010000000000002</v>
      </c>
      <c r="H1572">
        <v>2.0499999999999998</v>
      </c>
      <c r="I1572">
        <v>40.597000000000001</v>
      </c>
      <c r="J1572">
        <v>31.064</v>
      </c>
      <c r="K1572">
        <v>10.285</v>
      </c>
      <c r="L1572">
        <v>1.339</v>
      </c>
      <c r="M1572">
        <v>3.6259999999999999</v>
      </c>
      <c r="N1572">
        <v>0.13200000000000001</v>
      </c>
      <c r="O1572">
        <v>2.5430000000000001</v>
      </c>
      <c r="P1572">
        <v>0.7</v>
      </c>
    </row>
    <row r="1573" spans="1:16" x14ac:dyDescent="0.25">
      <c r="A1573" s="1">
        <v>43479</v>
      </c>
      <c r="B1573">
        <v>9.9770000000000003</v>
      </c>
      <c r="C1573">
        <v>230.49</v>
      </c>
      <c r="D1573">
        <v>3.3380000000000001</v>
      </c>
      <c r="E1573">
        <v>15.86</v>
      </c>
      <c r="F1573">
        <v>6.2850000000000001</v>
      </c>
      <c r="G1573">
        <v>2.3010000000000002</v>
      </c>
      <c r="H1573">
        <v>2</v>
      </c>
      <c r="I1573">
        <v>40.597000000000001</v>
      </c>
      <c r="J1573">
        <v>31.064</v>
      </c>
      <c r="K1573">
        <v>10.294</v>
      </c>
      <c r="L1573">
        <v>1.349</v>
      </c>
      <c r="M1573">
        <v>3.6259999999999999</v>
      </c>
      <c r="N1573">
        <v>0.13</v>
      </c>
      <c r="O1573">
        <v>2.5430000000000001</v>
      </c>
      <c r="P1573">
        <v>0.7</v>
      </c>
    </row>
    <row r="1574" spans="1:16" x14ac:dyDescent="0.25">
      <c r="A1574" s="1">
        <v>43480</v>
      </c>
      <c r="B1574">
        <v>9.9770000000000003</v>
      </c>
      <c r="C1574">
        <v>231.3</v>
      </c>
      <c r="D1574">
        <v>3.3559999999999999</v>
      </c>
      <c r="E1574">
        <v>15</v>
      </c>
      <c r="F1574">
        <v>6.2850000000000001</v>
      </c>
      <c r="G1574">
        <v>2.2650000000000001</v>
      </c>
      <c r="H1574">
        <v>2.0499999999999998</v>
      </c>
      <c r="I1574">
        <v>41.887</v>
      </c>
      <c r="J1574">
        <v>31.84</v>
      </c>
      <c r="K1574">
        <v>10.19</v>
      </c>
      <c r="L1574">
        <v>1.387</v>
      </c>
      <c r="M1574">
        <v>3.6259999999999999</v>
      </c>
      <c r="N1574">
        <v>0.13300000000000001</v>
      </c>
      <c r="O1574">
        <v>2.5430000000000001</v>
      </c>
      <c r="P1574">
        <v>0.71</v>
      </c>
    </row>
    <row r="1575" spans="1:16" x14ac:dyDescent="0.25">
      <c r="A1575" s="1">
        <v>43481</v>
      </c>
      <c r="B1575">
        <v>9.9770000000000003</v>
      </c>
      <c r="C1575">
        <v>231.76</v>
      </c>
      <c r="D1575">
        <v>3.3559999999999999</v>
      </c>
      <c r="E1575">
        <v>15.26</v>
      </c>
      <c r="F1575">
        <v>6.2380000000000004</v>
      </c>
      <c r="G1575">
        <v>2.2559999999999998</v>
      </c>
      <c r="H1575">
        <v>2</v>
      </c>
      <c r="I1575">
        <v>41.502000000000002</v>
      </c>
      <c r="J1575">
        <v>31.937999999999999</v>
      </c>
      <c r="K1575">
        <v>10.19</v>
      </c>
      <c r="L1575">
        <v>1.4059999999999999</v>
      </c>
      <c r="M1575">
        <v>3.6259999999999999</v>
      </c>
      <c r="N1575">
        <v>0.13500000000000001</v>
      </c>
      <c r="O1575">
        <v>2.5430000000000001</v>
      </c>
      <c r="P1575">
        <v>0.74</v>
      </c>
    </row>
    <row r="1576" spans="1:16" x14ac:dyDescent="0.25">
      <c r="A1576" s="1">
        <v>43482</v>
      </c>
      <c r="B1576">
        <v>9.9770000000000003</v>
      </c>
      <c r="C1576">
        <v>233.45</v>
      </c>
      <c r="D1576">
        <v>3.3820000000000001</v>
      </c>
      <c r="E1576">
        <v>15.43</v>
      </c>
      <c r="F1576">
        <v>6.266</v>
      </c>
      <c r="G1576">
        <v>2.2469999999999999</v>
      </c>
      <c r="H1576">
        <v>2.02</v>
      </c>
      <c r="I1576">
        <v>42.369</v>
      </c>
      <c r="J1576">
        <v>32.034999999999997</v>
      </c>
      <c r="K1576">
        <v>10.19</v>
      </c>
      <c r="L1576">
        <v>1.4159999999999999</v>
      </c>
      <c r="M1576">
        <v>3.6259999999999999</v>
      </c>
      <c r="N1576">
        <v>0.13300000000000001</v>
      </c>
      <c r="O1576">
        <v>2.3959999999999999</v>
      </c>
      <c r="P1576">
        <v>0.73</v>
      </c>
    </row>
    <row r="1577" spans="1:16" x14ac:dyDescent="0.25">
      <c r="A1577" s="1">
        <v>43483</v>
      </c>
      <c r="B1577">
        <v>9.9380000000000006</v>
      </c>
      <c r="C1577">
        <v>231</v>
      </c>
      <c r="D1577">
        <v>3.3380000000000001</v>
      </c>
      <c r="E1577">
        <v>15.05</v>
      </c>
      <c r="F1577">
        <v>6.2850000000000001</v>
      </c>
      <c r="G1577">
        <v>2.2650000000000001</v>
      </c>
      <c r="H1577">
        <v>2</v>
      </c>
      <c r="I1577">
        <v>43.332000000000001</v>
      </c>
      <c r="J1577">
        <v>32.034999999999997</v>
      </c>
      <c r="K1577">
        <v>10.19</v>
      </c>
      <c r="L1577">
        <v>1.4159999999999999</v>
      </c>
      <c r="M1577">
        <v>3.4950000000000001</v>
      </c>
      <c r="N1577">
        <v>0.13300000000000001</v>
      </c>
      <c r="O1577">
        <v>2.3959999999999999</v>
      </c>
      <c r="P1577">
        <v>0.74</v>
      </c>
    </row>
    <row r="1578" spans="1:16" x14ac:dyDescent="0.25">
      <c r="A1578" s="1">
        <v>43486</v>
      </c>
      <c r="B1578">
        <v>9.9280000000000008</v>
      </c>
      <c r="C1578">
        <v>233</v>
      </c>
      <c r="D1578">
        <v>3.3380000000000001</v>
      </c>
      <c r="E1578">
        <v>15.05</v>
      </c>
      <c r="F1578">
        <v>6.2480000000000002</v>
      </c>
      <c r="G1578">
        <v>2.2650000000000001</v>
      </c>
      <c r="H1578">
        <v>1.82</v>
      </c>
      <c r="I1578">
        <v>43.234999999999999</v>
      </c>
      <c r="J1578">
        <v>31.84</v>
      </c>
      <c r="K1578">
        <v>10.19</v>
      </c>
      <c r="L1578">
        <v>1.387</v>
      </c>
      <c r="M1578">
        <v>3.4950000000000001</v>
      </c>
      <c r="N1578">
        <v>0.13700000000000001</v>
      </c>
      <c r="O1578">
        <v>2.3959999999999999</v>
      </c>
      <c r="P1578">
        <v>0.71</v>
      </c>
    </row>
    <row r="1579" spans="1:16" x14ac:dyDescent="0.25">
      <c r="A1579" s="1">
        <v>43487</v>
      </c>
      <c r="B1579">
        <v>9.9280000000000008</v>
      </c>
      <c r="C1579">
        <v>230.12</v>
      </c>
      <c r="D1579">
        <v>3.3380000000000001</v>
      </c>
      <c r="E1579">
        <v>15.41</v>
      </c>
      <c r="F1579">
        <v>6.1340000000000003</v>
      </c>
      <c r="G1579">
        <v>2.2559999999999998</v>
      </c>
      <c r="H1579">
        <v>1.99</v>
      </c>
      <c r="I1579">
        <v>42.176000000000002</v>
      </c>
      <c r="J1579">
        <v>31.559000000000001</v>
      </c>
      <c r="K1579">
        <v>10.19</v>
      </c>
      <c r="L1579">
        <v>1.387</v>
      </c>
      <c r="M1579">
        <v>3.4860000000000002</v>
      </c>
      <c r="N1579">
        <v>0.13500000000000001</v>
      </c>
      <c r="O1579">
        <v>2.4449999999999998</v>
      </c>
      <c r="P1579">
        <v>0.71</v>
      </c>
    </row>
    <row r="1580" spans="1:16" x14ac:dyDescent="0.25">
      <c r="A1580" s="1">
        <v>43488</v>
      </c>
      <c r="B1580">
        <v>9.9770000000000003</v>
      </c>
      <c r="C1580">
        <v>234.3</v>
      </c>
      <c r="D1580">
        <v>3.3380000000000001</v>
      </c>
      <c r="E1580">
        <v>15.2</v>
      </c>
      <c r="F1580">
        <v>6.1340000000000003</v>
      </c>
      <c r="G1580">
        <v>2.238</v>
      </c>
      <c r="H1580">
        <v>1.96</v>
      </c>
      <c r="I1580">
        <v>41.887</v>
      </c>
      <c r="J1580">
        <v>31.548999999999999</v>
      </c>
      <c r="K1580">
        <v>10.19</v>
      </c>
      <c r="L1580">
        <v>1.387</v>
      </c>
      <c r="M1580">
        <v>3.4860000000000002</v>
      </c>
      <c r="N1580">
        <v>0.13500000000000001</v>
      </c>
      <c r="O1580">
        <v>2.3959999999999999</v>
      </c>
      <c r="P1580">
        <v>0.74</v>
      </c>
    </row>
    <row r="1581" spans="1:16" x14ac:dyDescent="0.25">
      <c r="A1581" s="1">
        <v>43489</v>
      </c>
      <c r="B1581">
        <v>10.055999999999999</v>
      </c>
      <c r="C1581">
        <v>235.1</v>
      </c>
      <c r="D1581">
        <v>3.3559999999999999</v>
      </c>
      <c r="E1581">
        <v>15.17</v>
      </c>
      <c r="F1581">
        <v>6.1340000000000003</v>
      </c>
      <c r="G1581">
        <v>2.238</v>
      </c>
      <c r="H1581">
        <v>2.0099999999999998</v>
      </c>
      <c r="I1581">
        <v>41.868000000000002</v>
      </c>
      <c r="J1581">
        <v>31.548999999999999</v>
      </c>
      <c r="K1581">
        <v>10.285</v>
      </c>
      <c r="L1581">
        <v>1.4059999999999999</v>
      </c>
      <c r="M1581">
        <v>3.4860000000000002</v>
      </c>
      <c r="N1581">
        <v>0.13300000000000001</v>
      </c>
      <c r="O1581">
        <v>2.5430000000000001</v>
      </c>
      <c r="P1581">
        <v>0.76</v>
      </c>
    </row>
    <row r="1582" spans="1:16" x14ac:dyDescent="0.25">
      <c r="A1582" s="1">
        <v>43490</v>
      </c>
      <c r="B1582">
        <v>10.32</v>
      </c>
      <c r="C1582">
        <v>236.1</v>
      </c>
      <c r="D1582">
        <v>3.3559999999999999</v>
      </c>
      <c r="E1582">
        <v>15.5</v>
      </c>
      <c r="F1582">
        <v>6.1820000000000004</v>
      </c>
      <c r="G1582">
        <v>2.3010000000000002</v>
      </c>
      <c r="H1582">
        <v>2.0099999999999998</v>
      </c>
      <c r="I1582">
        <v>42.08</v>
      </c>
      <c r="J1582">
        <v>32.034999999999997</v>
      </c>
      <c r="K1582">
        <v>10.19</v>
      </c>
      <c r="L1582">
        <v>1.4159999999999999</v>
      </c>
      <c r="M1582">
        <v>3.3639999999999999</v>
      </c>
      <c r="N1582">
        <v>0.13</v>
      </c>
      <c r="O1582">
        <v>2.5430000000000001</v>
      </c>
      <c r="P1582">
        <v>0.75</v>
      </c>
    </row>
    <row r="1583" spans="1:16" x14ac:dyDescent="0.25">
      <c r="A1583" s="1">
        <v>43493</v>
      </c>
      <c r="B1583">
        <v>10.222</v>
      </c>
      <c r="C1583">
        <v>235.51</v>
      </c>
      <c r="D1583">
        <v>3.3380000000000001</v>
      </c>
      <c r="E1583">
        <v>15.55</v>
      </c>
      <c r="F1583">
        <v>6.1630000000000003</v>
      </c>
      <c r="G1583">
        <v>2.3010000000000002</v>
      </c>
      <c r="H1583">
        <v>2.0099999999999998</v>
      </c>
      <c r="I1583">
        <v>42.08</v>
      </c>
      <c r="J1583">
        <v>32.034999999999997</v>
      </c>
      <c r="K1583">
        <v>10.19</v>
      </c>
      <c r="L1583">
        <v>1.4159999999999999</v>
      </c>
      <c r="M1583">
        <v>3.3639999999999999</v>
      </c>
      <c r="N1583">
        <v>0.13300000000000001</v>
      </c>
      <c r="O1583">
        <v>2.5430000000000001</v>
      </c>
      <c r="P1583">
        <v>0.74</v>
      </c>
    </row>
    <row r="1584" spans="1:16" x14ac:dyDescent="0.25">
      <c r="A1584" s="1">
        <v>43494</v>
      </c>
      <c r="B1584">
        <v>10.222</v>
      </c>
      <c r="C1584">
        <v>239</v>
      </c>
      <c r="D1584">
        <v>3.3380000000000001</v>
      </c>
      <c r="E1584">
        <v>15.76</v>
      </c>
      <c r="F1584">
        <v>6.1820000000000004</v>
      </c>
      <c r="G1584">
        <v>2.3010000000000002</v>
      </c>
      <c r="H1584">
        <v>2</v>
      </c>
      <c r="I1584">
        <v>42.561</v>
      </c>
      <c r="J1584">
        <v>32.616999999999997</v>
      </c>
      <c r="K1584">
        <v>10.247</v>
      </c>
      <c r="L1584">
        <v>1.387</v>
      </c>
      <c r="M1584">
        <v>3.3639999999999999</v>
      </c>
      <c r="N1584">
        <v>0.13300000000000001</v>
      </c>
      <c r="O1584">
        <v>2.5430000000000001</v>
      </c>
      <c r="P1584">
        <v>0.73</v>
      </c>
    </row>
    <row r="1585" spans="1:16" x14ac:dyDescent="0.25">
      <c r="A1585" s="1">
        <v>43495</v>
      </c>
      <c r="B1585">
        <v>10.242000000000001</v>
      </c>
      <c r="C1585">
        <v>238</v>
      </c>
      <c r="D1585">
        <v>3.3380000000000001</v>
      </c>
      <c r="E1585">
        <v>15.34</v>
      </c>
      <c r="F1585">
        <v>6.2190000000000003</v>
      </c>
      <c r="G1585">
        <v>2.2829999999999999</v>
      </c>
      <c r="H1585">
        <v>2</v>
      </c>
      <c r="I1585">
        <v>43.332000000000001</v>
      </c>
      <c r="J1585">
        <v>33.151000000000003</v>
      </c>
      <c r="K1585">
        <v>10.247</v>
      </c>
      <c r="L1585">
        <v>1.387</v>
      </c>
      <c r="M1585">
        <v>3.3639999999999999</v>
      </c>
      <c r="N1585">
        <v>0.13300000000000001</v>
      </c>
      <c r="O1585">
        <v>2.5230000000000001</v>
      </c>
      <c r="P1585">
        <v>0.75</v>
      </c>
    </row>
    <row r="1586" spans="1:16" x14ac:dyDescent="0.25">
      <c r="A1586" s="1">
        <v>43496</v>
      </c>
      <c r="B1586">
        <v>10.33</v>
      </c>
      <c r="C1586">
        <v>242.96</v>
      </c>
      <c r="D1586">
        <v>3.3820000000000001</v>
      </c>
      <c r="E1586">
        <v>15.4</v>
      </c>
      <c r="F1586">
        <v>6.37</v>
      </c>
      <c r="G1586">
        <v>2.2829999999999999</v>
      </c>
      <c r="H1586">
        <v>2</v>
      </c>
      <c r="I1586">
        <v>44.293999999999997</v>
      </c>
      <c r="J1586">
        <v>33.151000000000003</v>
      </c>
      <c r="K1586">
        <v>10.19</v>
      </c>
      <c r="L1586">
        <v>1.4159999999999999</v>
      </c>
      <c r="M1586">
        <v>3.4510000000000001</v>
      </c>
      <c r="N1586">
        <v>0.13300000000000001</v>
      </c>
      <c r="O1586">
        <v>2.5430000000000001</v>
      </c>
      <c r="P1586">
        <v>0.75</v>
      </c>
    </row>
    <row r="1587" spans="1:16" x14ac:dyDescent="0.25">
      <c r="A1587" s="1">
        <v>43497</v>
      </c>
      <c r="B1587">
        <v>11.053000000000001</v>
      </c>
      <c r="C1587">
        <v>242.5</v>
      </c>
      <c r="D1587">
        <v>3.4260000000000002</v>
      </c>
      <c r="E1587">
        <v>15.44</v>
      </c>
      <c r="F1587">
        <v>6.3419999999999996</v>
      </c>
      <c r="G1587">
        <v>2.3370000000000002</v>
      </c>
      <c r="H1587">
        <v>2</v>
      </c>
      <c r="I1587">
        <v>44.439</v>
      </c>
      <c r="J1587">
        <v>33.200000000000003</v>
      </c>
      <c r="K1587">
        <v>10.19</v>
      </c>
      <c r="L1587">
        <v>1.4159999999999999</v>
      </c>
      <c r="M1587">
        <v>3.4510000000000001</v>
      </c>
      <c r="N1587">
        <v>0.13</v>
      </c>
      <c r="O1587">
        <v>2.64</v>
      </c>
      <c r="P1587">
        <v>0.75</v>
      </c>
    </row>
    <row r="1588" spans="1:16" x14ac:dyDescent="0.25">
      <c r="A1588" s="1">
        <v>43500</v>
      </c>
      <c r="B1588">
        <v>11.298</v>
      </c>
      <c r="C1588">
        <v>245.65</v>
      </c>
      <c r="D1588">
        <v>3.4089999999999998</v>
      </c>
      <c r="E1588">
        <v>15.66</v>
      </c>
      <c r="F1588">
        <v>6.3230000000000004</v>
      </c>
      <c r="G1588">
        <v>2.355</v>
      </c>
      <c r="H1588">
        <v>1.98</v>
      </c>
      <c r="I1588">
        <v>44.439</v>
      </c>
      <c r="J1588">
        <v>33.247999999999998</v>
      </c>
      <c r="K1588">
        <v>10.199999999999999</v>
      </c>
      <c r="L1588">
        <v>1.4159999999999999</v>
      </c>
      <c r="M1588">
        <v>3.407</v>
      </c>
      <c r="N1588">
        <v>0.13100000000000001</v>
      </c>
      <c r="O1588">
        <v>2.6309999999999998</v>
      </c>
      <c r="P1588">
        <v>0.74</v>
      </c>
    </row>
    <row r="1589" spans="1:16" x14ac:dyDescent="0.25">
      <c r="A1589" s="1">
        <v>43501</v>
      </c>
      <c r="B1589">
        <v>11.102</v>
      </c>
      <c r="C1589">
        <v>248.85</v>
      </c>
      <c r="D1589">
        <v>3.4089999999999998</v>
      </c>
      <c r="E1589">
        <v>15.8</v>
      </c>
      <c r="F1589">
        <v>6.3230000000000004</v>
      </c>
      <c r="G1589">
        <v>2.355</v>
      </c>
      <c r="H1589">
        <v>1.93</v>
      </c>
      <c r="I1589">
        <v>44.439</v>
      </c>
      <c r="J1589">
        <v>33.005000000000003</v>
      </c>
      <c r="K1589">
        <v>10.19</v>
      </c>
      <c r="L1589">
        <v>1.4159999999999999</v>
      </c>
      <c r="M1589">
        <v>3.407</v>
      </c>
      <c r="N1589">
        <v>0.13</v>
      </c>
      <c r="O1589">
        <v>2.621</v>
      </c>
      <c r="P1589">
        <v>0.72</v>
      </c>
    </row>
    <row r="1590" spans="1:16" x14ac:dyDescent="0.25">
      <c r="A1590" s="1">
        <v>43502</v>
      </c>
      <c r="B1590">
        <v>11.053000000000001</v>
      </c>
      <c r="C1590">
        <v>246.7</v>
      </c>
      <c r="D1590">
        <v>3.4260000000000002</v>
      </c>
      <c r="E1590">
        <v>15.95</v>
      </c>
      <c r="F1590">
        <v>6.2949999999999999</v>
      </c>
      <c r="G1590">
        <v>2.3460000000000001</v>
      </c>
      <c r="H1590">
        <v>1.9</v>
      </c>
      <c r="I1590">
        <v>44.293999999999997</v>
      </c>
      <c r="J1590">
        <v>33.005000000000003</v>
      </c>
      <c r="K1590">
        <v>10.19</v>
      </c>
      <c r="L1590">
        <v>1.4059999999999999</v>
      </c>
      <c r="M1590">
        <v>3.407</v>
      </c>
      <c r="N1590">
        <v>0.13100000000000001</v>
      </c>
      <c r="O1590">
        <v>2.6309999999999998</v>
      </c>
      <c r="P1590">
        <v>0.73</v>
      </c>
    </row>
    <row r="1591" spans="1:16" x14ac:dyDescent="0.25">
      <c r="A1591" s="1">
        <v>43503</v>
      </c>
      <c r="B1591">
        <v>11.21</v>
      </c>
      <c r="C1591">
        <v>237.1</v>
      </c>
      <c r="D1591">
        <v>3.47</v>
      </c>
      <c r="E1591">
        <v>15.97</v>
      </c>
      <c r="F1591">
        <v>6.4459999999999997</v>
      </c>
      <c r="G1591">
        <v>2.355</v>
      </c>
      <c r="H1591">
        <v>1.92</v>
      </c>
      <c r="I1591">
        <v>44.293999999999997</v>
      </c>
      <c r="J1591">
        <v>32.520000000000003</v>
      </c>
      <c r="K1591">
        <v>10.379</v>
      </c>
      <c r="L1591">
        <v>1.425</v>
      </c>
      <c r="M1591">
        <v>3.4510000000000001</v>
      </c>
      <c r="N1591">
        <v>0.13400000000000001</v>
      </c>
      <c r="O1591">
        <v>2.65</v>
      </c>
      <c r="P1591">
        <v>0.74</v>
      </c>
    </row>
    <row r="1592" spans="1:16" x14ac:dyDescent="0.25">
      <c r="A1592" s="1">
        <v>43504</v>
      </c>
      <c r="B1592">
        <v>11.21</v>
      </c>
      <c r="C1592">
        <v>241.03</v>
      </c>
      <c r="D1592">
        <v>3.4260000000000002</v>
      </c>
      <c r="E1592">
        <v>16.2</v>
      </c>
      <c r="F1592">
        <v>6.37</v>
      </c>
      <c r="G1592">
        <v>2.3460000000000001</v>
      </c>
      <c r="H1592">
        <v>1.9</v>
      </c>
      <c r="I1592">
        <v>44.293999999999997</v>
      </c>
      <c r="J1592">
        <v>31.792000000000002</v>
      </c>
      <c r="K1592">
        <v>10.379</v>
      </c>
      <c r="L1592">
        <v>1.425</v>
      </c>
      <c r="M1592">
        <v>3.4510000000000001</v>
      </c>
      <c r="N1592">
        <v>0.13300000000000001</v>
      </c>
      <c r="O1592">
        <v>2.67</v>
      </c>
      <c r="P1592">
        <v>0.73</v>
      </c>
    </row>
    <row r="1593" spans="1:16" x14ac:dyDescent="0.25">
      <c r="A1593" s="1">
        <v>43507</v>
      </c>
      <c r="B1593">
        <v>11.151</v>
      </c>
      <c r="C1593">
        <v>236</v>
      </c>
      <c r="D1593">
        <v>3.4169999999999998</v>
      </c>
      <c r="E1593">
        <v>16.100000000000001</v>
      </c>
      <c r="F1593">
        <v>6.2759999999999998</v>
      </c>
      <c r="G1593">
        <v>2.3279999999999998</v>
      </c>
      <c r="H1593">
        <v>1.9</v>
      </c>
      <c r="I1593">
        <v>44.293999999999997</v>
      </c>
      <c r="J1593">
        <v>32.034999999999997</v>
      </c>
      <c r="K1593">
        <v>10.379</v>
      </c>
      <c r="L1593">
        <v>1.425</v>
      </c>
      <c r="M1593">
        <v>3.4510000000000001</v>
      </c>
      <c r="N1593">
        <v>0.13</v>
      </c>
      <c r="O1593">
        <v>2.64</v>
      </c>
      <c r="P1593">
        <v>0.73</v>
      </c>
    </row>
    <row r="1594" spans="1:16" x14ac:dyDescent="0.25">
      <c r="A1594" s="1">
        <v>43508</v>
      </c>
      <c r="B1594">
        <v>11.063000000000001</v>
      </c>
      <c r="C1594">
        <v>239.3</v>
      </c>
      <c r="D1594">
        <v>3.4169999999999998</v>
      </c>
      <c r="E1594">
        <v>16.100000000000001</v>
      </c>
      <c r="F1594">
        <v>6.21</v>
      </c>
      <c r="G1594">
        <v>2.3460000000000001</v>
      </c>
      <c r="H1594">
        <v>1.9</v>
      </c>
      <c r="I1594">
        <v>44.293999999999997</v>
      </c>
      <c r="J1594">
        <v>32.034999999999997</v>
      </c>
      <c r="K1594">
        <v>10.454000000000001</v>
      </c>
      <c r="L1594">
        <v>1.4730000000000001</v>
      </c>
      <c r="M1594">
        <v>3.4510000000000001</v>
      </c>
      <c r="N1594">
        <v>0.13</v>
      </c>
      <c r="O1594">
        <v>2.6429999999999998</v>
      </c>
      <c r="P1594">
        <v>0.73</v>
      </c>
    </row>
    <row r="1595" spans="1:16" x14ac:dyDescent="0.25">
      <c r="A1595" s="1">
        <v>43509</v>
      </c>
      <c r="B1595">
        <v>11.112</v>
      </c>
      <c r="C1595">
        <v>238.05</v>
      </c>
      <c r="D1595">
        <v>3.4169999999999998</v>
      </c>
      <c r="E1595">
        <v>16.100000000000001</v>
      </c>
      <c r="F1595">
        <v>6.2</v>
      </c>
      <c r="G1595">
        <v>2.3370000000000002</v>
      </c>
      <c r="H1595">
        <v>1.9</v>
      </c>
      <c r="I1595">
        <v>45.256999999999998</v>
      </c>
      <c r="J1595">
        <v>32.034999999999997</v>
      </c>
      <c r="K1595">
        <v>10.615</v>
      </c>
      <c r="L1595">
        <v>1.53</v>
      </c>
      <c r="M1595">
        <v>3.407</v>
      </c>
      <c r="N1595">
        <v>0.15</v>
      </c>
      <c r="O1595">
        <v>2.5840000000000001</v>
      </c>
      <c r="P1595">
        <v>0.73</v>
      </c>
    </row>
    <row r="1596" spans="1:16" x14ac:dyDescent="0.25">
      <c r="A1596" s="1">
        <v>43510</v>
      </c>
      <c r="B1596">
        <v>11.151</v>
      </c>
      <c r="C1596">
        <v>236</v>
      </c>
      <c r="D1596">
        <v>3.3380000000000001</v>
      </c>
      <c r="E1596">
        <v>16.5</v>
      </c>
      <c r="F1596">
        <v>6.1340000000000003</v>
      </c>
      <c r="G1596">
        <v>2.3650000000000002</v>
      </c>
      <c r="H1596">
        <v>1.86</v>
      </c>
      <c r="I1596">
        <v>45.267000000000003</v>
      </c>
      <c r="J1596">
        <v>32.326000000000001</v>
      </c>
      <c r="K1596">
        <v>10.851000000000001</v>
      </c>
      <c r="L1596">
        <v>1.53</v>
      </c>
      <c r="M1596">
        <v>3.407</v>
      </c>
      <c r="N1596">
        <v>0.14899999999999999</v>
      </c>
      <c r="O1596">
        <v>2.6240000000000001</v>
      </c>
      <c r="P1596">
        <v>0.73</v>
      </c>
    </row>
    <row r="1597" spans="1:16" x14ac:dyDescent="0.25">
      <c r="A1597" s="1">
        <v>43511</v>
      </c>
      <c r="B1597">
        <v>11.102</v>
      </c>
      <c r="C1597">
        <v>239</v>
      </c>
      <c r="D1597">
        <v>3.347</v>
      </c>
      <c r="E1597">
        <v>16.510000000000002</v>
      </c>
      <c r="F1597">
        <v>6.1909999999999998</v>
      </c>
      <c r="G1597">
        <v>2.41</v>
      </c>
      <c r="H1597">
        <v>1.86</v>
      </c>
      <c r="I1597">
        <v>45.256999999999998</v>
      </c>
      <c r="J1597">
        <v>32.520000000000003</v>
      </c>
      <c r="K1597">
        <v>10.615</v>
      </c>
      <c r="L1597">
        <v>1.5109999999999999</v>
      </c>
      <c r="M1597">
        <v>3.407</v>
      </c>
      <c r="N1597">
        <v>0.14099999999999999</v>
      </c>
      <c r="O1597">
        <v>2.6339999999999999</v>
      </c>
      <c r="P1597">
        <v>0.72</v>
      </c>
    </row>
    <row r="1598" spans="1:16" x14ac:dyDescent="0.25">
      <c r="A1598" s="1">
        <v>43514</v>
      </c>
      <c r="B1598">
        <v>10.956</v>
      </c>
      <c r="C1598">
        <v>239</v>
      </c>
      <c r="D1598">
        <v>3.3380000000000001</v>
      </c>
      <c r="E1598">
        <v>16.55</v>
      </c>
      <c r="F1598">
        <v>6.1340000000000003</v>
      </c>
      <c r="G1598">
        <v>2.41</v>
      </c>
      <c r="H1598">
        <v>1.83</v>
      </c>
      <c r="I1598">
        <v>45.256999999999998</v>
      </c>
      <c r="J1598">
        <v>33.005000000000003</v>
      </c>
      <c r="K1598">
        <v>10.473000000000001</v>
      </c>
      <c r="L1598">
        <v>1.5109999999999999</v>
      </c>
      <c r="M1598">
        <v>3.407</v>
      </c>
      <c r="N1598">
        <v>0.14099999999999999</v>
      </c>
      <c r="O1598">
        <v>2.6139999999999999</v>
      </c>
      <c r="P1598">
        <v>0.69</v>
      </c>
    </row>
    <row r="1599" spans="1:16" x14ac:dyDescent="0.25">
      <c r="A1599" s="1">
        <v>43515</v>
      </c>
      <c r="B1599">
        <v>11.013999999999999</v>
      </c>
      <c r="C1599">
        <v>239.5</v>
      </c>
      <c r="D1599">
        <v>3.3380000000000001</v>
      </c>
      <c r="E1599">
        <v>16.600000000000001</v>
      </c>
      <c r="F1599">
        <v>6.0869999999999997</v>
      </c>
      <c r="G1599">
        <v>2.41</v>
      </c>
      <c r="H1599">
        <v>1.83</v>
      </c>
      <c r="I1599">
        <v>45.256999999999998</v>
      </c>
      <c r="J1599">
        <v>33.005000000000003</v>
      </c>
      <c r="K1599">
        <v>10.568</v>
      </c>
      <c r="L1599">
        <v>1.53</v>
      </c>
      <c r="M1599">
        <v>3.407</v>
      </c>
      <c r="N1599">
        <v>0.14199999999999999</v>
      </c>
      <c r="O1599">
        <v>2.6139999999999999</v>
      </c>
      <c r="P1599">
        <v>0.69</v>
      </c>
    </row>
    <row r="1600" spans="1:16" x14ac:dyDescent="0.25">
      <c r="A1600" s="1">
        <v>43516</v>
      </c>
      <c r="B1600">
        <v>10.956</v>
      </c>
      <c r="C1600">
        <v>240.6</v>
      </c>
      <c r="D1600">
        <v>3.3380000000000001</v>
      </c>
      <c r="E1600">
        <v>16.8</v>
      </c>
      <c r="F1600">
        <v>6.0869999999999997</v>
      </c>
      <c r="G1600">
        <v>2.41</v>
      </c>
      <c r="H1600">
        <v>1.83</v>
      </c>
      <c r="I1600">
        <v>45.256999999999998</v>
      </c>
      <c r="J1600">
        <v>33.005000000000003</v>
      </c>
      <c r="K1600">
        <v>10.568</v>
      </c>
      <c r="L1600">
        <v>1.5780000000000001</v>
      </c>
      <c r="M1600">
        <v>3.407</v>
      </c>
      <c r="N1600">
        <v>0.14399999999999999</v>
      </c>
      <c r="O1600">
        <v>2.6139999999999999</v>
      </c>
      <c r="P1600">
        <v>0.69</v>
      </c>
    </row>
    <row r="1601" spans="1:16" x14ac:dyDescent="0.25">
      <c r="A1601" s="1">
        <v>43517</v>
      </c>
      <c r="B1601">
        <v>10.956</v>
      </c>
      <c r="C1601">
        <v>238.8</v>
      </c>
      <c r="D1601">
        <v>3.3380000000000001</v>
      </c>
      <c r="E1601">
        <v>16.55</v>
      </c>
      <c r="F1601">
        <v>6.0869999999999997</v>
      </c>
      <c r="G1601">
        <v>2.3279999999999998</v>
      </c>
      <c r="H1601">
        <v>1.78</v>
      </c>
      <c r="I1601">
        <v>44.293999999999997</v>
      </c>
      <c r="J1601">
        <v>33.005000000000003</v>
      </c>
      <c r="K1601">
        <v>10.568</v>
      </c>
      <c r="L1601">
        <v>1.6259999999999999</v>
      </c>
      <c r="M1601">
        <v>3.407</v>
      </c>
      <c r="N1601">
        <v>0.14499999999999999</v>
      </c>
      <c r="O1601">
        <v>2.5550000000000002</v>
      </c>
      <c r="P1601">
        <v>0.66</v>
      </c>
    </row>
    <row r="1602" spans="1:16" x14ac:dyDescent="0.25">
      <c r="A1602" s="1">
        <v>43518</v>
      </c>
      <c r="B1602">
        <v>11.013999999999999</v>
      </c>
      <c r="C1602">
        <v>242.1</v>
      </c>
      <c r="D1602">
        <v>3.3380000000000001</v>
      </c>
      <c r="E1602">
        <v>16.95</v>
      </c>
      <c r="F1602">
        <v>6.0869999999999997</v>
      </c>
      <c r="G1602">
        <v>2.319</v>
      </c>
      <c r="H1602">
        <v>1.85</v>
      </c>
      <c r="I1602">
        <v>44.054000000000002</v>
      </c>
      <c r="J1602">
        <v>33.005000000000003</v>
      </c>
      <c r="K1602">
        <v>10.473000000000001</v>
      </c>
      <c r="L1602">
        <v>1.6830000000000001</v>
      </c>
      <c r="M1602">
        <v>3.4249999999999998</v>
      </c>
      <c r="N1602">
        <v>0.14699999999999999</v>
      </c>
      <c r="O1602">
        <v>2.6139999999999999</v>
      </c>
      <c r="P1602">
        <v>0.66</v>
      </c>
    </row>
    <row r="1603" spans="1:16" x14ac:dyDescent="0.25">
      <c r="A1603" s="1">
        <v>43521</v>
      </c>
      <c r="B1603">
        <v>11.053000000000001</v>
      </c>
      <c r="C1603">
        <v>241.6</v>
      </c>
      <c r="D1603">
        <v>3.2679999999999998</v>
      </c>
      <c r="E1603">
        <v>16.55</v>
      </c>
      <c r="F1603">
        <v>6.0869999999999997</v>
      </c>
      <c r="G1603">
        <v>2.31</v>
      </c>
      <c r="H1603">
        <v>1.87</v>
      </c>
      <c r="I1603">
        <v>44.293999999999997</v>
      </c>
      <c r="J1603">
        <v>33.491</v>
      </c>
      <c r="K1603">
        <v>10.473000000000001</v>
      </c>
      <c r="L1603">
        <v>1.6739999999999999</v>
      </c>
      <c r="M1603">
        <v>3.4249999999999998</v>
      </c>
      <c r="N1603">
        <v>0.14799999999999999</v>
      </c>
      <c r="O1603">
        <v>2.6139999999999999</v>
      </c>
      <c r="P1603">
        <v>0.66</v>
      </c>
    </row>
    <row r="1604" spans="1:16" x14ac:dyDescent="0.25">
      <c r="A1604" s="1">
        <v>43522</v>
      </c>
      <c r="B1604">
        <v>11.044</v>
      </c>
      <c r="C1604">
        <v>242.2</v>
      </c>
      <c r="D1604">
        <v>3.2679999999999998</v>
      </c>
      <c r="E1604">
        <v>16.32</v>
      </c>
      <c r="F1604">
        <v>6.0590000000000002</v>
      </c>
      <c r="G1604">
        <v>2.274</v>
      </c>
      <c r="H1604">
        <v>1.75</v>
      </c>
      <c r="I1604">
        <v>43.707000000000001</v>
      </c>
      <c r="J1604">
        <v>33.393999999999998</v>
      </c>
      <c r="K1604">
        <v>10.756</v>
      </c>
      <c r="L1604">
        <v>1.6739999999999999</v>
      </c>
      <c r="M1604">
        <v>3.4159999999999999</v>
      </c>
      <c r="N1604">
        <v>0.14899999999999999</v>
      </c>
      <c r="O1604">
        <v>2.653</v>
      </c>
      <c r="P1604">
        <v>0.66</v>
      </c>
    </row>
    <row r="1605" spans="1:16" x14ac:dyDescent="0.25">
      <c r="A1605" s="1">
        <v>43523</v>
      </c>
      <c r="B1605">
        <v>11.005000000000001</v>
      </c>
      <c r="C1605">
        <v>243.35</v>
      </c>
      <c r="D1605">
        <v>3.286</v>
      </c>
      <c r="E1605">
        <v>16.28</v>
      </c>
      <c r="F1605">
        <v>6.04</v>
      </c>
      <c r="G1605">
        <v>2.2469999999999999</v>
      </c>
      <c r="H1605">
        <v>1.75</v>
      </c>
      <c r="I1605">
        <v>43.332000000000001</v>
      </c>
      <c r="J1605">
        <v>34.462000000000003</v>
      </c>
      <c r="K1605">
        <v>11.04</v>
      </c>
      <c r="L1605">
        <v>1.6739999999999999</v>
      </c>
      <c r="M1605">
        <v>3.5819999999999999</v>
      </c>
      <c r="N1605">
        <v>0.15</v>
      </c>
      <c r="O1605">
        <v>2.653</v>
      </c>
      <c r="P1605">
        <v>0.66</v>
      </c>
    </row>
    <row r="1606" spans="1:16" x14ac:dyDescent="0.25">
      <c r="A1606" s="1">
        <v>43524</v>
      </c>
      <c r="B1606">
        <v>11.005000000000001</v>
      </c>
      <c r="C1606">
        <v>243.4</v>
      </c>
      <c r="D1606">
        <v>3.4089999999999998</v>
      </c>
      <c r="E1606">
        <v>16.600000000000001</v>
      </c>
      <c r="F1606">
        <v>6.1630000000000003</v>
      </c>
      <c r="G1606">
        <v>2.2290000000000001</v>
      </c>
      <c r="H1606">
        <v>1.87</v>
      </c>
      <c r="I1606">
        <v>42.945999999999998</v>
      </c>
      <c r="J1606">
        <v>33.771999999999998</v>
      </c>
      <c r="K1606">
        <v>11.483000000000001</v>
      </c>
      <c r="L1606">
        <v>1.722</v>
      </c>
      <c r="M1606">
        <v>3.407</v>
      </c>
      <c r="N1606">
        <v>0.153</v>
      </c>
      <c r="O1606">
        <v>2.6040000000000001</v>
      </c>
      <c r="P1606">
        <v>0.68</v>
      </c>
    </row>
    <row r="1607" spans="1:16" x14ac:dyDescent="0.25">
      <c r="A1607" s="1">
        <v>43525</v>
      </c>
      <c r="B1607">
        <v>11.053000000000001</v>
      </c>
      <c r="C1607">
        <v>239.3</v>
      </c>
      <c r="D1607">
        <v>3.4260000000000002</v>
      </c>
      <c r="E1607">
        <v>16.5</v>
      </c>
      <c r="F1607">
        <v>6.1820000000000004</v>
      </c>
      <c r="G1607">
        <v>2.2469999999999999</v>
      </c>
      <c r="H1607">
        <v>1.93</v>
      </c>
      <c r="I1607">
        <v>43.042999999999999</v>
      </c>
      <c r="J1607">
        <v>34.947000000000003</v>
      </c>
      <c r="K1607">
        <v>11.417</v>
      </c>
      <c r="L1607">
        <v>1.722</v>
      </c>
      <c r="M1607">
        <v>3.5470000000000002</v>
      </c>
      <c r="N1607">
        <v>0.156</v>
      </c>
      <c r="O1607">
        <v>2.653</v>
      </c>
      <c r="P1607">
        <v>0.67</v>
      </c>
    </row>
    <row r="1608" spans="1:16" x14ac:dyDescent="0.25">
      <c r="A1608" s="1">
        <v>43528</v>
      </c>
      <c r="B1608">
        <v>11.005000000000001</v>
      </c>
      <c r="C1608">
        <v>241.3</v>
      </c>
      <c r="D1608">
        <v>3.4260000000000002</v>
      </c>
      <c r="E1608">
        <v>16.5</v>
      </c>
      <c r="F1608">
        <v>6.1820000000000004</v>
      </c>
      <c r="G1608">
        <v>2.2469999999999999</v>
      </c>
      <c r="H1608">
        <v>1.93</v>
      </c>
      <c r="I1608">
        <v>42.85</v>
      </c>
      <c r="J1608">
        <v>34.947000000000003</v>
      </c>
      <c r="K1608">
        <v>11.888999999999999</v>
      </c>
      <c r="L1608">
        <v>1.655</v>
      </c>
      <c r="M1608">
        <v>3.53</v>
      </c>
      <c r="N1608">
        <v>0.157</v>
      </c>
      <c r="O1608">
        <v>2.702</v>
      </c>
      <c r="P1608">
        <v>0.67</v>
      </c>
    </row>
    <row r="1609" spans="1:16" x14ac:dyDescent="0.25">
      <c r="A1609" s="1">
        <v>43529</v>
      </c>
      <c r="B1609">
        <v>10.75</v>
      </c>
      <c r="C1609">
        <v>239</v>
      </c>
      <c r="D1609">
        <v>3.47</v>
      </c>
      <c r="E1609">
        <v>16.62</v>
      </c>
      <c r="F1609">
        <v>6.0869999999999997</v>
      </c>
      <c r="G1609">
        <v>2.238</v>
      </c>
      <c r="H1609">
        <v>1.95</v>
      </c>
      <c r="I1609">
        <v>42.656999999999996</v>
      </c>
      <c r="J1609">
        <v>34.947000000000003</v>
      </c>
      <c r="K1609">
        <v>11.417</v>
      </c>
      <c r="L1609">
        <v>1.645</v>
      </c>
      <c r="M1609">
        <v>3.4950000000000001</v>
      </c>
      <c r="N1609">
        <v>0.158</v>
      </c>
      <c r="O1609">
        <v>2.702</v>
      </c>
      <c r="P1609">
        <v>0.67</v>
      </c>
    </row>
    <row r="1610" spans="1:16" x14ac:dyDescent="0.25">
      <c r="A1610" s="1">
        <v>43530</v>
      </c>
      <c r="B1610">
        <v>10.808999999999999</v>
      </c>
      <c r="C1610">
        <v>241</v>
      </c>
      <c r="D1610">
        <v>3.4260000000000002</v>
      </c>
      <c r="E1610">
        <v>16.420000000000002</v>
      </c>
      <c r="F1610">
        <v>6.1150000000000002</v>
      </c>
      <c r="G1610">
        <v>2.2469999999999999</v>
      </c>
      <c r="H1610">
        <v>2.0299999999999998</v>
      </c>
      <c r="I1610">
        <v>42.369</v>
      </c>
      <c r="J1610">
        <v>34.462000000000003</v>
      </c>
      <c r="K1610">
        <v>11.7</v>
      </c>
      <c r="L1610">
        <v>1.6639999999999999</v>
      </c>
      <c r="M1610">
        <v>3.4950000000000001</v>
      </c>
      <c r="N1610">
        <v>0.16300000000000001</v>
      </c>
      <c r="O1610">
        <v>2.7120000000000002</v>
      </c>
      <c r="P1610">
        <v>0.66</v>
      </c>
    </row>
    <row r="1611" spans="1:16" x14ac:dyDescent="0.25">
      <c r="A1611" s="1">
        <v>43531</v>
      </c>
      <c r="B1611">
        <v>10.907</v>
      </c>
      <c r="C1611">
        <v>236</v>
      </c>
      <c r="D1611">
        <v>3.4609999999999999</v>
      </c>
      <c r="E1611">
        <v>16.61</v>
      </c>
      <c r="F1611">
        <v>6.1719999999999997</v>
      </c>
      <c r="G1611">
        <v>2.238</v>
      </c>
      <c r="H1611">
        <v>2.06</v>
      </c>
      <c r="I1611">
        <v>42.369</v>
      </c>
      <c r="J1611">
        <v>34.462000000000003</v>
      </c>
      <c r="K1611">
        <v>11.653</v>
      </c>
      <c r="L1611">
        <v>1.6830000000000001</v>
      </c>
      <c r="M1611">
        <v>3.5030000000000001</v>
      </c>
      <c r="N1611">
        <v>0.17</v>
      </c>
      <c r="O1611">
        <v>2.7320000000000002</v>
      </c>
      <c r="P1611">
        <v>0.66</v>
      </c>
    </row>
    <row r="1612" spans="1:16" x14ac:dyDescent="0.25">
      <c r="A1612" s="1">
        <v>43532</v>
      </c>
      <c r="B1612">
        <v>10.956</v>
      </c>
      <c r="C1612">
        <v>235.65</v>
      </c>
      <c r="D1612">
        <v>3.4260000000000002</v>
      </c>
      <c r="E1612">
        <v>16.600000000000001</v>
      </c>
      <c r="F1612">
        <v>6.1340000000000003</v>
      </c>
      <c r="G1612">
        <v>2.21</v>
      </c>
      <c r="H1612">
        <v>2.06</v>
      </c>
      <c r="I1612">
        <v>42.465000000000003</v>
      </c>
      <c r="J1612">
        <v>33.975999999999999</v>
      </c>
      <c r="K1612">
        <v>11.606</v>
      </c>
      <c r="L1612">
        <v>1.6739999999999999</v>
      </c>
      <c r="M1612">
        <v>3.5819999999999999</v>
      </c>
      <c r="N1612">
        <v>0.16700000000000001</v>
      </c>
      <c r="O1612">
        <v>2.7320000000000002</v>
      </c>
      <c r="P1612">
        <v>0.65</v>
      </c>
    </row>
    <row r="1613" spans="1:16" x14ac:dyDescent="0.25">
      <c r="A1613" s="1">
        <v>43535</v>
      </c>
      <c r="B1613">
        <v>10.956</v>
      </c>
      <c r="C1613">
        <v>240.5</v>
      </c>
      <c r="D1613">
        <v>3.391</v>
      </c>
      <c r="E1613">
        <v>16.28</v>
      </c>
      <c r="F1613">
        <v>6.125</v>
      </c>
      <c r="G1613">
        <v>2.2200000000000002</v>
      </c>
      <c r="H1613">
        <v>2.0499999999999998</v>
      </c>
      <c r="I1613">
        <v>43.332000000000001</v>
      </c>
      <c r="J1613">
        <v>34.462000000000003</v>
      </c>
      <c r="K1613">
        <v>11.653</v>
      </c>
      <c r="L1613">
        <v>1.7</v>
      </c>
      <c r="M1613">
        <v>3.617</v>
      </c>
      <c r="N1613">
        <v>0.16500000000000001</v>
      </c>
      <c r="O1613">
        <v>2.7519999999999998</v>
      </c>
      <c r="P1613">
        <v>0.62</v>
      </c>
    </row>
    <row r="1614" spans="1:16" x14ac:dyDescent="0.25">
      <c r="A1614" s="1">
        <v>43536</v>
      </c>
      <c r="B1614">
        <v>10.956</v>
      </c>
      <c r="C1614">
        <v>239.9</v>
      </c>
      <c r="D1614">
        <v>3.4169999999999998</v>
      </c>
      <c r="E1614">
        <v>16.809999999999999</v>
      </c>
      <c r="F1614">
        <v>6.125</v>
      </c>
      <c r="G1614">
        <v>2.238</v>
      </c>
      <c r="H1614">
        <v>2.04</v>
      </c>
      <c r="I1614">
        <v>43.802999999999997</v>
      </c>
      <c r="J1614">
        <v>34.219000000000001</v>
      </c>
      <c r="K1614">
        <v>11.653</v>
      </c>
      <c r="L1614">
        <v>1.75</v>
      </c>
      <c r="M1614">
        <v>3.6259999999999999</v>
      </c>
      <c r="N1614">
        <v>0.16700000000000001</v>
      </c>
      <c r="O1614">
        <v>2.7709999999999999</v>
      </c>
      <c r="P1614">
        <v>0.63</v>
      </c>
    </row>
    <row r="1615" spans="1:16" x14ac:dyDescent="0.25">
      <c r="A1615" s="1">
        <v>43537</v>
      </c>
      <c r="B1615">
        <v>10.946</v>
      </c>
      <c r="C1615">
        <v>243</v>
      </c>
      <c r="D1615">
        <v>3.4260000000000002</v>
      </c>
      <c r="E1615">
        <v>17.13</v>
      </c>
      <c r="F1615">
        <v>6.0970000000000004</v>
      </c>
      <c r="G1615">
        <v>2.2559999999999998</v>
      </c>
      <c r="H1615">
        <v>2.04</v>
      </c>
      <c r="I1615">
        <v>43.802999999999997</v>
      </c>
      <c r="J1615">
        <v>34.219000000000001</v>
      </c>
      <c r="K1615">
        <v>11.653</v>
      </c>
      <c r="L1615">
        <v>1.75</v>
      </c>
      <c r="M1615">
        <v>3.5910000000000002</v>
      </c>
      <c r="N1615">
        <v>0.16700000000000001</v>
      </c>
      <c r="O1615">
        <v>2.8109999999999999</v>
      </c>
      <c r="P1615">
        <v>0.63</v>
      </c>
    </row>
    <row r="1616" spans="1:16" x14ac:dyDescent="0.25">
      <c r="A1616" s="1">
        <v>43538</v>
      </c>
      <c r="B1616">
        <v>10.897</v>
      </c>
      <c r="C1616">
        <v>246</v>
      </c>
      <c r="D1616">
        <v>3.4260000000000002</v>
      </c>
      <c r="E1616">
        <v>17</v>
      </c>
      <c r="F1616">
        <v>6.0970000000000004</v>
      </c>
      <c r="G1616">
        <v>2.2559999999999998</v>
      </c>
      <c r="H1616">
        <v>2.04</v>
      </c>
      <c r="I1616">
        <v>43.802999999999997</v>
      </c>
      <c r="J1616">
        <v>33.781999999999996</v>
      </c>
      <c r="K1616">
        <v>11.417</v>
      </c>
      <c r="L1616">
        <v>1.69</v>
      </c>
      <c r="M1616">
        <v>3.48</v>
      </c>
      <c r="N1616">
        <v>0.16</v>
      </c>
      <c r="O1616">
        <v>2.7810000000000001</v>
      </c>
      <c r="P1616">
        <v>0.63</v>
      </c>
    </row>
    <row r="1617" spans="1:16" x14ac:dyDescent="0.25">
      <c r="A1617" s="1">
        <v>43539</v>
      </c>
      <c r="B1617">
        <v>10.946</v>
      </c>
      <c r="C1617">
        <v>248.35</v>
      </c>
      <c r="D1617">
        <v>3.4609999999999999</v>
      </c>
      <c r="E1617">
        <v>17.04</v>
      </c>
      <c r="F1617">
        <v>6.0490000000000004</v>
      </c>
      <c r="G1617">
        <v>2.2200000000000002</v>
      </c>
      <c r="H1617">
        <v>2.02</v>
      </c>
      <c r="I1617">
        <v>43.802999999999997</v>
      </c>
      <c r="J1617">
        <v>34.267000000000003</v>
      </c>
      <c r="K1617">
        <v>11.407999999999999</v>
      </c>
      <c r="L1617">
        <v>1.73</v>
      </c>
      <c r="M1617">
        <v>3.49</v>
      </c>
      <c r="N1617">
        <v>0.16500000000000001</v>
      </c>
      <c r="O1617">
        <v>2.7519999999999998</v>
      </c>
      <c r="P1617">
        <v>0.63</v>
      </c>
    </row>
    <row r="1618" spans="1:16" x14ac:dyDescent="0.25">
      <c r="A1618" s="1">
        <v>43542</v>
      </c>
      <c r="B1618">
        <v>11.005000000000001</v>
      </c>
      <c r="C1618">
        <v>250.5</v>
      </c>
      <c r="D1618">
        <v>3.5139999999999998</v>
      </c>
      <c r="E1618">
        <v>16.75</v>
      </c>
      <c r="F1618">
        <v>6.1340000000000003</v>
      </c>
      <c r="G1618">
        <v>2.238</v>
      </c>
      <c r="H1618">
        <v>2</v>
      </c>
      <c r="I1618">
        <v>43.860999999999997</v>
      </c>
      <c r="J1618">
        <v>34.947000000000003</v>
      </c>
      <c r="K1618">
        <v>11.417</v>
      </c>
      <c r="L1618">
        <v>1.73</v>
      </c>
      <c r="M1618">
        <v>3.49</v>
      </c>
      <c r="N1618">
        <v>0.16500000000000001</v>
      </c>
      <c r="O1618">
        <v>2.7519999999999998</v>
      </c>
      <c r="P1618">
        <v>0.65</v>
      </c>
    </row>
    <row r="1619" spans="1:16" x14ac:dyDescent="0.25">
      <c r="A1619" s="1">
        <v>43543</v>
      </c>
      <c r="B1619">
        <v>10.994999999999999</v>
      </c>
      <c r="C1619">
        <v>250.4</v>
      </c>
      <c r="D1619">
        <v>3.5489999999999999</v>
      </c>
      <c r="E1619">
        <v>16.89</v>
      </c>
      <c r="F1619">
        <v>6.1340000000000003</v>
      </c>
      <c r="G1619">
        <v>2.238</v>
      </c>
      <c r="H1619">
        <v>2.0299999999999998</v>
      </c>
      <c r="I1619">
        <v>44.776000000000003</v>
      </c>
      <c r="J1619">
        <v>34.85</v>
      </c>
      <c r="K1619">
        <v>11.558</v>
      </c>
      <c r="L1619">
        <v>1.76</v>
      </c>
      <c r="M1619">
        <v>3.52</v>
      </c>
      <c r="N1619">
        <v>0.16700000000000001</v>
      </c>
      <c r="O1619">
        <v>2.6829999999999998</v>
      </c>
      <c r="P1619">
        <v>0.65</v>
      </c>
    </row>
    <row r="1620" spans="1:16" x14ac:dyDescent="0.25">
      <c r="A1620" s="1">
        <v>43544</v>
      </c>
      <c r="B1620">
        <v>10.956</v>
      </c>
      <c r="C1620">
        <v>248.15</v>
      </c>
      <c r="D1620">
        <v>3.496</v>
      </c>
      <c r="E1620">
        <v>17.38</v>
      </c>
      <c r="F1620">
        <v>6.1719999999999997</v>
      </c>
      <c r="G1620">
        <v>2.2559999999999998</v>
      </c>
      <c r="H1620">
        <v>2.13</v>
      </c>
      <c r="I1620">
        <v>45.45</v>
      </c>
      <c r="J1620">
        <v>34.792000000000002</v>
      </c>
      <c r="K1620">
        <v>11.558</v>
      </c>
      <c r="L1620">
        <v>1.76</v>
      </c>
      <c r="M1620">
        <v>3.58</v>
      </c>
      <c r="N1620">
        <v>0.16700000000000001</v>
      </c>
      <c r="O1620">
        <v>2.6339999999999999</v>
      </c>
      <c r="P1620">
        <v>0.65</v>
      </c>
    </row>
    <row r="1621" spans="1:16" x14ac:dyDescent="0.25">
      <c r="A1621" s="1">
        <v>43545</v>
      </c>
      <c r="B1621">
        <v>10.936</v>
      </c>
      <c r="C1621">
        <v>244.5</v>
      </c>
      <c r="D1621">
        <v>3.5049999999999999</v>
      </c>
      <c r="E1621">
        <v>17.28</v>
      </c>
      <c r="F1621">
        <v>6.2190000000000003</v>
      </c>
      <c r="G1621">
        <v>2.2559999999999998</v>
      </c>
      <c r="H1621">
        <v>2.08</v>
      </c>
      <c r="I1621">
        <v>45.256999999999998</v>
      </c>
      <c r="J1621">
        <v>34.947000000000003</v>
      </c>
      <c r="K1621">
        <v>11.548999999999999</v>
      </c>
      <c r="L1621">
        <v>1.76</v>
      </c>
      <c r="M1621">
        <v>3.58</v>
      </c>
      <c r="N1621">
        <v>0.16700000000000001</v>
      </c>
      <c r="O1621">
        <v>2.653</v>
      </c>
      <c r="P1621">
        <v>0.66</v>
      </c>
    </row>
    <row r="1622" spans="1:16" x14ac:dyDescent="0.25">
      <c r="A1622" s="1">
        <v>43546</v>
      </c>
      <c r="B1622">
        <v>10.907</v>
      </c>
      <c r="C1622">
        <v>241</v>
      </c>
      <c r="D1622">
        <v>3.496</v>
      </c>
      <c r="E1622">
        <v>17.399999999999999</v>
      </c>
      <c r="F1622">
        <v>6.21</v>
      </c>
      <c r="G1622">
        <v>2.2469999999999999</v>
      </c>
      <c r="H1622">
        <v>2.12</v>
      </c>
      <c r="I1622">
        <v>44.631999999999998</v>
      </c>
      <c r="J1622">
        <v>34.947000000000003</v>
      </c>
      <c r="K1622">
        <v>11.548999999999999</v>
      </c>
      <c r="L1622">
        <v>1.7</v>
      </c>
      <c r="M1622">
        <v>3.58</v>
      </c>
      <c r="N1622">
        <v>0.16700000000000001</v>
      </c>
      <c r="O1622">
        <v>2.702</v>
      </c>
      <c r="P1622">
        <v>0.66</v>
      </c>
    </row>
    <row r="1623" spans="1:16" x14ac:dyDescent="0.25">
      <c r="A1623" s="1">
        <v>43549</v>
      </c>
      <c r="B1623">
        <v>10.808999999999999</v>
      </c>
      <c r="C1623">
        <v>240</v>
      </c>
      <c r="D1623">
        <v>3.5049999999999999</v>
      </c>
      <c r="E1623">
        <v>17.7</v>
      </c>
      <c r="F1623">
        <v>6.1719999999999997</v>
      </c>
      <c r="G1623">
        <v>2.2200000000000002</v>
      </c>
      <c r="H1623">
        <v>2.12</v>
      </c>
      <c r="I1623">
        <v>44.293999999999997</v>
      </c>
      <c r="J1623">
        <v>34.374000000000002</v>
      </c>
      <c r="K1623">
        <v>11.548999999999999</v>
      </c>
      <c r="L1623">
        <v>1.71</v>
      </c>
      <c r="M1623">
        <v>3.51</v>
      </c>
      <c r="N1623">
        <v>0.16500000000000001</v>
      </c>
      <c r="O1623">
        <v>2.6930000000000001</v>
      </c>
      <c r="P1623">
        <v>0.64</v>
      </c>
    </row>
    <row r="1624" spans="1:16" x14ac:dyDescent="0.25">
      <c r="A1624" s="1">
        <v>43550</v>
      </c>
      <c r="B1624">
        <v>10.76</v>
      </c>
      <c r="C1624">
        <v>240.25</v>
      </c>
      <c r="D1624">
        <v>3.5139999999999998</v>
      </c>
      <c r="E1624">
        <v>17.63</v>
      </c>
      <c r="F1624">
        <v>6.1719999999999997</v>
      </c>
      <c r="G1624">
        <v>2.238</v>
      </c>
      <c r="H1624">
        <v>2.09</v>
      </c>
      <c r="I1624">
        <v>44.293999999999997</v>
      </c>
      <c r="J1624">
        <v>34.704000000000001</v>
      </c>
      <c r="K1624">
        <v>11.332000000000001</v>
      </c>
      <c r="L1624">
        <v>1.71</v>
      </c>
      <c r="M1624">
        <v>3.5</v>
      </c>
      <c r="N1624">
        <v>0.16400000000000001</v>
      </c>
      <c r="O1624">
        <v>2.6930000000000001</v>
      </c>
      <c r="P1624">
        <v>0.63</v>
      </c>
    </row>
    <row r="1625" spans="1:16" x14ac:dyDescent="0.25">
      <c r="A1625" s="1">
        <v>43551</v>
      </c>
      <c r="B1625">
        <v>10.662000000000001</v>
      </c>
      <c r="C1625">
        <v>239.3</v>
      </c>
      <c r="D1625">
        <v>3.5049999999999999</v>
      </c>
      <c r="E1625">
        <v>17.34</v>
      </c>
      <c r="F1625">
        <v>6.1630000000000003</v>
      </c>
      <c r="G1625">
        <v>2.2559999999999998</v>
      </c>
      <c r="H1625">
        <v>2.04</v>
      </c>
      <c r="I1625">
        <v>44.293999999999997</v>
      </c>
      <c r="J1625">
        <v>34.470999999999997</v>
      </c>
      <c r="K1625">
        <v>11.275</v>
      </c>
      <c r="L1625">
        <v>1.79</v>
      </c>
      <c r="M1625">
        <v>3.43</v>
      </c>
      <c r="N1625">
        <v>0.16400000000000001</v>
      </c>
      <c r="O1625">
        <v>2.6829999999999998</v>
      </c>
      <c r="P1625">
        <v>0.63</v>
      </c>
    </row>
    <row r="1626" spans="1:16" x14ac:dyDescent="0.25">
      <c r="A1626" s="1">
        <v>43552</v>
      </c>
      <c r="B1626">
        <v>10.613</v>
      </c>
      <c r="C1626">
        <v>239.7</v>
      </c>
      <c r="D1626">
        <v>3.5049999999999999</v>
      </c>
      <c r="E1626">
        <v>17.100000000000001</v>
      </c>
      <c r="F1626">
        <v>6.1820000000000004</v>
      </c>
      <c r="G1626">
        <v>2.238</v>
      </c>
      <c r="H1626">
        <v>2.06</v>
      </c>
      <c r="I1626">
        <v>44.293999999999997</v>
      </c>
      <c r="J1626">
        <v>34.753</v>
      </c>
      <c r="K1626">
        <v>11.275</v>
      </c>
      <c r="L1626">
        <v>1.75</v>
      </c>
      <c r="M1626">
        <v>3.55</v>
      </c>
      <c r="N1626">
        <v>0.16400000000000001</v>
      </c>
      <c r="O1626">
        <v>2.6829999999999998</v>
      </c>
      <c r="P1626">
        <v>0.64</v>
      </c>
    </row>
    <row r="1627" spans="1:16" x14ac:dyDescent="0.25">
      <c r="A1627" s="1">
        <v>43553</v>
      </c>
      <c r="B1627">
        <v>10.613</v>
      </c>
      <c r="C1627">
        <v>239.52</v>
      </c>
      <c r="D1627">
        <v>3.5049999999999999</v>
      </c>
      <c r="E1627">
        <v>17.22</v>
      </c>
      <c r="F1627">
        <v>6.1820000000000004</v>
      </c>
      <c r="G1627">
        <v>2.238</v>
      </c>
      <c r="H1627">
        <v>2.25</v>
      </c>
      <c r="I1627">
        <v>43.813000000000002</v>
      </c>
      <c r="J1627">
        <v>34.655999999999999</v>
      </c>
      <c r="K1627">
        <v>11.228</v>
      </c>
      <c r="L1627">
        <v>1.73</v>
      </c>
      <c r="M1627">
        <v>3.62</v>
      </c>
      <c r="N1627">
        <v>0.16700000000000001</v>
      </c>
      <c r="O1627">
        <v>2.6829999999999998</v>
      </c>
      <c r="P1627">
        <v>0.62</v>
      </c>
    </row>
    <row r="1628" spans="1:16" x14ac:dyDescent="0.25">
      <c r="A1628" s="1">
        <v>43556</v>
      </c>
      <c r="B1628">
        <v>10.613</v>
      </c>
      <c r="C1628">
        <v>242.15</v>
      </c>
      <c r="D1628">
        <v>3.47</v>
      </c>
      <c r="E1628">
        <v>16.649999999999999</v>
      </c>
      <c r="F1628">
        <v>6.1529999999999996</v>
      </c>
      <c r="G1628">
        <v>2.21</v>
      </c>
      <c r="H1628">
        <v>2.3199999999999998</v>
      </c>
      <c r="I1628">
        <v>43.813000000000002</v>
      </c>
      <c r="J1628">
        <v>34.655999999999999</v>
      </c>
      <c r="K1628">
        <v>11.464</v>
      </c>
      <c r="L1628">
        <v>1.75</v>
      </c>
      <c r="M1628">
        <v>3.62</v>
      </c>
      <c r="N1628">
        <v>0.16700000000000001</v>
      </c>
      <c r="O1628">
        <v>2.673</v>
      </c>
      <c r="P1628">
        <v>0.63</v>
      </c>
    </row>
    <row r="1629" spans="1:16" x14ac:dyDescent="0.25">
      <c r="A1629" s="1">
        <v>43557</v>
      </c>
      <c r="B1629">
        <v>10.808999999999999</v>
      </c>
      <c r="C1629">
        <v>243</v>
      </c>
      <c r="D1629">
        <v>3.3820000000000001</v>
      </c>
      <c r="E1629">
        <v>16.649999999999999</v>
      </c>
      <c r="F1629">
        <v>6.1340000000000003</v>
      </c>
      <c r="G1629">
        <v>2.2290000000000001</v>
      </c>
      <c r="H1629">
        <v>2.35</v>
      </c>
      <c r="I1629">
        <v>43.813000000000002</v>
      </c>
      <c r="J1629">
        <v>34.655999999999999</v>
      </c>
      <c r="K1629">
        <v>11.606</v>
      </c>
      <c r="L1629">
        <v>1.76</v>
      </c>
      <c r="M1629">
        <v>3.62</v>
      </c>
      <c r="N1629">
        <v>0.16800000000000001</v>
      </c>
      <c r="O1629">
        <v>2.6829999999999998</v>
      </c>
      <c r="P1629">
        <v>0.61</v>
      </c>
    </row>
    <row r="1630" spans="1:16" x14ac:dyDescent="0.25">
      <c r="A1630" s="1">
        <v>43558</v>
      </c>
      <c r="B1630">
        <v>10.907</v>
      </c>
      <c r="C1630">
        <v>243.39</v>
      </c>
      <c r="D1630">
        <v>3.4260000000000002</v>
      </c>
      <c r="E1630">
        <v>16.649999999999999</v>
      </c>
      <c r="F1630">
        <v>6.1529999999999996</v>
      </c>
      <c r="G1630">
        <v>2.2559999999999998</v>
      </c>
      <c r="H1630">
        <v>2.35</v>
      </c>
      <c r="I1630">
        <v>43.823</v>
      </c>
      <c r="J1630">
        <v>34.704000000000001</v>
      </c>
      <c r="K1630">
        <v>11.510999999999999</v>
      </c>
      <c r="L1630">
        <v>1.76</v>
      </c>
      <c r="M1630">
        <v>3.68</v>
      </c>
      <c r="N1630">
        <v>0.16700000000000001</v>
      </c>
      <c r="O1630">
        <v>2.6829999999999998</v>
      </c>
      <c r="P1630">
        <v>0.63</v>
      </c>
    </row>
    <row r="1631" spans="1:16" x14ac:dyDescent="0.25">
      <c r="A1631" s="1">
        <v>43559</v>
      </c>
      <c r="B1631">
        <v>10.956</v>
      </c>
      <c r="C1631">
        <v>243.73</v>
      </c>
      <c r="D1631">
        <v>3.5139999999999998</v>
      </c>
      <c r="E1631">
        <v>17.16</v>
      </c>
      <c r="F1631">
        <v>6.1909999999999998</v>
      </c>
      <c r="G1631">
        <v>2.274</v>
      </c>
      <c r="H1631">
        <v>2.2999999999999998</v>
      </c>
      <c r="I1631">
        <v>44.293999999999997</v>
      </c>
      <c r="J1631">
        <v>34.704000000000001</v>
      </c>
      <c r="K1631">
        <v>11.510999999999999</v>
      </c>
      <c r="L1631">
        <v>1.76</v>
      </c>
      <c r="M1631">
        <v>3.75</v>
      </c>
      <c r="N1631">
        <v>0.16300000000000001</v>
      </c>
      <c r="O1631">
        <v>2.653</v>
      </c>
      <c r="P1631">
        <v>0.62</v>
      </c>
    </row>
    <row r="1632" spans="1:16" x14ac:dyDescent="0.25">
      <c r="A1632" s="1">
        <v>43560</v>
      </c>
      <c r="B1632">
        <v>10.907</v>
      </c>
      <c r="C1632">
        <v>239.09</v>
      </c>
      <c r="D1632">
        <v>3.6019999999999999</v>
      </c>
      <c r="E1632">
        <v>17.16</v>
      </c>
      <c r="F1632">
        <v>6.3230000000000004</v>
      </c>
      <c r="G1632">
        <v>2.2829999999999999</v>
      </c>
      <c r="H1632">
        <v>2.38</v>
      </c>
      <c r="I1632">
        <v>44.054000000000002</v>
      </c>
      <c r="J1632">
        <v>34.558999999999997</v>
      </c>
      <c r="K1632">
        <v>11.510999999999999</v>
      </c>
      <c r="L1632">
        <v>1.79</v>
      </c>
      <c r="M1632">
        <v>3.72</v>
      </c>
      <c r="N1632">
        <v>0.16500000000000001</v>
      </c>
      <c r="O1632">
        <v>2.653</v>
      </c>
      <c r="P1632">
        <v>0.62</v>
      </c>
    </row>
    <row r="1633" spans="1:16" x14ac:dyDescent="0.25">
      <c r="A1633" s="1">
        <v>43563</v>
      </c>
      <c r="B1633">
        <v>10.858000000000001</v>
      </c>
      <c r="C1633">
        <v>238.95</v>
      </c>
      <c r="D1633">
        <v>3.6280000000000001</v>
      </c>
      <c r="E1633">
        <v>17.45</v>
      </c>
      <c r="F1633">
        <v>6.2</v>
      </c>
      <c r="G1633">
        <v>2.2650000000000001</v>
      </c>
      <c r="H1633">
        <v>2.4</v>
      </c>
      <c r="I1633">
        <v>44.293999999999997</v>
      </c>
      <c r="J1633">
        <v>34.743000000000002</v>
      </c>
      <c r="K1633">
        <v>11.510999999999999</v>
      </c>
      <c r="L1633">
        <v>1.79</v>
      </c>
      <c r="M1633">
        <v>3.72</v>
      </c>
      <c r="N1633">
        <v>0.16800000000000001</v>
      </c>
      <c r="O1633">
        <v>2.653</v>
      </c>
      <c r="P1633">
        <v>0.61</v>
      </c>
    </row>
    <row r="1634" spans="1:16" x14ac:dyDescent="0.25">
      <c r="A1634" s="1">
        <v>43564</v>
      </c>
      <c r="B1634">
        <v>10.808999999999999</v>
      </c>
      <c r="C1634">
        <v>234.25</v>
      </c>
      <c r="D1634">
        <v>3.6019999999999999</v>
      </c>
      <c r="E1634">
        <v>17.41</v>
      </c>
      <c r="F1634">
        <v>6.2190000000000003</v>
      </c>
      <c r="G1634">
        <v>2.2469999999999999</v>
      </c>
      <c r="H1634">
        <v>2.4</v>
      </c>
      <c r="I1634">
        <v>44.054000000000002</v>
      </c>
      <c r="J1634">
        <v>34.743000000000002</v>
      </c>
      <c r="K1634">
        <v>11.323</v>
      </c>
      <c r="L1634">
        <v>1.79</v>
      </c>
      <c r="M1634">
        <v>3.7</v>
      </c>
      <c r="N1634">
        <v>0.16700000000000001</v>
      </c>
      <c r="O1634">
        <v>2.653</v>
      </c>
      <c r="P1634">
        <v>0.61</v>
      </c>
    </row>
    <row r="1635" spans="1:16" x14ac:dyDescent="0.25">
      <c r="A1635" s="1">
        <v>43565</v>
      </c>
      <c r="B1635">
        <v>10.808999999999999</v>
      </c>
      <c r="C1635">
        <v>235.71</v>
      </c>
      <c r="D1635">
        <v>3.6019999999999999</v>
      </c>
      <c r="E1635">
        <v>17.45</v>
      </c>
      <c r="F1635">
        <v>6.1630000000000003</v>
      </c>
      <c r="G1635">
        <v>2.2469999999999999</v>
      </c>
      <c r="H1635">
        <v>2.34</v>
      </c>
      <c r="I1635">
        <v>44.054000000000002</v>
      </c>
      <c r="J1635">
        <v>34.947000000000003</v>
      </c>
      <c r="K1635">
        <v>11.323</v>
      </c>
      <c r="L1635">
        <v>1.75</v>
      </c>
      <c r="M1635">
        <v>3.73</v>
      </c>
      <c r="N1635">
        <v>0.16400000000000001</v>
      </c>
      <c r="O1635">
        <v>2.6339999999999999</v>
      </c>
      <c r="P1635">
        <v>0.6</v>
      </c>
    </row>
    <row r="1636" spans="1:16" x14ac:dyDescent="0.25">
      <c r="A1636" s="1">
        <v>43566</v>
      </c>
      <c r="B1636">
        <v>10.808999999999999</v>
      </c>
      <c r="C1636">
        <v>234.59</v>
      </c>
      <c r="D1636">
        <v>3.593</v>
      </c>
      <c r="E1636">
        <v>16.5</v>
      </c>
      <c r="F1636">
        <v>6.1340000000000003</v>
      </c>
      <c r="G1636">
        <v>2.2650000000000001</v>
      </c>
      <c r="H1636">
        <v>2.2999999999999998</v>
      </c>
      <c r="I1636">
        <v>44.293999999999997</v>
      </c>
      <c r="J1636">
        <v>34.947000000000003</v>
      </c>
      <c r="K1636">
        <v>11.323</v>
      </c>
      <c r="L1636">
        <v>1.73</v>
      </c>
      <c r="M1636">
        <v>3.72</v>
      </c>
      <c r="N1636">
        <v>0.16400000000000001</v>
      </c>
      <c r="O1636">
        <v>2.6139999999999999</v>
      </c>
      <c r="P1636">
        <v>0.6</v>
      </c>
    </row>
    <row r="1637" spans="1:16" x14ac:dyDescent="0.25">
      <c r="A1637" s="1">
        <v>43567</v>
      </c>
      <c r="B1637">
        <v>10.858000000000001</v>
      </c>
      <c r="C1637">
        <v>235.26</v>
      </c>
      <c r="D1637">
        <v>3.585</v>
      </c>
      <c r="E1637">
        <v>16.399999999999999</v>
      </c>
      <c r="F1637">
        <v>6.1340000000000003</v>
      </c>
      <c r="G1637">
        <v>2.274</v>
      </c>
      <c r="H1637">
        <v>2.2000000000000002</v>
      </c>
      <c r="I1637">
        <v>44.293999999999997</v>
      </c>
      <c r="J1637">
        <v>35.228000000000002</v>
      </c>
      <c r="K1637">
        <v>11.323</v>
      </c>
      <c r="L1637">
        <v>1.79</v>
      </c>
      <c r="M1637">
        <v>3.72</v>
      </c>
      <c r="N1637">
        <v>0.16</v>
      </c>
      <c r="O1637">
        <v>2.6139999999999999</v>
      </c>
      <c r="P1637">
        <v>0.6</v>
      </c>
    </row>
    <row r="1638" spans="1:16" x14ac:dyDescent="0.25">
      <c r="A1638" s="1">
        <v>43570</v>
      </c>
      <c r="B1638">
        <v>10.808999999999999</v>
      </c>
      <c r="C1638">
        <v>233.15</v>
      </c>
      <c r="D1638">
        <v>3.5579999999999998</v>
      </c>
      <c r="E1638">
        <v>16.48</v>
      </c>
      <c r="F1638">
        <v>6.1059999999999999</v>
      </c>
      <c r="G1638">
        <v>2.2970000000000002</v>
      </c>
      <c r="H1638">
        <v>2.2000000000000002</v>
      </c>
      <c r="I1638">
        <v>44.293999999999997</v>
      </c>
      <c r="J1638">
        <v>34.947000000000003</v>
      </c>
      <c r="K1638">
        <v>11.323</v>
      </c>
      <c r="L1638">
        <v>1.79</v>
      </c>
      <c r="M1638">
        <v>3.75</v>
      </c>
      <c r="N1638">
        <v>0.159</v>
      </c>
      <c r="O1638">
        <v>2.5840000000000001</v>
      </c>
      <c r="P1638">
        <v>0.6</v>
      </c>
    </row>
    <row r="1639" spans="1:16" x14ac:dyDescent="0.25">
      <c r="A1639" s="1">
        <v>43571</v>
      </c>
      <c r="B1639">
        <v>10.808999999999999</v>
      </c>
      <c r="C1639">
        <v>234.45</v>
      </c>
      <c r="D1639">
        <v>3.5209999999999999</v>
      </c>
      <c r="E1639">
        <v>16.73</v>
      </c>
      <c r="F1639">
        <v>6.1340000000000003</v>
      </c>
      <c r="G1639">
        <v>2.3069999999999999</v>
      </c>
      <c r="H1639">
        <v>2.2599999999999998</v>
      </c>
      <c r="I1639">
        <v>44.293999999999997</v>
      </c>
      <c r="J1639">
        <v>35.432000000000002</v>
      </c>
      <c r="K1639">
        <v>11.323</v>
      </c>
      <c r="L1639">
        <v>1.75</v>
      </c>
      <c r="M1639">
        <v>3.72</v>
      </c>
      <c r="N1639">
        <v>0.159</v>
      </c>
      <c r="O1639">
        <v>2.5840000000000001</v>
      </c>
      <c r="P1639">
        <v>0.59</v>
      </c>
    </row>
    <row r="1640" spans="1:16" x14ac:dyDescent="0.25">
      <c r="A1640" s="1">
        <v>43572</v>
      </c>
      <c r="B1640">
        <v>10.76</v>
      </c>
      <c r="C1640">
        <v>231.73</v>
      </c>
      <c r="D1640">
        <v>3.5579999999999998</v>
      </c>
      <c r="E1640">
        <v>15.93</v>
      </c>
      <c r="F1640">
        <v>6.1529999999999996</v>
      </c>
      <c r="G1640">
        <v>2.2970000000000002</v>
      </c>
      <c r="H1640">
        <v>2.2000000000000002</v>
      </c>
      <c r="I1640">
        <v>44.284999999999997</v>
      </c>
      <c r="J1640">
        <v>35.432000000000002</v>
      </c>
      <c r="K1640">
        <v>11.342000000000001</v>
      </c>
      <c r="L1640">
        <v>1.74</v>
      </c>
      <c r="M1640">
        <v>3.7</v>
      </c>
      <c r="N1640">
        <v>0.155</v>
      </c>
      <c r="O1640">
        <v>2.5840000000000001</v>
      </c>
      <c r="P1640">
        <v>0.57999999999999996</v>
      </c>
    </row>
    <row r="1641" spans="1:16" x14ac:dyDescent="0.25">
      <c r="A1641" s="1">
        <v>43577</v>
      </c>
      <c r="B1641">
        <v>10.808999999999999</v>
      </c>
      <c r="C1641">
        <v>232.2</v>
      </c>
      <c r="D1641">
        <v>3.5579999999999998</v>
      </c>
      <c r="E1641">
        <v>15.61</v>
      </c>
      <c r="F1641">
        <v>6.1529999999999996</v>
      </c>
      <c r="G1641">
        <v>2.278</v>
      </c>
      <c r="H1641">
        <v>2.2400000000000002</v>
      </c>
      <c r="I1641">
        <v>45.45</v>
      </c>
      <c r="J1641">
        <v>35.723999999999997</v>
      </c>
      <c r="K1641">
        <v>11.342000000000001</v>
      </c>
      <c r="L1641">
        <v>1.74</v>
      </c>
      <c r="M1641">
        <v>3.68</v>
      </c>
      <c r="N1641">
        <v>0.155</v>
      </c>
      <c r="O1641">
        <v>2.5840000000000001</v>
      </c>
      <c r="P1641">
        <v>0.57999999999999996</v>
      </c>
    </row>
    <row r="1642" spans="1:16" x14ac:dyDescent="0.25">
      <c r="A1642" s="1">
        <v>43578</v>
      </c>
      <c r="B1642">
        <v>10.76</v>
      </c>
      <c r="C1642">
        <v>235</v>
      </c>
      <c r="D1642">
        <v>3.5390000000000001</v>
      </c>
      <c r="E1642">
        <v>15.37</v>
      </c>
      <c r="F1642">
        <v>6.1529999999999996</v>
      </c>
      <c r="G1642">
        <v>2.2690000000000001</v>
      </c>
      <c r="H1642">
        <v>2.2999999999999998</v>
      </c>
      <c r="I1642">
        <v>46</v>
      </c>
      <c r="J1642">
        <v>35.432000000000002</v>
      </c>
      <c r="K1642">
        <v>11.342000000000001</v>
      </c>
      <c r="L1642">
        <v>1.7</v>
      </c>
      <c r="M1642">
        <v>3.67</v>
      </c>
      <c r="N1642">
        <v>0.157</v>
      </c>
      <c r="O1642">
        <v>2.5059999999999998</v>
      </c>
      <c r="P1642">
        <v>0.56999999999999995</v>
      </c>
    </row>
    <row r="1643" spans="1:16" x14ac:dyDescent="0.25">
      <c r="A1643" s="1">
        <v>43579</v>
      </c>
      <c r="B1643">
        <v>10.71</v>
      </c>
      <c r="C1643">
        <v>233</v>
      </c>
      <c r="D1643">
        <v>3.4660000000000002</v>
      </c>
      <c r="E1643">
        <v>15.5</v>
      </c>
      <c r="F1643">
        <v>6.1340000000000003</v>
      </c>
      <c r="G1643">
        <v>2.2589999999999999</v>
      </c>
      <c r="H1643">
        <v>2.2000000000000002</v>
      </c>
      <c r="I1643">
        <v>44.1</v>
      </c>
      <c r="J1643">
        <v>36.015000000000001</v>
      </c>
      <c r="K1643">
        <v>11.342000000000001</v>
      </c>
      <c r="L1643">
        <v>1.69</v>
      </c>
      <c r="M1643">
        <v>3.66</v>
      </c>
      <c r="N1643">
        <v>0.153</v>
      </c>
      <c r="O1643">
        <v>2.4569999999999999</v>
      </c>
      <c r="P1643">
        <v>0.55000000000000004</v>
      </c>
    </row>
    <row r="1644" spans="1:16" x14ac:dyDescent="0.25">
      <c r="A1644" s="1">
        <v>43580</v>
      </c>
      <c r="B1644">
        <v>10.7</v>
      </c>
      <c r="C1644">
        <v>234</v>
      </c>
      <c r="D1644">
        <v>3.5209999999999999</v>
      </c>
      <c r="E1644">
        <v>15.4</v>
      </c>
      <c r="F1644">
        <v>6.1340000000000003</v>
      </c>
      <c r="G1644">
        <v>2.2589999999999999</v>
      </c>
      <c r="H1644">
        <v>2.2000000000000002</v>
      </c>
      <c r="I1644">
        <v>44.25</v>
      </c>
      <c r="J1644">
        <v>36.694000000000003</v>
      </c>
      <c r="K1644">
        <v>11.532</v>
      </c>
      <c r="L1644">
        <v>1.65</v>
      </c>
      <c r="M1644">
        <v>3.63</v>
      </c>
      <c r="N1644">
        <v>0.152</v>
      </c>
      <c r="O1644">
        <v>2.4670000000000001</v>
      </c>
      <c r="P1644">
        <v>0.53</v>
      </c>
    </row>
    <row r="1645" spans="1:16" x14ac:dyDescent="0.25">
      <c r="A1645" s="1">
        <v>43581</v>
      </c>
      <c r="B1645">
        <v>10.7</v>
      </c>
      <c r="C1645">
        <v>236</v>
      </c>
      <c r="D1645">
        <v>3.5579999999999998</v>
      </c>
      <c r="E1645">
        <v>15.88</v>
      </c>
      <c r="F1645">
        <v>6.0869999999999997</v>
      </c>
      <c r="G1645">
        <v>2.278</v>
      </c>
      <c r="H1645">
        <v>2.2000000000000002</v>
      </c>
      <c r="I1645">
        <v>45.45</v>
      </c>
      <c r="J1645">
        <v>37.082999999999998</v>
      </c>
      <c r="K1645">
        <v>11.436999999999999</v>
      </c>
      <c r="L1645">
        <v>1.7</v>
      </c>
      <c r="M1645">
        <v>3.58</v>
      </c>
      <c r="N1645">
        <v>0.155</v>
      </c>
      <c r="O1645">
        <v>2.4079999999999999</v>
      </c>
      <c r="P1645">
        <v>0.55000000000000004</v>
      </c>
    </row>
    <row r="1646" spans="1:16" x14ac:dyDescent="0.25">
      <c r="A1646" s="1">
        <v>43584</v>
      </c>
      <c r="B1646">
        <v>10.65</v>
      </c>
      <c r="C1646">
        <v>236.38</v>
      </c>
      <c r="D1646">
        <v>3.5579999999999998</v>
      </c>
      <c r="E1646">
        <v>15.68</v>
      </c>
      <c r="F1646">
        <v>6.1150000000000002</v>
      </c>
      <c r="G1646">
        <v>2.278</v>
      </c>
      <c r="H1646">
        <v>2.2000000000000002</v>
      </c>
      <c r="I1646">
        <v>45.45</v>
      </c>
      <c r="J1646">
        <v>37.616</v>
      </c>
      <c r="K1646">
        <v>11.436999999999999</v>
      </c>
      <c r="L1646">
        <v>1.66</v>
      </c>
      <c r="M1646">
        <v>3.61</v>
      </c>
      <c r="N1646">
        <v>0.157</v>
      </c>
      <c r="O1646">
        <v>2.4079999999999999</v>
      </c>
      <c r="P1646">
        <v>0.55000000000000004</v>
      </c>
    </row>
    <row r="1647" spans="1:16" x14ac:dyDescent="0.25">
      <c r="A1647" s="1">
        <v>43585</v>
      </c>
      <c r="B1647">
        <v>10.7</v>
      </c>
      <c r="C1647">
        <v>237.15</v>
      </c>
      <c r="D1647">
        <v>3.4849999999999999</v>
      </c>
      <c r="E1647">
        <v>16.190000000000001</v>
      </c>
      <c r="F1647">
        <v>6.04</v>
      </c>
      <c r="G1647">
        <v>2.335</v>
      </c>
      <c r="H1647">
        <v>2.2000000000000002</v>
      </c>
      <c r="I1647">
        <v>44.1</v>
      </c>
      <c r="J1647">
        <v>37.859000000000002</v>
      </c>
      <c r="K1647">
        <v>11.294</v>
      </c>
      <c r="L1647">
        <v>1.66</v>
      </c>
      <c r="M1647">
        <v>3.61</v>
      </c>
      <c r="N1647">
        <v>0.154</v>
      </c>
      <c r="O1647">
        <v>2.4569999999999999</v>
      </c>
      <c r="P1647">
        <v>0.55000000000000004</v>
      </c>
    </row>
    <row r="1648" spans="1:16" x14ac:dyDescent="0.25">
      <c r="A1648" s="1">
        <v>43587</v>
      </c>
      <c r="B1648">
        <v>10.7</v>
      </c>
      <c r="C1648">
        <v>237.05</v>
      </c>
      <c r="D1648">
        <v>3.4940000000000002</v>
      </c>
      <c r="E1648">
        <v>15.3</v>
      </c>
      <c r="F1648">
        <v>5.8979999999999997</v>
      </c>
      <c r="G1648">
        <v>2.3260000000000001</v>
      </c>
      <c r="H1648">
        <v>2.2599999999999998</v>
      </c>
      <c r="I1648">
        <v>44</v>
      </c>
      <c r="J1648">
        <v>37.859000000000002</v>
      </c>
      <c r="K1648">
        <v>11.332000000000001</v>
      </c>
      <c r="L1648">
        <v>1.65</v>
      </c>
      <c r="M1648">
        <v>3.58</v>
      </c>
      <c r="N1648">
        <v>0.151</v>
      </c>
      <c r="O1648">
        <v>2.4569999999999999</v>
      </c>
      <c r="P1648">
        <v>0.54</v>
      </c>
    </row>
    <row r="1649" spans="1:16" x14ac:dyDescent="0.25">
      <c r="A1649" s="1">
        <v>43588</v>
      </c>
      <c r="B1649">
        <v>10.71</v>
      </c>
      <c r="C1649">
        <v>237.5</v>
      </c>
      <c r="D1649">
        <v>3.5209999999999999</v>
      </c>
      <c r="E1649">
        <v>15.55</v>
      </c>
      <c r="F1649">
        <v>5.7569999999999997</v>
      </c>
      <c r="G1649">
        <v>2.335</v>
      </c>
      <c r="H1649">
        <v>2.2999999999999998</v>
      </c>
      <c r="I1649">
        <v>44</v>
      </c>
      <c r="J1649">
        <v>37.83</v>
      </c>
      <c r="K1649">
        <v>11.332000000000001</v>
      </c>
      <c r="L1649">
        <v>1.65</v>
      </c>
      <c r="M1649">
        <v>3.58</v>
      </c>
      <c r="N1649">
        <v>0.152</v>
      </c>
      <c r="O1649">
        <v>2.5550000000000002</v>
      </c>
      <c r="P1649">
        <v>0.54</v>
      </c>
    </row>
    <row r="1650" spans="1:16" x14ac:dyDescent="0.25">
      <c r="A1650" s="1">
        <v>43591</v>
      </c>
      <c r="B1650">
        <v>10.71</v>
      </c>
      <c r="C1650">
        <v>237.8</v>
      </c>
      <c r="D1650">
        <v>3.5579999999999998</v>
      </c>
      <c r="E1650">
        <v>15.6</v>
      </c>
      <c r="F1650">
        <v>5.766</v>
      </c>
      <c r="G1650">
        <v>2.3540000000000001</v>
      </c>
      <c r="H1650">
        <v>2.2999999999999998</v>
      </c>
      <c r="I1650">
        <v>44.12</v>
      </c>
      <c r="J1650">
        <v>37.470999999999997</v>
      </c>
      <c r="K1650">
        <v>11.351000000000001</v>
      </c>
      <c r="L1650">
        <v>1.64</v>
      </c>
      <c r="M1650">
        <v>3.58</v>
      </c>
      <c r="N1650">
        <v>0.15</v>
      </c>
      <c r="O1650">
        <v>2.5550000000000002</v>
      </c>
      <c r="P1650">
        <v>0.54</v>
      </c>
    </row>
    <row r="1651" spans="1:16" x14ac:dyDescent="0.25">
      <c r="A1651" s="1">
        <v>43592</v>
      </c>
      <c r="B1651">
        <v>10.75</v>
      </c>
      <c r="C1651">
        <v>233.85</v>
      </c>
      <c r="D1651">
        <v>3.5209999999999999</v>
      </c>
      <c r="E1651">
        <v>15.92</v>
      </c>
      <c r="F1651">
        <v>5.71</v>
      </c>
      <c r="G1651">
        <v>2.3450000000000002</v>
      </c>
      <c r="H1651">
        <v>2.2799999999999998</v>
      </c>
      <c r="I1651">
        <v>44.15</v>
      </c>
      <c r="J1651">
        <v>37.5</v>
      </c>
      <c r="K1651">
        <v>11.532</v>
      </c>
      <c r="L1651">
        <v>1.64</v>
      </c>
      <c r="M1651">
        <v>3.58</v>
      </c>
      <c r="N1651">
        <v>0.14799999999999999</v>
      </c>
      <c r="O1651">
        <v>2.5550000000000002</v>
      </c>
      <c r="P1651">
        <v>0.55000000000000004</v>
      </c>
    </row>
    <row r="1652" spans="1:16" x14ac:dyDescent="0.25">
      <c r="A1652" s="1">
        <v>43593</v>
      </c>
      <c r="B1652">
        <v>10.75</v>
      </c>
      <c r="C1652">
        <v>226.7</v>
      </c>
      <c r="D1652">
        <v>3.5209999999999999</v>
      </c>
      <c r="E1652">
        <v>15.45</v>
      </c>
      <c r="F1652">
        <v>5.6909999999999998</v>
      </c>
      <c r="G1652">
        <v>2.383</v>
      </c>
      <c r="H1652">
        <v>2.2799999999999998</v>
      </c>
      <c r="I1652">
        <v>45</v>
      </c>
      <c r="J1652">
        <v>37.1</v>
      </c>
      <c r="K1652">
        <v>11.532</v>
      </c>
      <c r="L1652">
        <v>1.6</v>
      </c>
      <c r="M1652">
        <v>3.55</v>
      </c>
      <c r="N1652">
        <v>0.14599999999999999</v>
      </c>
      <c r="O1652">
        <v>2.5550000000000002</v>
      </c>
      <c r="P1652">
        <v>0.54</v>
      </c>
    </row>
    <row r="1653" spans="1:16" x14ac:dyDescent="0.25">
      <c r="A1653" s="1">
        <v>43594</v>
      </c>
      <c r="B1653">
        <v>10.75</v>
      </c>
      <c r="C1653">
        <v>224.65</v>
      </c>
      <c r="D1653">
        <v>3.4660000000000002</v>
      </c>
      <c r="E1653">
        <v>15.22</v>
      </c>
      <c r="F1653">
        <v>5.7380000000000004</v>
      </c>
      <c r="G1653">
        <v>2.3540000000000001</v>
      </c>
      <c r="H1653">
        <v>2.1</v>
      </c>
      <c r="I1653">
        <v>44.75</v>
      </c>
      <c r="J1653">
        <v>37.1</v>
      </c>
      <c r="K1653">
        <v>11.436999999999999</v>
      </c>
      <c r="L1653">
        <v>1.6</v>
      </c>
      <c r="M1653">
        <v>3.55</v>
      </c>
      <c r="N1653">
        <v>0.14499999999999999</v>
      </c>
      <c r="O1653">
        <v>2.5550000000000002</v>
      </c>
      <c r="P1653">
        <v>0.53</v>
      </c>
    </row>
    <row r="1654" spans="1:16" x14ac:dyDescent="0.25">
      <c r="A1654" s="1">
        <v>43595</v>
      </c>
      <c r="B1654">
        <v>10.85</v>
      </c>
      <c r="C1654">
        <v>223.1</v>
      </c>
      <c r="D1654">
        <v>3.4660000000000002</v>
      </c>
      <c r="E1654">
        <v>15.05</v>
      </c>
      <c r="F1654">
        <v>5.7</v>
      </c>
      <c r="G1654">
        <v>2.3639999999999999</v>
      </c>
      <c r="H1654">
        <v>2.1</v>
      </c>
      <c r="I1654">
        <v>44.12</v>
      </c>
      <c r="J1654">
        <v>37.1</v>
      </c>
      <c r="K1654">
        <v>11.436999999999999</v>
      </c>
      <c r="L1654">
        <v>1.6</v>
      </c>
      <c r="M1654">
        <v>3.55</v>
      </c>
      <c r="N1654">
        <v>0.14399999999999999</v>
      </c>
      <c r="O1654">
        <v>2.5550000000000002</v>
      </c>
      <c r="P1654">
        <v>0.51</v>
      </c>
    </row>
    <row r="1655" spans="1:16" x14ac:dyDescent="0.25">
      <c r="A1655" s="1">
        <v>43598</v>
      </c>
      <c r="B1655">
        <v>10.8</v>
      </c>
      <c r="C1655">
        <v>216.11</v>
      </c>
      <c r="D1655">
        <v>3.4569999999999999</v>
      </c>
      <c r="E1655">
        <v>15.4</v>
      </c>
      <c r="F1655">
        <v>5.6340000000000003</v>
      </c>
      <c r="G1655">
        <v>2.3450000000000002</v>
      </c>
      <c r="H1655">
        <v>2.1</v>
      </c>
      <c r="I1655">
        <v>44</v>
      </c>
      <c r="J1655">
        <v>37</v>
      </c>
      <c r="K1655">
        <v>11.436999999999999</v>
      </c>
      <c r="L1655">
        <v>1.57</v>
      </c>
      <c r="M1655">
        <v>3.55</v>
      </c>
      <c r="N1655">
        <v>0.14399999999999999</v>
      </c>
      <c r="O1655">
        <v>2.5550000000000002</v>
      </c>
      <c r="P1655">
        <v>0.49</v>
      </c>
    </row>
    <row r="1656" spans="1:16" x14ac:dyDescent="0.25">
      <c r="A1656" s="1">
        <v>43599</v>
      </c>
      <c r="B1656">
        <v>10.8</v>
      </c>
      <c r="C1656">
        <v>219</v>
      </c>
      <c r="D1656">
        <v>3.375</v>
      </c>
      <c r="E1656">
        <v>15.5</v>
      </c>
      <c r="F1656">
        <v>5.6150000000000002</v>
      </c>
      <c r="G1656">
        <v>2.2970000000000002</v>
      </c>
      <c r="H1656">
        <v>2.0499999999999998</v>
      </c>
      <c r="I1656">
        <v>44.5</v>
      </c>
      <c r="J1656">
        <v>36.65</v>
      </c>
      <c r="K1656">
        <v>11.436999999999999</v>
      </c>
      <c r="L1656">
        <v>1.6</v>
      </c>
      <c r="M1656">
        <v>3.55</v>
      </c>
      <c r="N1656">
        <v>0.13500000000000001</v>
      </c>
      <c r="O1656">
        <v>2.5550000000000002</v>
      </c>
      <c r="P1656">
        <v>0.48399999999999999</v>
      </c>
    </row>
    <row r="1657" spans="1:16" x14ac:dyDescent="0.25">
      <c r="A1657" s="1">
        <v>43600</v>
      </c>
      <c r="B1657">
        <v>10.75</v>
      </c>
      <c r="C1657">
        <v>216.4</v>
      </c>
      <c r="D1657">
        <v>3.4209999999999998</v>
      </c>
      <c r="E1657">
        <v>15.73</v>
      </c>
      <c r="F1657">
        <v>5.6150000000000002</v>
      </c>
      <c r="G1657">
        <v>2.2690000000000001</v>
      </c>
      <c r="H1657">
        <v>2.04</v>
      </c>
      <c r="I1657">
        <v>44.85</v>
      </c>
      <c r="J1657">
        <v>37</v>
      </c>
      <c r="K1657">
        <v>11.436999999999999</v>
      </c>
      <c r="L1657">
        <v>1.6</v>
      </c>
      <c r="M1657">
        <v>3.53</v>
      </c>
      <c r="N1657">
        <v>0.13500000000000001</v>
      </c>
      <c r="O1657">
        <v>2.5350000000000001</v>
      </c>
      <c r="P1657">
        <v>0.51</v>
      </c>
    </row>
    <row r="1658" spans="1:16" x14ac:dyDescent="0.25">
      <c r="A1658" s="1">
        <v>43601</v>
      </c>
      <c r="B1658">
        <v>10.7</v>
      </c>
      <c r="C1658">
        <v>217.5</v>
      </c>
      <c r="D1658">
        <v>3.375</v>
      </c>
      <c r="E1658">
        <v>15.18</v>
      </c>
      <c r="F1658">
        <v>5.6150000000000002</v>
      </c>
      <c r="G1658">
        <v>2.2879999999999998</v>
      </c>
      <c r="H1658">
        <v>2</v>
      </c>
      <c r="I1658">
        <v>46.01</v>
      </c>
      <c r="J1658">
        <v>36.950000000000003</v>
      </c>
      <c r="K1658">
        <v>11.436999999999999</v>
      </c>
      <c r="L1658">
        <v>1.65</v>
      </c>
      <c r="M1658">
        <v>3.53</v>
      </c>
      <c r="N1658">
        <v>0.13</v>
      </c>
      <c r="O1658">
        <v>2.5059999999999998</v>
      </c>
      <c r="P1658">
        <v>0.49</v>
      </c>
    </row>
    <row r="1659" spans="1:16" x14ac:dyDescent="0.25">
      <c r="A1659" s="1">
        <v>43602</v>
      </c>
      <c r="B1659">
        <v>10.5</v>
      </c>
      <c r="C1659">
        <v>218.1</v>
      </c>
      <c r="D1659">
        <v>3.33</v>
      </c>
      <c r="E1659">
        <v>15.14</v>
      </c>
      <c r="F1659">
        <v>5.5209999999999999</v>
      </c>
      <c r="G1659">
        <v>2.2690000000000001</v>
      </c>
      <c r="H1659">
        <v>1.95</v>
      </c>
      <c r="I1659">
        <v>46.5</v>
      </c>
      <c r="J1659">
        <v>37</v>
      </c>
      <c r="K1659">
        <v>11.551</v>
      </c>
      <c r="L1659">
        <v>1.75</v>
      </c>
      <c r="M1659">
        <v>3.53</v>
      </c>
      <c r="N1659">
        <v>0.13</v>
      </c>
      <c r="O1659">
        <v>2.4079999999999999</v>
      </c>
      <c r="P1659">
        <v>0.47499999999999998</v>
      </c>
    </row>
    <row r="1660" spans="1:16" x14ac:dyDescent="0.25">
      <c r="A1660" s="1">
        <v>43605</v>
      </c>
      <c r="B1660">
        <v>10.54</v>
      </c>
      <c r="C1660">
        <v>219.84</v>
      </c>
      <c r="D1660">
        <v>3.2839999999999998</v>
      </c>
      <c r="E1660">
        <v>15.24</v>
      </c>
      <c r="F1660">
        <v>5.37</v>
      </c>
      <c r="G1660">
        <v>2.2400000000000002</v>
      </c>
      <c r="H1660">
        <v>1.95</v>
      </c>
      <c r="I1660">
        <v>46.4</v>
      </c>
      <c r="J1660">
        <v>37.01</v>
      </c>
      <c r="K1660">
        <v>11.504</v>
      </c>
      <c r="L1660">
        <v>1.73</v>
      </c>
      <c r="M1660">
        <v>3.53</v>
      </c>
      <c r="N1660">
        <v>0.13</v>
      </c>
      <c r="O1660">
        <v>2.4700000000000002</v>
      </c>
      <c r="P1660">
        <v>0.45200000000000001</v>
      </c>
    </row>
    <row r="1661" spans="1:16" x14ac:dyDescent="0.25">
      <c r="A1661" s="1">
        <v>43606</v>
      </c>
      <c r="B1661">
        <v>10.55</v>
      </c>
      <c r="C1661">
        <v>223.31</v>
      </c>
      <c r="D1661">
        <v>3.3660000000000001</v>
      </c>
      <c r="E1661">
        <v>15.32</v>
      </c>
      <c r="F1661">
        <v>5.3319999999999999</v>
      </c>
      <c r="G1661">
        <v>2.2309999999999999</v>
      </c>
      <c r="H1661">
        <v>1.95</v>
      </c>
      <c r="I1661">
        <v>46.4</v>
      </c>
      <c r="J1661">
        <v>37.5</v>
      </c>
      <c r="K1661">
        <v>11.551</v>
      </c>
      <c r="L1661">
        <v>1.73</v>
      </c>
      <c r="M1661">
        <v>3.4</v>
      </c>
      <c r="N1661">
        <v>0.128</v>
      </c>
      <c r="O1661">
        <v>2.4700000000000002</v>
      </c>
      <c r="P1661">
        <v>0.44500000000000001</v>
      </c>
    </row>
    <row r="1662" spans="1:16" x14ac:dyDescent="0.25">
      <c r="A1662" s="1">
        <v>43607</v>
      </c>
      <c r="B1662">
        <v>10.5</v>
      </c>
      <c r="C1662">
        <v>225.9</v>
      </c>
      <c r="D1662">
        <v>3.3210000000000002</v>
      </c>
      <c r="E1662">
        <v>15</v>
      </c>
      <c r="F1662">
        <v>5.1429999999999998</v>
      </c>
      <c r="G1662">
        <v>2.2210000000000001</v>
      </c>
      <c r="H1662">
        <v>1.95</v>
      </c>
      <c r="I1662">
        <v>46.4</v>
      </c>
      <c r="J1662">
        <v>37</v>
      </c>
      <c r="K1662">
        <v>11.504</v>
      </c>
      <c r="L1662">
        <v>1.68</v>
      </c>
      <c r="M1662">
        <v>3.39</v>
      </c>
      <c r="N1662">
        <v>0.12</v>
      </c>
      <c r="O1662">
        <v>2.46</v>
      </c>
      <c r="P1662">
        <v>0.42</v>
      </c>
    </row>
    <row r="1663" spans="1:16" x14ac:dyDescent="0.25">
      <c r="A1663" s="1">
        <v>43608</v>
      </c>
      <c r="B1663">
        <v>10.45</v>
      </c>
      <c r="C1663">
        <v>223.35</v>
      </c>
      <c r="D1663">
        <v>3.3570000000000002</v>
      </c>
      <c r="E1663">
        <v>14.33</v>
      </c>
      <c r="F1663">
        <v>5.1429999999999998</v>
      </c>
      <c r="G1663">
        <v>2.173</v>
      </c>
      <c r="H1663">
        <v>1.9</v>
      </c>
      <c r="I1663">
        <v>46.4</v>
      </c>
      <c r="J1663">
        <v>37</v>
      </c>
      <c r="K1663">
        <v>11.504</v>
      </c>
      <c r="L1663">
        <v>1.68</v>
      </c>
      <c r="M1663">
        <v>3.39</v>
      </c>
      <c r="N1663">
        <v>0.122</v>
      </c>
      <c r="O1663">
        <v>2.46</v>
      </c>
      <c r="P1663">
        <v>0.41</v>
      </c>
    </row>
    <row r="1664" spans="1:16" x14ac:dyDescent="0.25">
      <c r="A1664" s="1">
        <v>43609</v>
      </c>
      <c r="B1664">
        <v>10.45</v>
      </c>
      <c r="C1664">
        <v>221.3</v>
      </c>
      <c r="D1664">
        <v>3.339</v>
      </c>
      <c r="E1664">
        <v>14.65</v>
      </c>
      <c r="F1664">
        <v>5.1909999999999998</v>
      </c>
      <c r="G1664">
        <v>2.145</v>
      </c>
      <c r="H1664">
        <v>1.95</v>
      </c>
      <c r="I1664">
        <v>46.4</v>
      </c>
      <c r="J1664">
        <v>37</v>
      </c>
      <c r="K1664">
        <v>11.504</v>
      </c>
      <c r="L1664">
        <v>1.66</v>
      </c>
      <c r="M1664">
        <v>3.39</v>
      </c>
      <c r="N1664">
        <v>0.123</v>
      </c>
      <c r="O1664">
        <v>2.46</v>
      </c>
      <c r="P1664">
        <v>0.44800000000000001</v>
      </c>
    </row>
    <row r="1665" spans="1:16" x14ac:dyDescent="0.25">
      <c r="A1665" s="1">
        <v>43612</v>
      </c>
      <c r="B1665">
        <v>10.5</v>
      </c>
      <c r="C1665">
        <v>221</v>
      </c>
      <c r="D1665">
        <v>3.339</v>
      </c>
      <c r="E1665">
        <v>14.5</v>
      </c>
      <c r="F1665">
        <v>5.266</v>
      </c>
      <c r="G1665">
        <v>2.1070000000000002</v>
      </c>
      <c r="H1665">
        <v>1.95</v>
      </c>
      <c r="I1665">
        <v>46.4</v>
      </c>
      <c r="J1665">
        <v>36.6</v>
      </c>
      <c r="K1665">
        <v>11.504</v>
      </c>
      <c r="L1665">
        <v>1.64</v>
      </c>
      <c r="M1665">
        <v>3.39</v>
      </c>
      <c r="N1665">
        <v>0.123</v>
      </c>
      <c r="O1665">
        <v>2.4209999999999998</v>
      </c>
      <c r="P1665">
        <v>0.47</v>
      </c>
    </row>
    <row r="1666" spans="1:16" x14ac:dyDescent="0.25">
      <c r="A1666" s="1">
        <v>43613</v>
      </c>
      <c r="B1666">
        <v>10.55</v>
      </c>
      <c r="C1666">
        <v>219.65</v>
      </c>
      <c r="D1666">
        <v>3.339</v>
      </c>
      <c r="E1666">
        <v>14.49</v>
      </c>
      <c r="F1666">
        <v>5.5679999999999996</v>
      </c>
      <c r="G1666">
        <v>2.1539999999999999</v>
      </c>
      <c r="H1666">
        <v>1.95</v>
      </c>
      <c r="I1666">
        <v>44.2</v>
      </c>
      <c r="J1666">
        <v>36.5</v>
      </c>
      <c r="K1666">
        <v>11.723000000000001</v>
      </c>
      <c r="L1666">
        <v>1.64</v>
      </c>
      <c r="M1666">
        <v>3.34</v>
      </c>
      <c r="N1666">
        <v>0.122</v>
      </c>
      <c r="O1666">
        <v>2.371</v>
      </c>
      <c r="P1666">
        <v>0.46500000000000002</v>
      </c>
    </row>
    <row r="1667" spans="1:16" x14ac:dyDescent="0.25">
      <c r="A1667" s="1">
        <v>43614</v>
      </c>
      <c r="B1667">
        <v>10.61</v>
      </c>
      <c r="C1667">
        <v>219.28</v>
      </c>
      <c r="D1667">
        <v>3.339</v>
      </c>
      <c r="E1667">
        <v>14.26</v>
      </c>
      <c r="F1667">
        <v>5.5679999999999996</v>
      </c>
      <c r="G1667">
        <v>2.1070000000000002</v>
      </c>
      <c r="H1667">
        <v>2</v>
      </c>
      <c r="I1667">
        <v>44.2</v>
      </c>
      <c r="J1667">
        <v>36.5</v>
      </c>
      <c r="K1667">
        <v>11.723000000000001</v>
      </c>
      <c r="L1667">
        <v>1.64</v>
      </c>
      <c r="M1667">
        <v>3.34</v>
      </c>
      <c r="N1667">
        <v>0.11899999999999999</v>
      </c>
      <c r="O1667">
        <v>2.4209999999999998</v>
      </c>
      <c r="P1667">
        <v>0.48199999999999998</v>
      </c>
    </row>
    <row r="1668" spans="1:16" x14ac:dyDescent="0.25">
      <c r="A1668" s="1">
        <v>43615</v>
      </c>
      <c r="B1668">
        <v>10.61</v>
      </c>
      <c r="C1668">
        <v>221.8</v>
      </c>
      <c r="D1668">
        <v>3.3210000000000002</v>
      </c>
      <c r="E1668">
        <v>14.5</v>
      </c>
      <c r="F1668">
        <v>5.5679999999999996</v>
      </c>
      <c r="G1668">
        <v>2.0870000000000002</v>
      </c>
      <c r="H1668">
        <v>2</v>
      </c>
      <c r="I1668">
        <v>44.2</v>
      </c>
      <c r="J1668">
        <v>36.700000000000003</v>
      </c>
      <c r="K1668">
        <v>11.771000000000001</v>
      </c>
      <c r="L1668">
        <v>1.55</v>
      </c>
      <c r="M1668">
        <v>3.34</v>
      </c>
      <c r="N1668">
        <v>0.12</v>
      </c>
      <c r="O1668">
        <v>2.4500000000000002</v>
      </c>
      <c r="P1668">
        <v>0.498</v>
      </c>
    </row>
    <row r="1669" spans="1:16" x14ac:dyDescent="0.25">
      <c r="A1669" s="1">
        <v>43616</v>
      </c>
      <c r="B1669">
        <v>10.64</v>
      </c>
      <c r="C1669">
        <v>224.25</v>
      </c>
      <c r="D1669">
        <v>3.3210000000000002</v>
      </c>
      <c r="E1669">
        <v>15.11</v>
      </c>
      <c r="F1669">
        <v>5.4930000000000003</v>
      </c>
      <c r="G1669">
        <v>2.0680000000000001</v>
      </c>
      <c r="H1669">
        <v>2</v>
      </c>
      <c r="I1669">
        <v>43.86</v>
      </c>
      <c r="J1669">
        <v>36.15</v>
      </c>
      <c r="K1669">
        <v>11.818</v>
      </c>
      <c r="L1669">
        <v>1.58</v>
      </c>
      <c r="M1669">
        <v>3.34</v>
      </c>
      <c r="N1669">
        <v>0.115</v>
      </c>
      <c r="O1669">
        <v>2.4209999999999998</v>
      </c>
      <c r="P1669">
        <v>0.48</v>
      </c>
    </row>
    <row r="1670" spans="1:16" x14ac:dyDescent="0.25">
      <c r="A1670" s="1">
        <v>43619</v>
      </c>
      <c r="B1670">
        <v>10.65</v>
      </c>
      <c r="C1670">
        <v>221.6</v>
      </c>
      <c r="D1670">
        <v>3.375</v>
      </c>
      <c r="E1670">
        <v>15.68</v>
      </c>
      <c r="F1670">
        <v>5.4740000000000002</v>
      </c>
      <c r="G1670">
        <v>2.0590000000000002</v>
      </c>
      <c r="H1670">
        <v>2.08</v>
      </c>
      <c r="I1670">
        <v>43.51</v>
      </c>
      <c r="J1670">
        <v>36.4</v>
      </c>
      <c r="K1670">
        <v>11.771000000000001</v>
      </c>
      <c r="L1670">
        <v>1.55</v>
      </c>
      <c r="M1670">
        <v>3.34</v>
      </c>
      <c r="N1670">
        <v>0.115</v>
      </c>
      <c r="O1670">
        <v>2.4500000000000002</v>
      </c>
      <c r="P1670">
        <v>0.46500000000000002</v>
      </c>
    </row>
    <row r="1671" spans="1:16" x14ac:dyDescent="0.25">
      <c r="A1671" s="1">
        <v>43620</v>
      </c>
      <c r="B1671">
        <v>10.65</v>
      </c>
      <c r="C1671">
        <v>223.5</v>
      </c>
      <c r="D1671">
        <v>3.375</v>
      </c>
      <c r="E1671">
        <v>15.58</v>
      </c>
      <c r="F1671">
        <v>5.5209999999999999</v>
      </c>
      <c r="G1671">
        <v>2.109</v>
      </c>
      <c r="H1671">
        <v>2.15</v>
      </c>
      <c r="I1671">
        <v>43.51</v>
      </c>
      <c r="J1671">
        <v>36.5</v>
      </c>
      <c r="K1671">
        <v>11.771000000000001</v>
      </c>
      <c r="L1671">
        <v>1.58</v>
      </c>
      <c r="M1671">
        <v>3.34</v>
      </c>
      <c r="N1671">
        <v>0.11700000000000001</v>
      </c>
      <c r="O1671">
        <v>2.4500000000000002</v>
      </c>
      <c r="P1671">
        <v>0.46500000000000002</v>
      </c>
    </row>
    <row r="1672" spans="1:16" x14ac:dyDescent="0.25">
      <c r="A1672" s="1">
        <v>43621</v>
      </c>
      <c r="B1672">
        <v>10.6</v>
      </c>
      <c r="C1672">
        <v>223.5</v>
      </c>
      <c r="D1672">
        <v>3.375</v>
      </c>
      <c r="E1672">
        <v>15.84</v>
      </c>
      <c r="F1672">
        <v>5.5209999999999999</v>
      </c>
      <c r="G1672">
        <v>2.1280000000000001</v>
      </c>
      <c r="H1672">
        <v>2.15</v>
      </c>
      <c r="I1672">
        <v>43.51</v>
      </c>
      <c r="J1672">
        <v>36.5</v>
      </c>
      <c r="K1672">
        <v>11.771000000000001</v>
      </c>
      <c r="L1672">
        <v>1.58</v>
      </c>
      <c r="M1672">
        <v>3.34</v>
      </c>
      <c r="N1672">
        <v>0.11700000000000001</v>
      </c>
      <c r="O1672">
        <v>2.4209999999999998</v>
      </c>
      <c r="P1672">
        <v>0.49299999999999999</v>
      </c>
    </row>
    <row r="1673" spans="1:16" x14ac:dyDescent="0.25">
      <c r="A1673" s="1">
        <v>43622</v>
      </c>
      <c r="B1673">
        <v>10.55</v>
      </c>
      <c r="C1673">
        <v>224.6</v>
      </c>
      <c r="D1673">
        <v>3.375</v>
      </c>
      <c r="E1673">
        <v>15.85</v>
      </c>
      <c r="F1673">
        <v>5.4740000000000002</v>
      </c>
      <c r="G1673">
        <v>2.1480000000000001</v>
      </c>
      <c r="H1673">
        <v>2.2000000000000002</v>
      </c>
      <c r="I1673">
        <v>43.52</v>
      </c>
      <c r="J1673">
        <v>36.5</v>
      </c>
      <c r="K1673">
        <v>11.79</v>
      </c>
      <c r="L1673">
        <v>1.58</v>
      </c>
      <c r="M1673">
        <v>3.34</v>
      </c>
      <c r="N1673">
        <v>0.11700000000000001</v>
      </c>
      <c r="O1673">
        <v>2.4009999999999998</v>
      </c>
      <c r="P1673">
        <v>0.52</v>
      </c>
    </row>
    <row r="1674" spans="1:16" x14ac:dyDescent="0.25">
      <c r="A1674" s="1">
        <v>43623</v>
      </c>
      <c r="B1674">
        <v>10.55</v>
      </c>
      <c r="C1674">
        <v>228.7</v>
      </c>
      <c r="D1674">
        <v>3.375</v>
      </c>
      <c r="E1674">
        <v>15.8</v>
      </c>
      <c r="F1674">
        <v>5.4740000000000002</v>
      </c>
      <c r="G1674">
        <v>2.1480000000000001</v>
      </c>
      <c r="H1674">
        <v>2.15</v>
      </c>
      <c r="I1674">
        <v>43.87</v>
      </c>
      <c r="J1674">
        <v>37</v>
      </c>
      <c r="K1674">
        <v>11.79</v>
      </c>
      <c r="L1674">
        <v>1.65</v>
      </c>
      <c r="M1674">
        <v>3.3</v>
      </c>
      <c r="N1674">
        <v>0.122</v>
      </c>
      <c r="O1674">
        <v>2.4009999999999998</v>
      </c>
      <c r="P1674">
        <v>0.55000000000000004</v>
      </c>
    </row>
    <row r="1675" spans="1:16" x14ac:dyDescent="0.25">
      <c r="A1675" s="1">
        <v>43626</v>
      </c>
      <c r="B1675">
        <v>10.58</v>
      </c>
      <c r="C1675">
        <v>228.85</v>
      </c>
      <c r="D1675">
        <v>3.375</v>
      </c>
      <c r="E1675">
        <v>15.33</v>
      </c>
      <c r="F1675">
        <v>5.4269999999999996</v>
      </c>
      <c r="G1675">
        <v>2.1480000000000001</v>
      </c>
      <c r="H1675">
        <v>2.1</v>
      </c>
      <c r="I1675">
        <v>43.88</v>
      </c>
      <c r="J1675">
        <v>37.799999999999997</v>
      </c>
      <c r="K1675">
        <v>11.79</v>
      </c>
      <c r="L1675">
        <v>1.68</v>
      </c>
      <c r="M1675">
        <v>3.3</v>
      </c>
      <c r="N1675">
        <v>0.127</v>
      </c>
      <c r="O1675">
        <v>2.371</v>
      </c>
      <c r="P1675">
        <v>0.59</v>
      </c>
    </row>
    <row r="1676" spans="1:16" x14ac:dyDescent="0.25">
      <c r="A1676" s="1">
        <v>43627</v>
      </c>
      <c r="B1676">
        <v>10.58</v>
      </c>
      <c r="C1676">
        <v>228</v>
      </c>
      <c r="D1676">
        <v>3.33</v>
      </c>
      <c r="E1676">
        <v>15.72</v>
      </c>
      <c r="F1676">
        <v>5.4269999999999996</v>
      </c>
      <c r="G1676">
        <v>2.1579999999999999</v>
      </c>
      <c r="H1676">
        <v>2.1</v>
      </c>
      <c r="I1676">
        <v>43.92</v>
      </c>
      <c r="J1676">
        <v>38</v>
      </c>
      <c r="K1676">
        <v>11.904</v>
      </c>
      <c r="L1676">
        <v>1.68</v>
      </c>
      <c r="M1676">
        <v>3.3</v>
      </c>
      <c r="N1676">
        <v>0.127</v>
      </c>
      <c r="O1676">
        <v>2.3809999999999998</v>
      </c>
      <c r="P1676">
        <v>0.56999999999999995</v>
      </c>
    </row>
    <row r="1677" spans="1:16" x14ac:dyDescent="0.25">
      <c r="A1677" s="1">
        <v>43628</v>
      </c>
      <c r="B1677">
        <v>10.57</v>
      </c>
      <c r="C1677">
        <v>226.99</v>
      </c>
      <c r="D1677">
        <v>3.375</v>
      </c>
      <c r="E1677">
        <v>15.72</v>
      </c>
      <c r="F1677">
        <v>5.3979999999999997</v>
      </c>
      <c r="G1677">
        <v>2.1480000000000001</v>
      </c>
      <c r="H1677">
        <v>2.16</v>
      </c>
      <c r="I1677">
        <v>45.1</v>
      </c>
      <c r="J1677">
        <v>37.799999999999997</v>
      </c>
      <c r="K1677">
        <v>11.914</v>
      </c>
      <c r="L1677">
        <v>1.68</v>
      </c>
      <c r="M1677">
        <v>3.3</v>
      </c>
      <c r="N1677">
        <v>0.123</v>
      </c>
      <c r="O1677">
        <v>2.4209999999999998</v>
      </c>
      <c r="P1677">
        <v>0.56000000000000005</v>
      </c>
    </row>
    <row r="1678" spans="1:16" x14ac:dyDescent="0.25">
      <c r="A1678" s="1">
        <v>43629</v>
      </c>
      <c r="B1678">
        <v>10.58</v>
      </c>
      <c r="C1678">
        <v>221.1</v>
      </c>
      <c r="D1678">
        <v>3.3929999999999998</v>
      </c>
      <c r="E1678">
        <v>15.7</v>
      </c>
      <c r="F1678">
        <v>5.3979999999999997</v>
      </c>
      <c r="G1678">
        <v>2.1480000000000001</v>
      </c>
      <c r="H1678">
        <v>2.0499999999999998</v>
      </c>
      <c r="I1678">
        <v>45.31</v>
      </c>
      <c r="J1678">
        <v>37.799999999999997</v>
      </c>
      <c r="K1678">
        <v>11.923</v>
      </c>
      <c r="L1678">
        <v>1.68</v>
      </c>
      <c r="M1678">
        <v>3.3</v>
      </c>
      <c r="N1678">
        <v>0.122</v>
      </c>
      <c r="O1678">
        <v>2.4209999999999998</v>
      </c>
      <c r="P1678">
        <v>0.56999999999999995</v>
      </c>
    </row>
    <row r="1679" spans="1:16" x14ac:dyDescent="0.25">
      <c r="A1679" s="1">
        <v>43630</v>
      </c>
      <c r="B1679">
        <v>10.59</v>
      </c>
      <c r="C1679">
        <v>220.8</v>
      </c>
      <c r="D1679">
        <v>3.375</v>
      </c>
      <c r="E1679">
        <v>15.5</v>
      </c>
      <c r="F1679">
        <v>5.3979999999999997</v>
      </c>
      <c r="G1679">
        <v>2.1680000000000001</v>
      </c>
      <c r="H1679">
        <v>2.14</v>
      </c>
      <c r="I1679">
        <v>45.51</v>
      </c>
      <c r="J1679">
        <v>37.799999999999997</v>
      </c>
      <c r="K1679">
        <v>11.923</v>
      </c>
      <c r="L1679">
        <v>1.7</v>
      </c>
      <c r="M1679">
        <v>3.3</v>
      </c>
      <c r="N1679">
        <v>0.12</v>
      </c>
      <c r="O1679">
        <v>2.4209999999999998</v>
      </c>
      <c r="P1679">
        <v>0.56000000000000005</v>
      </c>
    </row>
    <row r="1680" spans="1:16" x14ac:dyDescent="0.25">
      <c r="A1680" s="1">
        <v>43633</v>
      </c>
      <c r="B1680">
        <v>10.55</v>
      </c>
      <c r="C1680">
        <v>219.15</v>
      </c>
      <c r="D1680">
        <v>3.375</v>
      </c>
      <c r="E1680">
        <v>15.29</v>
      </c>
      <c r="F1680">
        <v>5.3609999999999998</v>
      </c>
      <c r="G1680">
        <v>2.1480000000000001</v>
      </c>
      <c r="H1680">
        <v>2.15</v>
      </c>
      <c r="I1680">
        <v>45.52</v>
      </c>
      <c r="J1680">
        <v>37.799999999999997</v>
      </c>
      <c r="K1680">
        <v>11.914</v>
      </c>
      <c r="L1680">
        <v>1.67</v>
      </c>
      <c r="M1680">
        <v>3.3</v>
      </c>
      <c r="N1680">
        <v>0.122</v>
      </c>
      <c r="O1680">
        <v>2.4700000000000002</v>
      </c>
      <c r="P1680">
        <v>0.54</v>
      </c>
    </row>
    <row r="1681" spans="1:16" x14ac:dyDescent="0.25">
      <c r="A1681" s="1">
        <v>43634</v>
      </c>
      <c r="B1681">
        <v>10.6</v>
      </c>
      <c r="C1681">
        <v>220.4</v>
      </c>
      <c r="D1681">
        <v>3.375</v>
      </c>
      <c r="E1681">
        <v>15.62</v>
      </c>
      <c r="F1681">
        <v>5.3789999999999996</v>
      </c>
      <c r="G1681">
        <v>2.1970000000000001</v>
      </c>
      <c r="H1681">
        <v>2.1</v>
      </c>
      <c r="I1681">
        <v>45.52</v>
      </c>
      <c r="J1681">
        <v>37.799999999999997</v>
      </c>
      <c r="K1681">
        <v>11.914</v>
      </c>
      <c r="L1681">
        <v>1.65</v>
      </c>
      <c r="M1681">
        <v>3.3</v>
      </c>
      <c r="N1681">
        <v>0.122</v>
      </c>
      <c r="O1681">
        <v>2.4700000000000002</v>
      </c>
      <c r="P1681">
        <v>0.54</v>
      </c>
    </row>
    <row r="1682" spans="1:16" x14ac:dyDescent="0.25">
      <c r="A1682" s="1">
        <v>43635</v>
      </c>
      <c r="B1682">
        <v>10.49</v>
      </c>
      <c r="C1682">
        <v>219.82</v>
      </c>
      <c r="D1682">
        <v>3.375</v>
      </c>
      <c r="E1682">
        <v>15.65</v>
      </c>
      <c r="F1682">
        <v>5.3609999999999998</v>
      </c>
      <c r="G1682">
        <v>2.1970000000000001</v>
      </c>
      <c r="H1682">
        <v>2.1</v>
      </c>
      <c r="I1682">
        <v>45.52</v>
      </c>
      <c r="J1682">
        <v>37.799999999999997</v>
      </c>
      <c r="K1682">
        <v>12.147</v>
      </c>
      <c r="L1682">
        <v>1.65</v>
      </c>
      <c r="M1682">
        <v>3.25</v>
      </c>
      <c r="N1682">
        <v>0.121</v>
      </c>
      <c r="O1682">
        <v>2.4700000000000002</v>
      </c>
      <c r="P1682">
        <v>0.53</v>
      </c>
    </row>
    <row r="1683" spans="1:16" x14ac:dyDescent="0.25">
      <c r="A1683" s="1">
        <v>43636</v>
      </c>
      <c r="B1683">
        <v>10.49</v>
      </c>
      <c r="C1683">
        <v>222.5</v>
      </c>
      <c r="D1683">
        <v>3.4209999999999998</v>
      </c>
      <c r="E1683">
        <v>16.670000000000002</v>
      </c>
      <c r="F1683">
        <v>5.2850000000000001</v>
      </c>
      <c r="G1683">
        <v>2.1970000000000001</v>
      </c>
      <c r="H1683">
        <v>2.15</v>
      </c>
      <c r="I1683">
        <v>46</v>
      </c>
      <c r="J1683">
        <v>38.75</v>
      </c>
      <c r="K1683">
        <v>12.147</v>
      </c>
      <c r="L1683">
        <v>1.65</v>
      </c>
      <c r="M1683">
        <v>3.3</v>
      </c>
      <c r="N1683">
        <v>0.121</v>
      </c>
      <c r="O1683">
        <v>2.4500000000000002</v>
      </c>
      <c r="P1683">
        <v>0.55000000000000004</v>
      </c>
    </row>
    <row r="1684" spans="1:16" x14ac:dyDescent="0.25">
      <c r="A1684" s="1">
        <v>43637</v>
      </c>
      <c r="B1684">
        <v>10.44</v>
      </c>
      <c r="C1684">
        <v>222</v>
      </c>
      <c r="D1684">
        <v>3.4660000000000002</v>
      </c>
      <c r="E1684">
        <v>16.48</v>
      </c>
      <c r="F1684">
        <v>5.3230000000000004</v>
      </c>
      <c r="G1684">
        <v>2.1480000000000001</v>
      </c>
      <c r="H1684">
        <v>2.15</v>
      </c>
      <c r="I1684">
        <v>46</v>
      </c>
      <c r="J1684">
        <v>39</v>
      </c>
      <c r="K1684">
        <v>12.808</v>
      </c>
      <c r="L1684">
        <v>1.66</v>
      </c>
      <c r="M1684">
        <v>3.3</v>
      </c>
      <c r="N1684">
        <v>0.12</v>
      </c>
      <c r="O1684">
        <v>2.4209999999999998</v>
      </c>
      <c r="P1684">
        <v>0.52</v>
      </c>
    </row>
    <row r="1685" spans="1:16" x14ac:dyDescent="0.25">
      <c r="A1685" s="1">
        <v>43640</v>
      </c>
      <c r="B1685">
        <v>10.4</v>
      </c>
      <c r="C1685">
        <v>227</v>
      </c>
      <c r="D1685">
        <v>3.4660000000000002</v>
      </c>
      <c r="E1685">
        <v>17.03</v>
      </c>
      <c r="F1685">
        <v>5.2939999999999996</v>
      </c>
      <c r="G1685">
        <v>2.1970000000000001</v>
      </c>
      <c r="H1685">
        <v>2.0499999999999998</v>
      </c>
      <c r="I1685">
        <v>45.9</v>
      </c>
      <c r="J1685">
        <v>39</v>
      </c>
      <c r="K1685">
        <v>12.856999999999999</v>
      </c>
      <c r="L1685">
        <v>1.67</v>
      </c>
      <c r="M1685">
        <v>3.3</v>
      </c>
      <c r="N1685">
        <v>0.12</v>
      </c>
      <c r="O1685">
        <v>2.4209999999999998</v>
      </c>
      <c r="P1685">
        <v>0.52</v>
      </c>
    </row>
    <row r="1686" spans="1:16" x14ac:dyDescent="0.25">
      <c r="A1686" s="1">
        <v>43641</v>
      </c>
      <c r="B1686">
        <v>10.28</v>
      </c>
      <c r="C1686">
        <v>226.68</v>
      </c>
      <c r="D1686">
        <v>3.448</v>
      </c>
      <c r="E1686">
        <v>16.75</v>
      </c>
      <c r="F1686">
        <v>5.266</v>
      </c>
      <c r="G1686">
        <v>2.1680000000000001</v>
      </c>
      <c r="H1686">
        <v>2.0499999999999998</v>
      </c>
      <c r="I1686">
        <v>44.9</v>
      </c>
      <c r="J1686">
        <v>39</v>
      </c>
      <c r="K1686">
        <v>13.032</v>
      </c>
      <c r="L1686">
        <v>1.68</v>
      </c>
      <c r="M1686">
        <v>3.35</v>
      </c>
      <c r="N1686">
        <v>0.12</v>
      </c>
      <c r="O1686">
        <v>2.371</v>
      </c>
      <c r="P1686">
        <v>0.51</v>
      </c>
    </row>
    <row r="1687" spans="1:16" x14ac:dyDescent="0.25">
      <c r="A1687" s="1">
        <v>43642</v>
      </c>
      <c r="B1687">
        <v>10.28</v>
      </c>
      <c r="C1687">
        <v>228.5</v>
      </c>
      <c r="D1687">
        <v>3.3929999999999998</v>
      </c>
      <c r="E1687">
        <v>16.510000000000002</v>
      </c>
      <c r="F1687">
        <v>5.2939999999999996</v>
      </c>
      <c r="G1687">
        <v>2.1970000000000001</v>
      </c>
      <c r="H1687">
        <v>2.0499999999999998</v>
      </c>
      <c r="I1687">
        <v>44.75</v>
      </c>
      <c r="J1687">
        <v>39</v>
      </c>
      <c r="K1687">
        <v>13.129</v>
      </c>
      <c r="L1687">
        <v>1.68</v>
      </c>
      <c r="M1687">
        <v>3.35</v>
      </c>
      <c r="N1687">
        <v>0.11799999999999999</v>
      </c>
      <c r="O1687">
        <v>2.4209999999999998</v>
      </c>
      <c r="P1687">
        <v>0.53</v>
      </c>
    </row>
    <row r="1688" spans="1:16" x14ac:dyDescent="0.25">
      <c r="A1688" s="1">
        <v>43643</v>
      </c>
      <c r="B1688">
        <v>10.32</v>
      </c>
      <c r="C1688">
        <v>230.95</v>
      </c>
      <c r="D1688">
        <v>3.448</v>
      </c>
      <c r="E1688">
        <v>16.57</v>
      </c>
      <c r="F1688">
        <v>5.2939999999999996</v>
      </c>
      <c r="G1688">
        <v>2.1869999999999998</v>
      </c>
      <c r="H1688">
        <v>2</v>
      </c>
      <c r="I1688">
        <v>45.1</v>
      </c>
      <c r="J1688">
        <v>39</v>
      </c>
      <c r="K1688">
        <v>13.226000000000001</v>
      </c>
      <c r="L1688">
        <v>1.72</v>
      </c>
      <c r="M1688">
        <v>3.35</v>
      </c>
      <c r="N1688">
        <v>0.11899999999999999</v>
      </c>
      <c r="O1688">
        <v>2.4209999999999998</v>
      </c>
      <c r="P1688">
        <v>0.53</v>
      </c>
    </row>
    <row r="1689" spans="1:16" x14ac:dyDescent="0.25">
      <c r="A1689" s="1">
        <v>43644</v>
      </c>
      <c r="B1689">
        <v>10.33</v>
      </c>
      <c r="C1689">
        <v>228.3</v>
      </c>
      <c r="D1689">
        <v>3.4119999999999999</v>
      </c>
      <c r="E1689">
        <v>16.71</v>
      </c>
      <c r="F1689">
        <v>5.3789999999999996</v>
      </c>
      <c r="G1689">
        <v>2.2069999999999999</v>
      </c>
      <c r="H1689">
        <v>2</v>
      </c>
      <c r="I1689">
        <v>45.5</v>
      </c>
      <c r="J1689">
        <v>39.020000000000003</v>
      </c>
      <c r="K1689">
        <v>13.391999999999999</v>
      </c>
      <c r="L1689">
        <v>1.7</v>
      </c>
      <c r="M1689">
        <v>3.35</v>
      </c>
      <c r="N1689">
        <v>0.12</v>
      </c>
      <c r="O1689">
        <v>2.411</v>
      </c>
      <c r="P1689">
        <v>0.52</v>
      </c>
    </row>
    <row r="1690" spans="1:16" x14ac:dyDescent="0.25">
      <c r="A1690" s="1">
        <v>43647</v>
      </c>
      <c r="B1690">
        <v>10.33</v>
      </c>
      <c r="C1690">
        <v>230.28</v>
      </c>
      <c r="D1690">
        <v>3.4119999999999999</v>
      </c>
      <c r="E1690">
        <v>16.52</v>
      </c>
      <c r="F1690">
        <v>5.4169999999999998</v>
      </c>
      <c r="G1690">
        <v>2.2650000000000001</v>
      </c>
      <c r="H1690">
        <v>1.95</v>
      </c>
      <c r="I1690">
        <v>45.8</v>
      </c>
      <c r="J1690">
        <v>39.299999999999997</v>
      </c>
      <c r="K1690">
        <v>13.79</v>
      </c>
      <c r="L1690">
        <v>1.7</v>
      </c>
      <c r="M1690">
        <v>3.35</v>
      </c>
      <c r="N1690">
        <v>0.121</v>
      </c>
      <c r="O1690">
        <v>2.411</v>
      </c>
      <c r="P1690">
        <v>0.55000000000000004</v>
      </c>
    </row>
    <row r="1691" spans="1:16" x14ac:dyDescent="0.25">
      <c r="A1691" s="1">
        <v>43648</v>
      </c>
      <c r="B1691">
        <v>10.35</v>
      </c>
      <c r="C1691">
        <v>232.55</v>
      </c>
      <c r="D1691">
        <v>3.403</v>
      </c>
      <c r="E1691">
        <v>16.63</v>
      </c>
      <c r="F1691">
        <v>5.37</v>
      </c>
      <c r="G1691">
        <v>2.2850000000000001</v>
      </c>
      <c r="H1691">
        <v>1.95</v>
      </c>
      <c r="I1691">
        <v>46.01</v>
      </c>
      <c r="J1691">
        <v>39</v>
      </c>
      <c r="K1691">
        <v>13.79</v>
      </c>
      <c r="L1691">
        <v>1.67</v>
      </c>
      <c r="M1691">
        <v>3.35</v>
      </c>
      <c r="N1691">
        <v>0.121</v>
      </c>
      <c r="O1691">
        <v>2.391</v>
      </c>
      <c r="P1691">
        <v>0.55000000000000004</v>
      </c>
    </row>
    <row r="1692" spans="1:16" x14ac:dyDescent="0.25">
      <c r="A1692" s="1">
        <v>43649</v>
      </c>
      <c r="B1692">
        <v>10.34</v>
      </c>
      <c r="C1692">
        <v>234.2</v>
      </c>
      <c r="D1692">
        <v>3.4209999999999998</v>
      </c>
      <c r="E1692">
        <v>16.579999999999998</v>
      </c>
      <c r="F1692">
        <v>5.4640000000000004</v>
      </c>
      <c r="G1692">
        <v>2.246</v>
      </c>
      <c r="H1692">
        <v>1.94</v>
      </c>
      <c r="I1692">
        <v>46.3</v>
      </c>
      <c r="J1692">
        <v>39</v>
      </c>
      <c r="K1692">
        <v>13.878</v>
      </c>
      <c r="L1692">
        <v>1.68</v>
      </c>
      <c r="M1692">
        <v>3.35</v>
      </c>
      <c r="N1692">
        <v>0.121</v>
      </c>
      <c r="O1692">
        <v>2.371</v>
      </c>
      <c r="P1692">
        <v>0.55000000000000004</v>
      </c>
    </row>
    <row r="1693" spans="1:16" x14ac:dyDescent="0.25">
      <c r="A1693" s="1">
        <v>43650</v>
      </c>
      <c r="B1693">
        <v>10.35</v>
      </c>
      <c r="C1693">
        <v>234.2</v>
      </c>
      <c r="D1693">
        <v>3.42</v>
      </c>
      <c r="E1693">
        <v>16.579999999999998</v>
      </c>
      <c r="F1693">
        <v>5.4169999999999998</v>
      </c>
      <c r="G1693">
        <v>2.246</v>
      </c>
      <c r="H1693">
        <v>1.94</v>
      </c>
      <c r="I1693">
        <v>50</v>
      </c>
      <c r="J1693">
        <v>39</v>
      </c>
      <c r="K1693">
        <v>13.878</v>
      </c>
      <c r="L1693">
        <v>1.65</v>
      </c>
      <c r="M1693">
        <v>3.35</v>
      </c>
      <c r="N1693">
        <v>0.12</v>
      </c>
      <c r="O1693">
        <v>2.371</v>
      </c>
      <c r="P1693">
        <v>0.55000000000000004</v>
      </c>
    </row>
    <row r="1694" spans="1:16" x14ac:dyDescent="0.25">
      <c r="A1694" s="1">
        <v>43651</v>
      </c>
      <c r="B1694">
        <v>10.28</v>
      </c>
      <c r="C1694">
        <v>238.4</v>
      </c>
      <c r="D1694">
        <v>3.42</v>
      </c>
      <c r="E1694">
        <v>16.559999999999999</v>
      </c>
      <c r="F1694">
        <v>5.3789999999999996</v>
      </c>
      <c r="G1694">
        <v>2.2160000000000002</v>
      </c>
      <c r="H1694">
        <v>1.98</v>
      </c>
      <c r="I1694">
        <v>49</v>
      </c>
      <c r="J1694">
        <v>38.9</v>
      </c>
      <c r="K1694">
        <v>13.683999999999999</v>
      </c>
      <c r="L1694">
        <v>1.65</v>
      </c>
      <c r="M1694">
        <v>3.35</v>
      </c>
      <c r="N1694">
        <v>0.11899999999999999</v>
      </c>
      <c r="O1694">
        <v>2.371</v>
      </c>
      <c r="P1694">
        <v>0.55000000000000004</v>
      </c>
    </row>
    <row r="1695" spans="1:16" x14ac:dyDescent="0.25">
      <c r="A1695" s="1">
        <v>43654</v>
      </c>
      <c r="B1695">
        <v>10.15</v>
      </c>
      <c r="C1695">
        <v>238.7</v>
      </c>
      <c r="D1695">
        <v>3.4</v>
      </c>
      <c r="E1695">
        <v>16.559999999999999</v>
      </c>
      <c r="F1695">
        <v>5.3789999999999996</v>
      </c>
      <c r="G1695">
        <v>2.2360000000000002</v>
      </c>
      <c r="H1695">
        <v>1.98</v>
      </c>
      <c r="I1695">
        <v>49</v>
      </c>
      <c r="J1695">
        <v>38.5</v>
      </c>
      <c r="K1695">
        <v>13.615</v>
      </c>
      <c r="L1695">
        <v>1.64</v>
      </c>
      <c r="M1695">
        <v>3.34</v>
      </c>
      <c r="N1695">
        <v>0.11899999999999999</v>
      </c>
      <c r="O1695">
        <v>2.371</v>
      </c>
      <c r="P1695">
        <v>0.54</v>
      </c>
    </row>
    <row r="1696" spans="1:16" x14ac:dyDescent="0.25">
      <c r="A1696" s="1">
        <v>43655</v>
      </c>
      <c r="B1696">
        <v>10.25</v>
      </c>
      <c r="C1696">
        <v>238</v>
      </c>
      <c r="D1696">
        <v>3.35</v>
      </c>
      <c r="E1696">
        <v>16.2</v>
      </c>
      <c r="F1696">
        <v>5.4080000000000004</v>
      </c>
      <c r="G1696">
        <v>2.2360000000000002</v>
      </c>
      <c r="H1696">
        <v>1.95</v>
      </c>
      <c r="I1696">
        <v>49</v>
      </c>
      <c r="J1696">
        <v>38.049999999999997</v>
      </c>
      <c r="K1696">
        <v>13.615</v>
      </c>
      <c r="L1696">
        <v>1.65</v>
      </c>
      <c r="M1696">
        <v>3.25</v>
      </c>
      <c r="N1696">
        <v>0.11899999999999999</v>
      </c>
      <c r="O1696">
        <v>2.371</v>
      </c>
      <c r="P1696">
        <v>0.52</v>
      </c>
    </row>
    <row r="1697" spans="1:16" x14ac:dyDescent="0.25">
      <c r="A1697" s="1">
        <v>43656</v>
      </c>
      <c r="B1697">
        <v>10.25</v>
      </c>
      <c r="C1697">
        <v>237.28</v>
      </c>
      <c r="D1697">
        <v>3.38</v>
      </c>
      <c r="E1697">
        <v>16.47</v>
      </c>
      <c r="F1697">
        <v>5.2380000000000004</v>
      </c>
      <c r="G1697">
        <v>2.2160000000000002</v>
      </c>
      <c r="H1697">
        <v>1.98</v>
      </c>
      <c r="I1697">
        <v>48.9</v>
      </c>
      <c r="J1697">
        <v>39</v>
      </c>
      <c r="K1697">
        <v>13.615</v>
      </c>
      <c r="L1697">
        <v>1.6</v>
      </c>
      <c r="M1697">
        <v>3.25</v>
      </c>
      <c r="N1697">
        <v>0.11799999999999999</v>
      </c>
      <c r="O1697">
        <v>2.411</v>
      </c>
      <c r="P1697">
        <v>0.53</v>
      </c>
    </row>
    <row r="1698" spans="1:16" x14ac:dyDescent="0.25">
      <c r="A1698" s="1">
        <v>43657</v>
      </c>
      <c r="B1698">
        <v>10.55</v>
      </c>
      <c r="C1698">
        <v>235.8</v>
      </c>
      <c r="D1698">
        <v>3.31</v>
      </c>
      <c r="E1698">
        <v>16.47</v>
      </c>
      <c r="F1698">
        <v>5.2569999999999997</v>
      </c>
      <c r="G1698">
        <v>2.2069999999999999</v>
      </c>
      <c r="H1698">
        <v>1.95</v>
      </c>
      <c r="I1698">
        <v>48</v>
      </c>
      <c r="J1698">
        <v>39.5</v>
      </c>
      <c r="K1698">
        <v>13.907</v>
      </c>
      <c r="L1698">
        <v>1.59</v>
      </c>
      <c r="M1698">
        <v>3.25</v>
      </c>
      <c r="N1698">
        <v>0.11799999999999999</v>
      </c>
      <c r="O1698">
        <v>2.3809999999999998</v>
      </c>
      <c r="P1698">
        <v>0.53</v>
      </c>
    </row>
    <row r="1699" spans="1:16" x14ac:dyDescent="0.25">
      <c r="A1699" s="1">
        <v>43658</v>
      </c>
      <c r="B1699">
        <v>10.7</v>
      </c>
      <c r="C1699">
        <v>236</v>
      </c>
      <c r="D1699">
        <v>3.42</v>
      </c>
      <c r="E1699">
        <v>16.25</v>
      </c>
      <c r="F1699">
        <v>5.3040000000000003</v>
      </c>
      <c r="G1699">
        <v>2.2160000000000002</v>
      </c>
      <c r="H1699">
        <v>1.95</v>
      </c>
      <c r="I1699">
        <v>48</v>
      </c>
      <c r="J1699">
        <v>39.75</v>
      </c>
      <c r="K1699">
        <v>13.956</v>
      </c>
      <c r="L1699">
        <v>1.59</v>
      </c>
      <c r="M1699">
        <v>3.25</v>
      </c>
      <c r="N1699">
        <v>0.11600000000000001</v>
      </c>
      <c r="O1699">
        <v>2.391</v>
      </c>
      <c r="P1699">
        <v>0.53</v>
      </c>
    </row>
    <row r="1700" spans="1:16" x14ac:dyDescent="0.25">
      <c r="A1700" s="1">
        <v>43661</v>
      </c>
      <c r="B1700">
        <v>10.55</v>
      </c>
      <c r="C1700">
        <v>233.2</v>
      </c>
      <c r="D1700">
        <v>3.4</v>
      </c>
      <c r="E1700">
        <v>16.21</v>
      </c>
      <c r="F1700">
        <v>5.3040000000000003</v>
      </c>
      <c r="G1700">
        <v>2.1480000000000001</v>
      </c>
      <c r="H1700">
        <v>1.95</v>
      </c>
      <c r="I1700">
        <v>48.95</v>
      </c>
      <c r="J1700">
        <v>39.75</v>
      </c>
      <c r="K1700">
        <v>13.615</v>
      </c>
      <c r="L1700">
        <v>1.61</v>
      </c>
      <c r="M1700">
        <v>3.37</v>
      </c>
      <c r="N1700">
        <v>0.11799999999999999</v>
      </c>
      <c r="O1700">
        <v>2.371</v>
      </c>
      <c r="P1700">
        <v>0.52</v>
      </c>
    </row>
    <row r="1701" spans="1:16" x14ac:dyDescent="0.25">
      <c r="A1701" s="1">
        <v>43662</v>
      </c>
      <c r="B1701">
        <v>10.65</v>
      </c>
      <c r="C1701">
        <v>236</v>
      </c>
      <c r="D1701">
        <v>3.49</v>
      </c>
      <c r="E1701">
        <v>16.2</v>
      </c>
      <c r="F1701">
        <v>5.3319999999999999</v>
      </c>
      <c r="G1701">
        <v>2.1579999999999999</v>
      </c>
      <c r="H1701">
        <v>1.95</v>
      </c>
      <c r="I1701">
        <v>48.5</v>
      </c>
      <c r="J1701">
        <v>40</v>
      </c>
      <c r="K1701">
        <v>13.615</v>
      </c>
      <c r="L1701">
        <v>1.6</v>
      </c>
      <c r="M1701">
        <v>3.37</v>
      </c>
      <c r="N1701">
        <v>0.11700000000000001</v>
      </c>
      <c r="O1701">
        <v>2.391</v>
      </c>
      <c r="P1701">
        <v>0.53</v>
      </c>
    </row>
    <row r="1702" spans="1:16" x14ac:dyDescent="0.25">
      <c r="A1702" s="1">
        <v>43663</v>
      </c>
      <c r="B1702">
        <v>10.65</v>
      </c>
      <c r="C1702">
        <v>237.28</v>
      </c>
      <c r="D1702">
        <v>3.44</v>
      </c>
      <c r="E1702">
        <v>16.63</v>
      </c>
      <c r="F1702">
        <v>5.3040000000000003</v>
      </c>
      <c r="G1702">
        <v>2.1280000000000001</v>
      </c>
      <c r="H1702">
        <v>1.91</v>
      </c>
      <c r="I1702">
        <v>48.5</v>
      </c>
      <c r="J1702">
        <v>40</v>
      </c>
      <c r="K1702">
        <v>13.615</v>
      </c>
      <c r="L1702">
        <v>1.6</v>
      </c>
      <c r="M1702">
        <v>3.37</v>
      </c>
      <c r="N1702">
        <v>0.11799999999999999</v>
      </c>
      <c r="O1702">
        <v>2.391</v>
      </c>
      <c r="P1702">
        <v>0.53</v>
      </c>
    </row>
    <row r="1703" spans="1:16" x14ac:dyDescent="0.25">
      <c r="A1703" s="1">
        <v>43664</v>
      </c>
      <c r="B1703">
        <v>10.65</v>
      </c>
      <c r="C1703">
        <v>235.56</v>
      </c>
      <c r="D1703">
        <v>3.4</v>
      </c>
      <c r="E1703">
        <v>17.54</v>
      </c>
      <c r="F1703">
        <v>5.3979999999999997</v>
      </c>
      <c r="G1703">
        <v>2.1280000000000001</v>
      </c>
      <c r="H1703">
        <v>1.95</v>
      </c>
      <c r="I1703">
        <v>48</v>
      </c>
      <c r="J1703">
        <v>40</v>
      </c>
      <c r="K1703">
        <v>13.625</v>
      </c>
      <c r="L1703">
        <v>1.6</v>
      </c>
      <c r="M1703">
        <v>3.3</v>
      </c>
      <c r="N1703">
        <v>0.11700000000000001</v>
      </c>
      <c r="O1703">
        <v>2.371</v>
      </c>
      <c r="P1703">
        <v>0.52</v>
      </c>
    </row>
    <row r="1704" spans="1:16" x14ac:dyDescent="0.25">
      <c r="A1704" s="1">
        <v>43665</v>
      </c>
      <c r="B1704">
        <v>10.75</v>
      </c>
      <c r="C1704">
        <v>230.83</v>
      </c>
      <c r="D1704">
        <v>3.41</v>
      </c>
      <c r="E1704">
        <v>17.38</v>
      </c>
      <c r="F1704">
        <v>5.5679999999999996</v>
      </c>
      <c r="G1704">
        <v>2.109</v>
      </c>
      <c r="H1704">
        <v>1.9</v>
      </c>
      <c r="I1704">
        <v>46.7</v>
      </c>
      <c r="J1704">
        <v>40.299999999999997</v>
      </c>
      <c r="K1704">
        <v>13.760999999999999</v>
      </c>
      <c r="L1704">
        <v>1.65</v>
      </c>
      <c r="M1704">
        <v>3.3</v>
      </c>
      <c r="N1704">
        <v>0.114</v>
      </c>
      <c r="O1704">
        <v>2.371</v>
      </c>
      <c r="P1704">
        <v>0.53</v>
      </c>
    </row>
    <row r="1705" spans="1:16" x14ac:dyDescent="0.25">
      <c r="A1705" s="1">
        <v>43668</v>
      </c>
      <c r="B1705">
        <v>10.7</v>
      </c>
      <c r="C1705">
        <v>228</v>
      </c>
      <c r="D1705">
        <v>3.42</v>
      </c>
      <c r="E1705">
        <v>17.3</v>
      </c>
      <c r="F1705">
        <v>5.5679999999999996</v>
      </c>
      <c r="G1705">
        <v>2.0699999999999998</v>
      </c>
      <c r="H1705">
        <v>1.88</v>
      </c>
      <c r="I1705">
        <v>46.69</v>
      </c>
      <c r="J1705">
        <v>40.200000000000003</v>
      </c>
      <c r="K1705">
        <v>13.907</v>
      </c>
      <c r="L1705">
        <v>1.7</v>
      </c>
      <c r="M1705">
        <v>3.3</v>
      </c>
      <c r="N1705">
        <v>0.12</v>
      </c>
      <c r="O1705">
        <v>2.371</v>
      </c>
      <c r="P1705">
        <v>0.52</v>
      </c>
    </row>
    <row r="1706" spans="1:16" x14ac:dyDescent="0.25">
      <c r="A1706" s="1">
        <v>43669</v>
      </c>
      <c r="B1706">
        <v>10.85</v>
      </c>
      <c r="C1706">
        <v>226.11</v>
      </c>
      <c r="D1706">
        <v>3.41</v>
      </c>
      <c r="E1706">
        <v>17.45</v>
      </c>
      <c r="F1706">
        <v>5.7569999999999997</v>
      </c>
      <c r="G1706">
        <v>2.06</v>
      </c>
      <c r="H1706">
        <v>1.89</v>
      </c>
      <c r="I1706">
        <v>45.8</v>
      </c>
      <c r="J1706">
        <v>39.5</v>
      </c>
      <c r="K1706">
        <v>13.8</v>
      </c>
      <c r="L1706">
        <v>1.7</v>
      </c>
      <c r="M1706">
        <v>3.35</v>
      </c>
      <c r="N1706">
        <v>0.11799999999999999</v>
      </c>
      <c r="O1706">
        <v>2.3610000000000002</v>
      </c>
      <c r="P1706">
        <v>0.51</v>
      </c>
    </row>
    <row r="1707" spans="1:16" x14ac:dyDescent="0.25">
      <c r="A1707" s="1">
        <v>43670</v>
      </c>
      <c r="B1707">
        <v>10.9</v>
      </c>
      <c r="C1707">
        <v>227</v>
      </c>
      <c r="D1707">
        <v>3.4</v>
      </c>
      <c r="E1707">
        <v>17.649999999999999</v>
      </c>
      <c r="F1707">
        <v>5.8040000000000003</v>
      </c>
      <c r="G1707">
        <v>2.06</v>
      </c>
      <c r="H1707">
        <v>1.9</v>
      </c>
      <c r="I1707">
        <v>44</v>
      </c>
      <c r="J1707">
        <v>39.5</v>
      </c>
      <c r="K1707">
        <v>13.81</v>
      </c>
      <c r="L1707">
        <v>1.7</v>
      </c>
      <c r="M1707">
        <v>3.35</v>
      </c>
      <c r="N1707">
        <v>0.11899999999999999</v>
      </c>
      <c r="O1707">
        <v>2.3610000000000002</v>
      </c>
      <c r="P1707">
        <v>0.52</v>
      </c>
    </row>
    <row r="1708" spans="1:16" x14ac:dyDescent="0.25">
      <c r="A1708" s="1">
        <v>43671</v>
      </c>
      <c r="B1708">
        <v>10.9</v>
      </c>
      <c r="C1708">
        <v>227.84</v>
      </c>
      <c r="D1708">
        <v>3.4</v>
      </c>
      <c r="E1708">
        <v>17.440000000000001</v>
      </c>
      <c r="F1708">
        <v>5.9459999999999997</v>
      </c>
      <c r="G1708">
        <v>2.1579999999999999</v>
      </c>
      <c r="H1708">
        <v>1.85</v>
      </c>
      <c r="I1708">
        <v>44</v>
      </c>
      <c r="J1708">
        <v>39.5</v>
      </c>
      <c r="K1708">
        <v>13.907</v>
      </c>
      <c r="L1708">
        <v>1.69</v>
      </c>
      <c r="M1708">
        <v>3.35</v>
      </c>
      <c r="N1708">
        <v>0.11899999999999999</v>
      </c>
      <c r="O1708">
        <v>2.371</v>
      </c>
      <c r="P1708">
        <v>0.54</v>
      </c>
    </row>
    <row r="1709" spans="1:16" x14ac:dyDescent="0.25">
      <c r="A1709" s="1">
        <v>43672</v>
      </c>
      <c r="B1709">
        <v>10.9</v>
      </c>
      <c r="C1709">
        <v>229.95</v>
      </c>
      <c r="D1709">
        <v>3.4</v>
      </c>
      <c r="E1709">
        <v>16.8</v>
      </c>
      <c r="F1709">
        <v>5.8040000000000003</v>
      </c>
      <c r="G1709">
        <v>2.177</v>
      </c>
      <c r="H1709">
        <v>1.85</v>
      </c>
      <c r="I1709">
        <v>43.1</v>
      </c>
      <c r="J1709">
        <v>39.4</v>
      </c>
      <c r="K1709">
        <v>13.907</v>
      </c>
      <c r="L1709">
        <v>1.69</v>
      </c>
      <c r="M1709">
        <v>3.35</v>
      </c>
      <c r="N1709">
        <v>0.11799999999999999</v>
      </c>
      <c r="O1709">
        <v>2.371</v>
      </c>
      <c r="P1709">
        <v>0.53</v>
      </c>
    </row>
    <row r="1710" spans="1:16" x14ac:dyDescent="0.25">
      <c r="A1710" s="1">
        <v>43676</v>
      </c>
      <c r="B1710">
        <v>10.69</v>
      </c>
      <c r="C1710">
        <v>219</v>
      </c>
      <c r="D1710">
        <v>3.4</v>
      </c>
      <c r="E1710">
        <v>16.309999999999999</v>
      </c>
      <c r="F1710">
        <v>5.6619999999999999</v>
      </c>
      <c r="G1710">
        <v>2.109</v>
      </c>
      <c r="H1710">
        <v>1.87</v>
      </c>
      <c r="I1710">
        <v>42.2</v>
      </c>
      <c r="J1710">
        <v>39</v>
      </c>
      <c r="K1710">
        <v>13.907</v>
      </c>
      <c r="L1710">
        <v>1.62</v>
      </c>
      <c r="M1710">
        <v>3.35</v>
      </c>
      <c r="N1710">
        <v>0.11799999999999999</v>
      </c>
      <c r="O1710">
        <v>2.371</v>
      </c>
      <c r="P1710">
        <v>0.49</v>
      </c>
    </row>
    <row r="1711" spans="1:16" x14ac:dyDescent="0.25">
      <c r="A1711" s="1">
        <v>43677</v>
      </c>
      <c r="B1711">
        <v>10.6</v>
      </c>
      <c r="C1711">
        <v>218.7</v>
      </c>
      <c r="D1711">
        <v>3.33</v>
      </c>
      <c r="E1711">
        <v>15.3</v>
      </c>
      <c r="F1711">
        <v>5.6619999999999999</v>
      </c>
      <c r="G1711">
        <v>2.109</v>
      </c>
      <c r="H1711">
        <v>1.9</v>
      </c>
      <c r="I1711">
        <v>42</v>
      </c>
      <c r="J1711">
        <v>38.1</v>
      </c>
      <c r="K1711">
        <v>13.81</v>
      </c>
      <c r="L1711">
        <v>1.62</v>
      </c>
      <c r="M1711">
        <v>3.35</v>
      </c>
      <c r="N1711">
        <v>0.11</v>
      </c>
      <c r="O1711">
        <v>2.3319999999999999</v>
      </c>
      <c r="P1711">
        <v>0.48</v>
      </c>
    </row>
    <row r="1712" spans="1:16" x14ac:dyDescent="0.25">
      <c r="A1712" s="1">
        <v>43678</v>
      </c>
      <c r="B1712">
        <v>10.01</v>
      </c>
      <c r="C1712">
        <v>216.55</v>
      </c>
      <c r="D1712">
        <v>3.27</v>
      </c>
      <c r="E1712">
        <v>15.85</v>
      </c>
      <c r="F1712">
        <v>5.5679999999999996</v>
      </c>
      <c r="G1712">
        <v>2.0990000000000002</v>
      </c>
      <c r="H1712">
        <v>1.89</v>
      </c>
      <c r="I1712">
        <v>41.95</v>
      </c>
      <c r="J1712">
        <v>38</v>
      </c>
      <c r="K1712">
        <v>14.102</v>
      </c>
      <c r="L1712">
        <v>1.55</v>
      </c>
      <c r="M1712">
        <v>3.35</v>
      </c>
      <c r="N1712">
        <v>0.114</v>
      </c>
      <c r="O1712">
        <v>2.3220000000000001</v>
      </c>
      <c r="P1712">
        <v>0.45500000000000002</v>
      </c>
    </row>
    <row r="1713" spans="1:16" x14ac:dyDescent="0.25">
      <c r="A1713" s="1">
        <v>43679</v>
      </c>
      <c r="B1713">
        <v>10.15</v>
      </c>
      <c r="C1713">
        <v>213.51</v>
      </c>
      <c r="D1713">
        <v>3.23</v>
      </c>
      <c r="E1713">
        <v>15.81</v>
      </c>
      <c r="F1713">
        <v>5.5679999999999996</v>
      </c>
      <c r="G1713">
        <v>2.0990000000000002</v>
      </c>
      <c r="H1713">
        <v>1.86</v>
      </c>
      <c r="I1713">
        <v>40.22</v>
      </c>
      <c r="J1713">
        <v>37.299999999999997</v>
      </c>
      <c r="K1713">
        <v>13.927</v>
      </c>
      <c r="L1713">
        <v>1.55</v>
      </c>
      <c r="M1713">
        <v>3.2</v>
      </c>
      <c r="N1713">
        <v>0.114</v>
      </c>
      <c r="O1713">
        <v>2.3220000000000001</v>
      </c>
      <c r="P1713">
        <v>0.47499999999999998</v>
      </c>
    </row>
    <row r="1714" spans="1:16" x14ac:dyDescent="0.25">
      <c r="A1714" s="1">
        <v>43682</v>
      </c>
      <c r="B1714">
        <v>9.9499999999999993</v>
      </c>
      <c r="C1714">
        <v>209.56</v>
      </c>
      <c r="D1714">
        <v>3.22</v>
      </c>
      <c r="E1714">
        <v>15.3</v>
      </c>
      <c r="F1714">
        <v>5.4269999999999996</v>
      </c>
      <c r="G1714">
        <v>2.06</v>
      </c>
      <c r="H1714">
        <v>1.86</v>
      </c>
      <c r="I1714">
        <v>38.6</v>
      </c>
      <c r="J1714">
        <v>35.99</v>
      </c>
      <c r="K1714">
        <v>13.927</v>
      </c>
      <c r="L1714">
        <v>1.55</v>
      </c>
      <c r="M1714">
        <v>3.13</v>
      </c>
      <c r="N1714">
        <v>0.11</v>
      </c>
      <c r="O1714">
        <v>2.2719999999999998</v>
      </c>
      <c r="P1714">
        <v>0.45900000000000002</v>
      </c>
    </row>
    <row r="1715" spans="1:16" x14ac:dyDescent="0.25">
      <c r="A1715" s="1">
        <v>43683</v>
      </c>
      <c r="B1715">
        <v>9.8000000000000007</v>
      </c>
      <c r="C1715">
        <v>210.29</v>
      </c>
      <c r="D1715">
        <v>3.3</v>
      </c>
      <c r="E1715">
        <v>15.41</v>
      </c>
      <c r="F1715">
        <v>5.3789999999999996</v>
      </c>
      <c r="G1715">
        <v>2.0699999999999998</v>
      </c>
      <c r="H1715">
        <v>1.86</v>
      </c>
      <c r="I1715">
        <v>38.96</v>
      </c>
      <c r="J1715">
        <v>35.99</v>
      </c>
      <c r="K1715">
        <v>13.760999999999999</v>
      </c>
      <c r="L1715">
        <v>1.5</v>
      </c>
      <c r="M1715">
        <v>3.13</v>
      </c>
      <c r="N1715">
        <v>0.108</v>
      </c>
      <c r="O1715">
        <v>2.2719999999999998</v>
      </c>
      <c r="P1715">
        <v>0.47</v>
      </c>
    </row>
    <row r="1716" spans="1:16" x14ac:dyDescent="0.25">
      <c r="A1716" s="1">
        <v>43684</v>
      </c>
      <c r="B1716">
        <v>9.75</v>
      </c>
      <c r="C1716">
        <v>214</v>
      </c>
      <c r="D1716">
        <v>3.3</v>
      </c>
      <c r="E1716">
        <v>15.59</v>
      </c>
      <c r="F1716">
        <v>5.3789999999999996</v>
      </c>
      <c r="G1716">
        <v>2.08</v>
      </c>
      <c r="H1716">
        <v>1.86</v>
      </c>
      <c r="I1716">
        <v>39.93</v>
      </c>
      <c r="J1716">
        <v>36</v>
      </c>
      <c r="K1716">
        <v>13.927</v>
      </c>
      <c r="L1716">
        <v>1.5</v>
      </c>
      <c r="M1716">
        <v>3.09</v>
      </c>
      <c r="N1716">
        <v>0.107</v>
      </c>
      <c r="O1716">
        <v>2.2719999999999998</v>
      </c>
      <c r="P1716">
        <v>0.46899999999999997</v>
      </c>
    </row>
    <row r="1717" spans="1:16" x14ac:dyDescent="0.25">
      <c r="A1717" s="1">
        <v>43685</v>
      </c>
      <c r="B1717">
        <v>9.85</v>
      </c>
      <c r="C1717">
        <v>215.2</v>
      </c>
      <c r="D1717">
        <v>3.27</v>
      </c>
      <c r="E1717">
        <v>15.34</v>
      </c>
      <c r="F1717">
        <v>5.5209999999999999</v>
      </c>
      <c r="G1717">
        <v>2.09</v>
      </c>
      <c r="H1717">
        <v>1.84</v>
      </c>
      <c r="I1717">
        <v>41.05</v>
      </c>
      <c r="J1717">
        <v>35.5</v>
      </c>
      <c r="K1717">
        <v>13.927</v>
      </c>
      <c r="L1717">
        <v>1.55</v>
      </c>
      <c r="M1717">
        <v>3.11</v>
      </c>
      <c r="N1717">
        <v>0.109</v>
      </c>
      <c r="O1717">
        <v>2.2719999999999998</v>
      </c>
      <c r="P1717">
        <v>0.47799999999999998</v>
      </c>
    </row>
    <row r="1718" spans="1:16" x14ac:dyDescent="0.25">
      <c r="A1718" s="1">
        <v>43686</v>
      </c>
      <c r="B1718">
        <v>9.6999999999999993</v>
      </c>
      <c r="C1718">
        <v>207.3</v>
      </c>
      <c r="D1718">
        <v>3.26</v>
      </c>
      <c r="E1718">
        <v>15.8</v>
      </c>
      <c r="F1718">
        <v>5.5209999999999999</v>
      </c>
      <c r="G1718">
        <v>2.0990000000000002</v>
      </c>
      <c r="H1718">
        <v>1.82</v>
      </c>
      <c r="I1718">
        <v>41.45</v>
      </c>
      <c r="J1718">
        <v>35.5</v>
      </c>
      <c r="K1718">
        <v>13.927</v>
      </c>
      <c r="L1718">
        <v>1.55</v>
      </c>
      <c r="M1718">
        <v>3.09</v>
      </c>
      <c r="N1718">
        <v>0.112</v>
      </c>
      <c r="O1718">
        <v>2.2719999999999998</v>
      </c>
      <c r="P1718">
        <v>0.48</v>
      </c>
    </row>
    <row r="1719" spans="1:16" x14ac:dyDescent="0.25">
      <c r="A1719" s="1">
        <v>43689</v>
      </c>
      <c r="B1719">
        <v>9.6</v>
      </c>
      <c r="C1719">
        <v>202.15</v>
      </c>
      <c r="D1719">
        <v>3.26</v>
      </c>
      <c r="E1719">
        <v>15.25</v>
      </c>
      <c r="F1719">
        <v>5.4269999999999996</v>
      </c>
      <c r="G1719">
        <v>2.09</v>
      </c>
      <c r="H1719">
        <v>1.84</v>
      </c>
      <c r="I1719">
        <v>40</v>
      </c>
      <c r="J1719">
        <v>35.5</v>
      </c>
      <c r="K1719">
        <v>13.927</v>
      </c>
      <c r="L1719">
        <v>1.55</v>
      </c>
      <c r="M1719">
        <v>3.09</v>
      </c>
      <c r="N1719">
        <v>0.112</v>
      </c>
      <c r="O1719">
        <v>2.2429999999999999</v>
      </c>
      <c r="P1719">
        <v>0.48</v>
      </c>
    </row>
    <row r="1720" spans="1:16" x14ac:dyDescent="0.25">
      <c r="A1720" s="1">
        <v>43690</v>
      </c>
      <c r="B1720">
        <v>9.65</v>
      </c>
      <c r="C1720">
        <v>208.1</v>
      </c>
      <c r="D1720">
        <v>3.26</v>
      </c>
      <c r="E1720">
        <v>14.55</v>
      </c>
      <c r="F1720">
        <v>5.4740000000000002</v>
      </c>
      <c r="G1720">
        <v>2.0990000000000002</v>
      </c>
      <c r="H1720">
        <v>1.8</v>
      </c>
      <c r="I1720">
        <v>39</v>
      </c>
      <c r="J1720">
        <v>36.35</v>
      </c>
      <c r="K1720">
        <v>13.927</v>
      </c>
      <c r="L1720">
        <v>1.54</v>
      </c>
      <c r="M1720">
        <v>3.09</v>
      </c>
      <c r="N1720">
        <v>0.11</v>
      </c>
      <c r="O1720">
        <v>2.2130000000000001</v>
      </c>
      <c r="P1720">
        <v>0.49</v>
      </c>
    </row>
    <row r="1721" spans="1:16" x14ac:dyDescent="0.25">
      <c r="A1721" s="1">
        <v>43691</v>
      </c>
      <c r="B1721">
        <v>9.6999999999999993</v>
      </c>
      <c r="C1721">
        <v>201.64</v>
      </c>
      <c r="D1721">
        <v>3.22</v>
      </c>
      <c r="E1721">
        <v>14.51</v>
      </c>
      <c r="F1721">
        <v>5.3789999999999996</v>
      </c>
      <c r="G1721">
        <v>2.0310000000000001</v>
      </c>
      <c r="H1721">
        <v>1.62</v>
      </c>
      <c r="I1721">
        <v>39.15</v>
      </c>
      <c r="J1721">
        <v>36</v>
      </c>
      <c r="K1721">
        <v>14.102</v>
      </c>
      <c r="L1721">
        <v>1.54</v>
      </c>
      <c r="M1721">
        <v>3.09</v>
      </c>
      <c r="N1721">
        <v>0.11</v>
      </c>
      <c r="O1721">
        <v>2.2330000000000001</v>
      </c>
      <c r="P1721">
        <v>0.48299999999999998</v>
      </c>
    </row>
    <row r="1722" spans="1:16" x14ac:dyDescent="0.25">
      <c r="A1722" s="1">
        <v>43692</v>
      </c>
      <c r="B1722">
        <v>9.6999999999999993</v>
      </c>
      <c r="C1722">
        <v>202.15</v>
      </c>
      <c r="D1722">
        <v>3.23</v>
      </c>
      <c r="E1722">
        <v>14.23</v>
      </c>
      <c r="F1722">
        <v>5.3319999999999999</v>
      </c>
      <c r="G1722">
        <v>2.0209999999999999</v>
      </c>
      <c r="H1722">
        <v>1.69</v>
      </c>
      <c r="I1722">
        <v>40</v>
      </c>
      <c r="J1722">
        <v>37</v>
      </c>
      <c r="K1722">
        <v>14.102</v>
      </c>
      <c r="L1722">
        <v>1.54</v>
      </c>
      <c r="M1722">
        <v>3.09</v>
      </c>
      <c r="N1722">
        <v>0.108</v>
      </c>
      <c r="O1722">
        <v>2.2330000000000001</v>
      </c>
      <c r="P1722">
        <v>0.47299999999999998</v>
      </c>
    </row>
    <row r="1723" spans="1:16" x14ac:dyDescent="0.25">
      <c r="A1723" s="1">
        <v>43693</v>
      </c>
      <c r="B1723">
        <v>9.65</v>
      </c>
      <c r="C1723">
        <v>206.44</v>
      </c>
      <c r="D1723">
        <v>3.23</v>
      </c>
      <c r="E1723">
        <v>14</v>
      </c>
      <c r="F1723">
        <v>5.4269999999999996</v>
      </c>
      <c r="G1723">
        <v>2.0310000000000001</v>
      </c>
      <c r="H1723">
        <v>1.76</v>
      </c>
      <c r="I1723">
        <v>40</v>
      </c>
      <c r="J1723">
        <v>38</v>
      </c>
      <c r="K1723">
        <v>14.102</v>
      </c>
      <c r="L1723">
        <v>1.53</v>
      </c>
      <c r="M1723">
        <v>3.07</v>
      </c>
      <c r="N1723">
        <v>0.106</v>
      </c>
      <c r="O1723">
        <v>2.335</v>
      </c>
      <c r="P1723">
        <v>0.46100000000000002</v>
      </c>
    </row>
    <row r="1724" spans="1:16" x14ac:dyDescent="0.25">
      <c r="A1724" s="1">
        <v>43696</v>
      </c>
      <c r="B1724">
        <v>9.65</v>
      </c>
      <c r="C1724">
        <v>206.8</v>
      </c>
      <c r="D1724">
        <v>3.25</v>
      </c>
      <c r="E1724">
        <v>14.6</v>
      </c>
      <c r="F1724">
        <v>5.4269999999999996</v>
      </c>
      <c r="G1724">
        <v>2.0310000000000001</v>
      </c>
      <c r="H1724">
        <v>1.78</v>
      </c>
      <c r="I1724">
        <v>40.5</v>
      </c>
      <c r="J1724">
        <v>38.5</v>
      </c>
      <c r="K1724">
        <v>14.587999999999999</v>
      </c>
      <c r="L1724">
        <v>1.53</v>
      </c>
      <c r="M1724">
        <v>3.1</v>
      </c>
      <c r="N1724">
        <v>0.105</v>
      </c>
      <c r="O1724">
        <v>2.335</v>
      </c>
      <c r="P1724">
        <v>0.44500000000000001</v>
      </c>
    </row>
    <row r="1725" spans="1:16" x14ac:dyDescent="0.25">
      <c r="A1725" s="1">
        <v>43697</v>
      </c>
      <c r="B1725">
        <v>9.6999999999999993</v>
      </c>
      <c r="C1725">
        <v>205.45</v>
      </c>
      <c r="D1725">
        <v>3.22</v>
      </c>
      <c r="E1725">
        <v>15</v>
      </c>
      <c r="F1725">
        <v>5.3789999999999996</v>
      </c>
      <c r="G1725">
        <v>2.0310000000000001</v>
      </c>
      <c r="H1725">
        <v>1.8</v>
      </c>
      <c r="I1725">
        <v>39.840000000000003</v>
      </c>
      <c r="J1725">
        <v>38</v>
      </c>
      <c r="K1725">
        <v>14.734</v>
      </c>
      <c r="L1725">
        <v>1.53</v>
      </c>
      <c r="M1725">
        <v>3.1</v>
      </c>
      <c r="N1725">
        <v>0.104</v>
      </c>
      <c r="O1725">
        <v>2.3250000000000002</v>
      </c>
      <c r="P1725">
        <v>0.43</v>
      </c>
    </row>
    <row r="1726" spans="1:16" x14ac:dyDescent="0.25">
      <c r="A1726" s="1">
        <v>43698</v>
      </c>
      <c r="B1726">
        <v>9.56</v>
      </c>
      <c r="C1726">
        <v>206</v>
      </c>
      <c r="D1726">
        <v>3.22</v>
      </c>
      <c r="E1726">
        <v>14.59</v>
      </c>
      <c r="F1726">
        <v>5.2380000000000004</v>
      </c>
      <c r="G1726">
        <v>2.0209999999999999</v>
      </c>
      <c r="H1726">
        <v>1.8</v>
      </c>
      <c r="I1726">
        <v>39.840000000000003</v>
      </c>
      <c r="J1726">
        <v>38</v>
      </c>
      <c r="K1726">
        <v>14.587999999999999</v>
      </c>
      <c r="L1726">
        <v>1.53</v>
      </c>
      <c r="M1726">
        <v>3.1</v>
      </c>
      <c r="N1726">
        <v>0.104</v>
      </c>
      <c r="O1726">
        <v>2.335</v>
      </c>
      <c r="P1726">
        <v>0.439</v>
      </c>
    </row>
    <row r="1727" spans="1:16" x14ac:dyDescent="0.25">
      <c r="A1727" s="1">
        <v>43699</v>
      </c>
      <c r="B1727">
        <v>9.56</v>
      </c>
      <c r="C1727">
        <v>203.4</v>
      </c>
      <c r="D1727">
        <v>3.22</v>
      </c>
      <c r="E1727">
        <v>14.47</v>
      </c>
      <c r="F1727">
        <v>5.2850000000000001</v>
      </c>
      <c r="G1727">
        <v>2.0310000000000001</v>
      </c>
      <c r="H1727">
        <v>1.78</v>
      </c>
      <c r="I1727">
        <v>39.4</v>
      </c>
      <c r="J1727">
        <v>37.5</v>
      </c>
      <c r="K1727">
        <v>14.587999999999999</v>
      </c>
      <c r="L1727">
        <v>1.53</v>
      </c>
      <c r="M1727">
        <v>3.1</v>
      </c>
      <c r="N1727">
        <v>0.104</v>
      </c>
      <c r="O1727">
        <v>2.2759999999999998</v>
      </c>
      <c r="P1727">
        <v>0.43099999999999999</v>
      </c>
    </row>
    <row r="1728" spans="1:16" x14ac:dyDescent="0.25">
      <c r="A1728" s="1">
        <v>43700</v>
      </c>
      <c r="B1728">
        <v>9.4499999999999993</v>
      </c>
      <c r="C1728">
        <v>201.33</v>
      </c>
      <c r="D1728">
        <v>3.22</v>
      </c>
      <c r="E1728">
        <v>14.94</v>
      </c>
      <c r="F1728">
        <v>5.2850000000000001</v>
      </c>
      <c r="G1728">
        <v>1.982</v>
      </c>
      <c r="H1728">
        <v>1.7</v>
      </c>
      <c r="I1728">
        <v>39</v>
      </c>
      <c r="J1728">
        <v>38.1</v>
      </c>
      <c r="K1728">
        <v>14.587999999999999</v>
      </c>
      <c r="L1728">
        <v>1.47</v>
      </c>
      <c r="M1728">
        <v>3.1</v>
      </c>
      <c r="N1728">
        <v>0.104</v>
      </c>
      <c r="O1728">
        <v>2.2759999999999998</v>
      </c>
      <c r="P1728">
        <v>0.41</v>
      </c>
    </row>
    <row r="1729" spans="1:16" x14ac:dyDescent="0.25">
      <c r="A1729" s="1">
        <v>43703</v>
      </c>
      <c r="B1729">
        <v>9.4</v>
      </c>
      <c r="C1729">
        <v>201.1</v>
      </c>
      <c r="D1729">
        <v>3.25</v>
      </c>
      <c r="E1729">
        <v>14.55</v>
      </c>
      <c r="F1729">
        <v>5.2850000000000001</v>
      </c>
      <c r="G1729">
        <v>1.972</v>
      </c>
      <c r="H1729">
        <v>1.61</v>
      </c>
      <c r="I1729">
        <v>39.1</v>
      </c>
      <c r="J1729">
        <v>38.1</v>
      </c>
      <c r="K1729">
        <v>14.577999999999999</v>
      </c>
      <c r="L1729">
        <v>1.45</v>
      </c>
      <c r="M1729">
        <v>3.1</v>
      </c>
      <c r="N1729">
        <v>0.104</v>
      </c>
      <c r="O1729">
        <v>2.2759999999999998</v>
      </c>
      <c r="P1729">
        <v>0.40500000000000003</v>
      </c>
    </row>
    <row r="1730" spans="1:16" x14ac:dyDescent="0.25">
      <c r="A1730" s="1">
        <v>43704</v>
      </c>
      <c r="B1730">
        <v>9.4</v>
      </c>
      <c r="C1730">
        <v>201.1</v>
      </c>
      <c r="D1730">
        <v>3.25</v>
      </c>
      <c r="E1730">
        <v>14.89</v>
      </c>
      <c r="F1730">
        <v>5.2569999999999997</v>
      </c>
      <c r="G1730">
        <v>1.992</v>
      </c>
      <c r="H1730">
        <v>1.65</v>
      </c>
      <c r="I1730">
        <v>40.049999999999997</v>
      </c>
      <c r="J1730">
        <v>38</v>
      </c>
      <c r="K1730">
        <v>14.276999999999999</v>
      </c>
      <c r="L1730">
        <v>1.43</v>
      </c>
      <c r="M1730">
        <v>3.1</v>
      </c>
      <c r="N1730">
        <v>0.105</v>
      </c>
      <c r="O1730">
        <v>2.3050000000000002</v>
      </c>
      <c r="P1730">
        <v>0.439</v>
      </c>
    </row>
    <row r="1731" spans="1:16" x14ac:dyDescent="0.25">
      <c r="A1731" s="1">
        <v>43705</v>
      </c>
      <c r="B1731">
        <v>9.4499999999999993</v>
      </c>
      <c r="C1731">
        <v>201.6</v>
      </c>
      <c r="D1731">
        <v>3.24</v>
      </c>
      <c r="E1731">
        <v>15.22</v>
      </c>
      <c r="F1731">
        <v>5.2850000000000001</v>
      </c>
      <c r="G1731">
        <v>2.0019999999999998</v>
      </c>
      <c r="H1731">
        <v>1.65</v>
      </c>
      <c r="I1731">
        <v>40.049999999999997</v>
      </c>
      <c r="J1731">
        <v>37.5</v>
      </c>
      <c r="K1731">
        <v>14.587999999999999</v>
      </c>
      <c r="L1731">
        <v>1.45</v>
      </c>
      <c r="M1731">
        <v>3.1</v>
      </c>
      <c r="N1731">
        <v>0.105</v>
      </c>
      <c r="O1731">
        <v>2.3050000000000002</v>
      </c>
      <c r="P1731">
        <v>0.43</v>
      </c>
    </row>
    <row r="1732" spans="1:16" x14ac:dyDescent="0.25">
      <c r="A1732" s="1">
        <v>43706</v>
      </c>
      <c r="B1732">
        <v>9.5</v>
      </c>
      <c r="C1732">
        <v>203.35</v>
      </c>
      <c r="D1732">
        <v>3.25</v>
      </c>
      <c r="E1732">
        <v>15.22</v>
      </c>
      <c r="F1732">
        <v>5.4269999999999996</v>
      </c>
      <c r="G1732">
        <v>2.0019999999999998</v>
      </c>
      <c r="H1732">
        <v>1.67</v>
      </c>
      <c r="I1732">
        <v>39</v>
      </c>
      <c r="J1732">
        <v>37.85</v>
      </c>
      <c r="K1732">
        <v>14.587999999999999</v>
      </c>
      <c r="L1732">
        <v>1.45</v>
      </c>
      <c r="M1732">
        <v>3.1</v>
      </c>
      <c r="N1732">
        <v>0.108</v>
      </c>
      <c r="O1732">
        <v>2.3050000000000002</v>
      </c>
      <c r="P1732">
        <v>0.44900000000000001</v>
      </c>
    </row>
    <row r="1733" spans="1:16" x14ac:dyDescent="0.25">
      <c r="A1733" s="1">
        <v>43710</v>
      </c>
      <c r="B1733">
        <v>9.5</v>
      </c>
      <c r="C1733">
        <v>209</v>
      </c>
      <c r="D1733">
        <v>3.23</v>
      </c>
      <c r="E1733">
        <v>15.22</v>
      </c>
      <c r="F1733">
        <v>5.4269999999999996</v>
      </c>
      <c r="G1733">
        <v>2.0019999999999998</v>
      </c>
      <c r="H1733">
        <v>1.67</v>
      </c>
      <c r="I1733">
        <v>39</v>
      </c>
      <c r="J1733">
        <v>37.840000000000003</v>
      </c>
      <c r="K1733">
        <v>15.56</v>
      </c>
      <c r="L1733">
        <v>1.44</v>
      </c>
      <c r="M1733">
        <v>3.1</v>
      </c>
      <c r="N1733">
        <v>0.108</v>
      </c>
      <c r="O1733">
        <v>2.3050000000000002</v>
      </c>
      <c r="P1733">
        <v>0.44600000000000001</v>
      </c>
    </row>
    <row r="1734" spans="1:16" x14ac:dyDescent="0.25">
      <c r="A1734" s="1">
        <v>43711</v>
      </c>
      <c r="B1734">
        <v>9.5</v>
      </c>
      <c r="C1734">
        <v>205</v>
      </c>
      <c r="D1734">
        <v>3.23</v>
      </c>
      <c r="E1734">
        <v>15.28</v>
      </c>
      <c r="F1734">
        <v>5.4080000000000004</v>
      </c>
      <c r="G1734">
        <v>2.0019999999999998</v>
      </c>
      <c r="H1734">
        <v>1.65</v>
      </c>
      <c r="I1734">
        <v>41.4</v>
      </c>
      <c r="J1734">
        <v>37.26</v>
      </c>
      <c r="K1734">
        <v>15.56</v>
      </c>
      <c r="L1734">
        <v>1.45</v>
      </c>
      <c r="M1734">
        <v>3.1</v>
      </c>
      <c r="N1734">
        <v>0.106</v>
      </c>
      <c r="O1734">
        <v>2.3050000000000002</v>
      </c>
      <c r="P1734">
        <v>0.435</v>
      </c>
    </row>
    <row r="1735" spans="1:16" x14ac:dyDescent="0.25">
      <c r="A1735" s="1">
        <v>43712</v>
      </c>
      <c r="B1735">
        <v>9.4</v>
      </c>
      <c r="C1735">
        <v>205</v>
      </c>
      <c r="D1735">
        <v>3.23</v>
      </c>
      <c r="E1735">
        <v>15.31</v>
      </c>
      <c r="F1735">
        <v>5.4740000000000002</v>
      </c>
      <c r="G1735">
        <v>2.0209999999999999</v>
      </c>
      <c r="H1735">
        <v>1.65</v>
      </c>
      <c r="I1735">
        <v>41.4</v>
      </c>
      <c r="J1735">
        <v>37.49</v>
      </c>
      <c r="K1735">
        <v>15.804</v>
      </c>
      <c r="L1735">
        <v>1.45</v>
      </c>
      <c r="M1735">
        <v>3.1</v>
      </c>
      <c r="N1735">
        <v>0.107</v>
      </c>
      <c r="O1735">
        <v>2.3050000000000002</v>
      </c>
      <c r="P1735">
        <v>0.46</v>
      </c>
    </row>
    <row r="1736" spans="1:16" x14ac:dyDescent="0.25">
      <c r="A1736" s="1">
        <v>43713</v>
      </c>
      <c r="B1736">
        <v>9.35</v>
      </c>
      <c r="C1736">
        <v>211.4</v>
      </c>
      <c r="D1736">
        <v>3.25</v>
      </c>
      <c r="E1736">
        <v>15.31</v>
      </c>
      <c r="F1736">
        <v>5.3789999999999996</v>
      </c>
      <c r="G1736">
        <v>2.0409999999999999</v>
      </c>
      <c r="H1736">
        <v>1.68</v>
      </c>
      <c r="I1736">
        <v>41.72</v>
      </c>
      <c r="J1736">
        <v>37.4</v>
      </c>
      <c r="K1736">
        <v>16.338000000000001</v>
      </c>
      <c r="L1736">
        <v>1.48</v>
      </c>
      <c r="M1736">
        <v>3.35</v>
      </c>
      <c r="N1736">
        <v>0.11</v>
      </c>
      <c r="O1736">
        <v>2.3149999999999999</v>
      </c>
      <c r="P1736">
        <v>0.47499999999999998</v>
      </c>
    </row>
    <row r="1737" spans="1:16" x14ac:dyDescent="0.25">
      <c r="A1737" s="1">
        <v>43714</v>
      </c>
      <c r="B1737">
        <v>9.4</v>
      </c>
      <c r="C1737">
        <v>212.3</v>
      </c>
      <c r="D1737">
        <v>3.3</v>
      </c>
      <c r="E1737">
        <v>14.88</v>
      </c>
      <c r="F1737">
        <v>5.3789999999999996</v>
      </c>
      <c r="G1737">
        <v>2.0499999999999998</v>
      </c>
      <c r="H1737">
        <v>1.67</v>
      </c>
      <c r="I1737">
        <v>40.94</v>
      </c>
      <c r="J1737">
        <v>37.299999999999997</v>
      </c>
      <c r="K1737">
        <v>16.338000000000001</v>
      </c>
      <c r="L1737">
        <v>1.48</v>
      </c>
      <c r="M1737">
        <v>3.35</v>
      </c>
      <c r="N1737">
        <v>0.105</v>
      </c>
      <c r="O1737">
        <v>2.2559999999999998</v>
      </c>
      <c r="P1737">
        <v>0.46500000000000002</v>
      </c>
    </row>
    <row r="1738" spans="1:16" x14ac:dyDescent="0.25">
      <c r="A1738" s="1">
        <v>43717</v>
      </c>
      <c r="B1738">
        <v>9.36</v>
      </c>
      <c r="C1738">
        <v>211.5</v>
      </c>
      <c r="D1738">
        <v>3.28</v>
      </c>
      <c r="E1738">
        <v>14.19</v>
      </c>
      <c r="F1738">
        <v>5.3789999999999996</v>
      </c>
      <c r="G1738">
        <v>2.0499999999999998</v>
      </c>
      <c r="H1738">
        <v>1.68</v>
      </c>
      <c r="I1738">
        <v>40.200000000000003</v>
      </c>
      <c r="J1738">
        <v>37.1</v>
      </c>
      <c r="K1738">
        <v>15.56</v>
      </c>
      <c r="L1738">
        <v>1.48</v>
      </c>
      <c r="M1738">
        <v>3.35</v>
      </c>
      <c r="N1738">
        <v>0.104</v>
      </c>
      <c r="O1738">
        <v>2.2360000000000002</v>
      </c>
      <c r="P1738">
        <v>0.45</v>
      </c>
    </row>
    <row r="1739" spans="1:16" x14ac:dyDescent="0.25">
      <c r="A1739" s="1">
        <v>43718</v>
      </c>
      <c r="B1739">
        <v>9.4</v>
      </c>
      <c r="C1739">
        <v>212</v>
      </c>
      <c r="D1739">
        <v>3.28</v>
      </c>
      <c r="E1739">
        <v>14.09</v>
      </c>
      <c r="F1739">
        <v>5.3789999999999996</v>
      </c>
      <c r="G1739">
        <v>2.0499999999999998</v>
      </c>
      <c r="H1739">
        <v>1.69</v>
      </c>
      <c r="I1739">
        <v>39.6</v>
      </c>
      <c r="J1739">
        <v>37.25</v>
      </c>
      <c r="K1739">
        <v>15.56</v>
      </c>
      <c r="L1739">
        <v>1.48</v>
      </c>
      <c r="M1739">
        <v>3.35</v>
      </c>
      <c r="N1739">
        <v>0.104</v>
      </c>
      <c r="O1739">
        <v>2.2360000000000002</v>
      </c>
      <c r="P1739">
        <v>0.45500000000000002</v>
      </c>
    </row>
    <row r="1740" spans="1:16" x14ac:dyDescent="0.25">
      <c r="A1740" s="1">
        <v>43719</v>
      </c>
      <c r="B1740">
        <v>9.4</v>
      </c>
      <c r="C1740">
        <v>213.6</v>
      </c>
      <c r="D1740">
        <v>3.25</v>
      </c>
      <c r="E1740">
        <v>14.49</v>
      </c>
      <c r="F1740">
        <v>5.3789999999999996</v>
      </c>
      <c r="G1740">
        <v>2.0499999999999998</v>
      </c>
      <c r="H1740">
        <v>1.7</v>
      </c>
      <c r="I1740">
        <v>39.75</v>
      </c>
      <c r="J1740">
        <v>37.299999999999997</v>
      </c>
      <c r="K1740">
        <v>15.56</v>
      </c>
      <c r="L1740">
        <v>1.48</v>
      </c>
      <c r="M1740">
        <v>3.31</v>
      </c>
      <c r="N1740">
        <v>0.106</v>
      </c>
      <c r="O1740">
        <v>2.1859999999999999</v>
      </c>
      <c r="P1740">
        <v>0.46</v>
      </c>
    </row>
    <row r="1741" spans="1:16" x14ac:dyDescent="0.25">
      <c r="A1741" s="1">
        <v>43720</v>
      </c>
      <c r="B1741">
        <v>9.4</v>
      </c>
      <c r="C1741">
        <v>215</v>
      </c>
      <c r="D1741">
        <v>3.3</v>
      </c>
      <c r="E1741">
        <v>14.5</v>
      </c>
      <c r="F1741">
        <v>5.3789999999999996</v>
      </c>
      <c r="G1741">
        <v>2.0499999999999998</v>
      </c>
      <c r="H1741">
        <v>1.69</v>
      </c>
      <c r="I1741">
        <v>41.14</v>
      </c>
      <c r="J1741">
        <v>37.299999999999997</v>
      </c>
      <c r="K1741">
        <v>16.047000000000001</v>
      </c>
      <c r="L1741">
        <v>1.48</v>
      </c>
      <c r="M1741">
        <v>3.35</v>
      </c>
      <c r="N1741">
        <v>0.106</v>
      </c>
      <c r="O1741">
        <v>2.1659999999999999</v>
      </c>
      <c r="P1741">
        <v>0.46100000000000002</v>
      </c>
    </row>
    <row r="1742" spans="1:16" x14ac:dyDescent="0.25">
      <c r="A1742" s="1">
        <v>43721</v>
      </c>
      <c r="B1742">
        <v>9.4</v>
      </c>
      <c r="C1742">
        <v>215.33</v>
      </c>
      <c r="D1742">
        <v>3.37</v>
      </c>
      <c r="E1742">
        <v>14.05</v>
      </c>
      <c r="F1742">
        <v>5.3789999999999996</v>
      </c>
      <c r="G1742">
        <v>2.06</v>
      </c>
      <c r="H1742">
        <v>1.69</v>
      </c>
      <c r="I1742">
        <v>42.18</v>
      </c>
      <c r="J1742">
        <v>37.1</v>
      </c>
      <c r="K1742">
        <v>16.047000000000001</v>
      </c>
      <c r="L1742">
        <v>1.48</v>
      </c>
      <c r="M1742">
        <v>3.3</v>
      </c>
      <c r="N1742">
        <v>0.11</v>
      </c>
      <c r="O1742">
        <v>2.1859999999999999</v>
      </c>
      <c r="P1742">
        <v>0.47499999999999998</v>
      </c>
    </row>
    <row r="1743" spans="1:16" x14ac:dyDescent="0.25">
      <c r="A1743" s="1">
        <v>43724</v>
      </c>
      <c r="B1743">
        <v>9.39</v>
      </c>
      <c r="C1743">
        <v>215.8</v>
      </c>
      <c r="D1743">
        <v>3.37</v>
      </c>
      <c r="E1743">
        <v>14.29</v>
      </c>
      <c r="F1743">
        <v>5.3789999999999996</v>
      </c>
      <c r="G1743">
        <v>2.06</v>
      </c>
      <c r="H1743">
        <v>1.69</v>
      </c>
      <c r="I1743">
        <v>41.8</v>
      </c>
      <c r="J1743">
        <v>37.1</v>
      </c>
      <c r="K1743">
        <v>16.047000000000001</v>
      </c>
      <c r="L1743">
        <v>1.48</v>
      </c>
      <c r="M1743">
        <v>3.3</v>
      </c>
      <c r="N1743">
        <v>0.112</v>
      </c>
      <c r="O1743">
        <v>2.1859999999999999</v>
      </c>
      <c r="P1743">
        <v>0.47</v>
      </c>
    </row>
    <row r="1744" spans="1:16" x14ac:dyDescent="0.25">
      <c r="A1744" s="1">
        <v>43725</v>
      </c>
      <c r="B1744">
        <v>9.39</v>
      </c>
      <c r="C1744">
        <v>213.1</v>
      </c>
      <c r="D1744">
        <v>3.36</v>
      </c>
      <c r="E1744">
        <v>14.7</v>
      </c>
      <c r="F1744">
        <v>5.3789999999999996</v>
      </c>
      <c r="G1744">
        <v>2.06</v>
      </c>
      <c r="H1744">
        <v>1.63</v>
      </c>
      <c r="I1744">
        <v>41.5</v>
      </c>
      <c r="J1744">
        <v>37.1</v>
      </c>
      <c r="K1744">
        <v>15.948</v>
      </c>
      <c r="L1744">
        <v>1.48</v>
      </c>
      <c r="M1744">
        <v>3.3</v>
      </c>
      <c r="N1744">
        <v>0.114</v>
      </c>
      <c r="O1744">
        <v>2.1859999999999999</v>
      </c>
      <c r="P1744">
        <v>0.48</v>
      </c>
    </row>
    <row r="1745" spans="1:16" x14ac:dyDescent="0.25">
      <c r="A1745" s="1">
        <v>43726</v>
      </c>
      <c r="B1745">
        <v>9.4</v>
      </c>
      <c r="C1745">
        <v>213.1</v>
      </c>
      <c r="D1745">
        <v>3.3</v>
      </c>
      <c r="E1745">
        <v>14.7</v>
      </c>
      <c r="F1745">
        <v>5.4269999999999996</v>
      </c>
      <c r="G1745">
        <v>2.0499999999999998</v>
      </c>
      <c r="H1745">
        <v>1.63</v>
      </c>
      <c r="I1745">
        <v>41.5</v>
      </c>
      <c r="J1745">
        <v>36.9</v>
      </c>
      <c r="K1745">
        <v>15.948</v>
      </c>
      <c r="L1745">
        <v>1.48</v>
      </c>
      <c r="M1745">
        <v>3.28</v>
      </c>
      <c r="N1745">
        <v>0.114</v>
      </c>
      <c r="O1745">
        <v>2.1859999999999999</v>
      </c>
      <c r="P1745">
        <v>0.48</v>
      </c>
    </row>
    <row r="1746" spans="1:16" x14ac:dyDescent="0.25">
      <c r="A1746" s="1">
        <v>43727</v>
      </c>
      <c r="B1746">
        <v>9.25</v>
      </c>
      <c r="C1746">
        <v>212.64</v>
      </c>
      <c r="D1746">
        <v>3.28</v>
      </c>
      <c r="E1746">
        <v>14.7</v>
      </c>
      <c r="F1746">
        <v>5.5209999999999999</v>
      </c>
      <c r="G1746">
        <v>2.06</v>
      </c>
      <c r="H1746">
        <v>1.63</v>
      </c>
      <c r="I1746">
        <v>41.5</v>
      </c>
      <c r="J1746">
        <v>36.9</v>
      </c>
      <c r="K1746">
        <v>15.8</v>
      </c>
      <c r="L1746">
        <v>1.45</v>
      </c>
      <c r="M1746">
        <v>3.28</v>
      </c>
      <c r="N1746">
        <v>0.114</v>
      </c>
      <c r="O1746">
        <v>2.1859999999999999</v>
      </c>
      <c r="P1746">
        <v>0.48</v>
      </c>
    </row>
    <row r="1747" spans="1:16" x14ac:dyDescent="0.25">
      <c r="A1747" s="1">
        <v>43728</v>
      </c>
      <c r="B1747">
        <v>9.3000000000000007</v>
      </c>
      <c r="C1747">
        <v>210</v>
      </c>
      <c r="D1747">
        <v>3.26</v>
      </c>
      <c r="E1747">
        <v>14.82</v>
      </c>
      <c r="F1747">
        <v>5.4740000000000002</v>
      </c>
      <c r="G1747">
        <v>2.06</v>
      </c>
      <c r="H1747">
        <v>1.63</v>
      </c>
      <c r="I1747">
        <v>42.1</v>
      </c>
      <c r="J1747">
        <v>36.700000000000003</v>
      </c>
      <c r="K1747">
        <v>16.047000000000001</v>
      </c>
      <c r="L1747">
        <v>1.45</v>
      </c>
      <c r="M1747">
        <v>3.28</v>
      </c>
      <c r="N1747">
        <v>0.114</v>
      </c>
      <c r="O1747">
        <v>2.1859999999999999</v>
      </c>
      <c r="P1747">
        <v>0.44800000000000001</v>
      </c>
    </row>
    <row r="1748" spans="1:16" x14ac:dyDescent="0.25">
      <c r="A1748" s="1">
        <v>43731</v>
      </c>
      <c r="B1748">
        <v>9.35</v>
      </c>
      <c r="C1748">
        <v>207.4</v>
      </c>
      <c r="D1748">
        <v>3.3</v>
      </c>
      <c r="E1748">
        <v>15</v>
      </c>
      <c r="F1748">
        <v>5.5209999999999999</v>
      </c>
      <c r="G1748">
        <v>2.0409999999999999</v>
      </c>
      <c r="H1748">
        <v>1.63</v>
      </c>
      <c r="I1748">
        <v>40.99</v>
      </c>
      <c r="J1748">
        <v>37.1</v>
      </c>
      <c r="K1748">
        <v>16.047000000000001</v>
      </c>
      <c r="L1748">
        <v>1.45</v>
      </c>
      <c r="M1748">
        <v>3.28</v>
      </c>
      <c r="N1748">
        <v>0.108</v>
      </c>
      <c r="O1748">
        <v>2.1859999999999999</v>
      </c>
      <c r="P1748">
        <v>0.45</v>
      </c>
    </row>
    <row r="1749" spans="1:16" x14ac:dyDescent="0.25">
      <c r="A1749" s="1">
        <v>43732</v>
      </c>
      <c r="B1749">
        <v>9.3000000000000007</v>
      </c>
      <c r="C1749">
        <v>206.5</v>
      </c>
      <c r="D1749">
        <v>3.28</v>
      </c>
      <c r="E1749">
        <v>15.5</v>
      </c>
      <c r="F1749">
        <v>5.5209999999999999</v>
      </c>
      <c r="G1749">
        <v>2.0310000000000001</v>
      </c>
      <c r="H1749">
        <v>1.63</v>
      </c>
      <c r="I1749">
        <v>41.8</v>
      </c>
      <c r="J1749">
        <v>37.049999999999997</v>
      </c>
      <c r="K1749">
        <v>15.8</v>
      </c>
      <c r="L1749">
        <v>1.45</v>
      </c>
      <c r="M1749">
        <v>3.28</v>
      </c>
      <c r="N1749">
        <v>0.105</v>
      </c>
      <c r="O1749">
        <v>2.1859999999999999</v>
      </c>
      <c r="P1749">
        <v>0.44500000000000001</v>
      </c>
    </row>
    <row r="1750" spans="1:16" x14ac:dyDescent="0.25">
      <c r="A1750" s="1">
        <v>43733</v>
      </c>
      <c r="B1750">
        <v>9.26</v>
      </c>
      <c r="C1750">
        <v>209.6</v>
      </c>
      <c r="D1750">
        <v>3.27</v>
      </c>
      <c r="E1750">
        <v>15.17</v>
      </c>
      <c r="F1750">
        <v>5.4740000000000002</v>
      </c>
      <c r="G1750">
        <v>2.0110000000000001</v>
      </c>
      <c r="H1750">
        <v>1.63</v>
      </c>
      <c r="I1750">
        <v>41.8</v>
      </c>
      <c r="J1750">
        <v>36.75</v>
      </c>
      <c r="K1750">
        <v>15.8</v>
      </c>
      <c r="L1750">
        <v>1.4</v>
      </c>
      <c r="M1750">
        <v>3.28</v>
      </c>
      <c r="N1750">
        <v>0.105</v>
      </c>
      <c r="O1750">
        <v>2.1859999999999999</v>
      </c>
      <c r="P1750">
        <v>0.46</v>
      </c>
    </row>
    <row r="1751" spans="1:16" x14ac:dyDescent="0.25">
      <c r="A1751" s="1">
        <v>43734</v>
      </c>
      <c r="B1751">
        <v>9.25</v>
      </c>
      <c r="C1751">
        <v>211.6</v>
      </c>
      <c r="D1751">
        <v>3.25</v>
      </c>
      <c r="E1751">
        <v>15.54</v>
      </c>
      <c r="F1751">
        <v>5.4740000000000002</v>
      </c>
      <c r="G1751">
        <v>2.0699999999999998</v>
      </c>
      <c r="H1751">
        <v>1.65</v>
      </c>
      <c r="I1751">
        <v>41.5</v>
      </c>
      <c r="J1751">
        <v>36.75</v>
      </c>
      <c r="K1751">
        <v>15.948</v>
      </c>
      <c r="L1751">
        <v>1.42</v>
      </c>
      <c r="M1751">
        <v>3.28</v>
      </c>
      <c r="N1751">
        <v>0.105</v>
      </c>
      <c r="O1751">
        <v>2.1360000000000001</v>
      </c>
      <c r="P1751">
        <v>0.45900000000000002</v>
      </c>
    </row>
    <row r="1752" spans="1:16" x14ac:dyDescent="0.25">
      <c r="A1752" s="1">
        <v>43735</v>
      </c>
      <c r="B1752">
        <v>9.3000000000000007</v>
      </c>
      <c r="C1752">
        <v>212.8</v>
      </c>
      <c r="D1752">
        <v>3.24</v>
      </c>
      <c r="E1752">
        <v>15.75</v>
      </c>
      <c r="F1752">
        <v>5.5490000000000004</v>
      </c>
      <c r="G1752">
        <v>2.08</v>
      </c>
      <c r="H1752">
        <v>1.65</v>
      </c>
      <c r="I1752">
        <v>42.49</v>
      </c>
      <c r="J1752">
        <v>36.75</v>
      </c>
      <c r="K1752">
        <v>16.096</v>
      </c>
      <c r="L1752">
        <v>1.48</v>
      </c>
      <c r="M1752">
        <v>3.28</v>
      </c>
      <c r="N1752">
        <v>0.11</v>
      </c>
      <c r="O1752">
        <v>2.1160000000000001</v>
      </c>
      <c r="P1752">
        <v>0.46500000000000002</v>
      </c>
    </row>
    <row r="1753" spans="1:16" x14ac:dyDescent="0.25">
      <c r="A1753" s="1">
        <v>43738</v>
      </c>
      <c r="B1753">
        <v>9.3000000000000007</v>
      </c>
      <c r="C1753">
        <v>209</v>
      </c>
      <c r="D1753">
        <v>3.24</v>
      </c>
      <c r="E1753">
        <v>15.21</v>
      </c>
      <c r="F1753">
        <v>5.5960000000000001</v>
      </c>
      <c r="G1753">
        <v>2.06</v>
      </c>
      <c r="H1753">
        <v>1.64</v>
      </c>
      <c r="I1753">
        <v>41</v>
      </c>
      <c r="J1753">
        <v>36.4</v>
      </c>
      <c r="K1753">
        <v>22.712</v>
      </c>
      <c r="L1753">
        <v>1.45</v>
      </c>
      <c r="M1753">
        <v>3.28</v>
      </c>
      <c r="N1753">
        <v>0.11</v>
      </c>
      <c r="O1753">
        <v>2.1160000000000001</v>
      </c>
      <c r="P1753">
        <v>0.47499999999999998</v>
      </c>
    </row>
    <row r="1754" spans="1:16" x14ac:dyDescent="0.25">
      <c r="A1754" s="1">
        <v>43739</v>
      </c>
      <c r="B1754">
        <v>9.08</v>
      </c>
      <c r="C1754">
        <v>204.5</v>
      </c>
      <c r="D1754">
        <v>3.24</v>
      </c>
      <c r="E1754">
        <v>14.92</v>
      </c>
      <c r="F1754">
        <v>5.5679999999999996</v>
      </c>
      <c r="G1754">
        <v>2.0310000000000001</v>
      </c>
      <c r="H1754">
        <v>1.6</v>
      </c>
      <c r="I1754">
        <v>40</v>
      </c>
      <c r="J1754">
        <v>35.4</v>
      </c>
      <c r="K1754">
        <v>20.045999999999999</v>
      </c>
      <c r="L1754">
        <v>1.45</v>
      </c>
      <c r="M1754">
        <v>3.28</v>
      </c>
      <c r="N1754">
        <v>0.104</v>
      </c>
      <c r="O1754">
        <v>1.9870000000000001</v>
      </c>
      <c r="P1754">
        <v>0.45400000000000001</v>
      </c>
    </row>
    <row r="1755" spans="1:16" x14ac:dyDescent="0.25">
      <c r="A1755" s="1">
        <v>43740</v>
      </c>
      <c r="B1755">
        <v>9.0500000000000007</v>
      </c>
      <c r="C1755">
        <v>201.79</v>
      </c>
      <c r="D1755">
        <v>3.24</v>
      </c>
      <c r="E1755">
        <v>14.6</v>
      </c>
      <c r="F1755">
        <v>5.4640000000000004</v>
      </c>
      <c r="G1755">
        <v>1.992</v>
      </c>
      <c r="H1755">
        <v>1.57</v>
      </c>
      <c r="I1755">
        <v>39.590000000000003</v>
      </c>
      <c r="J1755">
        <v>35</v>
      </c>
      <c r="K1755">
        <v>20.835999999999999</v>
      </c>
      <c r="L1755">
        <v>1.42</v>
      </c>
      <c r="M1755">
        <v>3.28</v>
      </c>
      <c r="N1755">
        <v>0.104</v>
      </c>
      <c r="O1755">
        <v>2.0169999999999999</v>
      </c>
      <c r="P1755">
        <v>0.44</v>
      </c>
    </row>
    <row r="1756" spans="1:16" x14ac:dyDescent="0.25">
      <c r="A1756" s="1">
        <v>43741</v>
      </c>
      <c r="B1756">
        <v>9</v>
      </c>
      <c r="C1756">
        <v>203.29</v>
      </c>
      <c r="D1756">
        <v>3.25</v>
      </c>
      <c r="E1756">
        <v>14.62</v>
      </c>
      <c r="F1756">
        <v>5.4269999999999996</v>
      </c>
      <c r="G1756">
        <v>1.992</v>
      </c>
      <c r="H1756">
        <v>1.5</v>
      </c>
      <c r="I1756">
        <v>38.9</v>
      </c>
      <c r="J1756">
        <v>35.700000000000003</v>
      </c>
      <c r="K1756">
        <v>21.231000000000002</v>
      </c>
      <c r="L1756">
        <v>1.42</v>
      </c>
      <c r="M1756">
        <v>3.28</v>
      </c>
      <c r="N1756">
        <v>0.105</v>
      </c>
      <c r="O1756">
        <v>2.0270000000000001</v>
      </c>
      <c r="P1756">
        <v>0.43</v>
      </c>
    </row>
    <row r="1757" spans="1:16" x14ac:dyDescent="0.25">
      <c r="A1757" s="1">
        <v>43742</v>
      </c>
      <c r="B1757">
        <v>9.01</v>
      </c>
      <c r="C1757">
        <v>207.6</v>
      </c>
      <c r="D1757">
        <v>3.25</v>
      </c>
      <c r="E1757">
        <v>14.98</v>
      </c>
      <c r="F1757">
        <v>5.4269999999999996</v>
      </c>
      <c r="G1757">
        <v>1.9530000000000001</v>
      </c>
      <c r="H1757">
        <v>1.53</v>
      </c>
      <c r="I1757">
        <v>38.950000000000003</v>
      </c>
      <c r="J1757">
        <v>36.1</v>
      </c>
      <c r="K1757">
        <v>23.7</v>
      </c>
      <c r="L1757">
        <v>1.46</v>
      </c>
      <c r="M1757">
        <v>3.28</v>
      </c>
      <c r="N1757">
        <v>0.105</v>
      </c>
      <c r="O1757">
        <v>2.0070000000000001</v>
      </c>
      <c r="P1757">
        <v>0.45</v>
      </c>
    </row>
    <row r="1758" spans="1:16" x14ac:dyDescent="0.25">
      <c r="A1758" s="1">
        <v>43745</v>
      </c>
      <c r="B1758">
        <v>9.02</v>
      </c>
      <c r="C1758">
        <v>207.45</v>
      </c>
      <c r="D1758">
        <v>3.25</v>
      </c>
      <c r="E1758">
        <v>14.53</v>
      </c>
      <c r="F1758">
        <v>5.5679999999999996</v>
      </c>
      <c r="G1758">
        <v>1.9330000000000001</v>
      </c>
      <c r="H1758">
        <v>1.64</v>
      </c>
      <c r="I1758">
        <v>39.049999999999997</v>
      </c>
      <c r="J1758">
        <v>36.25</v>
      </c>
      <c r="K1758">
        <v>23.68</v>
      </c>
      <c r="L1758">
        <v>1.45</v>
      </c>
      <c r="M1758">
        <v>3.28</v>
      </c>
      <c r="N1758">
        <v>0.108</v>
      </c>
      <c r="O1758">
        <v>2.0070000000000001</v>
      </c>
      <c r="P1758">
        <v>0.44500000000000001</v>
      </c>
    </row>
    <row r="1759" spans="1:16" x14ac:dyDescent="0.25">
      <c r="A1759" s="1">
        <v>43747</v>
      </c>
      <c r="B1759">
        <v>9</v>
      </c>
      <c r="C1759">
        <v>178.79</v>
      </c>
      <c r="D1759">
        <v>3.22</v>
      </c>
      <c r="E1759">
        <v>14.42</v>
      </c>
      <c r="F1759">
        <v>5.4740000000000002</v>
      </c>
      <c r="G1759">
        <v>1.923</v>
      </c>
      <c r="H1759">
        <v>1.6</v>
      </c>
      <c r="I1759">
        <v>39.450000000000003</v>
      </c>
      <c r="J1759">
        <v>36.25</v>
      </c>
      <c r="K1759">
        <v>23.591000000000001</v>
      </c>
      <c r="L1759">
        <v>1.4</v>
      </c>
      <c r="M1759">
        <v>3.28</v>
      </c>
      <c r="N1759">
        <v>0.11</v>
      </c>
      <c r="O1759">
        <v>2.0070000000000001</v>
      </c>
      <c r="P1759">
        <v>0.43099999999999999</v>
      </c>
    </row>
    <row r="1760" spans="1:16" x14ac:dyDescent="0.25">
      <c r="A1760" s="1">
        <v>43748</v>
      </c>
      <c r="B1760">
        <v>9</v>
      </c>
      <c r="C1760">
        <v>177.43</v>
      </c>
      <c r="D1760">
        <v>3.21</v>
      </c>
      <c r="E1760">
        <v>14.5</v>
      </c>
      <c r="F1760">
        <v>5.5679999999999996</v>
      </c>
      <c r="G1760">
        <v>1.9139999999999999</v>
      </c>
      <c r="H1760">
        <v>1.6</v>
      </c>
      <c r="I1760">
        <v>39.049999999999997</v>
      </c>
      <c r="J1760">
        <v>35.75</v>
      </c>
      <c r="K1760">
        <v>23.206</v>
      </c>
      <c r="L1760">
        <v>1.45</v>
      </c>
      <c r="M1760">
        <v>3.28</v>
      </c>
      <c r="N1760">
        <v>0.108</v>
      </c>
      <c r="O1760">
        <v>2.0070000000000001</v>
      </c>
      <c r="P1760">
        <v>0.435</v>
      </c>
    </row>
    <row r="1761" spans="1:16" x14ac:dyDescent="0.25">
      <c r="A1761" s="1">
        <v>43749</v>
      </c>
      <c r="B1761">
        <v>9.1999999999999993</v>
      </c>
      <c r="C1761">
        <v>181.54</v>
      </c>
      <c r="D1761">
        <v>3.3</v>
      </c>
      <c r="E1761">
        <v>14.25</v>
      </c>
      <c r="F1761">
        <v>5.6150000000000002</v>
      </c>
      <c r="G1761">
        <v>1.9530000000000001</v>
      </c>
      <c r="H1761">
        <v>1.63</v>
      </c>
      <c r="I1761">
        <v>39.15</v>
      </c>
      <c r="J1761">
        <v>36.5</v>
      </c>
      <c r="K1761">
        <v>22.731999999999999</v>
      </c>
      <c r="L1761">
        <v>1.44</v>
      </c>
      <c r="M1761">
        <v>3.28</v>
      </c>
      <c r="N1761">
        <v>0.107</v>
      </c>
      <c r="O1761">
        <v>1.9870000000000001</v>
      </c>
      <c r="P1761">
        <v>0.45</v>
      </c>
    </row>
    <row r="1762" spans="1:16" x14ac:dyDescent="0.25">
      <c r="A1762" s="1">
        <v>43752</v>
      </c>
      <c r="B1762">
        <v>9.3000000000000007</v>
      </c>
      <c r="C1762">
        <v>205.99</v>
      </c>
      <c r="D1762">
        <v>3.25</v>
      </c>
      <c r="E1762">
        <v>14.37</v>
      </c>
      <c r="F1762">
        <v>6.0590000000000002</v>
      </c>
      <c r="G1762">
        <v>1.972</v>
      </c>
      <c r="H1762">
        <v>1.64</v>
      </c>
      <c r="I1762">
        <v>39.15</v>
      </c>
      <c r="J1762">
        <v>36.49</v>
      </c>
      <c r="K1762">
        <v>22.347000000000001</v>
      </c>
      <c r="L1762">
        <v>1.44</v>
      </c>
      <c r="M1762">
        <v>3.4</v>
      </c>
      <c r="N1762">
        <v>0.108</v>
      </c>
      <c r="O1762">
        <v>2.0870000000000002</v>
      </c>
      <c r="P1762">
        <v>0.442</v>
      </c>
    </row>
    <row r="1763" spans="1:16" x14ac:dyDescent="0.25">
      <c r="A1763" s="1">
        <v>43753</v>
      </c>
      <c r="B1763">
        <v>9.3000000000000007</v>
      </c>
      <c r="C1763">
        <v>207.59</v>
      </c>
      <c r="D1763">
        <v>3.28</v>
      </c>
      <c r="E1763">
        <v>14.18</v>
      </c>
      <c r="F1763">
        <v>6.04</v>
      </c>
      <c r="G1763">
        <v>2.0209999999999999</v>
      </c>
      <c r="H1763">
        <v>1.61</v>
      </c>
      <c r="I1763">
        <v>39.200000000000003</v>
      </c>
      <c r="J1763">
        <v>36.5</v>
      </c>
      <c r="K1763">
        <v>21.922000000000001</v>
      </c>
      <c r="L1763">
        <v>1.4</v>
      </c>
      <c r="M1763">
        <v>3.4</v>
      </c>
      <c r="N1763">
        <v>0.108</v>
      </c>
      <c r="O1763">
        <v>2.0870000000000002</v>
      </c>
      <c r="P1763">
        <v>0.437</v>
      </c>
    </row>
    <row r="1764" spans="1:16" x14ac:dyDescent="0.25">
      <c r="A1764" s="1">
        <v>43754</v>
      </c>
      <c r="B1764">
        <v>9.26</v>
      </c>
      <c r="C1764">
        <v>206.6</v>
      </c>
      <c r="D1764">
        <v>3.28</v>
      </c>
      <c r="E1764">
        <v>14.2</v>
      </c>
      <c r="F1764">
        <v>6.04</v>
      </c>
      <c r="G1764">
        <v>2.0110000000000001</v>
      </c>
      <c r="H1764">
        <v>1.61</v>
      </c>
      <c r="I1764">
        <v>39.549999999999997</v>
      </c>
      <c r="J1764">
        <v>36.479999999999997</v>
      </c>
      <c r="K1764">
        <v>21.725000000000001</v>
      </c>
      <c r="L1764">
        <v>1.39</v>
      </c>
      <c r="M1764">
        <v>3.4</v>
      </c>
      <c r="N1764">
        <v>0.108</v>
      </c>
      <c r="O1764">
        <v>2.097</v>
      </c>
      <c r="P1764">
        <v>0.43</v>
      </c>
    </row>
    <row r="1765" spans="1:16" x14ac:dyDescent="0.25">
      <c r="A1765" s="1">
        <v>43755</v>
      </c>
      <c r="B1765">
        <v>9.31</v>
      </c>
      <c r="C1765">
        <v>207.1</v>
      </c>
      <c r="D1765">
        <v>3.25</v>
      </c>
      <c r="E1765">
        <v>14.2</v>
      </c>
      <c r="F1765">
        <v>6.04</v>
      </c>
      <c r="G1765">
        <v>2.0209999999999999</v>
      </c>
      <c r="H1765">
        <v>1.57</v>
      </c>
      <c r="I1765">
        <v>39.9</v>
      </c>
      <c r="J1765">
        <v>36.29</v>
      </c>
      <c r="K1765">
        <v>21.725000000000001</v>
      </c>
      <c r="L1765">
        <v>1.39</v>
      </c>
      <c r="M1765">
        <v>3.4</v>
      </c>
      <c r="N1765">
        <v>0.108</v>
      </c>
      <c r="O1765">
        <v>2.1560000000000001</v>
      </c>
      <c r="P1765">
        <v>0.434</v>
      </c>
    </row>
    <row r="1766" spans="1:16" x14ac:dyDescent="0.25">
      <c r="A1766" s="1">
        <v>43756</v>
      </c>
      <c r="B1766">
        <v>9.41</v>
      </c>
      <c r="C1766">
        <v>207.89</v>
      </c>
      <c r="D1766">
        <v>3.3</v>
      </c>
      <c r="E1766">
        <v>14.69</v>
      </c>
      <c r="F1766">
        <v>6.04</v>
      </c>
      <c r="G1766">
        <v>2.0310000000000001</v>
      </c>
      <c r="H1766">
        <v>1.58</v>
      </c>
      <c r="I1766">
        <v>40.4</v>
      </c>
      <c r="J1766">
        <v>36.020000000000003</v>
      </c>
      <c r="K1766">
        <v>21.734999999999999</v>
      </c>
      <c r="L1766">
        <v>1.39</v>
      </c>
      <c r="M1766">
        <v>3.4</v>
      </c>
      <c r="N1766">
        <v>0.11</v>
      </c>
      <c r="O1766">
        <v>2.1859999999999999</v>
      </c>
      <c r="P1766">
        <v>0.43099999999999999</v>
      </c>
    </row>
    <row r="1767" spans="1:16" x14ac:dyDescent="0.25">
      <c r="A1767" s="1">
        <v>43759</v>
      </c>
      <c r="B1767">
        <v>9.4</v>
      </c>
      <c r="C1767">
        <v>206.6</v>
      </c>
      <c r="D1767">
        <v>3.32</v>
      </c>
      <c r="E1767">
        <v>14.22</v>
      </c>
      <c r="F1767">
        <v>6.04</v>
      </c>
      <c r="G1767">
        <v>2.0110000000000001</v>
      </c>
      <c r="H1767">
        <v>1.57</v>
      </c>
      <c r="I1767">
        <v>40.6</v>
      </c>
      <c r="J1767">
        <v>36.03</v>
      </c>
      <c r="K1767">
        <v>22.218</v>
      </c>
      <c r="L1767">
        <v>1.44</v>
      </c>
      <c r="M1767">
        <v>3.5</v>
      </c>
      <c r="N1767">
        <v>0.10299999999999999</v>
      </c>
      <c r="O1767">
        <v>2.1160000000000001</v>
      </c>
      <c r="P1767">
        <v>0.43</v>
      </c>
    </row>
    <row r="1768" spans="1:16" x14ac:dyDescent="0.25">
      <c r="A1768" s="1">
        <v>43760</v>
      </c>
      <c r="B1768">
        <v>9.32</v>
      </c>
      <c r="C1768">
        <v>207.53</v>
      </c>
      <c r="D1768">
        <v>3.33</v>
      </c>
      <c r="E1768">
        <v>14.1</v>
      </c>
      <c r="F1768">
        <v>6.0679999999999996</v>
      </c>
      <c r="G1768">
        <v>2.0209999999999999</v>
      </c>
      <c r="H1768">
        <v>1.62</v>
      </c>
      <c r="I1768">
        <v>40.81</v>
      </c>
      <c r="J1768">
        <v>36.03</v>
      </c>
      <c r="K1768">
        <v>22.317</v>
      </c>
      <c r="L1768">
        <v>1.44</v>
      </c>
      <c r="M1768">
        <v>3.5</v>
      </c>
      <c r="N1768">
        <v>0.105</v>
      </c>
      <c r="O1768">
        <v>2.0070000000000001</v>
      </c>
      <c r="P1768">
        <v>0.42499999999999999</v>
      </c>
    </row>
    <row r="1769" spans="1:16" x14ac:dyDescent="0.25">
      <c r="A1769" s="1">
        <v>43761</v>
      </c>
      <c r="B1769">
        <v>9.23</v>
      </c>
      <c r="C1769">
        <v>212</v>
      </c>
      <c r="D1769">
        <v>3.34</v>
      </c>
      <c r="E1769">
        <v>13.9</v>
      </c>
      <c r="F1769">
        <v>6.0869999999999997</v>
      </c>
      <c r="G1769">
        <v>2.0310000000000001</v>
      </c>
      <c r="H1769">
        <v>1.61</v>
      </c>
      <c r="I1769">
        <v>40.5</v>
      </c>
      <c r="J1769">
        <v>35.15</v>
      </c>
      <c r="K1769">
        <v>22.722000000000001</v>
      </c>
      <c r="L1769">
        <v>1.44</v>
      </c>
      <c r="M1769">
        <v>3.5</v>
      </c>
      <c r="N1769">
        <v>0.10299999999999999</v>
      </c>
      <c r="O1769">
        <v>2.1259999999999999</v>
      </c>
      <c r="P1769">
        <v>0.42499999999999999</v>
      </c>
    </row>
    <row r="1770" spans="1:16" x14ac:dyDescent="0.25">
      <c r="A1770" s="1">
        <v>43762</v>
      </c>
      <c r="B1770">
        <v>9.23</v>
      </c>
      <c r="C1770">
        <v>214.3</v>
      </c>
      <c r="D1770">
        <v>3.36</v>
      </c>
      <c r="E1770">
        <v>13.84</v>
      </c>
      <c r="F1770">
        <v>6.0869999999999997</v>
      </c>
      <c r="G1770">
        <v>2.0209999999999999</v>
      </c>
      <c r="H1770">
        <v>1.57</v>
      </c>
      <c r="I1770">
        <v>40.950000000000003</v>
      </c>
      <c r="J1770">
        <v>35</v>
      </c>
      <c r="K1770">
        <v>23.472999999999999</v>
      </c>
      <c r="L1770">
        <v>1.44</v>
      </c>
      <c r="M1770">
        <v>3.58</v>
      </c>
      <c r="N1770">
        <v>0.10100000000000001</v>
      </c>
      <c r="O1770">
        <v>2.0870000000000002</v>
      </c>
      <c r="P1770">
        <v>0.42</v>
      </c>
    </row>
    <row r="1771" spans="1:16" x14ac:dyDescent="0.25">
      <c r="A1771" s="1">
        <v>43763</v>
      </c>
      <c r="B1771">
        <v>9.1999999999999993</v>
      </c>
      <c r="C1771">
        <v>212.2</v>
      </c>
      <c r="D1771">
        <v>3.4</v>
      </c>
      <c r="E1771">
        <v>14</v>
      </c>
      <c r="F1771">
        <v>6.0869999999999997</v>
      </c>
      <c r="G1771">
        <v>2.0310000000000001</v>
      </c>
      <c r="H1771">
        <v>1.66</v>
      </c>
      <c r="I1771">
        <v>41</v>
      </c>
      <c r="J1771">
        <v>35.5</v>
      </c>
      <c r="K1771">
        <v>23.7</v>
      </c>
      <c r="L1771">
        <v>1.44</v>
      </c>
      <c r="M1771">
        <v>3.58</v>
      </c>
      <c r="N1771">
        <v>0.1</v>
      </c>
      <c r="O1771">
        <v>2.1360000000000001</v>
      </c>
      <c r="P1771">
        <v>0.41099999999999998</v>
      </c>
    </row>
    <row r="1772" spans="1:16" x14ac:dyDescent="0.25">
      <c r="A1772" s="1">
        <v>43766</v>
      </c>
      <c r="B1772">
        <v>9.23</v>
      </c>
      <c r="C1772">
        <v>213.7</v>
      </c>
      <c r="D1772">
        <v>3.45</v>
      </c>
      <c r="E1772">
        <v>14.05</v>
      </c>
      <c r="F1772">
        <v>6.2380000000000004</v>
      </c>
      <c r="G1772">
        <v>2.0209999999999999</v>
      </c>
      <c r="H1772">
        <v>1.6</v>
      </c>
      <c r="I1772">
        <v>41.03</v>
      </c>
      <c r="J1772">
        <v>35.200000000000003</v>
      </c>
      <c r="K1772">
        <v>23.7</v>
      </c>
      <c r="L1772">
        <v>1.48</v>
      </c>
      <c r="M1772">
        <v>3.58</v>
      </c>
      <c r="N1772">
        <v>0.1</v>
      </c>
      <c r="O1772">
        <v>2.0870000000000002</v>
      </c>
      <c r="P1772">
        <v>0.42</v>
      </c>
    </row>
    <row r="1773" spans="1:16" x14ac:dyDescent="0.25">
      <c r="A1773" s="1">
        <v>43767</v>
      </c>
      <c r="B1773">
        <v>9.1999999999999993</v>
      </c>
      <c r="C1773">
        <v>213</v>
      </c>
      <c r="D1773">
        <v>3.5</v>
      </c>
      <c r="E1773">
        <v>14.56</v>
      </c>
      <c r="F1773">
        <v>6.351</v>
      </c>
      <c r="G1773">
        <v>2.0209999999999999</v>
      </c>
      <c r="H1773">
        <v>1.58</v>
      </c>
      <c r="I1773">
        <v>41.25</v>
      </c>
      <c r="J1773">
        <v>35.5</v>
      </c>
      <c r="K1773">
        <v>23.65</v>
      </c>
      <c r="L1773">
        <v>1.45</v>
      </c>
      <c r="M1773">
        <v>3.58</v>
      </c>
      <c r="N1773">
        <v>0.1</v>
      </c>
      <c r="O1773">
        <v>2.0870000000000002</v>
      </c>
      <c r="P1773">
        <v>0.42</v>
      </c>
    </row>
    <row r="1774" spans="1:16" x14ac:dyDescent="0.25">
      <c r="A1774" s="1">
        <v>43768</v>
      </c>
      <c r="B1774">
        <v>9.16</v>
      </c>
      <c r="C1774">
        <v>211.2</v>
      </c>
      <c r="D1774">
        <v>3.5</v>
      </c>
      <c r="E1774">
        <v>14.6</v>
      </c>
      <c r="F1774">
        <v>6.38</v>
      </c>
      <c r="G1774">
        <v>2.0110000000000001</v>
      </c>
      <c r="H1774">
        <v>1.59</v>
      </c>
      <c r="I1774">
        <v>41.45</v>
      </c>
      <c r="J1774">
        <v>35.29</v>
      </c>
      <c r="K1774">
        <v>23.552</v>
      </c>
      <c r="L1774">
        <v>1.44</v>
      </c>
      <c r="M1774">
        <v>3.55</v>
      </c>
      <c r="N1774">
        <v>9.5000000000000001E-2</v>
      </c>
      <c r="O1774">
        <v>2.1360000000000001</v>
      </c>
      <c r="P1774">
        <v>0.40500000000000003</v>
      </c>
    </row>
    <row r="1775" spans="1:16" x14ac:dyDescent="0.25">
      <c r="A1775" s="1">
        <v>43769</v>
      </c>
      <c r="B1775">
        <v>9.17</v>
      </c>
      <c r="C1775">
        <v>214.15</v>
      </c>
      <c r="D1775">
        <v>3.5</v>
      </c>
      <c r="E1775">
        <v>15.5</v>
      </c>
      <c r="F1775">
        <v>6.38</v>
      </c>
      <c r="G1775">
        <v>2.1190000000000002</v>
      </c>
      <c r="H1775">
        <v>1.64</v>
      </c>
      <c r="I1775">
        <v>41.7</v>
      </c>
      <c r="J1775">
        <v>35</v>
      </c>
      <c r="K1775">
        <v>23.501999999999999</v>
      </c>
      <c r="L1775">
        <v>1.44</v>
      </c>
      <c r="M1775">
        <v>3.55</v>
      </c>
      <c r="N1775">
        <v>9.8000000000000004E-2</v>
      </c>
      <c r="O1775">
        <v>2.1160000000000001</v>
      </c>
      <c r="P1775">
        <v>0.38700000000000001</v>
      </c>
    </row>
    <row r="1776" spans="1:16" x14ac:dyDescent="0.25">
      <c r="A1776" s="1">
        <v>43773</v>
      </c>
      <c r="B1776">
        <v>9.1999999999999993</v>
      </c>
      <c r="C1776">
        <v>214.07</v>
      </c>
      <c r="D1776">
        <v>3.5</v>
      </c>
      <c r="E1776">
        <v>15.73</v>
      </c>
      <c r="F1776">
        <v>6.38</v>
      </c>
      <c r="G1776">
        <v>2.1579999999999999</v>
      </c>
      <c r="H1776">
        <v>1.58</v>
      </c>
      <c r="I1776">
        <v>41.5</v>
      </c>
      <c r="J1776">
        <v>34.799999999999997</v>
      </c>
      <c r="K1776">
        <v>23.196000000000002</v>
      </c>
      <c r="L1776">
        <v>1.49</v>
      </c>
      <c r="M1776">
        <v>3.5</v>
      </c>
      <c r="N1776">
        <v>0.1</v>
      </c>
      <c r="O1776">
        <v>2.1160000000000001</v>
      </c>
      <c r="P1776">
        <v>0.39500000000000002</v>
      </c>
    </row>
    <row r="1777" spans="1:16" x14ac:dyDescent="0.25">
      <c r="A1777" s="1">
        <v>43774</v>
      </c>
      <c r="B1777">
        <v>9.1999999999999993</v>
      </c>
      <c r="C1777">
        <v>212.45</v>
      </c>
      <c r="D1777">
        <v>3.48</v>
      </c>
      <c r="E1777">
        <v>15.74</v>
      </c>
      <c r="F1777">
        <v>6.2759999999999998</v>
      </c>
      <c r="G1777">
        <v>2.1280000000000001</v>
      </c>
      <c r="H1777">
        <v>1.58</v>
      </c>
      <c r="I1777">
        <v>41.5</v>
      </c>
      <c r="J1777">
        <v>34.6</v>
      </c>
      <c r="K1777">
        <v>23.196000000000002</v>
      </c>
      <c r="L1777">
        <v>1.53</v>
      </c>
      <c r="M1777">
        <v>3.42</v>
      </c>
      <c r="N1777">
        <v>0.1</v>
      </c>
      <c r="O1777">
        <v>2.0870000000000002</v>
      </c>
      <c r="P1777">
        <v>0.39600000000000002</v>
      </c>
    </row>
    <row r="1778" spans="1:16" x14ac:dyDescent="0.25">
      <c r="A1778" s="1">
        <v>43775</v>
      </c>
      <c r="B1778">
        <v>9.1999999999999993</v>
      </c>
      <c r="C1778">
        <v>212.5</v>
      </c>
      <c r="D1778">
        <v>3.48</v>
      </c>
      <c r="E1778">
        <v>15.74</v>
      </c>
      <c r="F1778">
        <v>6.2759999999999998</v>
      </c>
      <c r="G1778">
        <v>2.109</v>
      </c>
      <c r="H1778">
        <v>1.51</v>
      </c>
      <c r="I1778">
        <v>41.18</v>
      </c>
      <c r="J1778">
        <v>34.299999999999997</v>
      </c>
      <c r="K1778">
        <v>22.712</v>
      </c>
      <c r="L1778">
        <v>1.53</v>
      </c>
      <c r="M1778">
        <v>3.45</v>
      </c>
      <c r="N1778">
        <v>0.1</v>
      </c>
      <c r="O1778">
        <v>2.1070000000000002</v>
      </c>
      <c r="P1778">
        <v>0.39</v>
      </c>
    </row>
    <row r="1779" spans="1:16" x14ac:dyDescent="0.25">
      <c r="A1779" s="1">
        <v>43776</v>
      </c>
      <c r="B1779">
        <v>9.1999999999999993</v>
      </c>
      <c r="C1779">
        <v>216.1</v>
      </c>
      <c r="D1779">
        <v>3.45</v>
      </c>
      <c r="E1779">
        <v>15.5</v>
      </c>
      <c r="F1779">
        <v>6.2290000000000001</v>
      </c>
      <c r="G1779">
        <v>2.0990000000000002</v>
      </c>
      <c r="H1779">
        <v>1.44</v>
      </c>
      <c r="I1779">
        <v>41.5</v>
      </c>
      <c r="J1779">
        <v>33.9</v>
      </c>
      <c r="K1779">
        <v>22.831</v>
      </c>
      <c r="L1779">
        <v>1.53</v>
      </c>
      <c r="M1779">
        <v>3.45</v>
      </c>
      <c r="N1779">
        <v>0.10100000000000001</v>
      </c>
      <c r="O1779">
        <v>2.1070000000000002</v>
      </c>
      <c r="P1779">
        <v>0.4</v>
      </c>
    </row>
    <row r="1780" spans="1:16" x14ac:dyDescent="0.25">
      <c r="A1780" s="1">
        <v>43777</v>
      </c>
      <c r="B1780">
        <v>9</v>
      </c>
      <c r="C1780">
        <v>206.5</v>
      </c>
      <c r="D1780">
        <v>3.44</v>
      </c>
      <c r="E1780">
        <v>15.58</v>
      </c>
      <c r="F1780">
        <v>6.1820000000000004</v>
      </c>
      <c r="G1780">
        <v>2.0699999999999998</v>
      </c>
      <c r="H1780">
        <v>1.45</v>
      </c>
      <c r="I1780">
        <v>40.6</v>
      </c>
      <c r="J1780">
        <v>33.75</v>
      </c>
      <c r="K1780">
        <v>22.218</v>
      </c>
      <c r="L1780">
        <v>1.49</v>
      </c>
      <c r="M1780">
        <v>3.4</v>
      </c>
      <c r="N1780">
        <v>0.1</v>
      </c>
      <c r="O1780">
        <v>2.077</v>
      </c>
      <c r="P1780">
        <v>0.39</v>
      </c>
    </row>
    <row r="1781" spans="1:16" x14ac:dyDescent="0.25">
      <c r="A1781" s="1">
        <v>43780</v>
      </c>
      <c r="B1781">
        <v>9</v>
      </c>
      <c r="C1781">
        <v>205.25</v>
      </c>
      <c r="D1781">
        <v>3.5</v>
      </c>
      <c r="E1781">
        <v>15.39</v>
      </c>
      <c r="F1781">
        <v>6.1340000000000003</v>
      </c>
      <c r="G1781">
        <v>2.0499999999999998</v>
      </c>
      <c r="H1781">
        <v>1.38</v>
      </c>
      <c r="I1781">
        <v>40.75</v>
      </c>
      <c r="J1781">
        <v>33.200000000000003</v>
      </c>
      <c r="K1781">
        <v>22.218</v>
      </c>
      <c r="L1781">
        <v>1.48</v>
      </c>
      <c r="M1781">
        <v>3.4</v>
      </c>
      <c r="N1781">
        <v>9.6000000000000002E-2</v>
      </c>
      <c r="O1781">
        <v>2.0369999999999999</v>
      </c>
      <c r="P1781">
        <v>0.39200000000000002</v>
      </c>
    </row>
    <row r="1782" spans="1:16" x14ac:dyDescent="0.25">
      <c r="A1782" s="1">
        <v>43781</v>
      </c>
      <c r="B1782">
        <v>9</v>
      </c>
      <c r="C1782">
        <v>203.92</v>
      </c>
      <c r="D1782">
        <v>3.45</v>
      </c>
      <c r="E1782">
        <v>15.22</v>
      </c>
      <c r="F1782">
        <v>6.1340000000000003</v>
      </c>
      <c r="G1782">
        <v>2.0499999999999998</v>
      </c>
      <c r="H1782">
        <v>1.43</v>
      </c>
      <c r="I1782">
        <v>40.5</v>
      </c>
      <c r="J1782">
        <v>33.4</v>
      </c>
      <c r="K1782">
        <v>22.238</v>
      </c>
      <c r="L1782">
        <v>1.48</v>
      </c>
      <c r="M1782">
        <v>3.4</v>
      </c>
      <c r="N1782">
        <v>9.2999999999999999E-2</v>
      </c>
      <c r="O1782">
        <v>2</v>
      </c>
      <c r="P1782">
        <v>0.38</v>
      </c>
    </row>
    <row r="1783" spans="1:16" x14ac:dyDescent="0.25">
      <c r="A1783" s="1">
        <v>43782</v>
      </c>
      <c r="B1783">
        <v>9</v>
      </c>
      <c r="C1783">
        <v>203.7</v>
      </c>
      <c r="D1783">
        <v>3.44</v>
      </c>
      <c r="E1783">
        <v>15.1</v>
      </c>
      <c r="F1783">
        <v>6.1340000000000003</v>
      </c>
      <c r="G1783">
        <v>2.0499999999999998</v>
      </c>
      <c r="H1783">
        <v>1.41</v>
      </c>
      <c r="I1783">
        <v>40.450000000000003</v>
      </c>
      <c r="J1783">
        <v>33.4</v>
      </c>
      <c r="K1783">
        <v>22.712</v>
      </c>
      <c r="L1783">
        <v>1.48</v>
      </c>
      <c r="M1783">
        <v>3.4</v>
      </c>
      <c r="N1783">
        <v>9.6000000000000002E-2</v>
      </c>
      <c r="O1783">
        <v>2</v>
      </c>
      <c r="P1783">
        <v>0.38</v>
      </c>
    </row>
    <row r="1784" spans="1:16" x14ac:dyDescent="0.25">
      <c r="A1784" s="1">
        <v>43783</v>
      </c>
      <c r="B1784">
        <v>9</v>
      </c>
      <c r="C1784">
        <v>203.8</v>
      </c>
      <c r="D1784">
        <v>3.44</v>
      </c>
      <c r="E1784">
        <v>14.77</v>
      </c>
      <c r="F1784">
        <v>6.1340000000000003</v>
      </c>
      <c r="G1784">
        <v>2.0499999999999998</v>
      </c>
      <c r="H1784">
        <v>1.36</v>
      </c>
      <c r="I1784">
        <v>39.979999999999997</v>
      </c>
      <c r="J1784">
        <v>33.4</v>
      </c>
      <c r="K1784">
        <v>22.712</v>
      </c>
      <c r="L1784">
        <v>1.48</v>
      </c>
      <c r="M1784">
        <v>3.4</v>
      </c>
      <c r="N1784">
        <v>9.6000000000000002E-2</v>
      </c>
      <c r="O1784">
        <v>1.98</v>
      </c>
      <c r="P1784">
        <v>0.36499999999999999</v>
      </c>
    </row>
    <row r="1785" spans="1:16" x14ac:dyDescent="0.25">
      <c r="A1785" s="1">
        <v>43784</v>
      </c>
      <c r="B1785">
        <v>9</v>
      </c>
      <c r="C1785">
        <v>209.4</v>
      </c>
      <c r="D1785">
        <v>3.44</v>
      </c>
      <c r="E1785">
        <v>14.77</v>
      </c>
      <c r="F1785">
        <v>6.0869999999999997</v>
      </c>
      <c r="G1785">
        <v>2.09</v>
      </c>
      <c r="H1785">
        <v>1.39</v>
      </c>
      <c r="I1785">
        <v>39.729999999999997</v>
      </c>
      <c r="J1785">
        <v>33.4</v>
      </c>
      <c r="K1785">
        <v>22.712</v>
      </c>
      <c r="L1785">
        <v>1.48</v>
      </c>
      <c r="M1785">
        <v>3.4</v>
      </c>
      <c r="N1785">
        <v>9.7000000000000003E-2</v>
      </c>
      <c r="O1785">
        <v>2.02</v>
      </c>
      <c r="P1785">
        <v>0.36899999999999999</v>
      </c>
    </row>
    <row r="1786" spans="1:16" x14ac:dyDescent="0.25">
      <c r="A1786" s="1">
        <v>43787</v>
      </c>
      <c r="B1786">
        <v>8.93</v>
      </c>
      <c r="C1786">
        <v>210</v>
      </c>
      <c r="D1786">
        <v>3.44</v>
      </c>
      <c r="E1786">
        <v>14.77</v>
      </c>
      <c r="F1786">
        <v>6.04</v>
      </c>
      <c r="G1786">
        <v>2.1680000000000001</v>
      </c>
      <c r="H1786">
        <v>1.32</v>
      </c>
      <c r="I1786">
        <v>39.950000000000003</v>
      </c>
      <c r="J1786">
        <v>34.01</v>
      </c>
      <c r="K1786">
        <v>23.206</v>
      </c>
      <c r="L1786">
        <v>1.48</v>
      </c>
      <c r="M1786">
        <v>3.4</v>
      </c>
      <c r="N1786">
        <v>9.9000000000000005E-2</v>
      </c>
      <c r="O1786">
        <v>2.02</v>
      </c>
      <c r="P1786">
        <v>0.372</v>
      </c>
    </row>
    <row r="1787" spans="1:16" x14ac:dyDescent="0.25">
      <c r="A1787" s="1">
        <v>43788</v>
      </c>
      <c r="B1787">
        <v>8.85</v>
      </c>
      <c r="C1787">
        <v>206.62</v>
      </c>
      <c r="D1787">
        <v>3.4</v>
      </c>
      <c r="E1787">
        <v>14.95</v>
      </c>
      <c r="F1787">
        <v>6.04</v>
      </c>
      <c r="G1787">
        <v>2.1190000000000002</v>
      </c>
      <c r="H1787">
        <v>1.31</v>
      </c>
      <c r="I1787">
        <v>41.1</v>
      </c>
      <c r="J1787">
        <v>35</v>
      </c>
      <c r="K1787">
        <v>23.7</v>
      </c>
      <c r="L1787">
        <v>1.48</v>
      </c>
      <c r="M1787">
        <v>3.3</v>
      </c>
      <c r="N1787">
        <v>0.10199999999999999</v>
      </c>
      <c r="O1787">
        <v>2.02</v>
      </c>
      <c r="P1787">
        <v>0.377</v>
      </c>
    </row>
    <row r="1788" spans="1:16" x14ac:dyDescent="0.25">
      <c r="A1788" s="1">
        <v>43789</v>
      </c>
      <c r="B1788">
        <v>8.89</v>
      </c>
      <c r="C1788">
        <v>206.1</v>
      </c>
      <c r="D1788">
        <v>3.4</v>
      </c>
      <c r="E1788">
        <v>14.79</v>
      </c>
      <c r="F1788">
        <v>6.1340000000000003</v>
      </c>
      <c r="G1788">
        <v>2.14</v>
      </c>
      <c r="H1788">
        <v>1.34</v>
      </c>
      <c r="I1788">
        <v>39.35</v>
      </c>
      <c r="J1788">
        <v>35</v>
      </c>
      <c r="K1788">
        <v>23.72</v>
      </c>
      <c r="L1788">
        <v>1.5</v>
      </c>
      <c r="M1788">
        <v>3.3</v>
      </c>
      <c r="N1788">
        <v>0.1</v>
      </c>
      <c r="O1788">
        <v>2.0099999999999998</v>
      </c>
      <c r="P1788">
        <v>0.37</v>
      </c>
    </row>
    <row r="1789" spans="1:16" x14ac:dyDescent="0.25">
      <c r="A1789" s="1">
        <v>43790</v>
      </c>
      <c r="B1789">
        <v>8.9</v>
      </c>
      <c r="C1789">
        <v>208.1</v>
      </c>
      <c r="D1789">
        <v>3.4</v>
      </c>
      <c r="E1789">
        <v>14.85</v>
      </c>
      <c r="F1789">
        <v>6.2290000000000001</v>
      </c>
      <c r="G1789">
        <v>2.15</v>
      </c>
      <c r="H1789">
        <v>1.33</v>
      </c>
      <c r="I1789">
        <v>39.6</v>
      </c>
      <c r="J1789">
        <v>36</v>
      </c>
      <c r="K1789">
        <v>23.7</v>
      </c>
      <c r="L1789">
        <v>1.5</v>
      </c>
      <c r="M1789">
        <v>3.26</v>
      </c>
      <c r="N1789">
        <v>0.1</v>
      </c>
      <c r="O1789">
        <v>1.99</v>
      </c>
      <c r="P1789">
        <v>0.35</v>
      </c>
    </row>
    <row r="1790" spans="1:16" x14ac:dyDescent="0.25">
      <c r="A1790" s="1">
        <v>43791</v>
      </c>
      <c r="B1790">
        <v>8.9</v>
      </c>
      <c r="C1790">
        <v>206.8</v>
      </c>
      <c r="D1790">
        <v>3.36</v>
      </c>
      <c r="E1790">
        <v>15</v>
      </c>
      <c r="F1790">
        <v>6.2290000000000001</v>
      </c>
      <c r="G1790">
        <v>2.1800000000000002</v>
      </c>
      <c r="H1790">
        <v>1.29</v>
      </c>
      <c r="I1790">
        <v>39.299999999999997</v>
      </c>
      <c r="J1790">
        <v>35.49</v>
      </c>
      <c r="K1790">
        <v>23.7</v>
      </c>
      <c r="L1790">
        <v>1.48</v>
      </c>
      <c r="M1790">
        <v>3.26</v>
      </c>
      <c r="N1790">
        <v>9.8000000000000004E-2</v>
      </c>
      <c r="O1790">
        <v>2</v>
      </c>
      <c r="P1790">
        <v>0.35299999999999998</v>
      </c>
    </row>
    <row r="1791" spans="1:16" x14ac:dyDescent="0.25">
      <c r="A1791" s="1">
        <v>43794</v>
      </c>
      <c r="B1791">
        <v>8.9</v>
      </c>
      <c r="C1791">
        <v>210.1</v>
      </c>
      <c r="D1791">
        <v>3.35</v>
      </c>
      <c r="E1791">
        <v>15</v>
      </c>
      <c r="F1791">
        <v>6.0869999999999997</v>
      </c>
      <c r="G1791">
        <v>2.19</v>
      </c>
      <c r="H1791">
        <v>1.3</v>
      </c>
      <c r="I1791">
        <v>39.700000000000003</v>
      </c>
      <c r="J1791">
        <v>36</v>
      </c>
      <c r="K1791">
        <v>23.7</v>
      </c>
      <c r="L1791">
        <v>1.48</v>
      </c>
      <c r="M1791">
        <v>3.26</v>
      </c>
      <c r="N1791">
        <v>9.8000000000000004E-2</v>
      </c>
      <c r="O1791">
        <v>2</v>
      </c>
      <c r="P1791">
        <v>0.35199999999999998</v>
      </c>
    </row>
    <row r="1792" spans="1:16" x14ac:dyDescent="0.25">
      <c r="A1792" s="1">
        <v>43795</v>
      </c>
      <c r="B1792">
        <v>8.9</v>
      </c>
      <c r="C1792">
        <v>207.41</v>
      </c>
      <c r="D1792">
        <v>3.35</v>
      </c>
      <c r="E1792">
        <v>15.39</v>
      </c>
      <c r="F1792">
        <v>6.04</v>
      </c>
      <c r="G1792">
        <v>2.14</v>
      </c>
      <c r="H1792">
        <v>1.3</v>
      </c>
      <c r="I1792">
        <v>39.65</v>
      </c>
      <c r="J1792">
        <v>36.520000000000003</v>
      </c>
      <c r="K1792">
        <v>23.7</v>
      </c>
      <c r="L1792">
        <v>1.48</v>
      </c>
      <c r="M1792">
        <v>3.25</v>
      </c>
      <c r="N1792">
        <v>9.1999999999999998E-2</v>
      </c>
      <c r="O1792">
        <v>1.97</v>
      </c>
      <c r="P1792">
        <v>0.33700000000000002</v>
      </c>
    </row>
    <row r="1793" spans="1:16" x14ac:dyDescent="0.25">
      <c r="A1793" s="1">
        <v>43796</v>
      </c>
      <c r="B1793">
        <v>8.8000000000000007</v>
      </c>
      <c r="C1793">
        <v>210</v>
      </c>
      <c r="D1793">
        <v>3.35</v>
      </c>
      <c r="E1793">
        <v>15</v>
      </c>
      <c r="F1793">
        <v>6.04</v>
      </c>
      <c r="G1793">
        <v>2.14</v>
      </c>
      <c r="H1793">
        <v>1.29</v>
      </c>
      <c r="I1793">
        <v>39</v>
      </c>
      <c r="J1793">
        <v>36</v>
      </c>
      <c r="K1793">
        <v>23.7</v>
      </c>
      <c r="L1793">
        <v>1.48</v>
      </c>
      <c r="M1793">
        <v>3.22</v>
      </c>
      <c r="N1793">
        <v>9.5000000000000001E-2</v>
      </c>
      <c r="O1793">
        <v>2</v>
      </c>
      <c r="P1793">
        <v>0.33700000000000002</v>
      </c>
    </row>
    <row r="1794" spans="1:16" x14ac:dyDescent="0.25">
      <c r="A1794" s="1">
        <v>43797</v>
      </c>
      <c r="B1794">
        <v>8.75</v>
      </c>
      <c r="C1794">
        <v>212</v>
      </c>
      <c r="D1794">
        <v>3.35</v>
      </c>
      <c r="E1794">
        <v>15</v>
      </c>
      <c r="F1794">
        <v>6.0209999999999999</v>
      </c>
      <c r="G1794">
        <v>2.15</v>
      </c>
      <c r="H1794">
        <v>1.53</v>
      </c>
      <c r="I1794">
        <v>39.5</v>
      </c>
      <c r="J1794">
        <v>35.200000000000003</v>
      </c>
      <c r="K1794">
        <v>23.216000000000001</v>
      </c>
      <c r="L1794">
        <v>1.45</v>
      </c>
      <c r="M1794">
        <v>3.22</v>
      </c>
      <c r="N1794">
        <v>9.5000000000000001E-2</v>
      </c>
      <c r="O1794">
        <v>2</v>
      </c>
      <c r="P1794">
        <v>0.33900000000000002</v>
      </c>
    </row>
    <row r="1795" spans="1:16" x14ac:dyDescent="0.25">
      <c r="A1795" s="1">
        <v>43798</v>
      </c>
      <c r="B1795">
        <v>8.8000000000000007</v>
      </c>
      <c r="C1795">
        <v>210.09</v>
      </c>
      <c r="D1795">
        <v>3.36</v>
      </c>
      <c r="E1795">
        <v>15.3</v>
      </c>
      <c r="F1795">
        <v>5.9930000000000003</v>
      </c>
      <c r="G1795">
        <v>2.14</v>
      </c>
      <c r="H1795">
        <v>1.44</v>
      </c>
      <c r="I1795">
        <v>39.950000000000003</v>
      </c>
      <c r="J1795">
        <v>35.200000000000003</v>
      </c>
      <c r="K1795">
        <v>23.69</v>
      </c>
      <c r="L1795">
        <v>1.45</v>
      </c>
      <c r="M1795">
        <v>3.22</v>
      </c>
      <c r="N1795">
        <v>9.5000000000000001E-2</v>
      </c>
      <c r="O1795">
        <v>2</v>
      </c>
      <c r="P1795">
        <v>0.34300000000000003</v>
      </c>
    </row>
    <row r="1796" spans="1:16" x14ac:dyDescent="0.25">
      <c r="A1796" s="1">
        <v>43801</v>
      </c>
      <c r="B1796">
        <v>8.8000000000000007</v>
      </c>
      <c r="C1796">
        <v>212</v>
      </c>
      <c r="D1796">
        <v>3.36</v>
      </c>
      <c r="E1796">
        <v>15.16</v>
      </c>
      <c r="F1796">
        <v>6.0869999999999997</v>
      </c>
      <c r="G1796">
        <v>2.15</v>
      </c>
      <c r="H1796">
        <v>1.48</v>
      </c>
      <c r="I1796">
        <v>40.450000000000003</v>
      </c>
      <c r="J1796">
        <v>34.700000000000003</v>
      </c>
      <c r="K1796">
        <v>23.7</v>
      </c>
      <c r="L1796">
        <v>1.48</v>
      </c>
      <c r="M1796">
        <v>3.22</v>
      </c>
      <c r="N1796">
        <v>9.5000000000000001E-2</v>
      </c>
      <c r="O1796">
        <v>2</v>
      </c>
      <c r="P1796">
        <v>0.33</v>
      </c>
    </row>
    <row r="1797" spans="1:16" x14ac:dyDescent="0.25">
      <c r="A1797" s="1">
        <v>43802</v>
      </c>
      <c r="B1797">
        <v>8.65</v>
      </c>
      <c r="C1797">
        <v>207.07</v>
      </c>
      <c r="D1797">
        <v>3.37</v>
      </c>
      <c r="E1797">
        <v>15.04</v>
      </c>
      <c r="F1797">
        <v>6.04</v>
      </c>
      <c r="G1797">
        <v>2.12</v>
      </c>
      <c r="H1797">
        <v>1.47</v>
      </c>
      <c r="I1797">
        <v>40.450000000000003</v>
      </c>
      <c r="J1797">
        <v>34.909999999999997</v>
      </c>
      <c r="K1797">
        <v>23.7</v>
      </c>
      <c r="L1797">
        <v>1.42</v>
      </c>
      <c r="M1797">
        <v>3.15</v>
      </c>
      <c r="N1797">
        <v>9.4E-2</v>
      </c>
      <c r="O1797">
        <v>1.95</v>
      </c>
      <c r="P1797">
        <v>0.313</v>
      </c>
    </row>
    <row r="1798" spans="1:16" x14ac:dyDescent="0.25">
      <c r="A1798" s="1">
        <v>43803</v>
      </c>
      <c r="B1798">
        <v>8.5</v>
      </c>
      <c r="C1798">
        <v>207.78</v>
      </c>
      <c r="D1798">
        <v>3.36</v>
      </c>
      <c r="E1798">
        <v>15.12</v>
      </c>
      <c r="F1798">
        <v>5.9930000000000003</v>
      </c>
      <c r="G1798">
        <v>2.1</v>
      </c>
      <c r="H1798">
        <v>1.45</v>
      </c>
      <c r="I1798">
        <v>39.54</v>
      </c>
      <c r="J1798">
        <v>34.909999999999997</v>
      </c>
      <c r="K1798">
        <v>23.452999999999999</v>
      </c>
      <c r="L1798">
        <v>1.41</v>
      </c>
      <c r="M1798">
        <v>3.15</v>
      </c>
      <c r="N1798">
        <v>9.2999999999999999E-2</v>
      </c>
      <c r="O1798">
        <v>1.93</v>
      </c>
      <c r="P1798">
        <v>0.33500000000000002</v>
      </c>
    </row>
    <row r="1799" spans="1:16" x14ac:dyDescent="0.25">
      <c r="A1799" s="1">
        <v>43804</v>
      </c>
      <c r="B1799">
        <v>8.5</v>
      </c>
      <c r="C1799">
        <v>205</v>
      </c>
      <c r="D1799">
        <v>3.37</v>
      </c>
      <c r="E1799">
        <v>15.15</v>
      </c>
      <c r="F1799">
        <v>6.04</v>
      </c>
      <c r="G1799">
        <v>2.12</v>
      </c>
      <c r="H1799">
        <v>1.42</v>
      </c>
      <c r="I1799">
        <v>39.4</v>
      </c>
      <c r="J1799">
        <v>36</v>
      </c>
      <c r="K1799">
        <v>23.7</v>
      </c>
      <c r="L1799">
        <v>1.41</v>
      </c>
      <c r="M1799">
        <v>3.15</v>
      </c>
      <c r="N1799">
        <v>9.0999999999999998E-2</v>
      </c>
      <c r="O1799">
        <v>1.93</v>
      </c>
      <c r="P1799">
        <v>0.33500000000000002</v>
      </c>
    </row>
    <row r="1800" spans="1:16" x14ac:dyDescent="0.25">
      <c r="A1800" s="1">
        <v>43805</v>
      </c>
      <c r="B1800">
        <v>8.5399999999999991</v>
      </c>
      <c r="C1800">
        <v>208.29</v>
      </c>
      <c r="D1800">
        <v>3.4</v>
      </c>
      <c r="E1800">
        <v>14.8</v>
      </c>
      <c r="F1800">
        <v>6.1</v>
      </c>
      <c r="G1800">
        <v>2.12</v>
      </c>
      <c r="H1800">
        <v>1.48</v>
      </c>
      <c r="I1800">
        <v>39.340000000000003</v>
      </c>
      <c r="J1800">
        <v>36</v>
      </c>
      <c r="K1800">
        <v>23.7</v>
      </c>
      <c r="L1800">
        <v>1.42</v>
      </c>
      <c r="M1800">
        <v>3.15</v>
      </c>
      <c r="N1800">
        <v>9.1999999999999998E-2</v>
      </c>
      <c r="O1800">
        <v>2</v>
      </c>
      <c r="P1800">
        <v>0.34</v>
      </c>
    </row>
    <row r="1801" spans="1:16" x14ac:dyDescent="0.25">
      <c r="A1801" s="1">
        <v>43808</v>
      </c>
      <c r="B1801">
        <v>8.6199999999999992</v>
      </c>
      <c r="C1801">
        <v>207.3</v>
      </c>
      <c r="D1801">
        <v>3.4</v>
      </c>
      <c r="E1801">
        <v>14.66</v>
      </c>
      <c r="F1801">
        <v>6.1</v>
      </c>
      <c r="G1801">
        <v>2.0699999999999998</v>
      </c>
      <c r="H1801">
        <v>1.46</v>
      </c>
      <c r="I1801">
        <v>39</v>
      </c>
      <c r="J1801">
        <v>35.1</v>
      </c>
      <c r="K1801">
        <v>23.68</v>
      </c>
      <c r="L1801">
        <v>1.42</v>
      </c>
      <c r="M1801">
        <v>3.15</v>
      </c>
      <c r="N1801">
        <v>9.5000000000000001E-2</v>
      </c>
      <c r="O1801">
        <v>1.96</v>
      </c>
      <c r="P1801">
        <v>0.35</v>
      </c>
    </row>
    <row r="1802" spans="1:16" x14ac:dyDescent="0.25">
      <c r="A1802" s="1">
        <v>43809</v>
      </c>
      <c r="B1802">
        <v>8.9499999999999993</v>
      </c>
      <c r="C1802">
        <v>203.5</v>
      </c>
      <c r="D1802">
        <v>3.4</v>
      </c>
      <c r="E1802">
        <v>14.78</v>
      </c>
      <c r="F1802">
        <v>6.05</v>
      </c>
      <c r="G1802">
        <v>2.06</v>
      </c>
      <c r="H1802">
        <v>1.5</v>
      </c>
      <c r="I1802">
        <v>39.15</v>
      </c>
      <c r="J1802">
        <v>35.1</v>
      </c>
      <c r="K1802">
        <v>23.6</v>
      </c>
      <c r="L1802">
        <v>1.45</v>
      </c>
      <c r="M1802">
        <v>3.15</v>
      </c>
      <c r="N1802">
        <v>9.8000000000000004E-2</v>
      </c>
      <c r="O1802">
        <v>2</v>
      </c>
      <c r="P1802">
        <v>0.39</v>
      </c>
    </row>
    <row r="1803" spans="1:16" x14ac:dyDescent="0.25">
      <c r="A1803" s="1">
        <v>43810</v>
      </c>
      <c r="B1803">
        <v>8.8000000000000007</v>
      </c>
      <c r="C1803">
        <v>204.55</v>
      </c>
      <c r="D1803">
        <v>3.37</v>
      </c>
      <c r="E1803">
        <v>14.71</v>
      </c>
      <c r="F1803">
        <v>6</v>
      </c>
      <c r="G1803">
        <v>2.0499999999999998</v>
      </c>
      <c r="H1803">
        <v>1.45</v>
      </c>
      <c r="I1803">
        <v>39.19</v>
      </c>
      <c r="J1803">
        <v>35.1</v>
      </c>
      <c r="K1803">
        <v>23.5</v>
      </c>
      <c r="L1803">
        <v>1.61</v>
      </c>
      <c r="M1803">
        <v>3.26</v>
      </c>
      <c r="N1803">
        <v>9.8000000000000004E-2</v>
      </c>
      <c r="O1803">
        <v>2</v>
      </c>
      <c r="P1803">
        <v>0.41799999999999998</v>
      </c>
    </row>
    <row r="1804" spans="1:16" x14ac:dyDescent="0.25">
      <c r="A1804" s="1">
        <v>43811</v>
      </c>
      <c r="B1804">
        <v>8.75</v>
      </c>
      <c r="C1804">
        <v>208.25</v>
      </c>
      <c r="D1804">
        <v>3.37</v>
      </c>
      <c r="E1804">
        <v>14.84</v>
      </c>
      <c r="F1804">
        <v>5.85</v>
      </c>
      <c r="G1804">
        <v>2.04</v>
      </c>
      <c r="H1804">
        <v>1.5</v>
      </c>
      <c r="I1804">
        <v>39.19</v>
      </c>
      <c r="J1804">
        <v>35.11</v>
      </c>
      <c r="K1804">
        <v>23.22</v>
      </c>
      <c r="L1804">
        <v>1.58</v>
      </c>
      <c r="M1804">
        <v>3.26</v>
      </c>
      <c r="N1804">
        <v>0.10100000000000001</v>
      </c>
      <c r="O1804">
        <v>1.96</v>
      </c>
      <c r="P1804">
        <v>0.43</v>
      </c>
    </row>
    <row r="1805" spans="1:16" x14ac:dyDescent="0.25">
      <c r="A1805" s="1">
        <v>43812</v>
      </c>
      <c r="B1805">
        <v>8.75</v>
      </c>
      <c r="C1805">
        <v>207.25</v>
      </c>
      <c r="D1805">
        <v>3.37</v>
      </c>
      <c r="E1805">
        <v>14.84</v>
      </c>
      <c r="F1805">
        <v>6</v>
      </c>
      <c r="G1805">
        <v>2.04</v>
      </c>
      <c r="H1805">
        <v>1.48</v>
      </c>
      <c r="I1805">
        <v>40.049999999999997</v>
      </c>
      <c r="J1805">
        <v>35.11</v>
      </c>
      <c r="K1805">
        <v>23.6</v>
      </c>
      <c r="L1805">
        <v>1.58</v>
      </c>
      <c r="M1805">
        <v>3.4</v>
      </c>
      <c r="N1805">
        <v>0.1</v>
      </c>
      <c r="O1805">
        <v>1.96</v>
      </c>
      <c r="P1805">
        <v>0.42199999999999999</v>
      </c>
    </row>
    <row r="1806" spans="1:16" x14ac:dyDescent="0.25">
      <c r="A1806" s="1">
        <v>43815</v>
      </c>
      <c r="B1806">
        <v>8.6999999999999993</v>
      </c>
      <c r="C1806">
        <v>208.65</v>
      </c>
      <c r="D1806">
        <v>3.37</v>
      </c>
      <c r="E1806">
        <v>14.41</v>
      </c>
      <c r="F1806">
        <v>5.95</v>
      </c>
      <c r="G1806">
        <v>2.1</v>
      </c>
      <c r="H1806">
        <v>1.5</v>
      </c>
      <c r="I1806">
        <v>40.049999999999997</v>
      </c>
      <c r="J1806">
        <v>35.25</v>
      </c>
      <c r="K1806">
        <v>23.68</v>
      </c>
      <c r="L1806">
        <v>1.58</v>
      </c>
      <c r="M1806">
        <v>3.4</v>
      </c>
      <c r="N1806">
        <v>0.1</v>
      </c>
      <c r="O1806">
        <v>1.98</v>
      </c>
      <c r="P1806">
        <v>0.39700000000000002</v>
      </c>
    </row>
    <row r="1807" spans="1:16" x14ac:dyDescent="0.25">
      <c r="A1807" s="1">
        <v>43816</v>
      </c>
      <c r="B1807">
        <v>8.6999999999999993</v>
      </c>
      <c r="C1807">
        <v>209.93</v>
      </c>
      <c r="D1807">
        <v>3.35</v>
      </c>
      <c r="E1807">
        <v>14.7</v>
      </c>
      <c r="F1807">
        <v>6.01</v>
      </c>
      <c r="G1807">
        <v>2.11</v>
      </c>
      <c r="H1807">
        <v>1.46</v>
      </c>
      <c r="I1807">
        <v>40.35</v>
      </c>
      <c r="J1807">
        <v>35.36</v>
      </c>
      <c r="K1807">
        <v>24</v>
      </c>
      <c r="L1807">
        <v>1.58</v>
      </c>
      <c r="M1807">
        <v>3.45</v>
      </c>
      <c r="N1807">
        <v>9.6000000000000002E-2</v>
      </c>
      <c r="O1807">
        <v>1.94</v>
      </c>
      <c r="P1807">
        <v>0.40500000000000003</v>
      </c>
    </row>
    <row r="1808" spans="1:16" x14ac:dyDescent="0.25">
      <c r="A1808" s="1">
        <v>43817</v>
      </c>
      <c r="B1808">
        <v>8.7899999999999991</v>
      </c>
      <c r="C1808">
        <v>211.5</v>
      </c>
      <c r="D1808">
        <v>3.35</v>
      </c>
      <c r="E1808">
        <v>14.8</v>
      </c>
      <c r="F1808">
        <v>6.11</v>
      </c>
      <c r="G1808">
        <v>2.11</v>
      </c>
      <c r="H1808">
        <v>1.49</v>
      </c>
      <c r="I1808">
        <v>41</v>
      </c>
      <c r="J1808">
        <v>35.5</v>
      </c>
      <c r="K1808">
        <v>24.2</v>
      </c>
      <c r="L1808">
        <v>1.56</v>
      </c>
      <c r="M1808">
        <v>3.4</v>
      </c>
      <c r="N1808">
        <v>0.1</v>
      </c>
      <c r="O1808">
        <v>1.94</v>
      </c>
      <c r="P1808">
        <v>0.42099999999999999</v>
      </c>
    </row>
    <row r="1809" spans="1:16" x14ac:dyDescent="0.25">
      <c r="A1809" s="1">
        <v>43818</v>
      </c>
      <c r="B1809">
        <v>9.1999999999999993</v>
      </c>
      <c r="C1809">
        <v>214.7</v>
      </c>
      <c r="D1809">
        <v>3.38</v>
      </c>
      <c r="E1809">
        <v>14.77</v>
      </c>
      <c r="F1809">
        <v>6.14</v>
      </c>
      <c r="G1809">
        <v>2.14</v>
      </c>
      <c r="H1809">
        <v>1.54</v>
      </c>
      <c r="I1809">
        <v>40.9</v>
      </c>
      <c r="J1809">
        <v>36.25</v>
      </c>
      <c r="K1809">
        <v>24.6</v>
      </c>
      <c r="L1809">
        <v>1.56</v>
      </c>
      <c r="M1809">
        <v>3.4</v>
      </c>
      <c r="N1809">
        <v>0.1</v>
      </c>
      <c r="O1809">
        <v>1.95</v>
      </c>
      <c r="P1809">
        <v>0.42499999999999999</v>
      </c>
    </row>
    <row r="1810" spans="1:16" x14ac:dyDescent="0.25">
      <c r="A1810" s="1">
        <v>43819</v>
      </c>
      <c r="B1810">
        <v>9.1999999999999993</v>
      </c>
      <c r="C1810">
        <v>213.7</v>
      </c>
      <c r="D1810">
        <v>3.4</v>
      </c>
      <c r="E1810">
        <v>14.77</v>
      </c>
      <c r="F1810">
        <v>6.15</v>
      </c>
      <c r="G1810">
        <v>2.13</v>
      </c>
      <c r="H1810">
        <v>1.6</v>
      </c>
      <c r="I1810">
        <v>41.25</v>
      </c>
      <c r="J1810">
        <v>35.700000000000003</v>
      </c>
      <c r="K1810">
        <v>25</v>
      </c>
      <c r="L1810">
        <v>1.56</v>
      </c>
      <c r="M1810">
        <v>3.4</v>
      </c>
      <c r="N1810">
        <v>0.1</v>
      </c>
      <c r="O1810">
        <v>1.95</v>
      </c>
      <c r="P1810">
        <v>0.42799999999999999</v>
      </c>
    </row>
    <row r="1811" spans="1:16" x14ac:dyDescent="0.25">
      <c r="A1811" s="1">
        <v>43822</v>
      </c>
      <c r="B1811">
        <v>9.1999999999999993</v>
      </c>
      <c r="C1811">
        <v>215</v>
      </c>
      <c r="D1811">
        <v>3.42</v>
      </c>
      <c r="E1811">
        <v>14.6</v>
      </c>
      <c r="F1811">
        <v>6.2</v>
      </c>
      <c r="G1811">
        <v>2.14</v>
      </c>
      <c r="H1811">
        <v>1.59</v>
      </c>
      <c r="I1811">
        <v>40.9</v>
      </c>
      <c r="J1811">
        <v>35.700000000000003</v>
      </c>
      <c r="K1811">
        <v>24.5</v>
      </c>
      <c r="L1811">
        <v>1.58</v>
      </c>
      <c r="M1811">
        <v>3.4</v>
      </c>
      <c r="N1811">
        <v>0.1</v>
      </c>
      <c r="O1811">
        <v>1.95</v>
      </c>
      <c r="P1811">
        <v>0.43</v>
      </c>
    </row>
    <row r="1812" spans="1:16" x14ac:dyDescent="0.25">
      <c r="A1812" s="1">
        <v>43823</v>
      </c>
      <c r="B1812">
        <v>9.19</v>
      </c>
      <c r="C1812">
        <v>215</v>
      </c>
      <c r="D1812">
        <v>3.42</v>
      </c>
      <c r="E1812">
        <v>14.89</v>
      </c>
      <c r="F1812">
        <v>6.25</v>
      </c>
      <c r="G1812">
        <v>2.15</v>
      </c>
      <c r="H1812">
        <v>1.6</v>
      </c>
      <c r="I1812">
        <v>40.9</v>
      </c>
      <c r="J1812">
        <v>35.700000000000003</v>
      </c>
      <c r="K1812">
        <v>25.5</v>
      </c>
      <c r="L1812">
        <v>1.58</v>
      </c>
      <c r="M1812">
        <v>3.4</v>
      </c>
      <c r="N1812">
        <v>9.9000000000000005E-2</v>
      </c>
      <c r="O1812">
        <v>1.94</v>
      </c>
      <c r="P1812">
        <v>0.43099999999999999</v>
      </c>
    </row>
    <row r="1813" spans="1:16" x14ac:dyDescent="0.25">
      <c r="A1813" s="1">
        <v>43825</v>
      </c>
      <c r="B1813">
        <v>9.1999999999999993</v>
      </c>
      <c r="C1813">
        <v>214.77</v>
      </c>
      <c r="D1813">
        <v>3.5</v>
      </c>
      <c r="E1813">
        <v>15.12</v>
      </c>
      <c r="F1813">
        <v>6.2</v>
      </c>
      <c r="G1813">
        <v>2.16</v>
      </c>
      <c r="H1813">
        <v>1.74</v>
      </c>
      <c r="I1813">
        <v>40.9</v>
      </c>
      <c r="J1813">
        <v>36</v>
      </c>
      <c r="K1813">
        <v>27</v>
      </c>
      <c r="L1813">
        <v>1.56</v>
      </c>
      <c r="M1813">
        <v>3.45</v>
      </c>
      <c r="N1813">
        <v>0.10100000000000001</v>
      </c>
      <c r="O1813">
        <v>2</v>
      </c>
      <c r="P1813">
        <v>0.42599999999999999</v>
      </c>
    </row>
    <row r="1814" spans="1:16" x14ac:dyDescent="0.25">
      <c r="A1814" s="1">
        <v>43826</v>
      </c>
      <c r="B1814">
        <v>9.1999999999999993</v>
      </c>
      <c r="C1814">
        <v>215</v>
      </c>
      <c r="D1814">
        <v>3.5</v>
      </c>
      <c r="E1814">
        <v>15</v>
      </c>
      <c r="F1814">
        <v>6.2</v>
      </c>
      <c r="G1814">
        <v>2.15</v>
      </c>
      <c r="H1814">
        <v>1.74</v>
      </c>
      <c r="I1814">
        <v>40.9</v>
      </c>
      <c r="J1814">
        <v>36</v>
      </c>
      <c r="K1814">
        <v>27</v>
      </c>
      <c r="L1814">
        <v>1.56</v>
      </c>
      <c r="M1814">
        <v>3.45</v>
      </c>
      <c r="N1814">
        <v>0.106</v>
      </c>
      <c r="O1814">
        <v>2</v>
      </c>
      <c r="P1814">
        <v>0.435</v>
      </c>
    </row>
    <row r="1815" spans="1:16" x14ac:dyDescent="0.25">
      <c r="A1815" s="1">
        <v>43829</v>
      </c>
      <c r="B1815">
        <v>9.1999999999999993</v>
      </c>
      <c r="C1815">
        <v>214.2</v>
      </c>
      <c r="D1815">
        <v>3.5</v>
      </c>
      <c r="E1815">
        <v>15.3</v>
      </c>
      <c r="F1815">
        <v>6.15</v>
      </c>
      <c r="G1815">
        <v>2.17</v>
      </c>
      <c r="H1815">
        <v>1.7</v>
      </c>
      <c r="I1815">
        <v>40.9</v>
      </c>
      <c r="J1815">
        <v>35.700000000000003</v>
      </c>
      <c r="K1815">
        <v>26.5</v>
      </c>
      <c r="L1815">
        <v>1.56</v>
      </c>
      <c r="M1815">
        <v>3.45</v>
      </c>
      <c r="N1815">
        <v>0.121</v>
      </c>
      <c r="O1815">
        <v>2</v>
      </c>
      <c r="P1815">
        <v>0.45</v>
      </c>
    </row>
    <row r="1816" spans="1:16" x14ac:dyDescent="0.25">
      <c r="A1816" s="1">
        <v>43830</v>
      </c>
      <c r="B1816">
        <v>9.1999999999999993</v>
      </c>
      <c r="C1816">
        <v>212.68</v>
      </c>
      <c r="D1816">
        <v>3.43</v>
      </c>
      <c r="E1816">
        <v>15.3</v>
      </c>
      <c r="F1816">
        <v>6.15</v>
      </c>
      <c r="G1816">
        <v>2.19</v>
      </c>
      <c r="H1816">
        <v>1.7</v>
      </c>
      <c r="I1816">
        <v>40.9</v>
      </c>
      <c r="J1816">
        <v>36</v>
      </c>
      <c r="K1816">
        <v>25.75</v>
      </c>
      <c r="L1816">
        <v>1.56</v>
      </c>
      <c r="M1816">
        <v>3.45</v>
      </c>
      <c r="N1816">
        <v>0.123</v>
      </c>
      <c r="O1816">
        <v>2</v>
      </c>
      <c r="P1816">
        <v>0.44500000000000001</v>
      </c>
    </row>
    <row r="1817" spans="1:16" x14ac:dyDescent="0.25">
      <c r="A1817" s="1">
        <v>43832</v>
      </c>
      <c r="B1817">
        <v>9.19</v>
      </c>
      <c r="C1817">
        <v>219</v>
      </c>
      <c r="D1817">
        <v>3.45</v>
      </c>
      <c r="E1817">
        <v>14.95</v>
      </c>
      <c r="F1817">
        <v>6.15</v>
      </c>
      <c r="G1817">
        <v>2.1800000000000002</v>
      </c>
      <c r="H1817">
        <v>1.69</v>
      </c>
      <c r="I1817">
        <v>42.36</v>
      </c>
      <c r="J1817">
        <v>37.5</v>
      </c>
      <c r="K1817">
        <v>25.75</v>
      </c>
      <c r="L1817">
        <v>1.56</v>
      </c>
      <c r="M1817">
        <v>3.45</v>
      </c>
      <c r="N1817">
        <v>0.121</v>
      </c>
      <c r="O1817">
        <v>2</v>
      </c>
      <c r="P1817">
        <v>0.44600000000000001</v>
      </c>
    </row>
    <row r="1818" spans="1:16" x14ac:dyDescent="0.25">
      <c r="A1818" s="1">
        <v>43833</v>
      </c>
      <c r="B1818">
        <v>9.15</v>
      </c>
      <c r="C1818">
        <v>217</v>
      </c>
      <c r="D1818">
        <v>3.45</v>
      </c>
      <c r="E1818">
        <v>14.6</v>
      </c>
      <c r="F1818">
        <v>6.08</v>
      </c>
      <c r="G1818">
        <v>2.17</v>
      </c>
      <c r="H1818">
        <v>1.7</v>
      </c>
      <c r="I1818">
        <v>41.7</v>
      </c>
      <c r="J1818">
        <v>37.75</v>
      </c>
      <c r="K1818">
        <v>25.81</v>
      </c>
      <c r="L1818">
        <v>1.56</v>
      </c>
      <c r="M1818">
        <v>3.45</v>
      </c>
      <c r="N1818">
        <v>0.128</v>
      </c>
      <c r="O1818">
        <v>2</v>
      </c>
      <c r="P1818">
        <v>0.46600000000000003</v>
      </c>
    </row>
    <row r="1819" spans="1:16" x14ac:dyDescent="0.25">
      <c r="A1819" s="1">
        <v>43836</v>
      </c>
      <c r="B1819">
        <v>9.15</v>
      </c>
      <c r="C1819">
        <v>214.83</v>
      </c>
      <c r="D1819">
        <v>3.45</v>
      </c>
      <c r="E1819">
        <v>14.6</v>
      </c>
      <c r="F1819">
        <v>6.1</v>
      </c>
      <c r="G1819">
        <v>2.14</v>
      </c>
      <c r="H1819">
        <v>1.7</v>
      </c>
      <c r="I1819">
        <v>41.9</v>
      </c>
      <c r="J1819">
        <v>38.5</v>
      </c>
      <c r="K1819">
        <v>25.81</v>
      </c>
      <c r="L1819">
        <v>1.55</v>
      </c>
      <c r="M1819">
        <v>3.45</v>
      </c>
      <c r="N1819">
        <v>0.124</v>
      </c>
      <c r="O1819">
        <v>2</v>
      </c>
      <c r="P1819">
        <v>0.49199999999999999</v>
      </c>
    </row>
    <row r="1820" spans="1:16" x14ac:dyDescent="0.25">
      <c r="A1820" s="1">
        <v>43837</v>
      </c>
      <c r="B1820">
        <v>9.1300000000000008</v>
      </c>
      <c r="C1820">
        <v>209.52</v>
      </c>
      <c r="D1820">
        <v>3.42</v>
      </c>
      <c r="E1820">
        <v>14.65</v>
      </c>
      <c r="F1820">
        <v>6.1</v>
      </c>
      <c r="G1820">
        <v>2.15</v>
      </c>
      <c r="H1820">
        <v>1.7</v>
      </c>
      <c r="I1820">
        <v>41.65</v>
      </c>
      <c r="J1820">
        <v>38.5</v>
      </c>
      <c r="K1820">
        <v>26</v>
      </c>
      <c r="L1820">
        <v>1.55</v>
      </c>
      <c r="M1820">
        <v>3.45</v>
      </c>
      <c r="N1820">
        <v>0.126</v>
      </c>
      <c r="O1820">
        <v>2</v>
      </c>
      <c r="P1820">
        <v>0.53</v>
      </c>
    </row>
    <row r="1821" spans="1:16" x14ac:dyDescent="0.25">
      <c r="A1821" s="1">
        <v>43838</v>
      </c>
      <c r="B1821">
        <v>9.08</v>
      </c>
      <c r="C1821">
        <v>210.75</v>
      </c>
      <c r="D1821">
        <v>3.45</v>
      </c>
      <c r="E1821">
        <v>14.2</v>
      </c>
      <c r="F1821">
        <v>6.05</v>
      </c>
      <c r="G1821">
        <v>2.12</v>
      </c>
      <c r="H1821">
        <v>1.7</v>
      </c>
      <c r="I1821">
        <v>41.52</v>
      </c>
      <c r="J1821">
        <v>39</v>
      </c>
      <c r="K1821">
        <v>26</v>
      </c>
      <c r="L1821">
        <v>1.55</v>
      </c>
      <c r="M1821">
        <v>3.45</v>
      </c>
      <c r="N1821">
        <v>0.121</v>
      </c>
      <c r="O1821">
        <v>2</v>
      </c>
      <c r="P1821">
        <v>0.51</v>
      </c>
    </row>
    <row r="1822" spans="1:16" x14ac:dyDescent="0.25">
      <c r="A1822" s="1">
        <v>43839</v>
      </c>
      <c r="B1822">
        <v>9</v>
      </c>
      <c r="C1822">
        <v>211.9</v>
      </c>
      <c r="D1822">
        <v>3.45</v>
      </c>
      <c r="E1822">
        <v>14.13</v>
      </c>
      <c r="F1822">
        <v>6.05</v>
      </c>
      <c r="G1822">
        <v>2.12</v>
      </c>
      <c r="H1822">
        <v>1.7</v>
      </c>
      <c r="I1822">
        <v>41.2</v>
      </c>
      <c r="J1822">
        <v>39.299999999999997</v>
      </c>
      <c r="K1822">
        <v>26</v>
      </c>
      <c r="L1822">
        <v>1.57</v>
      </c>
      <c r="M1822">
        <v>3.45</v>
      </c>
      <c r="N1822">
        <v>0.11899999999999999</v>
      </c>
      <c r="O1822">
        <v>1.98</v>
      </c>
      <c r="P1822">
        <v>0.5</v>
      </c>
    </row>
    <row r="1823" spans="1:16" x14ac:dyDescent="0.25">
      <c r="A1823" s="1">
        <v>43840</v>
      </c>
      <c r="B1823">
        <v>9</v>
      </c>
      <c r="C1823">
        <v>211</v>
      </c>
      <c r="D1823">
        <v>3.45</v>
      </c>
      <c r="E1823">
        <v>13.93</v>
      </c>
      <c r="F1823">
        <v>6.05</v>
      </c>
      <c r="G1823">
        <v>2.12</v>
      </c>
      <c r="H1823">
        <v>1.7</v>
      </c>
      <c r="I1823">
        <v>40.200000000000003</v>
      </c>
      <c r="J1823">
        <v>38.700000000000003</v>
      </c>
      <c r="K1823">
        <v>25.71</v>
      </c>
      <c r="L1823">
        <v>1.57</v>
      </c>
      <c r="M1823">
        <v>3.45</v>
      </c>
      <c r="N1823">
        <v>0.11700000000000001</v>
      </c>
      <c r="O1823">
        <v>1.95</v>
      </c>
      <c r="P1823">
        <v>0.52</v>
      </c>
    </row>
    <row r="1824" spans="1:16" x14ac:dyDescent="0.25">
      <c r="A1824" s="1">
        <v>43843</v>
      </c>
      <c r="B1824">
        <v>8.92</v>
      </c>
      <c r="C1824">
        <v>208.69</v>
      </c>
      <c r="D1824">
        <v>3.4</v>
      </c>
      <c r="E1824">
        <v>13.5</v>
      </c>
      <c r="F1824">
        <v>6.1</v>
      </c>
      <c r="G1824">
        <v>2.1</v>
      </c>
      <c r="H1824">
        <v>1.7</v>
      </c>
      <c r="I1824">
        <v>39.5</v>
      </c>
      <c r="J1824">
        <v>38.700000000000003</v>
      </c>
      <c r="K1824">
        <v>26</v>
      </c>
      <c r="L1824">
        <v>1.57</v>
      </c>
      <c r="M1824">
        <v>3.45</v>
      </c>
      <c r="N1824">
        <v>0.122</v>
      </c>
      <c r="O1824">
        <v>1.95</v>
      </c>
      <c r="P1824">
        <v>0.52</v>
      </c>
    </row>
    <row r="1825" spans="1:16" x14ac:dyDescent="0.25">
      <c r="A1825" s="1">
        <v>43844</v>
      </c>
      <c r="B1825">
        <v>9</v>
      </c>
      <c r="C1825">
        <v>210</v>
      </c>
      <c r="D1825">
        <v>3.45</v>
      </c>
      <c r="E1825">
        <v>13.79</v>
      </c>
      <c r="F1825">
        <v>6.07</v>
      </c>
      <c r="G1825">
        <v>2.09</v>
      </c>
      <c r="H1825">
        <v>1.69</v>
      </c>
      <c r="I1825">
        <v>39.909999999999997</v>
      </c>
      <c r="J1825">
        <v>38.700000000000003</v>
      </c>
      <c r="K1825">
        <v>26</v>
      </c>
      <c r="L1825">
        <v>1.6</v>
      </c>
      <c r="M1825">
        <v>3.45</v>
      </c>
      <c r="N1825">
        <v>0.125</v>
      </c>
      <c r="O1825">
        <v>1.96</v>
      </c>
      <c r="P1825">
        <v>0.53</v>
      </c>
    </row>
    <row r="1826" spans="1:16" x14ac:dyDescent="0.25">
      <c r="A1826" s="1">
        <v>43845</v>
      </c>
      <c r="B1826">
        <v>9.0500000000000007</v>
      </c>
      <c r="C1826">
        <v>213.2</v>
      </c>
      <c r="D1826">
        <v>3.44</v>
      </c>
      <c r="E1826">
        <v>13.87</v>
      </c>
      <c r="F1826">
        <v>6.07</v>
      </c>
      <c r="G1826">
        <v>2.0499999999999998</v>
      </c>
      <c r="H1826">
        <v>1.71</v>
      </c>
      <c r="I1826">
        <v>40</v>
      </c>
      <c r="J1826">
        <v>38.71</v>
      </c>
      <c r="K1826">
        <v>26.5</v>
      </c>
      <c r="L1826">
        <v>1.6</v>
      </c>
      <c r="M1826">
        <v>3.38</v>
      </c>
      <c r="N1826">
        <v>0.12</v>
      </c>
      <c r="O1826">
        <v>1.94</v>
      </c>
      <c r="P1826">
        <v>0.51</v>
      </c>
    </row>
    <row r="1827" spans="1:16" x14ac:dyDescent="0.25">
      <c r="A1827" s="1">
        <v>43846</v>
      </c>
      <c r="B1827">
        <v>9</v>
      </c>
      <c r="C1827">
        <v>214.9</v>
      </c>
      <c r="D1827">
        <v>3.42</v>
      </c>
      <c r="E1827">
        <v>13.65</v>
      </c>
      <c r="F1827">
        <v>6.07</v>
      </c>
      <c r="G1827">
        <v>2.12</v>
      </c>
      <c r="H1827">
        <v>1.71</v>
      </c>
      <c r="I1827">
        <v>41.95</v>
      </c>
      <c r="J1827">
        <v>39</v>
      </c>
      <c r="K1827">
        <v>26.45</v>
      </c>
      <c r="L1827">
        <v>1.62</v>
      </c>
      <c r="M1827">
        <v>3.42</v>
      </c>
      <c r="N1827">
        <v>0.12</v>
      </c>
      <c r="O1827">
        <v>1.95</v>
      </c>
      <c r="P1827">
        <v>0.53</v>
      </c>
    </row>
    <row r="1828" spans="1:16" x14ac:dyDescent="0.25">
      <c r="A1828" s="1">
        <v>43847</v>
      </c>
      <c r="B1828">
        <v>9</v>
      </c>
      <c r="C1828">
        <v>215.84</v>
      </c>
      <c r="D1828">
        <v>3.43</v>
      </c>
      <c r="E1828">
        <v>13.6</v>
      </c>
      <c r="F1828">
        <v>6.09</v>
      </c>
      <c r="G1828">
        <v>2.12</v>
      </c>
      <c r="H1828">
        <v>1.7</v>
      </c>
      <c r="I1828">
        <v>43.1</v>
      </c>
      <c r="J1828">
        <v>39</v>
      </c>
      <c r="K1828">
        <v>26.5</v>
      </c>
      <c r="L1828">
        <v>1.65</v>
      </c>
      <c r="M1828">
        <v>3.42</v>
      </c>
      <c r="N1828">
        <v>0.125</v>
      </c>
      <c r="O1828">
        <v>1.95</v>
      </c>
      <c r="P1828">
        <v>0.56000000000000005</v>
      </c>
    </row>
    <row r="1829" spans="1:16" x14ac:dyDescent="0.25">
      <c r="A1829" s="1">
        <v>43850</v>
      </c>
      <c r="B1829">
        <v>9</v>
      </c>
      <c r="C1829">
        <v>215.84</v>
      </c>
      <c r="D1829">
        <v>3.44</v>
      </c>
      <c r="E1829">
        <v>13.5</v>
      </c>
      <c r="F1829">
        <v>6.11</v>
      </c>
      <c r="G1829">
        <v>2.12</v>
      </c>
      <c r="H1829">
        <v>1.7</v>
      </c>
      <c r="I1829">
        <v>43.1</v>
      </c>
      <c r="J1829">
        <v>39</v>
      </c>
      <c r="K1829">
        <v>26.45</v>
      </c>
      <c r="L1829">
        <v>1.78</v>
      </c>
      <c r="M1829">
        <v>3.6</v>
      </c>
      <c r="N1829">
        <v>0.123</v>
      </c>
      <c r="O1829">
        <v>1.95</v>
      </c>
      <c r="P1829">
        <v>0.57999999999999996</v>
      </c>
    </row>
    <row r="1830" spans="1:16" x14ac:dyDescent="0.25">
      <c r="A1830" s="1">
        <v>43851</v>
      </c>
      <c r="B1830">
        <v>9.1</v>
      </c>
      <c r="C1830">
        <v>217.72</v>
      </c>
      <c r="D1830">
        <v>3.44</v>
      </c>
      <c r="E1830">
        <v>13.4</v>
      </c>
      <c r="F1830">
        <v>6.12</v>
      </c>
      <c r="G1830">
        <v>2.11</v>
      </c>
      <c r="H1830">
        <v>1.64</v>
      </c>
      <c r="I1830">
        <v>43.4</v>
      </c>
      <c r="J1830">
        <v>38.5</v>
      </c>
      <c r="K1830">
        <v>26.45</v>
      </c>
      <c r="L1830">
        <v>1.8</v>
      </c>
      <c r="M1830">
        <v>3.6</v>
      </c>
      <c r="N1830">
        <v>0.123</v>
      </c>
      <c r="O1830">
        <v>1.93</v>
      </c>
      <c r="P1830">
        <v>0.56999999999999995</v>
      </c>
    </row>
    <row r="1831" spans="1:16" x14ac:dyDescent="0.25">
      <c r="A1831" s="1">
        <v>43852</v>
      </c>
      <c r="B1831">
        <v>9.17</v>
      </c>
      <c r="C1831">
        <v>220</v>
      </c>
      <c r="D1831">
        <v>3.5</v>
      </c>
      <c r="E1831">
        <v>13.35</v>
      </c>
      <c r="F1831">
        <v>6.12</v>
      </c>
      <c r="G1831">
        <v>2.11</v>
      </c>
      <c r="H1831">
        <v>1.63</v>
      </c>
      <c r="I1831">
        <v>44.3</v>
      </c>
      <c r="J1831">
        <v>38.64</v>
      </c>
      <c r="K1831">
        <v>26.45</v>
      </c>
      <c r="L1831">
        <v>1.85</v>
      </c>
      <c r="M1831">
        <v>3.55</v>
      </c>
      <c r="N1831">
        <v>0.123</v>
      </c>
      <c r="O1831">
        <v>1.95</v>
      </c>
      <c r="P1831">
        <v>0.59</v>
      </c>
    </row>
    <row r="1832" spans="1:16" x14ac:dyDescent="0.25">
      <c r="A1832" s="1">
        <v>43853</v>
      </c>
      <c r="B1832">
        <v>9.1999999999999993</v>
      </c>
      <c r="C1832">
        <v>218.66</v>
      </c>
      <c r="D1832">
        <v>3.47</v>
      </c>
      <c r="E1832">
        <v>13.17</v>
      </c>
      <c r="F1832">
        <v>6.12</v>
      </c>
      <c r="G1832">
        <v>2.1</v>
      </c>
      <c r="H1832">
        <v>1.61</v>
      </c>
      <c r="I1832">
        <v>44.14</v>
      </c>
      <c r="J1832">
        <v>38.64</v>
      </c>
      <c r="K1832">
        <v>26.45</v>
      </c>
      <c r="L1832">
        <v>1.79</v>
      </c>
      <c r="M1832">
        <v>3.55</v>
      </c>
      <c r="N1832">
        <v>0.123</v>
      </c>
      <c r="O1832">
        <v>1.95</v>
      </c>
      <c r="P1832">
        <v>0.56999999999999995</v>
      </c>
    </row>
    <row r="1833" spans="1:16" x14ac:dyDescent="0.25">
      <c r="A1833" s="1">
        <v>43854</v>
      </c>
      <c r="B1833">
        <v>9.2200000000000006</v>
      </c>
      <c r="C1833">
        <v>216.82</v>
      </c>
      <c r="D1833">
        <v>3.44</v>
      </c>
      <c r="E1833">
        <v>13.18</v>
      </c>
      <c r="F1833">
        <v>6.07</v>
      </c>
      <c r="G1833">
        <v>2.1</v>
      </c>
      <c r="H1833">
        <v>1.59</v>
      </c>
      <c r="I1833">
        <v>44.05</v>
      </c>
      <c r="J1833">
        <v>38.549999999999997</v>
      </c>
      <c r="K1833">
        <v>26.45</v>
      </c>
      <c r="L1833">
        <v>1.77</v>
      </c>
      <c r="M1833">
        <v>3.53</v>
      </c>
      <c r="N1833">
        <v>0.12</v>
      </c>
      <c r="O1833">
        <v>1.94</v>
      </c>
      <c r="P1833">
        <v>0.56000000000000005</v>
      </c>
    </row>
    <row r="1834" spans="1:16" x14ac:dyDescent="0.25">
      <c r="A1834" s="1">
        <v>43857</v>
      </c>
      <c r="B1834">
        <v>9.19</v>
      </c>
      <c r="C1834">
        <v>212</v>
      </c>
      <c r="D1834">
        <v>3.42</v>
      </c>
      <c r="E1834">
        <v>12.8</v>
      </c>
      <c r="F1834">
        <v>6.08</v>
      </c>
      <c r="G1834">
        <v>2.0699999999999998</v>
      </c>
      <c r="H1834">
        <v>1.55</v>
      </c>
      <c r="I1834">
        <v>42.66</v>
      </c>
      <c r="J1834">
        <v>38.39</v>
      </c>
      <c r="K1834">
        <v>26</v>
      </c>
      <c r="L1834">
        <v>1.7</v>
      </c>
      <c r="M1834">
        <v>3.52</v>
      </c>
      <c r="N1834">
        <v>0.11899999999999999</v>
      </c>
      <c r="O1834">
        <v>1.94</v>
      </c>
      <c r="P1834">
        <v>0.54</v>
      </c>
    </row>
    <row r="1835" spans="1:16" x14ac:dyDescent="0.25">
      <c r="A1835" s="1">
        <v>43858</v>
      </c>
      <c r="B1835">
        <v>9.1999999999999993</v>
      </c>
      <c r="C1835">
        <v>213</v>
      </c>
      <c r="D1835">
        <v>3.45</v>
      </c>
      <c r="E1835">
        <v>12.4</v>
      </c>
      <c r="F1835">
        <v>6.08</v>
      </c>
      <c r="G1835">
        <v>2.0499999999999998</v>
      </c>
      <c r="H1835">
        <v>1.54</v>
      </c>
      <c r="I1835">
        <v>41.5</v>
      </c>
      <c r="J1835">
        <v>38.25</v>
      </c>
      <c r="K1835">
        <v>26.01</v>
      </c>
      <c r="L1835">
        <v>1.7</v>
      </c>
      <c r="M1835">
        <v>3.52</v>
      </c>
      <c r="N1835">
        <v>0.11899999999999999</v>
      </c>
      <c r="O1835">
        <v>1.92</v>
      </c>
      <c r="P1835">
        <v>0.53</v>
      </c>
    </row>
    <row r="1836" spans="1:16" x14ac:dyDescent="0.25">
      <c r="A1836" s="1">
        <v>43859</v>
      </c>
      <c r="B1836">
        <v>9.3000000000000007</v>
      </c>
      <c r="C1836">
        <v>212.6</v>
      </c>
      <c r="D1836">
        <v>3.45</v>
      </c>
      <c r="E1836">
        <v>12.75</v>
      </c>
      <c r="F1836">
        <v>6.14</v>
      </c>
      <c r="G1836">
        <v>2.0499999999999998</v>
      </c>
      <c r="H1836">
        <v>1.53</v>
      </c>
      <c r="I1836">
        <v>41.6</v>
      </c>
      <c r="J1836">
        <v>38.4</v>
      </c>
      <c r="K1836">
        <v>24.5</v>
      </c>
      <c r="L1836">
        <v>1.66</v>
      </c>
      <c r="M1836">
        <v>3.5</v>
      </c>
      <c r="N1836">
        <v>0.11899999999999999</v>
      </c>
      <c r="O1836">
        <v>1.92</v>
      </c>
      <c r="P1836">
        <v>0.52</v>
      </c>
    </row>
    <row r="1837" spans="1:16" x14ac:dyDescent="0.25">
      <c r="A1837" s="1">
        <v>43860</v>
      </c>
      <c r="B1837">
        <v>9.3000000000000007</v>
      </c>
      <c r="C1837">
        <v>210.4</v>
      </c>
      <c r="D1837">
        <v>3.45</v>
      </c>
      <c r="E1837">
        <v>12.84</v>
      </c>
      <c r="F1837">
        <v>6.14</v>
      </c>
      <c r="G1837">
        <v>2.0499999999999998</v>
      </c>
      <c r="H1837">
        <v>1.5</v>
      </c>
      <c r="I1837">
        <v>41.7</v>
      </c>
      <c r="J1837">
        <v>38.200000000000003</v>
      </c>
      <c r="K1837">
        <v>24</v>
      </c>
      <c r="L1837">
        <v>1.64</v>
      </c>
      <c r="M1837">
        <v>3.4</v>
      </c>
      <c r="N1837">
        <v>0.11899999999999999</v>
      </c>
      <c r="O1837">
        <v>1.92</v>
      </c>
      <c r="P1837">
        <v>0.49099999999999999</v>
      </c>
    </row>
    <row r="1838" spans="1:16" x14ac:dyDescent="0.25">
      <c r="A1838" s="1">
        <v>43861</v>
      </c>
      <c r="B1838">
        <v>9.1</v>
      </c>
      <c r="C1838">
        <v>206.8</v>
      </c>
      <c r="D1838">
        <v>3.4</v>
      </c>
      <c r="E1838">
        <v>12.8</v>
      </c>
      <c r="F1838">
        <v>6.14</v>
      </c>
      <c r="G1838">
        <v>2</v>
      </c>
      <c r="H1838">
        <v>1.53</v>
      </c>
      <c r="I1838">
        <v>42.15</v>
      </c>
      <c r="J1838">
        <v>37.6</v>
      </c>
      <c r="K1838">
        <v>24</v>
      </c>
      <c r="L1838">
        <v>1.65</v>
      </c>
      <c r="M1838">
        <v>3.4</v>
      </c>
      <c r="N1838">
        <v>0.11899999999999999</v>
      </c>
      <c r="O1838">
        <v>1.9</v>
      </c>
      <c r="P1838">
        <v>0.48199999999999998</v>
      </c>
    </row>
    <row r="1839" spans="1:16" x14ac:dyDescent="0.25">
      <c r="A1839" s="1">
        <v>43864</v>
      </c>
      <c r="B1839">
        <v>9.0500000000000007</v>
      </c>
      <c r="C1839">
        <v>209</v>
      </c>
      <c r="D1839">
        <v>3.38</v>
      </c>
      <c r="E1839">
        <v>12.9</v>
      </c>
      <c r="F1839">
        <v>6.1</v>
      </c>
      <c r="G1839">
        <v>2.0299999999999998</v>
      </c>
      <c r="H1839">
        <v>1.64</v>
      </c>
      <c r="I1839">
        <v>42.05</v>
      </c>
      <c r="J1839">
        <v>37.25</v>
      </c>
      <c r="K1839">
        <v>24</v>
      </c>
      <c r="L1839">
        <v>1.6</v>
      </c>
      <c r="M1839">
        <v>3.4</v>
      </c>
      <c r="N1839">
        <v>0.11</v>
      </c>
      <c r="O1839">
        <v>1.89</v>
      </c>
      <c r="P1839">
        <v>0.46</v>
      </c>
    </row>
    <row r="1840" spans="1:16" x14ac:dyDescent="0.25">
      <c r="A1840" s="1">
        <v>43865</v>
      </c>
      <c r="B1840">
        <v>9.1</v>
      </c>
      <c r="C1840">
        <v>212.5</v>
      </c>
      <c r="D1840">
        <v>3.37</v>
      </c>
      <c r="E1840">
        <v>13.13</v>
      </c>
      <c r="F1840">
        <v>6.15</v>
      </c>
      <c r="G1840">
        <v>2.1</v>
      </c>
      <c r="H1840">
        <v>1.81</v>
      </c>
      <c r="I1840">
        <v>42</v>
      </c>
      <c r="J1840">
        <v>37.75</v>
      </c>
      <c r="K1840">
        <v>25.5</v>
      </c>
      <c r="L1840">
        <v>1.64</v>
      </c>
      <c r="M1840">
        <v>3.5</v>
      </c>
      <c r="N1840">
        <v>0.115</v>
      </c>
      <c r="O1840">
        <v>1.9370000000000001</v>
      </c>
      <c r="P1840">
        <v>0.53</v>
      </c>
    </row>
    <row r="1841" spans="1:20" x14ac:dyDescent="0.25">
      <c r="A1841" s="1">
        <v>43866</v>
      </c>
      <c r="B1841">
        <v>9.15</v>
      </c>
      <c r="C1841">
        <v>215.57</v>
      </c>
      <c r="D1841">
        <v>3.45</v>
      </c>
      <c r="E1841">
        <v>13</v>
      </c>
      <c r="F1841">
        <v>6.18</v>
      </c>
      <c r="G1841">
        <v>2.11</v>
      </c>
      <c r="H1841">
        <v>1.85</v>
      </c>
      <c r="I1841">
        <v>42.45</v>
      </c>
      <c r="J1841">
        <v>38</v>
      </c>
      <c r="K1841">
        <v>26</v>
      </c>
      <c r="L1841">
        <v>1.65</v>
      </c>
      <c r="M1841">
        <v>3.5</v>
      </c>
      <c r="N1841">
        <v>0.115</v>
      </c>
      <c r="O1841">
        <v>1.9770000000000001</v>
      </c>
      <c r="P1841">
        <v>0.54</v>
      </c>
    </row>
    <row r="1842" spans="1:20" x14ac:dyDescent="0.25">
      <c r="A1842" s="1">
        <v>43867</v>
      </c>
      <c r="B1842">
        <v>9.15</v>
      </c>
      <c r="C1842">
        <v>203.3</v>
      </c>
      <c r="D1842">
        <v>3.44</v>
      </c>
      <c r="E1842">
        <v>12.92</v>
      </c>
      <c r="F1842">
        <v>6.18</v>
      </c>
      <c r="G1842">
        <v>2.1</v>
      </c>
      <c r="H1842">
        <v>1.8</v>
      </c>
      <c r="I1842">
        <v>42</v>
      </c>
      <c r="J1842">
        <v>38.75</v>
      </c>
      <c r="K1842">
        <v>26</v>
      </c>
      <c r="L1842">
        <v>1.65</v>
      </c>
      <c r="M1842">
        <v>3.5</v>
      </c>
      <c r="N1842">
        <v>0.115</v>
      </c>
      <c r="O1842">
        <v>1.9670000000000001</v>
      </c>
      <c r="P1842">
        <v>0.56000000000000005</v>
      </c>
    </row>
    <row r="1843" spans="1:20" x14ac:dyDescent="0.25">
      <c r="A1843" s="1">
        <v>43868</v>
      </c>
      <c r="B1843">
        <v>9.15</v>
      </c>
      <c r="C1843">
        <v>201.25</v>
      </c>
      <c r="D1843">
        <v>3.44</v>
      </c>
      <c r="E1843">
        <v>12.44</v>
      </c>
      <c r="F1843">
        <v>6.15</v>
      </c>
      <c r="G1843">
        <v>2.09</v>
      </c>
      <c r="H1843">
        <v>1.78</v>
      </c>
      <c r="I1843">
        <v>42</v>
      </c>
      <c r="J1843">
        <v>38.5</v>
      </c>
      <c r="K1843">
        <v>25.52</v>
      </c>
      <c r="L1843">
        <v>1.65</v>
      </c>
      <c r="M1843">
        <v>3.5</v>
      </c>
      <c r="N1843">
        <v>0.115</v>
      </c>
      <c r="O1843">
        <v>1.9670000000000001</v>
      </c>
      <c r="P1843">
        <v>0.54</v>
      </c>
    </row>
    <row r="1844" spans="1:20" x14ac:dyDescent="0.25">
      <c r="A1844" s="1">
        <v>43871</v>
      </c>
      <c r="B1844">
        <v>9.1999999999999993</v>
      </c>
      <c r="C1844">
        <v>204.4</v>
      </c>
      <c r="D1844">
        <v>3.44</v>
      </c>
      <c r="E1844">
        <v>12.6</v>
      </c>
      <c r="F1844">
        <v>6.24</v>
      </c>
      <c r="G1844">
        <v>2.1</v>
      </c>
      <c r="H1844">
        <v>1.73</v>
      </c>
      <c r="I1844">
        <v>41.3</v>
      </c>
      <c r="J1844">
        <v>38</v>
      </c>
      <c r="K1844">
        <v>25.49</v>
      </c>
      <c r="L1844">
        <v>1.65</v>
      </c>
      <c r="M1844">
        <v>3.5</v>
      </c>
      <c r="N1844">
        <v>0.115</v>
      </c>
      <c r="O1844">
        <v>1.9570000000000001</v>
      </c>
      <c r="P1844">
        <v>0.54</v>
      </c>
    </row>
    <row r="1845" spans="1:20" x14ac:dyDescent="0.25">
      <c r="A1845" s="1">
        <v>43872</v>
      </c>
      <c r="B1845">
        <v>9.25</v>
      </c>
      <c r="C1845">
        <v>204.41</v>
      </c>
      <c r="D1845">
        <v>3.39</v>
      </c>
      <c r="E1845">
        <v>12.5</v>
      </c>
      <c r="F1845">
        <v>6.22</v>
      </c>
      <c r="G1845">
        <v>2.0499999999999998</v>
      </c>
      <c r="H1845">
        <v>1.71</v>
      </c>
      <c r="I1845">
        <v>41.2</v>
      </c>
      <c r="J1845">
        <v>38.1</v>
      </c>
      <c r="K1845">
        <v>25.5</v>
      </c>
      <c r="L1845">
        <v>1.65</v>
      </c>
      <c r="M1845">
        <v>3.5</v>
      </c>
      <c r="N1845">
        <v>0.115</v>
      </c>
      <c r="O1845">
        <v>1.9670000000000001</v>
      </c>
      <c r="P1845">
        <v>0.55000000000000004</v>
      </c>
    </row>
    <row r="1846" spans="1:20" x14ac:dyDescent="0.25">
      <c r="A1846" s="1">
        <v>43873</v>
      </c>
      <c r="B1846">
        <v>9.15</v>
      </c>
      <c r="C1846">
        <v>210.5</v>
      </c>
      <c r="D1846">
        <v>3.35</v>
      </c>
      <c r="E1846">
        <v>12.67</v>
      </c>
      <c r="F1846">
        <v>6.15</v>
      </c>
      <c r="G1846">
        <v>2.0699999999999998</v>
      </c>
      <c r="H1846">
        <v>1.7</v>
      </c>
      <c r="I1846">
        <v>41.71</v>
      </c>
      <c r="J1846">
        <v>37.9</v>
      </c>
      <c r="K1846">
        <v>25.5</v>
      </c>
      <c r="L1846">
        <v>1.65</v>
      </c>
      <c r="M1846">
        <v>3.5</v>
      </c>
      <c r="N1846">
        <v>0.107</v>
      </c>
      <c r="O1846">
        <v>1.9570000000000001</v>
      </c>
      <c r="P1846">
        <v>0.52</v>
      </c>
    </row>
    <row r="1847" spans="1:20" x14ac:dyDescent="0.25">
      <c r="A1847" s="1">
        <v>43874</v>
      </c>
      <c r="B1847">
        <v>9.15</v>
      </c>
      <c r="C1847">
        <v>207.7</v>
      </c>
      <c r="D1847">
        <v>3.35</v>
      </c>
      <c r="E1847">
        <v>12.69</v>
      </c>
      <c r="F1847">
        <v>6.09</v>
      </c>
      <c r="G1847">
        <v>2.0499999999999998</v>
      </c>
      <c r="H1847">
        <v>1.8</v>
      </c>
      <c r="I1847">
        <v>42.39</v>
      </c>
      <c r="J1847">
        <v>37.5</v>
      </c>
      <c r="K1847">
        <v>25.5</v>
      </c>
      <c r="L1847">
        <v>1.65</v>
      </c>
      <c r="M1847">
        <v>3.5</v>
      </c>
      <c r="N1847">
        <v>0.107</v>
      </c>
      <c r="O1847">
        <v>1.9570000000000001</v>
      </c>
      <c r="P1847">
        <v>0.51</v>
      </c>
    </row>
    <row r="1848" spans="1:20" x14ac:dyDescent="0.25">
      <c r="A1848" s="1">
        <v>43875</v>
      </c>
      <c r="B1848">
        <v>9.15</v>
      </c>
      <c r="C1848">
        <v>203.94</v>
      </c>
      <c r="D1848">
        <v>3.37</v>
      </c>
      <c r="E1848">
        <v>12.26</v>
      </c>
      <c r="F1848">
        <v>6.1</v>
      </c>
      <c r="G1848">
        <v>2.0699999999999998</v>
      </c>
      <c r="H1848">
        <v>1.81</v>
      </c>
      <c r="I1848">
        <v>43</v>
      </c>
      <c r="J1848">
        <v>38</v>
      </c>
      <c r="K1848">
        <v>26</v>
      </c>
      <c r="L1848">
        <v>1.65</v>
      </c>
      <c r="M1848">
        <v>3.5</v>
      </c>
      <c r="N1848">
        <v>0.10299999999999999</v>
      </c>
      <c r="O1848">
        <v>1.9570000000000001</v>
      </c>
      <c r="P1848">
        <v>0.52</v>
      </c>
    </row>
    <row r="1849" spans="1:20" x14ac:dyDescent="0.25">
      <c r="A1849" s="1">
        <v>43878</v>
      </c>
      <c r="B1849">
        <v>9.1199999999999992</v>
      </c>
      <c r="C1849">
        <v>204</v>
      </c>
      <c r="D1849">
        <v>3.37</v>
      </c>
      <c r="E1849">
        <v>12.26</v>
      </c>
      <c r="F1849">
        <v>6.09</v>
      </c>
      <c r="G1849">
        <v>2.1</v>
      </c>
      <c r="H1849">
        <v>1.8</v>
      </c>
      <c r="I1849">
        <v>43</v>
      </c>
      <c r="J1849">
        <v>38</v>
      </c>
      <c r="K1849">
        <v>26.01</v>
      </c>
      <c r="L1849">
        <v>1.65</v>
      </c>
      <c r="M1849">
        <v>3.5</v>
      </c>
      <c r="N1849">
        <v>0.10299999999999999</v>
      </c>
      <c r="O1849">
        <v>1.9570000000000001</v>
      </c>
      <c r="P1849">
        <v>0.52</v>
      </c>
    </row>
    <row r="1850" spans="1:20" x14ac:dyDescent="0.25">
      <c r="A1850" s="1">
        <v>43879</v>
      </c>
      <c r="B1850">
        <v>9.07</v>
      </c>
      <c r="C1850">
        <v>202</v>
      </c>
      <c r="D1850">
        <v>3.4</v>
      </c>
      <c r="E1850">
        <v>12.12</v>
      </c>
      <c r="F1850">
        <v>6.1</v>
      </c>
      <c r="G1850">
        <v>2.09</v>
      </c>
      <c r="H1850">
        <v>1.76</v>
      </c>
      <c r="I1850">
        <v>42</v>
      </c>
      <c r="J1850">
        <v>37.5</v>
      </c>
      <c r="K1850">
        <v>25.75</v>
      </c>
      <c r="L1850">
        <v>1.66</v>
      </c>
      <c r="M1850">
        <v>3.5</v>
      </c>
      <c r="N1850">
        <v>0.10299999999999999</v>
      </c>
      <c r="O1850">
        <v>1.97</v>
      </c>
      <c r="P1850">
        <v>0.51</v>
      </c>
    </row>
    <row r="1851" spans="1:20" x14ac:dyDescent="0.25">
      <c r="A1851" s="1">
        <v>43880</v>
      </c>
      <c r="B1851">
        <v>9.1</v>
      </c>
      <c r="C1851">
        <v>201.5</v>
      </c>
      <c r="D1851">
        <v>3.4</v>
      </c>
      <c r="E1851">
        <v>12.42</v>
      </c>
      <c r="F1851">
        <v>6.15</v>
      </c>
      <c r="G1851">
        <v>2.1</v>
      </c>
      <c r="H1851">
        <v>1.76</v>
      </c>
      <c r="I1851">
        <v>41.8</v>
      </c>
      <c r="J1851">
        <v>37.5</v>
      </c>
      <c r="K1851">
        <v>25.75</v>
      </c>
      <c r="L1851">
        <v>1.66</v>
      </c>
      <c r="M1851">
        <v>3.5</v>
      </c>
      <c r="N1851">
        <v>0.108</v>
      </c>
      <c r="O1851">
        <v>1.97</v>
      </c>
      <c r="P1851">
        <v>0.53</v>
      </c>
    </row>
    <row r="1852" spans="1:20" x14ac:dyDescent="0.25">
      <c r="A1852" s="1">
        <v>43881</v>
      </c>
      <c r="B1852">
        <v>9.1</v>
      </c>
      <c r="C1852">
        <v>199.01</v>
      </c>
      <c r="D1852">
        <v>3.41</v>
      </c>
      <c r="E1852">
        <v>12.51</v>
      </c>
      <c r="F1852">
        <v>6.15</v>
      </c>
      <c r="G1852">
        <v>2.11</v>
      </c>
      <c r="H1852">
        <v>1.77</v>
      </c>
      <c r="I1852">
        <v>41.8</v>
      </c>
      <c r="J1852">
        <v>37.5</v>
      </c>
      <c r="K1852">
        <v>25.64</v>
      </c>
      <c r="L1852">
        <v>1.66</v>
      </c>
      <c r="M1852">
        <v>3.43</v>
      </c>
      <c r="N1852">
        <v>0.105</v>
      </c>
      <c r="O1852">
        <v>1.97</v>
      </c>
      <c r="P1852">
        <v>0.53</v>
      </c>
    </row>
    <row r="1853" spans="1:20" x14ac:dyDescent="0.25">
      <c r="A1853" s="1">
        <v>43882</v>
      </c>
      <c r="B1853">
        <v>9.1</v>
      </c>
      <c r="C1853">
        <v>199</v>
      </c>
      <c r="D1853">
        <v>3.41</v>
      </c>
      <c r="E1853">
        <v>12.46</v>
      </c>
      <c r="F1853">
        <v>6.15</v>
      </c>
      <c r="G1853">
        <v>2.1</v>
      </c>
      <c r="H1853">
        <v>1.8</v>
      </c>
      <c r="I1853">
        <v>41.4</v>
      </c>
      <c r="J1853">
        <v>37.5</v>
      </c>
      <c r="K1853">
        <v>25.45</v>
      </c>
      <c r="L1853">
        <v>1.64</v>
      </c>
      <c r="M1853">
        <v>3.42</v>
      </c>
      <c r="N1853">
        <v>0.10299999999999999</v>
      </c>
      <c r="O1853">
        <v>1.97</v>
      </c>
      <c r="P1853">
        <v>0.52</v>
      </c>
    </row>
    <row r="1854" spans="1:20" x14ac:dyDescent="0.25">
      <c r="A1854" s="1">
        <v>43885</v>
      </c>
      <c r="B1854">
        <v>9.0500000000000007</v>
      </c>
      <c r="C1854">
        <v>194.11</v>
      </c>
      <c r="D1854">
        <v>3.36</v>
      </c>
      <c r="E1854">
        <v>12.2</v>
      </c>
      <c r="F1854">
        <v>6.1</v>
      </c>
      <c r="G1854">
        <v>2.0499999999999998</v>
      </c>
      <c r="H1854">
        <v>1.85</v>
      </c>
      <c r="I1854">
        <v>40.880000000000003</v>
      </c>
      <c r="J1854">
        <v>36.75</v>
      </c>
      <c r="K1854">
        <v>25.45</v>
      </c>
      <c r="L1854">
        <v>1.61</v>
      </c>
      <c r="M1854">
        <v>3.42</v>
      </c>
      <c r="N1854">
        <v>9.9000000000000005E-2</v>
      </c>
      <c r="O1854">
        <v>1.96</v>
      </c>
      <c r="P1854">
        <v>0.5</v>
      </c>
    </row>
    <row r="1855" spans="1:20" x14ac:dyDescent="0.25">
      <c r="A1855" s="1">
        <v>43886</v>
      </c>
      <c r="B1855">
        <v>9</v>
      </c>
      <c r="C1855">
        <v>187.85</v>
      </c>
      <c r="D1855">
        <v>3.36</v>
      </c>
      <c r="E1855">
        <v>11.8</v>
      </c>
      <c r="F1855">
        <v>6.05</v>
      </c>
      <c r="G1855">
        <v>2.0299999999999998</v>
      </c>
      <c r="H1855">
        <v>1.78</v>
      </c>
      <c r="I1855">
        <v>40.6</v>
      </c>
      <c r="J1855">
        <v>36.4</v>
      </c>
      <c r="K1855">
        <v>25</v>
      </c>
      <c r="L1855">
        <v>1.6</v>
      </c>
      <c r="M1855">
        <v>3.35</v>
      </c>
      <c r="N1855">
        <v>9.7000000000000003E-2</v>
      </c>
      <c r="O1855">
        <v>1.95</v>
      </c>
      <c r="P1855">
        <v>0.48</v>
      </c>
      <c r="S1855">
        <f>MIN(C1855:C1930)</f>
        <v>117.94</v>
      </c>
      <c r="T1855" s="1">
        <f>INDEX(A1855:C1930,MATCH(S1855,C1855:C1930,0),1)</f>
        <v>43917</v>
      </c>
    </row>
    <row r="1856" spans="1:20" x14ac:dyDescent="0.25">
      <c r="A1856" s="1">
        <v>43887</v>
      </c>
      <c r="B1856">
        <v>8.9</v>
      </c>
      <c r="C1856">
        <v>189.6</v>
      </c>
      <c r="D1856">
        <v>3.37</v>
      </c>
      <c r="E1856">
        <v>12.4</v>
      </c>
      <c r="F1856">
        <v>6</v>
      </c>
      <c r="G1856">
        <v>2</v>
      </c>
      <c r="H1856">
        <v>1.78</v>
      </c>
      <c r="I1856">
        <v>40</v>
      </c>
      <c r="J1856">
        <v>35.950000000000003</v>
      </c>
      <c r="K1856">
        <v>25</v>
      </c>
      <c r="L1856">
        <v>1.58</v>
      </c>
      <c r="M1856">
        <v>3.35</v>
      </c>
      <c r="N1856">
        <v>9.5000000000000001E-2</v>
      </c>
      <c r="O1856">
        <v>1.94</v>
      </c>
      <c r="P1856">
        <v>0.46600000000000003</v>
      </c>
    </row>
    <row r="1857" spans="1:16" x14ac:dyDescent="0.25">
      <c r="A1857" s="1">
        <v>43888</v>
      </c>
      <c r="B1857">
        <v>8.6199999999999992</v>
      </c>
      <c r="C1857">
        <v>183.93</v>
      </c>
      <c r="D1857">
        <v>3.35</v>
      </c>
      <c r="E1857">
        <v>12.38</v>
      </c>
      <c r="F1857">
        <v>5.95</v>
      </c>
      <c r="G1857">
        <v>2</v>
      </c>
      <c r="H1857">
        <v>1.65</v>
      </c>
      <c r="I1857">
        <v>38.450000000000003</v>
      </c>
      <c r="J1857">
        <v>35.1</v>
      </c>
      <c r="K1857">
        <v>24.5</v>
      </c>
      <c r="L1857">
        <v>1.52</v>
      </c>
      <c r="M1857">
        <v>3.25</v>
      </c>
      <c r="N1857">
        <v>8.3000000000000004E-2</v>
      </c>
      <c r="O1857">
        <v>1.91</v>
      </c>
      <c r="P1857">
        <v>0.44</v>
      </c>
    </row>
    <row r="1858" spans="1:16" x14ac:dyDescent="0.25">
      <c r="A1858" s="1">
        <v>43889</v>
      </c>
      <c r="B1858">
        <v>8.5</v>
      </c>
      <c r="C1858">
        <v>181.2</v>
      </c>
      <c r="D1858">
        <v>3.3</v>
      </c>
      <c r="E1858">
        <v>11.24</v>
      </c>
      <c r="F1858">
        <v>5.85</v>
      </c>
      <c r="G1858">
        <v>1.99</v>
      </c>
      <c r="H1858">
        <v>1.67</v>
      </c>
      <c r="I1858">
        <v>37.82</v>
      </c>
      <c r="J1858">
        <v>34.299999999999997</v>
      </c>
      <c r="K1858">
        <v>27</v>
      </c>
      <c r="L1858">
        <v>1.48</v>
      </c>
      <c r="M1858">
        <v>3.2</v>
      </c>
      <c r="N1858">
        <v>8.5000000000000006E-2</v>
      </c>
      <c r="O1858">
        <v>1.97</v>
      </c>
      <c r="P1858">
        <v>0.438</v>
      </c>
    </row>
    <row r="1859" spans="1:16" x14ac:dyDescent="0.25">
      <c r="A1859" s="1">
        <v>43892</v>
      </c>
      <c r="B1859">
        <v>8.5500000000000007</v>
      </c>
      <c r="C1859">
        <v>190</v>
      </c>
      <c r="D1859">
        <v>3.3</v>
      </c>
      <c r="E1859">
        <v>10.82</v>
      </c>
      <c r="F1859">
        <v>6.15</v>
      </c>
      <c r="G1859">
        <v>2</v>
      </c>
      <c r="H1859">
        <v>1.72</v>
      </c>
      <c r="I1859">
        <v>39.5</v>
      </c>
      <c r="J1859">
        <v>34.5</v>
      </c>
      <c r="K1859">
        <v>26</v>
      </c>
      <c r="L1859">
        <v>1.5</v>
      </c>
      <c r="M1859">
        <v>3.2</v>
      </c>
      <c r="N1859">
        <v>8.7999999999999995E-2</v>
      </c>
      <c r="O1859">
        <v>1.96</v>
      </c>
      <c r="P1859">
        <v>0.46500000000000002</v>
      </c>
    </row>
    <row r="1860" spans="1:16" x14ac:dyDescent="0.25">
      <c r="A1860" s="1">
        <v>43893</v>
      </c>
      <c r="B1860">
        <v>8.6999999999999993</v>
      </c>
      <c r="C1860">
        <v>187.45</v>
      </c>
      <c r="D1860">
        <v>3.29</v>
      </c>
      <c r="E1860">
        <v>11.17</v>
      </c>
      <c r="F1860">
        <v>6.1</v>
      </c>
      <c r="G1860">
        <v>2.08</v>
      </c>
      <c r="H1860">
        <v>1.75</v>
      </c>
      <c r="I1860">
        <v>38.5</v>
      </c>
      <c r="J1860">
        <v>34</v>
      </c>
      <c r="K1860">
        <v>25.9</v>
      </c>
      <c r="L1860">
        <v>1.52</v>
      </c>
      <c r="M1860">
        <v>3.2</v>
      </c>
      <c r="N1860">
        <v>8.7999999999999995E-2</v>
      </c>
      <c r="O1860">
        <v>1.96</v>
      </c>
      <c r="P1860">
        <v>0.5</v>
      </c>
    </row>
    <row r="1861" spans="1:16" x14ac:dyDescent="0.25">
      <c r="A1861" s="1">
        <v>43894</v>
      </c>
      <c r="B1861">
        <v>8.75</v>
      </c>
      <c r="C1861">
        <v>198.08</v>
      </c>
      <c r="D1861">
        <v>3.3</v>
      </c>
      <c r="E1861">
        <v>11</v>
      </c>
      <c r="F1861">
        <v>6.1</v>
      </c>
      <c r="G1861">
        <v>2.1</v>
      </c>
      <c r="H1861">
        <v>1.75</v>
      </c>
      <c r="I1861">
        <v>39.4</v>
      </c>
      <c r="J1861">
        <v>34.200000000000003</v>
      </c>
      <c r="K1861">
        <v>25.99</v>
      </c>
      <c r="L1861">
        <v>1.52</v>
      </c>
      <c r="M1861">
        <v>3.2</v>
      </c>
      <c r="N1861">
        <v>0.09</v>
      </c>
      <c r="O1861">
        <v>1.95</v>
      </c>
      <c r="P1861">
        <v>0.47499999999999998</v>
      </c>
    </row>
    <row r="1862" spans="1:16" x14ac:dyDescent="0.25">
      <c r="A1862" s="1">
        <v>43895</v>
      </c>
      <c r="B1862">
        <v>8.7899999999999991</v>
      </c>
      <c r="C1862">
        <v>191.01</v>
      </c>
      <c r="D1862">
        <v>3.3</v>
      </c>
      <c r="E1862">
        <v>11.11</v>
      </c>
      <c r="F1862">
        <v>6.1</v>
      </c>
      <c r="G1862">
        <v>2.09</v>
      </c>
      <c r="H1862">
        <v>1.73</v>
      </c>
      <c r="I1862">
        <v>38.5</v>
      </c>
      <c r="J1862">
        <v>34.119999999999997</v>
      </c>
      <c r="K1862">
        <v>25.9</v>
      </c>
      <c r="L1862">
        <v>1.5</v>
      </c>
      <c r="M1862">
        <v>3.2</v>
      </c>
      <c r="N1862">
        <v>8.7999999999999995E-2</v>
      </c>
      <c r="O1862">
        <v>1.93</v>
      </c>
      <c r="P1862">
        <v>0.46</v>
      </c>
    </row>
    <row r="1863" spans="1:16" x14ac:dyDescent="0.25">
      <c r="A1863" s="1">
        <v>43896</v>
      </c>
      <c r="B1863">
        <v>8.6</v>
      </c>
      <c r="C1863">
        <v>186.7</v>
      </c>
      <c r="D1863">
        <v>3.25</v>
      </c>
      <c r="E1863">
        <v>10.46</v>
      </c>
      <c r="F1863">
        <v>6</v>
      </c>
      <c r="G1863">
        <v>2</v>
      </c>
      <c r="H1863">
        <v>1.69</v>
      </c>
      <c r="I1863">
        <v>36.53</v>
      </c>
      <c r="J1863">
        <v>33</v>
      </c>
      <c r="K1863">
        <v>25</v>
      </c>
      <c r="L1863">
        <v>1.45</v>
      </c>
      <c r="M1863">
        <v>3.2</v>
      </c>
      <c r="N1863">
        <v>0.08</v>
      </c>
      <c r="O1863">
        <v>1.89</v>
      </c>
      <c r="P1863">
        <v>0.435</v>
      </c>
    </row>
    <row r="1864" spans="1:16" x14ac:dyDescent="0.25">
      <c r="A1864" s="1">
        <v>43899</v>
      </c>
      <c r="B1864">
        <v>8.31</v>
      </c>
      <c r="C1864">
        <v>175</v>
      </c>
      <c r="D1864">
        <v>3.2</v>
      </c>
      <c r="E1864">
        <v>9.5</v>
      </c>
      <c r="F1864">
        <v>5.8</v>
      </c>
      <c r="G1864">
        <v>1.92</v>
      </c>
      <c r="H1864">
        <v>1.59</v>
      </c>
      <c r="I1864">
        <v>32.619999999999997</v>
      </c>
      <c r="J1864">
        <v>31.9</v>
      </c>
      <c r="K1864">
        <v>24.48</v>
      </c>
      <c r="L1864">
        <v>1.41</v>
      </c>
      <c r="M1864">
        <v>3</v>
      </c>
      <c r="N1864">
        <v>7.5999999999999998E-2</v>
      </c>
      <c r="O1864">
        <v>1.89</v>
      </c>
      <c r="P1864">
        <v>0.40600000000000003</v>
      </c>
    </row>
    <row r="1865" spans="1:16" x14ac:dyDescent="0.25">
      <c r="A1865" s="1">
        <v>43900</v>
      </c>
      <c r="B1865">
        <v>8.4</v>
      </c>
      <c r="C1865">
        <v>179.4</v>
      </c>
      <c r="D1865">
        <v>3.2</v>
      </c>
      <c r="E1865">
        <v>9.4499999999999993</v>
      </c>
      <c r="F1865">
        <v>6</v>
      </c>
      <c r="G1865">
        <v>1.93</v>
      </c>
      <c r="H1865">
        <v>1.65</v>
      </c>
      <c r="I1865">
        <v>36</v>
      </c>
      <c r="J1865">
        <v>32</v>
      </c>
      <c r="K1865">
        <v>26</v>
      </c>
      <c r="L1865">
        <v>1.48</v>
      </c>
      <c r="M1865">
        <v>3</v>
      </c>
      <c r="N1865">
        <v>7.9000000000000001E-2</v>
      </c>
      <c r="O1865">
        <v>1.8</v>
      </c>
      <c r="P1865">
        <v>0.44</v>
      </c>
    </row>
    <row r="1866" spans="1:16" x14ac:dyDescent="0.25">
      <c r="A1866" s="1">
        <v>43901</v>
      </c>
      <c r="B1866">
        <v>8.23</v>
      </c>
      <c r="C1866">
        <v>171.55</v>
      </c>
      <c r="D1866">
        <v>3.15</v>
      </c>
      <c r="E1866">
        <v>8.58</v>
      </c>
      <c r="F1866">
        <v>5.9</v>
      </c>
      <c r="G1866">
        <v>1.89</v>
      </c>
      <c r="H1866">
        <v>1.56</v>
      </c>
      <c r="I1866">
        <v>35.5</v>
      </c>
      <c r="J1866">
        <v>31.5</v>
      </c>
      <c r="K1866">
        <v>25.5</v>
      </c>
      <c r="L1866">
        <v>1.48</v>
      </c>
      <c r="M1866">
        <v>2.88</v>
      </c>
      <c r="N1866">
        <v>0.08</v>
      </c>
      <c r="O1866">
        <v>1.7</v>
      </c>
      <c r="P1866">
        <v>0.41</v>
      </c>
    </row>
    <row r="1867" spans="1:16" x14ac:dyDescent="0.25">
      <c r="A1867" s="1">
        <v>43902</v>
      </c>
      <c r="B1867">
        <v>7.4</v>
      </c>
      <c r="C1867">
        <v>151</v>
      </c>
      <c r="D1867">
        <v>2.9</v>
      </c>
      <c r="E1867">
        <v>6.6</v>
      </c>
      <c r="F1867">
        <v>5.7</v>
      </c>
      <c r="G1867">
        <v>1.78</v>
      </c>
      <c r="H1867">
        <v>1.46</v>
      </c>
      <c r="I1867">
        <v>30.65</v>
      </c>
      <c r="J1867">
        <v>30</v>
      </c>
      <c r="K1867">
        <v>24.5</v>
      </c>
      <c r="L1867">
        <v>1.43</v>
      </c>
      <c r="M1867">
        <v>2.6</v>
      </c>
      <c r="N1867">
        <v>0.08</v>
      </c>
      <c r="O1867">
        <v>1.65</v>
      </c>
      <c r="P1867">
        <v>0.39</v>
      </c>
    </row>
    <row r="1868" spans="1:16" x14ac:dyDescent="0.25">
      <c r="A1868" s="1">
        <v>43903</v>
      </c>
      <c r="B1868">
        <v>7.25</v>
      </c>
      <c r="C1868">
        <v>173</v>
      </c>
      <c r="D1868">
        <v>3.05</v>
      </c>
      <c r="E1868">
        <v>6.1</v>
      </c>
      <c r="F1868">
        <v>5.7</v>
      </c>
      <c r="G1868">
        <v>1.83</v>
      </c>
      <c r="H1868">
        <v>1.53</v>
      </c>
      <c r="I1868">
        <v>34.5</v>
      </c>
      <c r="J1868">
        <v>29.5</v>
      </c>
      <c r="K1868">
        <v>24</v>
      </c>
      <c r="L1868">
        <v>1.49</v>
      </c>
      <c r="M1868">
        <v>2.6</v>
      </c>
      <c r="N1868">
        <v>7.8E-2</v>
      </c>
      <c r="O1868">
        <v>1.7</v>
      </c>
      <c r="P1868">
        <v>0.39300000000000002</v>
      </c>
    </row>
    <row r="1869" spans="1:16" x14ac:dyDescent="0.25">
      <c r="A1869" s="1">
        <v>43906</v>
      </c>
      <c r="B1869">
        <v>7</v>
      </c>
      <c r="C1869">
        <v>149</v>
      </c>
      <c r="D1869">
        <v>2.8</v>
      </c>
      <c r="E1869">
        <v>6.4</v>
      </c>
      <c r="F1869">
        <v>5.48</v>
      </c>
      <c r="G1869">
        <v>1.82</v>
      </c>
      <c r="H1869">
        <v>1.37</v>
      </c>
      <c r="I1869">
        <v>31.29</v>
      </c>
      <c r="J1869">
        <v>29</v>
      </c>
      <c r="K1869">
        <v>23.6</v>
      </c>
      <c r="L1869">
        <v>1.49</v>
      </c>
      <c r="M1869">
        <v>2.6</v>
      </c>
      <c r="N1869">
        <v>7.8E-2</v>
      </c>
      <c r="O1869">
        <v>1.7</v>
      </c>
      <c r="P1869">
        <v>0.35</v>
      </c>
    </row>
    <row r="1870" spans="1:16" x14ac:dyDescent="0.25">
      <c r="A1870" s="1">
        <v>43907</v>
      </c>
      <c r="B1870">
        <v>7.15</v>
      </c>
      <c r="C1870">
        <v>147</v>
      </c>
      <c r="D1870">
        <v>2.79</v>
      </c>
      <c r="E1870">
        <v>7.75</v>
      </c>
      <c r="F1870">
        <v>5.4</v>
      </c>
      <c r="G1870">
        <v>1.79</v>
      </c>
      <c r="H1870">
        <v>1.41</v>
      </c>
      <c r="I1870">
        <v>29.25</v>
      </c>
      <c r="J1870">
        <v>29</v>
      </c>
      <c r="K1870">
        <v>24</v>
      </c>
      <c r="L1870">
        <v>1.36</v>
      </c>
      <c r="M1870">
        <v>2.6</v>
      </c>
      <c r="N1870">
        <v>7.6999999999999999E-2</v>
      </c>
      <c r="O1870">
        <v>1.6</v>
      </c>
      <c r="P1870">
        <v>0.37</v>
      </c>
    </row>
    <row r="1871" spans="1:16" x14ac:dyDescent="0.25">
      <c r="A1871" s="1">
        <v>43908</v>
      </c>
      <c r="B1871">
        <v>7.2</v>
      </c>
      <c r="C1871">
        <v>135.80000000000001</v>
      </c>
      <c r="D1871">
        <v>2.5</v>
      </c>
      <c r="E1871">
        <v>6.96</v>
      </c>
      <c r="F1871">
        <v>5.3</v>
      </c>
      <c r="G1871">
        <v>1.75</v>
      </c>
      <c r="H1871">
        <v>1.39</v>
      </c>
      <c r="I1871">
        <v>25.38</v>
      </c>
      <c r="J1871">
        <v>28.5</v>
      </c>
      <c r="K1871">
        <v>24</v>
      </c>
      <c r="L1871">
        <v>1.36</v>
      </c>
      <c r="M1871">
        <v>2.2000000000000002</v>
      </c>
      <c r="N1871">
        <v>6.8000000000000005E-2</v>
      </c>
      <c r="O1871">
        <v>1.59</v>
      </c>
      <c r="P1871">
        <v>0.33500000000000002</v>
      </c>
    </row>
    <row r="1872" spans="1:16" x14ac:dyDescent="0.25">
      <c r="A1872" s="1">
        <v>43909</v>
      </c>
      <c r="B1872">
        <v>7.3</v>
      </c>
      <c r="C1872">
        <v>134.9</v>
      </c>
      <c r="D1872">
        <v>2.4500000000000002</v>
      </c>
      <c r="E1872">
        <v>7.22</v>
      </c>
      <c r="F1872">
        <v>5.3</v>
      </c>
      <c r="G1872">
        <v>1.7</v>
      </c>
      <c r="H1872">
        <v>1.45</v>
      </c>
      <c r="I1872">
        <v>24.7</v>
      </c>
      <c r="J1872">
        <v>28.5</v>
      </c>
      <c r="K1872">
        <v>24</v>
      </c>
      <c r="L1872">
        <v>1.36</v>
      </c>
      <c r="M1872">
        <v>2.2000000000000002</v>
      </c>
      <c r="N1872">
        <v>7.1999999999999995E-2</v>
      </c>
      <c r="O1872">
        <v>1.59</v>
      </c>
      <c r="P1872">
        <v>0.34</v>
      </c>
    </row>
    <row r="1873" spans="1:16" x14ac:dyDescent="0.25">
      <c r="A1873" s="1">
        <v>43910</v>
      </c>
      <c r="B1873">
        <v>7.55</v>
      </c>
      <c r="C1873">
        <v>134</v>
      </c>
      <c r="D1873">
        <v>2.5</v>
      </c>
      <c r="E1873">
        <v>6.87</v>
      </c>
      <c r="F1873">
        <v>5.3</v>
      </c>
      <c r="G1873">
        <v>1.6</v>
      </c>
      <c r="H1873">
        <v>1.42</v>
      </c>
      <c r="I1873">
        <v>25.4</v>
      </c>
      <c r="J1873">
        <v>28.6</v>
      </c>
      <c r="K1873">
        <v>24</v>
      </c>
      <c r="L1873">
        <v>1.36</v>
      </c>
      <c r="M1873">
        <v>2.2000000000000002</v>
      </c>
      <c r="N1873">
        <v>6.0999999999999999E-2</v>
      </c>
      <c r="O1873">
        <v>1.59</v>
      </c>
      <c r="P1873">
        <v>0.317</v>
      </c>
    </row>
    <row r="1874" spans="1:16" x14ac:dyDescent="0.25">
      <c r="A1874" s="1">
        <v>43913</v>
      </c>
      <c r="B1874">
        <v>7.75</v>
      </c>
      <c r="C1874">
        <v>124.8</v>
      </c>
      <c r="D1874">
        <v>2.4</v>
      </c>
      <c r="E1874">
        <v>7.4</v>
      </c>
      <c r="F1874">
        <v>5</v>
      </c>
      <c r="G1874">
        <v>1.48</v>
      </c>
      <c r="H1874">
        <v>1.3</v>
      </c>
      <c r="I1874">
        <v>23.95</v>
      </c>
      <c r="J1874">
        <v>28.7</v>
      </c>
      <c r="K1874">
        <v>24.01</v>
      </c>
      <c r="L1874">
        <v>1.36</v>
      </c>
      <c r="M1874">
        <v>2.2000000000000002</v>
      </c>
      <c r="N1874">
        <v>0.06</v>
      </c>
      <c r="O1874">
        <v>1.59</v>
      </c>
      <c r="P1874">
        <v>0.28999999999999998</v>
      </c>
    </row>
    <row r="1875" spans="1:16" x14ac:dyDescent="0.25">
      <c r="A1875" s="1">
        <v>43914</v>
      </c>
      <c r="B1875">
        <v>7.9</v>
      </c>
      <c r="C1875">
        <v>126.7</v>
      </c>
      <c r="D1875">
        <v>2.34</v>
      </c>
      <c r="E1875">
        <v>7.68</v>
      </c>
      <c r="F1875">
        <v>5.07</v>
      </c>
      <c r="G1875">
        <v>1.47</v>
      </c>
      <c r="H1875">
        <v>1.29</v>
      </c>
      <c r="I1875">
        <v>25.9</v>
      </c>
      <c r="J1875">
        <v>30.8</v>
      </c>
      <c r="K1875">
        <v>24.5</v>
      </c>
      <c r="L1875">
        <v>1.34</v>
      </c>
      <c r="M1875">
        <v>2.2000000000000002</v>
      </c>
      <c r="N1875">
        <v>0.06</v>
      </c>
      <c r="O1875">
        <v>1.59</v>
      </c>
      <c r="P1875">
        <v>0.3</v>
      </c>
    </row>
    <row r="1876" spans="1:16" x14ac:dyDescent="0.25">
      <c r="A1876" s="1">
        <v>43915</v>
      </c>
      <c r="B1876">
        <v>7.9</v>
      </c>
      <c r="C1876">
        <v>128.69999999999999</v>
      </c>
      <c r="D1876">
        <v>2.4500000000000002</v>
      </c>
      <c r="E1876">
        <v>8.3000000000000007</v>
      </c>
      <c r="F1876">
        <v>4.9400000000000004</v>
      </c>
      <c r="G1876">
        <v>1.42</v>
      </c>
      <c r="H1876">
        <v>1.26</v>
      </c>
      <c r="I1876">
        <v>27</v>
      </c>
      <c r="J1876">
        <v>32</v>
      </c>
      <c r="K1876">
        <v>24.5</v>
      </c>
      <c r="L1876">
        <v>1.3</v>
      </c>
      <c r="M1876">
        <v>2.2000000000000002</v>
      </c>
      <c r="N1876">
        <v>5.8000000000000003E-2</v>
      </c>
      <c r="O1876">
        <v>1.49</v>
      </c>
      <c r="P1876">
        <v>0.29899999999999999</v>
      </c>
    </row>
    <row r="1877" spans="1:16" x14ac:dyDescent="0.25">
      <c r="A1877" s="1">
        <v>43916</v>
      </c>
      <c r="B1877">
        <v>8</v>
      </c>
      <c r="C1877">
        <v>131.4</v>
      </c>
      <c r="D1877">
        <v>2.5</v>
      </c>
      <c r="E1877">
        <v>8.1</v>
      </c>
      <c r="F1877">
        <v>4.9400000000000004</v>
      </c>
      <c r="G1877">
        <v>1.41</v>
      </c>
      <c r="H1877">
        <v>1.21</v>
      </c>
      <c r="I1877">
        <v>27.1</v>
      </c>
      <c r="J1877">
        <v>32.299999999999997</v>
      </c>
      <c r="K1877">
        <v>25</v>
      </c>
      <c r="L1877">
        <v>1.3</v>
      </c>
      <c r="M1877">
        <v>2.2000000000000002</v>
      </c>
      <c r="N1877">
        <v>0.06</v>
      </c>
      <c r="O1877">
        <v>1.49</v>
      </c>
      <c r="P1877">
        <v>0.30099999999999999</v>
      </c>
    </row>
    <row r="1878" spans="1:16" x14ac:dyDescent="0.25">
      <c r="A1878" s="1">
        <v>43917</v>
      </c>
      <c r="B1878">
        <v>8</v>
      </c>
      <c r="C1878">
        <v>117.94</v>
      </c>
      <c r="D1878">
        <v>2.35</v>
      </c>
      <c r="E1878">
        <v>7.2</v>
      </c>
      <c r="F1878">
        <v>4.8899999999999997</v>
      </c>
      <c r="G1878">
        <v>1.22</v>
      </c>
      <c r="H1878">
        <v>1.1000000000000001</v>
      </c>
      <c r="I1878">
        <v>26.65</v>
      </c>
      <c r="J1878">
        <v>31.224</v>
      </c>
      <c r="K1878">
        <v>23</v>
      </c>
      <c r="L1878">
        <v>1.29</v>
      </c>
      <c r="M1878">
        <v>2.2000000000000002</v>
      </c>
      <c r="N1878">
        <v>5.6000000000000001E-2</v>
      </c>
      <c r="O1878">
        <v>1.4</v>
      </c>
      <c r="P1878">
        <v>0.31</v>
      </c>
    </row>
    <row r="1879" spans="1:16" x14ac:dyDescent="0.25">
      <c r="A1879" s="1">
        <v>43920</v>
      </c>
      <c r="B1879">
        <v>7.6</v>
      </c>
      <c r="C1879">
        <v>124.2</v>
      </c>
      <c r="D1879">
        <v>2.27</v>
      </c>
      <c r="E1879">
        <v>6.55</v>
      </c>
      <c r="F1879">
        <v>4.8</v>
      </c>
      <c r="G1879">
        <v>1.21</v>
      </c>
      <c r="H1879">
        <v>1.1599999999999999</v>
      </c>
      <c r="I1879">
        <v>25.8</v>
      </c>
      <c r="J1879">
        <v>30.93</v>
      </c>
      <c r="K1879">
        <v>22.5</v>
      </c>
      <c r="L1879">
        <v>1.29</v>
      </c>
      <c r="M1879">
        <v>2.2000000000000002</v>
      </c>
      <c r="N1879">
        <v>5.3999999999999999E-2</v>
      </c>
      <c r="O1879">
        <v>1.31</v>
      </c>
      <c r="P1879">
        <v>0.29899999999999999</v>
      </c>
    </row>
    <row r="1880" spans="1:16" x14ac:dyDescent="0.25">
      <c r="A1880" s="1">
        <v>43921</v>
      </c>
      <c r="B1880">
        <v>7.35</v>
      </c>
      <c r="C1880">
        <v>134</v>
      </c>
      <c r="D1880">
        <v>2.35</v>
      </c>
      <c r="E1880">
        <v>7.32</v>
      </c>
      <c r="F1880">
        <v>4.8</v>
      </c>
      <c r="G1880">
        <v>1.26</v>
      </c>
      <c r="H1880">
        <v>1.1599999999999999</v>
      </c>
      <c r="I1880">
        <v>29.95</v>
      </c>
      <c r="J1880">
        <v>30.635000000000002</v>
      </c>
      <c r="K1880">
        <v>23</v>
      </c>
      <c r="L1880">
        <v>1.3</v>
      </c>
      <c r="M1880">
        <v>2.2000000000000002</v>
      </c>
      <c r="N1880">
        <v>5.2999999999999999E-2</v>
      </c>
      <c r="O1880">
        <v>1.35</v>
      </c>
      <c r="P1880">
        <v>0.31</v>
      </c>
    </row>
    <row r="1881" spans="1:16" x14ac:dyDescent="0.25">
      <c r="A1881" s="1">
        <v>43922</v>
      </c>
      <c r="B1881">
        <v>7.3</v>
      </c>
      <c r="C1881">
        <v>125.46</v>
      </c>
      <c r="D1881">
        <v>2.3199999999999998</v>
      </c>
      <c r="E1881">
        <v>6.8</v>
      </c>
      <c r="F1881">
        <v>4.75</v>
      </c>
      <c r="G1881">
        <v>1.2</v>
      </c>
      <c r="H1881">
        <v>1.1200000000000001</v>
      </c>
      <c r="I1881">
        <v>24.9</v>
      </c>
      <c r="J1881">
        <v>29.948</v>
      </c>
      <c r="K1881">
        <v>22.5</v>
      </c>
      <c r="L1881">
        <v>1.32</v>
      </c>
      <c r="M1881">
        <v>2.2000000000000002</v>
      </c>
      <c r="N1881">
        <v>5.2999999999999999E-2</v>
      </c>
      <c r="O1881">
        <v>1.32</v>
      </c>
      <c r="P1881">
        <v>0.3</v>
      </c>
    </row>
    <row r="1882" spans="1:16" x14ac:dyDescent="0.25">
      <c r="A1882" s="1">
        <v>43923</v>
      </c>
      <c r="B1882">
        <v>7.25</v>
      </c>
      <c r="C1882">
        <v>126.58</v>
      </c>
      <c r="D1882">
        <v>2.3199999999999998</v>
      </c>
      <c r="E1882">
        <v>7.15</v>
      </c>
      <c r="F1882">
        <v>4.75</v>
      </c>
      <c r="G1882">
        <v>1.17</v>
      </c>
      <c r="H1882">
        <v>1.1000000000000001</v>
      </c>
      <c r="I1882">
        <v>24</v>
      </c>
      <c r="J1882">
        <v>28.72</v>
      </c>
      <c r="K1882">
        <v>22</v>
      </c>
      <c r="L1882">
        <v>1.32</v>
      </c>
      <c r="M1882">
        <v>2.15</v>
      </c>
      <c r="N1882">
        <v>5.5E-2</v>
      </c>
      <c r="O1882">
        <v>1.32</v>
      </c>
      <c r="P1882">
        <v>0.28999999999999998</v>
      </c>
    </row>
    <row r="1883" spans="1:16" x14ac:dyDescent="0.25">
      <c r="A1883" s="1">
        <v>43924</v>
      </c>
      <c r="B1883">
        <v>7</v>
      </c>
      <c r="C1883">
        <v>121.86</v>
      </c>
      <c r="D1883">
        <v>2.27</v>
      </c>
      <c r="E1883">
        <v>6.96</v>
      </c>
      <c r="F1883">
        <v>4.59</v>
      </c>
      <c r="G1883">
        <v>1.17</v>
      </c>
      <c r="H1883">
        <v>1.08</v>
      </c>
      <c r="I1883">
        <v>23.65</v>
      </c>
      <c r="J1883">
        <v>27.876000000000001</v>
      </c>
      <c r="K1883">
        <v>21.7</v>
      </c>
      <c r="L1883">
        <v>1.23</v>
      </c>
      <c r="M1883">
        <v>2.1</v>
      </c>
      <c r="N1883">
        <v>5.0999999999999997E-2</v>
      </c>
      <c r="O1883">
        <v>1.27</v>
      </c>
      <c r="P1883">
        <v>0.27</v>
      </c>
    </row>
    <row r="1884" spans="1:16" x14ac:dyDescent="0.25">
      <c r="A1884" s="1">
        <v>43927</v>
      </c>
      <c r="B1884">
        <v>7</v>
      </c>
      <c r="C1884">
        <v>125.13</v>
      </c>
      <c r="D1884">
        <v>2.25</v>
      </c>
      <c r="E1884">
        <v>7.11</v>
      </c>
      <c r="F1884">
        <v>4.53</v>
      </c>
      <c r="G1884">
        <v>1.22</v>
      </c>
      <c r="H1884">
        <v>1.1000000000000001</v>
      </c>
      <c r="I1884">
        <v>24.1</v>
      </c>
      <c r="J1884">
        <v>27.001999999999999</v>
      </c>
      <c r="K1884">
        <v>21.3</v>
      </c>
      <c r="L1884">
        <v>1.2</v>
      </c>
      <c r="M1884">
        <v>2.1</v>
      </c>
      <c r="N1884">
        <v>5.0999999999999997E-2</v>
      </c>
      <c r="O1884">
        <v>1.27</v>
      </c>
      <c r="P1884">
        <v>0.26700000000000002</v>
      </c>
    </row>
    <row r="1885" spans="1:16" x14ac:dyDescent="0.25">
      <c r="A1885" s="1">
        <v>43928</v>
      </c>
      <c r="B1885">
        <v>7</v>
      </c>
      <c r="C1885">
        <v>124.2</v>
      </c>
      <c r="D1885">
        <v>2.42</v>
      </c>
      <c r="E1885">
        <v>7.8</v>
      </c>
      <c r="F1885">
        <v>4.53</v>
      </c>
      <c r="G1885">
        <v>1.2</v>
      </c>
      <c r="H1885">
        <v>1.08</v>
      </c>
      <c r="I1885">
        <v>23.9</v>
      </c>
      <c r="J1885">
        <v>27.492999999999999</v>
      </c>
      <c r="K1885">
        <v>21.45</v>
      </c>
      <c r="L1885">
        <v>1.23</v>
      </c>
      <c r="M1885">
        <v>2.1</v>
      </c>
      <c r="N1885">
        <v>5.2999999999999999E-2</v>
      </c>
      <c r="O1885">
        <v>1.27</v>
      </c>
      <c r="P1885">
        <v>0.26500000000000001</v>
      </c>
    </row>
    <row r="1886" spans="1:16" x14ac:dyDescent="0.25">
      <c r="A1886" s="1">
        <v>43929</v>
      </c>
      <c r="B1886">
        <v>6.99</v>
      </c>
      <c r="C1886">
        <v>135.99</v>
      </c>
      <c r="D1886">
        <v>2.42</v>
      </c>
      <c r="E1886">
        <v>7.06</v>
      </c>
      <c r="F1886">
        <v>4.4800000000000004</v>
      </c>
      <c r="G1886">
        <v>1.21</v>
      </c>
      <c r="H1886">
        <v>1.06</v>
      </c>
      <c r="I1886">
        <v>25.35</v>
      </c>
      <c r="J1886">
        <v>27.492999999999999</v>
      </c>
      <c r="K1886">
        <v>21.31</v>
      </c>
      <c r="L1886">
        <v>1.23</v>
      </c>
      <c r="M1886">
        <v>2</v>
      </c>
      <c r="N1886">
        <v>5.3999999999999999E-2</v>
      </c>
      <c r="O1886">
        <v>1.26</v>
      </c>
      <c r="P1886">
        <v>0.26700000000000002</v>
      </c>
    </row>
    <row r="1887" spans="1:16" x14ac:dyDescent="0.25">
      <c r="A1887" s="1">
        <v>43934</v>
      </c>
      <c r="B1887">
        <v>7</v>
      </c>
      <c r="C1887">
        <v>136</v>
      </c>
      <c r="D1887">
        <v>2.42</v>
      </c>
      <c r="E1887">
        <v>7.8</v>
      </c>
      <c r="F1887">
        <v>4.43</v>
      </c>
      <c r="G1887">
        <v>1.23</v>
      </c>
      <c r="H1887">
        <v>1.19</v>
      </c>
      <c r="I1887">
        <v>26.6</v>
      </c>
      <c r="J1887">
        <v>28.475000000000001</v>
      </c>
      <c r="K1887">
        <v>26.5</v>
      </c>
      <c r="L1887">
        <v>1.23</v>
      </c>
      <c r="M1887">
        <v>2</v>
      </c>
      <c r="N1887">
        <v>5.3999999999999999E-2</v>
      </c>
      <c r="O1887">
        <v>1.26</v>
      </c>
      <c r="P1887">
        <v>0.25</v>
      </c>
    </row>
    <row r="1888" spans="1:16" x14ac:dyDescent="0.25">
      <c r="A1888" s="1">
        <v>43935</v>
      </c>
      <c r="B1888">
        <v>7</v>
      </c>
      <c r="C1888">
        <v>137.5</v>
      </c>
      <c r="D1888">
        <v>2.42</v>
      </c>
      <c r="E1888">
        <v>7.7</v>
      </c>
      <c r="F1888">
        <v>4.4800000000000004</v>
      </c>
      <c r="G1888">
        <v>1.23</v>
      </c>
      <c r="H1888">
        <v>1.21</v>
      </c>
      <c r="I1888">
        <v>25.9</v>
      </c>
      <c r="J1888">
        <v>28.768999999999998</v>
      </c>
      <c r="K1888">
        <v>26.5</v>
      </c>
      <c r="L1888">
        <v>1.23</v>
      </c>
      <c r="M1888">
        <v>2</v>
      </c>
      <c r="N1888">
        <v>5.7000000000000002E-2</v>
      </c>
      <c r="O1888">
        <v>1.3</v>
      </c>
      <c r="P1888">
        <v>0.27100000000000002</v>
      </c>
    </row>
    <row r="1889" spans="1:16" x14ac:dyDescent="0.25">
      <c r="A1889" s="1">
        <v>43936</v>
      </c>
      <c r="B1889">
        <v>7.12</v>
      </c>
      <c r="C1889">
        <v>140.30000000000001</v>
      </c>
      <c r="D1889">
        <v>2.42</v>
      </c>
      <c r="E1889">
        <v>7.18</v>
      </c>
      <c r="F1889">
        <v>4.43</v>
      </c>
      <c r="G1889">
        <v>1.21</v>
      </c>
      <c r="H1889">
        <v>1.5</v>
      </c>
      <c r="I1889">
        <v>27.2</v>
      </c>
      <c r="J1889">
        <v>28.966000000000001</v>
      </c>
      <c r="K1889">
        <v>26</v>
      </c>
      <c r="L1889">
        <v>1.23</v>
      </c>
      <c r="M1889">
        <v>2</v>
      </c>
      <c r="N1889">
        <v>6.2E-2</v>
      </c>
      <c r="O1889">
        <v>1.35</v>
      </c>
      <c r="P1889">
        <v>0.28000000000000003</v>
      </c>
    </row>
    <row r="1890" spans="1:16" x14ac:dyDescent="0.25">
      <c r="A1890" s="1">
        <v>43937</v>
      </c>
      <c r="B1890">
        <v>7.25</v>
      </c>
      <c r="C1890">
        <v>141.6</v>
      </c>
      <c r="D1890">
        <v>2.42</v>
      </c>
      <c r="E1890">
        <v>7.24</v>
      </c>
      <c r="F1890">
        <v>4.43</v>
      </c>
      <c r="G1890">
        <v>1.23</v>
      </c>
      <c r="H1890">
        <v>1.36</v>
      </c>
      <c r="I1890">
        <v>27.15</v>
      </c>
      <c r="J1890">
        <v>29.113</v>
      </c>
      <c r="K1890">
        <v>25.75</v>
      </c>
      <c r="L1890">
        <v>1.23</v>
      </c>
      <c r="M1890">
        <v>2</v>
      </c>
      <c r="N1890">
        <v>6.7000000000000004E-2</v>
      </c>
      <c r="O1890">
        <v>1.35</v>
      </c>
      <c r="P1890">
        <v>0.28999999999999998</v>
      </c>
    </row>
    <row r="1891" spans="1:16" x14ac:dyDescent="0.25">
      <c r="A1891" s="1">
        <v>43938</v>
      </c>
      <c r="B1891">
        <v>7.6</v>
      </c>
      <c r="C1891">
        <v>143</v>
      </c>
      <c r="D1891">
        <v>2.4500000000000002</v>
      </c>
      <c r="E1891">
        <v>7.1</v>
      </c>
      <c r="F1891">
        <v>4.43</v>
      </c>
      <c r="G1891">
        <v>1.21</v>
      </c>
      <c r="H1891">
        <v>1.35</v>
      </c>
      <c r="I1891">
        <v>26.06</v>
      </c>
      <c r="J1891">
        <v>29.457000000000001</v>
      </c>
      <c r="K1891">
        <v>25.9</v>
      </c>
      <c r="L1891">
        <v>1.27</v>
      </c>
      <c r="M1891">
        <v>2</v>
      </c>
      <c r="N1891">
        <v>6.7000000000000004E-2</v>
      </c>
      <c r="O1891">
        <v>1.35</v>
      </c>
      <c r="P1891">
        <v>0.3</v>
      </c>
    </row>
    <row r="1892" spans="1:16" x14ac:dyDescent="0.25">
      <c r="A1892" s="1">
        <v>43941</v>
      </c>
      <c r="B1892">
        <v>7.6</v>
      </c>
      <c r="C1892">
        <v>142.5</v>
      </c>
      <c r="D1892">
        <v>2.4500000000000002</v>
      </c>
      <c r="E1892">
        <v>7.45</v>
      </c>
      <c r="F1892">
        <v>4.5</v>
      </c>
      <c r="G1892">
        <v>1.17</v>
      </c>
      <c r="H1892">
        <v>1.27</v>
      </c>
      <c r="I1892">
        <v>24.5</v>
      </c>
      <c r="J1892">
        <v>29.565000000000001</v>
      </c>
      <c r="K1892">
        <v>25.9</v>
      </c>
      <c r="L1892">
        <v>1.29</v>
      </c>
      <c r="M1892">
        <v>2</v>
      </c>
      <c r="N1892">
        <v>0.06</v>
      </c>
      <c r="O1892">
        <v>1.35</v>
      </c>
      <c r="P1892">
        <v>0.28000000000000003</v>
      </c>
    </row>
    <row r="1893" spans="1:16" x14ac:dyDescent="0.25">
      <c r="A1893" s="1">
        <v>43942</v>
      </c>
      <c r="B1893">
        <v>7.46</v>
      </c>
      <c r="C1893">
        <v>138.30000000000001</v>
      </c>
      <c r="D1893">
        <v>2.4</v>
      </c>
      <c r="E1893">
        <v>7.15</v>
      </c>
      <c r="F1893">
        <v>4.42</v>
      </c>
      <c r="G1893">
        <v>1.1499999999999999</v>
      </c>
      <c r="H1893">
        <v>1.25</v>
      </c>
      <c r="I1893">
        <v>24.8</v>
      </c>
      <c r="J1893">
        <v>29.446999999999999</v>
      </c>
      <c r="K1893">
        <v>25.6</v>
      </c>
      <c r="L1893">
        <v>1.27</v>
      </c>
      <c r="M1893">
        <v>2</v>
      </c>
      <c r="N1893">
        <v>5.8999999999999997E-2</v>
      </c>
      <c r="O1893">
        <v>1.3</v>
      </c>
      <c r="P1893">
        <v>0.27500000000000002</v>
      </c>
    </row>
    <row r="1894" spans="1:16" x14ac:dyDescent="0.25">
      <c r="A1894" s="1">
        <v>43943</v>
      </c>
      <c r="B1894">
        <v>7.2</v>
      </c>
      <c r="C1894">
        <v>139.19999999999999</v>
      </c>
      <c r="D1894">
        <v>2.4</v>
      </c>
      <c r="E1894">
        <v>7.5</v>
      </c>
      <c r="F1894">
        <v>4.22</v>
      </c>
      <c r="G1894">
        <v>1.1200000000000001</v>
      </c>
      <c r="H1894">
        <v>1.26</v>
      </c>
      <c r="I1894">
        <v>25.85</v>
      </c>
      <c r="J1894">
        <v>30.635000000000002</v>
      </c>
      <c r="K1894">
        <v>25.55</v>
      </c>
      <c r="L1894">
        <v>1.27</v>
      </c>
      <c r="M1894">
        <v>2</v>
      </c>
      <c r="N1894">
        <v>6.2E-2</v>
      </c>
      <c r="O1894">
        <v>1.3</v>
      </c>
      <c r="P1894">
        <v>0.28499999999999998</v>
      </c>
    </row>
    <row r="1895" spans="1:16" x14ac:dyDescent="0.25">
      <c r="A1895" s="1">
        <v>43944</v>
      </c>
      <c r="B1895">
        <v>7.1</v>
      </c>
      <c r="C1895">
        <v>137.30000000000001</v>
      </c>
      <c r="D1895">
        <v>2.4</v>
      </c>
      <c r="E1895">
        <v>7.72</v>
      </c>
      <c r="F1895">
        <v>4.1500000000000004</v>
      </c>
      <c r="G1895">
        <v>1.1200000000000001</v>
      </c>
      <c r="H1895">
        <v>1.24</v>
      </c>
      <c r="I1895">
        <v>26.2</v>
      </c>
      <c r="J1895">
        <v>30.635000000000002</v>
      </c>
      <c r="K1895">
        <v>25.5</v>
      </c>
      <c r="L1895">
        <v>1.28</v>
      </c>
      <c r="M1895">
        <v>1.95</v>
      </c>
      <c r="N1895">
        <v>6.2E-2</v>
      </c>
      <c r="O1895">
        <v>1.28</v>
      </c>
      <c r="P1895">
        <v>0.28499999999999998</v>
      </c>
    </row>
    <row r="1896" spans="1:16" x14ac:dyDescent="0.25">
      <c r="A1896" s="1">
        <v>43945</v>
      </c>
      <c r="B1896">
        <v>7</v>
      </c>
      <c r="C1896">
        <v>134</v>
      </c>
      <c r="D1896">
        <v>2.35</v>
      </c>
      <c r="E1896">
        <v>7.3</v>
      </c>
      <c r="F1896">
        <v>4.1500000000000004</v>
      </c>
      <c r="G1896">
        <v>1.1399999999999999</v>
      </c>
      <c r="H1896">
        <v>1.24</v>
      </c>
      <c r="I1896">
        <v>26.4</v>
      </c>
      <c r="J1896">
        <v>30.193000000000001</v>
      </c>
      <c r="K1896">
        <v>27.4</v>
      </c>
      <c r="L1896">
        <v>1.28</v>
      </c>
      <c r="M1896">
        <v>1.9</v>
      </c>
      <c r="N1896">
        <v>5.7000000000000002E-2</v>
      </c>
      <c r="O1896">
        <v>1.18</v>
      </c>
      <c r="P1896">
        <v>0.28000000000000003</v>
      </c>
    </row>
    <row r="1897" spans="1:16" x14ac:dyDescent="0.25">
      <c r="A1897" s="1">
        <v>43948</v>
      </c>
      <c r="B1897">
        <v>6.81</v>
      </c>
      <c r="C1897">
        <v>137.1</v>
      </c>
      <c r="D1897">
        <v>2.35</v>
      </c>
      <c r="E1897">
        <v>7.09</v>
      </c>
      <c r="F1897">
        <v>4</v>
      </c>
      <c r="G1897">
        <v>1.1299999999999999</v>
      </c>
      <c r="H1897">
        <v>1.25</v>
      </c>
      <c r="I1897">
        <v>23.75</v>
      </c>
      <c r="J1897">
        <v>29.849</v>
      </c>
      <c r="K1897">
        <v>27.4</v>
      </c>
      <c r="L1897">
        <v>1.3</v>
      </c>
      <c r="M1897">
        <v>1.85</v>
      </c>
      <c r="N1897">
        <v>5.7000000000000002E-2</v>
      </c>
      <c r="O1897">
        <v>1.1499999999999999</v>
      </c>
      <c r="P1897">
        <v>0.28000000000000003</v>
      </c>
    </row>
    <row r="1898" spans="1:16" x14ac:dyDescent="0.25">
      <c r="A1898" s="1">
        <v>43949</v>
      </c>
      <c r="B1898">
        <v>6.8</v>
      </c>
      <c r="C1898">
        <v>139.55000000000001</v>
      </c>
      <c r="D1898">
        <v>2.36</v>
      </c>
      <c r="E1898">
        <v>7.03</v>
      </c>
      <c r="F1898">
        <v>3.95</v>
      </c>
      <c r="G1898">
        <v>1.1299999999999999</v>
      </c>
      <c r="H1898">
        <v>1.23</v>
      </c>
      <c r="I1898">
        <v>24.65</v>
      </c>
      <c r="J1898">
        <v>29.859000000000002</v>
      </c>
      <c r="K1898">
        <v>27.4</v>
      </c>
      <c r="L1898">
        <v>1.28</v>
      </c>
      <c r="M1898">
        <v>1.85</v>
      </c>
      <c r="N1898">
        <v>5.7000000000000002E-2</v>
      </c>
      <c r="O1898">
        <v>1.1399999999999999</v>
      </c>
      <c r="P1898">
        <v>0.27500000000000002</v>
      </c>
    </row>
    <row r="1899" spans="1:16" x14ac:dyDescent="0.25">
      <c r="A1899" s="1">
        <v>43950</v>
      </c>
      <c r="B1899">
        <v>6.85</v>
      </c>
      <c r="C1899">
        <v>148.9</v>
      </c>
      <c r="D1899">
        <v>2.4</v>
      </c>
      <c r="E1899">
        <v>7.71</v>
      </c>
      <c r="F1899">
        <v>4</v>
      </c>
      <c r="G1899">
        <v>1.1599999999999999</v>
      </c>
      <c r="H1899">
        <v>1.26</v>
      </c>
      <c r="I1899">
        <v>25.88</v>
      </c>
      <c r="J1899">
        <v>30.693999999999999</v>
      </c>
      <c r="K1899">
        <v>27</v>
      </c>
      <c r="L1899">
        <v>1.3</v>
      </c>
      <c r="M1899">
        <v>1.85</v>
      </c>
      <c r="N1899">
        <v>6.3E-2</v>
      </c>
      <c r="O1899">
        <v>1.1499999999999999</v>
      </c>
      <c r="P1899">
        <v>0.28599999999999998</v>
      </c>
    </row>
    <row r="1900" spans="1:16" x14ac:dyDescent="0.25">
      <c r="A1900" s="1">
        <v>43951</v>
      </c>
      <c r="B1900">
        <v>6.86</v>
      </c>
      <c r="C1900">
        <v>149.75</v>
      </c>
      <c r="D1900">
        <v>2.39</v>
      </c>
      <c r="E1900">
        <v>7.56</v>
      </c>
      <c r="F1900">
        <v>4.05</v>
      </c>
      <c r="G1900">
        <v>1.1499999999999999</v>
      </c>
      <c r="H1900">
        <v>1.22</v>
      </c>
      <c r="I1900">
        <v>25.35</v>
      </c>
      <c r="J1900">
        <v>30.439</v>
      </c>
      <c r="K1900">
        <v>27</v>
      </c>
      <c r="L1900">
        <v>1.3</v>
      </c>
      <c r="M1900">
        <v>1.85</v>
      </c>
      <c r="N1900">
        <v>0.06</v>
      </c>
      <c r="O1900">
        <v>1.1499999999999999</v>
      </c>
      <c r="P1900">
        <v>0.28899999999999998</v>
      </c>
    </row>
    <row r="1901" spans="1:16" x14ac:dyDescent="0.25">
      <c r="A1901" s="1">
        <v>43955</v>
      </c>
      <c r="B1901">
        <v>6.8</v>
      </c>
      <c r="C1901">
        <v>142</v>
      </c>
      <c r="D1901">
        <v>2.39</v>
      </c>
      <c r="E1901">
        <v>8.42</v>
      </c>
      <c r="F1901">
        <v>4</v>
      </c>
      <c r="G1901">
        <v>1.1399999999999999</v>
      </c>
      <c r="H1901">
        <v>1.27</v>
      </c>
      <c r="I1901">
        <v>25.09</v>
      </c>
      <c r="J1901">
        <v>29.948</v>
      </c>
      <c r="K1901">
        <v>27</v>
      </c>
      <c r="L1901">
        <v>1.3</v>
      </c>
      <c r="M1901">
        <v>1.9</v>
      </c>
      <c r="N1901">
        <v>0.06</v>
      </c>
      <c r="O1901">
        <v>1.18</v>
      </c>
      <c r="P1901">
        <v>0.28999999999999998</v>
      </c>
    </row>
    <row r="1902" spans="1:16" x14ac:dyDescent="0.25">
      <c r="A1902" s="1">
        <v>43956</v>
      </c>
      <c r="B1902">
        <v>7.06</v>
      </c>
      <c r="C1902">
        <v>142.5</v>
      </c>
      <c r="D1902">
        <v>2.39</v>
      </c>
      <c r="E1902">
        <v>8.4</v>
      </c>
      <c r="F1902">
        <v>4.12</v>
      </c>
      <c r="G1902">
        <v>1.21</v>
      </c>
      <c r="H1902">
        <v>1.31</v>
      </c>
      <c r="I1902">
        <v>25.3</v>
      </c>
      <c r="J1902">
        <v>30.34</v>
      </c>
      <c r="K1902">
        <v>27</v>
      </c>
      <c r="L1902">
        <v>1.33</v>
      </c>
      <c r="M1902">
        <v>1.9</v>
      </c>
      <c r="N1902">
        <v>6.5000000000000002E-2</v>
      </c>
      <c r="O1902">
        <v>1.2</v>
      </c>
      <c r="P1902">
        <v>0.309</v>
      </c>
    </row>
    <row r="1903" spans="1:16" x14ac:dyDescent="0.25">
      <c r="A1903" s="1">
        <v>43957</v>
      </c>
      <c r="B1903">
        <v>7.3</v>
      </c>
      <c r="C1903">
        <v>142.86000000000001</v>
      </c>
      <c r="D1903">
        <v>2.42</v>
      </c>
      <c r="E1903">
        <v>7.9</v>
      </c>
      <c r="F1903">
        <v>4.12</v>
      </c>
      <c r="G1903">
        <v>1.23</v>
      </c>
      <c r="H1903">
        <v>1.3</v>
      </c>
      <c r="I1903">
        <v>24.8</v>
      </c>
      <c r="J1903">
        <v>30.585999999999999</v>
      </c>
      <c r="K1903">
        <v>27</v>
      </c>
      <c r="L1903">
        <v>1.41</v>
      </c>
      <c r="M1903">
        <v>1.9</v>
      </c>
      <c r="N1903">
        <v>7.0000000000000007E-2</v>
      </c>
      <c r="O1903">
        <v>1.22</v>
      </c>
      <c r="P1903">
        <v>0.32</v>
      </c>
    </row>
    <row r="1904" spans="1:16" x14ac:dyDescent="0.25">
      <c r="A1904" s="1">
        <v>43958</v>
      </c>
      <c r="B1904">
        <v>7.15</v>
      </c>
      <c r="C1904">
        <v>144</v>
      </c>
      <c r="D1904">
        <v>2.4500000000000002</v>
      </c>
      <c r="E1904">
        <v>8.35</v>
      </c>
      <c r="F1904">
        <v>4.22</v>
      </c>
      <c r="G1904">
        <v>1.3</v>
      </c>
      <c r="H1904">
        <v>1.35</v>
      </c>
      <c r="I1904">
        <v>24.15</v>
      </c>
      <c r="J1904">
        <v>31</v>
      </c>
      <c r="K1904">
        <v>26.5</v>
      </c>
      <c r="L1904">
        <v>1.42</v>
      </c>
      <c r="M1904">
        <v>1.9</v>
      </c>
      <c r="N1904">
        <v>6.7000000000000004E-2</v>
      </c>
      <c r="O1904">
        <v>1.24</v>
      </c>
      <c r="P1904">
        <v>0.33</v>
      </c>
    </row>
    <row r="1905" spans="1:16" x14ac:dyDescent="0.25">
      <c r="A1905" s="1">
        <v>43959</v>
      </c>
      <c r="B1905">
        <v>7.49</v>
      </c>
      <c r="C1905">
        <v>146</v>
      </c>
      <c r="D1905">
        <v>2.5</v>
      </c>
      <c r="E1905">
        <v>8.4</v>
      </c>
      <c r="F1905">
        <v>4.3</v>
      </c>
      <c r="G1905">
        <v>1.36</v>
      </c>
      <c r="H1905">
        <v>1.4</v>
      </c>
      <c r="I1905">
        <v>25.48</v>
      </c>
      <c r="J1905">
        <v>31</v>
      </c>
      <c r="K1905">
        <v>27.5</v>
      </c>
      <c r="L1905">
        <v>1.4</v>
      </c>
      <c r="M1905">
        <v>1.9</v>
      </c>
      <c r="N1905">
        <v>6.8000000000000005E-2</v>
      </c>
      <c r="O1905">
        <v>1.25</v>
      </c>
      <c r="P1905">
        <v>0.34899999999999998</v>
      </c>
    </row>
    <row r="1906" spans="1:16" x14ac:dyDescent="0.25">
      <c r="A1906" s="1">
        <v>43962</v>
      </c>
      <c r="B1906">
        <v>7.55</v>
      </c>
      <c r="C1906">
        <v>141.69999999999999</v>
      </c>
      <c r="D1906">
        <v>2.5</v>
      </c>
      <c r="E1906">
        <v>8.1</v>
      </c>
      <c r="F1906">
        <v>4.45</v>
      </c>
      <c r="G1906">
        <v>1.31</v>
      </c>
      <c r="H1906">
        <v>1.33</v>
      </c>
      <c r="I1906">
        <v>25.44</v>
      </c>
      <c r="J1906">
        <v>30.99</v>
      </c>
      <c r="K1906">
        <v>27.5</v>
      </c>
      <c r="L1906">
        <v>1.44</v>
      </c>
      <c r="M1906">
        <v>1.92</v>
      </c>
      <c r="N1906">
        <v>7.0000000000000007E-2</v>
      </c>
      <c r="O1906">
        <v>1.3</v>
      </c>
      <c r="P1906">
        <v>0.35</v>
      </c>
    </row>
    <row r="1907" spans="1:16" x14ac:dyDescent="0.25">
      <c r="A1907" s="1">
        <v>43963</v>
      </c>
      <c r="B1907">
        <v>7.81</v>
      </c>
      <c r="C1907">
        <v>141.5</v>
      </c>
      <c r="D1907">
        <v>2.62</v>
      </c>
      <c r="E1907">
        <v>7.95</v>
      </c>
      <c r="F1907">
        <v>4.8</v>
      </c>
      <c r="G1907">
        <v>1.31</v>
      </c>
      <c r="H1907">
        <v>1.35</v>
      </c>
      <c r="I1907">
        <v>26.55</v>
      </c>
      <c r="J1907">
        <v>32.5</v>
      </c>
      <c r="K1907">
        <v>27.49</v>
      </c>
      <c r="L1907">
        <v>1.46</v>
      </c>
      <c r="M1907">
        <v>1.88</v>
      </c>
      <c r="N1907">
        <v>7.1999999999999995E-2</v>
      </c>
      <c r="O1907">
        <v>1.37</v>
      </c>
      <c r="P1907">
        <v>0.34</v>
      </c>
    </row>
    <row r="1908" spans="1:16" x14ac:dyDescent="0.25">
      <c r="A1908" s="1">
        <v>43964</v>
      </c>
      <c r="B1908">
        <v>7.6</v>
      </c>
      <c r="C1908">
        <v>135.84</v>
      </c>
      <c r="D1908">
        <v>2.58</v>
      </c>
      <c r="E1908">
        <v>8.1</v>
      </c>
      <c r="F1908">
        <v>4.7</v>
      </c>
      <c r="G1908">
        <v>1.3</v>
      </c>
      <c r="H1908">
        <v>1.3</v>
      </c>
      <c r="I1908">
        <v>25</v>
      </c>
      <c r="J1908">
        <v>31</v>
      </c>
      <c r="K1908">
        <v>27.1</v>
      </c>
      <c r="L1908">
        <v>1.4</v>
      </c>
      <c r="M1908">
        <v>1.84</v>
      </c>
      <c r="N1908">
        <v>6.7000000000000004E-2</v>
      </c>
      <c r="O1908">
        <v>1.35</v>
      </c>
      <c r="P1908">
        <v>0.32</v>
      </c>
    </row>
    <row r="1909" spans="1:16" x14ac:dyDescent="0.25">
      <c r="A1909" s="1">
        <v>43965</v>
      </c>
      <c r="B1909">
        <v>7.6</v>
      </c>
      <c r="C1909">
        <v>136.4</v>
      </c>
      <c r="D1909">
        <v>2.58</v>
      </c>
      <c r="E1909">
        <v>7.94</v>
      </c>
      <c r="F1909">
        <v>4.7</v>
      </c>
      <c r="G1909">
        <v>1.27</v>
      </c>
      <c r="H1909">
        <v>1.32</v>
      </c>
      <c r="I1909">
        <v>24.5</v>
      </c>
      <c r="J1909">
        <v>30.99</v>
      </c>
      <c r="K1909">
        <v>26.8</v>
      </c>
      <c r="L1909">
        <v>1.4</v>
      </c>
      <c r="M1909">
        <v>1.8</v>
      </c>
      <c r="N1909">
        <v>6.8000000000000005E-2</v>
      </c>
      <c r="O1909">
        <v>1.3</v>
      </c>
      <c r="P1909">
        <v>0.31</v>
      </c>
    </row>
    <row r="1910" spans="1:16" x14ac:dyDescent="0.25">
      <c r="A1910" s="1">
        <v>43966</v>
      </c>
      <c r="B1910">
        <v>7.6</v>
      </c>
      <c r="C1910">
        <v>133.4</v>
      </c>
      <c r="D1910">
        <v>2.5499999999999998</v>
      </c>
      <c r="E1910">
        <v>8.35</v>
      </c>
      <c r="F1910">
        <v>4.7</v>
      </c>
      <c r="G1910">
        <v>1.33</v>
      </c>
      <c r="H1910">
        <v>1.41</v>
      </c>
      <c r="I1910">
        <v>25.4</v>
      </c>
      <c r="J1910">
        <v>32.299999999999997</v>
      </c>
      <c r="K1910">
        <v>26.4</v>
      </c>
      <c r="L1910">
        <v>1.4</v>
      </c>
      <c r="M1910">
        <v>1.78</v>
      </c>
      <c r="N1910">
        <v>6.9000000000000006E-2</v>
      </c>
      <c r="O1910">
        <v>1.3</v>
      </c>
      <c r="P1910">
        <v>0.31</v>
      </c>
    </row>
    <row r="1911" spans="1:16" x14ac:dyDescent="0.25">
      <c r="A1911" s="1">
        <v>43969</v>
      </c>
      <c r="B1911">
        <v>7.99</v>
      </c>
      <c r="C1911">
        <v>136.13999999999999</v>
      </c>
      <c r="D1911">
        <v>2.59</v>
      </c>
      <c r="E1911">
        <v>8.75</v>
      </c>
      <c r="F1911">
        <v>4.79</v>
      </c>
      <c r="G1911">
        <v>1.37</v>
      </c>
      <c r="H1911">
        <v>1.41</v>
      </c>
      <c r="I1911">
        <v>25</v>
      </c>
      <c r="J1911">
        <v>32.299999999999997</v>
      </c>
      <c r="K1911">
        <v>26.4</v>
      </c>
      <c r="L1911">
        <v>1.4</v>
      </c>
      <c r="M1911">
        <v>1.78</v>
      </c>
      <c r="N1911">
        <v>7.0000000000000007E-2</v>
      </c>
      <c r="O1911">
        <v>1.34</v>
      </c>
      <c r="P1911">
        <v>0.33</v>
      </c>
    </row>
    <row r="1912" spans="1:16" x14ac:dyDescent="0.25">
      <c r="A1912" s="1">
        <v>43970</v>
      </c>
      <c r="B1912">
        <v>7.95</v>
      </c>
      <c r="C1912">
        <v>133</v>
      </c>
      <c r="D1912">
        <v>2.6</v>
      </c>
      <c r="E1912">
        <v>8.06</v>
      </c>
      <c r="F1912">
        <v>4.8</v>
      </c>
      <c r="G1912">
        <v>1.32</v>
      </c>
      <c r="H1912">
        <v>1.36</v>
      </c>
      <c r="I1912">
        <v>24.5</v>
      </c>
      <c r="J1912">
        <v>32</v>
      </c>
      <c r="K1912">
        <v>26.2</v>
      </c>
      <c r="L1912">
        <v>1.4</v>
      </c>
      <c r="M1912">
        <v>1.86</v>
      </c>
      <c r="N1912">
        <v>6.8000000000000005E-2</v>
      </c>
      <c r="O1912">
        <v>1.39</v>
      </c>
      <c r="P1912">
        <v>0.34</v>
      </c>
    </row>
    <row r="1913" spans="1:16" x14ac:dyDescent="0.25">
      <c r="A1913" s="1">
        <v>43971</v>
      </c>
      <c r="B1913">
        <v>7.89</v>
      </c>
      <c r="C1913">
        <v>133</v>
      </c>
      <c r="D1913">
        <v>2.61</v>
      </c>
      <c r="E1913">
        <v>8.3800000000000008</v>
      </c>
      <c r="F1913">
        <v>4.75</v>
      </c>
      <c r="G1913">
        <v>1.34</v>
      </c>
      <c r="H1913">
        <v>1.39</v>
      </c>
      <c r="I1913">
        <v>24.75</v>
      </c>
      <c r="J1913">
        <v>31.5</v>
      </c>
      <c r="K1913">
        <v>26.2</v>
      </c>
      <c r="L1913">
        <v>1.44</v>
      </c>
      <c r="M1913">
        <v>1.78</v>
      </c>
      <c r="N1913">
        <v>6.8000000000000005E-2</v>
      </c>
      <c r="O1913">
        <v>1.4</v>
      </c>
      <c r="P1913">
        <v>0.34499999999999997</v>
      </c>
    </row>
    <row r="1914" spans="1:16" x14ac:dyDescent="0.25">
      <c r="A1914" s="1">
        <v>43972</v>
      </c>
      <c r="B1914">
        <v>7.75</v>
      </c>
      <c r="C1914">
        <v>134</v>
      </c>
      <c r="D1914">
        <v>2.62</v>
      </c>
      <c r="E1914">
        <v>8.3000000000000007</v>
      </c>
      <c r="F1914">
        <v>4.8</v>
      </c>
      <c r="G1914">
        <v>1.34</v>
      </c>
      <c r="H1914">
        <v>1.38</v>
      </c>
      <c r="I1914">
        <v>24.85</v>
      </c>
      <c r="J1914">
        <v>31.2</v>
      </c>
      <c r="K1914">
        <v>26.2</v>
      </c>
      <c r="L1914">
        <v>1.43</v>
      </c>
      <c r="M1914">
        <v>1.75</v>
      </c>
      <c r="N1914">
        <v>7.0000000000000007E-2</v>
      </c>
      <c r="O1914">
        <v>1.37</v>
      </c>
      <c r="P1914">
        <v>0.34499999999999997</v>
      </c>
    </row>
    <row r="1915" spans="1:16" x14ac:dyDescent="0.25">
      <c r="A1915" s="1">
        <v>43973</v>
      </c>
      <c r="B1915">
        <v>7.72</v>
      </c>
      <c r="C1915">
        <v>132.30000000000001</v>
      </c>
      <c r="D1915">
        <v>2.61</v>
      </c>
      <c r="E1915">
        <v>8.06</v>
      </c>
      <c r="F1915">
        <v>4.84</v>
      </c>
      <c r="G1915">
        <v>1.37</v>
      </c>
      <c r="H1915">
        <v>1.44</v>
      </c>
      <c r="I1915">
        <v>24.5</v>
      </c>
      <c r="J1915">
        <v>31</v>
      </c>
      <c r="K1915">
        <v>25.99</v>
      </c>
      <c r="L1915">
        <v>1.41</v>
      </c>
      <c r="M1915">
        <v>1.8</v>
      </c>
      <c r="N1915">
        <v>6.9000000000000006E-2</v>
      </c>
      <c r="O1915">
        <v>1.34</v>
      </c>
      <c r="P1915">
        <v>0.34</v>
      </c>
    </row>
    <row r="1916" spans="1:16" x14ac:dyDescent="0.25">
      <c r="A1916" s="1">
        <v>43976</v>
      </c>
      <c r="B1916">
        <v>7.7</v>
      </c>
      <c r="C1916">
        <v>132.30000000000001</v>
      </c>
      <c r="D1916">
        <v>2.63</v>
      </c>
      <c r="E1916">
        <v>8.06</v>
      </c>
      <c r="F1916">
        <v>4.84</v>
      </c>
      <c r="G1916">
        <v>1.41</v>
      </c>
      <c r="H1916">
        <v>1.42</v>
      </c>
      <c r="I1916">
        <v>25.1</v>
      </c>
      <c r="J1916">
        <v>31</v>
      </c>
      <c r="K1916">
        <v>25.99</v>
      </c>
      <c r="L1916">
        <v>1.41</v>
      </c>
      <c r="M1916">
        <v>1.8</v>
      </c>
      <c r="N1916">
        <v>6.9000000000000006E-2</v>
      </c>
      <c r="O1916">
        <v>1.38</v>
      </c>
      <c r="P1916">
        <v>0.33700000000000002</v>
      </c>
    </row>
    <row r="1917" spans="1:16" x14ac:dyDescent="0.25">
      <c r="A1917" s="1">
        <v>43977</v>
      </c>
      <c r="B1917">
        <v>7.6</v>
      </c>
      <c r="C1917">
        <v>136.65</v>
      </c>
      <c r="D1917">
        <v>2.67</v>
      </c>
      <c r="E1917">
        <v>8</v>
      </c>
      <c r="F1917">
        <v>4.79</v>
      </c>
      <c r="G1917">
        <v>1.4</v>
      </c>
      <c r="H1917">
        <v>1.39</v>
      </c>
      <c r="I1917">
        <v>25.25</v>
      </c>
      <c r="J1917">
        <v>31</v>
      </c>
      <c r="K1917">
        <v>25.9</v>
      </c>
      <c r="L1917">
        <v>1.41</v>
      </c>
      <c r="M1917">
        <v>1.8</v>
      </c>
      <c r="N1917">
        <v>6.7000000000000004E-2</v>
      </c>
      <c r="O1917">
        <v>1.38</v>
      </c>
      <c r="P1917">
        <v>0.34</v>
      </c>
    </row>
    <row r="1918" spans="1:16" x14ac:dyDescent="0.25">
      <c r="A1918" s="1">
        <v>43978</v>
      </c>
      <c r="B1918">
        <v>7.55</v>
      </c>
      <c r="C1918">
        <v>141.13</v>
      </c>
      <c r="D1918">
        <v>2.69</v>
      </c>
      <c r="E1918">
        <v>8.19</v>
      </c>
      <c r="F1918">
        <v>4.79</v>
      </c>
      <c r="G1918">
        <v>1.41</v>
      </c>
      <c r="H1918">
        <v>1.4</v>
      </c>
      <c r="I1918">
        <v>26.4</v>
      </c>
      <c r="J1918">
        <v>30.5</v>
      </c>
      <c r="K1918">
        <v>26.99</v>
      </c>
      <c r="L1918">
        <v>1.45</v>
      </c>
      <c r="M1918">
        <v>1.8</v>
      </c>
      <c r="N1918">
        <v>6.3E-2</v>
      </c>
      <c r="O1918">
        <v>1.37</v>
      </c>
      <c r="P1918">
        <v>0.33500000000000002</v>
      </c>
    </row>
    <row r="1919" spans="1:16" x14ac:dyDescent="0.25">
      <c r="A1919" s="1">
        <v>43979</v>
      </c>
      <c r="B1919">
        <v>7.75</v>
      </c>
      <c r="C1919">
        <v>141.5</v>
      </c>
      <c r="D1919">
        <v>2.69</v>
      </c>
      <c r="E1919">
        <v>8.1199999999999992</v>
      </c>
      <c r="F1919">
        <v>4.7</v>
      </c>
      <c r="G1919">
        <v>1.42</v>
      </c>
      <c r="H1919">
        <v>1.41</v>
      </c>
      <c r="I1919">
        <v>26.45</v>
      </c>
      <c r="J1919">
        <v>30.5</v>
      </c>
      <c r="K1919">
        <v>27.25</v>
      </c>
      <c r="L1919">
        <v>1.49</v>
      </c>
      <c r="M1919">
        <v>1.8</v>
      </c>
      <c r="N1919">
        <v>0.06</v>
      </c>
      <c r="O1919">
        <v>1.37</v>
      </c>
      <c r="P1919">
        <v>0.317</v>
      </c>
    </row>
    <row r="1920" spans="1:16" x14ac:dyDescent="0.25">
      <c r="A1920" s="1">
        <v>43980</v>
      </c>
      <c r="B1920">
        <v>7.8</v>
      </c>
      <c r="C1920">
        <v>137</v>
      </c>
      <c r="D1920">
        <v>2.67</v>
      </c>
      <c r="E1920">
        <v>7.79</v>
      </c>
      <c r="F1920">
        <v>4.75</v>
      </c>
      <c r="G1920">
        <v>1.44</v>
      </c>
      <c r="H1920">
        <v>1.5</v>
      </c>
      <c r="I1920">
        <v>25.62</v>
      </c>
      <c r="J1920">
        <v>30.71</v>
      </c>
      <c r="K1920">
        <v>26.5</v>
      </c>
      <c r="L1920">
        <v>1.49</v>
      </c>
      <c r="M1920">
        <v>1.8</v>
      </c>
      <c r="N1920">
        <v>5.8000000000000003E-2</v>
      </c>
      <c r="O1920">
        <v>1.4</v>
      </c>
      <c r="P1920">
        <v>0.33200000000000002</v>
      </c>
    </row>
    <row r="1921" spans="1:16" x14ac:dyDescent="0.25">
      <c r="A1921" s="1">
        <v>43983</v>
      </c>
      <c r="B1921">
        <v>7.75</v>
      </c>
      <c r="C1921">
        <v>140.5</v>
      </c>
      <c r="D1921">
        <v>2.67</v>
      </c>
      <c r="E1921">
        <v>8.26</v>
      </c>
      <c r="F1921">
        <v>4.7</v>
      </c>
      <c r="G1921">
        <v>1.4</v>
      </c>
      <c r="H1921">
        <v>1.5</v>
      </c>
      <c r="I1921">
        <v>25.34</v>
      </c>
      <c r="J1921">
        <v>31.5</v>
      </c>
      <c r="K1921">
        <v>26.5</v>
      </c>
      <c r="L1921">
        <v>1.49</v>
      </c>
      <c r="M1921">
        <v>1.8</v>
      </c>
      <c r="N1921">
        <v>5.8000000000000003E-2</v>
      </c>
      <c r="O1921">
        <v>1.38</v>
      </c>
      <c r="P1921">
        <v>0.33</v>
      </c>
    </row>
    <row r="1922" spans="1:16" x14ac:dyDescent="0.25">
      <c r="A1922" s="1">
        <v>43984</v>
      </c>
      <c r="B1922">
        <v>7.8</v>
      </c>
      <c r="C1922">
        <v>143</v>
      </c>
      <c r="D1922">
        <v>2.5739999999999998</v>
      </c>
      <c r="E1922">
        <v>8.06</v>
      </c>
      <c r="F1922">
        <v>4.75</v>
      </c>
      <c r="G1922">
        <v>1.41</v>
      </c>
      <c r="H1922">
        <v>1.55</v>
      </c>
      <c r="I1922">
        <v>25.3</v>
      </c>
      <c r="J1922">
        <v>32.5</v>
      </c>
      <c r="K1922">
        <v>27</v>
      </c>
      <c r="L1922">
        <v>1.49</v>
      </c>
      <c r="M1922">
        <v>1.8</v>
      </c>
      <c r="N1922">
        <v>5.8000000000000003E-2</v>
      </c>
      <c r="O1922">
        <v>1.4</v>
      </c>
      <c r="P1922">
        <v>0.32600000000000001</v>
      </c>
    </row>
    <row r="1923" spans="1:16" x14ac:dyDescent="0.25">
      <c r="A1923" s="1">
        <v>43985</v>
      </c>
      <c r="B1923">
        <v>7.92</v>
      </c>
      <c r="C1923">
        <v>151.33000000000001</v>
      </c>
      <c r="D1923">
        <v>2.61</v>
      </c>
      <c r="E1923">
        <v>8.44</v>
      </c>
      <c r="F1923">
        <v>4.9000000000000004</v>
      </c>
      <c r="G1923">
        <v>1.43</v>
      </c>
      <c r="H1923">
        <v>1.6</v>
      </c>
      <c r="I1923">
        <v>27.9</v>
      </c>
      <c r="J1923">
        <v>33</v>
      </c>
      <c r="K1923">
        <v>27</v>
      </c>
      <c r="L1923">
        <v>1.51</v>
      </c>
      <c r="M1923">
        <v>1.86</v>
      </c>
      <c r="N1923">
        <v>6.2E-2</v>
      </c>
      <c r="O1923">
        <v>1.47</v>
      </c>
      <c r="P1923">
        <v>0.33300000000000002</v>
      </c>
    </row>
    <row r="1924" spans="1:16" x14ac:dyDescent="0.25">
      <c r="A1924" s="1">
        <v>43986</v>
      </c>
      <c r="B1924">
        <v>8.1300000000000008</v>
      </c>
      <c r="C1924">
        <v>154.69999999999999</v>
      </c>
      <c r="D1924">
        <v>2.61</v>
      </c>
      <c r="E1924">
        <v>8.5</v>
      </c>
      <c r="F1924">
        <v>4.9000000000000004</v>
      </c>
      <c r="G1924">
        <v>1.43</v>
      </c>
      <c r="H1924">
        <v>1.6</v>
      </c>
      <c r="I1924">
        <v>27.5</v>
      </c>
      <c r="J1924">
        <v>33.4</v>
      </c>
      <c r="K1924">
        <v>27</v>
      </c>
      <c r="L1924">
        <v>1.52</v>
      </c>
      <c r="M1924">
        <v>1.9</v>
      </c>
      <c r="N1924">
        <v>6.5000000000000002E-2</v>
      </c>
      <c r="O1924">
        <v>1.5</v>
      </c>
      <c r="P1924">
        <v>0.34</v>
      </c>
    </row>
    <row r="1925" spans="1:16" x14ac:dyDescent="0.25">
      <c r="A1925" s="1">
        <v>43987</v>
      </c>
      <c r="B1925">
        <v>8.65</v>
      </c>
      <c r="C1925">
        <v>165.6</v>
      </c>
      <c r="D1925">
        <v>2.63</v>
      </c>
      <c r="E1925">
        <v>8.6</v>
      </c>
      <c r="F1925">
        <v>5</v>
      </c>
      <c r="G1925">
        <v>1.52</v>
      </c>
      <c r="H1925">
        <v>1.62</v>
      </c>
      <c r="I1925">
        <v>28.69</v>
      </c>
      <c r="J1925">
        <v>35.5</v>
      </c>
      <c r="K1925">
        <v>27.5</v>
      </c>
      <c r="L1925">
        <v>1.56</v>
      </c>
      <c r="M1925">
        <v>2.1</v>
      </c>
      <c r="N1925">
        <v>6.8000000000000005E-2</v>
      </c>
      <c r="O1925">
        <v>1.55</v>
      </c>
      <c r="P1925">
        <v>0.35799999999999998</v>
      </c>
    </row>
    <row r="1926" spans="1:16" x14ac:dyDescent="0.25">
      <c r="A1926" s="1">
        <v>43990</v>
      </c>
      <c r="B1926">
        <v>8.6</v>
      </c>
      <c r="C1926">
        <v>169.05</v>
      </c>
      <c r="D1926">
        <v>2.65</v>
      </c>
      <c r="E1926">
        <v>8.91</v>
      </c>
      <c r="F1926">
        <v>5</v>
      </c>
      <c r="G1926">
        <v>1.54</v>
      </c>
      <c r="H1926">
        <v>1.6</v>
      </c>
      <c r="I1926">
        <v>30.68</v>
      </c>
      <c r="J1926">
        <v>35.53</v>
      </c>
      <c r="K1926">
        <v>27.49</v>
      </c>
      <c r="L1926">
        <v>1.59</v>
      </c>
      <c r="M1926">
        <v>2.2999999999999998</v>
      </c>
      <c r="N1926">
        <v>7.0000000000000007E-2</v>
      </c>
      <c r="O1926">
        <v>1.58</v>
      </c>
      <c r="P1926">
        <v>0.37</v>
      </c>
    </row>
    <row r="1927" spans="1:16" x14ac:dyDescent="0.25">
      <c r="A1927" s="1">
        <v>43991</v>
      </c>
      <c r="B1927">
        <v>8.4499999999999993</v>
      </c>
      <c r="C1927">
        <v>166.1</v>
      </c>
      <c r="D1927">
        <v>2.69</v>
      </c>
      <c r="E1927">
        <v>8.4</v>
      </c>
      <c r="F1927">
        <v>4.95</v>
      </c>
      <c r="G1927">
        <v>1.48</v>
      </c>
      <c r="H1927">
        <v>1.55</v>
      </c>
      <c r="I1927">
        <v>29.7</v>
      </c>
      <c r="J1927">
        <v>35.6</v>
      </c>
      <c r="K1927">
        <v>27.49</v>
      </c>
      <c r="L1927">
        <v>1.61</v>
      </c>
      <c r="M1927">
        <v>2.2999999999999998</v>
      </c>
      <c r="N1927">
        <v>7.0000000000000007E-2</v>
      </c>
      <c r="O1927">
        <v>1.55</v>
      </c>
      <c r="P1927">
        <v>0.36</v>
      </c>
    </row>
    <row r="1928" spans="1:16" x14ac:dyDescent="0.25">
      <c r="A1928" s="1">
        <v>43992</v>
      </c>
      <c r="B1928">
        <v>8.4499999999999993</v>
      </c>
      <c r="C1928">
        <v>160.6</v>
      </c>
      <c r="D1928">
        <v>2.72</v>
      </c>
      <c r="E1928">
        <v>9.1999999999999993</v>
      </c>
      <c r="F1928">
        <v>4.9000000000000004</v>
      </c>
      <c r="G1928">
        <v>1.45</v>
      </c>
      <c r="H1928">
        <v>1.55</v>
      </c>
      <c r="I1928">
        <v>29.84</v>
      </c>
      <c r="J1928">
        <v>35.9</v>
      </c>
      <c r="K1928">
        <v>27.49</v>
      </c>
      <c r="L1928">
        <v>1.61</v>
      </c>
      <c r="M1928">
        <v>2.2999999999999998</v>
      </c>
      <c r="N1928">
        <v>6.9000000000000006E-2</v>
      </c>
      <c r="O1928">
        <v>1.56</v>
      </c>
      <c r="P1928">
        <v>0.36499999999999999</v>
      </c>
    </row>
    <row r="1929" spans="1:16" x14ac:dyDescent="0.25">
      <c r="A1929" s="1">
        <v>43993</v>
      </c>
      <c r="B1929">
        <v>8.23</v>
      </c>
      <c r="C1929">
        <v>154.5</v>
      </c>
      <c r="D1929">
        <v>2.6</v>
      </c>
      <c r="E1929">
        <v>8.11</v>
      </c>
      <c r="F1929">
        <v>4.7</v>
      </c>
      <c r="G1929">
        <v>1.38</v>
      </c>
      <c r="H1929">
        <v>1.5</v>
      </c>
      <c r="I1929">
        <v>29.82</v>
      </c>
      <c r="J1929">
        <v>35.5</v>
      </c>
      <c r="K1929">
        <v>27.49</v>
      </c>
      <c r="L1929">
        <v>1.56</v>
      </c>
      <c r="M1929">
        <v>2.2999999999999998</v>
      </c>
      <c r="N1929">
        <v>6.4000000000000001E-2</v>
      </c>
      <c r="O1929">
        <v>1.45</v>
      </c>
      <c r="P1929">
        <v>0.34</v>
      </c>
    </row>
    <row r="1930" spans="1:16" x14ac:dyDescent="0.25">
      <c r="A1930" s="1">
        <v>43994</v>
      </c>
      <c r="B1930">
        <v>8.1999999999999993</v>
      </c>
      <c r="C1930">
        <v>156.01</v>
      </c>
      <c r="D1930">
        <v>2.63</v>
      </c>
      <c r="E1930">
        <v>8.4499999999999993</v>
      </c>
      <c r="F1930">
        <v>4.75</v>
      </c>
      <c r="G1930">
        <v>1.4</v>
      </c>
      <c r="H1930">
        <v>1.59</v>
      </c>
      <c r="I1930">
        <v>29.9</v>
      </c>
      <c r="J1930">
        <v>35.479999999999997</v>
      </c>
      <c r="K1930">
        <v>27.15</v>
      </c>
      <c r="L1930">
        <v>1.56</v>
      </c>
      <c r="M1930">
        <v>2.1</v>
      </c>
      <c r="N1930">
        <v>6.7000000000000004E-2</v>
      </c>
      <c r="O1930">
        <v>1.54</v>
      </c>
      <c r="P1930">
        <v>0.34599999999999997</v>
      </c>
    </row>
    <row r="1931" spans="1:16" x14ac:dyDescent="0.25">
      <c r="A1931" s="1">
        <v>43997</v>
      </c>
      <c r="B1931">
        <v>8.15</v>
      </c>
      <c r="C1931">
        <v>158</v>
      </c>
      <c r="D1931">
        <v>2.6</v>
      </c>
      <c r="E1931">
        <v>8.9</v>
      </c>
      <c r="F1931">
        <v>4.75</v>
      </c>
      <c r="G1931">
        <v>1.38</v>
      </c>
      <c r="H1931">
        <v>1.62</v>
      </c>
      <c r="I1931">
        <v>30.2</v>
      </c>
      <c r="J1931">
        <v>35</v>
      </c>
      <c r="K1931">
        <v>27.49</v>
      </c>
      <c r="L1931">
        <v>1.54</v>
      </c>
      <c r="M1931">
        <v>2.1</v>
      </c>
      <c r="N1931">
        <v>6.5000000000000002E-2</v>
      </c>
      <c r="O1931">
        <v>1.51</v>
      </c>
      <c r="P1931">
        <v>0.33500000000000002</v>
      </c>
    </row>
    <row r="1932" spans="1:16" x14ac:dyDescent="0.25">
      <c r="A1932" s="1">
        <v>43998</v>
      </c>
      <c r="B1932">
        <v>8.4499999999999993</v>
      </c>
      <c r="C1932">
        <v>157.13999999999999</v>
      </c>
      <c r="D1932">
        <v>2.65</v>
      </c>
      <c r="E1932">
        <v>8.6</v>
      </c>
      <c r="F1932">
        <v>4.9000000000000004</v>
      </c>
      <c r="G1932">
        <v>1.41</v>
      </c>
      <c r="H1932">
        <v>1.6</v>
      </c>
      <c r="I1932">
        <v>30</v>
      </c>
      <c r="J1932">
        <v>35</v>
      </c>
      <c r="K1932">
        <v>27.15</v>
      </c>
      <c r="L1932">
        <v>1.54</v>
      </c>
      <c r="M1932">
        <v>2.1</v>
      </c>
      <c r="N1932">
        <v>6.8000000000000005E-2</v>
      </c>
      <c r="O1932">
        <v>1.6</v>
      </c>
      <c r="P1932">
        <v>0.34699999999999998</v>
      </c>
    </row>
    <row r="1933" spans="1:16" x14ac:dyDescent="0.25">
      <c r="A1933" s="1">
        <v>43999</v>
      </c>
      <c r="B1933">
        <v>8.3699999999999992</v>
      </c>
      <c r="C1933">
        <v>154.03</v>
      </c>
      <c r="D1933">
        <v>2.7</v>
      </c>
      <c r="E1933">
        <v>8.6</v>
      </c>
      <c r="F1933">
        <v>5.0999999999999996</v>
      </c>
      <c r="G1933">
        <v>1.45</v>
      </c>
      <c r="H1933">
        <v>1.62</v>
      </c>
      <c r="I1933">
        <v>30.5</v>
      </c>
      <c r="J1933">
        <v>35</v>
      </c>
      <c r="K1933">
        <v>26.4</v>
      </c>
      <c r="L1933">
        <v>1.54</v>
      </c>
      <c r="M1933">
        <v>2.2000000000000002</v>
      </c>
      <c r="N1933">
        <v>6.8000000000000005E-2</v>
      </c>
      <c r="O1933">
        <v>1.6</v>
      </c>
      <c r="P1933">
        <v>0.35499999999999998</v>
      </c>
    </row>
    <row r="1934" spans="1:16" x14ac:dyDescent="0.25">
      <c r="A1934" s="1">
        <v>44000</v>
      </c>
      <c r="B1934">
        <v>8.27</v>
      </c>
      <c r="C1934">
        <v>150.25</v>
      </c>
      <c r="D1934">
        <v>2.7</v>
      </c>
      <c r="E1934">
        <v>8.61</v>
      </c>
      <c r="F1934">
        <v>5.0999999999999996</v>
      </c>
      <c r="G1934">
        <v>1.42</v>
      </c>
      <c r="H1934">
        <v>1.62</v>
      </c>
      <c r="I1934">
        <v>30.45</v>
      </c>
      <c r="J1934">
        <v>34.5</v>
      </c>
      <c r="K1934">
        <v>26.03</v>
      </c>
      <c r="L1934">
        <v>1.54</v>
      </c>
      <c r="M1934">
        <v>2.2400000000000002</v>
      </c>
      <c r="N1934">
        <v>6.6000000000000003E-2</v>
      </c>
      <c r="O1934">
        <v>1.6</v>
      </c>
      <c r="P1934">
        <v>0.35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D72F-31AA-443E-8CD4-B4929BFE94DD}">
  <dimension ref="A1:Q1929"/>
  <sheetViews>
    <sheetView topLeftCell="A13" workbookViewId="0">
      <selection activeCell="B23" sqref="B23"/>
    </sheetView>
  </sheetViews>
  <sheetFormatPr baseColWidth="10" defaultRowHeight="15" x14ac:dyDescent="0.25"/>
  <cols>
    <col min="1" max="1" width="10.7109375" bestFit="1" customWidth="1"/>
    <col min="2" max="2" width="13" bestFit="1" customWidth="1"/>
    <col min="3" max="3" width="6.85546875" bestFit="1" customWidth="1"/>
    <col min="4" max="4" width="10.28515625" bestFit="1" customWidth="1"/>
    <col min="5" max="5" width="7.140625" bestFit="1" customWidth="1"/>
    <col min="6" max="6" width="12.42578125" bestFit="1" customWidth="1"/>
    <col min="7" max="7" width="11.85546875" bestFit="1" customWidth="1"/>
    <col min="8" max="8" width="14" style="15" bestFit="1" customWidth="1"/>
    <col min="9" max="9" width="7" bestFit="1" customWidth="1"/>
    <col min="10" max="10" width="10.5703125" bestFit="1" customWidth="1"/>
    <col min="11" max="11" width="11.28515625" bestFit="1" customWidth="1"/>
    <col min="12" max="12" width="12.28515625" bestFit="1" customWidth="1"/>
    <col min="13" max="13" width="12.42578125" bestFit="1" customWidth="1"/>
    <col min="14" max="14" width="12.140625" bestFit="1" customWidth="1"/>
    <col min="15" max="15" width="13.5703125" bestFit="1" customWidth="1"/>
    <col min="16" max="16" width="12.5703125" bestFit="1" customWidth="1"/>
    <col min="17" max="17" width="9.140625" bestFit="1" customWidth="1"/>
  </cols>
  <sheetData>
    <row r="1" spans="1:17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5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>
        <v>41191</v>
      </c>
      <c r="B2">
        <v>6.82</v>
      </c>
      <c r="C2">
        <v>119.02</v>
      </c>
      <c r="D2">
        <v>4.58</v>
      </c>
      <c r="E2">
        <v>37.25</v>
      </c>
      <c r="F2">
        <v>5.68</v>
      </c>
      <c r="G2">
        <v>1.8</v>
      </c>
      <c r="H2" s="15">
        <v>8.3800000000000008</v>
      </c>
      <c r="I2">
        <v>30.32</v>
      </c>
      <c r="J2">
        <v>20.100000000000001</v>
      </c>
      <c r="K2">
        <v>7.35</v>
      </c>
      <c r="L2">
        <v>2.31</v>
      </c>
      <c r="M2">
        <v>3.52</v>
      </c>
      <c r="N2">
        <v>0.47</v>
      </c>
      <c r="O2">
        <v>2.96</v>
      </c>
      <c r="P2">
        <v>2.2999999999999998</v>
      </c>
      <c r="Q2">
        <v>15</v>
      </c>
    </row>
    <row r="3" spans="1:17" x14ac:dyDescent="0.25">
      <c r="A3" s="1">
        <v>41192</v>
      </c>
      <c r="B3">
        <v>6.86</v>
      </c>
      <c r="C3">
        <v>119.76</v>
      </c>
      <c r="D3">
        <v>4.5999999999999996</v>
      </c>
      <c r="E3">
        <v>37.049999999999997</v>
      </c>
      <c r="F3">
        <v>5.68</v>
      </c>
      <c r="G3">
        <v>1.79</v>
      </c>
      <c r="H3" s="15">
        <v>8.43</v>
      </c>
      <c r="I3">
        <v>30.51</v>
      </c>
      <c r="J3">
        <v>20.3</v>
      </c>
      <c r="K3">
        <v>7.46</v>
      </c>
      <c r="L3">
        <v>2.29</v>
      </c>
      <c r="M3">
        <v>3.51</v>
      </c>
      <c r="N3">
        <v>0.47</v>
      </c>
      <c r="O3">
        <v>2.97</v>
      </c>
      <c r="P3">
        <v>2.2599999999999998</v>
      </c>
      <c r="Q3">
        <v>15</v>
      </c>
    </row>
    <row r="4" spans="1:17" x14ac:dyDescent="0.25">
      <c r="A4" s="1">
        <v>41193</v>
      </c>
      <c r="B4">
        <v>6.9</v>
      </c>
      <c r="C4">
        <v>119.03</v>
      </c>
      <c r="D4">
        <v>4.59</v>
      </c>
      <c r="E4">
        <v>37.299999999999997</v>
      </c>
      <c r="F4">
        <v>5.77</v>
      </c>
      <c r="G4">
        <v>1.74</v>
      </c>
      <c r="H4" s="15">
        <v>8.43</v>
      </c>
      <c r="I4">
        <v>30.51</v>
      </c>
      <c r="J4">
        <v>20.09</v>
      </c>
      <c r="K4">
        <v>7.46</v>
      </c>
      <c r="L4">
        <v>2.31</v>
      </c>
      <c r="M4">
        <v>3.51</v>
      </c>
      <c r="N4">
        <v>0.47</v>
      </c>
      <c r="O4">
        <v>3.04</v>
      </c>
      <c r="P4">
        <v>2.2799999999999998</v>
      </c>
      <c r="Q4">
        <v>15</v>
      </c>
    </row>
    <row r="5" spans="1:17" x14ac:dyDescent="0.25">
      <c r="A5" s="1">
        <v>41194</v>
      </c>
      <c r="B5">
        <v>6.91</v>
      </c>
      <c r="C5">
        <v>117.78</v>
      </c>
      <c r="D5">
        <v>4.5599999999999996</v>
      </c>
      <c r="E5">
        <v>37.1</v>
      </c>
      <c r="F5">
        <v>5.77</v>
      </c>
      <c r="G5">
        <v>1.74</v>
      </c>
      <c r="H5" s="15">
        <v>8.57</v>
      </c>
      <c r="I5">
        <v>30.51</v>
      </c>
      <c r="J5">
        <v>20.2</v>
      </c>
      <c r="K5">
        <v>7.46</v>
      </c>
      <c r="L5">
        <v>2.29</v>
      </c>
      <c r="M5">
        <v>3.51</v>
      </c>
      <c r="N5">
        <v>0.48</v>
      </c>
      <c r="O5">
        <v>3.06</v>
      </c>
      <c r="P5">
        <v>2.21</v>
      </c>
      <c r="Q5">
        <v>15</v>
      </c>
    </row>
    <row r="6" spans="1:17" x14ac:dyDescent="0.25">
      <c r="A6" s="1">
        <v>41197</v>
      </c>
      <c r="B6">
        <v>6.91</v>
      </c>
      <c r="C6">
        <v>117.79</v>
      </c>
      <c r="D6">
        <v>4.5599999999999996</v>
      </c>
      <c r="E6">
        <v>36.6</v>
      </c>
      <c r="F6">
        <v>5.73</v>
      </c>
      <c r="G6">
        <v>1.76</v>
      </c>
      <c r="H6" s="15">
        <v>8.57</v>
      </c>
      <c r="I6">
        <v>30.64</v>
      </c>
      <c r="J6">
        <v>20.399999999999999</v>
      </c>
      <c r="K6">
        <v>7.51</v>
      </c>
      <c r="L6">
        <v>2.29</v>
      </c>
      <c r="M6">
        <v>3.51</v>
      </c>
      <c r="N6">
        <v>0.48</v>
      </c>
      <c r="O6">
        <v>3.08</v>
      </c>
      <c r="P6">
        <v>2.25</v>
      </c>
      <c r="Q6">
        <v>15</v>
      </c>
    </row>
    <row r="7" spans="1:17" x14ac:dyDescent="0.25">
      <c r="A7" s="1">
        <v>41198</v>
      </c>
      <c r="B7">
        <v>6.99</v>
      </c>
      <c r="C7">
        <v>118.39</v>
      </c>
      <c r="D7">
        <v>4.5599999999999996</v>
      </c>
      <c r="E7">
        <v>36.299999999999997</v>
      </c>
      <c r="F7">
        <v>5.77</v>
      </c>
      <c r="G7">
        <v>1.76</v>
      </c>
      <c r="H7" s="15">
        <v>8.66</v>
      </c>
      <c r="I7">
        <v>30.64</v>
      </c>
      <c r="J7">
        <v>20.399999999999999</v>
      </c>
      <c r="K7">
        <v>7.59</v>
      </c>
      <c r="L7">
        <v>2.3199999999999998</v>
      </c>
      <c r="M7">
        <v>3.51</v>
      </c>
      <c r="N7">
        <v>0.48</v>
      </c>
      <c r="O7">
        <v>3.11</v>
      </c>
      <c r="P7">
        <v>2.2599999999999998</v>
      </c>
      <c r="Q7">
        <v>15</v>
      </c>
    </row>
    <row r="8" spans="1:17" x14ac:dyDescent="0.25">
      <c r="A8" s="1">
        <v>41199</v>
      </c>
      <c r="B8">
        <v>7.06</v>
      </c>
      <c r="C8">
        <v>118.53</v>
      </c>
      <c r="D8">
        <v>4.5599999999999996</v>
      </c>
      <c r="E8">
        <v>36.700000000000003</v>
      </c>
      <c r="F8">
        <v>5.82</v>
      </c>
      <c r="G8">
        <v>1.75</v>
      </c>
      <c r="H8" s="15">
        <v>8.67</v>
      </c>
      <c r="I8">
        <v>30.42</v>
      </c>
      <c r="J8">
        <v>20.399999999999999</v>
      </c>
      <c r="K8">
        <v>7.59</v>
      </c>
      <c r="L8">
        <v>2.33</v>
      </c>
      <c r="M8">
        <v>3.49</v>
      </c>
      <c r="N8">
        <v>0.48</v>
      </c>
      <c r="O8">
        <v>3.11</v>
      </c>
      <c r="P8">
        <v>2.29</v>
      </c>
      <c r="Q8">
        <v>15</v>
      </c>
    </row>
    <row r="9" spans="1:17" x14ac:dyDescent="0.25">
      <c r="A9" s="1">
        <v>41200</v>
      </c>
      <c r="B9">
        <v>7.26</v>
      </c>
      <c r="C9">
        <v>117.82</v>
      </c>
      <c r="D9">
        <v>4.53</v>
      </c>
      <c r="E9">
        <v>36.15</v>
      </c>
      <c r="F9">
        <v>5.82</v>
      </c>
      <c r="G9">
        <v>1.75</v>
      </c>
      <c r="H9" s="15">
        <v>8.74</v>
      </c>
      <c r="I9">
        <v>30.42</v>
      </c>
      <c r="J9">
        <v>20.2</v>
      </c>
      <c r="K9">
        <v>7.64</v>
      </c>
      <c r="L9">
        <v>2.33</v>
      </c>
      <c r="M9">
        <v>3.47</v>
      </c>
      <c r="N9">
        <v>0.48</v>
      </c>
      <c r="O9">
        <v>3.11</v>
      </c>
      <c r="P9">
        <v>2.27</v>
      </c>
      <c r="Q9">
        <v>15</v>
      </c>
    </row>
    <row r="10" spans="1:17" x14ac:dyDescent="0.25">
      <c r="A10" s="1">
        <v>41201</v>
      </c>
      <c r="B10">
        <v>7.4</v>
      </c>
      <c r="C10">
        <v>118.44</v>
      </c>
      <c r="D10">
        <v>4.53</v>
      </c>
      <c r="E10">
        <v>36</v>
      </c>
      <c r="F10">
        <v>5.82</v>
      </c>
      <c r="G10">
        <v>1.75</v>
      </c>
      <c r="H10" s="15" t="e">
        <v>#N/A</v>
      </c>
      <c r="I10" t="e">
        <v>#N/A</v>
      </c>
      <c r="J10">
        <v>20</v>
      </c>
      <c r="K10">
        <v>7.69</v>
      </c>
      <c r="L10">
        <v>2.3199999999999998</v>
      </c>
      <c r="M10">
        <v>3.43</v>
      </c>
      <c r="N10">
        <v>0.47</v>
      </c>
      <c r="O10">
        <v>3.1</v>
      </c>
      <c r="P10">
        <v>2.27</v>
      </c>
      <c r="Q10">
        <v>13</v>
      </c>
    </row>
    <row r="11" spans="1:17" x14ac:dyDescent="0.25">
      <c r="A11" s="1">
        <v>41204</v>
      </c>
      <c r="B11">
        <v>7.51</v>
      </c>
      <c r="C11">
        <v>118.63</v>
      </c>
      <c r="D11">
        <v>4.53</v>
      </c>
      <c r="E11">
        <v>36.4</v>
      </c>
      <c r="F11">
        <v>5.82</v>
      </c>
      <c r="G11">
        <v>1.74</v>
      </c>
      <c r="H11" s="15">
        <v>8.67</v>
      </c>
      <c r="I11">
        <v>30.14</v>
      </c>
      <c r="J11">
        <v>19.8</v>
      </c>
      <c r="K11">
        <v>7.65</v>
      </c>
      <c r="L11">
        <v>2.29</v>
      </c>
      <c r="M11">
        <v>3.41</v>
      </c>
      <c r="N11">
        <v>0.47</v>
      </c>
      <c r="O11">
        <v>3.11</v>
      </c>
      <c r="P11">
        <v>2.27</v>
      </c>
      <c r="Q11">
        <v>15</v>
      </c>
    </row>
    <row r="12" spans="1:17" x14ac:dyDescent="0.25">
      <c r="A12" s="1">
        <v>41205</v>
      </c>
      <c r="B12">
        <v>7.39</v>
      </c>
      <c r="C12">
        <v>118.16</v>
      </c>
      <c r="D12">
        <v>4.46</v>
      </c>
      <c r="E12">
        <v>35.5</v>
      </c>
      <c r="F12">
        <v>5.73</v>
      </c>
      <c r="G12">
        <v>1.74</v>
      </c>
      <c r="H12" s="15" t="e">
        <v>#N/A</v>
      </c>
      <c r="I12">
        <v>29.6</v>
      </c>
      <c r="J12">
        <v>19.399999999999999</v>
      </c>
      <c r="K12">
        <v>7.65</v>
      </c>
      <c r="L12">
        <v>2.2599999999999998</v>
      </c>
      <c r="M12">
        <v>3.31</v>
      </c>
      <c r="N12">
        <v>0.46</v>
      </c>
      <c r="O12">
        <v>3.08</v>
      </c>
      <c r="P12">
        <v>2.1800000000000002</v>
      </c>
      <c r="Q12">
        <v>14</v>
      </c>
    </row>
    <row r="13" spans="1:17" x14ac:dyDescent="0.25">
      <c r="A13" s="1">
        <v>41206</v>
      </c>
      <c r="B13">
        <v>7.28</v>
      </c>
      <c r="C13">
        <v>118.72</v>
      </c>
      <c r="D13">
        <v>4.46</v>
      </c>
      <c r="E13">
        <v>35</v>
      </c>
      <c r="F13">
        <v>5.7</v>
      </c>
      <c r="G13">
        <v>1.74</v>
      </c>
      <c r="H13" s="15">
        <v>8.6199999999999992</v>
      </c>
      <c r="I13" t="e">
        <v>#N/A</v>
      </c>
      <c r="J13">
        <v>19.25</v>
      </c>
      <c r="K13">
        <v>7.64</v>
      </c>
      <c r="L13">
        <v>2.25</v>
      </c>
      <c r="M13">
        <v>3.31</v>
      </c>
      <c r="N13">
        <v>0.47</v>
      </c>
      <c r="O13">
        <v>3.07</v>
      </c>
      <c r="P13">
        <v>2.13</v>
      </c>
      <c r="Q13">
        <v>14</v>
      </c>
    </row>
    <row r="14" spans="1:17" x14ac:dyDescent="0.25">
      <c r="A14" s="1">
        <v>41207</v>
      </c>
      <c r="B14">
        <v>7.25</v>
      </c>
      <c r="C14">
        <v>120.56</v>
      </c>
      <c r="D14">
        <v>4.46</v>
      </c>
      <c r="E14">
        <v>35.299999999999997</v>
      </c>
      <c r="F14">
        <v>5.73</v>
      </c>
      <c r="G14">
        <v>1.74</v>
      </c>
      <c r="H14" s="15" t="e">
        <v>#N/A</v>
      </c>
      <c r="I14">
        <v>29.6</v>
      </c>
      <c r="J14">
        <v>19.2</v>
      </c>
      <c r="K14">
        <v>7.64</v>
      </c>
      <c r="L14">
        <v>2.27</v>
      </c>
      <c r="M14">
        <v>3.32</v>
      </c>
      <c r="N14">
        <v>0.47</v>
      </c>
      <c r="O14">
        <v>3.06</v>
      </c>
      <c r="P14">
        <v>2.12</v>
      </c>
      <c r="Q14">
        <v>14</v>
      </c>
    </row>
    <row r="15" spans="1:17" x14ac:dyDescent="0.25">
      <c r="A15" s="1">
        <v>41208</v>
      </c>
      <c r="B15">
        <v>7.16</v>
      </c>
      <c r="C15">
        <v>119.73</v>
      </c>
      <c r="D15">
        <v>4.46</v>
      </c>
      <c r="E15">
        <v>35.200000000000003</v>
      </c>
      <c r="F15">
        <v>5.7</v>
      </c>
      <c r="G15">
        <v>1.74</v>
      </c>
      <c r="H15" s="15" t="e">
        <v>#N/A</v>
      </c>
      <c r="I15">
        <v>29.41</v>
      </c>
      <c r="J15">
        <v>19.25</v>
      </c>
      <c r="K15">
        <v>7.62</v>
      </c>
      <c r="L15">
        <v>2.25</v>
      </c>
      <c r="M15">
        <v>3.26</v>
      </c>
      <c r="N15">
        <v>0.46</v>
      </c>
      <c r="O15">
        <v>3.05</v>
      </c>
      <c r="P15">
        <v>2.13</v>
      </c>
      <c r="Q15">
        <v>14</v>
      </c>
    </row>
    <row r="16" spans="1:17" x14ac:dyDescent="0.25">
      <c r="A16" s="1">
        <v>41211</v>
      </c>
      <c r="B16">
        <v>7.16</v>
      </c>
      <c r="C16">
        <v>119.67</v>
      </c>
      <c r="D16" t="e">
        <v>#N/A</v>
      </c>
      <c r="E16">
        <v>35</v>
      </c>
      <c r="F16">
        <v>5.68</v>
      </c>
      <c r="G16">
        <v>1.74</v>
      </c>
      <c r="H16" s="15">
        <v>8.57</v>
      </c>
      <c r="I16">
        <v>29.6</v>
      </c>
      <c r="J16" t="e">
        <v>#N/A</v>
      </c>
      <c r="K16" t="e">
        <v>#N/A</v>
      </c>
      <c r="L16">
        <v>2.25</v>
      </c>
      <c r="M16">
        <v>3.28</v>
      </c>
      <c r="N16">
        <v>0.46</v>
      </c>
      <c r="O16">
        <v>3.04</v>
      </c>
      <c r="P16">
        <v>2.13</v>
      </c>
      <c r="Q16">
        <v>12</v>
      </c>
    </row>
    <row r="17" spans="1:17" x14ac:dyDescent="0.25">
      <c r="A17" s="1">
        <v>41212</v>
      </c>
      <c r="B17">
        <v>7.16</v>
      </c>
      <c r="C17" t="e">
        <v>#N/A</v>
      </c>
      <c r="D17" t="e">
        <v>#N/A</v>
      </c>
      <c r="E17" t="e">
        <v>#N/A</v>
      </c>
      <c r="F17">
        <v>5.68</v>
      </c>
      <c r="G17">
        <v>1.73</v>
      </c>
      <c r="H17" s="15">
        <v>8.57</v>
      </c>
      <c r="I17" t="e">
        <v>#N/A</v>
      </c>
      <c r="J17">
        <v>19.3</v>
      </c>
      <c r="K17" t="e">
        <v>#N/A</v>
      </c>
      <c r="L17">
        <v>2.2400000000000002</v>
      </c>
      <c r="M17" t="e">
        <v>#N/A</v>
      </c>
      <c r="N17">
        <v>0.46</v>
      </c>
      <c r="O17">
        <v>3.03</v>
      </c>
      <c r="P17">
        <v>2.14</v>
      </c>
      <c r="Q17">
        <v>9</v>
      </c>
    </row>
    <row r="18" spans="1:17" x14ac:dyDescent="0.25">
      <c r="A18" s="1">
        <v>41213</v>
      </c>
      <c r="B18">
        <v>7.16</v>
      </c>
      <c r="C18">
        <v>121.47</v>
      </c>
      <c r="D18">
        <v>4.46</v>
      </c>
      <c r="E18">
        <v>35.51</v>
      </c>
      <c r="F18">
        <v>5.82</v>
      </c>
      <c r="G18">
        <v>1.72</v>
      </c>
      <c r="H18" s="15">
        <v>8.7100000000000009</v>
      </c>
      <c r="I18">
        <v>29.14</v>
      </c>
      <c r="J18">
        <v>19.350000000000001</v>
      </c>
      <c r="K18">
        <v>7.62</v>
      </c>
      <c r="L18">
        <v>2.23</v>
      </c>
      <c r="M18">
        <v>3.31</v>
      </c>
      <c r="N18">
        <v>0.45</v>
      </c>
      <c r="O18">
        <v>3.03</v>
      </c>
      <c r="P18">
        <v>2.0299999999999998</v>
      </c>
      <c r="Q18">
        <v>15</v>
      </c>
    </row>
    <row r="19" spans="1:17" x14ac:dyDescent="0.25">
      <c r="A19" s="1">
        <v>41215</v>
      </c>
      <c r="B19">
        <v>7.32</v>
      </c>
      <c r="C19">
        <v>124.92</v>
      </c>
      <c r="D19">
        <v>4.46</v>
      </c>
      <c r="E19">
        <v>34.68</v>
      </c>
      <c r="F19">
        <v>5.79</v>
      </c>
      <c r="G19">
        <v>1.71</v>
      </c>
      <c r="H19" s="15">
        <v>8.67</v>
      </c>
      <c r="I19">
        <v>29.14</v>
      </c>
      <c r="J19">
        <v>19.350000000000001</v>
      </c>
      <c r="K19">
        <v>7.69</v>
      </c>
      <c r="L19">
        <v>2.21</v>
      </c>
      <c r="M19" t="e">
        <v>#N/A</v>
      </c>
      <c r="N19">
        <v>0.45</v>
      </c>
      <c r="O19">
        <v>3.03</v>
      </c>
      <c r="P19">
        <v>2.12</v>
      </c>
      <c r="Q19">
        <v>14</v>
      </c>
    </row>
    <row r="20" spans="1:17" x14ac:dyDescent="0.25">
      <c r="A20" s="1">
        <v>41218</v>
      </c>
      <c r="B20">
        <v>7.39</v>
      </c>
      <c r="C20">
        <v>124.38</v>
      </c>
      <c r="D20">
        <v>4.49</v>
      </c>
      <c r="E20">
        <v>34.1</v>
      </c>
      <c r="F20">
        <v>5.87</v>
      </c>
      <c r="G20">
        <v>1.72</v>
      </c>
      <c r="H20" s="15">
        <v>8.7100000000000009</v>
      </c>
      <c r="I20">
        <v>29.32</v>
      </c>
      <c r="J20">
        <v>19.5</v>
      </c>
      <c r="K20">
        <v>7.69</v>
      </c>
      <c r="L20">
        <v>2.23</v>
      </c>
      <c r="M20">
        <v>3.31</v>
      </c>
      <c r="N20">
        <v>0.46</v>
      </c>
      <c r="O20">
        <v>3.03</v>
      </c>
      <c r="P20">
        <v>2.13</v>
      </c>
      <c r="Q20">
        <v>15</v>
      </c>
    </row>
    <row r="21" spans="1:17" x14ac:dyDescent="0.25">
      <c r="A21" s="1">
        <v>41219</v>
      </c>
      <c r="B21">
        <v>7.48</v>
      </c>
      <c r="C21">
        <v>125.82</v>
      </c>
      <c r="D21">
        <v>4.55</v>
      </c>
      <c r="E21">
        <v>35</v>
      </c>
      <c r="F21">
        <v>5.94</v>
      </c>
      <c r="G21">
        <v>1.73</v>
      </c>
      <c r="H21" s="15">
        <v>8.6999999999999993</v>
      </c>
      <c r="I21">
        <v>29.55</v>
      </c>
      <c r="J21">
        <v>19.420000000000002</v>
      </c>
      <c r="K21">
        <v>7.69</v>
      </c>
      <c r="L21">
        <v>2.21</v>
      </c>
      <c r="M21">
        <v>3.31</v>
      </c>
      <c r="N21">
        <v>0.45</v>
      </c>
      <c r="O21">
        <v>3.05</v>
      </c>
      <c r="P21">
        <v>2.0499999999999998</v>
      </c>
      <c r="Q21">
        <v>15</v>
      </c>
    </row>
    <row r="22" spans="1:17" x14ac:dyDescent="0.25">
      <c r="A22" s="1">
        <v>41220</v>
      </c>
      <c r="B22">
        <v>7.45</v>
      </c>
      <c r="C22">
        <v>123.64</v>
      </c>
      <c r="D22">
        <v>4.5599999999999996</v>
      </c>
      <c r="E22">
        <v>35.15</v>
      </c>
      <c r="F22">
        <v>6.02</v>
      </c>
      <c r="G22">
        <v>1.73</v>
      </c>
      <c r="H22" s="15">
        <v>8.6999999999999993</v>
      </c>
      <c r="I22">
        <v>29.14</v>
      </c>
      <c r="J22">
        <v>19.399999999999999</v>
      </c>
      <c r="K22">
        <v>7.7</v>
      </c>
      <c r="L22">
        <v>2.2400000000000002</v>
      </c>
      <c r="M22">
        <v>3.31</v>
      </c>
      <c r="N22">
        <v>0.45</v>
      </c>
      <c r="O22">
        <v>3.05</v>
      </c>
      <c r="P22">
        <v>2.02</v>
      </c>
      <c r="Q22">
        <v>15</v>
      </c>
    </row>
    <row r="23" spans="1:17" x14ac:dyDescent="0.25">
      <c r="A23" s="1">
        <v>41221</v>
      </c>
      <c r="B23">
        <v>7.5</v>
      </c>
      <c r="C23">
        <v>125.82</v>
      </c>
      <c r="D23">
        <v>4.54</v>
      </c>
      <c r="E23">
        <v>35.700000000000003</v>
      </c>
      <c r="F23">
        <v>6.04</v>
      </c>
      <c r="G23">
        <v>1.74</v>
      </c>
      <c r="H23" s="15">
        <v>8.6199999999999992</v>
      </c>
      <c r="I23">
        <v>29.51</v>
      </c>
      <c r="J23">
        <v>19.45</v>
      </c>
      <c r="K23">
        <v>7.7</v>
      </c>
      <c r="L23">
        <v>2.27</v>
      </c>
      <c r="M23">
        <v>3.31</v>
      </c>
      <c r="N23">
        <v>0.46</v>
      </c>
      <c r="O23">
        <v>3.08</v>
      </c>
      <c r="P23">
        <v>2.08</v>
      </c>
      <c r="Q23">
        <v>15</v>
      </c>
    </row>
    <row r="24" spans="1:17" x14ac:dyDescent="0.25">
      <c r="A24" s="1">
        <v>41222</v>
      </c>
      <c r="B24">
        <v>7.5</v>
      </c>
      <c r="C24">
        <v>128.18</v>
      </c>
      <c r="D24">
        <v>4.57</v>
      </c>
      <c r="E24">
        <v>35.79</v>
      </c>
      <c r="F24">
        <v>6.1</v>
      </c>
      <c r="G24">
        <v>1.75</v>
      </c>
      <c r="H24" s="15">
        <v>8.5299999999999994</v>
      </c>
      <c r="I24" t="e">
        <v>#N/A</v>
      </c>
      <c r="J24">
        <v>19.399999999999999</v>
      </c>
      <c r="K24">
        <v>7.7</v>
      </c>
      <c r="L24">
        <v>2.25</v>
      </c>
      <c r="M24" t="e">
        <v>#N/A</v>
      </c>
      <c r="N24">
        <v>0.46</v>
      </c>
      <c r="O24">
        <v>3.08</v>
      </c>
      <c r="P24">
        <v>2.0699999999999998</v>
      </c>
      <c r="Q24">
        <v>13</v>
      </c>
    </row>
    <row r="25" spans="1:17" x14ac:dyDescent="0.25">
      <c r="A25" s="1">
        <v>41225</v>
      </c>
      <c r="B25">
        <v>7.5</v>
      </c>
      <c r="C25">
        <v>129.6</v>
      </c>
      <c r="D25">
        <v>4.58</v>
      </c>
      <c r="E25">
        <v>35.67</v>
      </c>
      <c r="F25">
        <v>6.18</v>
      </c>
      <c r="G25">
        <v>1.76</v>
      </c>
      <c r="H25" s="15">
        <v>8.51</v>
      </c>
      <c r="I25">
        <v>29.41</v>
      </c>
      <c r="J25">
        <v>19.5</v>
      </c>
      <c r="K25">
        <v>7.82</v>
      </c>
      <c r="L25">
        <v>2.2200000000000002</v>
      </c>
      <c r="M25" t="e">
        <v>#N/A</v>
      </c>
      <c r="N25">
        <v>0.46</v>
      </c>
      <c r="O25">
        <v>3.08</v>
      </c>
      <c r="P25">
        <v>2.0699999999999998</v>
      </c>
      <c r="Q25">
        <v>14</v>
      </c>
    </row>
    <row r="26" spans="1:17" x14ac:dyDescent="0.25">
      <c r="A26" s="1">
        <v>41226</v>
      </c>
      <c r="B26">
        <v>7.55</v>
      </c>
      <c r="C26">
        <v>129.6</v>
      </c>
      <c r="D26">
        <v>4.63</v>
      </c>
      <c r="E26">
        <v>35.450000000000003</v>
      </c>
      <c r="F26">
        <v>6.3</v>
      </c>
      <c r="G26">
        <v>1.74</v>
      </c>
      <c r="H26" s="15">
        <v>8.5399999999999991</v>
      </c>
      <c r="I26">
        <v>29.87</v>
      </c>
      <c r="J26">
        <v>19.7</v>
      </c>
      <c r="K26">
        <v>7.92</v>
      </c>
      <c r="L26">
        <v>2.21</v>
      </c>
      <c r="M26">
        <v>3.31</v>
      </c>
      <c r="N26">
        <v>0.44</v>
      </c>
      <c r="O26">
        <v>3.18</v>
      </c>
      <c r="P26">
        <v>2.09</v>
      </c>
      <c r="Q26">
        <v>15</v>
      </c>
    </row>
    <row r="27" spans="1:17" x14ac:dyDescent="0.25">
      <c r="A27" s="1">
        <v>41227</v>
      </c>
      <c r="B27">
        <v>7.55</v>
      </c>
      <c r="C27">
        <v>128.66</v>
      </c>
      <c r="D27">
        <v>4.5599999999999996</v>
      </c>
      <c r="E27">
        <v>33.5</v>
      </c>
      <c r="F27">
        <v>6.3</v>
      </c>
      <c r="G27">
        <v>1.74</v>
      </c>
      <c r="H27" s="15">
        <v>8.5399999999999991</v>
      </c>
      <c r="I27">
        <v>29.6</v>
      </c>
      <c r="J27">
        <v>19.5</v>
      </c>
      <c r="K27">
        <v>7.92</v>
      </c>
      <c r="L27">
        <v>2.15</v>
      </c>
      <c r="M27">
        <v>3.29</v>
      </c>
      <c r="N27">
        <v>0.43</v>
      </c>
      <c r="O27">
        <v>3.16</v>
      </c>
      <c r="P27">
        <v>1.98</v>
      </c>
      <c r="Q27">
        <v>15</v>
      </c>
    </row>
    <row r="28" spans="1:17" x14ac:dyDescent="0.25">
      <c r="A28" s="1">
        <v>41228</v>
      </c>
      <c r="B28">
        <v>7.59</v>
      </c>
      <c r="C28">
        <v>127.97</v>
      </c>
      <c r="D28">
        <v>4.62</v>
      </c>
      <c r="E28">
        <v>33.450000000000003</v>
      </c>
      <c r="F28">
        <v>6.3</v>
      </c>
      <c r="G28">
        <v>1.71</v>
      </c>
      <c r="H28" s="15">
        <v>8.5299999999999994</v>
      </c>
      <c r="I28">
        <v>29.96</v>
      </c>
      <c r="J28">
        <v>19.5</v>
      </c>
      <c r="K28">
        <v>7.92</v>
      </c>
      <c r="L28">
        <v>2.14</v>
      </c>
      <c r="M28">
        <v>3.26</v>
      </c>
      <c r="N28">
        <v>0.42</v>
      </c>
      <c r="O28">
        <v>3.12</v>
      </c>
      <c r="P28">
        <v>1.74</v>
      </c>
      <c r="Q28">
        <v>15</v>
      </c>
    </row>
    <row r="29" spans="1:17" x14ac:dyDescent="0.25">
      <c r="A29" s="1">
        <v>41229</v>
      </c>
      <c r="B29">
        <v>7.64</v>
      </c>
      <c r="C29">
        <v>128.99</v>
      </c>
      <c r="D29">
        <v>4.58</v>
      </c>
      <c r="E29">
        <v>33.29</v>
      </c>
      <c r="F29">
        <v>6.15</v>
      </c>
      <c r="G29">
        <v>1.7</v>
      </c>
      <c r="H29" s="15">
        <v>8.5500000000000007</v>
      </c>
      <c r="I29">
        <v>29.6</v>
      </c>
      <c r="J29">
        <v>19.5</v>
      </c>
      <c r="K29">
        <v>7.92</v>
      </c>
      <c r="L29" t="e">
        <v>#N/A</v>
      </c>
      <c r="M29">
        <v>3.22</v>
      </c>
      <c r="N29">
        <v>0.43</v>
      </c>
      <c r="O29">
        <v>3.14</v>
      </c>
      <c r="P29">
        <v>1.75</v>
      </c>
      <c r="Q29">
        <v>14</v>
      </c>
    </row>
    <row r="30" spans="1:17" x14ac:dyDescent="0.25">
      <c r="A30" s="1">
        <v>41232</v>
      </c>
      <c r="B30">
        <v>7.79</v>
      </c>
      <c r="C30">
        <v>130.93</v>
      </c>
      <c r="D30">
        <v>4.67</v>
      </c>
      <c r="E30">
        <v>33.799999999999997</v>
      </c>
      <c r="F30">
        <v>6.35</v>
      </c>
      <c r="G30">
        <v>1.7</v>
      </c>
      <c r="H30" s="15">
        <v>8.64</v>
      </c>
      <c r="I30">
        <v>29.78</v>
      </c>
      <c r="J30">
        <v>19.5</v>
      </c>
      <c r="K30">
        <v>7.96</v>
      </c>
      <c r="L30">
        <v>2.13</v>
      </c>
      <c r="M30">
        <v>3.22</v>
      </c>
      <c r="N30">
        <v>0.43</v>
      </c>
      <c r="O30">
        <v>3.22</v>
      </c>
      <c r="P30">
        <v>1.77</v>
      </c>
      <c r="Q30">
        <v>15</v>
      </c>
    </row>
    <row r="31" spans="1:17" x14ac:dyDescent="0.25">
      <c r="A31" s="1">
        <v>41233</v>
      </c>
      <c r="B31">
        <v>7.79</v>
      </c>
      <c r="C31">
        <v>130.93</v>
      </c>
      <c r="D31">
        <v>4.6900000000000004</v>
      </c>
      <c r="E31">
        <v>33.299999999999997</v>
      </c>
      <c r="F31">
        <v>6.41</v>
      </c>
      <c r="G31">
        <v>1.7</v>
      </c>
      <c r="H31" s="15">
        <v>8.82</v>
      </c>
      <c r="I31">
        <v>29.78</v>
      </c>
      <c r="J31">
        <v>19.5</v>
      </c>
      <c r="K31">
        <v>7.96</v>
      </c>
      <c r="L31">
        <v>2.13</v>
      </c>
      <c r="M31">
        <v>3.23</v>
      </c>
      <c r="N31">
        <v>0.43</v>
      </c>
      <c r="O31">
        <v>3.2</v>
      </c>
      <c r="P31">
        <v>1.75</v>
      </c>
      <c r="Q31">
        <v>15</v>
      </c>
    </row>
    <row r="32" spans="1:17" x14ac:dyDescent="0.25">
      <c r="A32" s="1">
        <v>41234</v>
      </c>
      <c r="B32">
        <v>7.84</v>
      </c>
      <c r="C32">
        <v>131.85</v>
      </c>
      <c r="D32">
        <v>4.7300000000000004</v>
      </c>
      <c r="E32">
        <v>33.799999999999997</v>
      </c>
      <c r="F32">
        <v>6.4</v>
      </c>
      <c r="G32">
        <v>1.7</v>
      </c>
      <c r="H32" s="15">
        <v>8.8800000000000008</v>
      </c>
      <c r="I32">
        <v>30.05</v>
      </c>
      <c r="J32">
        <v>19.5</v>
      </c>
      <c r="K32">
        <v>7.95</v>
      </c>
      <c r="L32">
        <v>2.1</v>
      </c>
      <c r="M32">
        <v>3.18</v>
      </c>
      <c r="N32">
        <v>0.42</v>
      </c>
      <c r="O32">
        <v>3.2</v>
      </c>
      <c r="P32">
        <v>1.77</v>
      </c>
      <c r="Q32">
        <v>15</v>
      </c>
    </row>
    <row r="33" spans="1:17" x14ac:dyDescent="0.25">
      <c r="A33" s="1">
        <v>41235</v>
      </c>
      <c r="B33">
        <v>7.86</v>
      </c>
      <c r="C33">
        <v>131.97</v>
      </c>
      <c r="D33">
        <v>4.7300000000000004</v>
      </c>
      <c r="E33" t="e">
        <v>#N/A</v>
      </c>
      <c r="F33">
        <v>6.4</v>
      </c>
      <c r="G33">
        <v>1.7</v>
      </c>
      <c r="H33" s="15">
        <v>8.83</v>
      </c>
      <c r="I33">
        <v>29.96</v>
      </c>
      <c r="J33">
        <v>19.7</v>
      </c>
      <c r="K33">
        <v>7.96</v>
      </c>
      <c r="L33">
        <v>2.09</v>
      </c>
      <c r="M33">
        <v>3.23</v>
      </c>
      <c r="N33">
        <v>0.42</v>
      </c>
      <c r="O33">
        <v>3.2</v>
      </c>
      <c r="P33">
        <v>1.79</v>
      </c>
      <c r="Q33">
        <v>14</v>
      </c>
    </row>
    <row r="34" spans="1:17" x14ac:dyDescent="0.25">
      <c r="A34" s="1">
        <v>41236</v>
      </c>
      <c r="B34">
        <v>7.89</v>
      </c>
      <c r="C34">
        <v>130.93</v>
      </c>
      <c r="D34">
        <v>4.7300000000000004</v>
      </c>
      <c r="E34">
        <v>34</v>
      </c>
      <c r="F34">
        <v>6.35</v>
      </c>
      <c r="G34">
        <v>1.7</v>
      </c>
      <c r="H34" s="15">
        <v>8.83</v>
      </c>
      <c r="I34">
        <v>30.05</v>
      </c>
      <c r="J34">
        <v>19.600000000000001</v>
      </c>
      <c r="K34">
        <v>7.92</v>
      </c>
      <c r="L34">
        <v>2.08</v>
      </c>
      <c r="M34">
        <v>3.18</v>
      </c>
      <c r="N34">
        <v>0.43</v>
      </c>
      <c r="O34">
        <v>3.2</v>
      </c>
      <c r="P34">
        <v>1.88</v>
      </c>
      <c r="Q34">
        <v>15</v>
      </c>
    </row>
    <row r="35" spans="1:17" x14ac:dyDescent="0.25">
      <c r="A35" s="1">
        <v>41239</v>
      </c>
      <c r="B35">
        <v>7.98</v>
      </c>
      <c r="C35">
        <v>131.63999999999999</v>
      </c>
      <c r="D35">
        <v>4.7699999999999996</v>
      </c>
      <c r="E35">
        <v>33.92</v>
      </c>
      <c r="F35">
        <v>6.39</v>
      </c>
      <c r="G35">
        <v>1.7</v>
      </c>
      <c r="H35" s="15">
        <v>8.9600000000000009</v>
      </c>
      <c r="I35">
        <v>30.53</v>
      </c>
      <c r="J35">
        <v>19.7</v>
      </c>
      <c r="K35">
        <v>7.96</v>
      </c>
      <c r="L35">
        <v>2.0699999999999998</v>
      </c>
      <c r="M35">
        <v>3.16</v>
      </c>
      <c r="N35">
        <v>0.43</v>
      </c>
      <c r="O35">
        <v>3.19</v>
      </c>
      <c r="P35">
        <v>1.9</v>
      </c>
      <c r="Q35">
        <v>15</v>
      </c>
    </row>
    <row r="36" spans="1:17" x14ac:dyDescent="0.25">
      <c r="A36" s="1">
        <v>41240</v>
      </c>
      <c r="B36">
        <v>7.89</v>
      </c>
      <c r="C36">
        <v>130.55000000000001</v>
      </c>
      <c r="D36" t="e">
        <v>#N/A</v>
      </c>
      <c r="E36">
        <v>33</v>
      </c>
      <c r="F36">
        <v>6.4</v>
      </c>
      <c r="G36">
        <v>1.69</v>
      </c>
      <c r="H36" s="15">
        <v>9.16</v>
      </c>
      <c r="I36">
        <v>30.51</v>
      </c>
      <c r="J36">
        <v>19.850000000000001</v>
      </c>
      <c r="K36">
        <v>7.92</v>
      </c>
      <c r="L36">
        <v>1.99</v>
      </c>
      <c r="M36">
        <v>3.18</v>
      </c>
      <c r="N36">
        <v>0.43</v>
      </c>
      <c r="O36">
        <v>3.17</v>
      </c>
      <c r="P36">
        <v>2</v>
      </c>
      <c r="Q36">
        <v>14</v>
      </c>
    </row>
    <row r="37" spans="1:17" x14ac:dyDescent="0.25">
      <c r="A37" s="1">
        <v>41241</v>
      </c>
      <c r="B37">
        <v>7.84</v>
      </c>
      <c r="C37">
        <v>130.57</v>
      </c>
      <c r="D37">
        <v>4.79</v>
      </c>
      <c r="E37">
        <v>32.82</v>
      </c>
      <c r="F37">
        <v>6.4</v>
      </c>
      <c r="G37">
        <v>1.7</v>
      </c>
      <c r="H37" s="15">
        <v>9.1999999999999993</v>
      </c>
      <c r="I37">
        <v>30.51</v>
      </c>
      <c r="J37" t="e">
        <v>#N/A</v>
      </c>
      <c r="K37">
        <v>7.92</v>
      </c>
      <c r="L37">
        <v>1.99</v>
      </c>
      <c r="M37">
        <v>3.14</v>
      </c>
      <c r="N37">
        <v>0.43</v>
      </c>
      <c r="O37">
        <v>3.13</v>
      </c>
      <c r="P37">
        <v>1.95</v>
      </c>
      <c r="Q37">
        <v>14</v>
      </c>
    </row>
    <row r="38" spans="1:17" x14ac:dyDescent="0.25">
      <c r="A38" s="1">
        <v>41242</v>
      </c>
      <c r="B38">
        <v>7.94</v>
      </c>
      <c r="C38">
        <v>132.82</v>
      </c>
      <c r="D38">
        <v>4.79</v>
      </c>
      <c r="E38">
        <v>33.18</v>
      </c>
      <c r="F38">
        <v>6.35</v>
      </c>
      <c r="G38">
        <v>1.7</v>
      </c>
      <c r="H38" s="15">
        <v>9.1999999999999993</v>
      </c>
      <c r="I38">
        <v>31.05</v>
      </c>
      <c r="J38">
        <v>20</v>
      </c>
      <c r="K38" t="e">
        <v>#N/A</v>
      </c>
      <c r="L38">
        <v>1.99</v>
      </c>
      <c r="M38">
        <v>3.14</v>
      </c>
      <c r="N38">
        <v>0.43</v>
      </c>
      <c r="O38">
        <v>3.13</v>
      </c>
      <c r="P38">
        <v>1.98</v>
      </c>
      <c r="Q38">
        <v>14</v>
      </c>
    </row>
    <row r="39" spans="1:17" x14ac:dyDescent="0.25">
      <c r="A39" s="1">
        <v>41243</v>
      </c>
      <c r="B39">
        <v>7.81</v>
      </c>
      <c r="C39">
        <v>132.44</v>
      </c>
      <c r="D39">
        <v>4.79</v>
      </c>
      <c r="E39">
        <v>32.25</v>
      </c>
      <c r="F39">
        <v>6.35</v>
      </c>
      <c r="G39">
        <v>1.7</v>
      </c>
      <c r="H39" s="15">
        <v>9.16</v>
      </c>
      <c r="I39">
        <v>31.51</v>
      </c>
      <c r="J39">
        <v>20.399999999999999</v>
      </c>
      <c r="K39">
        <v>7.91</v>
      </c>
      <c r="L39">
        <v>1.93</v>
      </c>
      <c r="M39">
        <v>3.13</v>
      </c>
      <c r="N39">
        <v>0.42</v>
      </c>
      <c r="O39">
        <v>3.11</v>
      </c>
      <c r="P39">
        <v>1.98</v>
      </c>
      <c r="Q39">
        <v>15</v>
      </c>
    </row>
    <row r="40" spans="1:17" x14ac:dyDescent="0.25">
      <c r="A40" s="1">
        <v>41246</v>
      </c>
      <c r="B40">
        <v>7.9</v>
      </c>
      <c r="C40">
        <v>131.02000000000001</v>
      </c>
      <c r="D40">
        <v>4.8899999999999997</v>
      </c>
      <c r="E40">
        <v>32.4</v>
      </c>
      <c r="F40">
        <v>6.55</v>
      </c>
      <c r="G40">
        <v>1.71</v>
      </c>
      <c r="H40" s="15">
        <v>9.16</v>
      </c>
      <c r="I40">
        <v>31.87</v>
      </c>
      <c r="J40">
        <v>20.5</v>
      </c>
      <c r="K40">
        <v>7.92</v>
      </c>
      <c r="L40">
        <v>1.99</v>
      </c>
      <c r="M40">
        <v>3.16</v>
      </c>
      <c r="N40">
        <v>0.43</v>
      </c>
      <c r="O40">
        <v>3.11</v>
      </c>
      <c r="P40">
        <v>2.06</v>
      </c>
      <c r="Q40">
        <v>15</v>
      </c>
    </row>
    <row r="41" spans="1:17" x14ac:dyDescent="0.25">
      <c r="A41" s="1">
        <v>41247</v>
      </c>
      <c r="B41">
        <v>7.98</v>
      </c>
      <c r="C41">
        <v>130.55000000000001</v>
      </c>
      <c r="D41">
        <v>4.9000000000000004</v>
      </c>
      <c r="E41">
        <v>32.450000000000003</v>
      </c>
      <c r="F41">
        <v>6.55</v>
      </c>
      <c r="G41">
        <v>1.71</v>
      </c>
      <c r="H41" s="15">
        <v>9.08</v>
      </c>
      <c r="I41">
        <v>32.06</v>
      </c>
      <c r="J41">
        <v>20.7</v>
      </c>
      <c r="K41">
        <v>7.91</v>
      </c>
      <c r="L41">
        <v>2.0299999999999998</v>
      </c>
      <c r="M41">
        <v>3.16</v>
      </c>
      <c r="N41">
        <v>0.42</v>
      </c>
      <c r="O41">
        <v>3.09</v>
      </c>
      <c r="P41">
        <v>2.06</v>
      </c>
      <c r="Q41">
        <v>15</v>
      </c>
    </row>
    <row r="42" spans="1:17" x14ac:dyDescent="0.25">
      <c r="A42" s="1">
        <v>41248</v>
      </c>
      <c r="B42">
        <v>7.98</v>
      </c>
      <c r="C42">
        <v>130.07</v>
      </c>
      <c r="D42">
        <v>4.92</v>
      </c>
      <c r="E42">
        <v>32.299999999999997</v>
      </c>
      <c r="F42">
        <v>6.55</v>
      </c>
      <c r="G42">
        <v>1.7</v>
      </c>
      <c r="H42" s="15">
        <v>9.07</v>
      </c>
      <c r="I42">
        <v>32.159999999999997</v>
      </c>
      <c r="J42">
        <v>21</v>
      </c>
      <c r="K42">
        <v>7.92</v>
      </c>
      <c r="L42">
        <v>2.06</v>
      </c>
      <c r="M42">
        <v>3.14</v>
      </c>
      <c r="N42">
        <v>0.43</v>
      </c>
      <c r="O42">
        <v>3.09</v>
      </c>
      <c r="P42">
        <v>2.02</v>
      </c>
      <c r="Q42">
        <v>15</v>
      </c>
    </row>
    <row r="43" spans="1:17" x14ac:dyDescent="0.25">
      <c r="A43" s="1">
        <v>41249</v>
      </c>
      <c r="B43">
        <v>7.96</v>
      </c>
      <c r="C43">
        <v>130.88</v>
      </c>
      <c r="D43">
        <v>4.92</v>
      </c>
      <c r="E43">
        <v>33</v>
      </c>
      <c r="F43">
        <v>6.5</v>
      </c>
      <c r="G43">
        <v>1.7</v>
      </c>
      <c r="H43" s="15">
        <v>9.25</v>
      </c>
      <c r="I43">
        <v>32.24</v>
      </c>
      <c r="J43">
        <v>21</v>
      </c>
      <c r="K43">
        <v>7.92</v>
      </c>
      <c r="L43">
        <v>2.06</v>
      </c>
      <c r="M43">
        <v>3.14</v>
      </c>
      <c r="N43">
        <v>0.43</v>
      </c>
      <c r="O43">
        <v>3.09</v>
      </c>
      <c r="P43">
        <v>2.0099999999999998</v>
      </c>
      <c r="Q43">
        <v>15</v>
      </c>
    </row>
    <row r="44" spans="1:17" x14ac:dyDescent="0.25">
      <c r="A44" s="1">
        <v>41250</v>
      </c>
      <c r="B44">
        <v>7.89</v>
      </c>
      <c r="C44">
        <v>129.13</v>
      </c>
      <c r="D44">
        <v>4.91</v>
      </c>
      <c r="E44">
        <v>33.5</v>
      </c>
      <c r="F44">
        <v>6.36</v>
      </c>
      <c r="G44">
        <v>1.62</v>
      </c>
      <c r="H44" s="15">
        <v>9.16</v>
      </c>
      <c r="I44">
        <v>31.87</v>
      </c>
      <c r="J44">
        <v>21</v>
      </c>
      <c r="K44">
        <v>7.99</v>
      </c>
      <c r="L44">
        <v>1.99</v>
      </c>
      <c r="M44">
        <v>3.07</v>
      </c>
      <c r="N44">
        <v>0.41</v>
      </c>
      <c r="O44">
        <v>3.07</v>
      </c>
      <c r="P44">
        <v>2.02</v>
      </c>
      <c r="Q44">
        <v>15</v>
      </c>
    </row>
    <row r="45" spans="1:17" x14ac:dyDescent="0.25">
      <c r="A45" s="1">
        <v>41253</v>
      </c>
      <c r="B45">
        <v>7.84</v>
      </c>
      <c r="C45">
        <v>129.72999999999999</v>
      </c>
      <c r="D45">
        <v>4.8499999999999996</v>
      </c>
      <c r="E45">
        <v>33.700000000000003</v>
      </c>
      <c r="F45">
        <v>6.35</v>
      </c>
      <c r="G45">
        <v>1.65</v>
      </c>
      <c r="H45" s="15">
        <v>9.16</v>
      </c>
      <c r="I45">
        <v>30.96</v>
      </c>
      <c r="J45">
        <v>21</v>
      </c>
      <c r="K45">
        <v>7.93</v>
      </c>
      <c r="L45">
        <v>1.99</v>
      </c>
      <c r="M45">
        <v>3.07</v>
      </c>
      <c r="N45">
        <v>0.41</v>
      </c>
      <c r="O45">
        <v>3.07</v>
      </c>
      <c r="P45">
        <v>2</v>
      </c>
      <c r="Q45">
        <v>15</v>
      </c>
    </row>
    <row r="46" spans="1:17" x14ac:dyDescent="0.25">
      <c r="A46" s="1">
        <v>41254</v>
      </c>
      <c r="B46">
        <v>7.84</v>
      </c>
      <c r="C46">
        <v>131.12</v>
      </c>
      <c r="D46">
        <v>4.8899999999999997</v>
      </c>
      <c r="E46">
        <v>33.950000000000003</v>
      </c>
      <c r="F46">
        <v>6.4</v>
      </c>
      <c r="G46">
        <v>1.7</v>
      </c>
      <c r="H46" s="15">
        <v>9.16</v>
      </c>
      <c r="I46">
        <v>31.05</v>
      </c>
      <c r="J46">
        <v>21</v>
      </c>
      <c r="K46">
        <v>7.99</v>
      </c>
      <c r="L46">
        <v>2.0299999999999998</v>
      </c>
      <c r="M46">
        <v>3.07</v>
      </c>
      <c r="N46">
        <v>0.4</v>
      </c>
      <c r="O46">
        <v>3.08</v>
      </c>
      <c r="P46">
        <v>2.0099999999999998</v>
      </c>
      <c r="Q46">
        <v>15</v>
      </c>
    </row>
    <row r="47" spans="1:17" x14ac:dyDescent="0.25">
      <c r="A47" s="1">
        <v>41255</v>
      </c>
      <c r="B47">
        <v>7.75</v>
      </c>
      <c r="C47">
        <v>133.1</v>
      </c>
      <c r="D47">
        <v>4.8600000000000003</v>
      </c>
      <c r="E47">
        <v>35.15</v>
      </c>
      <c r="F47">
        <v>6.35</v>
      </c>
      <c r="G47">
        <v>1.71</v>
      </c>
      <c r="H47" s="15">
        <v>9.09</v>
      </c>
      <c r="I47">
        <v>30.32</v>
      </c>
      <c r="J47">
        <v>20.96</v>
      </c>
      <c r="K47">
        <v>8</v>
      </c>
      <c r="L47">
        <v>2.0299999999999998</v>
      </c>
      <c r="M47">
        <v>3.06</v>
      </c>
      <c r="N47">
        <v>0.4</v>
      </c>
      <c r="O47">
        <v>3.11</v>
      </c>
      <c r="P47">
        <v>2.0099999999999998</v>
      </c>
      <c r="Q47">
        <v>15</v>
      </c>
    </row>
    <row r="48" spans="1:17" x14ac:dyDescent="0.25">
      <c r="A48" s="1">
        <v>41256</v>
      </c>
      <c r="B48">
        <v>7.75</v>
      </c>
      <c r="C48">
        <v>133.66999999999999</v>
      </c>
      <c r="D48">
        <v>4.8600000000000003</v>
      </c>
      <c r="E48">
        <v>34.4</v>
      </c>
      <c r="F48">
        <v>6.3</v>
      </c>
      <c r="G48">
        <v>1.7</v>
      </c>
      <c r="H48" s="15">
        <v>9.1</v>
      </c>
      <c r="I48">
        <v>31.69</v>
      </c>
      <c r="J48">
        <v>20.99</v>
      </c>
      <c r="K48">
        <v>8</v>
      </c>
      <c r="L48">
        <v>2.0099999999999998</v>
      </c>
      <c r="M48">
        <v>3.02</v>
      </c>
      <c r="N48">
        <v>0.39</v>
      </c>
      <c r="O48">
        <v>3.1</v>
      </c>
      <c r="P48">
        <v>1.9690000000000001</v>
      </c>
      <c r="Q48">
        <v>15</v>
      </c>
    </row>
    <row r="49" spans="1:17" x14ac:dyDescent="0.25">
      <c r="A49" s="1">
        <v>41257</v>
      </c>
      <c r="B49">
        <v>7.94</v>
      </c>
      <c r="C49">
        <v>133.38999999999999</v>
      </c>
      <c r="D49">
        <v>4.87</v>
      </c>
      <c r="E49">
        <v>34.53</v>
      </c>
      <c r="F49">
        <v>6.33</v>
      </c>
      <c r="G49">
        <v>1.7</v>
      </c>
      <c r="H49" s="15">
        <v>9.19</v>
      </c>
      <c r="I49">
        <v>31.69</v>
      </c>
      <c r="J49">
        <v>20.86</v>
      </c>
      <c r="K49">
        <v>8.02</v>
      </c>
      <c r="L49">
        <v>2</v>
      </c>
      <c r="M49">
        <v>3.04</v>
      </c>
      <c r="N49">
        <v>0.4</v>
      </c>
      <c r="O49">
        <v>3.1</v>
      </c>
      <c r="P49">
        <v>1.9530000000000001</v>
      </c>
      <c r="Q49">
        <v>15</v>
      </c>
    </row>
    <row r="50" spans="1:17" x14ac:dyDescent="0.25">
      <c r="A50" s="1">
        <v>41260</v>
      </c>
      <c r="B50">
        <v>7.8</v>
      </c>
      <c r="C50">
        <v>134.33000000000001</v>
      </c>
      <c r="D50">
        <v>4.87</v>
      </c>
      <c r="E50">
        <v>35</v>
      </c>
      <c r="F50">
        <v>6.4</v>
      </c>
      <c r="G50">
        <v>1.7</v>
      </c>
      <c r="H50" s="15">
        <v>9.11</v>
      </c>
      <c r="I50">
        <v>31.05</v>
      </c>
      <c r="J50">
        <v>20.95</v>
      </c>
      <c r="K50">
        <v>8.02</v>
      </c>
      <c r="L50">
        <v>2.0099999999999998</v>
      </c>
      <c r="M50">
        <v>3.02</v>
      </c>
      <c r="N50">
        <v>0.4</v>
      </c>
      <c r="O50">
        <v>3.1</v>
      </c>
      <c r="P50">
        <v>1.9610000000000001</v>
      </c>
      <c r="Q50">
        <v>15</v>
      </c>
    </row>
    <row r="51" spans="1:17" x14ac:dyDescent="0.25">
      <c r="A51" s="1">
        <v>41261</v>
      </c>
      <c r="B51">
        <v>7.94</v>
      </c>
      <c r="C51">
        <v>136.22</v>
      </c>
      <c r="D51">
        <v>4.8600000000000003</v>
      </c>
      <c r="E51">
        <v>35.5</v>
      </c>
      <c r="F51">
        <v>6.45</v>
      </c>
      <c r="G51">
        <v>1.7</v>
      </c>
      <c r="H51" s="15">
        <v>9.1999999999999993</v>
      </c>
      <c r="I51">
        <v>31.42</v>
      </c>
      <c r="J51">
        <v>20.95</v>
      </c>
      <c r="K51">
        <v>8.01</v>
      </c>
      <c r="L51">
        <v>2.04</v>
      </c>
      <c r="M51">
        <v>3</v>
      </c>
      <c r="N51">
        <v>0.4</v>
      </c>
      <c r="O51">
        <v>3.13</v>
      </c>
      <c r="P51">
        <v>1.984</v>
      </c>
      <c r="Q51">
        <v>15</v>
      </c>
    </row>
    <row r="52" spans="1:17" x14ac:dyDescent="0.25">
      <c r="A52" s="1">
        <v>41262</v>
      </c>
      <c r="B52">
        <v>7.89</v>
      </c>
      <c r="C52">
        <v>137.16999999999999</v>
      </c>
      <c r="D52">
        <v>4.8600000000000003</v>
      </c>
      <c r="E52">
        <v>35</v>
      </c>
      <c r="F52">
        <v>6.45</v>
      </c>
      <c r="G52">
        <v>1.7</v>
      </c>
      <c r="H52" s="15">
        <v>9.1999999999999993</v>
      </c>
      <c r="I52">
        <v>31.69</v>
      </c>
      <c r="J52">
        <v>20.95</v>
      </c>
      <c r="K52">
        <v>8.02</v>
      </c>
      <c r="L52">
        <v>2.08</v>
      </c>
      <c r="M52">
        <v>2.99</v>
      </c>
      <c r="N52">
        <v>0.4</v>
      </c>
      <c r="O52">
        <v>3.13</v>
      </c>
      <c r="P52">
        <v>2</v>
      </c>
      <c r="Q52">
        <v>15</v>
      </c>
    </row>
    <row r="53" spans="1:17" x14ac:dyDescent="0.25">
      <c r="A53" s="1">
        <v>41263</v>
      </c>
      <c r="B53">
        <v>7.89</v>
      </c>
      <c r="C53">
        <v>138.59</v>
      </c>
      <c r="D53">
        <v>4.9000000000000004</v>
      </c>
      <c r="E53">
        <v>34.630000000000003</v>
      </c>
      <c r="F53" t="e">
        <v>#N/A</v>
      </c>
      <c r="G53">
        <v>1.7</v>
      </c>
      <c r="H53" s="15">
        <v>9.24</v>
      </c>
      <c r="I53">
        <v>32.1</v>
      </c>
      <c r="J53">
        <v>20.9</v>
      </c>
      <c r="K53">
        <v>8.02</v>
      </c>
      <c r="L53">
        <v>2.08</v>
      </c>
      <c r="M53">
        <v>3.01</v>
      </c>
      <c r="N53">
        <v>0.4</v>
      </c>
      <c r="O53">
        <v>3.14</v>
      </c>
      <c r="P53">
        <v>1.992</v>
      </c>
      <c r="Q53">
        <v>14</v>
      </c>
    </row>
    <row r="54" spans="1:17" x14ac:dyDescent="0.25">
      <c r="A54" s="1">
        <v>41264</v>
      </c>
      <c r="B54">
        <v>7.85</v>
      </c>
      <c r="C54">
        <v>138.78</v>
      </c>
      <c r="D54">
        <v>4.92</v>
      </c>
      <c r="E54">
        <v>35</v>
      </c>
      <c r="F54">
        <v>6.45</v>
      </c>
      <c r="G54">
        <v>1.71</v>
      </c>
      <c r="H54" s="15">
        <v>9.35</v>
      </c>
      <c r="I54">
        <v>32.24</v>
      </c>
      <c r="J54">
        <v>20.85</v>
      </c>
      <c r="K54">
        <v>8.0500000000000007</v>
      </c>
      <c r="L54">
        <v>2.08</v>
      </c>
      <c r="M54">
        <v>2.94</v>
      </c>
      <c r="N54">
        <v>0.41</v>
      </c>
      <c r="O54">
        <v>3.14</v>
      </c>
      <c r="P54">
        <v>1.992</v>
      </c>
      <c r="Q54">
        <v>15</v>
      </c>
    </row>
    <row r="55" spans="1:17" x14ac:dyDescent="0.25">
      <c r="A55" s="1">
        <v>41267</v>
      </c>
      <c r="B55">
        <v>7.84</v>
      </c>
      <c r="C55">
        <v>138.59</v>
      </c>
      <c r="D55">
        <v>4.95</v>
      </c>
      <c r="E55">
        <v>34.4</v>
      </c>
      <c r="F55" t="e">
        <v>#N/A</v>
      </c>
      <c r="G55" t="e">
        <v>#N/A</v>
      </c>
      <c r="H55" s="15" t="e">
        <v>#N/A</v>
      </c>
      <c r="I55" t="e">
        <v>#N/A</v>
      </c>
      <c r="J55">
        <v>20.85</v>
      </c>
      <c r="K55" t="e">
        <v>#N/A</v>
      </c>
      <c r="L55" t="e">
        <v>#N/A</v>
      </c>
      <c r="M55">
        <v>2.92</v>
      </c>
      <c r="N55">
        <v>0.41</v>
      </c>
      <c r="O55" t="e">
        <v>#N/A</v>
      </c>
      <c r="P55">
        <v>1.992</v>
      </c>
      <c r="Q55">
        <v>8</v>
      </c>
    </row>
    <row r="56" spans="1:17" x14ac:dyDescent="0.25">
      <c r="A56" s="1">
        <v>41269</v>
      </c>
      <c r="B56" t="e">
        <v>#N/A</v>
      </c>
      <c r="C56">
        <v>138.59</v>
      </c>
      <c r="D56">
        <v>5.03</v>
      </c>
      <c r="E56">
        <v>34.700000000000003</v>
      </c>
      <c r="F56">
        <v>6.45</v>
      </c>
      <c r="G56">
        <v>1.6180000000000001</v>
      </c>
      <c r="H56" s="15">
        <v>9.35</v>
      </c>
      <c r="I56">
        <v>32.24</v>
      </c>
      <c r="J56">
        <v>20.85</v>
      </c>
      <c r="K56">
        <v>8.0500000000000007</v>
      </c>
      <c r="L56">
        <v>2.1</v>
      </c>
      <c r="M56">
        <v>2.88</v>
      </c>
      <c r="N56">
        <v>0.42</v>
      </c>
      <c r="O56">
        <v>3.19</v>
      </c>
      <c r="P56">
        <v>1.984</v>
      </c>
      <c r="Q56">
        <v>14</v>
      </c>
    </row>
    <row r="57" spans="1:17" x14ac:dyDescent="0.25">
      <c r="A57" s="1">
        <v>41270</v>
      </c>
      <c r="B57">
        <v>7.84</v>
      </c>
      <c r="C57">
        <v>138.12</v>
      </c>
      <c r="D57">
        <v>5.15</v>
      </c>
      <c r="E57">
        <v>35.700000000000003</v>
      </c>
      <c r="F57">
        <v>6.5</v>
      </c>
      <c r="G57">
        <v>1.6180000000000001</v>
      </c>
      <c r="H57" s="15">
        <v>9.35</v>
      </c>
      <c r="I57">
        <v>32.78</v>
      </c>
      <c r="J57">
        <v>20.81</v>
      </c>
      <c r="K57">
        <v>8.06</v>
      </c>
      <c r="L57">
        <v>2.13</v>
      </c>
      <c r="M57">
        <v>2.86</v>
      </c>
      <c r="N57">
        <v>0.42</v>
      </c>
      <c r="O57">
        <v>3.15</v>
      </c>
      <c r="P57">
        <v>2.008</v>
      </c>
      <c r="Q57">
        <v>15</v>
      </c>
    </row>
    <row r="58" spans="1:17" x14ac:dyDescent="0.25">
      <c r="A58" s="1">
        <v>41271</v>
      </c>
      <c r="B58">
        <v>7.98</v>
      </c>
      <c r="C58">
        <v>138.12</v>
      </c>
      <c r="D58">
        <v>5.23</v>
      </c>
      <c r="E58">
        <v>35.6</v>
      </c>
      <c r="F58">
        <v>6.65</v>
      </c>
      <c r="G58">
        <v>1.6259999999999999</v>
      </c>
      <c r="H58" s="15">
        <v>9.34</v>
      </c>
      <c r="I58" t="e">
        <v>#N/A</v>
      </c>
      <c r="J58">
        <v>20.95</v>
      </c>
      <c r="K58">
        <v>8.06</v>
      </c>
      <c r="L58">
        <v>2.1800000000000002</v>
      </c>
      <c r="M58">
        <v>2.86</v>
      </c>
      <c r="N58">
        <v>0.43</v>
      </c>
      <c r="O58">
        <v>3.18</v>
      </c>
      <c r="P58">
        <v>2.0640000000000001</v>
      </c>
      <c r="Q58">
        <v>14</v>
      </c>
    </row>
    <row r="59" spans="1:17" x14ac:dyDescent="0.25">
      <c r="A59" s="1">
        <v>41274</v>
      </c>
      <c r="B59">
        <v>8.08</v>
      </c>
      <c r="C59">
        <v>138.12</v>
      </c>
      <c r="D59">
        <v>5.23</v>
      </c>
      <c r="E59" t="e">
        <v>#N/A</v>
      </c>
      <c r="F59">
        <v>6.7</v>
      </c>
      <c r="G59">
        <v>1.641</v>
      </c>
      <c r="H59" s="15">
        <v>9.4</v>
      </c>
      <c r="I59">
        <v>32.6</v>
      </c>
      <c r="J59" t="e">
        <v>#N/A</v>
      </c>
      <c r="K59" t="e">
        <v>#N/A</v>
      </c>
      <c r="L59">
        <v>2.23</v>
      </c>
      <c r="M59" t="e">
        <v>#N/A</v>
      </c>
      <c r="N59">
        <v>0.43</v>
      </c>
      <c r="O59">
        <v>3.17</v>
      </c>
      <c r="P59">
        <v>2.0640000000000001</v>
      </c>
      <c r="Q59">
        <v>11</v>
      </c>
    </row>
    <row r="60" spans="1:17" x14ac:dyDescent="0.25">
      <c r="A60" s="1">
        <v>41276</v>
      </c>
      <c r="B60">
        <v>8.18</v>
      </c>
      <c r="C60">
        <v>138.59</v>
      </c>
      <c r="D60">
        <v>5.29</v>
      </c>
      <c r="E60">
        <v>36.1</v>
      </c>
      <c r="F60">
        <v>6.7</v>
      </c>
      <c r="G60">
        <v>1.6850000000000001</v>
      </c>
      <c r="H60" s="15">
        <v>9.4600000000000009</v>
      </c>
      <c r="I60">
        <v>33.06</v>
      </c>
      <c r="J60">
        <v>20.95</v>
      </c>
      <c r="K60">
        <v>8.16</v>
      </c>
      <c r="L60">
        <v>2.25</v>
      </c>
      <c r="M60" t="e">
        <v>#N/A</v>
      </c>
      <c r="N60">
        <v>0.43</v>
      </c>
      <c r="O60">
        <v>3.23</v>
      </c>
      <c r="P60">
        <v>2.0960000000000001</v>
      </c>
      <c r="Q60">
        <v>14</v>
      </c>
    </row>
    <row r="61" spans="1:17" x14ac:dyDescent="0.25">
      <c r="A61" s="1">
        <v>41277</v>
      </c>
      <c r="B61">
        <v>8.2799999999999994</v>
      </c>
      <c r="C61">
        <v>142.28</v>
      </c>
      <c r="D61">
        <v>5.34</v>
      </c>
      <c r="E61">
        <v>35.5</v>
      </c>
      <c r="F61">
        <v>6.79</v>
      </c>
      <c r="G61">
        <v>1.6779999999999999</v>
      </c>
      <c r="H61" s="15">
        <v>9.69</v>
      </c>
      <c r="I61">
        <v>33.24</v>
      </c>
      <c r="J61">
        <v>20.95</v>
      </c>
      <c r="K61">
        <v>8.18</v>
      </c>
      <c r="L61">
        <v>2.21</v>
      </c>
      <c r="M61">
        <v>2.84</v>
      </c>
      <c r="N61">
        <v>0.43</v>
      </c>
      <c r="O61">
        <v>3.29</v>
      </c>
      <c r="P61">
        <v>2.1120000000000001</v>
      </c>
      <c r="Q61">
        <v>15</v>
      </c>
    </row>
    <row r="62" spans="1:17" x14ac:dyDescent="0.25">
      <c r="A62" s="1">
        <v>41278</v>
      </c>
      <c r="B62">
        <v>8.4700000000000006</v>
      </c>
      <c r="C62">
        <v>142.85</v>
      </c>
      <c r="D62">
        <v>5.42</v>
      </c>
      <c r="E62">
        <v>35</v>
      </c>
      <c r="F62">
        <v>7.04</v>
      </c>
      <c r="G62">
        <v>1.671</v>
      </c>
      <c r="H62" s="15">
        <v>9.74</v>
      </c>
      <c r="I62" t="e">
        <v>#N/A</v>
      </c>
      <c r="J62">
        <v>20.95</v>
      </c>
      <c r="K62">
        <v>8.18</v>
      </c>
      <c r="L62">
        <v>2.2000000000000002</v>
      </c>
      <c r="M62">
        <v>2.81</v>
      </c>
      <c r="N62">
        <v>0.43</v>
      </c>
      <c r="O62">
        <v>3.35</v>
      </c>
      <c r="P62">
        <v>2.1040000000000001</v>
      </c>
      <c r="Q62">
        <v>14</v>
      </c>
    </row>
    <row r="63" spans="1:17" x14ac:dyDescent="0.25">
      <c r="A63" s="1">
        <v>41281</v>
      </c>
      <c r="B63">
        <v>8.3800000000000008</v>
      </c>
      <c r="C63">
        <v>141.24</v>
      </c>
      <c r="D63">
        <v>5.46</v>
      </c>
      <c r="E63">
        <v>35</v>
      </c>
      <c r="F63">
        <v>7.11</v>
      </c>
      <c r="G63">
        <v>1.6930000000000001</v>
      </c>
      <c r="H63" s="15">
        <v>9.7799999999999994</v>
      </c>
      <c r="I63">
        <v>33.29</v>
      </c>
      <c r="J63">
        <v>20.95</v>
      </c>
      <c r="K63">
        <v>8.1999999999999993</v>
      </c>
      <c r="L63">
        <v>2.1800000000000002</v>
      </c>
      <c r="M63" t="e">
        <v>#N/A</v>
      </c>
      <c r="N63">
        <v>0.47</v>
      </c>
      <c r="O63">
        <v>3.36</v>
      </c>
      <c r="P63">
        <v>2.1040000000000001</v>
      </c>
      <c r="Q63">
        <v>14</v>
      </c>
    </row>
    <row r="64" spans="1:17" x14ac:dyDescent="0.25">
      <c r="A64" s="1">
        <v>41282</v>
      </c>
      <c r="B64">
        <v>8.3800000000000008</v>
      </c>
      <c r="C64">
        <v>142.94</v>
      </c>
      <c r="D64">
        <v>5.46</v>
      </c>
      <c r="E64">
        <v>34.5</v>
      </c>
      <c r="F64">
        <v>7.08</v>
      </c>
      <c r="G64">
        <v>1.6930000000000001</v>
      </c>
      <c r="H64" s="15">
        <v>9.83</v>
      </c>
      <c r="I64">
        <v>33.92</v>
      </c>
      <c r="J64">
        <v>20.95</v>
      </c>
      <c r="K64">
        <v>8.1999999999999993</v>
      </c>
      <c r="L64">
        <v>2.15</v>
      </c>
      <c r="M64">
        <v>2.84</v>
      </c>
      <c r="N64">
        <v>0.51</v>
      </c>
      <c r="O64">
        <v>3.52</v>
      </c>
      <c r="P64">
        <v>2.1360000000000001</v>
      </c>
      <c r="Q64">
        <v>15</v>
      </c>
    </row>
    <row r="65" spans="1:17" x14ac:dyDescent="0.25">
      <c r="A65" s="1">
        <v>41283</v>
      </c>
      <c r="B65">
        <v>8.3699999999999992</v>
      </c>
      <c r="C65">
        <v>142.85</v>
      </c>
      <c r="D65">
        <v>5.46</v>
      </c>
      <c r="E65">
        <v>34.5</v>
      </c>
      <c r="F65">
        <v>7.01</v>
      </c>
      <c r="G65">
        <v>1.708</v>
      </c>
      <c r="H65" s="15">
        <v>10.220000000000001</v>
      </c>
      <c r="I65">
        <v>34.700000000000003</v>
      </c>
      <c r="J65">
        <v>20.95</v>
      </c>
      <c r="K65">
        <v>8.2899999999999991</v>
      </c>
      <c r="L65">
        <v>2.16</v>
      </c>
      <c r="M65" t="e">
        <v>#N/A</v>
      </c>
      <c r="N65">
        <v>0.49</v>
      </c>
      <c r="O65">
        <v>3.57</v>
      </c>
      <c r="P65">
        <v>2.1680000000000001</v>
      </c>
      <c r="Q65">
        <v>14</v>
      </c>
    </row>
    <row r="66" spans="1:17" x14ac:dyDescent="0.25">
      <c r="A66" s="1">
        <v>41284</v>
      </c>
      <c r="B66">
        <v>8.42</v>
      </c>
      <c r="C66">
        <v>147.58000000000001</v>
      </c>
      <c r="D66">
        <v>5.47</v>
      </c>
      <c r="E66">
        <v>35</v>
      </c>
      <c r="F66">
        <v>6.94</v>
      </c>
      <c r="G66">
        <v>1.768</v>
      </c>
      <c r="H66" s="15">
        <v>10.220000000000001</v>
      </c>
      <c r="I66">
        <v>34.97</v>
      </c>
      <c r="J66">
        <v>20.95</v>
      </c>
      <c r="K66">
        <v>8.2899999999999991</v>
      </c>
      <c r="L66">
        <v>2.23</v>
      </c>
      <c r="M66">
        <v>2.83</v>
      </c>
      <c r="N66">
        <v>0.49</v>
      </c>
      <c r="O66">
        <v>3.57</v>
      </c>
      <c r="P66">
        <v>2.2160000000000002</v>
      </c>
      <c r="Q66">
        <v>15</v>
      </c>
    </row>
    <row r="67" spans="1:17" x14ac:dyDescent="0.25">
      <c r="A67" s="1">
        <v>41285</v>
      </c>
      <c r="B67">
        <v>8.4700000000000006</v>
      </c>
      <c r="C67">
        <v>145.91</v>
      </c>
      <c r="D67">
        <v>5.48</v>
      </c>
      <c r="E67">
        <v>35.35</v>
      </c>
      <c r="F67">
        <v>6.89</v>
      </c>
      <c r="G67">
        <v>1.76</v>
      </c>
      <c r="H67" s="15">
        <v>10.37</v>
      </c>
      <c r="I67">
        <v>35.700000000000003</v>
      </c>
      <c r="J67">
        <v>20.95</v>
      </c>
      <c r="K67">
        <v>8.39</v>
      </c>
      <c r="L67">
        <v>2.25</v>
      </c>
      <c r="M67">
        <v>2.82</v>
      </c>
      <c r="N67">
        <v>0.49</v>
      </c>
      <c r="O67">
        <v>3.57</v>
      </c>
      <c r="P67">
        <v>2.2080000000000002</v>
      </c>
      <c r="Q67">
        <v>15</v>
      </c>
    </row>
    <row r="68" spans="1:17" x14ac:dyDescent="0.25">
      <c r="A68" s="1">
        <v>41288</v>
      </c>
      <c r="B68">
        <v>8.49</v>
      </c>
      <c r="C68">
        <v>147.1</v>
      </c>
      <c r="D68">
        <v>5.48</v>
      </c>
      <c r="E68">
        <v>35.35</v>
      </c>
      <c r="F68">
        <v>6.94</v>
      </c>
      <c r="G68">
        <v>1.768</v>
      </c>
      <c r="H68" s="15">
        <v>10.56</v>
      </c>
      <c r="I68">
        <v>35.520000000000003</v>
      </c>
      <c r="J68">
        <v>20.95</v>
      </c>
      <c r="K68">
        <v>8.43</v>
      </c>
      <c r="L68">
        <v>2.25</v>
      </c>
      <c r="M68">
        <v>2.81</v>
      </c>
      <c r="N68">
        <v>0.48</v>
      </c>
      <c r="O68">
        <v>3.5</v>
      </c>
      <c r="P68">
        <v>2.1920000000000002</v>
      </c>
      <c r="Q68">
        <v>15</v>
      </c>
    </row>
    <row r="69" spans="1:17" x14ac:dyDescent="0.25">
      <c r="A69" s="1">
        <v>41289</v>
      </c>
      <c r="B69">
        <v>8.52</v>
      </c>
      <c r="C69">
        <v>144.74</v>
      </c>
      <c r="D69">
        <v>5.5</v>
      </c>
      <c r="E69">
        <v>35</v>
      </c>
      <c r="F69">
        <v>6.83</v>
      </c>
      <c r="G69">
        <v>1.738</v>
      </c>
      <c r="H69" s="15">
        <v>10.31</v>
      </c>
      <c r="I69">
        <v>35.880000000000003</v>
      </c>
      <c r="J69">
        <v>21.05</v>
      </c>
      <c r="K69">
        <v>8.48</v>
      </c>
      <c r="L69">
        <v>2.25</v>
      </c>
      <c r="M69">
        <v>2.79</v>
      </c>
      <c r="N69">
        <v>0.47</v>
      </c>
      <c r="O69">
        <v>3.5</v>
      </c>
      <c r="P69">
        <v>2.1920000000000002</v>
      </c>
      <c r="Q69">
        <v>15</v>
      </c>
    </row>
    <row r="70" spans="1:17" x14ac:dyDescent="0.25">
      <c r="A70" s="1">
        <v>41290</v>
      </c>
      <c r="B70">
        <v>8.52</v>
      </c>
      <c r="C70">
        <v>147.94999999999999</v>
      </c>
      <c r="D70">
        <v>5.52</v>
      </c>
      <c r="E70">
        <v>35</v>
      </c>
      <c r="F70">
        <v>6.83</v>
      </c>
      <c r="G70">
        <v>1.7450000000000001</v>
      </c>
      <c r="H70" s="15">
        <v>10.37</v>
      </c>
      <c r="I70">
        <v>35.700000000000003</v>
      </c>
      <c r="J70">
        <v>21.4</v>
      </c>
      <c r="K70">
        <v>8.3800000000000008</v>
      </c>
      <c r="L70">
        <v>2.25</v>
      </c>
      <c r="M70">
        <v>2.79</v>
      </c>
      <c r="N70">
        <v>0.48</v>
      </c>
      <c r="O70">
        <v>3.5</v>
      </c>
      <c r="P70">
        <v>2.1680000000000001</v>
      </c>
      <c r="Q70">
        <v>15</v>
      </c>
    </row>
    <row r="71" spans="1:17" x14ac:dyDescent="0.25">
      <c r="A71" s="1">
        <v>41291</v>
      </c>
      <c r="B71">
        <v>8.57</v>
      </c>
      <c r="C71">
        <v>151.27000000000001</v>
      </c>
      <c r="D71">
        <v>5.51</v>
      </c>
      <c r="E71">
        <v>35.21</v>
      </c>
      <c r="F71">
        <v>6.79</v>
      </c>
      <c r="G71">
        <v>1.7450000000000001</v>
      </c>
      <c r="H71" s="15">
        <v>10.46</v>
      </c>
      <c r="I71">
        <v>35.520000000000003</v>
      </c>
      <c r="J71">
        <v>21.5</v>
      </c>
      <c r="K71">
        <v>8.31</v>
      </c>
      <c r="L71">
        <v>2.25</v>
      </c>
      <c r="M71">
        <v>2.74</v>
      </c>
      <c r="N71">
        <v>0.48</v>
      </c>
      <c r="O71">
        <v>3.48</v>
      </c>
      <c r="P71">
        <v>2.1760000000000002</v>
      </c>
      <c r="Q71">
        <v>15</v>
      </c>
    </row>
    <row r="72" spans="1:17" x14ac:dyDescent="0.25">
      <c r="A72" s="1">
        <v>41292</v>
      </c>
      <c r="B72">
        <v>8.58</v>
      </c>
      <c r="C72">
        <v>148.05000000000001</v>
      </c>
      <c r="D72">
        <v>5.52</v>
      </c>
      <c r="E72">
        <v>35.5</v>
      </c>
      <c r="F72">
        <v>6.89</v>
      </c>
      <c r="G72">
        <v>1.7450000000000001</v>
      </c>
      <c r="H72" s="15">
        <v>10.56</v>
      </c>
      <c r="I72">
        <v>35.520000000000003</v>
      </c>
      <c r="J72">
        <v>22.1</v>
      </c>
      <c r="K72">
        <v>8.2899999999999991</v>
      </c>
      <c r="L72">
        <v>2.23</v>
      </c>
      <c r="M72">
        <v>2.68</v>
      </c>
      <c r="N72">
        <v>0.47</v>
      </c>
      <c r="O72">
        <v>3.5</v>
      </c>
      <c r="P72">
        <v>2.1360000000000001</v>
      </c>
      <c r="Q72">
        <v>15</v>
      </c>
    </row>
    <row r="73" spans="1:17" x14ac:dyDescent="0.25">
      <c r="A73" s="1">
        <v>41295</v>
      </c>
      <c r="B73">
        <v>8.6199999999999992</v>
      </c>
      <c r="C73">
        <v>148.05000000000001</v>
      </c>
      <c r="D73">
        <v>5.53</v>
      </c>
      <c r="E73">
        <v>35</v>
      </c>
      <c r="F73" t="e">
        <v>#N/A</v>
      </c>
      <c r="G73">
        <v>1.7450000000000001</v>
      </c>
      <c r="H73" s="15">
        <v>10.51</v>
      </c>
      <c r="I73">
        <v>35.520000000000003</v>
      </c>
      <c r="J73">
        <v>22.2</v>
      </c>
      <c r="K73">
        <v>8.2899999999999991</v>
      </c>
      <c r="L73">
        <v>2.23</v>
      </c>
      <c r="M73" t="e">
        <v>#N/A</v>
      </c>
      <c r="N73">
        <v>0.47</v>
      </c>
      <c r="O73">
        <v>3.5</v>
      </c>
      <c r="P73">
        <v>2.1440000000000001</v>
      </c>
      <c r="Q73">
        <v>13</v>
      </c>
    </row>
    <row r="74" spans="1:17" x14ac:dyDescent="0.25">
      <c r="A74" s="1">
        <v>41296</v>
      </c>
      <c r="B74">
        <v>8.67</v>
      </c>
      <c r="C74">
        <v>149.75</v>
      </c>
      <c r="D74">
        <v>5.53</v>
      </c>
      <c r="E74">
        <v>35</v>
      </c>
      <c r="F74">
        <v>6.74</v>
      </c>
      <c r="G74">
        <v>1.7450000000000001</v>
      </c>
      <c r="H74" s="15">
        <v>10.25</v>
      </c>
      <c r="I74">
        <v>34.61</v>
      </c>
      <c r="J74">
        <v>22.6</v>
      </c>
      <c r="K74">
        <v>8.1199999999999992</v>
      </c>
      <c r="L74">
        <v>2.1800000000000002</v>
      </c>
      <c r="M74">
        <v>2.56</v>
      </c>
      <c r="N74">
        <v>0.49</v>
      </c>
      <c r="O74">
        <v>3.53</v>
      </c>
      <c r="P74">
        <v>2.1440000000000001</v>
      </c>
      <c r="Q74">
        <v>15</v>
      </c>
    </row>
    <row r="75" spans="1:17" x14ac:dyDescent="0.25">
      <c r="A75" s="1">
        <v>41297</v>
      </c>
      <c r="B75">
        <v>8.81</v>
      </c>
      <c r="C75">
        <v>149.47</v>
      </c>
      <c r="D75">
        <v>5.56</v>
      </c>
      <c r="E75">
        <v>33.200000000000003</v>
      </c>
      <c r="F75">
        <v>6.84</v>
      </c>
      <c r="G75">
        <v>1.7969999999999999</v>
      </c>
      <c r="H75" s="15">
        <v>10.32</v>
      </c>
      <c r="I75">
        <v>34.61</v>
      </c>
      <c r="J75">
        <v>22.7</v>
      </c>
      <c r="K75">
        <v>8.1</v>
      </c>
      <c r="L75">
        <v>2.2000000000000002</v>
      </c>
      <c r="M75">
        <v>2.54</v>
      </c>
      <c r="N75">
        <v>0.49</v>
      </c>
      <c r="O75">
        <v>3.59</v>
      </c>
      <c r="P75">
        <v>2.1360000000000001</v>
      </c>
      <c r="Q75">
        <v>15</v>
      </c>
    </row>
    <row r="76" spans="1:17" x14ac:dyDescent="0.25">
      <c r="A76" s="1">
        <v>41298</v>
      </c>
      <c r="B76">
        <v>8.82</v>
      </c>
      <c r="C76">
        <v>149.37</v>
      </c>
      <c r="D76">
        <v>5.57</v>
      </c>
      <c r="E76">
        <v>31.61</v>
      </c>
      <c r="F76">
        <v>6.89</v>
      </c>
      <c r="G76">
        <v>1.7969999999999999</v>
      </c>
      <c r="H76" s="15">
        <v>10.33</v>
      </c>
      <c r="I76">
        <v>34.97</v>
      </c>
      <c r="J76">
        <v>23</v>
      </c>
      <c r="K76">
        <v>8.0500000000000007</v>
      </c>
      <c r="L76">
        <v>2.17</v>
      </c>
      <c r="M76">
        <v>2.5</v>
      </c>
      <c r="N76">
        <v>0.49</v>
      </c>
      <c r="O76">
        <v>3.66</v>
      </c>
      <c r="P76">
        <v>2.1120000000000001</v>
      </c>
      <c r="Q76">
        <v>15</v>
      </c>
    </row>
    <row r="77" spans="1:17" x14ac:dyDescent="0.25">
      <c r="A77" s="1">
        <v>41299</v>
      </c>
      <c r="B77">
        <v>8.76</v>
      </c>
      <c r="C77">
        <v>146.54</v>
      </c>
      <c r="D77">
        <v>5.56</v>
      </c>
      <c r="E77">
        <v>31.5</v>
      </c>
      <c r="F77">
        <v>6.79</v>
      </c>
      <c r="G77">
        <v>1.7969999999999999</v>
      </c>
      <c r="H77" s="15">
        <v>10.34</v>
      </c>
      <c r="I77">
        <v>35.520000000000003</v>
      </c>
      <c r="J77">
        <v>23</v>
      </c>
      <c r="K77">
        <v>8.0500000000000007</v>
      </c>
      <c r="L77">
        <v>2.16</v>
      </c>
      <c r="M77">
        <v>2.4500000000000002</v>
      </c>
      <c r="N77">
        <v>0.48</v>
      </c>
      <c r="O77">
        <v>3.62</v>
      </c>
      <c r="P77">
        <v>2.0880000000000001</v>
      </c>
      <c r="Q77">
        <v>15</v>
      </c>
    </row>
    <row r="78" spans="1:17" x14ac:dyDescent="0.25">
      <c r="A78" s="1">
        <v>41302</v>
      </c>
      <c r="B78">
        <v>8.4700000000000006</v>
      </c>
      <c r="C78">
        <v>146.35</v>
      </c>
      <c r="D78">
        <v>5.5</v>
      </c>
      <c r="E78">
        <v>30.45</v>
      </c>
      <c r="F78">
        <v>6.65</v>
      </c>
      <c r="G78">
        <v>1.7749999999999999</v>
      </c>
      <c r="H78" s="15">
        <v>10.06</v>
      </c>
      <c r="I78">
        <v>34.61</v>
      </c>
      <c r="J78">
        <v>23</v>
      </c>
      <c r="K78">
        <v>8.0399999999999991</v>
      </c>
      <c r="L78">
        <v>2.1</v>
      </c>
      <c r="M78">
        <v>2.4</v>
      </c>
      <c r="N78">
        <v>0.47</v>
      </c>
      <c r="O78">
        <v>3.5</v>
      </c>
      <c r="P78">
        <v>2.08</v>
      </c>
      <c r="Q78">
        <v>15</v>
      </c>
    </row>
    <row r="79" spans="1:17" x14ac:dyDescent="0.25">
      <c r="A79" s="1">
        <v>41303</v>
      </c>
      <c r="B79">
        <v>8.57</v>
      </c>
      <c r="C79">
        <v>149.07</v>
      </c>
      <c r="D79">
        <v>5.46</v>
      </c>
      <c r="E79">
        <v>30.4</v>
      </c>
      <c r="F79">
        <v>6.69</v>
      </c>
      <c r="G79">
        <v>1.76</v>
      </c>
      <c r="H79" s="15">
        <v>9.99</v>
      </c>
      <c r="I79">
        <v>35.06</v>
      </c>
      <c r="J79">
        <v>23</v>
      </c>
      <c r="K79">
        <v>8.0500000000000007</v>
      </c>
      <c r="L79">
        <v>2.1</v>
      </c>
      <c r="M79">
        <v>2.4</v>
      </c>
      <c r="N79">
        <v>0.47</v>
      </c>
      <c r="O79">
        <v>3.49</v>
      </c>
      <c r="P79">
        <v>2.0720000000000001</v>
      </c>
      <c r="Q79">
        <v>15</v>
      </c>
    </row>
    <row r="80" spans="1:17" x14ac:dyDescent="0.25">
      <c r="A80" s="1">
        <v>41304</v>
      </c>
      <c r="B80">
        <v>8.57</v>
      </c>
      <c r="C80">
        <v>147.58000000000001</v>
      </c>
      <c r="D80">
        <v>5.54</v>
      </c>
      <c r="E80">
        <v>30.02</v>
      </c>
      <c r="F80">
        <v>6.82</v>
      </c>
      <c r="G80">
        <v>1.782</v>
      </c>
      <c r="H80" s="15">
        <v>10.17</v>
      </c>
      <c r="I80">
        <v>35.520000000000003</v>
      </c>
      <c r="J80">
        <v>23.2</v>
      </c>
      <c r="K80">
        <v>8.1999999999999993</v>
      </c>
      <c r="L80">
        <v>2.17</v>
      </c>
      <c r="M80">
        <v>2.5</v>
      </c>
      <c r="N80">
        <v>0.49</v>
      </c>
      <c r="O80">
        <v>3.54</v>
      </c>
      <c r="P80">
        <v>2.1040000000000001</v>
      </c>
      <c r="Q80">
        <v>15</v>
      </c>
    </row>
    <row r="81" spans="1:17" x14ac:dyDescent="0.25">
      <c r="A81" s="1">
        <v>41305</v>
      </c>
      <c r="B81">
        <v>8.58</v>
      </c>
      <c r="C81">
        <v>147.46</v>
      </c>
      <c r="D81">
        <v>5.58</v>
      </c>
      <c r="E81">
        <v>29.7</v>
      </c>
      <c r="F81">
        <v>6.86</v>
      </c>
      <c r="G81">
        <v>1.8420000000000001</v>
      </c>
      <c r="H81" s="15">
        <v>10.51</v>
      </c>
      <c r="I81">
        <v>35.06</v>
      </c>
      <c r="J81">
        <v>23.2</v>
      </c>
      <c r="K81">
        <v>8.26</v>
      </c>
      <c r="L81">
        <v>2.2000000000000002</v>
      </c>
      <c r="M81">
        <v>2.61</v>
      </c>
      <c r="N81">
        <v>0.49</v>
      </c>
      <c r="O81">
        <v>3.62</v>
      </c>
      <c r="P81">
        <v>2.12</v>
      </c>
      <c r="Q81">
        <v>15</v>
      </c>
    </row>
    <row r="82" spans="1:17" x14ac:dyDescent="0.25">
      <c r="A82" s="1">
        <v>41306</v>
      </c>
      <c r="B82">
        <v>8.6199999999999992</v>
      </c>
      <c r="C82">
        <v>150.04</v>
      </c>
      <c r="D82">
        <v>5.66</v>
      </c>
      <c r="E82">
        <v>29.7</v>
      </c>
      <c r="F82">
        <v>6.94</v>
      </c>
      <c r="G82">
        <v>1.9390000000000001</v>
      </c>
      <c r="H82" s="15">
        <v>10.66</v>
      </c>
      <c r="I82">
        <v>35.33</v>
      </c>
      <c r="J82">
        <v>23.5</v>
      </c>
      <c r="K82">
        <v>8.34</v>
      </c>
      <c r="L82">
        <v>2.2599999999999998</v>
      </c>
      <c r="M82">
        <v>2.71</v>
      </c>
      <c r="N82">
        <v>0.51</v>
      </c>
      <c r="O82">
        <v>3.64</v>
      </c>
      <c r="P82">
        <v>2.1280000000000001</v>
      </c>
      <c r="Q82">
        <v>15</v>
      </c>
    </row>
    <row r="83" spans="1:17" x14ac:dyDescent="0.25">
      <c r="A83" s="1">
        <v>41309</v>
      </c>
      <c r="B83">
        <v>8.6199999999999992</v>
      </c>
      <c r="C83">
        <v>141.9</v>
      </c>
      <c r="D83">
        <v>4.7489999999999997</v>
      </c>
      <c r="E83">
        <v>29.2</v>
      </c>
      <c r="F83">
        <v>6.87</v>
      </c>
      <c r="G83">
        <v>1.909</v>
      </c>
      <c r="H83" s="15">
        <v>10.81</v>
      </c>
      <c r="I83">
        <v>35.35</v>
      </c>
      <c r="J83">
        <v>24</v>
      </c>
      <c r="K83">
        <v>8.43</v>
      </c>
      <c r="L83">
        <v>2.25</v>
      </c>
      <c r="M83">
        <v>2.8</v>
      </c>
      <c r="N83">
        <v>0.51</v>
      </c>
      <c r="O83">
        <v>3.61</v>
      </c>
      <c r="P83">
        <v>2.12</v>
      </c>
      <c r="Q83">
        <v>15</v>
      </c>
    </row>
    <row r="84" spans="1:17" x14ac:dyDescent="0.25">
      <c r="A84" s="1">
        <v>41310</v>
      </c>
      <c r="B84">
        <v>8.81</v>
      </c>
      <c r="C84">
        <v>135.28</v>
      </c>
      <c r="D84">
        <v>4.7290000000000001</v>
      </c>
      <c r="E84">
        <v>28.3</v>
      </c>
      <c r="F84">
        <v>6.89</v>
      </c>
      <c r="G84">
        <v>1.9319999999999999</v>
      </c>
      <c r="H84" s="15">
        <v>11.09</v>
      </c>
      <c r="I84">
        <v>35.51</v>
      </c>
      <c r="J84">
        <v>24.09</v>
      </c>
      <c r="K84">
        <v>8.34</v>
      </c>
      <c r="L84">
        <v>2.31</v>
      </c>
      <c r="M84">
        <v>2.95</v>
      </c>
      <c r="N84">
        <v>0.51</v>
      </c>
      <c r="O84">
        <v>3.63</v>
      </c>
      <c r="P84">
        <v>2.1520000000000001</v>
      </c>
      <c r="Q84">
        <v>15</v>
      </c>
    </row>
    <row r="85" spans="1:17" x14ac:dyDescent="0.25">
      <c r="A85" s="1">
        <v>41311</v>
      </c>
      <c r="B85">
        <v>8.77</v>
      </c>
      <c r="C85">
        <v>137.66999999999999</v>
      </c>
      <c r="D85">
        <v>4.7290000000000001</v>
      </c>
      <c r="E85">
        <v>28.55</v>
      </c>
      <c r="F85">
        <v>6.89</v>
      </c>
      <c r="G85">
        <v>1.954</v>
      </c>
      <c r="H85" s="15">
        <v>11.04</v>
      </c>
      <c r="I85">
        <v>35.42</v>
      </c>
      <c r="J85">
        <v>24.5</v>
      </c>
      <c r="K85">
        <v>8.33</v>
      </c>
      <c r="L85">
        <v>2.42</v>
      </c>
      <c r="M85">
        <v>2.9</v>
      </c>
      <c r="N85">
        <v>0.54</v>
      </c>
      <c r="O85">
        <v>3.61</v>
      </c>
      <c r="P85">
        <v>2.1040000000000001</v>
      </c>
      <c r="Q85">
        <v>15</v>
      </c>
    </row>
    <row r="86" spans="1:17" x14ac:dyDescent="0.25">
      <c r="A86" s="1">
        <v>41312</v>
      </c>
      <c r="B86">
        <v>8.81</v>
      </c>
      <c r="C86">
        <v>139.16</v>
      </c>
      <c r="D86">
        <v>4.6829999999999998</v>
      </c>
      <c r="E86">
        <v>28.71</v>
      </c>
      <c r="F86">
        <v>6.89</v>
      </c>
      <c r="G86">
        <v>1.9690000000000001</v>
      </c>
      <c r="H86" s="15">
        <v>11.02</v>
      </c>
      <c r="I86">
        <v>35.61</v>
      </c>
      <c r="J86">
        <v>25</v>
      </c>
      <c r="K86">
        <v>8.43</v>
      </c>
      <c r="L86">
        <v>2.42</v>
      </c>
      <c r="M86">
        <v>2.86</v>
      </c>
      <c r="N86">
        <v>0.54</v>
      </c>
      <c r="O86">
        <v>3.59</v>
      </c>
      <c r="P86">
        <v>2.0880000000000001</v>
      </c>
      <c r="Q86">
        <v>15</v>
      </c>
    </row>
    <row r="87" spans="1:17" x14ac:dyDescent="0.25">
      <c r="A87" s="1">
        <v>41313</v>
      </c>
      <c r="B87">
        <v>8.91</v>
      </c>
      <c r="C87">
        <v>138.79</v>
      </c>
      <c r="D87">
        <v>4.7160000000000002</v>
      </c>
      <c r="E87">
        <v>28.55</v>
      </c>
      <c r="F87">
        <v>6.89</v>
      </c>
      <c r="G87">
        <v>1.984</v>
      </c>
      <c r="H87" s="15">
        <v>11.04</v>
      </c>
      <c r="I87">
        <v>35.880000000000003</v>
      </c>
      <c r="J87">
        <v>24.5</v>
      </c>
      <c r="K87">
        <v>8.43</v>
      </c>
      <c r="L87">
        <v>2.4300000000000002</v>
      </c>
      <c r="M87">
        <v>2.82</v>
      </c>
      <c r="N87">
        <v>0.53</v>
      </c>
      <c r="O87">
        <v>3.57</v>
      </c>
      <c r="P87">
        <v>2.0960000000000001</v>
      </c>
      <c r="Q87">
        <v>15</v>
      </c>
    </row>
    <row r="88" spans="1:17" x14ac:dyDescent="0.25">
      <c r="A88" s="1">
        <v>41316</v>
      </c>
      <c r="B88">
        <v>8.91</v>
      </c>
      <c r="C88">
        <v>138.16</v>
      </c>
      <c r="D88">
        <v>4.7160000000000002</v>
      </c>
      <c r="E88">
        <v>27.3</v>
      </c>
      <c r="F88">
        <v>6.89</v>
      </c>
      <c r="G88">
        <v>1.9690000000000001</v>
      </c>
      <c r="H88" s="15">
        <v>11.05</v>
      </c>
      <c r="I88">
        <v>35.65</v>
      </c>
      <c r="J88">
        <v>23.5</v>
      </c>
      <c r="K88">
        <v>8.48</v>
      </c>
      <c r="L88">
        <v>2.41</v>
      </c>
      <c r="M88">
        <v>2.77</v>
      </c>
      <c r="N88">
        <v>0.51</v>
      </c>
      <c r="O88">
        <v>3.62</v>
      </c>
      <c r="P88">
        <v>2.1120000000000001</v>
      </c>
      <c r="Q88">
        <v>15</v>
      </c>
    </row>
    <row r="89" spans="1:17" x14ac:dyDescent="0.25">
      <c r="A89" s="1">
        <v>41317</v>
      </c>
      <c r="B89">
        <v>8.98</v>
      </c>
      <c r="C89">
        <v>140.01</v>
      </c>
      <c r="D89">
        <v>4.7089999999999996</v>
      </c>
      <c r="E89">
        <v>27.2</v>
      </c>
      <c r="F89">
        <v>6.89</v>
      </c>
      <c r="G89">
        <v>1.984</v>
      </c>
      <c r="H89" s="15">
        <v>10.95</v>
      </c>
      <c r="I89">
        <v>35.880000000000003</v>
      </c>
      <c r="J89">
        <v>22</v>
      </c>
      <c r="K89">
        <v>8.57</v>
      </c>
      <c r="L89">
        <v>2.39</v>
      </c>
      <c r="M89">
        <v>2.74</v>
      </c>
      <c r="N89">
        <v>0.52</v>
      </c>
      <c r="O89">
        <v>3.63</v>
      </c>
      <c r="P89">
        <v>2.1040000000000001</v>
      </c>
      <c r="Q89">
        <v>15</v>
      </c>
    </row>
    <row r="90" spans="1:17" x14ac:dyDescent="0.25">
      <c r="A90" s="1">
        <v>41318</v>
      </c>
      <c r="B90">
        <v>9.0299999999999994</v>
      </c>
      <c r="C90">
        <v>141</v>
      </c>
      <c r="D90">
        <v>4.7160000000000002</v>
      </c>
      <c r="E90">
        <v>27.1</v>
      </c>
      <c r="F90">
        <v>6.88</v>
      </c>
      <c r="G90">
        <v>2.0139999999999998</v>
      </c>
      <c r="H90" s="15">
        <v>11.04</v>
      </c>
      <c r="I90">
        <v>35.880000000000003</v>
      </c>
      <c r="J90">
        <v>23.5</v>
      </c>
      <c r="K90">
        <v>8.57</v>
      </c>
      <c r="L90">
        <v>2.36</v>
      </c>
      <c r="M90">
        <v>2.2759999999999998</v>
      </c>
      <c r="N90">
        <v>0.52</v>
      </c>
      <c r="O90">
        <v>3.66</v>
      </c>
      <c r="P90">
        <v>2.1040000000000001</v>
      </c>
      <c r="Q90">
        <v>15</v>
      </c>
    </row>
    <row r="91" spans="1:17" x14ac:dyDescent="0.25">
      <c r="A91" s="1">
        <v>41319</v>
      </c>
      <c r="B91">
        <v>8.92</v>
      </c>
      <c r="C91">
        <v>139.58000000000001</v>
      </c>
      <c r="D91">
        <v>4.7160000000000002</v>
      </c>
      <c r="E91">
        <v>27.44</v>
      </c>
      <c r="F91">
        <v>6.7</v>
      </c>
      <c r="G91">
        <v>2.0139999999999998</v>
      </c>
      <c r="H91" s="15">
        <v>10.97</v>
      </c>
      <c r="I91">
        <v>35.97</v>
      </c>
      <c r="J91">
        <v>23.4</v>
      </c>
      <c r="K91">
        <v>8.58</v>
      </c>
      <c r="L91">
        <v>2.36</v>
      </c>
      <c r="M91">
        <v>2.2349999999999999</v>
      </c>
      <c r="N91">
        <v>0.49</v>
      </c>
      <c r="O91">
        <v>3.59</v>
      </c>
      <c r="P91">
        <v>2.0880000000000001</v>
      </c>
      <c r="Q91">
        <v>15</v>
      </c>
    </row>
    <row r="92" spans="1:17" x14ac:dyDescent="0.25">
      <c r="A92" s="1">
        <v>41320</v>
      </c>
      <c r="B92">
        <v>8.82</v>
      </c>
      <c r="C92">
        <v>139.06</v>
      </c>
      <c r="D92">
        <v>4.6890000000000001</v>
      </c>
      <c r="E92">
        <v>27.15</v>
      </c>
      <c r="F92">
        <v>6.7</v>
      </c>
      <c r="G92">
        <v>1.962</v>
      </c>
      <c r="H92" s="15">
        <v>10.9</v>
      </c>
      <c r="I92">
        <v>35.65</v>
      </c>
      <c r="J92">
        <v>23.4</v>
      </c>
      <c r="K92">
        <v>8.58</v>
      </c>
      <c r="L92">
        <v>2.34</v>
      </c>
      <c r="M92" t="e">
        <v>#N/A</v>
      </c>
      <c r="N92">
        <v>0.49</v>
      </c>
      <c r="O92">
        <v>3.56</v>
      </c>
      <c r="P92">
        <v>2.016</v>
      </c>
      <c r="Q92">
        <v>14</v>
      </c>
    </row>
    <row r="93" spans="1:17" x14ac:dyDescent="0.25">
      <c r="A93" s="1">
        <v>41323</v>
      </c>
      <c r="B93">
        <v>8.76</v>
      </c>
      <c r="C93">
        <v>138.12</v>
      </c>
      <c r="D93">
        <v>4.6689999999999996</v>
      </c>
      <c r="E93">
        <v>27.5</v>
      </c>
      <c r="F93" t="e">
        <v>#N/A</v>
      </c>
      <c r="G93">
        <v>1.962</v>
      </c>
      <c r="H93" s="15">
        <v>10.67</v>
      </c>
      <c r="I93">
        <v>35.65</v>
      </c>
      <c r="J93" t="e">
        <v>#N/A</v>
      </c>
      <c r="K93">
        <v>8.57</v>
      </c>
      <c r="L93">
        <v>2.35</v>
      </c>
      <c r="M93">
        <v>2.2349999999999999</v>
      </c>
      <c r="N93">
        <v>0.49</v>
      </c>
      <c r="O93">
        <v>3.56</v>
      </c>
      <c r="P93">
        <v>1.992</v>
      </c>
      <c r="Q93">
        <v>13</v>
      </c>
    </row>
    <row r="94" spans="1:17" x14ac:dyDescent="0.25">
      <c r="A94" s="1">
        <v>41324</v>
      </c>
      <c r="B94">
        <v>8.76</v>
      </c>
      <c r="C94">
        <v>139.63</v>
      </c>
      <c r="D94">
        <v>4.7489999999999997</v>
      </c>
      <c r="E94">
        <v>27</v>
      </c>
      <c r="F94">
        <v>6.79</v>
      </c>
      <c r="G94">
        <v>2.0289999999999999</v>
      </c>
      <c r="H94" s="15">
        <v>10.81</v>
      </c>
      <c r="I94">
        <v>35.880000000000003</v>
      </c>
      <c r="J94">
        <v>23.47</v>
      </c>
      <c r="K94">
        <v>8.57</v>
      </c>
      <c r="L94">
        <v>2.3199999999999998</v>
      </c>
      <c r="M94">
        <v>2.2349999999999999</v>
      </c>
      <c r="N94">
        <v>0.48</v>
      </c>
      <c r="O94">
        <v>3.54</v>
      </c>
      <c r="P94">
        <v>2.016</v>
      </c>
      <c r="Q94">
        <v>15</v>
      </c>
    </row>
    <row r="95" spans="1:17" x14ac:dyDescent="0.25">
      <c r="A95" s="1">
        <v>41325</v>
      </c>
      <c r="B95">
        <v>8.9600000000000009</v>
      </c>
      <c r="C95">
        <v>139.06</v>
      </c>
      <c r="D95">
        <v>4.7489999999999997</v>
      </c>
      <c r="E95">
        <v>26</v>
      </c>
      <c r="F95">
        <v>6.79</v>
      </c>
      <c r="G95">
        <v>2.0579999999999998</v>
      </c>
      <c r="H95" s="15">
        <v>11.09</v>
      </c>
      <c r="I95">
        <v>35.97</v>
      </c>
      <c r="J95">
        <v>24.5</v>
      </c>
      <c r="K95">
        <v>8.52</v>
      </c>
      <c r="L95">
        <v>2.2799999999999998</v>
      </c>
      <c r="M95">
        <v>2.2109999999999999</v>
      </c>
      <c r="N95">
        <v>0.47</v>
      </c>
      <c r="O95">
        <v>3.56</v>
      </c>
      <c r="P95">
        <v>2.016</v>
      </c>
      <c r="Q95">
        <v>15</v>
      </c>
    </row>
    <row r="96" spans="1:17" x14ac:dyDescent="0.25">
      <c r="A96" s="1">
        <v>41326</v>
      </c>
      <c r="B96">
        <v>8.9600000000000009</v>
      </c>
      <c r="C96">
        <v>136.22999999999999</v>
      </c>
      <c r="D96">
        <v>4.7220000000000004</v>
      </c>
      <c r="E96">
        <v>26.1</v>
      </c>
      <c r="F96">
        <v>6.89</v>
      </c>
      <c r="G96">
        <v>2.0510000000000002</v>
      </c>
      <c r="H96" s="15">
        <v>11.09</v>
      </c>
      <c r="I96" t="e">
        <v>#N/A</v>
      </c>
      <c r="J96">
        <v>24.49</v>
      </c>
      <c r="K96">
        <v>8.52</v>
      </c>
      <c r="L96">
        <v>2.2799999999999998</v>
      </c>
      <c r="M96">
        <v>2.2109999999999999</v>
      </c>
      <c r="N96">
        <v>0.46</v>
      </c>
      <c r="O96">
        <v>3.56</v>
      </c>
      <c r="P96">
        <v>2</v>
      </c>
      <c r="Q96">
        <v>14</v>
      </c>
    </row>
    <row r="97" spans="1:17" x14ac:dyDescent="0.25">
      <c r="A97" s="1">
        <v>41327</v>
      </c>
      <c r="B97">
        <v>8.91</v>
      </c>
      <c r="C97">
        <v>138.97</v>
      </c>
      <c r="D97">
        <v>4.7220000000000004</v>
      </c>
      <c r="E97">
        <v>25.9</v>
      </c>
      <c r="F97">
        <v>6.96</v>
      </c>
      <c r="G97">
        <v>2.0880000000000001</v>
      </c>
      <c r="H97" s="15">
        <v>11.19</v>
      </c>
      <c r="I97">
        <v>35.97</v>
      </c>
      <c r="J97">
        <v>24</v>
      </c>
      <c r="K97">
        <v>8.5399999999999991</v>
      </c>
      <c r="L97">
        <v>2.19</v>
      </c>
      <c r="M97" t="e">
        <v>#N/A</v>
      </c>
      <c r="N97">
        <v>0.45</v>
      </c>
      <c r="O97">
        <v>3.61</v>
      </c>
      <c r="P97">
        <v>1.984</v>
      </c>
      <c r="Q97">
        <v>14</v>
      </c>
    </row>
    <row r="98" spans="1:17" x14ac:dyDescent="0.25">
      <c r="A98" s="1">
        <v>41330</v>
      </c>
      <c r="B98">
        <v>8.81</v>
      </c>
      <c r="C98">
        <v>139.84</v>
      </c>
      <c r="D98">
        <v>4.7350000000000003</v>
      </c>
      <c r="E98">
        <v>26</v>
      </c>
      <c r="F98">
        <v>6.99</v>
      </c>
      <c r="G98">
        <v>2.0659999999999998</v>
      </c>
      <c r="H98" s="15">
        <v>11.19</v>
      </c>
      <c r="I98">
        <v>35.97</v>
      </c>
      <c r="J98">
        <v>24</v>
      </c>
      <c r="K98">
        <v>8.52</v>
      </c>
      <c r="L98">
        <v>2.25</v>
      </c>
      <c r="M98">
        <v>2.2109999999999999</v>
      </c>
      <c r="N98">
        <v>0.45</v>
      </c>
      <c r="O98">
        <v>3.61</v>
      </c>
      <c r="P98">
        <v>1.9610000000000001</v>
      </c>
      <c r="Q98">
        <v>15</v>
      </c>
    </row>
    <row r="99" spans="1:17" x14ac:dyDescent="0.25">
      <c r="A99" s="1">
        <v>41331</v>
      </c>
      <c r="B99">
        <v>8.86</v>
      </c>
      <c r="C99">
        <v>139.54</v>
      </c>
      <c r="D99">
        <v>4.782</v>
      </c>
      <c r="E99">
        <v>26.55</v>
      </c>
      <c r="F99">
        <v>6.99</v>
      </c>
      <c r="G99">
        <v>2.0659999999999998</v>
      </c>
      <c r="H99" s="15">
        <v>11.29</v>
      </c>
      <c r="I99">
        <v>35.97</v>
      </c>
      <c r="J99">
        <v>24</v>
      </c>
      <c r="K99">
        <v>8.5299999999999994</v>
      </c>
      <c r="L99">
        <v>2.27</v>
      </c>
      <c r="M99">
        <v>2.2349999999999999</v>
      </c>
      <c r="N99">
        <v>0.45</v>
      </c>
      <c r="O99">
        <v>3.62</v>
      </c>
      <c r="P99">
        <v>1.9690000000000001</v>
      </c>
      <c r="Q99">
        <v>15</v>
      </c>
    </row>
    <row r="100" spans="1:17" x14ac:dyDescent="0.25">
      <c r="A100" s="1">
        <v>41332</v>
      </c>
      <c r="B100">
        <v>8.92</v>
      </c>
      <c r="C100">
        <v>140.94999999999999</v>
      </c>
      <c r="D100">
        <v>4.8140000000000001</v>
      </c>
      <c r="E100">
        <v>26</v>
      </c>
      <c r="F100">
        <v>6.92</v>
      </c>
      <c r="G100">
        <v>2.0880000000000001</v>
      </c>
      <c r="H100" s="15">
        <v>11.29</v>
      </c>
      <c r="I100">
        <v>35.93</v>
      </c>
      <c r="J100" t="e">
        <v>#N/A</v>
      </c>
      <c r="K100">
        <v>8.57</v>
      </c>
      <c r="L100">
        <v>2.2599999999999998</v>
      </c>
      <c r="M100">
        <v>2.2349999999999999</v>
      </c>
      <c r="N100">
        <v>0.45</v>
      </c>
      <c r="O100">
        <v>3.64</v>
      </c>
      <c r="P100">
        <v>1.921</v>
      </c>
      <c r="Q100">
        <v>14</v>
      </c>
    </row>
    <row r="101" spans="1:17" x14ac:dyDescent="0.25">
      <c r="A101" s="1">
        <v>41333</v>
      </c>
      <c r="B101">
        <v>8.76</v>
      </c>
      <c r="C101">
        <v>140.94999999999999</v>
      </c>
      <c r="D101">
        <v>4.7489999999999997</v>
      </c>
      <c r="E101">
        <v>25.6</v>
      </c>
      <c r="F101">
        <v>6.93</v>
      </c>
      <c r="G101">
        <v>2.081</v>
      </c>
      <c r="H101" s="15">
        <v>11.06</v>
      </c>
      <c r="I101">
        <v>35.92</v>
      </c>
      <c r="J101">
        <v>23.52</v>
      </c>
      <c r="K101">
        <v>8.65</v>
      </c>
      <c r="L101">
        <v>2.2599999999999998</v>
      </c>
      <c r="M101">
        <v>2.2349999999999999</v>
      </c>
      <c r="N101">
        <v>0.45</v>
      </c>
      <c r="O101">
        <v>3.59</v>
      </c>
      <c r="P101">
        <v>1.905</v>
      </c>
      <c r="Q101">
        <v>15</v>
      </c>
    </row>
    <row r="102" spans="1:17" x14ac:dyDescent="0.25">
      <c r="A102" s="1">
        <v>41334</v>
      </c>
      <c r="B102">
        <v>9.01</v>
      </c>
      <c r="C102">
        <v>142.85</v>
      </c>
      <c r="D102">
        <v>4.8339999999999996</v>
      </c>
      <c r="E102">
        <v>25.4</v>
      </c>
      <c r="F102">
        <v>6.99</v>
      </c>
      <c r="G102">
        <v>2.081</v>
      </c>
      <c r="H102" s="15">
        <v>11.26</v>
      </c>
      <c r="I102">
        <v>36.340000000000003</v>
      </c>
      <c r="J102">
        <v>23.5</v>
      </c>
      <c r="K102">
        <v>8.76</v>
      </c>
      <c r="L102">
        <v>2.25</v>
      </c>
      <c r="M102" t="e">
        <v>#N/A</v>
      </c>
      <c r="N102">
        <v>0.47</v>
      </c>
      <c r="O102">
        <v>3.65</v>
      </c>
      <c r="P102">
        <v>1.881</v>
      </c>
      <c r="Q102">
        <v>14</v>
      </c>
    </row>
    <row r="103" spans="1:17" x14ac:dyDescent="0.25">
      <c r="A103" s="1">
        <v>41337</v>
      </c>
      <c r="B103">
        <v>9.01</v>
      </c>
      <c r="C103">
        <v>144.36000000000001</v>
      </c>
      <c r="D103">
        <v>4.8869999999999996</v>
      </c>
      <c r="E103">
        <v>24.59</v>
      </c>
      <c r="F103">
        <v>6.96</v>
      </c>
      <c r="G103">
        <v>2.0659999999999998</v>
      </c>
      <c r="H103" s="15">
        <v>11.14</v>
      </c>
      <c r="I103">
        <v>35.97</v>
      </c>
      <c r="J103">
        <v>23.5</v>
      </c>
      <c r="K103">
        <v>8.67</v>
      </c>
      <c r="L103">
        <v>2.1800000000000002</v>
      </c>
      <c r="M103">
        <v>2.1539999999999999</v>
      </c>
      <c r="N103">
        <v>0.48</v>
      </c>
      <c r="O103">
        <v>3.66</v>
      </c>
      <c r="P103">
        <v>1.833</v>
      </c>
      <c r="Q103">
        <v>15</v>
      </c>
    </row>
    <row r="104" spans="1:17" x14ac:dyDescent="0.25">
      <c r="A104" s="1">
        <v>41338</v>
      </c>
      <c r="B104">
        <v>9.1</v>
      </c>
      <c r="C104">
        <v>147.57</v>
      </c>
      <c r="D104">
        <v>4.9459999999999997</v>
      </c>
      <c r="E104">
        <v>24.5</v>
      </c>
      <c r="F104">
        <v>6.94</v>
      </c>
      <c r="G104">
        <v>2.081</v>
      </c>
      <c r="H104" s="15">
        <v>11.33</v>
      </c>
      <c r="I104">
        <v>36.43</v>
      </c>
      <c r="J104" t="e">
        <v>#N/A</v>
      </c>
      <c r="K104">
        <v>8.82</v>
      </c>
      <c r="L104">
        <v>2.16</v>
      </c>
      <c r="M104">
        <v>2.1379999999999999</v>
      </c>
      <c r="N104">
        <v>0.47</v>
      </c>
      <c r="O104">
        <v>3.69</v>
      </c>
      <c r="P104">
        <v>1.841</v>
      </c>
      <c r="Q104">
        <v>14</v>
      </c>
    </row>
    <row r="105" spans="1:17" x14ac:dyDescent="0.25">
      <c r="A105" s="1">
        <v>41339</v>
      </c>
      <c r="B105">
        <v>9.31</v>
      </c>
      <c r="C105">
        <v>149.47</v>
      </c>
      <c r="D105">
        <v>4.9790000000000001</v>
      </c>
      <c r="E105">
        <v>25.48</v>
      </c>
      <c r="F105">
        <v>7.04</v>
      </c>
      <c r="G105">
        <v>2.081</v>
      </c>
      <c r="H105" s="15">
        <v>11.43</v>
      </c>
      <c r="I105">
        <v>36.43</v>
      </c>
      <c r="J105">
        <v>23.75</v>
      </c>
      <c r="K105">
        <v>8.82</v>
      </c>
      <c r="L105">
        <v>2.13</v>
      </c>
      <c r="M105">
        <v>1.992</v>
      </c>
      <c r="N105">
        <v>0.47</v>
      </c>
      <c r="O105">
        <v>3.71</v>
      </c>
      <c r="P105">
        <v>1.8169999999999999</v>
      </c>
      <c r="Q105">
        <v>15</v>
      </c>
    </row>
    <row r="106" spans="1:17" x14ac:dyDescent="0.25">
      <c r="A106" s="1">
        <v>41340</v>
      </c>
      <c r="B106">
        <v>9.3699999999999992</v>
      </c>
      <c r="C106">
        <v>150.41</v>
      </c>
      <c r="D106">
        <v>4.9790000000000001</v>
      </c>
      <c r="E106">
        <v>25.25</v>
      </c>
      <c r="F106">
        <v>6.96</v>
      </c>
      <c r="G106">
        <v>2.0659999999999998</v>
      </c>
      <c r="H106" s="15">
        <v>11.33</v>
      </c>
      <c r="I106">
        <v>35.97</v>
      </c>
      <c r="J106">
        <v>23.75</v>
      </c>
      <c r="K106">
        <v>8.66</v>
      </c>
      <c r="L106">
        <v>2.0699999999999998</v>
      </c>
      <c r="M106">
        <v>2.032</v>
      </c>
      <c r="N106">
        <v>0.46</v>
      </c>
      <c r="O106">
        <v>3.66</v>
      </c>
      <c r="P106">
        <v>1.7849999999999999</v>
      </c>
      <c r="Q106">
        <v>15</v>
      </c>
    </row>
    <row r="107" spans="1:17" x14ac:dyDescent="0.25">
      <c r="A107" s="1">
        <v>41341</v>
      </c>
      <c r="B107">
        <v>9.35</v>
      </c>
      <c r="C107">
        <v>149.47</v>
      </c>
      <c r="D107">
        <v>4.9459999999999997</v>
      </c>
      <c r="E107">
        <v>24.95</v>
      </c>
      <c r="F107">
        <v>7.04</v>
      </c>
      <c r="G107">
        <v>2.1030000000000002</v>
      </c>
      <c r="H107" s="15">
        <v>11.48</v>
      </c>
      <c r="I107">
        <v>35.97</v>
      </c>
      <c r="J107">
        <v>23.6</v>
      </c>
      <c r="K107">
        <v>8.66</v>
      </c>
      <c r="L107">
        <v>2.0499999999999998</v>
      </c>
      <c r="M107">
        <v>1.9510000000000001</v>
      </c>
      <c r="N107">
        <v>0.45</v>
      </c>
      <c r="O107">
        <v>3.69</v>
      </c>
      <c r="P107">
        <v>1.8009999999999999</v>
      </c>
      <c r="Q107">
        <v>15</v>
      </c>
    </row>
    <row r="108" spans="1:17" x14ac:dyDescent="0.25">
      <c r="A108" s="1">
        <v>41344</v>
      </c>
      <c r="B108">
        <v>9.4</v>
      </c>
      <c r="C108">
        <v>148.33000000000001</v>
      </c>
      <c r="D108">
        <v>4.9459999999999997</v>
      </c>
      <c r="E108">
        <v>24.83</v>
      </c>
      <c r="F108">
        <v>7.04</v>
      </c>
      <c r="G108">
        <v>2.1030000000000002</v>
      </c>
      <c r="H108" s="15">
        <v>11.48</v>
      </c>
      <c r="I108">
        <v>36.06</v>
      </c>
      <c r="J108">
        <v>23.75</v>
      </c>
      <c r="K108">
        <v>8.66</v>
      </c>
      <c r="L108">
        <v>2.0699999999999998</v>
      </c>
      <c r="M108">
        <v>1.9510000000000001</v>
      </c>
      <c r="N108">
        <v>0.45</v>
      </c>
      <c r="O108">
        <v>3.71</v>
      </c>
      <c r="P108">
        <v>1.7929999999999999</v>
      </c>
      <c r="Q108">
        <v>15</v>
      </c>
    </row>
    <row r="109" spans="1:17" x14ac:dyDescent="0.25">
      <c r="A109" s="1">
        <v>41345</v>
      </c>
      <c r="B109">
        <v>9.26</v>
      </c>
      <c r="C109">
        <v>149.08000000000001</v>
      </c>
      <c r="D109">
        <v>4.9130000000000003</v>
      </c>
      <c r="E109">
        <v>25.25</v>
      </c>
      <c r="F109">
        <v>7.09</v>
      </c>
      <c r="G109">
        <v>2.0960000000000001</v>
      </c>
      <c r="H109" s="15">
        <v>11.24</v>
      </c>
      <c r="I109">
        <v>36.24</v>
      </c>
      <c r="J109">
        <v>23.6</v>
      </c>
      <c r="K109">
        <v>8.7100000000000009</v>
      </c>
      <c r="L109">
        <v>2.0499999999999998</v>
      </c>
      <c r="M109">
        <v>1.829</v>
      </c>
      <c r="N109">
        <v>0.44</v>
      </c>
      <c r="O109">
        <v>3.75</v>
      </c>
      <c r="P109">
        <v>1.7529999999999999</v>
      </c>
      <c r="Q109">
        <v>15</v>
      </c>
    </row>
    <row r="110" spans="1:17" x14ac:dyDescent="0.25">
      <c r="A110" s="1">
        <v>41346</v>
      </c>
      <c r="B110">
        <v>9.01</v>
      </c>
      <c r="C110">
        <v>149.75</v>
      </c>
      <c r="D110">
        <v>4.9130000000000003</v>
      </c>
      <c r="E110">
        <v>24.8</v>
      </c>
      <c r="F110">
        <v>7.04</v>
      </c>
      <c r="G110">
        <v>2.0139999999999998</v>
      </c>
      <c r="H110" s="15">
        <v>11.02</v>
      </c>
      <c r="I110">
        <v>35.97</v>
      </c>
      <c r="J110">
        <v>23.6</v>
      </c>
      <c r="K110">
        <v>8.57</v>
      </c>
      <c r="L110">
        <v>1.94</v>
      </c>
      <c r="M110">
        <v>1.6830000000000001</v>
      </c>
      <c r="N110">
        <v>0.43</v>
      </c>
      <c r="O110">
        <v>3.64</v>
      </c>
      <c r="P110">
        <v>1.7529999999999999</v>
      </c>
      <c r="Q110">
        <v>15</v>
      </c>
    </row>
    <row r="111" spans="1:17" x14ac:dyDescent="0.25">
      <c r="A111" s="1">
        <v>41347</v>
      </c>
      <c r="B111">
        <v>8.7899999999999991</v>
      </c>
      <c r="C111">
        <v>150.41</v>
      </c>
      <c r="D111">
        <v>4.782</v>
      </c>
      <c r="E111">
        <v>24.5</v>
      </c>
      <c r="F111">
        <v>7.19</v>
      </c>
      <c r="G111">
        <v>1.962</v>
      </c>
      <c r="H111" s="15">
        <v>11.04</v>
      </c>
      <c r="I111">
        <v>36.24</v>
      </c>
      <c r="J111">
        <v>23.6</v>
      </c>
      <c r="K111">
        <v>8.52</v>
      </c>
      <c r="L111">
        <v>1.99</v>
      </c>
      <c r="M111">
        <v>1.7070000000000001</v>
      </c>
      <c r="N111">
        <v>0.43</v>
      </c>
      <c r="O111">
        <v>3.64</v>
      </c>
      <c r="P111">
        <v>1.8009999999999999</v>
      </c>
      <c r="Q111">
        <v>15</v>
      </c>
    </row>
    <row r="112" spans="1:17" x14ac:dyDescent="0.25">
      <c r="A112" s="1">
        <v>41348</v>
      </c>
      <c r="B112">
        <v>8.99</v>
      </c>
      <c r="C112">
        <v>150.88999999999999</v>
      </c>
      <c r="D112">
        <v>4.6500000000000004</v>
      </c>
      <c r="E112">
        <v>25</v>
      </c>
      <c r="F112">
        <v>7.21</v>
      </c>
      <c r="G112">
        <v>1.962</v>
      </c>
      <c r="H112" s="15">
        <v>11.14</v>
      </c>
      <c r="I112">
        <v>36.43</v>
      </c>
      <c r="J112">
        <v>23.6</v>
      </c>
      <c r="K112">
        <v>8.6</v>
      </c>
      <c r="L112">
        <v>2.04</v>
      </c>
      <c r="M112">
        <v>1.788</v>
      </c>
      <c r="N112">
        <v>0.44</v>
      </c>
      <c r="O112">
        <v>3.7</v>
      </c>
      <c r="P112">
        <v>1.929</v>
      </c>
      <c r="Q112">
        <v>15</v>
      </c>
    </row>
    <row r="113" spans="1:17" x14ac:dyDescent="0.25">
      <c r="A113" s="1">
        <v>41351</v>
      </c>
      <c r="B113">
        <v>9.15</v>
      </c>
      <c r="C113">
        <v>149.94</v>
      </c>
      <c r="D113">
        <v>4.7489999999999997</v>
      </c>
      <c r="E113">
        <v>25.58</v>
      </c>
      <c r="F113">
        <v>7.21</v>
      </c>
      <c r="G113">
        <v>1.946</v>
      </c>
      <c r="H113" s="15">
        <v>11.13</v>
      </c>
      <c r="I113">
        <v>36.42</v>
      </c>
      <c r="J113">
        <v>23.6</v>
      </c>
      <c r="K113">
        <v>8.6</v>
      </c>
      <c r="L113">
        <v>2.02</v>
      </c>
      <c r="M113">
        <v>1.772</v>
      </c>
      <c r="N113">
        <v>0.44</v>
      </c>
      <c r="O113">
        <v>3.69</v>
      </c>
      <c r="P113">
        <v>1.897</v>
      </c>
      <c r="Q113">
        <v>15</v>
      </c>
    </row>
    <row r="114" spans="1:17" x14ac:dyDescent="0.25">
      <c r="A114" s="1">
        <v>41352</v>
      </c>
      <c r="B114">
        <v>9.15</v>
      </c>
      <c r="C114">
        <v>150.13</v>
      </c>
      <c r="D114">
        <v>4.782</v>
      </c>
      <c r="E114">
        <v>25</v>
      </c>
      <c r="F114">
        <v>7.21</v>
      </c>
      <c r="G114">
        <v>1.865</v>
      </c>
      <c r="H114" s="15">
        <v>11</v>
      </c>
      <c r="I114">
        <v>35.53</v>
      </c>
      <c r="J114">
        <v>23.5</v>
      </c>
      <c r="K114">
        <v>8.6</v>
      </c>
      <c r="L114">
        <v>1.99</v>
      </c>
      <c r="M114">
        <v>1.74</v>
      </c>
      <c r="N114">
        <v>0.43</v>
      </c>
      <c r="O114">
        <v>3.64</v>
      </c>
      <c r="P114">
        <v>1.833</v>
      </c>
      <c r="Q114">
        <v>15</v>
      </c>
    </row>
    <row r="115" spans="1:17" x14ac:dyDescent="0.25">
      <c r="A115" s="1">
        <v>41353</v>
      </c>
      <c r="B115">
        <v>9.06</v>
      </c>
      <c r="C115">
        <v>151.36000000000001</v>
      </c>
      <c r="D115">
        <v>4.782</v>
      </c>
      <c r="E115">
        <v>25.1</v>
      </c>
      <c r="F115">
        <v>7.25</v>
      </c>
      <c r="G115">
        <v>1.8939999999999999</v>
      </c>
      <c r="H115" s="15">
        <v>11.04</v>
      </c>
      <c r="I115">
        <v>35.33</v>
      </c>
      <c r="J115">
        <v>23.6</v>
      </c>
      <c r="K115">
        <v>8.67</v>
      </c>
      <c r="L115">
        <v>2.0099999999999998</v>
      </c>
      <c r="M115">
        <v>1.74</v>
      </c>
      <c r="N115">
        <v>0.43</v>
      </c>
      <c r="O115">
        <v>3.65</v>
      </c>
      <c r="P115">
        <v>1.873</v>
      </c>
      <c r="Q115">
        <v>15</v>
      </c>
    </row>
    <row r="116" spans="1:17" x14ac:dyDescent="0.25">
      <c r="A116" s="1">
        <v>41354</v>
      </c>
      <c r="B116">
        <v>9.06</v>
      </c>
      <c r="C116">
        <v>150.58000000000001</v>
      </c>
      <c r="D116">
        <v>4.8140000000000001</v>
      </c>
      <c r="E116">
        <v>26.33</v>
      </c>
      <c r="F116">
        <v>7.31</v>
      </c>
      <c r="G116">
        <v>1.909</v>
      </c>
      <c r="H116" s="15">
        <v>11.07</v>
      </c>
      <c r="I116" t="e">
        <v>#N/A</v>
      </c>
      <c r="J116">
        <v>23.8</v>
      </c>
      <c r="K116">
        <v>8.85</v>
      </c>
      <c r="L116">
        <v>2.0099999999999998</v>
      </c>
      <c r="M116">
        <v>1.748</v>
      </c>
      <c r="N116">
        <v>0.45</v>
      </c>
      <c r="O116">
        <v>3.69</v>
      </c>
      <c r="P116">
        <v>1.865</v>
      </c>
      <c r="Q116">
        <v>14</v>
      </c>
    </row>
    <row r="117" spans="1:17" x14ac:dyDescent="0.25">
      <c r="A117" s="1">
        <v>41355</v>
      </c>
      <c r="B117">
        <v>9.18</v>
      </c>
      <c r="C117">
        <v>150.6</v>
      </c>
      <c r="D117">
        <v>4.8410000000000002</v>
      </c>
      <c r="E117">
        <v>25.75</v>
      </c>
      <c r="F117">
        <v>7.48</v>
      </c>
      <c r="G117">
        <v>1.946</v>
      </c>
      <c r="H117" s="15">
        <v>11.1</v>
      </c>
      <c r="I117">
        <v>36.340000000000003</v>
      </c>
      <c r="J117">
        <v>23.6</v>
      </c>
      <c r="K117">
        <v>8.7899999999999991</v>
      </c>
      <c r="L117">
        <v>2.0499999999999998</v>
      </c>
      <c r="M117" t="e">
        <v>#N/A</v>
      </c>
      <c r="N117">
        <v>0.45</v>
      </c>
      <c r="O117">
        <v>3.7</v>
      </c>
      <c r="P117">
        <v>1.8169999999999999</v>
      </c>
      <c r="Q117">
        <v>14</v>
      </c>
    </row>
    <row r="118" spans="1:17" x14ac:dyDescent="0.25">
      <c r="A118" s="1">
        <v>41358</v>
      </c>
      <c r="B118">
        <v>9.1999999999999993</v>
      </c>
      <c r="C118">
        <v>151.36000000000001</v>
      </c>
      <c r="D118">
        <v>4.8140000000000001</v>
      </c>
      <c r="E118">
        <v>25.28</v>
      </c>
      <c r="F118">
        <v>7.48</v>
      </c>
      <c r="G118">
        <v>1.946</v>
      </c>
      <c r="H118" s="15">
        <v>10.98</v>
      </c>
      <c r="I118">
        <v>35.61</v>
      </c>
      <c r="J118" t="e">
        <v>#N/A</v>
      </c>
      <c r="K118">
        <v>8.75</v>
      </c>
      <c r="L118">
        <v>2.08</v>
      </c>
      <c r="M118">
        <v>1.788</v>
      </c>
      <c r="N118">
        <v>0.45</v>
      </c>
      <c r="O118">
        <v>3.64</v>
      </c>
      <c r="P118">
        <v>1.7849999999999999</v>
      </c>
      <c r="Q118">
        <v>14</v>
      </c>
    </row>
    <row r="119" spans="1:17" x14ac:dyDescent="0.25">
      <c r="A119" s="1">
        <v>41359</v>
      </c>
      <c r="B119">
        <v>9.3000000000000007</v>
      </c>
      <c r="C119">
        <v>152.31</v>
      </c>
      <c r="D119">
        <v>4.7880000000000003</v>
      </c>
      <c r="E119">
        <v>25.4</v>
      </c>
      <c r="F119">
        <v>7.38</v>
      </c>
      <c r="G119">
        <v>1.954</v>
      </c>
      <c r="H119" s="15">
        <v>11</v>
      </c>
      <c r="I119">
        <v>35.61</v>
      </c>
      <c r="J119">
        <v>23.7</v>
      </c>
      <c r="K119">
        <v>8.9600000000000009</v>
      </c>
      <c r="L119">
        <v>2.13</v>
      </c>
      <c r="M119">
        <v>1.796</v>
      </c>
      <c r="N119">
        <v>0.45</v>
      </c>
      <c r="O119">
        <v>3.64</v>
      </c>
      <c r="P119">
        <v>1.7849999999999999</v>
      </c>
      <c r="Q119">
        <v>15</v>
      </c>
    </row>
    <row r="120" spans="1:17" x14ac:dyDescent="0.25">
      <c r="A120" s="1">
        <v>41360</v>
      </c>
      <c r="B120">
        <v>9.4</v>
      </c>
      <c r="C120">
        <v>152.68</v>
      </c>
      <c r="D120">
        <v>4.782</v>
      </c>
      <c r="E120">
        <v>25.4</v>
      </c>
      <c r="F120">
        <v>7.38</v>
      </c>
      <c r="G120">
        <v>1.9990000000000001</v>
      </c>
      <c r="H120" s="15">
        <v>11.04</v>
      </c>
      <c r="I120">
        <v>36.43</v>
      </c>
      <c r="J120">
        <v>23.9</v>
      </c>
      <c r="K120">
        <v>8.8000000000000007</v>
      </c>
      <c r="L120">
        <v>2.13</v>
      </c>
      <c r="M120">
        <v>1.796</v>
      </c>
      <c r="N120">
        <v>0.45</v>
      </c>
      <c r="O120">
        <v>3.64</v>
      </c>
      <c r="P120">
        <v>1.7609999999999999</v>
      </c>
      <c r="Q120">
        <v>15</v>
      </c>
    </row>
    <row r="121" spans="1:17" x14ac:dyDescent="0.25">
      <c r="A121" s="1">
        <v>41365</v>
      </c>
      <c r="B121">
        <v>9.64</v>
      </c>
      <c r="C121">
        <v>155.47999999999999</v>
      </c>
      <c r="D121">
        <v>4.7489999999999997</v>
      </c>
      <c r="E121">
        <v>25.3</v>
      </c>
      <c r="F121">
        <v>7.43</v>
      </c>
      <c r="G121">
        <v>1.976</v>
      </c>
      <c r="H121" s="15">
        <v>11.21</v>
      </c>
      <c r="I121">
        <v>36.43</v>
      </c>
      <c r="J121">
        <v>23.9</v>
      </c>
      <c r="K121">
        <v>8.7899999999999991</v>
      </c>
      <c r="L121">
        <v>2.12</v>
      </c>
      <c r="M121">
        <v>1.772</v>
      </c>
      <c r="N121">
        <v>0.46</v>
      </c>
      <c r="O121">
        <v>3.65</v>
      </c>
      <c r="P121">
        <v>1.8009999999999999</v>
      </c>
      <c r="Q121">
        <v>15</v>
      </c>
    </row>
    <row r="122" spans="1:17" x14ac:dyDescent="0.25">
      <c r="A122" s="1">
        <v>41366</v>
      </c>
      <c r="B122">
        <v>9.5399999999999991</v>
      </c>
      <c r="C122">
        <v>155.13999999999999</v>
      </c>
      <c r="D122">
        <v>4.7549999999999999</v>
      </c>
      <c r="E122">
        <v>25.1</v>
      </c>
      <c r="F122">
        <v>7.36</v>
      </c>
      <c r="G122">
        <v>1.976</v>
      </c>
      <c r="H122" s="15">
        <v>10.99</v>
      </c>
      <c r="I122">
        <v>36.43</v>
      </c>
      <c r="J122">
        <v>23.9</v>
      </c>
      <c r="K122">
        <v>8.8000000000000007</v>
      </c>
      <c r="L122">
        <v>2.0499999999999998</v>
      </c>
      <c r="M122">
        <v>1.764</v>
      </c>
      <c r="N122">
        <v>0.46</v>
      </c>
      <c r="O122">
        <v>3.67</v>
      </c>
      <c r="P122">
        <v>1.7769999999999999</v>
      </c>
      <c r="Q122">
        <v>15</v>
      </c>
    </row>
    <row r="123" spans="1:17" x14ac:dyDescent="0.25">
      <c r="A123" s="1">
        <v>41367</v>
      </c>
      <c r="B123">
        <v>9.59</v>
      </c>
      <c r="C123">
        <v>152.12</v>
      </c>
      <c r="D123">
        <v>4.8479999999999999</v>
      </c>
      <c r="E123">
        <v>24.3</v>
      </c>
      <c r="F123">
        <v>7.38</v>
      </c>
      <c r="G123">
        <v>1.976</v>
      </c>
      <c r="H123" s="15">
        <v>10.91</v>
      </c>
      <c r="I123">
        <v>36.43</v>
      </c>
      <c r="J123">
        <v>23.51</v>
      </c>
      <c r="K123" t="e">
        <v>#N/A</v>
      </c>
      <c r="L123">
        <v>2.0099999999999998</v>
      </c>
      <c r="M123">
        <v>1.7070000000000001</v>
      </c>
      <c r="N123">
        <v>0.47</v>
      </c>
      <c r="O123">
        <v>3.67</v>
      </c>
      <c r="P123">
        <v>1.7769999999999999</v>
      </c>
      <c r="Q123">
        <v>14</v>
      </c>
    </row>
    <row r="124" spans="1:17" x14ac:dyDescent="0.25">
      <c r="A124" s="1">
        <v>41368</v>
      </c>
      <c r="B124">
        <v>9.59</v>
      </c>
      <c r="C124">
        <v>150.41</v>
      </c>
      <c r="D124">
        <v>4.8140000000000001</v>
      </c>
      <c r="E124">
        <v>25.02</v>
      </c>
      <c r="F124">
        <v>7.38</v>
      </c>
      <c r="G124">
        <v>1.976</v>
      </c>
      <c r="H124" s="15">
        <v>10.92</v>
      </c>
      <c r="I124">
        <v>36.06</v>
      </c>
      <c r="J124">
        <v>23.7</v>
      </c>
      <c r="K124">
        <v>8.84</v>
      </c>
      <c r="L124">
        <v>2.0299999999999998</v>
      </c>
      <c r="M124">
        <v>1.6830000000000001</v>
      </c>
      <c r="N124">
        <v>0.49</v>
      </c>
      <c r="O124">
        <v>3.69</v>
      </c>
      <c r="P124">
        <v>1.7769999999999999</v>
      </c>
      <c r="Q124">
        <v>15</v>
      </c>
    </row>
    <row r="125" spans="1:17" x14ac:dyDescent="0.25">
      <c r="A125" s="1">
        <v>41369</v>
      </c>
      <c r="B125">
        <v>9.59</v>
      </c>
      <c r="C125">
        <v>149.47</v>
      </c>
      <c r="D125">
        <v>4.782</v>
      </c>
      <c r="E125">
        <v>24.9</v>
      </c>
      <c r="F125">
        <v>7.29</v>
      </c>
      <c r="G125">
        <v>1.9390000000000001</v>
      </c>
      <c r="H125" s="15">
        <v>10.91</v>
      </c>
      <c r="I125">
        <v>35.97</v>
      </c>
      <c r="J125" t="e">
        <v>#N/A</v>
      </c>
      <c r="K125">
        <v>8.84</v>
      </c>
      <c r="L125">
        <v>1.97</v>
      </c>
      <c r="M125">
        <v>1.6659999999999999</v>
      </c>
      <c r="N125">
        <v>0.47</v>
      </c>
      <c r="O125">
        <v>3.66</v>
      </c>
      <c r="P125">
        <v>1.7529999999999999</v>
      </c>
      <c r="Q125">
        <v>14</v>
      </c>
    </row>
    <row r="126" spans="1:17" x14ac:dyDescent="0.25">
      <c r="A126" s="1">
        <v>41372</v>
      </c>
      <c r="B126">
        <v>9.59</v>
      </c>
      <c r="C126">
        <v>151.36000000000001</v>
      </c>
      <c r="D126">
        <v>4.782</v>
      </c>
      <c r="E126">
        <v>24</v>
      </c>
      <c r="F126">
        <v>7.24</v>
      </c>
      <c r="G126">
        <v>1.9239999999999999</v>
      </c>
      <c r="H126" s="15">
        <v>10.93</v>
      </c>
      <c r="I126">
        <v>36.43</v>
      </c>
      <c r="J126">
        <v>23.8</v>
      </c>
      <c r="K126">
        <v>8.84</v>
      </c>
      <c r="L126">
        <v>1.94</v>
      </c>
      <c r="M126">
        <v>1.6659999999999999</v>
      </c>
      <c r="N126">
        <v>0.47</v>
      </c>
      <c r="O126">
        <v>3.66</v>
      </c>
      <c r="P126">
        <v>1.746</v>
      </c>
      <c r="Q126">
        <v>15</v>
      </c>
    </row>
    <row r="127" spans="1:17" x14ac:dyDescent="0.25">
      <c r="A127" s="1">
        <v>41373</v>
      </c>
      <c r="B127">
        <v>9.4499999999999993</v>
      </c>
      <c r="C127">
        <v>150.41</v>
      </c>
      <c r="D127">
        <v>4.7489999999999997</v>
      </c>
      <c r="E127">
        <v>25</v>
      </c>
      <c r="F127">
        <v>7.24</v>
      </c>
      <c r="G127">
        <v>1.9390000000000001</v>
      </c>
      <c r="H127" s="15">
        <v>10.81</v>
      </c>
      <c r="I127">
        <v>36.43</v>
      </c>
      <c r="J127">
        <v>23.85</v>
      </c>
      <c r="K127">
        <v>8.84</v>
      </c>
      <c r="L127">
        <v>1.99</v>
      </c>
      <c r="M127">
        <v>1.7070000000000001</v>
      </c>
      <c r="N127">
        <v>0.44</v>
      </c>
      <c r="O127">
        <v>3.69</v>
      </c>
      <c r="P127">
        <v>1.7789999999999999</v>
      </c>
      <c r="Q127">
        <v>15</v>
      </c>
    </row>
    <row r="128" spans="1:17" x14ac:dyDescent="0.25">
      <c r="A128" s="1">
        <v>41374</v>
      </c>
      <c r="B128">
        <v>9.59</v>
      </c>
      <c r="C128">
        <v>150.41</v>
      </c>
      <c r="D128">
        <v>4.7679999999999998</v>
      </c>
      <c r="E128">
        <v>25</v>
      </c>
      <c r="F128">
        <v>7.19</v>
      </c>
      <c r="G128">
        <v>1.9239999999999999</v>
      </c>
      <c r="H128" s="15">
        <v>11.04</v>
      </c>
      <c r="I128">
        <v>36.06</v>
      </c>
      <c r="J128">
        <v>23.6</v>
      </c>
      <c r="K128">
        <v>8.8699999999999992</v>
      </c>
      <c r="L128">
        <v>1.99</v>
      </c>
      <c r="M128">
        <v>1.6659999999999999</v>
      </c>
      <c r="N128">
        <v>0.44</v>
      </c>
      <c r="O128">
        <v>3.71</v>
      </c>
      <c r="P128">
        <v>1.7709999999999999</v>
      </c>
      <c r="Q128">
        <v>15</v>
      </c>
    </row>
    <row r="129" spans="1:17" x14ac:dyDescent="0.25">
      <c r="A129" s="1">
        <v>41375</v>
      </c>
      <c r="B129">
        <v>9.59</v>
      </c>
      <c r="C129">
        <v>150.22999999999999</v>
      </c>
      <c r="D129">
        <v>4.7949999999999999</v>
      </c>
      <c r="E129">
        <v>24.25</v>
      </c>
      <c r="F129">
        <v>7.23</v>
      </c>
      <c r="G129">
        <v>1.9319999999999999</v>
      </c>
      <c r="H129" s="15">
        <v>11.04</v>
      </c>
      <c r="I129">
        <v>36.79</v>
      </c>
      <c r="J129">
        <v>23.61</v>
      </c>
      <c r="K129">
        <v>8.98</v>
      </c>
      <c r="L129">
        <v>2.0099999999999998</v>
      </c>
      <c r="M129">
        <v>1.6579999999999999</v>
      </c>
      <c r="N129">
        <v>0.44</v>
      </c>
      <c r="O129">
        <v>3.72</v>
      </c>
      <c r="P129">
        <v>1.7549999999999999</v>
      </c>
      <c r="Q129">
        <v>15</v>
      </c>
    </row>
    <row r="130" spans="1:17" x14ac:dyDescent="0.25">
      <c r="A130" s="1">
        <v>41376</v>
      </c>
      <c r="B130">
        <v>9.58</v>
      </c>
      <c r="C130">
        <v>148.35</v>
      </c>
      <c r="D130">
        <v>4.8140000000000001</v>
      </c>
      <c r="E130">
        <v>23.56</v>
      </c>
      <c r="F130">
        <v>7.24</v>
      </c>
      <c r="G130">
        <v>1.9239999999999999</v>
      </c>
      <c r="H130" s="15">
        <v>11.14</v>
      </c>
      <c r="I130">
        <v>36.79</v>
      </c>
      <c r="J130">
        <v>23.9</v>
      </c>
      <c r="K130">
        <v>8.9600000000000009</v>
      </c>
      <c r="L130">
        <v>2.0099999999999998</v>
      </c>
      <c r="M130">
        <v>1.6259999999999999</v>
      </c>
      <c r="N130">
        <v>0.44</v>
      </c>
      <c r="O130">
        <v>3.73</v>
      </c>
      <c r="P130">
        <v>1.73</v>
      </c>
      <c r="Q130">
        <v>15</v>
      </c>
    </row>
    <row r="131" spans="1:17" x14ac:dyDescent="0.25">
      <c r="A131" s="1">
        <v>41379</v>
      </c>
      <c r="B131">
        <v>9.58</v>
      </c>
      <c r="C131">
        <v>147.72</v>
      </c>
      <c r="D131">
        <v>4.7549999999999999</v>
      </c>
      <c r="E131">
        <v>21.8</v>
      </c>
      <c r="F131">
        <v>7.16</v>
      </c>
      <c r="G131">
        <v>1.8720000000000001</v>
      </c>
      <c r="H131" s="15">
        <v>11.14</v>
      </c>
      <c r="I131">
        <v>36.06</v>
      </c>
      <c r="J131">
        <v>23.6</v>
      </c>
      <c r="K131">
        <v>8.92</v>
      </c>
      <c r="L131">
        <v>1.99</v>
      </c>
      <c r="M131">
        <v>1.512</v>
      </c>
      <c r="N131">
        <v>0.43</v>
      </c>
      <c r="O131">
        <v>3.64</v>
      </c>
      <c r="P131">
        <v>1.617</v>
      </c>
      <c r="Q131">
        <v>15</v>
      </c>
    </row>
    <row r="132" spans="1:17" x14ac:dyDescent="0.25">
      <c r="A132" s="1">
        <v>41380</v>
      </c>
      <c r="B132">
        <v>9.66</v>
      </c>
      <c r="C132">
        <v>146.96</v>
      </c>
      <c r="D132">
        <v>4.8010000000000002</v>
      </c>
      <c r="E132">
        <v>21.2</v>
      </c>
      <c r="F132">
        <v>7.21</v>
      </c>
      <c r="G132">
        <v>1.917</v>
      </c>
      <c r="H132" s="15">
        <v>11.24</v>
      </c>
      <c r="I132">
        <v>36.24</v>
      </c>
      <c r="J132" t="e">
        <v>#N/A</v>
      </c>
      <c r="K132">
        <v>8.92</v>
      </c>
      <c r="L132">
        <v>1.98</v>
      </c>
      <c r="M132">
        <v>1.544</v>
      </c>
      <c r="N132">
        <v>0.42</v>
      </c>
      <c r="O132">
        <v>3.65</v>
      </c>
      <c r="P132">
        <v>1.649</v>
      </c>
      <c r="Q132">
        <v>14</v>
      </c>
    </row>
    <row r="133" spans="1:17" x14ac:dyDescent="0.25">
      <c r="A133" s="1">
        <v>41381</v>
      </c>
      <c r="B133">
        <v>9.6199999999999992</v>
      </c>
      <c r="C133">
        <v>142.1</v>
      </c>
      <c r="D133">
        <v>4.7869999999999999</v>
      </c>
      <c r="E133">
        <v>20.3</v>
      </c>
      <c r="F133">
        <v>7.15</v>
      </c>
      <c r="G133">
        <v>1.895</v>
      </c>
      <c r="H133" s="15">
        <v>11.04</v>
      </c>
      <c r="I133">
        <v>35.97</v>
      </c>
      <c r="J133">
        <v>23.5</v>
      </c>
      <c r="K133">
        <v>9.06</v>
      </c>
      <c r="L133">
        <v>1.93</v>
      </c>
      <c r="M133">
        <v>1.52</v>
      </c>
      <c r="N133">
        <v>0.4</v>
      </c>
      <c r="O133">
        <v>3.61</v>
      </c>
      <c r="P133">
        <v>1.617</v>
      </c>
      <c r="Q133">
        <v>15</v>
      </c>
    </row>
    <row r="134" spans="1:17" x14ac:dyDescent="0.25">
      <c r="A134" s="1">
        <v>41382</v>
      </c>
      <c r="B134">
        <v>9.5399999999999991</v>
      </c>
      <c r="C134">
        <v>139.59</v>
      </c>
      <c r="D134">
        <v>4.7320000000000002</v>
      </c>
      <c r="E134">
        <v>20.5</v>
      </c>
      <c r="F134">
        <v>7.19</v>
      </c>
      <c r="G134">
        <v>1.857</v>
      </c>
      <c r="H134" s="15">
        <v>10.95</v>
      </c>
      <c r="I134">
        <v>35.15</v>
      </c>
      <c r="J134">
        <v>23.5</v>
      </c>
      <c r="K134">
        <v>9.07</v>
      </c>
      <c r="L134">
        <v>1.88</v>
      </c>
      <c r="M134">
        <v>1.488</v>
      </c>
      <c r="N134">
        <v>0.4</v>
      </c>
      <c r="O134">
        <v>3.59</v>
      </c>
      <c r="P134">
        <v>1.633</v>
      </c>
      <c r="Q134">
        <v>15</v>
      </c>
    </row>
    <row r="135" spans="1:17" x14ac:dyDescent="0.25">
      <c r="A135" s="1">
        <v>41383</v>
      </c>
      <c r="B135">
        <v>9.49</v>
      </c>
      <c r="C135">
        <v>139.44999999999999</v>
      </c>
      <c r="D135">
        <v>4.7389999999999999</v>
      </c>
      <c r="E135">
        <v>20.8</v>
      </c>
      <c r="F135">
        <v>7.24</v>
      </c>
      <c r="G135">
        <v>1.849</v>
      </c>
      <c r="H135" s="15">
        <v>11.03</v>
      </c>
      <c r="I135">
        <v>35.06</v>
      </c>
      <c r="J135">
        <v>23.6</v>
      </c>
      <c r="K135">
        <v>9.06</v>
      </c>
      <c r="L135">
        <v>1.82</v>
      </c>
      <c r="M135">
        <v>1.488</v>
      </c>
      <c r="N135">
        <v>0.41</v>
      </c>
      <c r="O135">
        <v>3.59</v>
      </c>
      <c r="P135">
        <v>1.601</v>
      </c>
      <c r="Q135">
        <v>15</v>
      </c>
    </row>
    <row r="136" spans="1:17" x14ac:dyDescent="0.25">
      <c r="A136" s="1">
        <v>41386</v>
      </c>
      <c r="B136">
        <v>9.56</v>
      </c>
      <c r="C136">
        <v>141</v>
      </c>
      <c r="D136">
        <v>4.7320000000000002</v>
      </c>
      <c r="E136">
        <v>21.12</v>
      </c>
      <c r="F136">
        <v>7.17</v>
      </c>
      <c r="G136">
        <v>1.849</v>
      </c>
      <c r="H136" s="15">
        <v>10.95</v>
      </c>
      <c r="I136">
        <v>34.880000000000003</v>
      </c>
      <c r="J136">
        <v>23.6</v>
      </c>
      <c r="K136">
        <v>9.06</v>
      </c>
      <c r="L136">
        <v>1.8</v>
      </c>
      <c r="M136" t="e">
        <v>#N/A</v>
      </c>
      <c r="N136">
        <v>0.4</v>
      </c>
      <c r="O136">
        <v>3.59</v>
      </c>
      <c r="P136">
        <v>1.569</v>
      </c>
      <c r="Q136">
        <v>14</v>
      </c>
    </row>
    <row r="137" spans="1:17" x14ac:dyDescent="0.25">
      <c r="A137" s="1">
        <v>41387</v>
      </c>
      <c r="B137">
        <v>9.7100000000000009</v>
      </c>
      <c r="C137">
        <v>140.22</v>
      </c>
      <c r="D137">
        <v>4.7320000000000002</v>
      </c>
      <c r="E137">
        <v>20.52</v>
      </c>
      <c r="F137">
        <v>7.15</v>
      </c>
      <c r="G137">
        <v>1.857</v>
      </c>
      <c r="H137" s="15">
        <v>10.93</v>
      </c>
      <c r="I137">
        <v>34.880000000000003</v>
      </c>
      <c r="J137">
        <v>23.61</v>
      </c>
      <c r="K137">
        <v>9.11</v>
      </c>
      <c r="L137">
        <v>1.73</v>
      </c>
      <c r="M137">
        <v>1.488</v>
      </c>
      <c r="N137">
        <v>0.4</v>
      </c>
      <c r="O137">
        <v>3.69</v>
      </c>
      <c r="P137">
        <v>1.536</v>
      </c>
      <c r="Q137">
        <v>15</v>
      </c>
    </row>
    <row r="138" spans="1:17" x14ac:dyDescent="0.25">
      <c r="A138" s="1">
        <v>41388</v>
      </c>
      <c r="B138">
        <v>9.67</v>
      </c>
      <c r="C138">
        <v>141.85</v>
      </c>
      <c r="D138">
        <v>4.766</v>
      </c>
      <c r="E138">
        <v>21.06</v>
      </c>
      <c r="F138">
        <v>7.17</v>
      </c>
      <c r="G138">
        <v>1.8340000000000001</v>
      </c>
      <c r="H138" s="15">
        <v>11.05</v>
      </c>
      <c r="I138">
        <v>33.92</v>
      </c>
      <c r="J138">
        <v>24</v>
      </c>
      <c r="K138">
        <v>9.06</v>
      </c>
      <c r="L138">
        <v>1.74</v>
      </c>
      <c r="M138">
        <v>1.488</v>
      </c>
      <c r="N138">
        <v>0.38</v>
      </c>
      <c r="O138">
        <v>3.72</v>
      </c>
      <c r="P138">
        <v>1.464</v>
      </c>
      <c r="Q138">
        <v>15</v>
      </c>
    </row>
    <row r="139" spans="1:17" x14ac:dyDescent="0.25">
      <c r="A139" s="1">
        <v>41389</v>
      </c>
      <c r="B139">
        <v>10.050000000000001</v>
      </c>
      <c r="C139">
        <v>144.55000000000001</v>
      </c>
      <c r="D139">
        <v>4.76</v>
      </c>
      <c r="E139">
        <v>21.88</v>
      </c>
      <c r="F139">
        <v>7.19</v>
      </c>
      <c r="G139">
        <v>1.88</v>
      </c>
      <c r="H139" s="15">
        <v>11.44</v>
      </c>
      <c r="I139">
        <v>34.15</v>
      </c>
      <c r="J139">
        <v>24</v>
      </c>
      <c r="K139">
        <v>8.9700000000000006</v>
      </c>
      <c r="L139">
        <v>1.78</v>
      </c>
      <c r="M139">
        <v>1.488</v>
      </c>
      <c r="N139">
        <v>0.4</v>
      </c>
      <c r="O139">
        <v>3.84</v>
      </c>
      <c r="P139">
        <v>1.504</v>
      </c>
      <c r="Q139">
        <v>15</v>
      </c>
    </row>
    <row r="140" spans="1:17" x14ac:dyDescent="0.25">
      <c r="A140" s="1">
        <v>41390</v>
      </c>
      <c r="B140">
        <v>9.76</v>
      </c>
      <c r="C140">
        <v>144.26</v>
      </c>
      <c r="D140">
        <v>4.76</v>
      </c>
      <c r="E140">
        <v>20.6</v>
      </c>
      <c r="F140">
        <v>7.2</v>
      </c>
      <c r="G140">
        <v>1.819</v>
      </c>
      <c r="H140" s="15">
        <v>11.3</v>
      </c>
      <c r="I140">
        <v>33.479999999999997</v>
      </c>
      <c r="J140">
        <v>23.61</v>
      </c>
      <c r="K140">
        <v>9.06</v>
      </c>
      <c r="L140">
        <v>1.73</v>
      </c>
      <c r="M140">
        <v>1.4390000000000001</v>
      </c>
      <c r="N140">
        <v>0.4</v>
      </c>
      <c r="O140">
        <v>3.8</v>
      </c>
      <c r="P140">
        <v>1.4390000000000001</v>
      </c>
      <c r="Q140">
        <v>15</v>
      </c>
    </row>
    <row r="141" spans="1:17" x14ac:dyDescent="0.25">
      <c r="A141" s="1">
        <v>41393</v>
      </c>
      <c r="B141">
        <v>9.7899999999999991</v>
      </c>
      <c r="C141">
        <v>144.26</v>
      </c>
      <c r="D141">
        <v>4.76</v>
      </c>
      <c r="E141">
        <v>21.01</v>
      </c>
      <c r="F141">
        <v>7.24</v>
      </c>
      <c r="G141">
        <v>1.8340000000000001</v>
      </c>
      <c r="H141" s="15">
        <v>11.26</v>
      </c>
      <c r="I141">
        <v>33.51</v>
      </c>
      <c r="J141">
        <v>24</v>
      </c>
      <c r="K141">
        <v>9.06</v>
      </c>
      <c r="L141">
        <v>1.74</v>
      </c>
      <c r="M141">
        <v>1.4630000000000001</v>
      </c>
      <c r="N141">
        <v>0.39</v>
      </c>
      <c r="O141">
        <v>3.85</v>
      </c>
      <c r="P141">
        <v>1.4390000000000001</v>
      </c>
      <c r="Q141">
        <v>15</v>
      </c>
    </row>
    <row r="142" spans="1:17" x14ac:dyDescent="0.25">
      <c r="A142" s="1">
        <v>41394</v>
      </c>
      <c r="B142">
        <v>9.76</v>
      </c>
      <c r="C142">
        <v>143.78</v>
      </c>
      <c r="D142">
        <v>4.6630000000000003</v>
      </c>
      <c r="E142">
        <v>19.8</v>
      </c>
      <c r="F142">
        <v>7.29</v>
      </c>
      <c r="G142">
        <v>1.75</v>
      </c>
      <c r="H142" s="15">
        <v>11.25</v>
      </c>
      <c r="I142">
        <v>33.51</v>
      </c>
      <c r="J142">
        <v>24</v>
      </c>
      <c r="K142">
        <v>8.92</v>
      </c>
      <c r="L142">
        <v>1.59</v>
      </c>
      <c r="M142">
        <v>1.3819999999999999</v>
      </c>
      <c r="N142">
        <v>0.38</v>
      </c>
      <c r="O142">
        <v>3.86</v>
      </c>
      <c r="P142">
        <v>1.375</v>
      </c>
      <c r="Q142">
        <v>15</v>
      </c>
    </row>
    <row r="143" spans="1:17" x14ac:dyDescent="0.25">
      <c r="A143" s="1">
        <v>41396</v>
      </c>
      <c r="B143">
        <v>9.9600000000000009</v>
      </c>
      <c r="C143">
        <v>143.01</v>
      </c>
      <c r="D143">
        <v>4.718</v>
      </c>
      <c r="E143">
        <v>20.2</v>
      </c>
      <c r="F143">
        <v>7.33</v>
      </c>
      <c r="G143">
        <v>1.8029999999999999</v>
      </c>
      <c r="H143" s="15">
        <v>11.59</v>
      </c>
      <c r="I143">
        <v>33.31</v>
      </c>
      <c r="J143">
        <v>22</v>
      </c>
      <c r="K143">
        <v>8.8699999999999992</v>
      </c>
      <c r="L143">
        <v>1.61</v>
      </c>
      <c r="M143">
        <v>1.4139999999999999</v>
      </c>
      <c r="N143">
        <v>0.36</v>
      </c>
      <c r="O143">
        <v>3.87</v>
      </c>
      <c r="P143">
        <v>1.367</v>
      </c>
      <c r="Q143">
        <v>15</v>
      </c>
    </row>
    <row r="144" spans="1:17" x14ac:dyDescent="0.25">
      <c r="A144" s="1">
        <v>41397</v>
      </c>
      <c r="B144">
        <v>10.15</v>
      </c>
      <c r="C144">
        <v>143.01</v>
      </c>
      <c r="D144">
        <v>4.78</v>
      </c>
      <c r="E144">
        <v>20.07</v>
      </c>
      <c r="F144">
        <v>7.41</v>
      </c>
      <c r="G144">
        <v>1.8260000000000001</v>
      </c>
      <c r="H144" s="15">
        <v>11.98</v>
      </c>
      <c r="I144">
        <v>33.64</v>
      </c>
      <c r="J144">
        <v>22.75</v>
      </c>
      <c r="K144">
        <v>8.9700000000000006</v>
      </c>
      <c r="L144">
        <v>1.66</v>
      </c>
      <c r="M144">
        <v>1.4630000000000001</v>
      </c>
      <c r="N144">
        <v>0.36</v>
      </c>
      <c r="O144">
        <v>3.88</v>
      </c>
      <c r="P144">
        <v>1.3420000000000001</v>
      </c>
      <c r="Q144">
        <v>15</v>
      </c>
    </row>
    <row r="145" spans="1:17" x14ac:dyDescent="0.25">
      <c r="A145" s="1">
        <v>41400</v>
      </c>
      <c r="B145">
        <v>10.25</v>
      </c>
      <c r="C145">
        <v>143.1</v>
      </c>
      <c r="D145">
        <v>4.8209999999999997</v>
      </c>
      <c r="E145">
        <v>19.75</v>
      </c>
      <c r="F145">
        <v>7.57</v>
      </c>
      <c r="G145">
        <v>1.819</v>
      </c>
      <c r="H145" s="15">
        <v>12.04</v>
      </c>
      <c r="I145" t="e">
        <v>#N/A</v>
      </c>
      <c r="J145">
        <v>22.5</v>
      </c>
      <c r="K145">
        <v>9.11</v>
      </c>
      <c r="L145">
        <v>1.71</v>
      </c>
      <c r="M145" t="e">
        <v>#N/A</v>
      </c>
      <c r="N145">
        <v>0.38</v>
      </c>
      <c r="O145">
        <v>3.92</v>
      </c>
      <c r="P145">
        <v>1.3180000000000001</v>
      </c>
      <c r="Q145">
        <v>13</v>
      </c>
    </row>
    <row r="146" spans="1:17" x14ac:dyDescent="0.25">
      <c r="A146" s="1">
        <v>41401</v>
      </c>
      <c r="B146">
        <v>10.14</v>
      </c>
      <c r="C146">
        <v>149.6</v>
      </c>
      <c r="D146">
        <v>4.835</v>
      </c>
      <c r="E146">
        <v>19.12</v>
      </c>
      <c r="F146">
        <v>7.5</v>
      </c>
      <c r="G146">
        <v>1.78</v>
      </c>
      <c r="H146" s="15">
        <v>12.38</v>
      </c>
      <c r="I146">
        <v>34.729999999999997</v>
      </c>
      <c r="J146">
        <v>22.5</v>
      </c>
      <c r="K146">
        <v>9.23</v>
      </c>
      <c r="L146">
        <v>1.66</v>
      </c>
      <c r="M146">
        <v>1.4630000000000001</v>
      </c>
      <c r="N146">
        <v>0.35</v>
      </c>
      <c r="O146">
        <v>3.97</v>
      </c>
      <c r="P146">
        <v>1.2130000000000001</v>
      </c>
      <c r="Q146">
        <v>15</v>
      </c>
    </row>
    <row r="147" spans="1:17" x14ac:dyDescent="0.25">
      <c r="A147" s="1">
        <v>41402</v>
      </c>
      <c r="B147">
        <v>10.15</v>
      </c>
      <c r="C147">
        <v>147.91</v>
      </c>
      <c r="D147">
        <v>4.883</v>
      </c>
      <c r="E147">
        <v>19.510000000000002</v>
      </c>
      <c r="F147">
        <v>7.53</v>
      </c>
      <c r="G147">
        <v>1.8029999999999999</v>
      </c>
      <c r="H147" s="15">
        <v>12.56</v>
      </c>
      <c r="I147" t="e">
        <v>#N/A</v>
      </c>
      <c r="J147">
        <v>23</v>
      </c>
      <c r="K147">
        <v>9.23</v>
      </c>
      <c r="L147">
        <v>1.71</v>
      </c>
      <c r="M147">
        <v>1.4550000000000001</v>
      </c>
      <c r="N147">
        <v>0.35</v>
      </c>
      <c r="O147">
        <v>4.05</v>
      </c>
      <c r="P147">
        <v>1.1890000000000001</v>
      </c>
      <c r="Q147">
        <v>14</v>
      </c>
    </row>
    <row r="148" spans="1:17" x14ac:dyDescent="0.25">
      <c r="A148" s="1">
        <v>41403</v>
      </c>
      <c r="B148">
        <v>10.15</v>
      </c>
      <c r="C148">
        <v>144.31</v>
      </c>
      <c r="D148">
        <v>4.9240000000000004</v>
      </c>
      <c r="E148">
        <v>19.739999999999998</v>
      </c>
      <c r="F148">
        <v>7.58</v>
      </c>
      <c r="G148">
        <v>1.8029999999999999</v>
      </c>
      <c r="H148" s="15">
        <v>12.5</v>
      </c>
      <c r="I148">
        <v>35.21</v>
      </c>
      <c r="J148">
        <v>23</v>
      </c>
      <c r="K148">
        <v>9.23</v>
      </c>
      <c r="L148">
        <v>1.71</v>
      </c>
      <c r="M148">
        <v>1.4550000000000001</v>
      </c>
      <c r="N148">
        <v>0.37</v>
      </c>
      <c r="O148">
        <v>4.0599999999999996</v>
      </c>
      <c r="P148">
        <v>1.2689999999999999</v>
      </c>
      <c r="Q148">
        <v>15</v>
      </c>
    </row>
    <row r="149" spans="1:17" x14ac:dyDescent="0.25">
      <c r="A149" s="1">
        <v>41404</v>
      </c>
      <c r="B149">
        <v>10.14</v>
      </c>
      <c r="C149">
        <v>144.35</v>
      </c>
      <c r="D149">
        <v>4.8559999999999999</v>
      </c>
      <c r="E149">
        <v>19.649999999999999</v>
      </c>
      <c r="F149">
        <v>7.59</v>
      </c>
      <c r="G149">
        <v>1.788</v>
      </c>
      <c r="H149" s="15">
        <v>12.43</v>
      </c>
      <c r="I149">
        <v>35.979999999999997</v>
      </c>
      <c r="J149" t="e">
        <v>#N/A</v>
      </c>
      <c r="K149">
        <v>9.16</v>
      </c>
      <c r="L149">
        <v>1.7</v>
      </c>
      <c r="M149" t="e">
        <v>#N/A</v>
      </c>
      <c r="N149">
        <v>0.37</v>
      </c>
      <c r="O149">
        <v>4.05</v>
      </c>
      <c r="P149">
        <v>1.3340000000000001</v>
      </c>
      <c r="Q149">
        <v>13</v>
      </c>
    </row>
    <row r="150" spans="1:17" x14ac:dyDescent="0.25">
      <c r="A150" s="1">
        <v>41407</v>
      </c>
      <c r="B150">
        <v>10.25</v>
      </c>
      <c r="C150">
        <v>144.26</v>
      </c>
      <c r="D150">
        <v>4.9379999999999997</v>
      </c>
      <c r="E150">
        <v>19.649999999999999</v>
      </c>
      <c r="F150">
        <v>7.59</v>
      </c>
      <c r="G150">
        <v>1.8029999999999999</v>
      </c>
      <c r="H150" s="15">
        <v>12.38</v>
      </c>
      <c r="I150">
        <v>35.99</v>
      </c>
      <c r="J150">
        <v>23</v>
      </c>
      <c r="K150">
        <v>9.25</v>
      </c>
      <c r="L150">
        <v>1.74</v>
      </c>
      <c r="M150">
        <v>1.4550000000000001</v>
      </c>
      <c r="N150">
        <v>0.38</v>
      </c>
      <c r="O150">
        <v>4.1399999999999997</v>
      </c>
      <c r="P150">
        <v>1.35</v>
      </c>
      <c r="Q150">
        <v>15</v>
      </c>
    </row>
    <row r="151" spans="1:17" x14ac:dyDescent="0.25">
      <c r="A151" s="1">
        <v>41408</v>
      </c>
      <c r="B151">
        <v>10.050000000000001</v>
      </c>
      <c r="C151">
        <v>143.19999999999999</v>
      </c>
      <c r="D151">
        <v>4.8559999999999999</v>
      </c>
      <c r="E151">
        <v>19.5</v>
      </c>
      <c r="F151">
        <v>7.38</v>
      </c>
      <c r="G151">
        <v>1.742</v>
      </c>
      <c r="H151" s="15">
        <v>12.38</v>
      </c>
      <c r="I151">
        <v>36.299999999999997</v>
      </c>
      <c r="J151">
        <v>23</v>
      </c>
      <c r="K151">
        <v>9.15</v>
      </c>
      <c r="L151">
        <v>1.62</v>
      </c>
      <c r="M151">
        <v>1.4059999999999999</v>
      </c>
      <c r="N151">
        <v>0.37</v>
      </c>
      <c r="O151">
        <v>4.09</v>
      </c>
      <c r="P151">
        <v>1.2450000000000001</v>
      </c>
      <c r="Q151">
        <v>15</v>
      </c>
    </row>
    <row r="152" spans="1:17" x14ac:dyDescent="0.25">
      <c r="A152" s="1">
        <v>41409</v>
      </c>
      <c r="B152">
        <v>9.56</v>
      </c>
      <c r="C152">
        <v>141.9</v>
      </c>
      <c r="D152">
        <v>4.6630000000000003</v>
      </c>
      <c r="E152">
        <v>18.100000000000001</v>
      </c>
      <c r="F152">
        <v>7.38</v>
      </c>
      <c r="G152">
        <v>1.681</v>
      </c>
      <c r="H152" s="15">
        <v>11.85</v>
      </c>
      <c r="I152">
        <v>35.43</v>
      </c>
      <c r="J152">
        <v>23.2</v>
      </c>
      <c r="K152">
        <v>9.15</v>
      </c>
      <c r="L152">
        <v>1.57</v>
      </c>
      <c r="M152">
        <v>1.3009999999999999</v>
      </c>
      <c r="N152">
        <v>0.38</v>
      </c>
      <c r="O152">
        <v>4.08</v>
      </c>
      <c r="P152">
        <v>1.2370000000000001</v>
      </c>
      <c r="Q152">
        <v>15</v>
      </c>
    </row>
    <row r="153" spans="1:17" x14ac:dyDescent="0.25">
      <c r="A153" s="1">
        <v>41410</v>
      </c>
      <c r="B153">
        <v>9.27</v>
      </c>
      <c r="C153">
        <v>139.84</v>
      </c>
      <c r="D153">
        <v>4.492</v>
      </c>
      <c r="E153">
        <v>17.95</v>
      </c>
      <c r="F153">
        <v>7.09</v>
      </c>
      <c r="G153">
        <v>1.6120000000000001</v>
      </c>
      <c r="H153" s="15">
        <v>11.18</v>
      </c>
      <c r="I153">
        <v>32.75</v>
      </c>
      <c r="J153">
        <v>23</v>
      </c>
      <c r="K153">
        <v>9.08</v>
      </c>
      <c r="L153">
        <v>1.42</v>
      </c>
      <c r="M153">
        <v>1.252</v>
      </c>
      <c r="N153">
        <v>0.36</v>
      </c>
      <c r="O153">
        <v>3.82</v>
      </c>
      <c r="P153">
        <v>1.1319999999999999</v>
      </c>
      <c r="Q153">
        <v>15</v>
      </c>
    </row>
    <row r="154" spans="1:17" x14ac:dyDescent="0.25">
      <c r="A154" s="1">
        <v>41411</v>
      </c>
      <c r="B154">
        <v>9.31</v>
      </c>
      <c r="C154">
        <v>142.07</v>
      </c>
      <c r="D154">
        <v>4.5259999999999998</v>
      </c>
      <c r="E154">
        <v>17.7</v>
      </c>
      <c r="F154">
        <v>7.02</v>
      </c>
      <c r="G154">
        <v>1.643</v>
      </c>
      <c r="H154" s="15">
        <v>11.3</v>
      </c>
      <c r="I154">
        <v>33.5</v>
      </c>
      <c r="J154">
        <v>22.8</v>
      </c>
      <c r="K154">
        <v>9.17</v>
      </c>
      <c r="L154">
        <v>1.46</v>
      </c>
      <c r="M154">
        <v>1.2190000000000001</v>
      </c>
      <c r="N154">
        <v>0.36</v>
      </c>
      <c r="O154">
        <v>3.93</v>
      </c>
      <c r="P154">
        <v>1.1719999999999999</v>
      </c>
      <c r="Q154">
        <v>15</v>
      </c>
    </row>
    <row r="155" spans="1:17" x14ac:dyDescent="0.25">
      <c r="A155" s="1">
        <v>41414</v>
      </c>
      <c r="B155">
        <v>9.48</v>
      </c>
      <c r="C155">
        <v>142.05000000000001</v>
      </c>
      <c r="D155">
        <v>4.5670000000000002</v>
      </c>
      <c r="E155">
        <v>18.55</v>
      </c>
      <c r="F155">
        <v>7.14</v>
      </c>
      <c r="G155">
        <v>1.6579999999999999</v>
      </c>
      <c r="H155" s="15">
        <v>11.36</v>
      </c>
      <c r="I155">
        <v>33.5</v>
      </c>
      <c r="J155">
        <v>22.8</v>
      </c>
      <c r="K155">
        <v>9.17</v>
      </c>
      <c r="L155">
        <v>1.48</v>
      </c>
      <c r="M155" t="e">
        <v>#N/A</v>
      </c>
      <c r="N155">
        <v>0.36</v>
      </c>
      <c r="O155">
        <v>3.93</v>
      </c>
      <c r="P155">
        <v>1.1719999999999999</v>
      </c>
      <c r="Q155">
        <v>14</v>
      </c>
    </row>
    <row r="156" spans="1:17" x14ac:dyDescent="0.25">
      <c r="A156" s="1">
        <v>41415</v>
      </c>
      <c r="B156">
        <v>9.76</v>
      </c>
      <c r="C156">
        <v>140.44</v>
      </c>
      <c r="D156">
        <v>4.7320000000000002</v>
      </c>
      <c r="E156">
        <v>17.850000000000001</v>
      </c>
      <c r="F156">
        <v>7.14</v>
      </c>
      <c r="G156">
        <v>1.6579999999999999</v>
      </c>
      <c r="H156" s="15">
        <v>11.4</v>
      </c>
      <c r="I156">
        <v>33.69</v>
      </c>
      <c r="J156" t="e">
        <v>#N/A</v>
      </c>
      <c r="K156">
        <v>9.17</v>
      </c>
      <c r="L156">
        <v>1.49</v>
      </c>
      <c r="M156">
        <v>1.2190000000000001</v>
      </c>
      <c r="N156">
        <v>0.38</v>
      </c>
      <c r="O156">
        <v>3.95</v>
      </c>
      <c r="P156">
        <v>1.2130000000000001</v>
      </c>
      <c r="Q156">
        <v>14</v>
      </c>
    </row>
    <row r="157" spans="1:17" x14ac:dyDescent="0.25">
      <c r="A157" s="1">
        <v>41416</v>
      </c>
      <c r="B157">
        <v>9.76</v>
      </c>
      <c r="C157">
        <v>141.37</v>
      </c>
      <c r="D157">
        <v>4.78</v>
      </c>
      <c r="E157">
        <v>18.2</v>
      </c>
      <c r="F157">
        <v>7.33</v>
      </c>
      <c r="G157">
        <v>1.704</v>
      </c>
      <c r="H157" s="15">
        <v>11.63</v>
      </c>
      <c r="I157" t="e">
        <v>#N/A</v>
      </c>
      <c r="J157">
        <v>22.4</v>
      </c>
      <c r="K157">
        <v>9.17</v>
      </c>
      <c r="L157">
        <v>1.5</v>
      </c>
      <c r="M157">
        <v>1.2190000000000001</v>
      </c>
      <c r="N157">
        <v>0.36</v>
      </c>
      <c r="O157">
        <v>3.9</v>
      </c>
      <c r="P157">
        <v>1.2210000000000001</v>
      </c>
      <c r="Q157">
        <v>14</v>
      </c>
    </row>
    <row r="158" spans="1:17" x14ac:dyDescent="0.25">
      <c r="A158" s="1">
        <v>41417</v>
      </c>
      <c r="B158">
        <v>9.68</v>
      </c>
      <c r="C158" t="e">
        <v>#N/A</v>
      </c>
      <c r="D158">
        <v>4.6980000000000004</v>
      </c>
      <c r="E158">
        <v>18.899999999999999</v>
      </c>
      <c r="F158">
        <v>7.33</v>
      </c>
      <c r="G158">
        <v>1.696</v>
      </c>
      <c r="H158" s="15">
        <v>11.63</v>
      </c>
      <c r="I158" t="e">
        <v>#N/A</v>
      </c>
      <c r="J158">
        <v>22.5</v>
      </c>
      <c r="K158">
        <v>9.17</v>
      </c>
      <c r="L158">
        <v>1.46</v>
      </c>
      <c r="M158" t="e">
        <v>#N/A</v>
      </c>
      <c r="N158">
        <v>0.36</v>
      </c>
      <c r="O158">
        <v>3.89</v>
      </c>
      <c r="P158">
        <v>1.1970000000000001</v>
      </c>
      <c r="Q158">
        <v>12</v>
      </c>
    </row>
    <row r="159" spans="1:17" x14ac:dyDescent="0.25">
      <c r="A159" s="1">
        <v>41418</v>
      </c>
      <c r="B159">
        <v>9.76</v>
      </c>
      <c r="C159">
        <v>139.21</v>
      </c>
      <c r="D159">
        <v>4.6360000000000001</v>
      </c>
      <c r="E159" t="e">
        <v>#N/A</v>
      </c>
      <c r="F159">
        <v>7.15</v>
      </c>
      <c r="G159">
        <v>1.681</v>
      </c>
      <c r="H159" s="15">
        <v>11.35</v>
      </c>
      <c r="I159">
        <v>34.26</v>
      </c>
      <c r="J159">
        <v>22.5</v>
      </c>
      <c r="K159">
        <v>9.17</v>
      </c>
      <c r="L159">
        <v>1.37</v>
      </c>
      <c r="M159">
        <v>1.179</v>
      </c>
      <c r="N159">
        <v>0.36</v>
      </c>
      <c r="O159">
        <v>3.86</v>
      </c>
      <c r="P159">
        <v>1.1559999999999999</v>
      </c>
      <c r="Q159">
        <v>14</v>
      </c>
    </row>
    <row r="160" spans="1:17" x14ac:dyDescent="0.25">
      <c r="A160" s="1">
        <v>41421</v>
      </c>
      <c r="B160">
        <v>9.7100000000000009</v>
      </c>
      <c r="C160" t="e">
        <v>#N/A</v>
      </c>
      <c r="D160">
        <v>4.6219999999999999</v>
      </c>
      <c r="E160" t="e">
        <v>#N/A</v>
      </c>
      <c r="F160">
        <v>7.14</v>
      </c>
      <c r="G160">
        <v>1.6579999999999999</v>
      </c>
      <c r="H160" s="15">
        <v>11.34</v>
      </c>
      <c r="I160" t="e">
        <v>#N/A</v>
      </c>
      <c r="J160">
        <v>22.5</v>
      </c>
      <c r="K160">
        <v>9.17</v>
      </c>
      <c r="L160">
        <v>1.39</v>
      </c>
      <c r="M160">
        <v>1.179</v>
      </c>
      <c r="N160">
        <v>0.36</v>
      </c>
      <c r="O160">
        <v>3.82</v>
      </c>
      <c r="P160">
        <v>1.139</v>
      </c>
      <c r="Q160">
        <v>12</v>
      </c>
    </row>
    <row r="161" spans="1:17" x14ac:dyDescent="0.25">
      <c r="A161" s="1">
        <v>41422</v>
      </c>
      <c r="B161">
        <v>9.6999999999999993</v>
      </c>
      <c r="C161">
        <v>138.97</v>
      </c>
      <c r="D161">
        <v>4.5739999999999998</v>
      </c>
      <c r="E161">
        <v>18.190000000000001</v>
      </c>
      <c r="F161">
        <v>7.15</v>
      </c>
      <c r="G161">
        <v>1.65</v>
      </c>
      <c r="H161" s="15">
        <v>11.3</v>
      </c>
      <c r="I161">
        <v>34.159999999999997</v>
      </c>
      <c r="J161">
        <v>22.2</v>
      </c>
      <c r="K161">
        <v>9.18</v>
      </c>
      <c r="L161">
        <v>1.36</v>
      </c>
      <c r="M161">
        <v>1.1379999999999999</v>
      </c>
      <c r="N161">
        <v>0.35</v>
      </c>
      <c r="O161">
        <v>3.79</v>
      </c>
      <c r="P161">
        <v>1.139</v>
      </c>
      <c r="Q161">
        <v>15</v>
      </c>
    </row>
    <row r="162" spans="1:17" x14ac:dyDescent="0.25">
      <c r="A162" s="1">
        <v>41423</v>
      </c>
      <c r="B162">
        <v>9.6</v>
      </c>
      <c r="C162">
        <v>138.28</v>
      </c>
      <c r="D162">
        <v>4.4779999999999998</v>
      </c>
      <c r="E162">
        <v>18</v>
      </c>
      <c r="F162">
        <v>7.04</v>
      </c>
      <c r="G162">
        <v>1.62</v>
      </c>
      <c r="H162" s="15">
        <v>10.94</v>
      </c>
      <c r="I162">
        <v>34.159999999999997</v>
      </c>
      <c r="J162">
        <v>22</v>
      </c>
      <c r="K162">
        <v>9.11</v>
      </c>
      <c r="L162">
        <v>1.34</v>
      </c>
      <c r="M162">
        <v>1.097</v>
      </c>
      <c r="N162">
        <v>0.35</v>
      </c>
      <c r="O162">
        <v>3.73</v>
      </c>
      <c r="P162">
        <v>1.103</v>
      </c>
      <c r="Q162">
        <v>15</v>
      </c>
    </row>
    <row r="163" spans="1:17" x14ac:dyDescent="0.25">
      <c r="A163" s="1">
        <v>41424</v>
      </c>
      <c r="B163">
        <v>9.44</v>
      </c>
      <c r="C163">
        <v>140.22</v>
      </c>
      <c r="D163">
        <v>4.4779999999999998</v>
      </c>
      <c r="E163">
        <v>18.5</v>
      </c>
      <c r="F163">
        <v>7.01</v>
      </c>
      <c r="G163">
        <v>1.589</v>
      </c>
      <c r="H163" s="15">
        <v>10.8</v>
      </c>
      <c r="I163">
        <v>33.32</v>
      </c>
      <c r="J163">
        <v>21.5</v>
      </c>
      <c r="K163">
        <v>9.08</v>
      </c>
      <c r="L163">
        <v>1.29</v>
      </c>
      <c r="M163">
        <v>1.0569999999999999</v>
      </c>
      <c r="N163">
        <v>0.36</v>
      </c>
      <c r="O163">
        <v>3.68</v>
      </c>
      <c r="P163">
        <v>1.085</v>
      </c>
      <c r="Q163">
        <v>15</v>
      </c>
    </row>
    <row r="164" spans="1:17" x14ac:dyDescent="0.25">
      <c r="A164" s="1">
        <v>41425</v>
      </c>
      <c r="B164">
        <v>9.15</v>
      </c>
      <c r="C164">
        <v>135.79</v>
      </c>
      <c r="D164">
        <v>4.4779999999999998</v>
      </c>
      <c r="E164">
        <v>17.899999999999999</v>
      </c>
      <c r="F164">
        <v>6.84</v>
      </c>
      <c r="G164">
        <v>1.5509999999999999</v>
      </c>
      <c r="H164" s="15">
        <v>10.66</v>
      </c>
      <c r="I164">
        <v>31.71</v>
      </c>
      <c r="J164">
        <v>20.96</v>
      </c>
      <c r="K164">
        <v>9.08</v>
      </c>
      <c r="L164">
        <v>1.26</v>
      </c>
      <c r="M164">
        <v>1.0569999999999999</v>
      </c>
      <c r="N164">
        <v>0.36</v>
      </c>
      <c r="O164">
        <v>3.7</v>
      </c>
      <c r="P164">
        <v>1.085</v>
      </c>
      <c r="Q164">
        <v>15</v>
      </c>
    </row>
    <row r="165" spans="1:17" x14ac:dyDescent="0.25">
      <c r="A165" s="1">
        <v>41428</v>
      </c>
      <c r="B165">
        <v>9.02</v>
      </c>
      <c r="C165">
        <v>132.05000000000001</v>
      </c>
      <c r="D165">
        <v>4.4580000000000002</v>
      </c>
      <c r="E165">
        <v>18.5</v>
      </c>
      <c r="F165">
        <v>6.65</v>
      </c>
      <c r="G165">
        <v>1.5429999999999999</v>
      </c>
      <c r="H165" s="15">
        <v>10.61</v>
      </c>
      <c r="I165">
        <v>32.119999999999997</v>
      </c>
      <c r="J165">
        <v>21.2</v>
      </c>
      <c r="K165">
        <v>9.1199999999999992</v>
      </c>
      <c r="L165">
        <v>1.23</v>
      </c>
      <c r="M165">
        <v>1.04</v>
      </c>
      <c r="N165">
        <v>0.37</v>
      </c>
      <c r="O165">
        <v>3.7</v>
      </c>
      <c r="P165">
        <v>1.014</v>
      </c>
      <c r="Q165">
        <v>15</v>
      </c>
    </row>
    <row r="166" spans="1:17" x14ac:dyDescent="0.25">
      <c r="A166" s="1">
        <v>41429</v>
      </c>
      <c r="B166">
        <v>9.1300000000000008</v>
      </c>
      <c r="C166">
        <v>135.03</v>
      </c>
      <c r="D166">
        <v>4.492</v>
      </c>
      <c r="E166">
        <v>18.48</v>
      </c>
      <c r="F166">
        <v>6.81</v>
      </c>
      <c r="G166">
        <v>1.5509999999999999</v>
      </c>
      <c r="H166" s="15">
        <v>11.1</v>
      </c>
      <c r="I166">
        <v>32.130000000000003</v>
      </c>
      <c r="J166">
        <v>21</v>
      </c>
      <c r="K166">
        <v>9.31</v>
      </c>
      <c r="L166">
        <v>1.26</v>
      </c>
      <c r="M166">
        <v>1.0489999999999999</v>
      </c>
      <c r="N166">
        <v>0.37</v>
      </c>
      <c r="O166">
        <v>3.75</v>
      </c>
      <c r="P166">
        <v>1.014</v>
      </c>
      <c r="Q166">
        <v>15</v>
      </c>
    </row>
    <row r="167" spans="1:17" x14ac:dyDescent="0.25">
      <c r="A167" s="1">
        <v>41430</v>
      </c>
      <c r="B167">
        <v>9.48</v>
      </c>
      <c r="C167">
        <v>132.96</v>
      </c>
      <c r="D167">
        <v>4.423</v>
      </c>
      <c r="E167">
        <v>18.27</v>
      </c>
      <c r="F167">
        <v>6.94</v>
      </c>
      <c r="G167">
        <v>1.536</v>
      </c>
      <c r="H167" s="15">
        <v>11</v>
      </c>
      <c r="I167">
        <v>32.159999999999997</v>
      </c>
      <c r="J167">
        <v>21</v>
      </c>
      <c r="K167">
        <v>9.1199999999999992</v>
      </c>
      <c r="L167">
        <v>1.28</v>
      </c>
      <c r="M167">
        <v>1.0489999999999999</v>
      </c>
      <c r="N167">
        <v>0.36</v>
      </c>
      <c r="O167">
        <v>3.7</v>
      </c>
      <c r="P167">
        <v>1.0669999999999999</v>
      </c>
      <c r="Q167">
        <v>15</v>
      </c>
    </row>
    <row r="168" spans="1:17" x14ac:dyDescent="0.25">
      <c r="A168" s="1">
        <v>41431</v>
      </c>
      <c r="B168">
        <v>9.56</v>
      </c>
      <c r="C168">
        <v>130.22</v>
      </c>
      <c r="D168">
        <v>4.4580000000000002</v>
      </c>
      <c r="E168">
        <v>18.3</v>
      </c>
      <c r="F168">
        <v>6.94</v>
      </c>
      <c r="G168">
        <v>1.5129999999999999</v>
      </c>
      <c r="H168" s="15">
        <v>11</v>
      </c>
      <c r="I168" t="e">
        <v>#N/A</v>
      </c>
      <c r="J168">
        <v>20.99</v>
      </c>
      <c r="K168">
        <v>9.14</v>
      </c>
      <c r="L168">
        <v>1.26</v>
      </c>
      <c r="M168">
        <v>1.0489999999999999</v>
      </c>
      <c r="N168">
        <v>0.36</v>
      </c>
      <c r="O168">
        <v>3.65</v>
      </c>
      <c r="P168">
        <v>1.0669999999999999</v>
      </c>
      <c r="Q168">
        <v>14</v>
      </c>
    </row>
    <row r="169" spans="1:17" x14ac:dyDescent="0.25">
      <c r="A169" s="1">
        <v>41432</v>
      </c>
      <c r="B169">
        <v>9.56</v>
      </c>
      <c r="C169">
        <v>130.79</v>
      </c>
      <c r="D169">
        <v>4.4580000000000002</v>
      </c>
      <c r="E169">
        <v>17.8</v>
      </c>
      <c r="F169">
        <v>6.94</v>
      </c>
      <c r="G169">
        <v>1.528</v>
      </c>
      <c r="H169" s="15">
        <v>11.15</v>
      </c>
      <c r="I169">
        <v>32.07</v>
      </c>
      <c r="J169" t="e">
        <v>#N/A</v>
      </c>
      <c r="K169">
        <v>9.1999999999999993</v>
      </c>
      <c r="L169">
        <v>1.32</v>
      </c>
      <c r="M169">
        <v>1.1140000000000001</v>
      </c>
      <c r="N169">
        <v>0.37</v>
      </c>
      <c r="O169">
        <v>3.65</v>
      </c>
      <c r="P169">
        <v>1.1559999999999999</v>
      </c>
      <c r="Q169">
        <v>14</v>
      </c>
    </row>
    <row r="170" spans="1:17" x14ac:dyDescent="0.25">
      <c r="A170" s="1">
        <v>41435</v>
      </c>
      <c r="B170">
        <v>9.5500000000000007</v>
      </c>
      <c r="C170">
        <v>130.99</v>
      </c>
      <c r="D170">
        <v>4.4779999999999998</v>
      </c>
      <c r="E170">
        <v>17.7</v>
      </c>
      <c r="F170">
        <v>7.06</v>
      </c>
      <c r="G170">
        <v>1.5129999999999999</v>
      </c>
      <c r="H170" s="15">
        <v>11.32</v>
      </c>
      <c r="I170">
        <v>32.159999999999997</v>
      </c>
      <c r="J170">
        <v>20</v>
      </c>
      <c r="K170">
        <v>9.07</v>
      </c>
      <c r="L170">
        <v>1.36</v>
      </c>
      <c r="M170">
        <v>1.1140000000000001</v>
      </c>
      <c r="N170">
        <v>0.38</v>
      </c>
      <c r="O170">
        <v>3.67</v>
      </c>
      <c r="P170">
        <v>1.2270000000000001</v>
      </c>
      <c r="Q170">
        <v>15</v>
      </c>
    </row>
    <row r="171" spans="1:17" x14ac:dyDescent="0.25">
      <c r="A171" s="1">
        <v>41436</v>
      </c>
      <c r="B171">
        <v>9.31</v>
      </c>
      <c r="C171">
        <v>129.83000000000001</v>
      </c>
      <c r="D171">
        <v>4.3890000000000002</v>
      </c>
      <c r="E171">
        <v>17.399999999999999</v>
      </c>
      <c r="F171">
        <v>6.83</v>
      </c>
      <c r="G171">
        <v>1.498</v>
      </c>
      <c r="H171" s="15">
        <v>10.9</v>
      </c>
      <c r="I171">
        <v>31.88</v>
      </c>
      <c r="J171">
        <v>19.5</v>
      </c>
      <c r="K171">
        <v>8.92</v>
      </c>
      <c r="L171">
        <v>1.29</v>
      </c>
      <c r="M171">
        <v>1.0569999999999999</v>
      </c>
      <c r="N171">
        <v>0.37</v>
      </c>
      <c r="O171">
        <v>3.6</v>
      </c>
      <c r="P171">
        <v>1.139</v>
      </c>
      <c r="Q171">
        <v>15</v>
      </c>
    </row>
    <row r="172" spans="1:17" x14ac:dyDescent="0.25">
      <c r="A172" s="1">
        <v>41437</v>
      </c>
      <c r="B172">
        <v>8.9700000000000006</v>
      </c>
      <c r="C172">
        <v>126.23</v>
      </c>
      <c r="D172">
        <v>4.3959999999999999</v>
      </c>
      <c r="E172">
        <v>17.399999999999999</v>
      </c>
      <c r="F172">
        <v>6.85</v>
      </c>
      <c r="G172">
        <v>1.528</v>
      </c>
      <c r="H172" s="15">
        <v>10.87</v>
      </c>
      <c r="I172">
        <v>32.08</v>
      </c>
      <c r="J172">
        <v>19.5</v>
      </c>
      <c r="K172">
        <v>8.7799999999999994</v>
      </c>
      <c r="L172">
        <v>1.32</v>
      </c>
      <c r="M172">
        <v>1.0649999999999999</v>
      </c>
      <c r="N172">
        <v>0.38</v>
      </c>
      <c r="O172">
        <v>3.65</v>
      </c>
      <c r="P172">
        <v>1.165</v>
      </c>
      <c r="Q172">
        <v>15</v>
      </c>
    </row>
    <row r="173" spans="1:17" x14ac:dyDescent="0.25">
      <c r="A173" s="1">
        <v>41438</v>
      </c>
      <c r="B173">
        <v>9.4499999999999993</v>
      </c>
      <c r="C173">
        <v>123.63</v>
      </c>
      <c r="D173">
        <v>4.5259999999999998</v>
      </c>
      <c r="E173">
        <v>17.940000000000001</v>
      </c>
      <c r="F173">
        <v>7.13</v>
      </c>
      <c r="G173">
        <v>1.589</v>
      </c>
      <c r="H173" s="15">
        <v>11.49</v>
      </c>
      <c r="I173">
        <v>32.64</v>
      </c>
      <c r="J173">
        <v>19.5</v>
      </c>
      <c r="K173">
        <v>9.0500000000000007</v>
      </c>
      <c r="L173">
        <v>1.33</v>
      </c>
      <c r="M173">
        <v>1.0649999999999999</v>
      </c>
      <c r="N173">
        <v>0.43</v>
      </c>
      <c r="O173">
        <v>3.79</v>
      </c>
      <c r="P173">
        <v>1.2010000000000001</v>
      </c>
      <c r="Q173">
        <v>15</v>
      </c>
    </row>
    <row r="174" spans="1:17" x14ac:dyDescent="0.25">
      <c r="A174" s="1">
        <v>41439</v>
      </c>
      <c r="B174">
        <v>9.66</v>
      </c>
      <c r="C174">
        <v>124.06</v>
      </c>
      <c r="D174">
        <v>4.5259999999999998</v>
      </c>
      <c r="E174">
        <v>17.2</v>
      </c>
      <c r="F174">
        <v>7.19</v>
      </c>
      <c r="G174">
        <v>1.605</v>
      </c>
      <c r="H174" s="15">
        <v>11.54</v>
      </c>
      <c r="I174">
        <v>33.32</v>
      </c>
      <c r="J174">
        <v>19.5</v>
      </c>
      <c r="K174">
        <v>9.15</v>
      </c>
      <c r="L174">
        <v>1.35</v>
      </c>
      <c r="M174">
        <v>1.081</v>
      </c>
      <c r="N174">
        <v>0.46</v>
      </c>
      <c r="O174">
        <v>3.78</v>
      </c>
      <c r="P174">
        <v>1.21</v>
      </c>
      <c r="Q174">
        <v>15</v>
      </c>
    </row>
    <row r="175" spans="1:17" x14ac:dyDescent="0.25">
      <c r="A175" s="1">
        <v>41442</v>
      </c>
      <c r="B175">
        <v>9.76</v>
      </c>
      <c r="C175">
        <v>126.95</v>
      </c>
      <c r="D175">
        <v>4.5739999999999998</v>
      </c>
      <c r="E175">
        <v>17.309999999999999</v>
      </c>
      <c r="F175">
        <v>7.33</v>
      </c>
      <c r="G175">
        <v>1.627</v>
      </c>
      <c r="H175" s="15">
        <v>11.79</v>
      </c>
      <c r="I175">
        <v>33.78</v>
      </c>
      <c r="J175">
        <v>19.5</v>
      </c>
      <c r="K175">
        <v>9.24</v>
      </c>
      <c r="L175">
        <v>1.35</v>
      </c>
      <c r="M175">
        <v>1.081</v>
      </c>
      <c r="N175">
        <v>0.49</v>
      </c>
      <c r="O175">
        <v>3.85</v>
      </c>
      <c r="P175">
        <v>1.2270000000000001</v>
      </c>
      <c r="Q175">
        <v>15</v>
      </c>
    </row>
    <row r="176" spans="1:17" x14ac:dyDescent="0.25">
      <c r="A176" s="1">
        <v>41443</v>
      </c>
      <c r="B176">
        <v>9.8000000000000007</v>
      </c>
      <c r="C176">
        <v>126.95</v>
      </c>
      <c r="D176">
        <v>4.6289999999999996</v>
      </c>
      <c r="E176" t="e">
        <v>#N/A</v>
      </c>
      <c r="F176">
        <v>7.42</v>
      </c>
      <c r="G176">
        <v>1.635</v>
      </c>
      <c r="H176" s="15">
        <v>11.97</v>
      </c>
      <c r="I176">
        <v>33.78</v>
      </c>
      <c r="J176">
        <v>19.45</v>
      </c>
      <c r="K176">
        <v>9.2899999999999991</v>
      </c>
      <c r="L176">
        <v>1.31</v>
      </c>
      <c r="M176">
        <v>1.081</v>
      </c>
      <c r="N176">
        <v>0.48</v>
      </c>
      <c r="O176">
        <v>3.9</v>
      </c>
      <c r="P176">
        <v>1.218</v>
      </c>
      <c r="Q176">
        <v>14</v>
      </c>
    </row>
    <row r="177" spans="1:17" x14ac:dyDescent="0.25">
      <c r="A177" s="1">
        <v>41444</v>
      </c>
      <c r="B177">
        <v>9.86</v>
      </c>
      <c r="C177">
        <v>126.95</v>
      </c>
      <c r="D177">
        <v>4.6289999999999996</v>
      </c>
      <c r="E177">
        <v>17.41</v>
      </c>
      <c r="F177">
        <v>7.42</v>
      </c>
      <c r="G177">
        <v>1.627</v>
      </c>
      <c r="H177" s="15">
        <v>11.99</v>
      </c>
      <c r="I177">
        <v>33.78</v>
      </c>
      <c r="J177" t="e">
        <v>#N/A</v>
      </c>
      <c r="K177">
        <v>9.3800000000000008</v>
      </c>
      <c r="L177">
        <v>1.29</v>
      </c>
      <c r="M177">
        <v>1.073</v>
      </c>
      <c r="N177">
        <v>0.44</v>
      </c>
      <c r="O177">
        <v>3.9</v>
      </c>
      <c r="P177">
        <v>1.1919999999999999</v>
      </c>
      <c r="Q177">
        <v>14</v>
      </c>
    </row>
    <row r="178" spans="1:17" x14ac:dyDescent="0.25">
      <c r="A178" s="1">
        <v>41445</v>
      </c>
      <c r="B178">
        <v>9.56</v>
      </c>
      <c r="C178">
        <v>119.74</v>
      </c>
      <c r="D178">
        <v>4.5259999999999998</v>
      </c>
      <c r="E178">
        <v>16.8</v>
      </c>
      <c r="F178">
        <v>7.24</v>
      </c>
      <c r="G178">
        <v>1.605</v>
      </c>
      <c r="H178" s="15">
        <v>11.63</v>
      </c>
      <c r="I178">
        <v>32.83</v>
      </c>
      <c r="J178">
        <v>19.39</v>
      </c>
      <c r="K178">
        <v>9.24</v>
      </c>
      <c r="L178">
        <v>1.25</v>
      </c>
      <c r="M178">
        <v>1.032</v>
      </c>
      <c r="N178">
        <v>0.43</v>
      </c>
      <c r="O178">
        <v>3.75</v>
      </c>
      <c r="P178">
        <v>1.147</v>
      </c>
      <c r="Q178">
        <v>15</v>
      </c>
    </row>
    <row r="179" spans="1:17" x14ac:dyDescent="0.25">
      <c r="A179" s="1">
        <v>41446</v>
      </c>
      <c r="B179">
        <v>9.51</v>
      </c>
      <c r="C179">
        <v>120.22</v>
      </c>
      <c r="D179">
        <v>4.5259999999999998</v>
      </c>
      <c r="E179">
        <v>15.2</v>
      </c>
      <c r="F179">
        <v>6.89</v>
      </c>
      <c r="G179">
        <v>1.5820000000000001</v>
      </c>
      <c r="H179" s="15">
        <v>11.01</v>
      </c>
      <c r="I179">
        <v>32.729999999999997</v>
      </c>
      <c r="J179">
        <v>18</v>
      </c>
      <c r="K179">
        <v>9.19</v>
      </c>
      <c r="L179">
        <v>1.28</v>
      </c>
      <c r="M179">
        <v>1.0489999999999999</v>
      </c>
      <c r="N179">
        <v>0.44</v>
      </c>
      <c r="O179">
        <v>3.68</v>
      </c>
      <c r="P179">
        <v>1.139</v>
      </c>
      <c r="Q179">
        <v>15</v>
      </c>
    </row>
    <row r="180" spans="1:17" x14ac:dyDescent="0.25">
      <c r="A180" s="1">
        <v>41449</v>
      </c>
      <c r="B180">
        <v>9.36</v>
      </c>
      <c r="C180">
        <v>118</v>
      </c>
      <c r="D180">
        <v>4.5259999999999998</v>
      </c>
      <c r="E180">
        <v>15.01</v>
      </c>
      <c r="F180">
        <v>6.86</v>
      </c>
      <c r="G180">
        <v>1.528</v>
      </c>
      <c r="H180" s="15">
        <v>10.31</v>
      </c>
      <c r="I180">
        <v>32.729999999999997</v>
      </c>
      <c r="J180">
        <v>18</v>
      </c>
      <c r="K180">
        <v>9.15</v>
      </c>
      <c r="L180">
        <v>1.23</v>
      </c>
      <c r="M180" t="e">
        <v>#N/A</v>
      </c>
      <c r="N180">
        <v>0.41</v>
      </c>
      <c r="O180">
        <v>3.6</v>
      </c>
      <c r="P180">
        <v>1.1120000000000001</v>
      </c>
      <c r="Q180">
        <v>14</v>
      </c>
    </row>
    <row r="181" spans="1:17" x14ac:dyDescent="0.25">
      <c r="A181" s="1">
        <v>41450</v>
      </c>
      <c r="B181">
        <v>9.34</v>
      </c>
      <c r="C181">
        <v>120.17</v>
      </c>
      <c r="D181">
        <v>4.5190000000000001</v>
      </c>
      <c r="E181">
        <v>14.42</v>
      </c>
      <c r="F181">
        <v>6.88</v>
      </c>
      <c r="G181">
        <v>1.5429999999999999</v>
      </c>
      <c r="H181" s="15">
        <v>10.52</v>
      </c>
      <c r="I181">
        <v>32.15</v>
      </c>
      <c r="J181">
        <v>18.5</v>
      </c>
      <c r="K181">
        <v>9.15</v>
      </c>
      <c r="L181">
        <v>1.23</v>
      </c>
      <c r="M181">
        <v>1.0569999999999999</v>
      </c>
      <c r="N181">
        <v>0.43</v>
      </c>
      <c r="O181">
        <v>3.61</v>
      </c>
      <c r="P181">
        <v>1.103</v>
      </c>
      <c r="Q181">
        <v>15</v>
      </c>
    </row>
    <row r="182" spans="1:17" x14ac:dyDescent="0.25">
      <c r="A182" s="1">
        <v>41451</v>
      </c>
      <c r="B182">
        <v>9.17</v>
      </c>
      <c r="C182">
        <v>120.68</v>
      </c>
      <c r="D182">
        <v>4.5259999999999998</v>
      </c>
      <c r="E182">
        <v>13.69</v>
      </c>
      <c r="F182">
        <v>7</v>
      </c>
      <c r="G182">
        <v>1.5589999999999999</v>
      </c>
      <c r="H182" s="15">
        <v>10.82</v>
      </c>
      <c r="I182">
        <v>32.19</v>
      </c>
      <c r="J182">
        <v>18.5</v>
      </c>
      <c r="K182">
        <v>9.42</v>
      </c>
      <c r="L182">
        <v>1.22</v>
      </c>
      <c r="M182">
        <v>1.04</v>
      </c>
      <c r="N182">
        <v>0.43</v>
      </c>
      <c r="O182">
        <v>3.7</v>
      </c>
      <c r="P182">
        <v>1.085</v>
      </c>
      <c r="Q182">
        <v>15</v>
      </c>
    </row>
    <row r="183" spans="1:17" x14ac:dyDescent="0.25">
      <c r="A183" s="1">
        <v>41452</v>
      </c>
      <c r="B183">
        <v>8.9700000000000006</v>
      </c>
      <c r="C183">
        <v>123.1</v>
      </c>
      <c r="D183">
        <v>4.492</v>
      </c>
      <c r="E183">
        <v>13.8</v>
      </c>
      <c r="F183" t="e">
        <v>#N/A</v>
      </c>
      <c r="G183">
        <v>1.5740000000000001</v>
      </c>
      <c r="H183" s="15">
        <v>10.81</v>
      </c>
      <c r="I183">
        <v>31.42</v>
      </c>
      <c r="J183">
        <v>18.5</v>
      </c>
      <c r="K183">
        <v>9.42</v>
      </c>
      <c r="L183">
        <v>1.21</v>
      </c>
      <c r="M183">
        <v>1.0489999999999999</v>
      </c>
      <c r="N183">
        <v>0.45</v>
      </c>
      <c r="O183">
        <v>3.75</v>
      </c>
      <c r="P183">
        <v>1.0760000000000001</v>
      </c>
      <c r="Q183">
        <v>14</v>
      </c>
    </row>
    <row r="184" spans="1:17" x14ac:dyDescent="0.25">
      <c r="A184" s="1">
        <v>41453</v>
      </c>
      <c r="B184">
        <v>9.2200000000000006</v>
      </c>
      <c r="C184">
        <v>123.28</v>
      </c>
      <c r="D184">
        <v>4.3410000000000002</v>
      </c>
      <c r="E184">
        <v>14.86</v>
      </c>
      <c r="F184" t="e">
        <v>#N/A</v>
      </c>
      <c r="G184">
        <v>1.605</v>
      </c>
      <c r="H184" s="15">
        <v>10.82</v>
      </c>
      <c r="I184">
        <v>31.4</v>
      </c>
      <c r="J184">
        <v>18.5</v>
      </c>
      <c r="K184">
        <v>9.48</v>
      </c>
      <c r="L184">
        <v>1.26</v>
      </c>
      <c r="M184">
        <v>1.04</v>
      </c>
      <c r="N184">
        <v>0.46</v>
      </c>
      <c r="O184">
        <v>3.75</v>
      </c>
      <c r="P184">
        <v>1.1559999999999999</v>
      </c>
      <c r="Q184">
        <v>14</v>
      </c>
    </row>
    <row r="185" spans="1:17" x14ac:dyDescent="0.25">
      <c r="A185" s="1">
        <v>41456</v>
      </c>
      <c r="B185">
        <v>9.4600000000000009</v>
      </c>
      <c r="C185">
        <v>123.1</v>
      </c>
      <c r="D185">
        <v>4.3890000000000002</v>
      </c>
      <c r="E185">
        <v>15</v>
      </c>
      <c r="F185">
        <v>6.99</v>
      </c>
      <c r="G185">
        <v>1.597</v>
      </c>
      <c r="H185" s="15">
        <v>10.91</v>
      </c>
      <c r="I185">
        <v>30.93</v>
      </c>
      <c r="J185">
        <v>18</v>
      </c>
      <c r="K185">
        <v>9.49</v>
      </c>
      <c r="L185">
        <v>1.27</v>
      </c>
      <c r="M185">
        <v>1.0489999999999999</v>
      </c>
      <c r="N185">
        <v>0.49</v>
      </c>
      <c r="O185">
        <v>3.69</v>
      </c>
      <c r="P185">
        <v>1.0940000000000001</v>
      </c>
      <c r="Q185">
        <v>15</v>
      </c>
    </row>
    <row r="186" spans="1:17" x14ac:dyDescent="0.25">
      <c r="A186" s="1">
        <v>41457</v>
      </c>
      <c r="B186">
        <v>9.51</v>
      </c>
      <c r="C186">
        <v>121.66</v>
      </c>
      <c r="D186">
        <v>4.3550000000000004</v>
      </c>
      <c r="E186">
        <v>14.7</v>
      </c>
      <c r="F186">
        <v>7.05</v>
      </c>
      <c r="G186">
        <v>1.5660000000000001</v>
      </c>
      <c r="H186" s="15">
        <v>11</v>
      </c>
      <c r="I186">
        <v>30.45</v>
      </c>
      <c r="J186">
        <v>18</v>
      </c>
      <c r="K186">
        <v>9.49</v>
      </c>
      <c r="L186">
        <v>1.26</v>
      </c>
      <c r="M186">
        <v>1.0489999999999999</v>
      </c>
      <c r="N186">
        <v>0.46</v>
      </c>
      <c r="O186">
        <v>3.65</v>
      </c>
      <c r="P186">
        <v>1.085</v>
      </c>
      <c r="Q186">
        <v>15</v>
      </c>
    </row>
    <row r="187" spans="1:17" x14ac:dyDescent="0.25">
      <c r="A187" s="1">
        <v>41458</v>
      </c>
      <c r="B187">
        <v>9.4600000000000009</v>
      </c>
      <c r="C187">
        <v>119.45</v>
      </c>
      <c r="D187">
        <v>4.3550000000000004</v>
      </c>
      <c r="E187">
        <v>14.5</v>
      </c>
      <c r="F187">
        <v>7</v>
      </c>
      <c r="G187">
        <v>1.5429999999999999</v>
      </c>
      <c r="H187" s="15">
        <v>10.95</v>
      </c>
      <c r="I187" t="e">
        <v>#N/A</v>
      </c>
      <c r="J187">
        <v>17.8</v>
      </c>
      <c r="K187">
        <v>9.52</v>
      </c>
      <c r="L187">
        <v>1.25</v>
      </c>
      <c r="M187">
        <v>1.0489999999999999</v>
      </c>
      <c r="N187">
        <v>0.47</v>
      </c>
      <c r="O187">
        <v>3.62</v>
      </c>
      <c r="P187">
        <v>1.1120000000000001</v>
      </c>
      <c r="Q187">
        <v>14</v>
      </c>
    </row>
    <row r="188" spans="1:17" x14ac:dyDescent="0.25">
      <c r="A188" s="1">
        <v>41459</v>
      </c>
      <c r="B188">
        <v>9.4600000000000009</v>
      </c>
      <c r="C188">
        <v>119.45</v>
      </c>
      <c r="D188">
        <v>4.3620000000000001</v>
      </c>
      <c r="E188">
        <v>14.5</v>
      </c>
      <c r="F188">
        <v>7</v>
      </c>
      <c r="G188">
        <v>1.52</v>
      </c>
      <c r="H188" s="15">
        <v>10.81</v>
      </c>
      <c r="I188" t="e">
        <v>#N/A</v>
      </c>
      <c r="J188">
        <v>17.510000000000002</v>
      </c>
      <c r="K188">
        <v>9.5</v>
      </c>
      <c r="L188" t="e">
        <v>#N/A</v>
      </c>
      <c r="M188">
        <v>1.0489999999999999</v>
      </c>
      <c r="N188">
        <v>0.48</v>
      </c>
      <c r="O188" t="e">
        <v>#N/A</v>
      </c>
      <c r="P188">
        <v>1.085</v>
      </c>
      <c r="Q188">
        <v>12</v>
      </c>
    </row>
    <row r="189" spans="1:17" x14ac:dyDescent="0.25">
      <c r="A189" s="1">
        <v>41460</v>
      </c>
      <c r="B189">
        <v>9.56</v>
      </c>
      <c r="C189">
        <v>119.06</v>
      </c>
      <c r="D189">
        <v>4.3550000000000004</v>
      </c>
      <c r="E189">
        <v>14.25</v>
      </c>
      <c r="F189">
        <v>6.84</v>
      </c>
      <c r="G189">
        <v>1.5129999999999999</v>
      </c>
      <c r="H189" s="15">
        <v>10.61</v>
      </c>
      <c r="I189">
        <v>29.5</v>
      </c>
      <c r="J189">
        <v>17.5</v>
      </c>
      <c r="K189" t="e">
        <v>#N/A</v>
      </c>
      <c r="L189">
        <v>1.24</v>
      </c>
      <c r="M189">
        <v>1.016</v>
      </c>
      <c r="N189">
        <v>0.48</v>
      </c>
      <c r="O189">
        <v>3.6</v>
      </c>
      <c r="P189">
        <v>1.0580000000000001</v>
      </c>
      <c r="Q189">
        <v>14</v>
      </c>
    </row>
    <row r="190" spans="1:17" x14ac:dyDescent="0.25">
      <c r="A190" s="1">
        <v>41463</v>
      </c>
      <c r="B190">
        <v>9.56</v>
      </c>
      <c r="C190">
        <v>114.93</v>
      </c>
      <c r="D190">
        <v>3.508</v>
      </c>
      <c r="E190">
        <v>14.5</v>
      </c>
      <c r="F190" t="e">
        <v>#N/A</v>
      </c>
      <c r="G190">
        <v>1.4750000000000001</v>
      </c>
      <c r="H190" s="15">
        <v>10.61</v>
      </c>
      <c r="I190">
        <v>29.26</v>
      </c>
      <c r="J190">
        <v>17.5</v>
      </c>
      <c r="K190">
        <v>9.24</v>
      </c>
      <c r="L190">
        <v>1.24</v>
      </c>
      <c r="M190">
        <v>1.016</v>
      </c>
      <c r="N190">
        <v>0.49</v>
      </c>
      <c r="O190">
        <v>3.6</v>
      </c>
      <c r="P190">
        <v>1.0580000000000001</v>
      </c>
      <c r="Q190">
        <v>14</v>
      </c>
    </row>
    <row r="191" spans="1:17" x14ac:dyDescent="0.25">
      <c r="A191" s="1">
        <v>41464</v>
      </c>
      <c r="B191">
        <v>9.51</v>
      </c>
      <c r="C191">
        <v>113.48</v>
      </c>
      <c r="D191">
        <v>3.452</v>
      </c>
      <c r="E191">
        <v>14</v>
      </c>
      <c r="F191">
        <v>6.62</v>
      </c>
      <c r="G191">
        <v>1.4359999999999999</v>
      </c>
      <c r="H191" s="15">
        <v>10.71</v>
      </c>
      <c r="I191">
        <v>28.55</v>
      </c>
      <c r="J191">
        <v>17.5</v>
      </c>
      <c r="K191">
        <v>9.0500000000000007</v>
      </c>
      <c r="L191">
        <v>1.23</v>
      </c>
      <c r="M191">
        <v>0.97599999999999998</v>
      </c>
      <c r="N191">
        <v>0.47</v>
      </c>
      <c r="O191">
        <v>3.56</v>
      </c>
      <c r="P191">
        <v>1.032</v>
      </c>
      <c r="Q191">
        <v>15</v>
      </c>
    </row>
    <row r="192" spans="1:17" x14ac:dyDescent="0.25">
      <c r="A192" s="1">
        <v>41465</v>
      </c>
      <c r="B192">
        <v>9.41</v>
      </c>
      <c r="C192">
        <v>107.65</v>
      </c>
      <c r="D192">
        <v>3.34</v>
      </c>
      <c r="E192">
        <v>13.6</v>
      </c>
      <c r="F192">
        <v>6.55</v>
      </c>
      <c r="G192">
        <v>1.375</v>
      </c>
      <c r="H192" s="15">
        <v>10.71</v>
      </c>
      <c r="I192">
        <v>27.6</v>
      </c>
      <c r="J192">
        <v>17</v>
      </c>
      <c r="K192">
        <v>9.0500000000000007</v>
      </c>
      <c r="L192">
        <v>1.22</v>
      </c>
      <c r="M192">
        <v>0.97599999999999998</v>
      </c>
      <c r="N192">
        <v>0.45</v>
      </c>
      <c r="O192">
        <v>3.55</v>
      </c>
      <c r="P192">
        <v>1.014</v>
      </c>
      <c r="Q192">
        <v>15</v>
      </c>
    </row>
    <row r="193" spans="1:17" x14ac:dyDescent="0.25">
      <c r="A193" s="1">
        <v>41466</v>
      </c>
      <c r="B193">
        <v>9.4499999999999993</v>
      </c>
      <c r="C193">
        <v>113.82</v>
      </c>
      <c r="D193">
        <v>3.3849999999999998</v>
      </c>
      <c r="E193">
        <v>14.37</v>
      </c>
      <c r="F193">
        <v>6.4</v>
      </c>
      <c r="G193">
        <v>1.421</v>
      </c>
      <c r="H193" s="15">
        <v>10.76</v>
      </c>
      <c r="I193">
        <v>28.55</v>
      </c>
      <c r="J193">
        <v>17.350000000000001</v>
      </c>
      <c r="K193">
        <v>9.1</v>
      </c>
      <c r="L193">
        <v>1.22</v>
      </c>
      <c r="M193">
        <v>0.95899999999999996</v>
      </c>
      <c r="N193">
        <v>0.44</v>
      </c>
      <c r="O193">
        <v>3.57</v>
      </c>
      <c r="P193">
        <v>1.0229999999999999</v>
      </c>
      <c r="Q193">
        <v>15</v>
      </c>
    </row>
    <row r="194" spans="1:17" x14ac:dyDescent="0.25">
      <c r="A194" s="1">
        <v>41467</v>
      </c>
      <c r="B194">
        <v>9.41</v>
      </c>
      <c r="C194">
        <v>113.19</v>
      </c>
      <c r="D194">
        <v>3.3679999999999999</v>
      </c>
      <c r="E194">
        <v>14.2</v>
      </c>
      <c r="F194">
        <v>6.45</v>
      </c>
      <c r="G194">
        <v>1.413</v>
      </c>
      <c r="H194" s="15">
        <v>10.9</v>
      </c>
      <c r="I194">
        <v>28.26</v>
      </c>
      <c r="J194">
        <v>17.350000000000001</v>
      </c>
      <c r="K194">
        <v>9.1</v>
      </c>
      <c r="L194" t="e">
        <v>#N/A</v>
      </c>
      <c r="M194">
        <v>0.95899999999999996</v>
      </c>
      <c r="N194">
        <v>0.46</v>
      </c>
      <c r="O194">
        <v>3.54</v>
      </c>
      <c r="P194">
        <v>1.0229999999999999</v>
      </c>
      <c r="Q194">
        <v>14</v>
      </c>
    </row>
    <row r="195" spans="1:17" x14ac:dyDescent="0.25">
      <c r="A195" s="1">
        <v>41470</v>
      </c>
      <c r="B195">
        <v>9.31</v>
      </c>
      <c r="C195">
        <v>114.54</v>
      </c>
      <c r="D195">
        <v>3.3340000000000001</v>
      </c>
      <c r="E195">
        <v>14</v>
      </c>
      <c r="F195">
        <v>6.43</v>
      </c>
      <c r="G195">
        <v>1.4059999999999999</v>
      </c>
      <c r="H195" s="15">
        <v>10.9</v>
      </c>
      <c r="I195">
        <v>28.26</v>
      </c>
      <c r="J195" t="e">
        <v>#N/A</v>
      </c>
      <c r="K195">
        <v>9.08</v>
      </c>
      <c r="L195">
        <v>1.21</v>
      </c>
      <c r="M195" t="e">
        <v>#N/A</v>
      </c>
      <c r="N195">
        <v>0.46</v>
      </c>
      <c r="O195">
        <v>3.54</v>
      </c>
      <c r="P195">
        <v>1.0669999999999999</v>
      </c>
      <c r="Q195">
        <v>13</v>
      </c>
    </row>
    <row r="196" spans="1:17" x14ac:dyDescent="0.25">
      <c r="A196" s="1">
        <v>41471</v>
      </c>
      <c r="B196">
        <v>9.06</v>
      </c>
      <c r="C196">
        <v>115.12</v>
      </c>
      <c r="D196">
        <v>3.3119999999999998</v>
      </c>
      <c r="E196" t="e">
        <v>#N/A</v>
      </c>
      <c r="F196">
        <v>6.5</v>
      </c>
      <c r="G196">
        <v>1.4359999999999999</v>
      </c>
      <c r="H196" s="15">
        <v>10.95</v>
      </c>
      <c r="I196">
        <v>28.26</v>
      </c>
      <c r="J196">
        <v>17.25</v>
      </c>
      <c r="K196">
        <v>9.08</v>
      </c>
      <c r="L196">
        <v>1.19</v>
      </c>
      <c r="M196">
        <v>0.94299999999999995</v>
      </c>
      <c r="N196">
        <v>0.48</v>
      </c>
      <c r="O196">
        <v>3.58</v>
      </c>
      <c r="P196">
        <v>1.0580000000000001</v>
      </c>
      <c r="Q196">
        <v>14</v>
      </c>
    </row>
    <row r="197" spans="1:17" x14ac:dyDescent="0.25">
      <c r="A197" s="1">
        <v>41472</v>
      </c>
      <c r="B197">
        <v>9.06</v>
      </c>
      <c r="C197">
        <v>113.48</v>
      </c>
      <c r="D197">
        <v>3.3170000000000002</v>
      </c>
      <c r="E197">
        <v>14.15</v>
      </c>
      <c r="F197">
        <v>6.89</v>
      </c>
      <c r="G197">
        <v>1.49</v>
      </c>
      <c r="H197" s="15">
        <v>11.05</v>
      </c>
      <c r="I197">
        <v>28.54</v>
      </c>
      <c r="J197" t="e">
        <v>#N/A</v>
      </c>
      <c r="K197">
        <v>9</v>
      </c>
      <c r="L197">
        <v>1.18</v>
      </c>
      <c r="M197">
        <v>0.95099999999999996</v>
      </c>
      <c r="N197">
        <v>0.47</v>
      </c>
      <c r="O197">
        <v>3.7</v>
      </c>
      <c r="P197">
        <v>1.0669999999999999</v>
      </c>
      <c r="Q197">
        <v>14</v>
      </c>
    </row>
    <row r="198" spans="1:17" x14ac:dyDescent="0.25">
      <c r="A198" s="1">
        <v>41473</v>
      </c>
      <c r="B198">
        <v>9.1199999999999992</v>
      </c>
      <c r="C198">
        <v>111.56</v>
      </c>
      <c r="D198">
        <v>3.3170000000000002</v>
      </c>
      <c r="E198">
        <v>13.7</v>
      </c>
      <c r="F198">
        <v>6.89</v>
      </c>
      <c r="G198">
        <v>1.5129999999999999</v>
      </c>
      <c r="H198" s="15">
        <v>11.49</v>
      </c>
      <c r="I198">
        <v>28.55</v>
      </c>
      <c r="J198">
        <v>17</v>
      </c>
      <c r="K198">
        <v>9</v>
      </c>
      <c r="L198">
        <v>1.19</v>
      </c>
      <c r="M198" t="e">
        <v>#N/A</v>
      </c>
      <c r="N198">
        <v>0.44</v>
      </c>
      <c r="O198">
        <v>3.72</v>
      </c>
      <c r="P198">
        <v>1.0760000000000001</v>
      </c>
      <c r="Q198">
        <v>14</v>
      </c>
    </row>
    <row r="199" spans="1:17" x14ac:dyDescent="0.25">
      <c r="A199" s="1">
        <v>41474</v>
      </c>
      <c r="B199">
        <v>9.1199999999999992</v>
      </c>
      <c r="C199">
        <v>109.49</v>
      </c>
      <c r="D199">
        <v>3.2</v>
      </c>
      <c r="E199">
        <v>13.6</v>
      </c>
      <c r="F199">
        <v>6.89</v>
      </c>
      <c r="G199">
        <v>1.5049999999999999</v>
      </c>
      <c r="H199" s="15">
        <v>11.69</v>
      </c>
      <c r="I199">
        <v>27.13</v>
      </c>
      <c r="J199">
        <v>16.899999999999999</v>
      </c>
      <c r="K199">
        <v>8.91</v>
      </c>
      <c r="L199">
        <v>1.1499999999999999</v>
      </c>
      <c r="M199">
        <v>0.95099999999999996</v>
      </c>
      <c r="N199">
        <v>0.44</v>
      </c>
      <c r="O199">
        <v>3.75</v>
      </c>
      <c r="P199">
        <v>1.0580000000000001</v>
      </c>
      <c r="Q199">
        <v>15</v>
      </c>
    </row>
    <row r="200" spans="1:17" x14ac:dyDescent="0.25">
      <c r="A200" s="1">
        <v>41477</v>
      </c>
      <c r="B200">
        <v>8.9700000000000006</v>
      </c>
      <c r="C200">
        <v>113.35</v>
      </c>
      <c r="D200">
        <v>3.2</v>
      </c>
      <c r="E200">
        <v>14.31</v>
      </c>
      <c r="F200" t="e">
        <v>#N/A</v>
      </c>
      <c r="G200">
        <v>1.4750000000000001</v>
      </c>
      <c r="H200" s="15">
        <v>11.79</v>
      </c>
      <c r="I200">
        <v>27.13</v>
      </c>
      <c r="J200" t="e">
        <v>#N/A</v>
      </c>
      <c r="K200">
        <v>9</v>
      </c>
      <c r="L200">
        <v>1.18</v>
      </c>
      <c r="M200">
        <v>0.95099999999999996</v>
      </c>
      <c r="N200">
        <v>0.44</v>
      </c>
      <c r="O200">
        <v>3.72</v>
      </c>
      <c r="P200">
        <v>1.0580000000000001</v>
      </c>
      <c r="Q200">
        <v>13</v>
      </c>
    </row>
    <row r="201" spans="1:17" x14ac:dyDescent="0.25">
      <c r="A201" s="1">
        <v>41478</v>
      </c>
      <c r="B201">
        <v>8.8699999999999992</v>
      </c>
      <c r="C201">
        <v>115.52</v>
      </c>
      <c r="D201">
        <v>3.2559999999999998</v>
      </c>
      <c r="E201">
        <v>15.03</v>
      </c>
      <c r="F201">
        <v>6.78</v>
      </c>
      <c r="G201">
        <v>1.452</v>
      </c>
      <c r="H201" s="15">
        <v>12.03</v>
      </c>
      <c r="I201">
        <v>27.12</v>
      </c>
      <c r="J201">
        <v>16.899999999999999</v>
      </c>
      <c r="K201">
        <v>8.9499999999999993</v>
      </c>
      <c r="L201">
        <v>1.18</v>
      </c>
      <c r="M201">
        <v>0.95899999999999996</v>
      </c>
      <c r="N201">
        <v>0.44</v>
      </c>
      <c r="O201">
        <v>3.77</v>
      </c>
      <c r="P201">
        <v>1.0580000000000001</v>
      </c>
      <c r="Q201">
        <v>15</v>
      </c>
    </row>
    <row r="202" spans="1:17" x14ac:dyDescent="0.25">
      <c r="A202" s="1">
        <v>41479</v>
      </c>
      <c r="B202">
        <v>8.76</v>
      </c>
      <c r="C202">
        <v>113.77</v>
      </c>
      <c r="D202">
        <v>3.2559999999999998</v>
      </c>
      <c r="E202">
        <v>14.69</v>
      </c>
      <c r="F202">
        <v>6.74</v>
      </c>
      <c r="G202">
        <v>1.413</v>
      </c>
      <c r="H202" s="15">
        <v>11.66</v>
      </c>
      <c r="I202">
        <v>27.12</v>
      </c>
      <c r="J202">
        <v>16.899999999999999</v>
      </c>
      <c r="K202">
        <v>9</v>
      </c>
      <c r="L202">
        <v>1.1599999999999999</v>
      </c>
      <c r="M202">
        <v>0.96699999999999997</v>
      </c>
      <c r="N202">
        <v>0.43</v>
      </c>
      <c r="O202">
        <v>3.7</v>
      </c>
      <c r="P202">
        <v>1.0669999999999999</v>
      </c>
      <c r="Q202">
        <v>15</v>
      </c>
    </row>
    <row r="203" spans="1:17" x14ac:dyDescent="0.25">
      <c r="A203" s="1">
        <v>41480</v>
      </c>
      <c r="B203">
        <v>8.7200000000000006</v>
      </c>
      <c r="C203">
        <v>112.52</v>
      </c>
      <c r="D203">
        <v>3.2280000000000002</v>
      </c>
      <c r="E203">
        <v>14.85</v>
      </c>
      <c r="F203">
        <v>6.74</v>
      </c>
      <c r="G203">
        <v>1.3939999999999999</v>
      </c>
      <c r="H203" s="15">
        <v>11.49</v>
      </c>
      <c r="I203">
        <v>27.36</v>
      </c>
      <c r="J203" t="e">
        <v>#N/A</v>
      </c>
      <c r="K203">
        <v>9</v>
      </c>
      <c r="L203">
        <v>1.1499999999999999</v>
      </c>
      <c r="M203" t="e">
        <v>#N/A</v>
      </c>
      <c r="N203">
        <v>0.43</v>
      </c>
      <c r="O203">
        <v>3.76</v>
      </c>
      <c r="P203">
        <v>1.05</v>
      </c>
      <c r="Q203">
        <v>13</v>
      </c>
    </row>
    <row r="204" spans="1:17" x14ac:dyDescent="0.25">
      <c r="A204" s="1">
        <v>41481</v>
      </c>
      <c r="B204">
        <v>8.6199999999999992</v>
      </c>
      <c r="C204">
        <v>113.29</v>
      </c>
      <c r="D204">
        <v>3.1709999999999998</v>
      </c>
      <c r="E204">
        <v>14.85</v>
      </c>
      <c r="F204">
        <v>6.67</v>
      </c>
      <c r="G204">
        <v>1.448</v>
      </c>
      <c r="H204" s="15" t="e">
        <v>#N/A</v>
      </c>
      <c r="I204">
        <v>28.07</v>
      </c>
      <c r="J204" t="e">
        <v>#N/A</v>
      </c>
      <c r="K204" t="e">
        <v>#N/A</v>
      </c>
      <c r="L204">
        <v>1.1499999999999999</v>
      </c>
      <c r="M204">
        <v>0.93500000000000005</v>
      </c>
      <c r="N204">
        <v>0.43</v>
      </c>
      <c r="O204">
        <v>3.8</v>
      </c>
      <c r="P204">
        <v>1.0669999999999999</v>
      </c>
      <c r="Q204">
        <v>12</v>
      </c>
    </row>
    <row r="205" spans="1:17" x14ac:dyDescent="0.25">
      <c r="A205" s="1">
        <v>41485</v>
      </c>
      <c r="B205">
        <v>8.5500000000000007</v>
      </c>
      <c r="C205">
        <v>115.21</v>
      </c>
      <c r="D205">
        <v>3.149</v>
      </c>
      <c r="E205">
        <v>14.39</v>
      </c>
      <c r="F205">
        <v>6.65</v>
      </c>
      <c r="G205">
        <v>1.448</v>
      </c>
      <c r="H205" s="15">
        <v>11.27</v>
      </c>
      <c r="I205">
        <v>27.86</v>
      </c>
      <c r="J205">
        <v>16.899999999999999</v>
      </c>
      <c r="K205">
        <v>8.99</v>
      </c>
      <c r="L205">
        <v>1.1100000000000001</v>
      </c>
      <c r="M205">
        <v>0.91900000000000004</v>
      </c>
      <c r="N205">
        <v>0.42</v>
      </c>
      <c r="O205">
        <v>3.79</v>
      </c>
      <c r="P205">
        <v>1.0580000000000001</v>
      </c>
      <c r="Q205">
        <v>15</v>
      </c>
    </row>
    <row r="206" spans="1:17" x14ac:dyDescent="0.25">
      <c r="A206" s="1">
        <v>41486</v>
      </c>
      <c r="B206">
        <v>8.49</v>
      </c>
      <c r="C206">
        <v>114.44</v>
      </c>
      <c r="D206">
        <v>3.2</v>
      </c>
      <c r="E206">
        <v>13.92</v>
      </c>
      <c r="F206">
        <v>6.89</v>
      </c>
      <c r="G206">
        <v>1.484</v>
      </c>
      <c r="H206" s="15">
        <v>11.49</v>
      </c>
      <c r="I206">
        <v>27.6</v>
      </c>
      <c r="J206">
        <v>16.7</v>
      </c>
      <c r="K206">
        <v>8.89</v>
      </c>
      <c r="L206">
        <v>1.1299999999999999</v>
      </c>
      <c r="M206">
        <v>0.93500000000000005</v>
      </c>
      <c r="N206">
        <v>0.41</v>
      </c>
      <c r="O206">
        <v>3.85</v>
      </c>
      <c r="P206">
        <v>1.0409999999999999</v>
      </c>
      <c r="Q206">
        <v>15</v>
      </c>
    </row>
    <row r="207" spans="1:17" x14ac:dyDescent="0.25">
      <c r="A207" s="1">
        <v>41487</v>
      </c>
      <c r="B207">
        <v>8.92</v>
      </c>
      <c r="C207">
        <v>115.89</v>
      </c>
      <c r="D207">
        <v>3.2</v>
      </c>
      <c r="E207">
        <v>13.75</v>
      </c>
      <c r="F207">
        <v>7.04</v>
      </c>
      <c r="G207">
        <v>1.52</v>
      </c>
      <c r="H207" s="15">
        <v>11.49</v>
      </c>
      <c r="I207">
        <v>28.55</v>
      </c>
      <c r="J207">
        <v>16.600000000000001</v>
      </c>
      <c r="K207">
        <v>8.91</v>
      </c>
      <c r="L207">
        <v>1.1599999999999999</v>
      </c>
      <c r="M207">
        <v>1.04</v>
      </c>
      <c r="N207">
        <v>0.42</v>
      </c>
      <c r="O207">
        <v>3.8</v>
      </c>
      <c r="P207">
        <v>1.0669999999999999</v>
      </c>
      <c r="Q207">
        <v>15</v>
      </c>
    </row>
    <row r="208" spans="1:17" x14ac:dyDescent="0.25">
      <c r="A208" s="1">
        <v>41488</v>
      </c>
      <c r="B208">
        <v>8.76</v>
      </c>
      <c r="C208">
        <v>116.18</v>
      </c>
      <c r="D208">
        <v>3.222</v>
      </c>
      <c r="E208">
        <v>12.8</v>
      </c>
      <c r="F208">
        <v>6.91</v>
      </c>
      <c r="G208">
        <v>1.52</v>
      </c>
      <c r="H208" s="15">
        <v>11.4</v>
      </c>
      <c r="I208" t="e">
        <v>#N/A</v>
      </c>
      <c r="J208">
        <v>16.899999999999999</v>
      </c>
      <c r="K208">
        <v>8.91</v>
      </c>
      <c r="L208">
        <v>1.1599999999999999</v>
      </c>
      <c r="M208">
        <v>1.0649999999999999</v>
      </c>
      <c r="N208">
        <v>0.43</v>
      </c>
      <c r="O208">
        <v>3.8</v>
      </c>
      <c r="P208">
        <v>1.0669999999999999</v>
      </c>
      <c r="Q208">
        <v>14</v>
      </c>
    </row>
    <row r="209" spans="1:17" x14ac:dyDescent="0.25">
      <c r="A209" s="1">
        <v>41491</v>
      </c>
      <c r="B209">
        <v>8.82</v>
      </c>
      <c r="C209">
        <v>118.48</v>
      </c>
      <c r="D209">
        <v>3.1709999999999998</v>
      </c>
      <c r="E209">
        <v>12.69</v>
      </c>
      <c r="F209">
        <v>6.9</v>
      </c>
      <c r="G209">
        <v>1.4930000000000001</v>
      </c>
      <c r="H209" s="15">
        <v>11.3</v>
      </c>
      <c r="I209" t="e">
        <v>#N/A</v>
      </c>
      <c r="J209" t="e">
        <v>#N/A</v>
      </c>
      <c r="K209">
        <v>8.92</v>
      </c>
      <c r="L209">
        <v>1.1200000000000001</v>
      </c>
      <c r="M209" t="e">
        <v>#N/A</v>
      </c>
      <c r="N209">
        <v>0.43</v>
      </c>
      <c r="O209">
        <v>3.8</v>
      </c>
      <c r="P209">
        <v>1.0669999999999999</v>
      </c>
      <c r="Q209">
        <v>12</v>
      </c>
    </row>
    <row r="210" spans="1:17" x14ac:dyDescent="0.25">
      <c r="A210" s="1">
        <v>41492</v>
      </c>
      <c r="B210">
        <v>8.8699999999999992</v>
      </c>
      <c r="C210">
        <v>118.29</v>
      </c>
      <c r="D210">
        <v>3.2</v>
      </c>
      <c r="E210">
        <v>11.8</v>
      </c>
      <c r="F210">
        <v>6.9</v>
      </c>
      <c r="G210">
        <v>1.4930000000000001</v>
      </c>
      <c r="H210" s="15">
        <v>11.3</v>
      </c>
      <c r="I210">
        <v>29.02</v>
      </c>
      <c r="J210">
        <v>16.8</v>
      </c>
      <c r="K210">
        <v>8.92</v>
      </c>
      <c r="L210">
        <v>1.1100000000000001</v>
      </c>
      <c r="M210">
        <v>1.0569999999999999</v>
      </c>
      <c r="N210">
        <v>0.41</v>
      </c>
      <c r="O210">
        <v>3.8</v>
      </c>
      <c r="P210">
        <v>1.032</v>
      </c>
      <c r="Q210">
        <v>15</v>
      </c>
    </row>
    <row r="211" spans="1:17" x14ac:dyDescent="0.25">
      <c r="A211" s="1">
        <v>41493</v>
      </c>
      <c r="B211">
        <v>8.86</v>
      </c>
      <c r="C211" t="e">
        <v>#N/A</v>
      </c>
      <c r="D211">
        <v>3.2559999999999998</v>
      </c>
      <c r="E211">
        <v>11.7</v>
      </c>
      <c r="F211" t="e">
        <v>#N/A</v>
      </c>
      <c r="G211">
        <v>1.484</v>
      </c>
      <c r="H211" s="15">
        <v>11.3</v>
      </c>
      <c r="I211">
        <v>29.02</v>
      </c>
      <c r="J211">
        <v>16.8</v>
      </c>
      <c r="K211">
        <v>8.9499999999999993</v>
      </c>
      <c r="L211">
        <v>1.1100000000000001</v>
      </c>
      <c r="M211">
        <v>1.0569999999999999</v>
      </c>
      <c r="N211">
        <v>0.41</v>
      </c>
      <c r="O211">
        <v>3.8</v>
      </c>
      <c r="P211">
        <v>1.0580000000000001</v>
      </c>
      <c r="Q211">
        <v>13</v>
      </c>
    </row>
    <row r="212" spans="1:17" x14ac:dyDescent="0.25">
      <c r="A212" s="1">
        <v>41494</v>
      </c>
      <c r="B212">
        <v>8.77</v>
      </c>
      <c r="C212">
        <v>117.33</v>
      </c>
      <c r="D212">
        <v>3.3119999999999998</v>
      </c>
      <c r="E212">
        <v>12.15</v>
      </c>
      <c r="F212">
        <v>6.89</v>
      </c>
      <c r="G212">
        <v>1.4750000000000001</v>
      </c>
      <c r="H212" s="15">
        <v>11.4</v>
      </c>
      <c r="I212">
        <v>28.55</v>
      </c>
      <c r="J212" t="e">
        <v>#N/A</v>
      </c>
      <c r="K212">
        <v>8.99</v>
      </c>
      <c r="L212">
        <v>1.1200000000000001</v>
      </c>
      <c r="M212">
        <v>1.0569999999999999</v>
      </c>
      <c r="N212">
        <v>0.42</v>
      </c>
      <c r="O212">
        <v>3.79</v>
      </c>
      <c r="P212">
        <v>1.0669999999999999</v>
      </c>
      <c r="Q212">
        <v>14</v>
      </c>
    </row>
    <row r="213" spans="1:17" x14ac:dyDescent="0.25">
      <c r="A213" s="1">
        <v>41495</v>
      </c>
      <c r="B213">
        <v>8.77</v>
      </c>
      <c r="C213">
        <v>120.24</v>
      </c>
      <c r="D213">
        <v>3.3849999999999998</v>
      </c>
      <c r="E213">
        <v>12.85</v>
      </c>
      <c r="F213">
        <v>6.96</v>
      </c>
      <c r="G213">
        <v>1.538</v>
      </c>
      <c r="H213" s="15">
        <v>11.05</v>
      </c>
      <c r="I213">
        <v>29.31</v>
      </c>
      <c r="J213">
        <v>16.8</v>
      </c>
      <c r="K213">
        <v>9.07</v>
      </c>
      <c r="L213">
        <v>1.1299999999999999</v>
      </c>
      <c r="M213">
        <v>1.1459999999999999</v>
      </c>
      <c r="N213">
        <v>0.42</v>
      </c>
      <c r="O213">
        <v>3.91</v>
      </c>
      <c r="P213">
        <v>1.0669999999999999</v>
      </c>
      <c r="Q213">
        <v>15</v>
      </c>
    </row>
    <row r="214" spans="1:17" x14ac:dyDescent="0.25">
      <c r="A214" s="1">
        <v>41498</v>
      </c>
      <c r="B214">
        <v>8.86</v>
      </c>
      <c r="C214">
        <v>125.99</v>
      </c>
      <c r="D214">
        <v>3.5030000000000001</v>
      </c>
      <c r="E214">
        <v>13.13</v>
      </c>
      <c r="F214">
        <v>7.14</v>
      </c>
      <c r="G214">
        <v>1.6359999999999999</v>
      </c>
      <c r="H214" s="15">
        <v>11.4</v>
      </c>
      <c r="I214">
        <v>29.98</v>
      </c>
      <c r="J214">
        <v>16.75</v>
      </c>
      <c r="K214">
        <v>9.24</v>
      </c>
      <c r="L214">
        <v>1.18</v>
      </c>
      <c r="M214">
        <v>1.26</v>
      </c>
      <c r="N214">
        <v>0.43</v>
      </c>
      <c r="O214">
        <v>4</v>
      </c>
      <c r="P214">
        <v>1.1299999999999999</v>
      </c>
      <c r="Q214">
        <v>15</v>
      </c>
    </row>
    <row r="215" spans="1:17" x14ac:dyDescent="0.25">
      <c r="A215" s="1">
        <v>41499</v>
      </c>
      <c r="B215">
        <v>8.8800000000000008</v>
      </c>
      <c r="C215">
        <v>127.81</v>
      </c>
      <c r="D215">
        <v>3.4969999999999999</v>
      </c>
      <c r="E215">
        <v>12.75</v>
      </c>
      <c r="F215">
        <v>7.19</v>
      </c>
      <c r="G215">
        <v>1.6990000000000001</v>
      </c>
      <c r="H215" s="15">
        <v>11.49</v>
      </c>
      <c r="I215">
        <v>29.98</v>
      </c>
      <c r="J215">
        <v>16.850000000000001</v>
      </c>
      <c r="K215">
        <v>9.34</v>
      </c>
      <c r="L215">
        <v>1.21</v>
      </c>
      <c r="M215">
        <v>1.325</v>
      </c>
      <c r="N215">
        <v>0.41</v>
      </c>
      <c r="O215">
        <v>3.97</v>
      </c>
      <c r="P215">
        <v>1.1559999999999999</v>
      </c>
      <c r="Q215">
        <v>15</v>
      </c>
    </row>
    <row r="216" spans="1:17" x14ac:dyDescent="0.25">
      <c r="A216" s="1">
        <v>41500</v>
      </c>
      <c r="B216">
        <v>8.92</v>
      </c>
      <c r="C216">
        <v>126.23</v>
      </c>
      <c r="D216">
        <v>3.48</v>
      </c>
      <c r="E216">
        <v>13.1</v>
      </c>
      <c r="F216" t="e">
        <v>#N/A</v>
      </c>
      <c r="G216">
        <v>1.69</v>
      </c>
      <c r="H216" s="15">
        <v>11.57</v>
      </c>
      <c r="I216" t="e">
        <v>#N/A</v>
      </c>
      <c r="J216">
        <v>16.850000000000001</v>
      </c>
      <c r="K216">
        <v>9.2899999999999991</v>
      </c>
      <c r="L216">
        <v>1.19</v>
      </c>
      <c r="M216">
        <v>1.333</v>
      </c>
      <c r="N216">
        <v>0.42</v>
      </c>
      <c r="O216">
        <v>3.96</v>
      </c>
      <c r="P216">
        <v>1.165</v>
      </c>
      <c r="Q216">
        <v>13</v>
      </c>
    </row>
    <row r="217" spans="1:17" x14ac:dyDescent="0.25">
      <c r="A217" s="1">
        <v>41501</v>
      </c>
      <c r="B217">
        <v>8.9700000000000006</v>
      </c>
      <c r="C217">
        <v>125.07</v>
      </c>
      <c r="D217">
        <v>3.3959999999999999</v>
      </c>
      <c r="E217">
        <v>13.6</v>
      </c>
      <c r="F217">
        <v>7.17</v>
      </c>
      <c r="G217">
        <v>1.69</v>
      </c>
      <c r="H217" s="15">
        <v>11.59</v>
      </c>
      <c r="I217">
        <v>29.98</v>
      </c>
      <c r="J217">
        <v>16.850000000000001</v>
      </c>
      <c r="K217">
        <v>8.9499999999999993</v>
      </c>
      <c r="L217">
        <v>1.1499999999999999</v>
      </c>
      <c r="M217">
        <v>1.349</v>
      </c>
      <c r="N217">
        <v>0.41</v>
      </c>
      <c r="O217">
        <v>3.96</v>
      </c>
      <c r="P217">
        <v>1.165</v>
      </c>
      <c r="Q217">
        <v>15</v>
      </c>
    </row>
    <row r="218" spans="1:17" x14ac:dyDescent="0.25">
      <c r="A218" s="1">
        <v>41502</v>
      </c>
      <c r="B218">
        <v>8.9700000000000006</v>
      </c>
      <c r="C218">
        <v>124.06</v>
      </c>
      <c r="D218">
        <v>3.3959999999999999</v>
      </c>
      <c r="E218">
        <v>13.9</v>
      </c>
      <c r="F218">
        <v>7.17</v>
      </c>
      <c r="G218">
        <v>1.69</v>
      </c>
      <c r="H218" s="15">
        <v>11.58</v>
      </c>
      <c r="I218">
        <v>29.98</v>
      </c>
      <c r="J218" t="e">
        <v>#N/A</v>
      </c>
      <c r="K218">
        <v>8.9499999999999993</v>
      </c>
      <c r="L218">
        <v>1.18</v>
      </c>
      <c r="M218">
        <v>1.325</v>
      </c>
      <c r="N218">
        <v>0.4</v>
      </c>
      <c r="O218">
        <v>3.96</v>
      </c>
      <c r="P218">
        <v>1.1919999999999999</v>
      </c>
      <c r="Q218">
        <v>14</v>
      </c>
    </row>
    <row r="219" spans="1:17" x14ac:dyDescent="0.25">
      <c r="A219" s="1">
        <v>41505</v>
      </c>
      <c r="B219">
        <v>8.9700000000000006</v>
      </c>
      <c r="C219">
        <v>121.18</v>
      </c>
      <c r="D219">
        <v>3.39</v>
      </c>
      <c r="E219">
        <v>13.75</v>
      </c>
      <c r="F219">
        <v>7.14</v>
      </c>
      <c r="G219">
        <v>1.69</v>
      </c>
      <c r="H219" s="15">
        <v>11.49</v>
      </c>
      <c r="I219">
        <v>29.98</v>
      </c>
      <c r="J219">
        <v>16.850000000000001</v>
      </c>
      <c r="K219">
        <v>8.9499999999999993</v>
      </c>
      <c r="L219">
        <v>1.18</v>
      </c>
      <c r="M219">
        <v>1.325</v>
      </c>
      <c r="N219">
        <v>0.42</v>
      </c>
      <c r="O219">
        <v>3.9</v>
      </c>
      <c r="P219">
        <v>1.1919999999999999</v>
      </c>
      <c r="Q219">
        <v>15</v>
      </c>
    </row>
    <row r="220" spans="1:17" x14ac:dyDescent="0.25">
      <c r="A220" s="1">
        <v>41506</v>
      </c>
      <c r="B220">
        <v>8.99</v>
      </c>
      <c r="C220">
        <v>122.14</v>
      </c>
      <c r="D220">
        <v>3.39</v>
      </c>
      <c r="E220">
        <v>14.3</v>
      </c>
      <c r="F220">
        <v>7.15</v>
      </c>
      <c r="G220">
        <v>1.69</v>
      </c>
      <c r="H220" s="15">
        <v>11.52</v>
      </c>
      <c r="I220" t="e">
        <v>#N/A</v>
      </c>
      <c r="J220">
        <v>16.7</v>
      </c>
      <c r="K220">
        <v>8.86</v>
      </c>
      <c r="L220">
        <v>1.2</v>
      </c>
      <c r="M220">
        <v>1.325</v>
      </c>
      <c r="N220">
        <v>0.44</v>
      </c>
      <c r="O220">
        <v>3.91</v>
      </c>
      <c r="P220">
        <v>1.2450000000000001</v>
      </c>
      <c r="Q220">
        <v>14</v>
      </c>
    </row>
    <row r="221" spans="1:17" x14ac:dyDescent="0.25">
      <c r="A221" s="1">
        <v>41507</v>
      </c>
      <c r="B221">
        <v>9.01</v>
      </c>
      <c r="C221">
        <v>118.58</v>
      </c>
      <c r="D221">
        <v>3.39</v>
      </c>
      <c r="E221">
        <v>13.8</v>
      </c>
      <c r="F221">
        <v>7.29</v>
      </c>
      <c r="G221">
        <v>1.69</v>
      </c>
      <c r="H221" s="15">
        <v>11.44</v>
      </c>
      <c r="I221">
        <v>29.83</v>
      </c>
      <c r="J221" t="e">
        <v>#N/A</v>
      </c>
      <c r="K221">
        <v>8.86</v>
      </c>
      <c r="L221">
        <v>1.2</v>
      </c>
      <c r="M221">
        <v>1.325</v>
      </c>
      <c r="N221">
        <v>0.42</v>
      </c>
      <c r="O221" t="e">
        <v>#N/A</v>
      </c>
      <c r="P221">
        <v>1.2450000000000001</v>
      </c>
      <c r="Q221">
        <v>13</v>
      </c>
    </row>
    <row r="222" spans="1:17" x14ac:dyDescent="0.25">
      <c r="A222" s="1">
        <v>41508</v>
      </c>
      <c r="B222">
        <v>9.07</v>
      </c>
      <c r="C222">
        <v>120.1</v>
      </c>
      <c r="D222">
        <v>3.39</v>
      </c>
      <c r="E222">
        <v>13.8</v>
      </c>
      <c r="F222" t="e">
        <v>#N/A</v>
      </c>
      <c r="G222">
        <v>1.681</v>
      </c>
      <c r="H222" s="15">
        <v>11.49</v>
      </c>
      <c r="I222" t="e">
        <v>#N/A</v>
      </c>
      <c r="J222" t="e">
        <v>#N/A</v>
      </c>
      <c r="K222">
        <v>8.91</v>
      </c>
      <c r="L222">
        <v>1.24</v>
      </c>
      <c r="M222">
        <v>1.3169999999999999</v>
      </c>
      <c r="N222">
        <v>0.43</v>
      </c>
      <c r="O222">
        <v>3.86</v>
      </c>
      <c r="P222">
        <v>1.2450000000000001</v>
      </c>
      <c r="Q222">
        <v>12</v>
      </c>
    </row>
    <row r="223" spans="1:17" x14ac:dyDescent="0.25">
      <c r="A223" s="1">
        <v>41509</v>
      </c>
      <c r="B223">
        <v>9.0399999999999991</v>
      </c>
      <c r="C223">
        <v>121.81</v>
      </c>
      <c r="D223">
        <v>3.452</v>
      </c>
      <c r="E223">
        <v>14.03</v>
      </c>
      <c r="F223">
        <v>7.28</v>
      </c>
      <c r="G223">
        <v>1.69</v>
      </c>
      <c r="H223" s="15">
        <v>11.49</v>
      </c>
      <c r="I223">
        <v>29.26</v>
      </c>
      <c r="J223">
        <v>16.5</v>
      </c>
      <c r="K223">
        <v>8.93</v>
      </c>
      <c r="L223">
        <v>1.26</v>
      </c>
      <c r="M223">
        <v>1.357</v>
      </c>
      <c r="N223">
        <v>0.45</v>
      </c>
      <c r="O223">
        <v>3.81</v>
      </c>
      <c r="P223">
        <v>1.2450000000000001</v>
      </c>
      <c r="Q223">
        <v>15</v>
      </c>
    </row>
    <row r="224" spans="1:17" x14ac:dyDescent="0.25">
      <c r="A224" s="1">
        <v>41512</v>
      </c>
      <c r="B224">
        <v>9.09</v>
      </c>
      <c r="C224">
        <v>120.22</v>
      </c>
      <c r="D224">
        <v>3.536</v>
      </c>
      <c r="E224">
        <v>13.9</v>
      </c>
      <c r="F224">
        <v>7.19</v>
      </c>
      <c r="G224">
        <v>1.6990000000000001</v>
      </c>
      <c r="H224" s="15">
        <v>11.35</v>
      </c>
      <c r="I224">
        <v>29.02</v>
      </c>
      <c r="J224">
        <v>16.010000000000002</v>
      </c>
      <c r="K224">
        <v>8.9600000000000009</v>
      </c>
      <c r="L224">
        <v>1.3</v>
      </c>
      <c r="M224">
        <v>1.423</v>
      </c>
      <c r="N224">
        <v>0.43</v>
      </c>
      <c r="O224">
        <v>3.86</v>
      </c>
      <c r="P224">
        <v>1.2629999999999999</v>
      </c>
      <c r="Q224">
        <v>15</v>
      </c>
    </row>
    <row r="225" spans="1:17" x14ac:dyDescent="0.25">
      <c r="A225" s="1">
        <v>41513</v>
      </c>
      <c r="B225">
        <v>9.1</v>
      </c>
      <c r="C225">
        <v>117.33</v>
      </c>
      <c r="D225">
        <v>3.4630000000000001</v>
      </c>
      <c r="E225">
        <v>13.35</v>
      </c>
      <c r="F225">
        <v>6.75</v>
      </c>
      <c r="G225">
        <v>1.663</v>
      </c>
      <c r="H225" s="15">
        <v>10.95</v>
      </c>
      <c r="I225">
        <v>28.6</v>
      </c>
      <c r="J225">
        <v>16.010000000000002</v>
      </c>
      <c r="K225">
        <v>8.91</v>
      </c>
      <c r="L225">
        <v>1.3</v>
      </c>
      <c r="M225">
        <v>1.423</v>
      </c>
      <c r="N225">
        <v>0.43</v>
      </c>
      <c r="O225">
        <v>3.86</v>
      </c>
      <c r="P225">
        <v>1.236</v>
      </c>
      <c r="Q225">
        <v>15</v>
      </c>
    </row>
    <row r="226" spans="1:17" x14ac:dyDescent="0.25">
      <c r="A226" s="1">
        <v>41514</v>
      </c>
      <c r="B226">
        <v>9.19</v>
      </c>
      <c r="C226">
        <v>116.44</v>
      </c>
      <c r="D226">
        <v>3.4129999999999998</v>
      </c>
      <c r="E226">
        <v>12.64</v>
      </c>
      <c r="F226">
        <v>6.85</v>
      </c>
      <c r="G226">
        <v>1.6539999999999999</v>
      </c>
      <c r="H226" s="15">
        <v>10.81</v>
      </c>
      <c r="I226">
        <v>29.02</v>
      </c>
      <c r="J226">
        <v>16.010000000000002</v>
      </c>
      <c r="K226">
        <v>8.91</v>
      </c>
      <c r="L226">
        <v>1.28</v>
      </c>
      <c r="M226" t="e">
        <v>#N/A</v>
      </c>
      <c r="N226">
        <v>0.43</v>
      </c>
      <c r="O226">
        <v>3.86</v>
      </c>
      <c r="P226">
        <v>1.218</v>
      </c>
      <c r="Q226">
        <v>14</v>
      </c>
    </row>
    <row r="227" spans="1:17" x14ac:dyDescent="0.25">
      <c r="A227" s="1">
        <v>41515</v>
      </c>
      <c r="B227">
        <v>9.4</v>
      </c>
      <c r="C227">
        <v>117.81</v>
      </c>
      <c r="D227">
        <v>3.48</v>
      </c>
      <c r="E227">
        <v>12.39</v>
      </c>
      <c r="F227">
        <v>6.79</v>
      </c>
      <c r="G227">
        <v>1.645</v>
      </c>
      <c r="H227" s="15">
        <v>10.66</v>
      </c>
      <c r="I227">
        <v>29.69</v>
      </c>
      <c r="J227">
        <v>16.010000000000002</v>
      </c>
      <c r="K227">
        <v>9</v>
      </c>
      <c r="L227">
        <v>1.32</v>
      </c>
      <c r="M227">
        <v>1.4470000000000001</v>
      </c>
      <c r="N227">
        <v>0.44</v>
      </c>
      <c r="O227">
        <v>3.86</v>
      </c>
      <c r="P227">
        <v>1.2270000000000001</v>
      </c>
      <c r="Q227">
        <v>15</v>
      </c>
    </row>
    <row r="228" spans="1:17" x14ac:dyDescent="0.25">
      <c r="A228" s="1">
        <v>41519</v>
      </c>
      <c r="B228">
        <v>9.4600000000000009</v>
      </c>
      <c r="C228">
        <v>116.66</v>
      </c>
      <c r="D228">
        <v>3.48</v>
      </c>
      <c r="E228">
        <v>12.4</v>
      </c>
      <c r="F228">
        <v>6.79</v>
      </c>
      <c r="G228">
        <v>1.681</v>
      </c>
      <c r="H228" s="15">
        <v>10.81</v>
      </c>
      <c r="I228" t="e">
        <v>#N/A</v>
      </c>
      <c r="J228" t="e">
        <v>#N/A</v>
      </c>
      <c r="K228">
        <v>9.2899999999999991</v>
      </c>
      <c r="L228">
        <v>1.32</v>
      </c>
      <c r="M228">
        <v>1.52</v>
      </c>
      <c r="N228">
        <v>0.44</v>
      </c>
      <c r="O228">
        <v>3.76</v>
      </c>
      <c r="P228">
        <v>1.2270000000000001</v>
      </c>
      <c r="Q228">
        <v>13</v>
      </c>
    </row>
    <row r="229" spans="1:17" x14ac:dyDescent="0.25">
      <c r="A229" s="1">
        <v>41520</v>
      </c>
      <c r="B229">
        <v>9.61</v>
      </c>
      <c r="C229">
        <v>115.89</v>
      </c>
      <c r="D229">
        <v>3.508</v>
      </c>
      <c r="E229">
        <v>12.71</v>
      </c>
      <c r="F229">
        <v>6.99</v>
      </c>
      <c r="G229">
        <v>1.6990000000000001</v>
      </c>
      <c r="H229" s="15">
        <v>11.12</v>
      </c>
      <c r="I229">
        <v>29.69</v>
      </c>
      <c r="J229" t="e">
        <v>#N/A</v>
      </c>
      <c r="K229">
        <v>9.3000000000000007</v>
      </c>
      <c r="L229">
        <v>1.35</v>
      </c>
      <c r="M229">
        <v>1.585</v>
      </c>
      <c r="N229">
        <v>0.43</v>
      </c>
      <c r="O229">
        <v>3.81</v>
      </c>
      <c r="P229">
        <v>1.2450000000000001</v>
      </c>
      <c r="Q229">
        <v>14</v>
      </c>
    </row>
    <row r="230" spans="1:17" x14ac:dyDescent="0.25">
      <c r="A230" s="1">
        <v>41521</v>
      </c>
      <c r="B230">
        <v>9.56</v>
      </c>
      <c r="C230">
        <v>117.33</v>
      </c>
      <c r="D230">
        <v>3.5310000000000001</v>
      </c>
      <c r="E230">
        <v>12.75</v>
      </c>
      <c r="F230">
        <v>6.89</v>
      </c>
      <c r="G230">
        <v>1.7170000000000001</v>
      </c>
      <c r="H230" s="15">
        <v>11.27</v>
      </c>
      <c r="I230">
        <v>30.17</v>
      </c>
      <c r="J230">
        <v>16.2</v>
      </c>
      <c r="K230" t="e">
        <v>#N/A</v>
      </c>
      <c r="L230">
        <v>1.35</v>
      </c>
      <c r="M230">
        <v>1.6419999999999999</v>
      </c>
      <c r="N230">
        <v>0.42</v>
      </c>
      <c r="O230">
        <v>3.8</v>
      </c>
      <c r="P230">
        <v>1.2270000000000001</v>
      </c>
      <c r="Q230">
        <v>14</v>
      </c>
    </row>
    <row r="231" spans="1:17" x14ac:dyDescent="0.25">
      <c r="A231" s="1">
        <v>41522</v>
      </c>
      <c r="B231">
        <v>9.61</v>
      </c>
      <c r="C231">
        <v>119.74</v>
      </c>
      <c r="D231">
        <v>3.5249999999999999</v>
      </c>
      <c r="E231">
        <v>12.49</v>
      </c>
      <c r="F231">
        <v>6.89</v>
      </c>
      <c r="G231">
        <v>1.762</v>
      </c>
      <c r="H231" s="15">
        <v>11.28</v>
      </c>
      <c r="I231" t="e">
        <v>#N/A</v>
      </c>
      <c r="J231">
        <v>16.2</v>
      </c>
      <c r="K231">
        <v>9.1</v>
      </c>
      <c r="L231">
        <v>1.36</v>
      </c>
      <c r="M231">
        <v>1.6579999999999999</v>
      </c>
      <c r="N231">
        <v>0.42</v>
      </c>
      <c r="O231">
        <v>3.79</v>
      </c>
      <c r="P231">
        <v>1.21</v>
      </c>
      <c r="Q231">
        <v>14</v>
      </c>
    </row>
    <row r="232" spans="1:17" x14ac:dyDescent="0.25">
      <c r="A232" s="1">
        <v>41523</v>
      </c>
      <c r="B232">
        <v>9.61</v>
      </c>
      <c r="C232">
        <v>120.65</v>
      </c>
      <c r="D232">
        <v>3.6320000000000001</v>
      </c>
      <c r="E232">
        <v>12.6</v>
      </c>
      <c r="F232">
        <v>6.89</v>
      </c>
      <c r="G232">
        <v>1.7709999999999999</v>
      </c>
      <c r="H232" s="15">
        <v>11.35</v>
      </c>
      <c r="I232" t="e">
        <v>#N/A</v>
      </c>
      <c r="J232">
        <v>16.2</v>
      </c>
      <c r="K232">
        <v>9.24</v>
      </c>
      <c r="L232">
        <v>1.42</v>
      </c>
      <c r="M232" t="e">
        <v>#N/A</v>
      </c>
      <c r="N232">
        <v>0.41</v>
      </c>
      <c r="O232" t="e">
        <v>#N/A</v>
      </c>
      <c r="P232">
        <v>1.236</v>
      </c>
      <c r="Q232">
        <v>12</v>
      </c>
    </row>
    <row r="233" spans="1:17" x14ac:dyDescent="0.25">
      <c r="A233" s="1">
        <v>41526</v>
      </c>
      <c r="B233">
        <v>9.66</v>
      </c>
      <c r="C233">
        <v>122.14</v>
      </c>
      <c r="D233">
        <v>3.6709999999999998</v>
      </c>
      <c r="E233">
        <v>12.41</v>
      </c>
      <c r="F233">
        <v>6.87</v>
      </c>
      <c r="G233">
        <v>1.7529999999999999</v>
      </c>
      <c r="H233" s="15">
        <v>11.54</v>
      </c>
      <c r="I233">
        <v>30.31</v>
      </c>
      <c r="J233">
        <v>16.2</v>
      </c>
      <c r="K233">
        <v>9.2899999999999991</v>
      </c>
      <c r="L233">
        <v>1.4</v>
      </c>
      <c r="M233">
        <v>1.6579999999999999</v>
      </c>
      <c r="N233">
        <v>0.42</v>
      </c>
      <c r="O233">
        <v>3.83</v>
      </c>
      <c r="P233">
        <v>1.2270000000000001</v>
      </c>
      <c r="Q233">
        <v>15</v>
      </c>
    </row>
    <row r="234" spans="1:17" x14ac:dyDescent="0.25">
      <c r="A234" s="1">
        <v>41527</v>
      </c>
      <c r="B234">
        <v>9.66</v>
      </c>
      <c r="C234">
        <v>123.09</v>
      </c>
      <c r="D234">
        <v>3.6709999999999998</v>
      </c>
      <c r="E234">
        <v>12.3</v>
      </c>
      <c r="F234">
        <v>6.9</v>
      </c>
      <c r="G234">
        <v>1.7709999999999999</v>
      </c>
      <c r="H234" s="15">
        <v>11.69</v>
      </c>
      <c r="I234">
        <v>29.74</v>
      </c>
      <c r="J234">
        <v>16.25</v>
      </c>
      <c r="K234">
        <v>9.2899999999999991</v>
      </c>
      <c r="L234">
        <v>1.47</v>
      </c>
      <c r="M234">
        <v>1.6579999999999999</v>
      </c>
      <c r="N234">
        <v>0.44</v>
      </c>
      <c r="O234">
        <v>3.86</v>
      </c>
      <c r="P234">
        <v>1.2270000000000001</v>
      </c>
      <c r="Q234">
        <v>15</v>
      </c>
    </row>
    <row r="235" spans="1:17" x14ac:dyDescent="0.25">
      <c r="A235" s="1">
        <v>41528</v>
      </c>
      <c r="B235">
        <v>9.56</v>
      </c>
      <c r="C235">
        <v>121.66</v>
      </c>
      <c r="D235">
        <v>3.6480000000000001</v>
      </c>
      <c r="E235">
        <v>12.18</v>
      </c>
      <c r="F235">
        <v>6.9</v>
      </c>
      <c r="G235">
        <v>1.78</v>
      </c>
      <c r="H235" s="15">
        <v>11.54</v>
      </c>
      <c r="I235">
        <v>29.69</v>
      </c>
      <c r="J235">
        <v>16.3</v>
      </c>
      <c r="K235">
        <v>9.2899999999999991</v>
      </c>
      <c r="L235">
        <v>1.44</v>
      </c>
      <c r="M235">
        <v>1.7070000000000001</v>
      </c>
      <c r="N235">
        <v>0.43</v>
      </c>
      <c r="O235">
        <v>3.86</v>
      </c>
      <c r="P235">
        <v>1.218</v>
      </c>
      <c r="Q235">
        <v>15</v>
      </c>
    </row>
    <row r="236" spans="1:17" x14ac:dyDescent="0.25">
      <c r="A236" s="1">
        <v>41529</v>
      </c>
      <c r="B236">
        <v>9.17</v>
      </c>
      <c r="C236">
        <v>121.66</v>
      </c>
      <c r="D236">
        <v>3.5920000000000001</v>
      </c>
      <c r="E236">
        <v>11.7</v>
      </c>
      <c r="F236">
        <v>6.84</v>
      </c>
      <c r="G236">
        <v>1.6990000000000001</v>
      </c>
      <c r="H236" s="15">
        <v>11.32</v>
      </c>
      <c r="I236">
        <v>28.38</v>
      </c>
      <c r="J236">
        <v>16.3</v>
      </c>
      <c r="K236">
        <v>9.1</v>
      </c>
      <c r="L236">
        <v>1.39</v>
      </c>
      <c r="M236">
        <v>1.675</v>
      </c>
      <c r="N236">
        <v>0.42</v>
      </c>
      <c r="O236">
        <v>3.71</v>
      </c>
      <c r="P236">
        <v>1.2010000000000001</v>
      </c>
      <c r="Q236">
        <v>15</v>
      </c>
    </row>
    <row r="237" spans="1:17" x14ac:dyDescent="0.25">
      <c r="A237" s="1">
        <v>41530</v>
      </c>
      <c r="B237">
        <v>9.07</v>
      </c>
      <c r="C237">
        <v>120.7</v>
      </c>
      <c r="D237">
        <v>3.5920000000000001</v>
      </c>
      <c r="E237">
        <v>11.59</v>
      </c>
      <c r="F237">
        <v>6.85</v>
      </c>
      <c r="G237">
        <v>1.708</v>
      </c>
      <c r="H237" s="15">
        <v>11.25</v>
      </c>
      <c r="I237">
        <v>28.55</v>
      </c>
      <c r="J237">
        <v>16.25</v>
      </c>
      <c r="K237">
        <v>9.19</v>
      </c>
      <c r="L237">
        <v>1.39</v>
      </c>
      <c r="M237">
        <v>1.675</v>
      </c>
      <c r="N237">
        <v>0.43</v>
      </c>
      <c r="O237">
        <v>3.71</v>
      </c>
      <c r="P237">
        <v>1.1739999999999999</v>
      </c>
      <c r="Q237">
        <v>15</v>
      </c>
    </row>
    <row r="238" spans="1:17" x14ac:dyDescent="0.25">
      <c r="A238" s="1">
        <v>41533</v>
      </c>
      <c r="B238">
        <v>9.19</v>
      </c>
      <c r="C238">
        <v>121.32</v>
      </c>
      <c r="D238">
        <v>3.5870000000000002</v>
      </c>
      <c r="E238">
        <v>11.35</v>
      </c>
      <c r="F238">
        <v>6.85</v>
      </c>
      <c r="G238">
        <v>1.708</v>
      </c>
      <c r="H238" s="15">
        <v>11.3</v>
      </c>
      <c r="I238">
        <v>29.47</v>
      </c>
      <c r="J238" t="e">
        <v>#N/A</v>
      </c>
      <c r="K238">
        <v>9.2100000000000009</v>
      </c>
      <c r="L238">
        <v>1.39</v>
      </c>
      <c r="M238">
        <v>1.7070000000000001</v>
      </c>
      <c r="N238">
        <v>0.43</v>
      </c>
      <c r="O238">
        <v>3.73</v>
      </c>
      <c r="P238">
        <v>1.236</v>
      </c>
      <c r="Q238">
        <v>14</v>
      </c>
    </row>
    <row r="239" spans="1:17" x14ac:dyDescent="0.25">
      <c r="A239" s="1">
        <v>41534</v>
      </c>
      <c r="B239">
        <v>8.8699999999999992</v>
      </c>
      <c r="C239">
        <v>120.22</v>
      </c>
      <c r="D239">
        <v>3.4129999999999998</v>
      </c>
      <c r="E239">
        <v>11.4</v>
      </c>
      <c r="F239">
        <v>6.89</v>
      </c>
      <c r="G239">
        <v>1.69</v>
      </c>
      <c r="H239" s="15">
        <v>11.27</v>
      </c>
      <c r="I239">
        <v>29.02</v>
      </c>
      <c r="J239">
        <v>16.25</v>
      </c>
      <c r="K239">
        <v>9.06</v>
      </c>
      <c r="L239">
        <v>1.33</v>
      </c>
      <c r="M239">
        <v>1.6579999999999999</v>
      </c>
      <c r="N239">
        <v>0.41</v>
      </c>
      <c r="O239">
        <v>3.56</v>
      </c>
      <c r="P239">
        <v>1.147</v>
      </c>
      <c r="Q239">
        <v>15</v>
      </c>
    </row>
    <row r="240" spans="1:17" x14ac:dyDescent="0.25">
      <c r="A240" s="1">
        <v>41535</v>
      </c>
      <c r="B240">
        <v>8.65</v>
      </c>
      <c r="C240">
        <v>121.66</v>
      </c>
      <c r="D240">
        <v>3.351</v>
      </c>
      <c r="E240">
        <v>12.99</v>
      </c>
      <c r="F240">
        <v>6.6</v>
      </c>
      <c r="G240">
        <v>1.663</v>
      </c>
      <c r="H240" s="15">
        <v>11.15</v>
      </c>
      <c r="I240">
        <v>27.12</v>
      </c>
      <c r="J240">
        <v>16.25</v>
      </c>
      <c r="K240">
        <v>8.68</v>
      </c>
      <c r="L240">
        <v>1.25</v>
      </c>
      <c r="M240">
        <v>1.569</v>
      </c>
      <c r="N240">
        <v>0.4</v>
      </c>
      <c r="O240">
        <v>3.51</v>
      </c>
      <c r="P240">
        <v>1.1299999999999999</v>
      </c>
      <c r="Q240">
        <v>15</v>
      </c>
    </row>
    <row r="241" spans="1:17" x14ac:dyDescent="0.25">
      <c r="A241" s="1">
        <v>41536</v>
      </c>
      <c r="B241">
        <v>8.9700000000000006</v>
      </c>
      <c r="C241">
        <v>126.47</v>
      </c>
      <c r="D241">
        <v>3.43</v>
      </c>
      <c r="E241">
        <v>12.15</v>
      </c>
      <c r="F241">
        <v>6.79</v>
      </c>
      <c r="G241">
        <v>1.663</v>
      </c>
      <c r="H241" s="15">
        <v>11.25</v>
      </c>
      <c r="I241">
        <v>28.07</v>
      </c>
      <c r="J241">
        <v>16.25</v>
      </c>
      <c r="K241">
        <v>8.9600000000000009</v>
      </c>
      <c r="L241">
        <v>1.28</v>
      </c>
      <c r="M241">
        <v>1.6180000000000001</v>
      </c>
      <c r="N241">
        <v>0.4</v>
      </c>
      <c r="O241">
        <v>3.56</v>
      </c>
      <c r="P241">
        <v>1.147</v>
      </c>
      <c r="Q241">
        <v>15</v>
      </c>
    </row>
    <row r="242" spans="1:17" x14ac:dyDescent="0.25">
      <c r="A242" s="1">
        <v>41537</v>
      </c>
      <c r="B242">
        <v>8.83</v>
      </c>
      <c r="C242">
        <v>127.49</v>
      </c>
      <c r="D242">
        <v>3.4689999999999999</v>
      </c>
      <c r="E242">
        <v>11.7</v>
      </c>
      <c r="F242">
        <v>6.73</v>
      </c>
      <c r="G242">
        <v>1.6719999999999999</v>
      </c>
      <c r="H242" s="15">
        <v>11.3</v>
      </c>
      <c r="I242">
        <v>28.07</v>
      </c>
      <c r="J242" t="e">
        <v>#N/A</v>
      </c>
      <c r="K242">
        <v>8.9600000000000009</v>
      </c>
      <c r="L242">
        <v>1.24</v>
      </c>
      <c r="M242">
        <v>1.577</v>
      </c>
      <c r="N242">
        <v>0.4</v>
      </c>
      <c r="O242">
        <v>3.61</v>
      </c>
      <c r="P242">
        <v>1.1559999999999999</v>
      </c>
      <c r="Q242">
        <v>14</v>
      </c>
    </row>
    <row r="243" spans="1:17" x14ac:dyDescent="0.25">
      <c r="A243" s="1">
        <v>41540</v>
      </c>
      <c r="B243">
        <v>8.9700000000000006</v>
      </c>
      <c r="C243">
        <v>125.41</v>
      </c>
      <c r="D243">
        <v>3.4689999999999999</v>
      </c>
      <c r="E243">
        <v>12.2</v>
      </c>
      <c r="F243">
        <v>6.72</v>
      </c>
      <c r="G243">
        <v>1.645</v>
      </c>
      <c r="H243" s="15">
        <v>11.29</v>
      </c>
      <c r="I243" t="e">
        <v>#N/A</v>
      </c>
      <c r="J243">
        <v>16.25</v>
      </c>
      <c r="K243">
        <v>8.9600000000000009</v>
      </c>
      <c r="L243">
        <v>1.21</v>
      </c>
      <c r="M243">
        <v>1.569</v>
      </c>
      <c r="N243">
        <v>0.4</v>
      </c>
      <c r="O243">
        <v>3.51</v>
      </c>
      <c r="P243">
        <v>1.1559999999999999</v>
      </c>
      <c r="Q243">
        <v>14</v>
      </c>
    </row>
    <row r="244" spans="1:17" x14ac:dyDescent="0.25">
      <c r="A244" s="1">
        <v>41541</v>
      </c>
      <c r="B244">
        <v>8.9600000000000009</v>
      </c>
      <c r="C244">
        <v>125.02</v>
      </c>
      <c r="D244">
        <v>3.4689999999999999</v>
      </c>
      <c r="E244">
        <v>11.7</v>
      </c>
      <c r="F244">
        <v>6.72</v>
      </c>
      <c r="G244">
        <v>1.645</v>
      </c>
      <c r="H244" s="15">
        <v>11.3</v>
      </c>
      <c r="I244">
        <v>28.07</v>
      </c>
      <c r="J244" t="e">
        <v>#N/A</v>
      </c>
      <c r="K244">
        <v>8.9600000000000009</v>
      </c>
      <c r="L244">
        <v>1.2</v>
      </c>
      <c r="M244">
        <v>1.5609999999999999</v>
      </c>
      <c r="N244">
        <v>0.38</v>
      </c>
      <c r="O244">
        <v>3.46</v>
      </c>
      <c r="P244">
        <v>1.1299999999999999</v>
      </c>
      <c r="Q244">
        <v>14</v>
      </c>
    </row>
    <row r="245" spans="1:17" x14ac:dyDescent="0.25">
      <c r="A245" s="1">
        <v>41542</v>
      </c>
      <c r="B245">
        <v>8.92</v>
      </c>
      <c r="C245">
        <v>125.98</v>
      </c>
      <c r="D245">
        <v>3.4689999999999999</v>
      </c>
      <c r="E245">
        <v>12.2</v>
      </c>
      <c r="F245">
        <v>6.72</v>
      </c>
      <c r="G245">
        <v>1.6539999999999999</v>
      </c>
      <c r="H245" s="15">
        <v>11.19</v>
      </c>
      <c r="I245">
        <v>28.07</v>
      </c>
      <c r="J245" t="e">
        <v>#N/A</v>
      </c>
      <c r="K245">
        <v>8.9700000000000006</v>
      </c>
      <c r="L245">
        <v>1.22</v>
      </c>
      <c r="M245">
        <v>1.569</v>
      </c>
      <c r="N245">
        <v>0.38</v>
      </c>
      <c r="O245">
        <v>3.46</v>
      </c>
      <c r="P245">
        <v>1.139</v>
      </c>
      <c r="Q245">
        <v>14</v>
      </c>
    </row>
    <row r="246" spans="1:17" x14ac:dyDescent="0.25">
      <c r="A246" s="1">
        <v>41543</v>
      </c>
      <c r="B246">
        <v>8.7200000000000006</v>
      </c>
      <c r="C246">
        <v>123.25</v>
      </c>
      <c r="D246">
        <v>3.3570000000000002</v>
      </c>
      <c r="E246">
        <v>11.8</v>
      </c>
      <c r="F246">
        <v>6.6</v>
      </c>
      <c r="G246">
        <v>1.6359999999999999</v>
      </c>
      <c r="H246" s="15">
        <v>11.05</v>
      </c>
      <c r="I246">
        <v>28.07</v>
      </c>
      <c r="J246">
        <v>16.25</v>
      </c>
      <c r="K246">
        <v>8.9700000000000006</v>
      </c>
      <c r="L246">
        <v>1.22</v>
      </c>
      <c r="M246">
        <v>1.5529999999999999</v>
      </c>
      <c r="N246">
        <v>0.37</v>
      </c>
      <c r="O246">
        <v>3.47</v>
      </c>
      <c r="P246">
        <v>1.1299999999999999</v>
      </c>
      <c r="Q246">
        <v>15</v>
      </c>
    </row>
    <row r="247" spans="1:17" x14ac:dyDescent="0.25">
      <c r="A247" s="1">
        <v>41544</v>
      </c>
      <c r="B247">
        <v>8.8699999999999992</v>
      </c>
      <c r="C247">
        <v>122.14</v>
      </c>
      <c r="D247">
        <v>3.3679999999999999</v>
      </c>
      <c r="E247" t="e">
        <v>#N/A</v>
      </c>
      <c r="F247">
        <v>6.6</v>
      </c>
      <c r="G247">
        <v>1.627</v>
      </c>
      <c r="H247" s="15">
        <v>10.95</v>
      </c>
      <c r="I247">
        <v>28.21</v>
      </c>
      <c r="J247">
        <v>16.649999999999999</v>
      </c>
      <c r="K247">
        <v>8.98</v>
      </c>
      <c r="L247">
        <v>1.23</v>
      </c>
      <c r="M247">
        <v>1.5529999999999999</v>
      </c>
      <c r="N247">
        <v>0.39</v>
      </c>
      <c r="O247" t="e">
        <v>#N/A</v>
      </c>
      <c r="P247">
        <v>1.1299999999999999</v>
      </c>
      <c r="Q247">
        <v>13</v>
      </c>
    </row>
    <row r="248" spans="1:17" x14ac:dyDescent="0.25">
      <c r="A248" s="1">
        <v>41547</v>
      </c>
      <c r="B248">
        <v>8.77</v>
      </c>
      <c r="C248">
        <v>122.83</v>
      </c>
      <c r="D248">
        <v>3.351</v>
      </c>
      <c r="E248">
        <v>11.89</v>
      </c>
      <c r="F248" t="e">
        <v>#N/A</v>
      </c>
      <c r="G248">
        <v>1.627</v>
      </c>
      <c r="H248" s="15">
        <v>10.85</v>
      </c>
      <c r="I248">
        <v>28.07</v>
      </c>
      <c r="J248">
        <v>16.75</v>
      </c>
      <c r="K248">
        <v>8.98</v>
      </c>
      <c r="L248">
        <v>1.22</v>
      </c>
      <c r="M248">
        <v>1.5529999999999999</v>
      </c>
      <c r="N248">
        <v>0.39</v>
      </c>
      <c r="O248">
        <v>3.54</v>
      </c>
      <c r="P248">
        <v>1.1120000000000001</v>
      </c>
      <c r="Q248">
        <v>14</v>
      </c>
    </row>
    <row r="249" spans="1:17" x14ac:dyDescent="0.25">
      <c r="A249" s="1">
        <v>41548</v>
      </c>
      <c r="B249">
        <v>8.77</v>
      </c>
      <c r="C249">
        <v>123.21</v>
      </c>
      <c r="D249">
        <v>3.3570000000000002</v>
      </c>
      <c r="E249">
        <v>11.5</v>
      </c>
      <c r="F249">
        <v>6.48</v>
      </c>
      <c r="G249">
        <v>1.6359999999999999</v>
      </c>
      <c r="H249" s="15">
        <v>10.9</v>
      </c>
      <c r="I249">
        <v>28.31</v>
      </c>
      <c r="J249" t="e">
        <v>#N/A</v>
      </c>
      <c r="K249">
        <v>8.9600000000000009</v>
      </c>
      <c r="L249">
        <v>1.22</v>
      </c>
      <c r="M249">
        <v>1.569</v>
      </c>
      <c r="N249">
        <v>0.38</v>
      </c>
      <c r="O249">
        <v>3.54</v>
      </c>
      <c r="P249">
        <v>1.121</v>
      </c>
      <c r="Q249">
        <v>14</v>
      </c>
    </row>
    <row r="250" spans="1:17" x14ac:dyDescent="0.25">
      <c r="A250" s="1">
        <v>41549</v>
      </c>
      <c r="B250">
        <v>8.58</v>
      </c>
      <c r="C250">
        <v>124.69</v>
      </c>
      <c r="D250">
        <v>3.3570000000000002</v>
      </c>
      <c r="E250">
        <v>11.6</v>
      </c>
      <c r="F250">
        <v>6.5</v>
      </c>
      <c r="G250">
        <v>1.627</v>
      </c>
      <c r="H250" s="15">
        <v>10.9</v>
      </c>
      <c r="I250" t="e">
        <v>#N/A</v>
      </c>
      <c r="J250">
        <v>16.75</v>
      </c>
      <c r="K250">
        <v>8.86</v>
      </c>
      <c r="L250">
        <v>1.24</v>
      </c>
      <c r="M250">
        <v>1.544</v>
      </c>
      <c r="N250">
        <v>0.37</v>
      </c>
      <c r="O250">
        <v>3.56</v>
      </c>
      <c r="P250">
        <v>1.1299999999999999</v>
      </c>
      <c r="Q250">
        <v>14</v>
      </c>
    </row>
    <row r="251" spans="1:17" x14ac:dyDescent="0.25">
      <c r="A251" s="1">
        <v>41550</v>
      </c>
      <c r="B251">
        <v>8.57</v>
      </c>
      <c r="C251">
        <v>125.55</v>
      </c>
      <c r="D251">
        <v>3.34</v>
      </c>
      <c r="E251">
        <v>11.6</v>
      </c>
      <c r="F251">
        <v>6.53</v>
      </c>
      <c r="G251">
        <v>1.591</v>
      </c>
      <c r="H251" s="15">
        <v>10.220000000000001</v>
      </c>
      <c r="I251">
        <v>28.31</v>
      </c>
      <c r="J251" t="e">
        <v>#N/A</v>
      </c>
      <c r="K251">
        <v>8.76</v>
      </c>
      <c r="L251">
        <v>1.22</v>
      </c>
      <c r="M251">
        <v>1.544</v>
      </c>
      <c r="N251">
        <v>0.36</v>
      </c>
      <c r="O251">
        <v>3.58</v>
      </c>
      <c r="P251">
        <v>1.1299999999999999</v>
      </c>
      <c r="Q251">
        <v>14</v>
      </c>
    </row>
    <row r="252" spans="1:17" x14ac:dyDescent="0.25">
      <c r="A252" s="1">
        <v>41551</v>
      </c>
      <c r="B252">
        <v>8.5500000000000007</v>
      </c>
      <c r="C252">
        <v>125.19</v>
      </c>
      <c r="D252">
        <v>3.3119999999999998</v>
      </c>
      <c r="E252">
        <v>11.7</v>
      </c>
      <c r="F252">
        <v>6.55</v>
      </c>
      <c r="G252">
        <v>1.591</v>
      </c>
      <c r="H252" s="15">
        <v>10.76</v>
      </c>
      <c r="I252">
        <v>28.07</v>
      </c>
      <c r="J252" t="e">
        <v>#N/A</v>
      </c>
      <c r="K252">
        <v>8.67</v>
      </c>
      <c r="L252">
        <v>1.2</v>
      </c>
      <c r="M252">
        <v>1.488</v>
      </c>
      <c r="N252">
        <v>0.36</v>
      </c>
      <c r="O252">
        <v>3.41</v>
      </c>
      <c r="P252">
        <v>1.121</v>
      </c>
      <c r="Q252">
        <v>14</v>
      </c>
    </row>
    <row r="253" spans="1:17" x14ac:dyDescent="0.25">
      <c r="A253" s="1">
        <v>41554</v>
      </c>
      <c r="B253">
        <v>8.5500000000000007</v>
      </c>
      <c r="C253">
        <v>126.47</v>
      </c>
      <c r="D253">
        <v>3.2949999999999999</v>
      </c>
      <c r="E253">
        <v>11.93</v>
      </c>
      <c r="F253">
        <v>6.58</v>
      </c>
      <c r="G253">
        <v>1.591</v>
      </c>
      <c r="H253" s="15">
        <v>10.67</v>
      </c>
      <c r="I253">
        <v>28.07</v>
      </c>
      <c r="J253">
        <v>17.100000000000001</v>
      </c>
      <c r="K253">
        <v>8.67</v>
      </c>
      <c r="L253">
        <v>1.2</v>
      </c>
      <c r="M253" t="e">
        <v>#N/A</v>
      </c>
      <c r="N253">
        <v>0.36</v>
      </c>
      <c r="O253">
        <v>3.41</v>
      </c>
      <c r="P253">
        <v>1.1120000000000001</v>
      </c>
      <c r="Q253">
        <v>14</v>
      </c>
    </row>
    <row r="254" spans="1:17" x14ac:dyDescent="0.25">
      <c r="A254" s="1">
        <v>41556</v>
      </c>
      <c r="B254">
        <v>8.48</v>
      </c>
      <c r="C254">
        <v>129.83000000000001</v>
      </c>
      <c r="D254">
        <v>3.2839999999999998</v>
      </c>
      <c r="E254">
        <v>11.89</v>
      </c>
      <c r="F254">
        <v>6.53</v>
      </c>
      <c r="G254">
        <v>1.591</v>
      </c>
      <c r="H254" s="15">
        <v>10.67</v>
      </c>
      <c r="I254">
        <v>28.07</v>
      </c>
      <c r="J254">
        <v>16.8</v>
      </c>
      <c r="K254">
        <v>8.76</v>
      </c>
      <c r="L254">
        <v>1.23</v>
      </c>
      <c r="M254">
        <v>1.496</v>
      </c>
      <c r="N254">
        <v>0.36</v>
      </c>
      <c r="O254">
        <v>3.56</v>
      </c>
      <c r="P254">
        <v>1.121</v>
      </c>
      <c r="Q254">
        <v>15</v>
      </c>
    </row>
    <row r="255" spans="1:17" x14ac:dyDescent="0.25">
      <c r="A255" s="1">
        <v>41557</v>
      </c>
      <c r="B255">
        <v>8.4600000000000009</v>
      </c>
      <c r="C255">
        <v>132.04</v>
      </c>
      <c r="D255">
        <v>3.34</v>
      </c>
      <c r="E255">
        <v>11.89</v>
      </c>
      <c r="F255">
        <v>6.53</v>
      </c>
      <c r="G255">
        <v>1.583</v>
      </c>
      <c r="H255" s="15">
        <v>10.61</v>
      </c>
      <c r="I255">
        <v>28.07</v>
      </c>
      <c r="J255">
        <v>16.8</v>
      </c>
      <c r="K255">
        <v>8.74</v>
      </c>
      <c r="L255">
        <v>1.26</v>
      </c>
      <c r="M255">
        <v>1.488</v>
      </c>
      <c r="N255">
        <v>0.35</v>
      </c>
      <c r="O255">
        <v>3.54</v>
      </c>
      <c r="P255">
        <v>1.103</v>
      </c>
      <c r="Q255">
        <v>15</v>
      </c>
    </row>
    <row r="256" spans="1:17" x14ac:dyDescent="0.25">
      <c r="A256" s="1">
        <v>41558</v>
      </c>
      <c r="B256">
        <v>8.4600000000000009</v>
      </c>
      <c r="C256">
        <v>133.15</v>
      </c>
      <c r="D256">
        <v>3.34</v>
      </c>
      <c r="E256">
        <v>11.77</v>
      </c>
      <c r="F256">
        <v>6.48</v>
      </c>
      <c r="G256">
        <v>1.591</v>
      </c>
      <c r="H256" s="15">
        <v>10.56</v>
      </c>
      <c r="I256">
        <v>28.07</v>
      </c>
      <c r="J256">
        <v>16.5</v>
      </c>
      <c r="K256">
        <v>8.74</v>
      </c>
      <c r="L256">
        <v>1.26</v>
      </c>
      <c r="M256" t="e">
        <v>#N/A</v>
      </c>
      <c r="N256">
        <v>0.37</v>
      </c>
      <c r="O256">
        <v>3.56</v>
      </c>
      <c r="P256">
        <v>1.121</v>
      </c>
      <c r="Q256">
        <v>14</v>
      </c>
    </row>
    <row r="257" spans="1:17" x14ac:dyDescent="0.25">
      <c r="A257" s="1">
        <v>41561</v>
      </c>
      <c r="B257">
        <v>8.33</v>
      </c>
      <c r="C257">
        <v>130.79</v>
      </c>
      <c r="D257">
        <v>3.3620000000000001</v>
      </c>
      <c r="E257">
        <v>12.14</v>
      </c>
      <c r="F257">
        <v>6.47</v>
      </c>
      <c r="G257">
        <v>1.591</v>
      </c>
      <c r="H257" s="15">
        <v>10.54</v>
      </c>
      <c r="I257">
        <v>28.07</v>
      </c>
      <c r="J257">
        <v>16.649999999999999</v>
      </c>
      <c r="K257">
        <v>8.67</v>
      </c>
      <c r="L257">
        <v>1.26</v>
      </c>
      <c r="M257" t="e">
        <v>#N/A</v>
      </c>
      <c r="N257">
        <v>0.37</v>
      </c>
      <c r="O257">
        <v>3.46</v>
      </c>
      <c r="P257">
        <v>1.139</v>
      </c>
      <c r="Q257">
        <v>14</v>
      </c>
    </row>
    <row r="258" spans="1:17" x14ac:dyDescent="0.25">
      <c r="A258" s="1">
        <v>41562</v>
      </c>
      <c r="B258">
        <v>8.3800000000000008</v>
      </c>
      <c r="C258">
        <v>130.79</v>
      </c>
      <c r="D258">
        <v>3.3450000000000002</v>
      </c>
      <c r="E258">
        <v>12.45</v>
      </c>
      <c r="F258" t="e">
        <v>#N/A</v>
      </c>
      <c r="G258">
        <v>1.609</v>
      </c>
      <c r="H258" s="15">
        <v>10.51</v>
      </c>
      <c r="I258">
        <v>28.02</v>
      </c>
      <c r="J258">
        <v>16.579999999999998</v>
      </c>
      <c r="K258">
        <v>8.74</v>
      </c>
      <c r="L258">
        <v>1.29</v>
      </c>
      <c r="M258">
        <v>1.488</v>
      </c>
      <c r="N258">
        <v>0.37</v>
      </c>
      <c r="O258">
        <v>3.41</v>
      </c>
      <c r="P258">
        <v>1.1559999999999999</v>
      </c>
      <c r="Q258">
        <v>14</v>
      </c>
    </row>
    <row r="259" spans="1:17" x14ac:dyDescent="0.25">
      <c r="A259" s="1">
        <v>41563</v>
      </c>
      <c r="B259">
        <v>8.3800000000000008</v>
      </c>
      <c r="C259">
        <v>129.83000000000001</v>
      </c>
      <c r="D259">
        <v>3.3450000000000002</v>
      </c>
      <c r="E259">
        <v>12.55</v>
      </c>
      <c r="F259">
        <v>6.47</v>
      </c>
      <c r="G259">
        <v>1.591</v>
      </c>
      <c r="H259" s="15">
        <v>10.56</v>
      </c>
      <c r="I259">
        <v>28.07</v>
      </c>
      <c r="J259">
        <v>16.5</v>
      </c>
      <c r="K259">
        <v>8.76</v>
      </c>
      <c r="L259">
        <v>1.29</v>
      </c>
      <c r="M259" t="e">
        <v>#N/A</v>
      </c>
      <c r="N259">
        <v>0.37</v>
      </c>
      <c r="O259">
        <v>3.42</v>
      </c>
      <c r="P259">
        <v>1.1559999999999999</v>
      </c>
      <c r="Q259">
        <v>14</v>
      </c>
    </row>
    <row r="260" spans="1:17" x14ac:dyDescent="0.25">
      <c r="A260" s="1">
        <v>41564</v>
      </c>
      <c r="B260">
        <v>8.3800000000000008</v>
      </c>
      <c r="C260">
        <v>133.65</v>
      </c>
      <c r="D260">
        <v>3.34</v>
      </c>
      <c r="E260">
        <v>13.95</v>
      </c>
      <c r="F260">
        <v>6.35</v>
      </c>
      <c r="G260">
        <v>1.601</v>
      </c>
      <c r="H260" s="15">
        <v>10.51</v>
      </c>
      <c r="I260">
        <v>28.07</v>
      </c>
      <c r="J260">
        <v>16.5</v>
      </c>
      <c r="K260">
        <v>8.8800000000000008</v>
      </c>
      <c r="L260">
        <v>1.29</v>
      </c>
      <c r="M260">
        <v>1.4790000000000001</v>
      </c>
      <c r="N260">
        <v>0.38</v>
      </c>
      <c r="O260">
        <v>3.51</v>
      </c>
      <c r="P260">
        <v>1.165</v>
      </c>
      <c r="Q260">
        <v>15</v>
      </c>
    </row>
    <row r="261" spans="1:17" x14ac:dyDescent="0.25">
      <c r="A261" s="1">
        <v>41565</v>
      </c>
      <c r="B261">
        <v>8.3800000000000008</v>
      </c>
      <c r="C261">
        <v>132.72</v>
      </c>
      <c r="D261">
        <v>3.452</v>
      </c>
      <c r="E261">
        <v>13.6</v>
      </c>
      <c r="F261">
        <v>6.32</v>
      </c>
      <c r="G261">
        <v>1.601</v>
      </c>
      <c r="H261" s="15">
        <v>11.15</v>
      </c>
      <c r="I261">
        <v>28.31</v>
      </c>
      <c r="J261">
        <v>16.8</v>
      </c>
      <c r="K261">
        <v>9.31</v>
      </c>
      <c r="L261">
        <v>1.31</v>
      </c>
      <c r="M261">
        <v>1.512</v>
      </c>
      <c r="N261">
        <v>0.37</v>
      </c>
      <c r="O261">
        <v>3.56</v>
      </c>
      <c r="P261">
        <v>1.1739999999999999</v>
      </c>
      <c r="Q261">
        <v>15</v>
      </c>
    </row>
    <row r="262" spans="1:17" x14ac:dyDescent="0.25">
      <c r="A262" s="1">
        <v>41568</v>
      </c>
      <c r="B262">
        <v>8.39</v>
      </c>
      <c r="C262">
        <v>133.66999999999999</v>
      </c>
      <c r="D262">
        <v>3.4239999999999999</v>
      </c>
      <c r="E262">
        <v>13.85</v>
      </c>
      <c r="F262">
        <v>6.35</v>
      </c>
      <c r="G262">
        <v>1.573</v>
      </c>
      <c r="H262" s="15">
        <v>11.15</v>
      </c>
      <c r="I262">
        <v>28.55</v>
      </c>
      <c r="J262">
        <v>16.25</v>
      </c>
      <c r="K262">
        <v>9.35</v>
      </c>
      <c r="L262">
        <v>1.29</v>
      </c>
      <c r="M262">
        <v>1.528</v>
      </c>
      <c r="N262">
        <v>0.37</v>
      </c>
      <c r="O262">
        <v>3.56</v>
      </c>
      <c r="P262">
        <v>1.1559999999999999</v>
      </c>
      <c r="Q262">
        <v>15</v>
      </c>
    </row>
    <row r="263" spans="1:17" x14ac:dyDescent="0.25">
      <c r="A263" s="1">
        <v>41569</v>
      </c>
      <c r="B263">
        <v>8.39</v>
      </c>
      <c r="C263">
        <v>134.4</v>
      </c>
      <c r="D263">
        <v>3.536</v>
      </c>
      <c r="E263">
        <v>14.3</v>
      </c>
      <c r="F263">
        <v>6.3</v>
      </c>
      <c r="G263">
        <v>1.573</v>
      </c>
      <c r="H263" s="15">
        <v>11.2</v>
      </c>
      <c r="I263">
        <v>29.02</v>
      </c>
      <c r="J263" t="e">
        <v>#N/A</v>
      </c>
      <c r="K263">
        <v>9.4</v>
      </c>
      <c r="L263">
        <v>1.31</v>
      </c>
      <c r="M263">
        <v>1.5609999999999999</v>
      </c>
      <c r="N263">
        <v>0.39</v>
      </c>
      <c r="O263">
        <v>3.58</v>
      </c>
      <c r="P263">
        <v>1.1830000000000001</v>
      </c>
      <c r="Q263">
        <v>14</v>
      </c>
    </row>
    <row r="264" spans="1:17" x14ac:dyDescent="0.25">
      <c r="A264" s="1">
        <v>41570</v>
      </c>
      <c r="B264">
        <v>8.39</v>
      </c>
      <c r="C264">
        <v>133.19999999999999</v>
      </c>
      <c r="D264">
        <v>3.5310000000000001</v>
      </c>
      <c r="E264">
        <v>14.18</v>
      </c>
      <c r="F264">
        <v>6.3</v>
      </c>
      <c r="G264">
        <v>1.583</v>
      </c>
      <c r="H264" s="15">
        <v>11.3</v>
      </c>
      <c r="I264">
        <v>29.5</v>
      </c>
      <c r="J264">
        <v>16.25</v>
      </c>
      <c r="K264">
        <v>9.4</v>
      </c>
      <c r="L264">
        <v>1.3</v>
      </c>
      <c r="M264">
        <v>1.5609999999999999</v>
      </c>
      <c r="N264">
        <v>0.38</v>
      </c>
      <c r="O264">
        <v>3.52</v>
      </c>
      <c r="P264">
        <v>1.1559999999999999</v>
      </c>
      <c r="Q264">
        <v>15</v>
      </c>
    </row>
    <row r="265" spans="1:17" x14ac:dyDescent="0.25">
      <c r="A265" s="1">
        <v>41571</v>
      </c>
      <c r="B265">
        <v>8.3699999999999992</v>
      </c>
      <c r="C265">
        <v>133.44</v>
      </c>
      <c r="D265">
        <v>3.5190000000000001</v>
      </c>
      <c r="E265">
        <v>14.4</v>
      </c>
      <c r="F265" t="e">
        <v>#N/A</v>
      </c>
      <c r="G265">
        <v>1.573</v>
      </c>
      <c r="H265" s="15">
        <v>11.41</v>
      </c>
      <c r="I265">
        <v>30.12</v>
      </c>
      <c r="J265">
        <v>16.38</v>
      </c>
      <c r="K265">
        <v>9.4</v>
      </c>
      <c r="L265">
        <v>1.29</v>
      </c>
      <c r="M265">
        <v>1.601</v>
      </c>
      <c r="N265">
        <v>0.38</v>
      </c>
      <c r="O265">
        <v>3.46</v>
      </c>
      <c r="P265">
        <v>1.1559999999999999</v>
      </c>
      <c r="Q265">
        <v>14</v>
      </c>
    </row>
    <row r="266" spans="1:17" x14ac:dyDescent="0.25">
      <c r="A266" s="1">
        <v>41572</v>
      </c>
      <c r="B266">
        <v>8.3699999999999992</v>
      </c>
      <c r="C266">
        <v>133.31</v>
      </c>
      <c r="D266">
        <v>3.5190000000000001</v>
      </c>
      <c r="E266">
        <v>14.27</v>
      </c>
      <c r="F266">
        <v>6.35</v>
      </c>
      <c r="G266">
        <v>1.583</v>
      </c>
      <c r="H266" s="15">
        <v>11.59</v>
      </c>
      <c r="I266">
        <v>30.56</v>
      </c>
      <c r="J266">
        <v>16.28</v>
      </c>
      <c r="K266">
        <v>9.4</v>
      </c>
      <c r="L266">
        <v>1.28</v>
      </c>
      <c r="M266">
        <v>1.6259999999999999</v>
      </c>
      <c r="N266">
        <v>0.38</v>
      </c>
      <c r="O266">
        <v>3.43</v>
      </c>
      <c r="P266">
        <v>1.147</v>
      </c>
      <c r="Q266">
        <v>15</v>
      </c>
    </row>
    <row r="267" spans="1:17" x14ac:dyDescent="0.25">
      <c r="A267" s="1">
        <v>41575</v>
      </c>
      <c r="B267">
        <v>8.3800000000000008</v>
      </c>
      <c r="C267">
        <v>135.41</v>
      </c>
      <c r="D267">
        <v>3.5310000000000001</v>
      </c>
      <c r="E267">
        <v>14.7</v>
      </c>
      <c r="F267">
        <v>6.44</v>
      </c>
      <c r="G267">
        <v>1.583</v>
      </c>
      <c r="H267" s="15">
        <v>11.64</v>
      </c>
      <c r="I267">
        <v>30.93</v>
      </c>
      <c r="J267">
        <v>16.399999999999999</v>
      </c>
      <c r="K267">
        <v>9.4</v>
      </c>
      <c r="L267">
        <v>1.28</v>
      </c>
      <c r="M267">
        <v>1.6180000000000001</v>
      </c>
      <c r="N267">
        <v>0.38</v>
      </c>
      <c r="O267">
        <v>3.43</v>
      </c>
      <c r="P267">
        <v>1.139</v>
      </c>
      <c r="Q267">
        <v>15</v>
      </c>
    </row>
    <row r="268" spans="1:17" x14ac:dyDescent="0.25">
      <c r="A268" s="1">
        <v>41576</v>
      </c>
      <c r="B268">
        <v>8.48</v>
      </c>
      <c r="C268">
        <v>135.51</v>
      </c>
      <c r="D268">
        <v>3.5920000000000001</v>
      </c>
      <c r="E268" t="e">
        <v>#N/A</v>
      </c>
      <c r="F268">
        <v>6.53</v>
      </c>
      <c r="G268">
        <v>1.6180000000000001</v>
      </c>
      <c r="H268" s="15">
        <v>11.62</v>
      </c>
      <c r="I268">
        <v>31.88</v>
      </c>
      <c r="J268">
        <v>16.489999999999998</v>
      </c>
      <c r="K268">
        <v>9.4499999999999993</v>
      </c>
      <c r="L268">
        <v>1.28</v>
      </c>
      <c r="M268">
        <v>1.6659999999999999</v>
      </c>
      <c r="N268">
        <v>0.38</v>
      </c>
      <c r="O268">
        <v>3.56</v>
      </c>
      <c r="P268">
        <v>1.1559999999999999</v>
      </c>
      <c r="Q268">
        <v>14</v>
      </c>
    </row>
    <row r="269" spans="1:17" x14ac:dyDescent="0.25">
      <c r="A269" s="1">
        <v>41577</v>
      </c>
      <c r="B269">
        <v>8.5299999999999994</v>
      </c>
      <c r="C269">
        <v>135.12</v>
      </c>
      <c r="D269">
        <v>3.6320000000000001</v>
      </c>
      <c r="E269">
        <v>14.58</v>
      </c>
      <c r="F269">
        <v>6.52</v>
      </c>
      <c r="G269">
        <v>1.627</v>
      </c>
      <c r="H269" s="15">
        <v>11.57</v>
      </c>
      <c r="I269">
        <v>31.97</v>
      </c>
      <c r="J269">
        <v>16.45</v>
      </c>
      <c r="K269" t="e">
        <v>#N/A</v>
      </c>
      <c r="L269">
        <v>1.32</v>
      </c>
      <c r="M269">
        <v>1.6830000000000001</v>
      </c>
      <c r="N269">
        <v>0.36</v>
      </c>
      <c r="O269">
        <v>3.56</v>
      </c>
      <c r="P269">
        <v>1.1739999999999999</v>
      </c>
      <c r="Q269">
        <v>14</v>
      </c>
    </row>
    <row r="270" spans="1:17" x14ac:dyDescent="0.25">
      <c r="A270" s="1">
        <v>41578</v>
      </c>
      <c r="B270">
        <v>8.5299999999999994</v>
      </c>
      <c r="C270">
        <v>132.53</v>
      </c>
      <c r="D270">
        <v>3.6819999999999999</v>
      </c>
      <c r="E270">
        <v>14.5</v>
      </c>
      <c r="F270">
        <v>6.52</v>
      </c>
      <c r="G270">
        <v>1.627</v>
      </c>
      <c r="H270" s="15">
        <v>11.84</v>
      </c>
      <c r="I270">
        <v>31.83</v>
      </c>
      <c r="J270">
        <v>16.5</v>
      </c>
      <c r="K270">
        <v>9.4</v>
      </c>
      <c r="L270">
        <v>1.36</v>
      </c>
      <c r="M270">
        <v>1.6830000000000001</v>
      </c>
      <c r="N270">
        <v>0.36</v>
      </c>
      <c r="O270">
        <v>3.58</v>
      </c>
      <c r="P270">
        <v>1.1559999999999999</v>
      </c>
      <c r="Q270">
        <v>15</v>
      </c>
    </row>
    <row r="271" spans="1:17" x14ac:dyDescent="0.25">
      <c r="A271" s="1">
        <v>41582</v>
      </c>
      <c r="B271">
        <v>8.58</v>
      </c>
      <c r="C271">
        <v>129.26</v>
      </c>
      <c r="D271">
        <v>3.6930000000000001</v>
      </c>
      <c r="E271">
        <v>14.1</v>
      </c>
      <c r="F271">
        <v>6.5</v>
      </c>
      <c r="G271">
        <v>1.663</v>
      </c>
      <c r="H271" s="15">
        <v>12.08</v>
      </c>
      <c r="I271">
        <v>31.9</v>
      </c>
      <c r="J271" t="e">
        <v>#N/A</v>
      </c>
      <c r="K271">
        <v>9.4499999999999993</v>
      </c>
      <c r="L271">
        <v>1.39</v>
      </c>
      <c r="M271">
        <v>1.6659999999999999</v>
      </c>
      <c r="N271">
        <v>0.37</v>
      </c>
      <c r="O271">
        <v>3.63</v>
      </c>
      <c r="P271">
        <v>1.147</v>
      </c>
      <c r="Q271">
        <v>14</v>
      </c>
    </row>
    <row r="272" spans="1:17" x14ac:dyDescent="0.25">
      <c r="A272" s="1">
        <v>41583</v>
      </c>
      <c r="B272">
        <v>8.58</v>
      </c>
      <c r="C272">
        <v>129.83000000000001</v>
      </c>
      <c r="D272">
        <v>3.677</v>
      </c>
      <c r="E272">
        <v>14.39</v>
      </c>
      <c r="F272">
        <v>6.49</v>
      </c>
      <c r="G272">
        <v>1.663</v>
      </c>
      <c r="H272" s="15">
        <v>11.89</v>
      </c>
      <c r="I272">
        <v>31.85</v>
      </c>
      <c r="J272">
        <v>16.5</v>
      </c>
      <c r="K272">
        <v>9.39</v>
      </c>
      <c r="L272">
        <v>1.36</v>
      </c>
      <c r="M272">
        <v>1.6579999999999999</v>
      </c>
      <c r="N272">
        <v>0.37</v>
      </c>
      <c r="O272">
        <v>3.64</v>
      </c>
      <c r="P272">
        <v>1.1559999999999999</v>
      </c>
      <c r="Q272">
        <v>15</v>
      </c>
    </row>
    <row r="273" spans="1:17" x14ac:dyDescent="0.25">
      <c r="A273" s="1">
        <v>41584</v>
      </c>
      <c r="B273">
        <v>8.58</v>
      </c>
      <c r="C273">
        <v>130.22</v>
      </c>
      <c r="D273">
        <v>3.6480000000000001</v>
      </c>
      <c r="E273">
        <v>14.3</v>
      </c>
      <c r="F273">
        <v>6.47</v>
      </c>
      <c r="G273">
        <v>1.645</v>
      </c>
      <c r="H273" s="15">
        <v>11.79</v>
      </c>
      <c r="I273" t="e">
        <v>#N/A</v>
      </c>
      <c r="J273">
        <v>16.7</v>
      </c>
      <c r="K273">
        <v>9.39</v>
      </c>
      <c r="L273">
        <v>1.36</v>
      </c>
      <c r="M273">
        <v>1.6579999999999999</v>
      </c>
      <c r="N273">
        <v>0.37</v>
      </c>
      <c r="O273">
        <v>3.64</v>
      </c>
      <c r="P273">
        <v>1.147</v>
      </c>
      <c r="Q273">
        <v>14</v>
      </c>
    </row>
    <row r="274" spans="1:17" x14ac:dyDescent="0.25">
      <c r="A274" s="1">
        <v>41585</v>
      </c>
      <c r="B274">
        <v>8.5299999999999994</v>
      </c>
      <c r="C274">
        <v>129.35</v>
      </c>
      <c r="D274">
        <v>3.6040000000000001</v>
      </c>
      <c r="E274">
        <v>14.2</v>
      </c>
      <c r="F274">
        <v>6.41</v>
      </c>
      <c r="G274">
        <v>1.6180000000000001</v>
      </c>
      <c r="H274" s="15">
        <v>11.69</v>
      </c>
      <c r="I274" t="e">
        <v>#N/A</v>
      </c>
      <c r="J274">
        <v>16.7</v>
      </c>
      <c r="K274" t="e">
        <v>#N/A</v>
      </c>
      <c r="L274">
        <v>1.36</v>
      </c>
      <c r="M274">
        <v>1.6259999999999999</v>
      </c>
      <c r="N274">
        <v>0.36</v>
      </c>
      <c r="O274" t="e">
        <v>#N/A</v>
      </c>
      <c r="P274">
        <v>1.1299999999999999</v>
      </c>
      <c r="Q274">
        <v>12</v>
      </c>
    </row>
    <row r="275" spans="1:17" x14ac:dyDescent="0.25">
      <c r="A275" s="1">
        <v>41586</v>
      </c>
      <c r="B275">
        <v>8.43</v>
      </c>
      <c r="C275">
        <v>125.02</v>
      </c>
      <c r="D275">
        <v>3.5920000000000001</v>
      </c>
      <c r="E275">
        <v>13.95</v>
      </c>
      <c r="F275">
        <v>6.41</v>
      </c>
      <c r="G275">
        <v>1.609</v>
      </c>
      <c r="H275" s="15">
        <v>11.54</v>
      </c>
      <c r="I275">
        <v>31.16</v>
      </c>
      <c r="J275">
        <v>16.7</v>
      </c>
      <c r="K275">
        <v>9.1</v>
      </c>
      <c r="L275">
        <v>1.32</v>
      </c>
      <c r="M275">
        <v>1.585</v>
      </c>
      <c r="N275">
        <v>0.33</v>
      </c>
      <c r="O275">
        <v>3.62</v>
      </c>
      <c r="P275">
        <v>1.103</v>
      </c>
      <c r="Q275">
        <v>15</v>
      </c>
    </row>
    <row r="276" spans="1:17" x14ac:dyDescent="0.25">
      <c r="A276" s="1">
        <v>41589</v>
      </c>
      <c r="B276">
        <v>8.3800000000000008</v>
      </c>
      <c r="C276">
        <v>125.99</v>
      </c>
      <c r="D276">
        <v>3.57</v>
      </c>
      <c r="E276" t="e">
        <v>#N/A</v>
      </c>
      <c r="F276">
        <v>6.47</v>
      </c>
      <c r="G276">
        <v>1.591</v>
      </c>
      <c r="H276" s="15">
        <v>11.49</v>
      </c>
      <c r="I276">
        <v>30.45</v>
      </c>
      <c r="J276">
        <v>16.7</v>
      </c>
      <c r="K276">
        <v>9.1</v>
      </c>
      <c r="L276">
        <v>1.32</v>
      </c>
      <c r="M276">
        <v>1.5609999999999999</v>
      </c>
      <c r="N276">
        <v>0.35</v>
      </c>
      <c r="O276">
        <v>3.62</v>
      </c>
      <c r="P276">
        <v>1.0940000000000001</v>
      </c>
      <c r="Q276">
        <v>14</v>
      </c>
    </row>
    <row r="277" spans="1:17" x14ac:dyDescent="0.25">
      <c r="A277" s="1">
        <v>41590</v>
      </c>
      <c r="B277">
        <v>8.43</v>
      </c>
      <c r="C277">
        <v>125.99</v>
      </c>
      <c r="D277">
        <v>3.536</v>
      </c>
      <c r="E277">
        <v>13.85</v>
      </c>
      <c r="F277">
        <v>6.42</v>
      </c>
      <c r="G277">
        <v>1.591</v>
      </c>
      <c r="H277" s="15">
        <v>11.51</v>
      </c>
      <c r="I277">
        <v>30.07</v>
      </c>
      <c r="J277">
        <v>16.399999999999999</v>
      </c>
      <c r="K277">
        <v>9.1</v>
      </c>
      <c r="L277">
        <v>1.31</v>
      </c>
      <c r="M277" t="e">
        <v>#N/A</v>
      </c>
      <c r="N277">
        <v>0.35</v>
      </c>
      <c r="O277" t="e">
        <v>#N/A</v>
      </c>
      <c r="P277">
        <v>1.0940000000000001</v>
      </c>
      <c r="Q277">
        <v>13</v>
      </c>
    </row>
    <row r="278" spans="1:17" x14ac:dyDescent="0.25">
      <c r="A278" s="1">
        <v>41591</v>
      </c>
      <c r="B278">
        <v>8.3800000000000008</v>
      </c>
      <c r="C278">
        <v>125.99</v>
      </c>
      <c r="D278">
        <v>3.452</v>
      </c>
      <c r="E278">
        <v>13.75</v>
      </c>
      <c r="F278">
        <v>6.38</v>
      </c>
      <c r="G278">
        <v>1.583</v>
      </c>
      <c r="H278" s="15">
        <v>11.49</v>
      </c>
      <c r="I278">
        <v>29.49</v>
      </c>
      <c r="J278">
        <v>16.399999999999999</v>
      </c>
      <c r="K278">
        <v>8.91</v>
      </c>
      <c r="L278">
        <v>1.31</v>
      </c>
      <c r="M278">
        <v>1.528</v>
      </c>
      <c r="N278">
        <v>0.34</v>
      </c>
      <c r="O278">
        <v>3.47</v>
      </c>
      <c r="P278">
        <v>1.0760000000000001</v>
      </c>
      <c r="Q278">
        <v>15</v>
      </c>
    </row>
    <row r="279" spans="1:17" x14ac:dyDescent="0.25">
      <c r="A279" s="1">
        <v>41592</v>
      </c>
      <c r="B279">
        <v>8.3800000000000008</v>
      </c>
      <c r="C279">
        <v>125.29</v>
      </c>
      <c r="D279">
        <v>3.452</v>
      </c>
      <c r="E279">
        <v>13.82</v>
      </c>
      <c r="F279">
        <v>6.4</v>
      </c>
      <c r="G279">
        <v>1.573</v>
      </c>
      <c r="H279" s="15">
        <v>11.51</v>
      </c>
      <c r="I279">
        <v>29.12</v>
      </c>
      <c r="J279">
        <v>16.399999999999999</v>
      </c>
      <c r="K279">
        <v>8.92</v>
      </c>
      <c r="L279">
        <v>1.29</v>
      </c>
      <c r="M279" t="e">
        <v>#N/A</v>
      </c>
      <c r="N279">
        <v>0.35</v>
      </c>
      <c r="O279">
        <v>3.47</v>
      </c>
      <c r="P279">
        <v>1.0669999999999999</v>
      </c>
      <c r="Q279">
        <v>14</v>
      </c>
    </row>
    <row r="280" spans="1:17" x14ac:dyDescent="0.25">
      <c r="A280" s="1">
        <v>41593</v>
      </c>
      <c r="B280" t="e">
        <v>#N/A</v>
      </c>
      <c r="C280">
        <v>127</v>
      </c>
      <c r="D280">
        <v>3.452</v>
      </c>
      <c r="E280">
        <v>13.62</v>
      </c>
      <c r="F280">
        <v>6.4</v>
      </c>
      <c r="G280">
        <v>1.556</v>
      </c>
      <c r="H280" s="15">
        <v>11.54</v>
      </c>
      <c r="I280">
        <v>29.12</v>
      </c>
      <c r="J280">
        <v>16.399999999999999</v>
      </c>
      <c r="K280">
        <v>9.15</v>
      </c>
      <c r="L280">
        <v>1.29</v>
      </c>
      <c r="M280">
        <v>1.528</v>
      </c>
      <c r="N280">
        <v>0.34</v>
      </c>
      <c r="O280">
        <v>3.49</v>
      </c>
      <c r="P280">
        <v>1.085</v>
      </c>
      <c r="Q280">
        <v>14</v>
      </c>
    </row>
    <row r="281" spans="1:17" x14ac:dyDescent="0.25">
      <c r="A281" s="1">
        <v>41596</v>
      </c>
      <c r="B281">
        <v>8.2799999999999994</v>
      </c>
      <c r="C281">
        <v>124.93</v>
      </c>
      <c r="D281">
        <v>3.4580000000000002</v>
      </c>
      <c r="E281" t="e">
        <v>#N/A</v>
      </c>
      <c r="F281">
        <v>6.46</v>
      </c>
      <c r="G281">
        <v>1.556</v>
      </c>
      <c r="H281" s="15">
        <v>11.43</v>
      </c>
      <c r="I281">
        <v>29.05</v>
      </c>
      <c r="J281">
        <v>16.399999999999999</v>
      </c>
      <c r="K281">
        <v>9.11</v>
      </c>
      <c r="L281">
        <v>1.28</v>
      </c>
      <c r="M281">
        <v>1.544</v>
      </c>
      <c r="N281">
        <v>0.33</v>
      </c>
      <c r="O281">
        <v>3.48</v>
      </c>
      <c r="P281">
        <v>1.05</v>
      </c>
      <c r="Q281">
        <v>14</v>
      </c>
    </row>
    <row r="282" spans="1:17" x14ac:dyDescent="0.25">
      <c r="A282" s="1">
        <v>41597</v>
      </c>
      <c r="B282">
        <v>8.14</v>
      </c>
      <c r="C282">
        <v>123.1</v>
      </c>
      <c r="D282">
        <v>3.3450000000000002</v>
      </c>
      <c r="E282">
        <v>12.45</v>
      </c>
      <c r="F282">
        <v>6.45</v>
      </c>
      <c r="G282">
        <v>1.546</v>
      </c>
      <c r="H282" s="15">
        <v>11</v>
      </c>
      <c r="I282">
        <v>28.36</v>
      </c>
      <c r="J282">
        <v>16.2</v>
      </c>
      <c r="K282">
        <v>8.92</v>
      </c>
      <c r="L282">
        <v>1.28</v>
      </c>
      <c r="M282">
        <v>1.5609999999999999</v>
      </c>
      <c r="N282">
        <v>0.31</v>
      </c>
      <c r="O282">
        <v>3.42</v>
      </c>
      <c r="P282">
        <v>1.05</v>
      </c>
      <c r="Q282">
        <v>15</v>
      </c>
    </row>
    <row r="283" spans="1:17" x14ac:dyDescent="0.25">
      <c r="A283" s="1">
        <v>41598</v>
      </c>
      <c r="B283">
        <v>8.15</v>
      </c>
      <c r="C283">
        <v>120.22</v>
      </c>
      <c r="D283">
        <v>3.3340000000000001</v>
      </c>
      <c r="E283">
        <v>12.5</v>
      </c>
      <c r="F283">
        <v>6.35</v>
      </c>
      <c r="G283">
        <v>1.546</v>
      </c>
      <c r="H283" s="15">
        <v>11</v>
      </c>
      <c r="I283">
        <v>28.07</v>
      </c>
      <c r="J283" t="e">
        <v>#N/A</v>
      </c>
      <c r="K283">
        <v>8.92</v>
      </c>
      <c r="L283">
        <v>1.28</v>
      </c>
      <c r="M283">
        <v>1.569</v>
      </c>
      <c r="N283">
        <v>0.31</v>
      </c>
      <c r="O283">
        <v>3.35</v>
      </c>
      <c r="P283">
        <v>1.0409999999999999</v>
      </c>
      <c r="Q283">
        <v>14</v>
      </c>
    </row>
    <row r="284" spans="1:17" x14ac:dyDescent="0.25">
      <c r="A284" s="1">
        <v>41599</v>
      </c>
      <c r="B284">
        <v>8.23</v>
      </c>
      <c r="C284">
        <v>120.22</v>
      </c>
      <c r="D284">
        <v>3.3450000000000002</v>
      </c>
      <c r="E284">
        <v>12</v>
      </c>
      <c r="F284" t="e">
        <v>#N/A</v>
      </c>
      <c r="G284">
        <v>1.546</v>
      </c>
      <c r="H284" s="15">
        <v>11.12</v>
      </c>
      <c r="I284">
        <v>28.17</v>
      </c>
      <c r="J284">
        <v>16.399999999999999</v>
      </c>
      <c r="K284">
        <v>9.01</v>
      </c>
      <c r="L284">
        <v>1.28</v>
      </c>
      <c r="M284">
        <v>1.569</v>
      </c>
      <c r="N284">
        <v>0.32</v>
      </c>
      <c r="O284">
        <v>3.35</v>
      </c>
      <c r="P284">
        <v>1.0409999999999999</v>
      </c>
      <c r="Q284">
        <v>14</v>
      </c>
    </row>
    <row r="285" spans="1:17" x14ac:dyDescent="0.25">
      <c r="A285" s="1">
        <v>41600</v>
      </c>
      <c r="B285">
        <v>8.2799999999999994</v>
      </c>
      <c r="C285">
        <v>120.22</v>
      </c>
      <c r="D285">
        <v>3.3570000000000002</v>
      </c>
      <c r="E285">
        <v>12</v>
      </c>
      <c r="F285">
        <v>6.2</v>
      </c>
      <c r="G285">
        <v>1.546</v>
      </c>
      <c r="H285" s="15">
        <v>11.07</v>
      </c>
      <c r="I285" t="e">
        <v>#N/A</v>
      </c>
      <c r="J285">
        <v>16.2</v>
      </c>
      <c r="K285">
        <v>9.01</v>
      </c>
      <c r="L285">
        <v>1.27</v>
      </c>
      <c r="M285">
        <v>1.5609999999999999</v>
      </c>
      <c r="N285">
        <v>0.32</v>
      </c>
      <c r="O285">
        <v>3.42</v>
      </c>
      <c r="P285">
        <v>1.0409999999999999</v>
      </c>
      <c r="Q285">
        <v>14</v>
      </c>
    </row>
    <row r="286" spans="1:17" x14ac:dyDescent="0.25">
      <c r="A286" s="1">
        <v>41603</v>
      </c>
      <c r="B286">
        <v>8.2799999999999994</v>
      </c>
      <c r="C286">
        <v>122.98</v>
      </c>
      <c r="D286">
        <v>3.3730000000000002</v>
      </c>
      <c r="E286">
        <v>11.67</v>
      </c>
      <c r="F286">
        <v>6.2</v>
      </c>
      <c r="G286">
        <v>1.546</v>
      </c>
      <c r="H286" s="15">
        <v>11</v>
      </c>
      <c r="I286">
        <v>28.17</v>
      </c>
      <c r="J286">
        <v>16.2</v>
      </c>
      <c r="K286">
        <v>9.01</v>
      </c>
      <c r="L286">
        <v>1.25</v>
      </c>
      <c r="M286" t="e">
        <v>#N/A</v>
      </c>
      <c r="N286">
        <v>0.32</v>
      </c>
      <c r="O286">
        <v>3.44</v>
      </c>
      <c r="P286">
        <v>1.0229999999999999</v>
      </c>
      <c r="Q286">
        <v>14</v>
      </c>
    </row>
    <row r="287" spans="1:17" x14ac:dyDescent="0.25">
      <c r="A287" s="1">
        <v>41604</v>
      </c>
      <c r="B287">
        <v>8.48</v>
      </c>
      <c r="C287">
        <v>122.83</v>
      </c>
      <c r="D287">
        <v>3.3679999999999999</v>
      </c>
      <c r="E287">
        <v>11.15</v>
      </c>
      <c r="F287">
        <v>6.19</v>
      </c>
      <c r="G287">
        <v>1.583</v>
      </c>
      <c r="H287" s="15">
        <v>11</v>
      </c>
      <c r="I287">
        <v>29.69</v>
      </c>
      <c r="J287">
        <v>16.3</v>
      </c>
      <c r="K287" t="e">
        <v>#N/A</v>
      </c>
      <c r="L287">
        <v>1.27</v>
      </c>
      <c r="M287">
        <v>1.601</v>
      </c>
      <c r="N287">
        <v>0.33</v>
      </c>
      <c r="O287">
        <v>3.53</v>
      </c>
      <c r="P287">
        <v>1.0409999999999999</v>
      </c>
      <c r="Q287">
        <v>14</v>
      </c>
    </row>
    <row r="288" spans="1:17" x14ac:dyDescent="0.25">
      <c r="A288" s="1">
        <v>41605</v>
      </c>
      <c r="B288">
        <v>8.5299999999999994</v>
      </c>
      <c r="C288">
        <v>123.58</v>
      </c>
      <c r="D288">
        <v>3.3679999999999999</v>
      </c>
      <c r="E288">
        <v>11.5</v>
      </c>
      <c r="F288">
        <v>6.18</v>
      </c>
      <c r="G288">
        <v>1.5649999999999999</v>
      </c>
      <c r="H288" s="15">
        <v>10.95</v>
      </c>
      <c r="I288" t="e">
        <v>#N/A</v>
      </c>
      <c r="J288">
        <v>16.2</v>
      </c>
      <c r="K288">
        <v>9.06</v>
      </c>
      <c r="L288">
        <v>1.26</v>
      </c>
      <c r="M288">
        <v>1.6259999999999999</v>
      </c>
      <c r="N288">
        <v>0.32</v>
      </c>
      <c r="O288">
        <v>3.45</v>
      </c>
      <c r="P288">
        <v>1.0229999999999999</v>
      </c>
      <c r="Q288">
        <v>14</v>
      </c>
    </row>
    <row r="289" spans="1:17" x14ac:dyDescent="0.25">
      <c r="A289" s="1">
        <v>41606</v>
      </c>
      <c r="B289">
        <v>8.5299999999999994</v>
      </c>
      <c r="C289" t="e">
        <v>#N/A</v>
      </c>
      <c r="D289">
        <v>3.3679999999999999</v>
      </c>
      <c r="E289">
        <v>11.75</v>
      </c>
      <c r="F289">
        <v>6</v>
      </c>
      <c r="G289">
        <v>1.601</v>
      </c>
      <c r="H289" s="15">
        <v>10.76</v>
      </c>
      <c r="I289" t="e">
        <v>#N/A</v>
      </c>
      <c r="J289" t="e">
        <v>#N/A</v>
      </c>
      <c r="K289">
        <v>9.06</v>
      </c>
      <c r="L289">
        <v>1.25</v>
      </c>
      <c r="M289">
        <v>1.6259999999999999</v>
      </c>
      <c r="N289">
        <v>0.32</v>
      </c>
      <c r="O289">
        <v>3.45</v>
      </c>
      <c r="P289">
        <v>1.0049999999999999</v>
      </c>
      <c r="Q289">
        <v>12</v>
      </c>
    </row>
    <row r="290" spans="1:17" x14ac:dyDescent="0.25">
      <c r="A290" s="1">
        <v>41607</v>
      </c>
      <c r="B290">
        <v>8.5299999999999994</v>
      </c>
      <c r="C290">
        <v>123.68</v>
      </c>
      <c r="D290">
        <v>3.4239999999999999</v>
      </c>
      <c r="E290">
        <v>11.83</v>
      </c>
      <c r="F290">
        <v>5.85</v>
      </c>
      <c r="G290">
        <v>1.601</v>
      </c>
      <c r="H290" s="15">
        <v>10.81</v>
      </c>
      <c r="I290">
        <v>29.5</v>
      </c>
      <c r="J290" t="e">
        <v>#N/A</v>
      </c>
      <c r="K290">
        <v>9.1999999999999993</v>
      </c>
      <c r="L290">
        <v>1.25</v>
      </c>
      <c r="M290">
        <v>1.65</v>
      </c>
      <c r="N290">
        <v>0.33</v>
      </c>
      <c r="O290">
        <v>3.51</v>
      </c>
      <c r="P290">
        <v>1.0049999999999999</v>
      </c>
      <c r="Q290">
        <v>14</v>
      </c>
    </row>
    <row r="291" spans="1:17" x14ac:dyDescent="0.25">
      <c r="A291" s="1">
        <v>41610</v>
      </c>
      <c r="B291">
        <v>8.58</v>
      </c>
      <c r="C291">
        <v>124.35</v>
      </c>
      <c r="D291">
        <v>3.4239999999999999</v>
      </c>
      <c r="E291">
        <v>11.2</v>
      </c>
      <c r="F291">
        <v>5.85</v>
      </c>
      <c r="G291">
        <v>1.627</v>
      </c>
      <c r="H291" s="15">
        <v>10.81</v>
      </c>
      <c r="I291">
        <v>29.5</v>
      </c>
      <c r="J291">
        <v>16.2</v>
      </c>
      <c r="K291">
        <v>9.25</v>
      </c>
      <c r="L291">
        <v>1.25</v>
      </c>
      <c r="M291">
        <v>1.6579999999999999</v>
      </c>
      <c r="N291">
        <v>0.33</v>
      </c>
      <c r="O291">
        <v>3.51</v>
      </c>
      <c r="P291">
        <v>0.996</v>
      </c>
      <c r="Q291">
        <v>15</v>
      </c>
    </row>
    <row r="292" spans="1:17" x14ac:dyDescent="0.25">
      <c r="A292" s="1">
        <v>41611</v>
      </c>
      <c r="B292">
        <v>8.59</v>
      </c>
      <c r="C292">
        <v>120.22</v>
      </c>
      <c r="D292">
        <v>3.3570000000000002</v>
      </c>
      <c r="E292">
        <v>11</v>
      </c>
      <c r="F292">
        <v>5.75</v>
      </c>
      <c r="G292">
        <v>1.6359999999999999</v>
      </c>
      <c r="H292" s="15">
        <v>10.44</v>
      </c>
      <c r="I292">
        <v>28.07</v>
      </c>
      <c r="J292" t="e">
        <v>#N/A</v>
      </c>
      <c r="K292">
        <v>9.01</v>
      </c>
      <c r="L292">
        <v>1.23</v>
      </c>
      <c r="M292">
        <v>1.65</v>
      </c>
      <c r="N292">
        <v>0.31</v>
      </c>
      <c r="O292">
        <v>3.47</v>
      </c>
      <c r="P292">
        <v>0.97799999999999998</v>
      </c>
      <c r="Q292">
        <v>14</v>
      </c>
    </row>
    <row r="293" spans="1:17" x14ac:dyDescent="0.25">
      <c r="A293" s="1">
        <v>41612</v>
      </c>
      <c r="B293">
        <v>8.59</v>
      </c>
      <c r="C293">
        <v>121.95</v>
      </c>
      <c r="D293">
        <v>3.34</v>
      </c>
      <c r="E293">
        <v>11.03</v>
      </c>
      <c r="F293">
        <v>5.73</v>
      </c>
      <c r="G293">
        <v>1.601</v>
      </c>
      <c r="H293" s="15">
        <v>10.41</v>
      </c>
      <c r="I293">
        <v>28.07</v>
      </c>
      <c r="J293" t="e">
        <v>#N/A</v>
      </c>
      <c r="K293">
        <v>9.01</v>
      </c>
      <c r="L293">
        <v>1.22</v>
      </c>
      <c r="M293">
        <v>1.6579999999999999</v>
      </c>
      <c r="N293">
        <v>0.31</v>
      </c>
      <c r="O293">
        <v>3.47</v>
      </c>
      <c r="P293">
        <v>0.96099999999999997</v>
      </c>
      <c r="Q293">
        <v>14</v>
      </c>
    </row>
    <row r="294" spans="1:17" x14ac:dyDescent="0.25">
      <c r="A294" s="1">
        <v>41613</v>
      </c>
      <c r="B294">
        <v>8.59</v>
      </c>
      <c r="C294">
        <v>122.15</v>
      </c>
      <c r="D294">
        <v>3.34</v>
      </c>
      <c r="E294">
        <v>11</v>
      </c>
      <c r="F294">
        <v>5.7</v>
      </c>
      <c r="G294">
        <v>1.6180000000000001</v>
      </c>
      <c r="H294" s="15">
        <v>10.41</v>
      </c>
      <c r="I294">
        <v>27.88</v>
      </c>
      <c r="J294">
        <v>16.05</v>
      </c>
      <c r="K294">
        <v>9.01</v>
      </c>
      <c r="L294">
        <v>1.2</v>
      </c>
      <c r="M294" t="e">
        <v>#N/A</v>
      </c>
      <c r="N294">
        <v>0.3</v>
      </c>
      <c r="O294" t="e">
        <v>#N/A</v>
      </c>
      <c r="P294">
        <v>0.96099999999999997</v>
      </c>
      <c r="Q294">
        <v>13</v>
      </c>
    </row>
    <row r="295" spans="1:17" x14ac:dyDescent="0.25">
      <c r="A295" s="1">
        <v>41614</v>
      </c>
      <c r="B295">
        <v>8.59</v>
      </c>
      <c r="C295">
        <v>123.77</v>
      </c>
      <c r="D295">
        <v>3.4180000000000001</v>
      </c>
      <c r="E295">
        <v>10.98</v>
      </c>
      <c r="F295">
        <v>5.65</v>
      </c>
      <c r="G295">
        <v>1.645</v>
      </c>
      <c r="H295" s="15">
        <v>10.36</v>
      </c>
      <c r="I295">
        <v>28.93</v>
      </c>
      <c r="J295">
        <v>16</v>
      </c>
      <c r="K295">
        <v>8.98</v>
      </c>
      <c r="L295">
        <v>1.2</v>
      </c>
      <c r="M295">
        <v>1.6659999999999999</v>
      </c>
      <c r="N295">
        <v>0.3</v>
      </c>
      <c r="O295">
        <v>3.52</v>
      </c>
      <c r="P295">
        <v>0.96099999999999997</v>
      </c>
      <c r="Q295">
        <v>15</v>
      </c>
    </row>
    <row r="296" spans="1:17" x14ac:dyDescent="0.25">
      <c r="A296" s="1">
        <v>41617</v>
      </c>
      <c r="B296">
        <v>8.6199999999999992</v>
      </c>
      <c r="C296">
        <v>125.91</v>
      </c>
      <c r="D296">
        <v>3.43</v>
      </c>
      <c r="E296">
        <v>11</v>
      </c>
      <c r="F296">
        <v>5.57</v>
      </c>
      <c r="G296">
        <v>1.645</v>
      </c>
      <c r="H296" s="15">
        <v>10.31</v>
      </c>
      <c r="I296">
        <v>29.5</v>
      </c>
      <c r="J296">
        <v>16</v>
      </c>
      <c r="K296">
        <v>8.98</v>
      </c>
      <c r="L296">
        <v>1.21</v>
      </c>
      <c r="M296">
        <v>1.675</v>
      </c>
      <c r="N296">
        <v>0.3</v>
      </c>
      <c r="O296" t="e">
        <v>#N/A</v>
      </c>
      <c r="P296">
        <v>0.95199999999999996</v>
      </c>
      <c r="Q296">
        <v>14</v>
      </c>
    </row>
    <row r="297" spans="1:17" x14ac:dyDescent="0.25">
      <c r="A297" s="1">
        <v>41618</v>
      </c>
      <c r="B297">
        <v>8.76</v>
      </c>
      <c r="C297">
        <v>126.93</v>
      </c>
      <c r="D297">
        <v>3.48</v>
      </c>
      <c r="E297">
        <v>11.65</v>
      </c>
      <c r="F297">
        <v>5.75</v>
      </c>
      <c r="G297">
        <v>1.708</v>
      </c>
      <c r="H297" s="15">
        <v>10.34</v>
      </c>
      <c r="I297">
        <v>30.09</v>
      </c>
      <c r="J297" t="e">
        <v>#N/A</v>
      </c>
      <c r="K297">
        <v>8.94</v>
      </c>
      <c r="L297">
        <v>1.3</v>
      </c>
      <c r="M297">
        <v>1.7310000000000001</v>
      </c>
      <c r="N297">
        <v>0.31</v>
      </c>
      <c r="O297">
        <v>3.63</v>
      </c>
      <c r="P297">
        <v>0.98699999999999999</v>
      </c>
      <c r="Q297">
        <v>14</v>
      </c>
    </row>
    <row r="298" spans="1:17" x14ac:dyDescent="0.25">
      <c r="A298" s="1">
        <v>41619</v>
      </c>
      <c r="B298">
        <v>8.82</v>
      </c>
      <c r="C298">
        <v>124.74</v>
      </c>
      <c r="D298">
        <v>3.5310000000000001</v>
      </c>
      <c r="E298">
        <v>11.3</v>
      </c>
      <c r="F298">
        <v>5.78</v>
      </c>
      <c r="G298">
        <v>1.708</v>
      </c>
      <c r="H298" s="15">
        <v>10.38</v>
      </c>
      <c r="I298">
        <v>30.13</v>
      </c>
      <c r="J298">
        <v>15.9</v>
      </c>
      <c r="K298">
        <v>9.02</v>
      </c>
      <c r="L298">
        <v>1.36</v>
      </c>
      <c r="M298">
        <v>1.788</v>
      </c>
      <c r="N298">
        <v>0.31</v>
      </c>
      <c r="O298">
        <v>3.67</v>
      </c>
      <c r="P298">
        <v>0.96099999999999997</v>
      </c>
      <c r="Q298">
        <v>15</v>
      </c>
    </row>
    <row r="299" spans="1:17" x14ac:dyDescent="0.25">
      <c r="A299" s="1">
        <v>41620</v>
      </c>
      <c r="B299">
        <v>8.82</v>
      </c>
      <c r="C299">
        <v>125.02</v>
      </c>
      <c r="D299">
        <v>3.5310000000000001</v>
      </c>
      <c r="E299" t="e">
        <v>#N/A</v>
      </c>
      <c r="F299">
        <v>5.69</v>
      </c>
      <c r="G299">
        <v>1.708</v>
      </c>
      <c r="H299" s="15">
        <v>10.71</v>
      </c>
      <c r="I299">
        <v>30.13</v>
      </c>
      <c r="J299">
        <v>15.9</v>
      </c>
      <c r="K299">
        <v>9.07</v>
      </c>
      <c r="L299">
        <v>1.39</v>
      </c>
      <c r="M299">
        <v>1.8049999999999999</v>
      </c>
      <c r="N299">
        <v>0.31</v>
      </c>
      <c r="O299">
        <v>3.72</v>
      </c>
      <c r="P299">
        <v>1.0049999999999999</v>
      </c>
      <c r="Q299">
        <v>14</v>
      </c>
    </row>
    <row r="300" spans="1:17" x14ac:dyDescent="0.25">
      <c r="A300" s="1">
        <v>41621</v>
      </c>
      <c r="B300">
        <v>8.77</v>
      </c>
      <c r="C300">
        <v>124.16</v>
      </c>
      <c r="D300">
        <v>3.5720000000000001</v>
      </c>
      <c r="E300">
        <v>11.1</v>
      </c>
      <c r="F300">
        <v>5.9</v>
      </c>
      <c r="G300">
        <v>1.681</v>
      </c>
      <c r="H300" s="15">
        <v>10.71</v>
      </c>
      <c r="I300" t="e">
        <v>#N/A</v>
      </c>
      <c r="J300">
        <v>15.9</v>
      </c>
      <c r="K300">
        <v>9.2200000000000006</v>
      </c>
      <c r="L300">
        <v>1.36</v>
      </c>
      <c r="M300">
        <v>1.8049999999999999</v>
      </c>
      <c r="N300">
        <v>0.31</v>
      </c>
      <c r="O300">
        <v>3.7</v>
      </c>
      <c r="P300">
        <v>1.0409999999999999</v>
      </c>
      <c r="Q300">
        <v>14</v>
      </c>
    </row>
    <row r="301" spans="1:17" x14ac:dyDescent="0.25">
      <c r="A301" s="1">
        <v>41624</v>
      </c>
      <c r="B301">
        <v>8.74</v>
      </c>
      <c r="C301" t="e">
        <v>#N/A</v>
      </c>
      <c r="D301">
        <v>3.6059999999999999</v>
      </c>
      <c r="E301">
        <v>11.24</v>
      </c>
      <c r="F301">
        <v>6</v>
      </c>
      <c r="G301">
        <v>1.6990000000000001</v>
      </c>
      <c r="H301" s="15">
        <v>11.2</v>
      </c>
      <c r="I301">
        <v>29.98</v>
      </c>
      <c r="J301" t="e">
        <v>#N/A</v>
      </c>
      <c r="K301">
        <v>9.35</v>
      </c>
      <c r="L301">
        <v>1.39</v>
      </c>
      <c r="M301">
        <v>1.829</v>
      </c>
      <c r="N301">
        <v>0.32</v>
      </c>
      <c r="O301">
        <v>3.69</v>
      </c>
      <c r="P301">
        <v>1.1120000000000001</v>
      </c>
      <c r="Q301">
        <v>13</v>
      </c>
    </row>
    <row r="302" spans="1:17" x14ac:dyDescent="0.25">
      <c r="A302" s="1">
        <v>41625</v>
      </c>
      <c r="B302">
        <v>8.92</v>
      </c>
      <c r="C302">
        <v>125.02</v>
      </c>
      <c r="D302">
        <v>3.613</v>
      </c>
      <c r="E302">
        <v>11.2</v>
      </c>
      <c r="F302">
        <v>6.3</v>
      </c>
      <c r="G302">
        <v>1.7170000000000001</v>
      </c>
      <c r="H302" s="15">
        <v>11.59</v>
      </c>
      <c r="I302">
        <v>29.98</v>
      </c>
      <c r="J302" t="e">
        <v>#N/A</v>
      </c>
      <c r="K302">
        <v>9.35</v>
      </c>
      <c r="L302">
        <v>1.37</v>
      </c>
      <c r="M302" t="e">
        <v>#N/A</v>
      </c>
      <c r="N302">
        <v>0.32</v>
      </c>
      <c r="O302">
        <v>3.72</v>
      </c>
      <c r="P302">
        <v>1.147</v>
      </c>
      <c r="Q302">
        <v>13</v>
      </c>
    </row>
    <row r="303" spans="1:17" x14ac:dyDescent="0.25">
      <c r="A303" s="1">
        <v>41626</v>
      </c>
      <c r="B303">
        <v>8.8800000000000008</v>
      </c>
      <c r="C303">
        <v>125.99</v>
      </c>
      <c r="D303">
        <v>3.613</v>
      </c>
      <c r="E303">
        <v>11.2</v>
      </c>
      <c r="F303">
        <v>6.35</v>
      </c>
      <c r="G303">
        <v>1.681</v>
      </c>
      <c r="H303" s="15">
        <v>11.72</v>
      </c>
      <c r="I303">
        <v>29.73</v>
      </c>
      <c r="J303">
        <v>15.9</v>
      </c>
      <c r="K303">
        <v>9.31</v>
      </c>
      <c r="L303">
        <v>1.38</v>
      </c>
      <c r="M303">
        <v>1.829</v>
      </c>
      <c r="N303">
        <v>0.32</v>
      </c>
      <c r="O303">
        <v>3.69</v>
      </c>
      <c r="P303">
        <v>1.121</v>
      </c>
      <c r="Q303">
        <v>15</v>
      </c>
    </row>
    <row r="304" spans="1:17" x14ac:dyDescent="0.25">
      <c r="A304" s="1">
        <v>41627</v>
      </c>
      <c r="B304">
        <v>8.9700000000000006</v>
      </c>
      <c r="C304">
        <v>126.23</v>
      </c>
      <c r="D304">
        <v>3.613</v>
      </c>
      <c r="E304">
        <v>11</v>
      </c>
      <c r="F304">
        <v>6.33</v>
      </c>
      <c r="G304">
        <v>1.6539999999999999</v>
      </c>
      <c r="H304" s="15">
        <v>11.69</v>
      </c>
      <c r="I304">
        <v>30.12</v>
      </c>
      <c r="J304">
        <v>15.9</v>
      </c>
      <c r="K304">
        <v>9.26</v>
      </c>
      <c r="L304">
        <v>1.36</v>
      </c>
      <c r="M304">
        <v>1.764</v>
      </c>
      <c r="N304">
        <v>0.32</v>
      </c>
      <c r="O304">
        <v>3.7</v>
      </c>
      <c r="P304">
        <v>1.085</v>
      </c>
      <c r="Q304">
        <v>15</v>
      </c>
    </row>
    <row r="305" spans="1:17" x14ac:dyDescent="0.25">
      <c r="A305" s="1">
        <v>41628</v>
      </c>
      <c r="B305">
        <v>8.8800000000000008</v>
      </c>
      <c r="C305">
        <v>126.2</v>
      </c>
      <c r="D305">
        <v>3.613</v>
      </c>
      <c r="E305">
        <v>10.75</v>
      </c>
      <c r="F305">
        <v>6.3</v>
      </c>
      <c r="G305">
        <v>1.6539999999999999</v>
      </c>
      <c r="H305" s="15">
        <v>11.67</v>
      </c>
      <c r="I305">
        <v>29.88</v>
      </c>
      <c r="J305">
        <v>15.9</v>
      </c>
      <c r="K305">
        <v>9.1199999999999992</v>
      </c>
      <c r="L305">
        <v>1.32</v>
      </c>
      <c r="M305">
        <v>1.74</v>
      </c>
      <c r="N305">
        <v>0.31</v>
      </c>
      <c r="O305">
        <v>3.67</v>
      </c>
      <c r="P305">
        <v>1.0680000000000001</v>
      </c>
      <c r="Q305">
        <v>15</v>
      </c>
    </row>
    <row r="306" spans="1:17" x14ac:dyDescent="0.25">
      <c r="A306" s="1">
        <v>41631</v>
      </c>
      <c r="B306">
        <v>8.9700000000000006</v>
      </c>
      <c r="C306">
        <v>125.94</v>
      </c>
      <c r="D306">
        <v>3.6480000000000001</v>
      </c>
      <c r="E306">
        <v>10.8</v>
      </c>
      <c r="F306">
        <v>6.35</v>
      </c>
      <c r="G306">
        <v>1.6539999999999999</v>
      </c>
      <c r="H306" s="15">
        <v>11.69</v>
      </c>
      <c r="I306">
        <v>29.5</v>
      </c>
      <c r="J306">
        <v>15.9</v>
      </c>
      <c r="K306">
        <v>9.1199999999999992</v>
      </c>
      <c r="L306">
        <v>1.29</v>
      </c>
      <c r="M306">
        <v>1.74</v>
      </c>
      <c r="N306">
        <v>0.31</v>
      </c>
      <c r="O306">
        <v>3.67</v>
      </c>
      <c r="P306">
        <v>1.05</v>
      </c>
      <c r="Q306">
        <v>15</v>
      </c>
    </row>
    <row r="307" spans="1:17" x14ac:dyDescent="0.25">
      <c r="A307" s="1">
        <v>41632</v>
      </c>
      <c r="B307">
        <v>8.9700000000000006</v>
      </c>
      <c r="C307">
        <v>125.17</v>
      </c>
      <c r="D307">
        <v>3.6890000000000001</v>
      </c>
      <c r="E307">
        <v>10.7</v>
      </c>
      <c r="F307">
        <v>6.4</v>
      </c>
      <c r="G307">
        <v>1.708</v>
      </c>
      <c r="H307" s="15">
        <v>11.59</v>
      </c>
      <c r="I307">
        <v>29.88</v>
      </c>
      <c r="J307" t="e">
        <v>#N/A</v>
      </c>
      <c r="K307">
        <v>8.92</v>
      </c>
      <c r="L307">
        <v>1.3</v>
      </c>
      <c r="M307">
        <v>1.74</v>
      </c>
      <c r="N307">
        <v>0.31</v>
      </c>
      <c r="O307">
        <v>3.74</v>
      </c>
      <c r="P307">
        <v>1.0409999999999999</v>
      </c>
      <c r="Q307">
        <v>14</v>
      </c>
    </row>
    <row r="308" spans="1:17" x14ac:dyDescent="0.25">
      <c r="A308" s="1">
        <v>41634</v>
      </c>
      <c r="B308" t="e">
        <v>#N/A</v>
      </c>
      <c r="C308">
        <v>125.02</v>
      </c>
      <c r="D308">
        <v>3.6819999999999999</v>
      </c>
      <c r="E308">
        <v>11.1</v>
      </c>
      <c r="F308" t="e">
        <v>#N/A</v>
      </c>
      <c r="G308">
        <v>1.6990000000000001</v>
      </c>
      <c r="H308" s="15" t="e">
        <v>#N/A</v>
      </c>
      <c r="I308" t="e">
        <v>#N/A</v>
      </c>
      <c r="J308" t="e">
        <v>#N/A</v>
      </c>
      <c r="K308">
        <v>9.07</v>
      </c>
      <c r="L308">
        <v>1.33</v>
      </c>
      <c r="M308">
        <v>1.74</v>
      </c>
      <c r="N308">
        <v>0.31</v>
      </c>
      <c r="O308">
        <v>3.72</v>
      </c>
      <c r="P308">
        <v>1.0409999999999999</v>
      </c>
      <c r="Q308">
        <v>10</v>
      </c>
    </row>
    <row r="309" spans="1:17" x14ac:dyDescent="0.25">
      <c r="A309" s="1">
        <v>41635</v>
      </c>
      <c r="B309">
        <v>8.9700000000000006</v>
      </c>
      <c r="C309" t="e">
        <v>#N/A</v>
      </c>
      <c r="D309">
        <v>3.641</v>
      </c>
      <c r="E309">
        <v>11.26</v>
      </c>
      <c r="F309">
        <v>6.35</v>
      </c>
      <c r="G309">
        <v>1.69</v>
      </c>
      <c r="H309" s="15">
        <v>11.4</v>
      </c>
      <c r="I309">
        <v>29.49</v>
      </c>
      <c r="J309">
        <v>15.9</v>
      </c>
      <c r="K309">
        <v>9.08</v>
      </c>
      <c r="L309">
        <v>1.36</v>
      </c>
      <c r="M309">
        <v>1.7310000000000001</v>
      </c>
      <c r="N309">
        <v>0.3</v>
      </c>
      <c r="O309">
        <v>3.69</v>
      </c>
      <c r="P309">
        <v>1.0229999999999999</v>
      </c>
      <c r="Q309">
        <v>14</v>
      </c>
    </row>
    <row r="310" spans="1:17" x14ac:dyDescent="0.25">
      <c r="A310" s="1">
        <v>41638</v>
      </c>
      <c r="B310">
        <v>8.9700000000000006</v>
      </c>
      <c r="C310">
        <v>125.02</v>
      </c>
      <c r="D310">
        <v>3.641</v>
      </c>
      <c r="E310">
        <v>11.2</v>
      </c>
      <c r="F310">
        <v>6.36</v>
      </c>
      <c r="G310">
        <v>1.708</v>
      </c>
      <c r="H310" s="15">
        <v>11.64</v>
      </c>
      <c r="I310">
        <v>29.5</v>
      </c>
      <c r="J310">
        <v>15.9</v>
      </c>
      <c r="K310">
        <v>9.27</v>
      </c>
      <c r="L310">
        <v>1.39</v>
      </c>
      <c r="M310">
        <v>1.7150000000000001</v>
      </c>
      <c r="N310">
        <v>0.3</v>
      </c>
      <c r="O310">
        <v>3.69</v>
      </c>
      <c r="P310">
        <v>1.014</v>
      </c>
      <c r="Q310">
        <v>15</v>
      </c>
    </row>
    <row r="311" spans="1:17" x14ac:dyDescent="0.25">
      <c r="A311" s="1">
        <v>41639</v>
      </c>
      <c r="B311" t="e">
        <v>#N/A</v>
      </c>
      <c r="C311">
        <v>125.72</v>
      </c>
      <c r="D311" t="e">
        <v>#N/A</v>
      </c>
      <c r="E311">
        <v>11.11</v>
      </c>
      <c r="F311">
        <v>6.35</v>
      </c>
      <c r="G311">
        <v>1.7350000000000001</v>
      </c>
      <c r="H311" s="15">
        <v>11.69</v>
      </c>
      <c r="I311" t="e">
        <v>#N/A</v>
      </c>
      <c r="J311" t="e">
        <v>#N/A</v>
      </c>
      <c r="K311" t="e">
        <v>#N/A</v>
      </c>
      <c r="L311">
        <v>1.39</v>
      </c>
      <c r="M311">
        <v>1.7150000000000001</v>
      </c>
      <c r="N311">
        <v>0.3</v>
      </c>
      <c r="O311">
        <v>3.74</v>
      </c>
      <c r="P311">
        <v>1.0229999999999999</v>
      </c>
      <c r="Q311">
        <v>10</v>
      </c>
    </row>
    <row r="312" spans="1:17" x14ac:dyDescent="0.25">
      <c r="A312" s="1">
        <v>41641</v>
      </c>
      <c r="B312">
        <v>9.0299999999999994</v>
      </c>
      <c r="C312">
        <v>125.07</v>
      </c>
      <c r="D312">
        <v>3.5720000000000001</v>
      </c>
      <c r="E312">
        <v>11.42</v>
      </c>
      <c r="F312">
        <v>6.3</v>
      </c>
      <c r="G312">
        <v>1.6719999999999999</v>
      </c>
      <c r="H312" s="15">
        <v>11.79</v>
      </c>
      <c r="I312">
        <v>29.5</v>
      </c>
      <c r="J312">
        <v>15.9</v>
      </c>
      <c r="K312" t="e">
        <v>#N/A</v>
      </c>
      <c r="L312">
        <v>1.4</v>
      </c>
      <c r="M312">
        <v>1.7150000000000001</v>
      </c>
      <c r="N312">
        <v>0.3</v>
      </c>
      <c r="O312">
        <v>3.74</v>
      </c>
      <c r="P312">
        <v>1.085</v>
      </c>
      <c r="Q312">
        <v>14</v>
      </c>
    </row>
    <row r="313" spans="1:17" x14ac:dyDescent="0.25">
      <c r="A313" s="1">
        <v>41642</v>
      </c>
      <c r="B313">
        <v>9.07</v>
      </c>
      <c r="C313">
        <v>125.75</v>
      </c>
      <c r="D313">
        <v>3.6749999999999998</v>
      </c>
      <c r="E313">
        <v>11.42</v>
      </c>
      <c r="F313">
        <v>6.4</v>
      </c>
      <c r="G313">
        <v>1.6719999999999999</v>
      </c>
      <c r="H313" s="15">
        <v>11.84</v>
      </c>
      <c r="I313">
        <v>29.5</v>
      </c>
      <c r="J313">
        <v>15.9</v>
      </c>
      <c r="K313">
        <v>9.27</v>
      </c>
      <c r="L313">
        <v>1.42</v>
      </c>
      <c r="M313">
        <v>1.7070000000000001</v>
      </c>
      <c r="N313">
        <v>0.3</v>
      </c>
      <c r="O313">
        <v>3.69</v>
      </c>
      <c r="P313">
        <v>1.103</v>
      </c>
      <c r="Q313">
        <v>15</v>
      </c>
    </row>
    <row r="314" spans="1:17" x14ac:dyDescent="0.25">
      <c r="A314" s="1">
        <v>41645</v>
      </c>
      <c r="B314">
        <v>9.27</v>
      </c>
      <c r="C314">
        <v>124.35</v>
      </c>
      <c r="D314">
        <v>3.6749999999999998</v>
      </c>
      <c r="E314">
        <v>11.4</v>
      </c>
      <c r="F314">
        <v>6.35</v>
      </c>
      <c r="G314">
        <v>1.663</v>
      </c>
      <c r="H314" s="15">
        <v>11.84</v>
      </c>
      <c r="I314">
        <v>29.51</v>
      </c>
      <c r="J314">
        <v>15.9</v>
      </c>
      <c r="K314">
        <v>9.26</v>
      </c>
      <c r="L314">
        <v>1.39</v>
      </c>
      <c r="M314" t="e">
        <v>#N/A</v>
      </c>
      <c r="N314">
        <v>0.3</v>
      </c>
      <c r="O314">
        <v>3.67</v>
      </c>
      <c r="P314">
        <v>1.103</v>
      </c>
      <c r="Q314">
        <v>14</v>
      </c>
    </row>
    <row r="315" spans="1:17" x14ac:dyDescent="0.25">
      <c r="A315" s="1">
        <v>41646</v>
      </c>
      <c r="B315">
        <v>9.2200000000000006</v>
      </c>
      <c r="C315">
        <v>126.27</v>
      </c>
      <c r="D315">
        <v>3.6749999999999998</v>
      </c>
      <c r="E315" t="e">
        <v>#N/A</v>
      </c>
      <c r="F315">
        <v>6.41</v>
      </c>
      <c r="G315">
        <v>1.6539999999999999</v>
      </c>
      <c r="H315" s="15">
        <v>11.89</v>
      </c>
      <c r="I315">
        <v>29.74</v>
      </c>
      <c r="J315">
        <v>16</v>
      </c>
      <c r="K315">
        <v>9.17</v>
      </c>
      <c r="L315">
        <v>1.39</v>
      </c>
      <c r="M315">
        <v>1.7070000000000001</v>
      </c>
      <c r="N315">
        <v>0.28999999999999998</v>
      </c>
      <c r="O315">
        <v>3.67</v>
      </c>
      <c r="P315">
        <v>1.103</v>
      </c>
      <c r="Q315">
        <v>14</v>
      </c>
    </row>
    <row r="316" spans="1:17" x14ac:dyDescent="0.25">
      <c r="A316" s="1">
        <v>41647</v>
      </c>
      <c r="B316">
        <v>9.19</v>
      </c>
      <c r="C316">
        <v>125.31</v>
      </c>
      <c r="D316">
        <v>3.7090000000000001</v>
      </c>
      <c r="E316" t="e">
        <v>#N/A</v>
      </c>
      <c r="F316">
        <v>6.47</v>
      </c>
      <c r="G316">
        <v>1.663</v>
      </c>
      <c r="H316" s="15">
        <v>11.96</v>
      </c>
      <c r="I316">
        <v>30.74</v>
      </c>
      <c r="J316">
        <v>16</v>
      </c>
      <c r="K316">
        <v>9.17</v>
      </c>
      <c r="L316">
        <v>1.39</v>
      </c>
      <c r="M316">
        <v>1.748</v>
      </c>
      <c r="N316">
        <v>0.3</v>
      </c>
      <c r="O316">
        <v>3.71</v>
      </c>
      <c r="P316">
        <v>1.095</v>
      </c>
      <c r="Q316">
        <v>14</v>
      </c>
    </row>
    <row r="317" spans="1:17" x14ac:dyDescent="0.25">
      <c r="A317" s="1">
        <v>41648</v>
      </c>
      <c r="B317">
        <v>9.15</v>
      </c>
      <c r="C317">
        <v>122.56</v>
      </c>
      <c r="D317">
        <v>3.7090000000000001</v>
      </c>
      <c r="E317">
        <v>12</v>
      </c>
      <c r="F317">
        <v>6.45</v>
      </c>
      <c r="G317">
        <v>1.708</v>
      </c>
      <c r="H317" s="15">
        <v>11.98</v>
      </c>
      <c r="I317">
        <v>30.74</v>
      </c>
      <c r="J317">
        <v>16</v>
      </c>
      <c r="K317">
        <v>9.17</v>
      </c>
      <c r="L317">
        <v>1.4</v>
      </c>
      <c r="M317">
        <v>1.78</v>
      </c>
      <c r="N317">
        <v>0.31</v>
      </c>
      <c r="O317">
        <v>3.72</v>
      </c>
      <c r="P317">
        <v>1.085</v>
      </c>
      <c r="Q317">
        <v>15</v>
      </c>
    </row>
    <row r="318" spans="1:17" x14ac:dyDescent="0.25">
      <c r="A318" s="1">
        <v>41649</v>
      </c>
      <c r="B318">
        <v>9.27</v>
      </c>
      <c r="C318">
        <v>126.27</v>
      </c>
      <c r="D318">
        <v>3.7160000000000002</v>
      </c>
      <c r="E318" t="e">
        <v>#N/A</v>
      </c>
      <c r="F318">
        <v>6.45</v>
      </c>
      <c r="G318">
        <v>1.744</v>
      </c>
      <c r="H318" s="15">
        <v>12.08</v>
      </c>
      <c r="I318">
        <v>30.97</v>
      </c>
      <c r="J318">
        <v>16.100000000000001</v>
      </c>
      <c r="K318">
        <v>9.07</v>
      </c>
      <c r="L318">
        <v>1.43</v>
      </c>
      <c r="M318">
        <v>1.74</v>
      </c>
      <c r="N318">
        <v>0.31</v>
      </c>
      <c r="O318">
        <v>3.81</v>
      </c>
      <c r="P318">
        <v>1.103</v>
      </c>
      <c r="Q318">
        <v>14</v>
      </c>
    </row>
    <row r="319" spans="1:17" x14ac:dyDescent="0.25">
      <c r="A319" s="1">
        <v>41652</v>
      </c>
      <c r="B319">
        <v>9.17</v>
      </c>
      <c r="C319">
        <v>125.99</v>
      </c>
      <c r="D319">
        <v>3.7090000000000001</v>
      </c>
      <c r="E319">
        <v>11.78</v>
      </c>
      <c r="F319">
        <v>6.41</v>
      </c>
      <c r="G319">
        <v>1.7350000000000001</v>
      </c>
      <c r="H319" s="15">
        <v>11.98</v>
      </c>
      <c r="I319">
        <v>30.96</v>
      </c>
      <c r="J319">
        <v>16.04</v>
      </c>
      <c r="K319">
        <v>9.07</v>
      </c>
      <c r="L319">
        <v>1.47</v>
      </c>
      <c r="M319">
        <v>1.78</v>
      </c>
      <c r="N319">
        <v>0.3</v>
      </c>
      <c r="O319">
        <v>3.87</v>
      </c>
      <c r="P319">
        <v>1.113</v>
      </c>
      <c r="Q319">
        <v>15</v>
      </c>
    </row>
    <row r="320" spans="1:17" x14ac:dyDescent="0.25">
      <c r="A320" s="1">
        <v>41653</v>
      </c>
      <c r="B320">
        <v>9.17</v>
      </c>
      <c r="C320">
        <v>125.99</v>
      </c>
      <c r="D320">
        <v>3.7160000000000002</v>
      </c>
      <c r="E320">
        <v>11.87</v>
      </c>
      <c r="F320">
        <v>6.4</v>
      </c>
      <c r="G320">
        <v>1.6990000000000001</v>
      </c>
      <c r="H320" s="15">
        <v>12</v>
      </c>
      <c r="I320">
        <v>30.93</v>
      </c>
      <c r="J320">
        <v>16</v>
      </c>
      <c r="K320">
        <v>9.02</v>
      </c>
      <c r="L320">
        <v>1.47</v>
      </c>
      <c r="M320">
        <v>1.78</v>
      </c>
      <c r="N320">
        <v>0.3</v>
      </c>
      <c r="O320">
        <v>3.85</v>
      </c>
      <c r="P320">
        <v>1.1299999999999999</v>
      </c>
      <c r="Q320">
        <v>15</v>
      </c>
    </row>
    <row r="321" spans="1:17" x14ac:dyDescent="0.25">
      <c r="A321" s="1">
        <v>41654</v>
      </c>
      <c r="B321">
        <v>9.17</v>
      </c>
      <c r="C321">
        <v>126.37</v>
      </c>
      <c r="D321">
        <v>3.7160000000000002</v>
      </c>
      <c r="E321">
        <v>11.99</v>
      </c>
      <c r="F321">
        <v>6.47</v>
      </c>
      <c r="G321">
        <v>1.7170000000000001</v>
      </c>
      <c r="H321" s="15">
        <v>12.03</v>
      </c>
      <c r="I321">
        <v>30.93</v>
      </c>
      <c r="J321">
        <v>16</v>
      </c>
      <c r="K321">
        <v>9.07</v>
      </c>
      <c r="L321">
        <v>1.46</v>
      </c>
      <c r="M321">
        <v>1.78</v>
      </c>
      <c r="N321">
        <v>0.28999999999999998</v>
      </c>
      <c r="O321">
        <v>3.85</v>
      </c>
      <c r="P321">
        <v>1.1299999999999999</v>
      </c>
      <c r="Q321">
        <v>15</v>
      </c>
    </row>
    <row r="322" spans="1:17" x14ac:dyDescent="0.25">
      <c r="A322" s="1">
        <v>41655</v>
      </c>
      <c r="B322">
        <v>9.17</v>
      </c>
      <c r="C322">
        <v>126.11</v>
      </c>
      <c r="D322">
        <v>3.7160000000000002</v>
      </c>
      <c r="E322">
        <v>12.05</v>
      </c>
      <c r="F322">
        <v>6.47</v>
      </c>
      <c r="G322">
        <v>1.708</v>
      </c>
      <c r="H322" s="15">
        <v>11.98</v>
      </c>
      <c r="I322">
        <v>30.83</v>
      </c>
      <c r="J322">
        <v>15.9</v>
      </c>
      <c r="K322">
        <v>9.07</v>
      </c>
      <c r="L322">
        <v>1.5</v>
      </c>
      <c r="M322">
        <v>1.829</v>
      </c>
      <c r="N322">
        <v>0.28999999999999998</v>
      </c>
      <c r="O322">
        <v>3.84</v>
      </c>
      <c r="P322">
        <v>1.1299999999999999</v>
      </c>
      <c r="Q322">
        <v>15</v>
      </c>
    </row>
    <row r="323" spans="1:17" x14ac:dyDescent="0.25">
      <c r="A323" s="1">
        <v>41656</v>
      </c>
      <c r="B323">
        <v>9.27</v>
      </c>
      <c r="C323">
        <v>127</v>
      </c>
      <c r="D323">
        <v>3.8119999999999998</v>
      </c>
      <c r="E323">
        <v>12.32</v>
      </c>
      <c r="F323">
        <v>6.47</v>
      </c>
      <c r="G323">
        <v>1.708</v>
      </c>
      <c r="H323" s="15">
        <v>12.08</v>
      </c>
      <c r="I323">
        <v>30.83</v>
      </c>
      <c r="J323">
        <v>15.8</v>
      </c>
      <c r="K323">
        <v>8.9700000000000006</v>
      </c>
      <c r="L323">
        <v>1.5</v>
      </c>
      <c r="M323">
        <v>1.853</v>
      </c>
      <c r="N323">
        <v>0.28999999999999998</v>
      </c>
      <c r="O323">
        <v>3.78</v>
      </c>
      <c r="P323">
        <v>1.121</v>
      </c>
      <c r="Q323">
        <v>15</v>
      </c>
    </row>
    <row r="324" spans="1:17" x14ac:dyDescent="0.25">
      <c r="A324" s="1">
        <v>41659</v>
      </c>
      <c r="B324">
        <v>9.17</v>
      </c>
      <c r="C324" t="e">
        <v>#N/A</v>
      </c>
      <c r="D324">
        <v>3.9159999999999999</v>
      </c>
      <c r="E324">
        <v>12.5</v>
      </c>
      <c r="F324">
        <v>6.46</v>
      </c>
      <c r="G324">
        <v>1.708</v>
      </c>
      <c r="H324" s="15">
        <v>12.01</v>
      </c>
      <c r="I324">
        <v>31.02</v>
      </c>
      <c r="J324" t="e">
        <v>#N/A</v>
      </c>
      <c r="K324">
        <v>8.99</v>
      </c>
      <c r="L324">
        <v>1.6</v>
      </c>
      <c r="M324" t="e">
        <v>#N/A</v>
      </c>
      <c r="N324">
        <v>0.28999999999999998</v>
      </c>
      <c r="O324">
        <v>3.75</v>
      </c>
      <c r="P324">
        <v>1.1299999999999999</v>
      </c>
      <c r="Q324">
        <v>12</v>
      </c>
    </row>
    <row r="325" spans="1:17" x14ac:dyDescent="0.25">
      <c r="A325" s="1">
        <v>41660</v>
      </c>
      <c r="B325">
        <v>9.15</v>
      </c>
      <c r="C325">
        <v>128.09</v>
      </c>
      <c r="D325">
        <v>3.8610000000000002</v>
      </c>
      <c r="E325">
        <v>12.49</v>
      </c>
      <c r="F325">
        <v>6.42</v>
      </c>
      <c r="G325">
        <v>1.69</v>
      </c>
      <c r="H325" s="15">
        <v>11.79</v>
      </c>
      <c r="I325">
        <v>30.93</v>
      </c>
      <c r="J325">
        <v>15.9</v>
      </c>
      <c r="K325">
        <v>8.99</v>
      </c>
      <c r="L325">
        <v>1.64</v>
      </c>
      <c r="M325">
        <v>1.91</v>
      </c>
      <c r="N325">
        <v>0.28999999999999998</v>
      </c>
      <c r="O325">
        <v>3.75</v>
      </c>
      <c r="P325">
        <v>1.1479999999999999</v>
      </c>
      <c r="Q325">
        <v>15</v>
      </c>
    </row>
    <row r="326" spans="1:17" x14ac:dyDescent="0.25">
      <c r="A326" s="1">
        <v>41661</v>
      </c>
      <c r="B326">
        <v>9.1199999999999992</v>
      </c>
      <c r="C326">
        <v>134.44999999999999</v>
      </c>
      <c r="D326">
        <v>3.806</v>
      </c>
      <c r="E326">
        <v>13</v>
      </c>
      <c r="F326">
        <v>6.4</v>
      </c>
      <c r="G326">
        <v>1.6719999999999999</v>
      </c>
      <c r="H326" s="15">
        <v>11.89</v>
      </c>
      <c r="I326">
        <v>31.31</v>
      </c>
      <c r="J326">
        <v>15.9</v>
      </c>
      <c r="K326">
        <v>8.99</v>
      </c>
      <c r="L326">
        <v>1.66</v>
      </c>
      <c r="M326">
        <v>1.91</v>
      </c>
      <c r="N326">
        <v>0.28000000000000003</v>
      </c>
      <c r="O326">
        <v>3.74</v>
      </c>
      <c r="P326">
        <v>1.1299999999999999</v>
      </c>
      <c r="Q326">
        <v>15</v>
      </c>
    </row>
    <row r="327" spans="1:17" x14ac:dyDescent="0.25">
      <c r="A327" s="1">
        <v>41662</v>
      </c>
      <c r="B327">
        <v>9.1</v>
      </c>
      <c r="C327">
        <v>134.44999999999999</v>
      </c>
      <c r="D327">
        <v>3.8119999999999998</v>
      </c>
      <c r="E327">
        <v>13.3</v>
      </c>
      <c r="F327">
        <v>6.25</v>
      </c>
      <c r="G327">
        <v>1.6719999999999999</v>
      </c>
      <c r="H327" s="15">
        <v>11.85</v>
      </c>
      <c r="I327">
        <v>31.54</v>
      </c>
      <c r="J327">
        <v>15.88</v>
      </c>
      <c r="K327" t="e">
        <v>#N/A</v>
      </c>
      <c r="L327">
        <v>1.61</v>
      </c>
      <c r="M327">
        <v>1.91</v>
      </c>
      <c r="N327">
        <v>0.28000000000000003</v>
      </c>
      <c r="O327" t="e">
        <v>#N/A</v>
      </c>
      <c r="P327">
        <v>1.121</v>
      </c>
      <c r="Q327">
        <v>13</v>
      </c>
    </row>
    <row r="328" spans="1:17" x14ac:dyDescent="0.25">
      <c r="A328" s="1">
        <v>41663</v>
      </c>
      <c r="B328">
        <v>9.06</v>
      </c>
      <c r="C328">
        <v>130.88999999999999</v>
      </c>
      <c r="D328">
        <v>3.7029999999999998</v>
      </c>
      <c r="E328">
        <v>13.15</v>
      </c>
      <c r="F328">
        <v>6</v>
      </c>
      <c r="G328">
        <v>1.6719999999999999</v>
      </c>
      <c r="H328" s="15">
        <v>11.6</v>
      </c>
      <c r="I328">
        <v>31.54</v>
      </c>
      <c r="J328">
        <v>15.65</v>
      </c>
      <c r="K328">
        <v>8.99</v>
      </c>
      <c r="L328">
        <v>1.55</v>
      </c>
      <c r="M328">
        <v>1.87</v>
      </c>
      <c r="N328">
        <v>0.28000000000000003</v>
      </c>
      <c r="O328">
        <v>3.64</v>
      </c>
      <c r="P328">
        <v>1.077</v>
      </c>
      <c r="Q328">
        <v>15</v>
      </c>
    </row>
    <row r="329" spans="1:17" x14ac:dyDescent="0.25">
      <c r="A329" s="1">
        <v>41666</v>
      </c>
      <c r="B329">
        <v>8.8699999999999992</v>
      </c>
      <c r="C329">
        <v>127.91</v>
      </c>
      <c r="D329">
        <v>3.778</v>
      </c>
      <c r="E329">
        <v>13</v>
      </c>
      <c r="F329">
        <v>6</v>
      </c>
      <c r="G329">
        <v>1.663</v>
      </c>
      <c r="H329" s="15">
        <v>11.4</v>
      </c>
      <c r="I329">
        <v>30.85</v>
      </c>
      <c r="J329" t="e">
        <v>#N/A</v>
      </c>
      <c r="K329">
        <v>8.89</v>
      </c>
      <c r="L329">
        <v>1.51</v>
      </c>
      <c r="M329">
        <v>1.821</v>
      </c>
      <c r="N329">
        <v>0.27</v>
      </c>
      <c r="O329">
        <v>3.64</v>
      </c>
      <c r="P329">
        <v>1.0409999999999999</v>
      </c>
      <c r="Q329">
        <v>14</v>
      </c>
    </row>
    <row r="330" spans="1:17" x14ac:dyDescent="0.25">
      <c r="A330" s="1">
        <v>41667</v>
      </c>
      <c r="B330">
        <v>8.7200000000000006</v>
      </c>
      <c r="C330">
        <v>127.33</v>
      </c>
      <c r="D330">
        <v>3.7029999999999998</v>
      </c>
      <c r="E330" t="e">
        <v>#N/A</v>
      </c>
      <c r="F330">
        <v>5.62</v>
      </c>
      <c r="G330">
        <v>1.627</v>
      </c>
      <c r="H330" s="15">
        <v>11.49</v>
      </c>
      <c r="I330">
        <v>29.98</v>
      </c>
      <c r="J330" t="e">
        <v>#N/A</v>
      </c>
      <c r="K330">
        <v>8.8699999999999992</v>
      </c>
      <c r="L330">
        <v>1.54</v>
      </c>
      <c r="M330">
        <v>1.748</v>
      </c>
      <c r="N330">
        <v>0.27</v>
      </c>
      <c r="O330">
        <v>3.48</v>
      </c>
      <c r="P330">
        <v>1.0409999999999999</v>
      </c>
      <c r="Q330">
        <v>13</v>
      </c>
    </row>
    <row r="331" spans="1:17" x14ac:dyDescent="0.25">
      <c r="A331" s="1">
        <v>41668</v>
      </c>
      <c r="B331">
        <v>8.48</v>
      </c>
      <c r="C331">
        <v>125.02</v>
      </c>
      <c r="D331">
        <v>3.6749999999999998</v>
      </c>
      <c r="E331" t="e">
        <v>#N/A</v>
      </c>
      <c r="F331">
        <v>5.4</v>
      </c>
      <c r="G331">
        <v>1.609</v>
      </c>
      <c r="H331" s="15">
        <v>11.1</v>
      </c>
      <c r="I331">
        <v>28.55</v>
      </c>
      <c r="J331">
        <v>15.65</v>
      </c>
      <c r="K331">
        <v>8.8699999999999992</v>
      </c>
      <c r="L331">
        <v>1.47</v>
      </c>
      <c r="M331">
        <v>1.6659999999999999</v>
      </c>
      <c r="N331">
        <v>0.26</v>
      </c>
      <c r="O331">
        <v>3.47</v>
      </c>
      <c r="P331">
        <v>1.0049999999999999</v>
      </c>
      <c r="Q331">
        <v>14</v>
      </c>
    </row>
    <row r="332" spans="1:17" x14ac:dyDescent="0.25">
      <c r="A332" s="1">
        <v>41669</v>
      </c>
      <c r="B332">
        <v>8.5299999999999994</v>
      </c>
      <c r="C332">
        <v>127.24</v>
      </c>
      <c r="D332">
        <v>3.6749999999999998</v>
      </c>
      <c r="E332">
        <v>12.85</v>
      </c>
      <c r="F332">
        <v>5.49</v>
      </c>
      <c r="G332">
        <v>1.609</v>
      </c>
      <c r="H332" s="15">
        <v>11.3</v>
      </c>
      <c r="I332">
        <v>29.04</v>
      </c>
      <c r="J332">
        <v>15.65</v>
      </c>
      <c r="K332">
        <v>8.92</v>
      </c>
      <c r="L332">
        <v>1.54</v>
      </c>
      <c r="M332">
        <v>1.7070000000000001</v>
      </c>
      <c r="N332">
        <v>0.26</v>
      </c>
      <c r="O332">
        <v>3.45</v>
      </c>
      <c r="P332">
        <v>1.0409999999999999</v>
      </c>
      <c r="Q332">
        <v>15</v>
      </c>
    </row>
    <row r="333" spans="1:17" x14ac:dyDescent="0.25">
      <c r="A333" s="1">
        <v>41670</v>
      </c>
      <c r="B333">
        <v>8.5299999999999994</v>
      </c>
      <c r="C333">
        <v>126.56</v>
      </c>
      <c r="D333">
        <v>3.778</v>
      </c>
      <c r="E333">
        <v>12.4</v>
      </c>
      <c r="F333">
        <v>5.46</v>
      </c>
      <c r="G333">
        <v>1.601</v>
      </c>
      <c r="H333" s="15">
        <v>11.69</v>
      </c>
      <c r="I333">
        <v>30.21</v>
      </c>
      <c r="J333" t="e">
        <v>#N/A</v>
      </c>
      <c r="K333">
        <v>8.7200000000000006</v>
      </c>
      <c r="L333">
        <v>1.56</v>
      </c>
      <c r="M333">
        <v>1.6339999999999999</v>
      </c>
      <c r="N333">
        <v>0.26</v>
      </c>
      <c r="O333">
        <v>3.35</v>
      </c>
      <c r="P333">
        <v>1.0229999999999999</v>
      </c>
      <c r="Q333">
        <v>14</v>
      </c>
    </row>
    <row r="334" spans="1:17" x14ac:dyDescent="0.25">
      <c r="A334" s="1">
        <v>41673</v>
      </c>
      <c r="B334">
        <v>8.5</v>
      </c>
      <c r="C334">
        <v>122.14</v>
      </c>
      <c r="D334">
        <v>3.641</v>
      </c>
      <c r="E334">
        <v>12.1</v>
      </c>
      <c r="F334">
        <v>5.4</v>
      </c>
      <c r="G334">
        <v>1.546</v>
      </c>
      <c r="H334" s="15">
        <v>11.2</v>
      </c>
      <c r="I334">
        <v>29.5</v>
      </c>
      <c r="J334" t="e">
        <v>#N/A</v>
      </c>
      <c r="K334">
        <v>8.7200000000000006</v>
      </c>
      <c r="L334">
        <v>1.5</v>
      </c>
      <c r="M334">
        <v>1.5609999999999999</v>
      </c>
      <c r="N334">
        <v>0.25</v>
      </c>
      <c r="O334">
        <v>3.27</v>
      </c>
      <c r="P334">
        <v>1.0049999999999999</v>
      </c>
      <c r="Q334">
        <v>14</v>
      </c>
    </row>
    <row r="335" spans="1:17" x14ac:dyDescent="0.25">
      <c r="A335" s="1">
        <v>41674</v>
      </c>
      <c r="B335">
        <v>8.5500000000000007</v>
      </c>
      <c r="C335">
        <v>123.29</v>
      </c>
      <c r="D335">
        <v>3.641</v>
      </c>
      <c r="E335">
        <v>11.49</v>
      </c>
      <c r="F335">
        <v>5.3</v>
      </c>
      <c r="G335">
        <v>1.538</v>
      </c>
      <c r="H335" s="15">
        <v>10.95</v>
      </c>
      <c r="I335">
        <v>29.5</v>
      </c>
      <c r="J335">
        <v>15.15</v>
      </c>
      <c r="K335">
        <v>8.52</v>
      </c>
      <c r="L335">
        <v>1.55</v>
      </c>
      <c r="M335">
        <v>1.5609999999999999</v>
      </c>
      <c r="N335">
        <v>0.25</v>
      </c>
      <c r="O335">
        <v>3.31</v>
      </c>
      <c r="P335">
        <v>1.014</v>
      </c>
      <c r="Q335">
        <v>15</v>
      </c>
    </row>
    <row r="336" spans="1:17" x14ac:dyDescent="0.25">
      <c r="A336" s="1">
        <v>41675</v>
      </c>
      <c r="B336">
        <v>8.5299999999999994</v>
      </c>
      <c r="C336">
        <v>120.22</v>
      </c>
      <c r="D336">
        <v>3.5720000000000001</v>
      </c>
      <c r="E336">
        <v>11.35</v>
      </c>
      <c r="F336">
        <v>5.35</v>
      </c>
      <c r="G336">
        <v>1.502</v>
      </c>
      <c r="H336" s="15">
        <v>10.73</v>
      </c>
      <c r="I336">
        <v>29.5</v>
      </c>
      <c r="J336">
        <v>15</v>
      </c>
      <c r="K336">
        <v>8.52</v>
      </c>
      <c r="L336">
        <v>1.51</v>
      </c>
      <c r="M336">
        <v>1.569</v>
      </c>
      <c r="N336">
        <v>0.25</v>
      </c>
      <c r="O336">
        <v>3.39</v>
      </c>
      <c r="P336">
        <v>1.032</v>
      </c>
      <c r="Q336">
        <v>15</v>
      </c>
    </row>
    <row r="337" spans="1:17" x14ac:dyDescent="0.25">
      <c r="A337" s="1">
        <v>41676</v>
      </c>
      <c r="B337">
        <v>8.5299999999999994</v>
      </c>
      <c r="C337">
        <v>121.13</v>
      </c>
      <c r="D337">
        <v>3.5720000000000001</v>
      </c>
      <c r="E337">
        <v>11.48</v>
      </c>
      <c r="F337">
        <v>5.36</v>
      </c>
      <c r="G337">
        <v>1.502</v>
      </c>
      <c r="H337" s="15">
        <v>10.85</v>
      </c>
      <c r="I337">
        <v>29.5</v>
      </c>
      <c r="J337">
        <v>14.7</v>
      </c>
      <c r="K337">
        <v>8.5399999999999991</v>
      </c>
      <c r="L337">
        <v>1.51</v>
      </c>
      <c r="M337">
        <v>1.6259999999999999</v>
      </c>
      <c r="N337">
        <v>0.25</v>
      </c>
      <c r="O337">
        <v>3.39</v>
      </c>
      <c r="P337">
        <v>1.032</v>
      </c>
      <c r="Q337">
        <v>15</v>
      </c>
    </row>
    <row r="338" spans="1:17" x14ac:dyDescent="0.25">
      <c r="A338" s="1">
        <v>41677</v>
      </c>
      <c r="B338">
        <v>8.5299999999999994</v>
      </c>
      <c r="C338">
        <v>120.7</v>
      </c>
      <c r="D338">
        <v>3.5720000000000001</v>
      </c>
      <c r="E338">
        <v>11.16</v>
      </c>
      <c r="F338">
        <v>5.36</v>
      </c>
      <c r="G338">
        <v>1.51</v>
      </c>
      <c r="H338" s="15">
        <v>10.81</v>
      </c>
      <c r="I338">
        <v>29.51</v>
      </c>
      <c r="J338" t="e">
        <v>#N/A</v>
      </c>
      <c r="K338">
        <v>8.92</v>
      </c>
      <c r="L338">
        <v>1.55</v>
      </c>
      <c r="M338">
        <v>1.7070000000000001</v>
      </c>
      <c r="N338">
        <v>0.26</v>
      </c>
      <c r="O338">
        <v>3.41</v>
      </c>
      <c r="P338">
        <v>1.05</v>
      </c>
      <c r="Q338">
        <v>14</v>
      </c>
    </row>
    <row r="339" spans="1:17" x14ac:dyDescent="0.25">
      <c r="A339" s="1">
        <v>41680</v>
      </c>
      <c r="B339">
        <v>8.4600000000000009</v>
      </c>
      <c r="C339">
        <v>123.08</v>
      </c>
      <c r="D339">
        <v>3.5030000000000001</v>
      </c>
      <c r="E339">
        <v>11.89</v>
      </c>
      <c r="F339">
        <v>5.32</v>
      </c>
      <c r="G339">
        <v>1.484</v>
      </c>
      <c r="H339" s="15">
        <v>10.71</v>
      </c>
      <c r="I339">
        <v>29.5</v>
      </c>
      <c r="J339">
        <v>14.7</v>
      </c>
      <c r="K339">
        <v>8.94</v>
      </c>
      <c r="L339">
        <v>1.51</v>
      </c>
      <c r="M339">
        <v>1.6339999999999999</v>
      </c>
      <c r="N339">
        <v>0.25</v>
      </c>
      <c r="O339">
        <v>3.37</v>
      </c>
      <c r="P339">
        <v>1.032</v>
      </c>
      <c r="Q339">
        <v>15</v>
      </c>
    </row>
    <row r="340" spans="1:17" x14ac:dyDescent="0.25">
      <c r="A340" s="1">
        <v>41681</v>
      </c>
      <c r="B340">
        <v>8.3800000000000008</v>
      </c>
      <c r="C340">
        <v>127.62</v>
      </c>
      <c r="D340">
        <v>3.524</v>
      </c>
      <c r="E340">
        <v>12.33</v>
      </c>
      <c r="F340">
        <v>5.34</v>
      </c>
      <c r="G340">
        <v>1.484</v>
      </c>
      <c r="H340" s="15">
        <v>10.61</v>
      </c>
      <c r="I340">
        <v>29.5</v>
      </c>
      <c r="J340">
        <v>14.4</v>
      </c>
      <c r="K340">
        <v>9.0399999999999991</v>
      </c>
      <c r="L340">
        <v>1.52</v>
      </c>
      <c r="M340">
        <v>1.6339999999999999</v>
      </c>
      <c r="N340">
        <v>0.25</v>
      </c>
      <c r="O340">
        <v>3.34</v>
      </c>
      <c r="P340">
        <v>1.0229999999999999</v>
      </c>
      <c r="Q340">
        <v>15</v>
      </c>
    </row>
    <row r="341" spans="1:17" x14ac:dyDescent="0.25">
      <c r="A341" s="1">
        <v>41682</v>
      </c>
      <c r="B341">
        <v>8.3800000000000008</v>
      </c>
      <c r="C341">
        <v>127.4</v>
      </c>
      <c r="D341">
        <v>3.5310000000000001</v>
      </c>
      <c r="E341">
        <v>12.4</v>
      </c>
      <c r="F341">
        <v>5.39</v>
      </c>
      <c r="G341">
        <v>1.484</v>
      </c>
      <c r="H341" s="15">
        <v>10.95</v>
      </c>
      <c r="I341">
        <v>29.59</v>
      </c>
      <c r="J341">
        <v>14.3</v>
      </c>
      <c r="K341">
        <v>9.1199999999999992</v>
      </c>
      <c r="L341">
        <v>1.52</v>
      </c>
      <c r="M341">
        <v>1.7070000000000001</v>
      </c>
      <c r="N341">
        <v>0.25</v>
      </c>
      <c r="O341">
        <v>3.34</v>
      </c>
      <c r="P341">
        <v>1.014</v>
      </c>
      <c r="Q341">
        <v>15</v>
      </c>
    </row>
    <row r="342" spans="1:17" x14ac:dyDescent="0.25">
      <c r="A342" s="1">
        <v>41683</v>
      </c>
      <c r="B342">
        <v>8.3800000000000008</v>
      </c>
      <c r="C342">
        <v>126.56</v>
      </c>
      <c r="D342">
        <v>3.5649999999999999</v>
      </c>
      <c r="E342">
        <v>12.5</v>
      </c>
      <c r="F342">
        <v>5.38</v>
      </c>
      <c r="G342">
        <v>1.466</v>
      </c>
      <c r="H342" s="15">
        <v>10.95</v>
      </c>
      <c r="I342">
        <v>29.69</v>
      </c>
      <c r="J342">
        <v>14.3</v>
      </c>
      <c r="K342">
        <v>9.1199999999999992</v>
      </c>
      <c r="L342">
        <v>1.55</v>
      </c>
      <c r="M342">
        <v>1.7230000000000001</v>
      </c>
      <c r="N342">
        <v>0.24</v>
      </c>
      <c r="O342">
        <v>3.36</v>
      </c>
      <c r="P342">
        <v>1.0229999999999999</v>
      </c>
      <c r="Q342">
        <v>15</v>
      </c>
    </row>
    <row r="343" spans="1:17" x14ac:dyDescent="0.25">
      <c r="A343" s="1">
        <v>41684</v>
      </c>
      <c r="B343">
        <v>8.39</v>
      </c>
      <c r="C343">
        <v>127.91</v>
      </c>
      <c r="D343">
        <v>3.5790000000000002</v>
      </c>
      <c r="E343">
        <v>12.85</v>
      </c>
      <c r="F343">
        <v>5.37</v>
      </c>
      <c r="G343">
        <v>1.484</v>
      </c>
      <c r="H343" s="15">
        <v>11</v>
      </c>
      <c r="I343">
        <v>30.07</v>
      </c>
      <c r="J343" t="e">
        <v>#N/A</v>
      </c>
      <c r="K343">
        <v>9.1199999999999992</v>
      </c>
      <c r="L343">
        <v>1.59</v>
      </c>
      <c r="M343">
        <v>1.748</v>
      </c>
      <c r="N343">
        <v>0.23</v>
      </c>
      <c r="O343">
        <v>3.36</v>
      </c>
      <c r="P343">
        <v>1.0229999999999999</v>
      </c>
      <c r="Q343">
        <v>14</v>
      </c>
    </row>
    <row r="344" spans="1:17" x14ac:dyDescent="0.25">
      <c r="A344" s="1">
        <v>41687</v>
      </c>
      <c r="B344">
        <v>8.44</v>
      </c>
      <c r="C344">
        <v>127.91</v>
      </c>
      <c r="D344">
        <v>3.6059999999999999</v>
      </c>
      <c r="E344">
        <v>13.07</v>
      </c>
      <c r="F344">
        <v>5.38</v>
      </c>
      <c r="G344">
        <v>1.502</v>
      </c>
      <c r="H344" s="15">
        <v>11.05</v>
      </c>
      <c r="I344">
        <v>29.98</v>
      </c>
      <c r="J344" t="e">
        <v>#N/A</v>
      </c>
      <c r="K344">
        <v>9.1</v>
      </c>
      <c r="L344">
        <v>1.59</v>
      </c>
      <c r="M344" t="e">
        <v>#N/A</v>
      </c>
      <c r="N344">
        <v>0.23</v>
      </c>
      <c r="O344" t="e">
        <v>#N/A</v>
      </c>
      <c r="P344">
        <v>1.032</v>
      </c>
      <c r="Q344">
        <v>12</v>
      </c>
    </row>
    <row r="345" spans="1:17" x14ac:dyDescent="0.25">
      <c r="A345" s="1">
        <v>41688</v>
      </c>
      <c r="B345">
        <v>8.4700000000000006</v>
      </c>
      <c r="C345">
        <v>124.54</v>
      </c>
      <c r="D345">
        <v>3.6819999999999999</v>
      </c>
      <c r="E345">
        <v>13.07</v>
      </c>
      <c r="F345">
        <v>5.31</v>
      </c>
      <c r="G345">
        <v>1.4930000000000001</v>
      </c>
      <c r="H345" s="15">
        <v>10.66</v>
      </c>
      <c r="I345" t="e">
        <v>#N/A</v>
      </c>
      <c r="J345" t="e">
        <v>#N/A</v>
      </c>
      <c r="K345">
        <v>9.1</v>
      </c>
      <c r="L345">
        <v>1.63</v>
      </c>
      <c r="M345">
        <v>1.7150000000000001</v>
      </c>
      <c r="N345">
        <v>0.23</v>
      </c>
      <c r="O345">
        <v>3.33</v>
      </c>
      <c r="P345">
        <v>1.032</v>
      </c>
      <c r="Q345">
        <v>13</v>
      </c>
    </row>
    <row r="346" spans="1:17" x14ac:dyDescent="0.25">
      <c r="A346" s="1">
        <v>41689</v>
      </c>
      <c r="B346">
        <v>8.4700000000000006</v>
      </c>
      <c r="C346">
        <v>122.38</v>
      </c>
      <c r="D346">
        <v>3.641</v>
      </c>
      <c r="E346">
        <v>13</v>
      </c>
      <c r="F346">
        <v>5.37</v>
      </c>
      <c r="G346">
        <v>1.484</v>
      </c>
      <c r="H346" s="15">
        <v>10.5</v>
      </c>
      <c r="I346">
        <v>29.98</v>
      </c>
      <c r="J346">
        <v>14.3</v>
      </c>
      <c r="K346">
        <v>9.1199999999999992</v>
      </c>
      <c r="L346">
        <v>1.62</v>
      </c>
      <c r="M346">
        <v>1.7150000000000001</v>
      </c>
      <c r="N346">
        <v>0.23</v>
      </c>
      <c r="O346">
        <v>3.24</v>
      </c>
      <c r="P346">
        <v>1.0409999999999999</v>
      </c>
      <c r="Q346">
        <v>15</v>
      </c>
    </row>
    <row r="347" spans="1:17" x14ac:dyDescent="0.25">
      <c r="A347" s="1">
        <v>41690</v>
      </c>
      <c r="B347">
        <v>8.48</v>
      </c>
      <c r="C347">
        <v>121.18</v>
      </c>
      <c r="D347">
        <v>3.6749999999999998</v>
      </c>
      <c r="E347">
        <v>13.05</v>
      </c>
      <c r="F347">
        <v>5.34</v>
      </c>
      <c r="G347">
        <v>1.4750000000000001</v>
      </c>
      <c r="H347" s="15">
        <v>10.39</v>
      </c>
      <c r="I347">
        <v>29.98</v>
      </c>
      <c r="J347" t="e">
        <v>#N/A</v>
      </c>
      <c r="K347">
        <v>9.14</v>
      </c>
      <c r="L347">
        <v>1.6</v>
      </c>
      <c r="M347">
        <v>1.7150000000000001</v>
      </c>
      <c r="N347">
        <v>0.23</v>
      </c>
      <c r="O347">
        <v>3.24</v>
      </c>
      <c r="P347">
        <v>1.0589999999999999</v>
      </c>
      <c r="Q347">
        <v>14</v>
      </c>
    </row>
    <row r="348" spans="1:17" x14ac:dyDescent="0.25">
      <c r="A348" s="1">
        <v>41691</v>
      </c>
      <c r="B348">
        <v>8.48</v>
      </c>
      <c r="C348">
        <v>123.31</v>
      </c>
      <c r="D348">
        <v>3.6749999999999998</v>
      </c>
      <c r="E348">
        <v>13.4</v>
      </c>
      <c r="F348">
        <v>5.35</v>
      </c>
      <c r="G348">
        <v>1.4750000000000001</v>
      </c>
      <c r="H348" s="15">
        <v>10.6</v>
      </c>
      <c r="I348" t="e">
        <v>#N/A</v>
      </c>
      <c r="J348" t="e">
        <v>#N/A</v>
      </c>
      <c r="K348">
        <v>9.16</v>
      </c>
      <c r="L348">
        <v>1.6</v>
      </c>
      <c r="M348">
        <v>1.7150000000000001</v>
      </c>
      <c r="N348">
        <v>0.23</v>
      </c>
      <c r="O348">
        <v>3.24</v>
      </c>
      <c r="P348">
        <v>1.077</v>
      </c>
      <c r="Q348">
        <v>13</v>
      </c>
    </row>
    <row r="349" spans="1:17" x14ac:dyDescent="0.25">
      <c r="A349" s="1">
        <v>41694</v>
      </c>
      <c r="B349">
        <v>8.3800000000000008</v>
      </c>
      <c r="C349">
        <v>126.75</v>
      </c>
      <c r="D349">
        <v>3.6819999999999999</v>
      </c>
      <c r="E349">
        <v>13.44</v>
      </c>
      <c r="F349">
        <v>5.35</v>
      </c>
      <c r="G349">
        <v>1.484</v>
      </c>
      <c r="H349" s="15">
        <v>10.76</v>
      </c>
      <c r="I349">
        <v>29.78</v>
      </c>
      <c r="J349">
        <v>14.05</v>
      </c>
      <c r="K349">
        <v>9.19</v>
      </c>
      <c r="L349">
        <v>1.6</v>
      </c>
      <c r="M349">
        <v>1.7150000000000001</v>
      </c>
      <c r="N349">
        <v>0.23</v>
      </c>
      <c r="O349">
        <v>3.24</v>
      </c>
      <c r="P349">
        <v>1.0589999999999999</v>
      </c>
      <c r="Q349">
        <v>15</v>
      </c>
    </row>
    <row r="350" spans="1:17" x14ac:dyDescent="0.25">
      <c r="A350" s="1">
        <v>41695</v>
      </c>
      <c r="B350">
        <v>8.44</v>
      </c>
      <c r="C350" t="e">
        <v>#N/A</v>
      </c>
      <c r="D350">
        <v>3.7090000000000001</v>
      </c>
      <c r="E350">
        <v>13.2</v>
      </c>
      <c r="F350">
        <v>5.36</v>
      </c>
      <c r="G350">
        <v>1.4930000000000001</v>
      </c>
      <c r="H350" s="15">
        <v>10.71</v>
      </c>
      <c r="I350" t="e">
        <v>#N/A</v>
      </c>
      <c r="J350" t="e">
        <v>#N/A</v>
      </c>
      <c r="K350">
        <v>9.15</v>
      </c>
      <c r="L350">
        <v>1.58</v>
      </c>
      <c r="M350" t="e">
        <v>#N/A</v>
      </c>
      <c r="N350">
        <v>0.23</v>
      </c>
      <c r="O350">
        <v>3.24</v>
      </c>
      <c r="P350">
        <v>1.05</v>
      </c>
      <c r="Q350">
        <v>11</v>
      </c>
    </row>
    <row r="351" spans="1:17" x14ac:dyDescent="0.25">
      <c r="A351" s="1">
        <v>41696</v>
      </c>
      <c r="B351">
        <v>8.44</v>
      </c>
      <c r="C351">
        <v>124.09</v>
      </c>
      <c r="D351">
        <v>3.7090000000000001</v>
      </c>
      <c r="E351">
        <v>12.8</v>
      </c>
      <c r="F351">
        <v>5.35</v>
      </c>
      <c r="G351">
        <v>1.484</v>
      </c>
      <c r="H351" s="15">
        <v>10.6</v>
      </c>
      <c r="I351">
        <v>30.07</v>
      </c>
      <c r="J351">
        <v>14.01</v>
      </c>
      <c r="K351">
        <v>9.15</v>
      </c>
      <c r="L351">
        <v>1.59</v>
      </c>
      <c r="M351">
        <v>1.7230000000000001</v>
      </c>
      <c r="N351">
        <v>0.23</v>
      </c>
      <c r="O351">
        <v>3.24</v>
      </c>
      <c r="P351">
        <v>1.05</v>
      </c>
      <c r="Q351">
        <v>15</v>
      </c>
    </row>
    <row r="352" spans="1:17" x14ac:dyDescent="0.25">
      <c r="A352" s="1">
        <v>41697</v>
      </c>
      <c r="B352">
        <v>8.48</v>
      </c>
      <c r="C352">
        <v>124.06</v>
      </c>
      <c r="D352">
        <v>3.7440000000000002</v>
      </c>
      <c r="E352">
        <v>12.75</v>
      </c>
      <c r="F352">
        <v>5.25</v>
      </c>
      <c r="G352">
        <v>1.4930000000000001</v>
      </c>
      <c r="H352" s="15">
        <v>10.54</v>
      </c>
      <c r="I352">
        <v>30.11</v>
      </c>
      <c r="J352">
        <v>14.02</v>
      </c>
      <c r="K352">
        <v>9.1199999999999992</v>
      </c>
      <c r="L352">
        <v>1.59</v>
      </c>
      <c r="M352" t="e">
        <v>#N/A</v>
      </c>
      <c r="N352">
        <v>0.22</v>
      </c>
      <c r="O352">
        <v>3.28</v>
      </c>
      <c r="P352">
        <v>1.0409999999999999</v>
      </c>
      <c r="Q352">
        <v>14</v>
      </c>
    </row>
    <row r="353" spans="1:17" x14ac:dyDescent="0.25">
      <c r="A353" s="1">
        <v>41698</v>
      </c>
      <c r="B353">
        <v>8.5500000000000007</v>
      </c>
      <c r="C353">
        <v>125.02</v>
      </c>
      <c r="D353">
        <v>3.7919999999999998</v>
      </c>
      <c r="E353">
        <v>12.5</v>
      </c>
      <c r="F353">
        <v>5.3</v>
      </c>
      <c r="G353">
        <v>1.51</v>
      </c>
      <c r="H353" s="15">
        <v>10.56</v>
      </c>
      <c r="I353">
        <v>30.21</v>
      </c>
      <c r="J353">
        <v>14.4</v>
      </c>
      <c r="K353">
        <v>9.1</v>
      </c>
      <c r="L353">
        <v>1.61</v>
      </c>
      <c r="M353">
        <v>1.6910000000000001</v>
      </c>
      <c r="N353">
        <v>0.22</v>
      </c>
      <c r="O353">
        <v>3.33</v>
      </c>
      <c r="P353">
        <v>1.0589999999999999</v>
      </c>
      <c r="Q353">
        <v>15</v>
      </c>
    </row>
    <row r="354" spans="1:17" x14ac:dyDescent="0.25">
      <c r="A354" s="1">
        <v>41701</v>
      </c>
      <c r="B354">
        <v>8.48</v>
      </c>
      <c r="C354">
        <v>123.82</v>
      </c>
      <c r="D354">
        <v>3.7370000000000001</v>
      </c>
      <c r="E354">
        <v>13</v>
      </c>
      <c r="F354">
        <v>5.2</v>
      </c>
      <c r="G354">
        <v>1.484</v>
      </c>
      <c r="H354" s="15">
        <v>10.36</v>
      </c>
      <c r="I354">
        <v>29.69</v>
      </c>
      <c r="J354">
        <v>14.6</v>
      </c>
      <c r="K354">
        <v>8.9600000000000009</v>
      </c>
      <c r="L354">
        <v>1.61</v>
      </c>
      <c r="M354">
        <v>1.6339999999999999</v>
      </c>
      <c r="N354">
        <v>0.2</v>
      </c>
      <c r="O354">
        <v>3.32</v>
      </c>
      <c r="P354">
        <v>1.0229999999999999</v>
      </c>
      <c r="Q354">
        <v>15</v>
      </c>
    </row>
    <row r="355" spans="1:17" x14ac:dyDescent="0.25">
      <c r="A355" s="1">
        <v>41702</v>
      </c>
      <c r="B355">
        <v>8.43</v>
      </c>
      <c r="C355">
        <v>125.02</v>
      </c>
      <c r="D355">
        <v>3.7090000000000001</v>
      </c>
      <c r="E355">
        <v>12.85</v>
      </c>
      <c r="F355">
        <v>5.15</v>
      </c>
      <c r="G355">
        <v>1.502</v>
      </c>
      <c r="H355" s="15">
        <v>10.46</v>
      </c>
      <c r="I355">
        <v>29.5</v>
      </c>
      <c r="J355">
        <v>14.6</v>
      </c>
      <c r="K355">
        <v>8.9600000000000009</v>
      </c>
      <c r="L355">
        <v>1.61</v>
      </c>
      <c r="M355">
        <v>1.6419999999999999</v>
      </c>
      <c r="N355">
        <v>0.21</v>
      </c>
      <c r="O355">
        <v>3.29</v>
      </c>
      <c r="P355">
        <v>1.0229999999999999</v>
      </c>
      <c r="Q355">
        <v>15</v>
      </c>
    </row>
    <row r="356" spans="1:17" x14ac:dyDescent="0.25">
      <c r="A356" s="1">
        <v>41703</v>
      </c>
      <c r="B356">
        <v>8.39</v>
      </c>
      <c r="C356">
        <v>125.02</v>
      </c>
      <c r="D356">
        <v>3.6890000000000001</v>
      </c>
      <c r="E356">
        <v>12.85</v>
      </c>
      <c r="F356">
        <v>5.05</v>
      </c>
      <c r="G356">
        <v>1.51</v>
      </c>
      <c r="H356" s="15">
        <v>10.37</v>
      </c>
      <c r="I356">
        <v>29.26</v>
      </c>
      <c r="J356">
        <v>15.3</v>
      </c>
      <c r="K356">
        <v>8.82</v>
      </c>
      <c r="L356">
        <v>1.6</v>
      </c>
      <c r="M356">
        <v>1.6419999999999999</v>
      </c>
      <c r="N356">
        <v>0.2</v>
      </c>
      <c r="O356">
        <v>3.29</v>
      </c>
      <c r="P356">
        <v>1.0049999999999999</v>
      </c>
      <c r="Q356">
        <v>15</v>
      </c>
    </row>
    <row r="357" spans="1:17" x14ac:dyDescent="0.25">
      <c r="A357" s="1">
        <v>41704</v>
      </c>
      <c r="B357">
        <v>8.2799999999999994</v>
      </c>
      <c r="C357">
        <v>124.06</v>
      </c>
      <c r="D357">
        <v>3.6960000000000002</v>
      </c>
      <c r="E357" t="e">
        <v>#N/A</v>
      </c>
      <c r="F357">
        <v>5.05</v>
      </c>
      <c r="G357">
        <v>1.502</v>
      </c>
      <c r="H357" s="15">
        <v>11.06</v>
      </c>
      <c r="I357">
        <v>29.12</v>
      </c>
      <c r="J357">
        <v>15.8</v>
      </c>
      <c r="K357">
        <v>8.7200000000000006</v>
      </c>
      <c r="L357">
        <v>1.59</v>
      </c>
      <c r="M357">
        <v>1.6659999999999999</v>
      </c>
      <c r="N357">
        <v>0.18</v>
      </c>
      <c r="O357">
        <v>3.29</v>
      </c>
      <c r="P357">
        <v>1.0409999999999999</v>
      </c>
      <c r="Q357">
        <v>14</v>
      </c>
    </row>
    <row r="358" spans="1:17" x14ac:dyDescent="0.25">
      <c r="A358" s="1">
        <v>41705</v>
      </c>
      <c r="B358">
        <v>8.23</v>
      </c>
      <c r="C358">
        <v>125.02</v>
      </c>
      <c r="D358">
        <v>3.641</v>
      </c>
      <c r="E358">
        <v>12.95</v>
      </c>
      <c r="F358">
        <v>5.15</v>
      </c>
      <c r="G358">
        <v>1.4930000000000001</v>
      </c>
      <c r="H358" s="15">
        <v>11.05</v>
      </c>
      <c r="I358">
        <v>29.04</v>
      </c>
      <c r="J358">
        <v>15.8</v>
      </c>
      <c r="K358">
        <v>8.7200000000000006</v>
      </c>
      <c r="L358">
        <v>1.59</v>
      </c>
      <c r="M358">
        <v>1.65</v>
      </c>
      <c r="N358">
        <v>0.19</v>
      </c>
      <c r="O358">
        <v>3.29</v>
      </c>
      <c r="P358">
        <v>1.032</v>
      </c>
      <c r="Q358">
        <v>15</v>
      </c>
    </row>
    <row r="359" spans="1:17" x14ac:dyDescent="0.25">
      <c r="A359" s="1">
        <v>41708</v>
      </c>
      <c r="B359">
        <v>8.33</v>
      </c>
      <c r="C359">
        <v>124.64</v>
      </c>
      <c r="D359">
        <v>3.641</v>
      </c>
      <c r="E359" t="e">
        <v>#N/A</v>
      </c>
      <c r="F359">
        <v>5.2</v>
      </c>
      <c r="G359">
        <v>1.51</v>
      </c>
      <c r="H359" s="15">
        <v>10.9</v>
      </c>
      <c r="I359">
        <v>29.03</v>
      </c>
      <c r="J359">
        <v>15.83</v>
      </c>
      <c r="K359">
        <v>8.7200000000000006</v>
      </c>
      <c r="L359">
        <v>1.57</v>
      </c>
      <c r="M359">
        <v>1.6579999999999999</v>
      </c>
      <c r="N359">
        <v>0.2</v>
      </c>
      <c r="O359">
        <v>3.27</v>
      </c>
      <c r="P359">
        <v>1.014</v>
      </c>
      <c r="Q359">
        <v>14</v>
      </c>
    </row>
    <row r="360" spans="1:17" x14ac:dyDescent="0.25">
      <c r="A360" s="1">
        <v>41709</v>
      </c>
      <c r="B360">
        <v>8.3800000000000008</v>
      </c>
      <c r="C360">
        <v>123.1</v>
      </c>
      <c r="D360">
        <v>3.641</v>
      </c>
      <c r="E360">
        <v>12.85</v>
      </c>
      <c r="F360">
        <v>5.2</v>
      </c>
      <c r="G360">
        <v>1.52</v>
      </c>
      <c r="H360" s="15">
        <v>10.92</v>
      </c>
      <c r="I360" t="e">
        <v>#N/A</v>
      </c>
      <c r="J360" t="e">
        <v>#N/A</v>
      </c>
      <c r="K360">
        <v>8.77</v>
      </c>
      <c r="L360">
        <v>1.59</v>
      </c>
      <c r="M360">
        <v>1.6659999999999999</v>
      </c>
      <c r="N360">
        <v>0.22</v>
      </c>
      <c r="O360">
        <v>3.28</v>
      </c>
      <c r="P360">
        <v>1.032</v>
      </c>
      <c r="Q360">
        <v>13</v>
      </c>
    </row>
    <row r="361" spans="1:17" x14ac:dyDescent="0.25">
      <c r="A361" s="1">
        <v>41710</v>
      </c>
      <c r="B361">
        <v>8.3800000000000008</v>
      </c>
      <c r="C361">
        <v>122.81</v>
      </c>
      <c r="D361">
        <v>3.613</v>
      </c>
      <c r="E361">
        <v>12.72</v>
      </c>
      <c r="F361">
        <v>5.2</v>
      </c>
      <c r="G361">
        <v>1.502</v>
      </c>
      <c r="H361" s="15">
        <v>10.95</v>
      </c>
      <c r="I361">
        <v>29.5</v>
      </c>
      <c r="J361" t="e">
        <v>#N/A</v>
      </c>
      <c r="K361">
        <v>8.8699999999999992</v>
      </c>
      <c r="L361">
        <v>1.58</v>
      </c>
      <c r="M361">
        <v>1.6990000000000001</v>
      </c>
      <c r="N361">
        <v>0.22</v>
      </c>
      <c r="O361">
        <v>3.3</v>
      </c>
      <c r="P361">
        <v>1.032</v>
      </c>
      <c r="Q361">
        <v>14</v>
      </c>
    </row>
    <row r="362" spans="1:17" x14ac:dyDescent="0.25">
      <c r="A362" s="1">
        <v>41711</v>
      </c>
      <c r="B362">
        <v>8.08</v>
      </c>
      <c r="C362">
        <v>120.89</v>
      </c>
      <c r="D362">
        <v>3.5720000000000001</v>
      </c>
      <c r="E362">
        <v>13.3</v>
      </c>
      <c r="F362">
        <v>5.15</v>
      </c>
      <c r="G362">
        <v>1.466</v>
      </c>
      <c r="H362" s="15">
        <v>10.9</v>
      </c>
      <c r="I362">
        <v>29.5</v>
      </c>
      <c r="J362">
        <v>15.2</v>
      </c>
      <c r="K362">
        <v>8.8699999999999992</v>
      </c>
      <c r="L362">
        <v>1.54</v>
      </c>
      <c r="M362">
        <v>1.6659999999999999</v>
      </c>
      <c r="N362">
        <v>0.2</v>
      </c>
      <c r="O362">
        <v>3.23</v>
      </c>
      <c r="P362">
        <v>1.0049999999999999</v>
      </c>
      <c r="Q362">
        <v>15</v>
      </c>
    </row>
    <row r="363" spans="1:17" x14ac:dyDescent="0.25">
      <c r="A363" s="1">
        <v>41712</v>
      </c>
      <c r="B363">
        <v>7.93</v>
      </c>
      <c r="C363">
        <v>122.14</v>
      </c>
      <c r="D363">
        <v>3.5720000000000001</v>
      </c>
      <c r="E363">
        <v>14</v>
      </c>
      <c r="F363">
        <v>5.05</v>
      </c>
      <c r="G363">
        <v>1.4390000000000001</v>
      </c>
      <c r="H363" s="15">
        <v>10.46</v>
      </c>
      <c r="I363">
        <v>29.5</v>
      </c>
      <c r="J363">
        <v>15.2</v>
      </c>
      <c r="K363">
        <v>8.8699999999999992</v>
      </c>
      <c r="L363">
        <v>1.53</v>
      </c>
      <c r="M363">
        <v>1.643</v>
      </c>
      <c r="N363">
        <v>0.21</v>
      </c>
      <c r="O363">
        <v>3.19</v>
      </c>
      <c r="P363">
        <v>1.0049999999999999</v>
      </c>
      <c r="Q363">
        <v>15</v>
      </c>
    </row>
    <row r="364" spans="1:17" x14ac:dyDescent="0.25">
      <c r="A364" s="1">
        <v>41715</v>
      </c>
      <c r="B364">
        <v>8.01</v>
      </c>
      <c r="C364">
        <v>122.33</v>
      </c>
      <c r="D364">
        <v>3.5720000000000001</v>
      </c>
      <c r="E364">
        <v>13.76</v>
      </c>
      <c r="F364">
        <v>5.0999999999999996</v>
      </c>
      <c r="G364">
        <v>1.4570000000000001</v>
      </c>
      <c r="H364" s="15">
        <v>10.51</v>
      </c>
      <c r="I364" t="e">
        <v>#N/A</v>
      </c>
      <c r="J364">
        <v>15.28</v>
      </c>
      <c r="K364">
        <v>8.8699999999999992</v>
      </c>
      <c r="L364">
        <v>1.55</v>
      </c>
      <c r="M364">
        <v>1.6180000000000001</v>
      </c>
      <c r="N364">
        <v>0.21</v>
      </c>
      <c r="O364">
        <v>3.2</v>
      </c>
      <c r="P364">
        <v>1.0049999999999999</v>
      </c>
      <c r="Q364">
        <v>14</v>
      </c>
    </row>
    <row r="365" spans="1:17" x14ac:dyDescent="0.25">
      <c r="A365" s="1">
        <v>41716</v>
      </c>
      <c r="B365">
        <v>8.01</v>
      </c>
      <c r="C365">
        <v>123.1</v>
      </c>
      <c r="D365">
        <v>3.51</v>
      </c>
      <c r="E365">
        <v>13.32</v>
      </c>
      <c r="F365">
        <v>5</v>
      </c>
      <c r="G365">
        <v>1.4390000000000001</v>
      </c>
      <c r="H365" s="15">
        <v>10.44</v>
      </c>
      <c r="I365">
        <v>29.5</v>
      </c>
      <c r="J365">
        <v>15.05</v>
      </c>
      <c r="K365">
        <v>8.92</v>
      </c>
      <c r="L365">
        <v>1.55</v>
      </c>
      <c r="M365">
        <v>1.6180000000000001</v>
      </c>
      <c r="N365">
        <v>0.23</v>
      </c>
      <c r="O365">
        <v>3.09</v>
      </c>
      <c r="P365">
        <v>0.98699999999999999</v>
      </c>
      <c r="Q365">
        <v>15</v>
      </c>
    </row>
    <row r="366" spans="1:17" x14ac:dyDescent="0.25">
      <c r="A366" s="1">
        <v>41717</v>
      </c>
      <c r="B366">
        <v>8.01</v>
      </c>
      <c r="C366">
        <v>121.63</v>
      </c>
      <c r="D366">
        <v>3.51</v>
      </c>
      <c r="E366">
        <v>13.11</v>
      </c>
      <c r="F366">
        <v>5</v>
      </c>
      <c r="G366">
        <v>1.421</v>
      </c>
      <c r="H366" s="15">
        <v>10.029999999999999</v>
      </c>
      <c r="I366">
        <v>29.5</v>
      </c>
      <c r="J366">
        <v>15</v>
      </c>
      <c r="K366">
        <v>8.8000000000000007</v>
      </c>
      <c r="L366">
        <v>1.52</v>
      </c>
      <c r="M366">
        <v>1.56</v>
      </c>
      <c r="N366">
        <v>0.22</v>
      </c>
      <c r="O366">
        <v>3.11</v>
      </c>
      <c r="P366">
        <v>0.996</v>
      </c>
      <c r="Q366">
        <v>15</v>
      </c>
    </row>
    <row r="367" spans="1:17" x14ac:dyDescent="0.25">
      <c r="A367" s="1">
        <v>41718</v>
      </c>
      <c r="B367">
        <v>8.01</v>
      </c>
      <c r="C367">
        <v>123.26</v>
      </c>
      <c r="D367">
        <v>3.4689999999999999</v>
      </c>
      <c r="E367">
        <v>12.8</v>
      </c>
      <c r="F367">
        <v>5.05</v>
      </c>
      <c r="G367">
        <v>1.4119999999999999</v>
      </c>
      <c r="H367" s="15">
        <v>10.36</v>
      </c>
      <c r="I367">
        <v>30.07</v>
      </c>
      <c r="J367">
        <v>14.8</v>
      </c>
      <c r="K367">
        <v>8.7200000000000006</v>
      </c>
      <c r="L367">
        <v>1.5</v>
      </c>
      <c r="M367">
        <v>1.5349999999999999</v>
      </c>
      <c r="N367">
        <v>0.22</v>
      </c>
      <c r="O367">
        <v>3.11</v>
      </c>
      <c r="P367">
        <v>1.0049999999999999</v>
      </c>
      <c r="Q367">
        <v>15</v>
      </c>
    </row>
    <row r="368" spans="1:17" x14ac:dyDescent="0.25">
      <c r="A368" s="1">
        <v>41719</v>
      </c>
      <c r="B368">
        <v>7.89</v>
      </c>
      <c r="C368">
        <v>121.47</v>
      </c>
      <c r="D368">
        <v>3.49</v>
      </c>
      <c r="E368">
        <v>12.85</v>
      </c>
      <c r="F368">
        <v>5</v>
      </c>
      <c r="G368">
        <v>1.3939999999999999</v>
      </c>
      <c r="H368" s="15">
        <v>9.82</v>
      </c>
      <c r="I368" t="e">
        <v>#N/A</v>
      </c>
      <c r="J368">
        <v>14.55</v>
      </c>
      <c r="K368">
        <v>8.92</v>
      </c>
      <c r="L368">
        <v>1.5</v>
      </c>
      <c r="M368">
        <v>1.5429999999999999</v>
      </c>
      <c r="N368">
        <v>0.24</v>
      </c>
      <c r="O368">
        <v>3.11</v>
      </c>
      <c r="P368">
        <v>0.98699999999999999</v>
      </c>
      <c r="Q368">
        <v>14</v>
      </c>
    </row>
    <row r="369" spans="1:17" x14ac:dyDescent="0.25">
      <c r="A369" s="1">
        <v>41722</v>
      </c>
      <c r="B369">
        <v>7.89</v>
      </c>
      <c r="C369">
        <v>121.08</v>
      </c>
      <c r="D369">
        <v>3.4969999999999999</v>
      </c>
      <c r="E369">
        <v>12.75</v>
      </c>
      <c r="F369">
        <v>4.95</v>
      </c>
      <c r="G369">
        <v>1.3939999999999999</v>
      </c>
      <c r="H369" s="15">
        <v>9.6199999999999992</v>
      </c>
      <c r="I369">
        <v>29.98</v>
      </c>
      <c r="J369" t="e">
        <v>#N/A</v>
      </c>
      <c r="K369" t="e">
        <v>#N/A</v>
      </c>
      <c r="L369">
        <v>1.49</v>
      </c>
      <c r="M369">
        <v>1.518</v>
      </c>
      <c r="N369">
        <v>0.24</v>
      </c>
      <c r="O369" t="e">
        <v>#N/A</v>
      </c>
      <c r="P369">
        <v>0.98699999999999999</v>
      </c>
      <c r="Q369">
        <v>12</v>
      </c>
    </row>
    <row r="370" spans="1:17" x14ac:dyDescent="0.25">
      <c r="A370" s="1">
        <v>41723</v>
      </c>
      <c r="B370">
        <v>7.71</v>
      </c>
      <c r="C370">
        <v>123.1</v>
      </c>
      <c r="D370">
        <v>3.4969999999999999</v>
      </c>
      <c r="E370">
        <v>12.75</v>
      </c>
      <c r="F370">
        <v>4.99</v>
      </c>
      <c r="G370">
        <v>1.3759999999999999</v>
      </c>
      <c r="H370" s="15">
        <v>9.73</v>
      </c>
      <c r="I370">
        <v>29.98</v>
      </c>
      <c r="J370">
        <v>14.55</v>
      </c>
      <c r="K370">
        <v>8.94</v>
      </c>
      <c r="L370">
        <v>1.46</v>
      </c>
      <c r="M370">
        <v>1.4930000000000001</v>
      </c>
      <c r="N370">
        <v>0.22</v>
      </c>
      <c r="O370">
        <v>3.06</v>
      </c>
      <c r="P370">
        <v>0.95099999999999996</v>
      </c>
      <c r="Q370">
        <v>15</v>
      </c>
    </row>
    <row r="371" spans="1:17" x14ac:dyDescent="0.25">
      <c r="A371" s="1">
        <v>41724</v>
      </c>
      <c r="B371">
        <v>7.39</v>
      </c>
      <c r="C371">
        <v>124.83</v>
      </c>
      <c r="D371">
        <v>3.5030000000000001</v>
      </c>
      <c r="E371">
        <v>12.25</v>
      </c>
      <c r="F371">
        <v>4.91</v>
      </c>
      <c r="G371">
        <v>1.3129999999999999</v>
      </c>
      <c r="H371" s="15">
        <v>9.68</v>
      </c>
      <c r="I371">
        <v>29.74</v>
      </c>
      <c r="J371">
        <v>14.5</v>
      </c>
      <c r="K371">
        <v>8.9600000000000009</v>
      </c>
      <c r="L371">
        <v>1.46</v>
      </c>
      <c r="M371">
        <v>1.4930000000000001</v>
      </c>
      <c r="N371">
        <v>0.22</v>
      </c>
      <c r="O371">
        <v>3.06</v>
      </c>
      <c r="P371">
        <v>0.96</v>
      </c>
      <c r="Q371">
        <v>15</v>
      </c>
    </row>
    <row r="372" spans="1:17" x14ac:dyDescent="0.25">
      <c r="A372" s="1">
        <v>41725</v>
      </c>
      <c r="B372">
        <v>7.59</v>
      </c>
      <c r="C372">
        <v>126.71</v>
      </c>
      <c r="D372">
        <v>3.5030000000000001</v>
      </c>
      <c r="E372">
        <v>12.27</v>
      </c>
      <c r="F372">
        <v>4.9000000000000004</v>
      </c>
      <c r="G372">
        <v>1.3129999999999999</v>
      </c>
      <c r="H372" s="15">
        <v>9.48</v>
      </c>
      <c r="I372">
        <v>29.69</v>
      </c>
      <c r="J372">
        <v>14</v>
      </c>
      <c r="K372">
        <v>8.82</v>
      </c>
      <c r="L372">
        <v>1.46</v>
      </c>
      <c r="M372">
        <v>1.51</v>
      </c>
      <c r="N372">
        <v>0.22</v>
      </c>
      <c r="O372">
        <v>3.04</v>
      </c>
      <c r="P372">
        <v>0.96</v>
      </c>
      <c r="Q372">
        <v>15</v>
      </c>
    </row>
    <row r="373" spans="1:17" x14ac:dyDescent="0.25">
      <c r="A373" s="1">
        <v>41726</v>
      </c>
      <c r="B373">
        <v>7.89</v>
      </c>
      <c r="C373">
        <v>128.87</v>
      </c>
      <c r="D373">
        <v>3.5169999999999999</v>
      </c>
      <c r="E373" t="e">
        <v>#N/A</v>
      </c>
      <c r="F373">
        <v>4.9000000000000004</v>
      </c>
      <c r="G373">
        <v>1.349</v>
      </c>
      <c r="H373" s="15">
        <v>9.6300000000000008</v>
      </c>
      <c r="I373">
        <v>29.69</v>
      </c>
      <c r="J373">
        <v>14.1</v>
      </c>
      <c r="K373">
        <v>8.82</v>
      </c>
      <c r="L373">
        <v>1.5</v>
      </c>
      <c r="M373">
        <v>1.5509999999999999</v>
      </c>
      <c r="N373">
        <v>0.23</v>
      </c>
      <c r="O373">
        <v>3.04</v>
      </c>
      <c r="P373">
        <v>0.96899999999999997</v>
      </c>
      <c r="Q373">
        <v>14</v>
      </c>
    </row>
    <row r="374" spans="1:17" x14ac:dyDescent="0.25">
      <c r="A374" s="1">
        <v>41729</v>
      </c>
      <c r="B374">
        <v>7.89</v>
      </c>
      <c r="C374">
        <v>131.76</v>
      </c>
      <c r="D374">
        <v>3.5310000000000001</v>
      </c>
      <c r="E374">
        <v>12.31</v>
      </c>
      <c r="F374">
        <v>4.9000000000000004</v>
      </c>
      <c r="G374">
        <v>1.3580000000000001</v>
      </c>
      <c r="H374" s="15">
        <v>9.6300000000000008</v>
      </c>
      <c r="I374">
        <v>29.98</v>
      </c>
      <c r="J374" t="e">
        <v>#N/A</v>
      </c>
      <c r="K374">
        <v>8.92</v>
      </c>
      <c r="L374">
        <v>1.49</v>
      </c>
      <c r="M374">
        <v>1.56</v>
      </c>
      <c r="N374">
        <v>0.24</v>
      </c>
      <c r="O374">
        <v>3.03</v>
      </c>
      <c r="P374">
        <v>0.96</v>
      </c>
      <c r="Q374">
        <v>14</v>
      </c>
    </row>
    <row r="375" spans="1:17" x14ac:dyDescent="0.25">
      <c r="A375" s="1">
        <v>41730</v>
      </c>
      <c r="B375">
        <v>7.98</v>
      </c>
      <c r="C375">
        <v>132.02000000000001</v>
      </c>
      <c r="D375">
        <v>3.62</v>
      </c>
      <c r="E375" t="e">
        <v>#N/A</v>
      </c>
      <c r="F375">
        <v>5.0999999999999996</v>
      </c>
      <c r="G375">
        <v>1.3580000000000001</v>
      </c>
      <c r="H375" s="15">
        <v>9.48</v>
      </c>
      <c r="I375">
        <v>30.07</v>
      </c>
      <c r="J375">
        <v>14.1</v>
      </c>
      <c r="K375">
        <v>8.9700000000000006</v>
      </c>
      <c r="L375">
        <v>1.49</v>
      </c>
      <c r="M375">
        <v>1.5760000000000001</v>
      </c>
      <c r="N375">
        <v>0.24</v>
      </c>
      <c r="O375">
        <v>3</v>
      </c>
      <c r="P375">
        <v>0.96</v>
      </c>
      <c r="Q375">
        <v>14</v>
      </c>
    </row>
    <row r="376" spans="1:17" x14ac:dyDescent="0.25">
      <c r="A376" s="1">
        <v>41731</v>
      </c>
      <c r="B376">
        <v>7.89</v>
      </c>
      <c r="C376">
        <v>132.29</v>
      </c>
      <c r="D376">
        <v>3.6059999999999999</v>
      </c>
      <c r="E376">
        <v>13</v>
      </c>
      <c r="F376">
        <v>5.15</v>
      </c>
      <c r="G376">
        <v>1.367</v>
      </c>
      <c r="H376" s="15">
        <v>9.5500000000000007</v>
      </c>
      <c r="I376">
        <v>30.07</v>
      </c>
      <c r="J376">
        <v>14.16</v>
      </c>
      <c r="K376">
        <v>8.9700000000000006</v>
      </c>
      <c r="L376">
        <v>1.5</v>
      </c>
      <c r="M376">
        <v>1.5509999999999999</v>
      </c>
      <c r="N376">
        <v>0.23</v>
      </c>
      <c r="O376">
        <v>3.03</v>
      </c>
      <c r="P376">
        <v>0.96899999999999997</v>
      </c>
      <c r="Q376">
        <v>15</v>
      </c>
    </row>
    <row r="377" spans="1:17" x14ac:dyDescent="0.25">
      <c r="A377" s="1">
        <v>41732</v>
      </c>
      <c r="B377">
        <v>7.88</v>
      </c>
      <c r="C377">
        <v>132.72</v>
      </c>
      <c r="D377">
        <v>3.6059999999999999</v>
      </c>
      <c r="E377">
        <v>12.9</v>
      </c>
      <c r="F377">
        <v>5.25</v>
      </c>
      <c r="G377">
        <v>1.349</v>
      </c>
      <c r="H377" s="15">
        <v>9.52</v>
      </c>
      <c r="I377">
        <v>29.98</v>
      </c>
      <c r="J377" t="e">
        <v>#N/A</v>
      </c>
      <c r="K377">
        <v>8.98</v>
      </c>
      <c r="L377">
        <v>1.5</v>
      </c>
      <c r="M377">
        <v>1.5509999999999999</v>
      </c>
      <c r="N377">
        <v>0.23</v>
      </c>
      <c r="O377">
        <v>3.06</v>
      </c>
      <c r="P377">
        <v>0.96</v>
      </c>
      <c r="Q377">
        <v>14</v>
      </c>
    </row>
    <row r="378" spans="1:17" x14ac:dyDescent="0.25">
      <c r="A378" s="1">
        <v>41733</v>
      </c>
      <c r="B378">
        <v>7.95</v>
      </c>
      <c r="C378">
        <v>135.6</v>
      </c>
      <c r="D378">
        <v>3.6480000000000001</v>
      </c>
      <c r="E378">
        <v>13</v>
      </c>
      <c r="F378">
        <v>5.27</v>
      </c>
      <c r="G378" t="e">
        <v>#N/A</v>
      </c>
      <c r="H378" s="15">
        <v>9.4499999999999993</v>
      </c>
      <c r="I378">
        <v>29.98</v>
      </c>
      <c r="J378">
        <v>14.12</v>
      </c>
      <c r="K378">
        <v>9.02</v>
      </c>
      <c r="L378">
        <v>1.55</v>
      </c>
      <c r="M378">
        <v>1.585</v>
      </c>
      <c r="N378">
        <v>0.22</v>
      </c>
      <c r="O378">
        <v>3.11</v>
      </c>
      <c r="P378">
        <v>0.96</v>
      </c>
      <c r="Q378">
        <v>14</v>
      </c>
    </row>
    <row r="379" spans="1:17" x14ac:dyDescent="0.25">
      <c r="A379" s="1">
        <v>41736</v>
      </c>
      <c r="B379">
        <v>7.98</v>
      </c>
      <c r="C379">
        <v>135.12</v>
      </c>
      <c r="D379">
        <v>3.6819999999999999</v>
      </c>
      <c r="E379">
        <v>12.9</v>
      </c>
      <c r="F379">
        <v>5.27</v>
      </c>
      <c r="G379">
        <v>1.3759999999999999</v>
      </c>
      <c r="H379" s="15">
        <v>9.16</v>
      </c>
      <c r="I379">
        <v>30.12</v>
      </c>
      <c r="J379" t="e">
        <v>#N/A</v>
      </c>
      <c r="K379">
        <v>9.02</v>
      </c>
      <c r="L379">
        <v>1.54</v>
      </c>
      <c r="M379">
        <v>1.593</v>
      </c>
      <c r="N379">
        <v>0.22</v>
      </c>
      <c r="O379">
        <v>3.09</v>
      </c>
      <c r="P379">
        <v>0.95599999999999996</v>
      </c>
      <c r="Q379">
        <v>14</v>
      </c>
    </row>
    <row r="380" spans="1:17" x14ac:dyDescent="0.25">
      <c r="A380" s="1">
        <v>41737</v>
      </c>
      <c r="B380">
        <v>7.93</v>
      </c>
      <c r="C380">
        <v>134.5</v>
      </c>
      <c r="D380">
        <v>3.7229999999999999</v>
      </c>
      <c r="E380">
        <v>13.4</v>
      </c>
      <c r="F380" t="e">
        <v>#N/A</v>
      </c>
      <c r="G380">
        <v>1.403</v>
      </c>
      <c r="H380" s="15">
        <v>9.1300000000000008</v>
      </c>
      <c r="I380">
        <v>30.58</v>
      </c>
      <c r="J380">
        <v>14.5</v>
      </c>
      <c r="K380">
        <v>9.02</v>
      </c>
      <c r="L380">
        <v>1.58</v>
      </c>
      <c r="M380" t="e">
        <v>#N/A</v>
      </c>
      <c r="N380">
        <v>0.23</v>
      </c>
      <c r="O380">
        <v>3.11</v>
      </c>
      <c r="P380">
        <v>0.96499999999999997</v>
      </c>
      <c r="Q380">
        <v>13</v>
      </c>
    </row>
    <row r="381" spans="1:17" x14ac:dyDescent="0.25">
      <c r="A381" s="1">
        <v>41738</v>
      </c>
      <c r="B381">
        <v>7.96</v>
      </c>
      <c r="C381">
        <v>135.6</v>
      </c>
      <c r="D381">
        <v>3.7639999999999998</v>
      </c>
      <c r="E381">
        <v>13.45</v>
      </c>
      <c r="F381">
        <v>5.18</v>
      </c>
      <c r="G381">
        <v>1.403</v>
      </c>
      <c r="H381" s="15">
        <v>9.17</v>
      </c>
      <c r="I381">
        <v>30.64</v>
      </c>
      <c r="J381" t="e">
        <v>#N/A</v>
      </c>
      <c r="K381">
        <v>9.02</v>
      </c>
      <c r="L381">
        <v>1.62</v>
      </c>
      <c r="M381">
        <v>1.609</v>
      </c>
      <c r="N381">
        <v>0.23</v>
      </c>
      <c r="O381">
        <v>3.11</v>
      </c>
      <c r="P381">
        <v>0.97399999999999998</v>
      </c>
      <c r="Q381">
        <v>14</v>
      </c>
    </row>
    <row r="382" spans="1:17" x14ac:dyDescent="0.25">
      <c r="A382" s="1">
        <v>41739</v>
      </c>
      <c r="B382">
        <v>8.08</v>
      </c>
      <c r="C382">
        <v>134.88</v>
      </c>
      <c r="D382">
        <v>3.7850000000000001</v>
      </c>
      <c r="E382">
        <v>13.08</v>
      </c>
      <c r="F382">
        <v>5.31</v>
      </c>
      <c r="G382">
        <v>1.3939999999999999</v>
      </c>
      <c r="H382" s="15">
        <v>9.24</v>
      </c>
      <c r="I382">
        <v>30.64</v>
      </c>
      <c r="J382">
        <v>15</v>
      </c>
      <c r="K382">
        <v>9.07</v>
      </c>
      <c r="L382">
        <v>1.64</v>
      </c>
      <c r="M382">
        <v>1.643</v>
      </c>
      <c r="N382">
        <v>0.24</v>
      </c>
      <c r="O382">
        <v>3.19</v>
      </c>
      <c r="P382">
        <v>1.0109999999999999</v>
      </c>
      <c r="Q382">
        <v>15</v>
      </c>
    </row>
    <row r="383" spans="1:17" x14ac:dyDescent="0.25">
      <c r="A383" s="1">
        <v>41740</v>
      </c>
      <c r="B383">
        <v>8.08</v>
      </c>
      <c r="C383">
        <v>133.68</v>
      </c>
      <c r="D383">
        <v>3.8119999999999998</v>
      </c>
      <c r="E383">
        <v>13</v>
      </c>
      <c r="F383" t="e">
        <v>#N/A</v>
      </c>
      <c r="G383">
        <v>1.43</v>
      </c>
      <c r="H383" s="15">
        <v>9.4</v>
      </c>
      <c r="I383">
        <v>30.64</v>
      </c>
      <c r="J383" t="e">
        <v>#N/A</v>
      </c>
      <c r="K383">
        <v>9.1199999999999992</v>
      </c>
      <c r="L383">
        <v>1.63</v>
      </c>
      <c r="M383">
        <v>1.6259999999999999</v>
      </c>
      <c r="N383">
        <v>0.24</v>
      </c>
      <c r="O383">
        <v>3.22</v>
      </c>
      <c r="P383">
        <v>0.99299999999999999</v>
      </c>
      <c r="Q383">
        <v>13</v>
      </c>
    </row>
    <row r="384" spans="1:17" x14ac:dyDescent="0.25">
      <c r="A384" s="1">
        <v>41743</v>
      </c>
      <c r="B384">
        <v>8.18</v>
      </c>
      <c r="C384">
        <v>135.79</v>
      </c>
      <c r="D384">
        <v>3.8260000000000001</v>
      </c>
      <c r="E384">
        <v>12.93</v>
      </c>
      <c r="F384">
        <v>5.31</v>
      </c>
      <c r="G384">
        <v>1.4390000000000001</v>
      </c>
      <c r="H384" s="15">
        <v>9.4600000000000009</v>
      </c>
      <c r="I384">
        <v>30.74</v>
      </c>
      <c r="J384">
        <v>15.5</v>
      </c>
      <c r="K384" t="e">
        <v>#N/A</v>
      </c>
      <c r="L384">
        <v>1.65</v>
      </c>
      <c r="M384">
        <v>1.651</v>
      </c>
      <c r="N384">
        <v>0.24</v>
      </c>
      <c r="O384">
        <v>3.25</v>
      </c>
      <c r="P384">
        <v>1.002</v>
      </c>
      <c r="Q384">
        <v>14</v>
      </c>
    </row>
    <row r="385" spans="1:17" x14ac:dyDescent="0.25">
      <c r="A385" s="1">
        <v>41744</v>
      </c>
      <c r="B385">
        <v>8.06</v>
      </c>
      <c r="C385">
        <v>132.72</v>
      </c>
      <c r="D385">
        <v>3.778</v>
      </c>
      <c r="E385">
        <v>12.98</v>
      </c>
      <c r="F385">
        <v>5.21</v>
      </c>
      <c r="G385">
        <v>1.4390000000000001</v>
      </c>
      <c r="H385" s="15">
        <v>9.4499999999999993</v>
      </c>
      <c r="I385">
        <v>31.11</v>
      </c>
      <c r="J385" t="e">
        <v>#N/A</v>
      </c>
      <c r="K385">
        <v>9.1</v>
      </c>
      <c r="L385">
        <v>1.62</v>
      </c>
      <c r="M385">
        <v>1.6339999999999999</v>
      </c>
      <c r="N385">
        <v>0.24</v>
      </c>
      <c r="O385">
        <v>3.28</v>
      </c>
      <c r="P385">
        <v>0.99299999999999999</v>
      </c>
      <c r="Q385">
        <v>14</v>
      </c>
    </row>
    <row r="386" spans="1:17" x14ac:dyDescent="0.25">
      <c r="A386" s="1">
        <v>41745</v>
      </c>
      <c r="B386">
        <v>8.0399999999999991</v>
      </c>
      <c r="C386">
        <v>140.25</v>
      </c>
      <c r="D386">
        <v>3.5859999999999999</v>
      </c>
      <c r="E386">
        <v>13.03</v>
      </c>
      <c r="F386">
        <v>5.15</v>
      </c>
      <c r="G386">
        <v>1.4750000000000001</v>
      </c>
      <c r="H386" s="15">
        <v>9.69</v>
      </c>
      <c r="I386">
        <v>31.02</v>
      </c>
      <c r="J386">
        <v>15.8</v>
      </c>
      <c r="K386">
        <v>9</v>
      </c>
      <c r="L386">
        <v>1.64</v>
      </c>
      <c r="M386">
        <v>1.6339999999999999</v>
      </c>
      <c r="N386">
        <v>0.24</v>
      </c>
      <c r="O386">
        <v>3.29</v>
      </c>
      <c r="P386">
        <v>0.98299999999999998</v>
      </c>
      <c r="Q386">
        <v>15</v>
      </c>
    </row>
    <row r="387" spans="1:17" x14ac:dyDescent="0.25">
      <c r="A387" s="1">
        <v>41750</v>
      </c>
      <c r="B387">
        <v>8.1300000000000008</v>
      </c>
      <c r="C387">
        <v>140</v>
      </c>
      <c r="D387">
        <v>3.5720000000000001</v>
      </c>
      <c r="E387">
        <v>12.28</v>
      </c>
      <c r="F387">
        <v>5.15</v>
      </c>
      <c r="G387">
        <v>1.51</v>
      </c>
      <c r="H387" s="15">
        <v>10</v>
      </c>
      <c r="I387">
        <v>31.19</v>
      </c>
      <c r="J387">
        <v>15.8</v>
      </c>
      <c r="K387">
        <v>9</v>
      </c>
      <c r="L387">
        <v>1.65</v>
      </c>
      <c r="M387">
        <v>1.643</v>
      </c>
      <c r="N387">
        <v>0.23</v>
      </c>
      <c r="O387">
        <v>3.26</v>
      </c>
      <c r="P387">
        <v>0.98299999999999998</v>
      </c>
      <c r="Q387">
        <v>15</v>
      </c>
    </row>
    <row r="388" spans="1:17" x14ac:dyDescent="0.25">
      <c r="A388" s="1">
        <v>41751</v>
      </c>
      <c r="B388">
        <v>8.2799999999999994</v>
      </c>
      <c r="C388">
        <v>140.72</v>
      </c>
      <c r="D388">
        <v>3.6059999999999999</v>
      </c>
      <c r="E388">
        <v>12.49</v>
      </c>
      <c r="F388">
        <v>5.15</v>
      </c>
      <c r="G388">
        <v>1.528</v>
      </c>
      <c r="H388" s="15">
        <v>10.119999999999999</v>
      </c>
      <c r="I388">
        <v>31.31</v>
      </c>
      <c r="J388">
        <v>15.8</v>
      </c>
      <c r="K388">
        <v>9</v>
      </c>
      <c r="L388">
        <v>1.64</v>
      </c>
      <c r="M388">
        <v>1.643</v>
      </c>
      <c r="N388">
        <v>0.23</v>
      </c>
      <c r="O388">
        <v>3.32</v>
      </c>
      <c r="P388">
        <v>0.99299999999999999</v>
      </c>
      <c r="Q388">
        <v>15</v>
      </c>
    </row>
    <row r="389" spans="1:17" x14ac:dyDescent="0.25">
      <c r="A389" s="1">
        <v>41752</v>
      </c>
      <c r="B389">
        <v>8.4</v>
      </c>
      <c r="C389">
        <v>142.61000000000001</v>
      </c>
      <c r="D389">
        <v>3.641</v>
      </c>
      <c r="E389">
        <v>12.53</v>
      </c>
      <c r="F389">
        <v>5.0999999999999996</v>
      </c>
      <c r="G389">
        <v>1.5469999999999999</v>
      </c>
      <c r="H389" s="15">
        <v>10.15</v>
      </c>
      <c r="I389">
        <v>31.4</v>
      </c>
      <c r="J389">
        <v>15.8</v>
      </c>
      <c r="K389">
        <v>9.0500000000000007</v>
      </c>
      <c r="L389">
        <v>1.64</v>
      </c>
      <c r="M389">
        <v>1.643</v>
      </c>
      <c r="N389">
        <v>0.23</v>
      </c>
      <c r="O389">
        <v>3.34</v>
      </c>
      <c r="P389">
        <v>0.99299999999999999</v>
      </c>
      <c r="Q389">
        <v>15</v>
      </c>
    </row>
    <row r="390" spans="1:17" x14ac:dyDescent="0.25">
      <c r="A390" s="1">
        <v>41753</v>
      </c>
      <c r="B390">
        <v>8.5</v>
      </c>
      <c r="C390">
        <v>143</v>
      </c>
      <c r="D390">
        <v>3.6819999999999999</v>
      </c>
      <c r="E390">
        <v>12.62</v>
      </c>
      <c r="F390">
        <v>5.0999999999999996</v>
      </c>
      <c r="G390">
        <v>1.538</v>
      </c>
      <c r="H390" s="15">
        <v>10.050000000000001</v>
      </c>
      <c r="I390">
        <v>31.4</v>
      </c>
      <c r="J390">
        <v>15.81</v>
      </c>
      <c r="K390">
        <v>9.06</v>
      </c>
      <c r="L390">
        <v>1.67</v>
      </c>
      <c r="M390">
        <v>1.659</v>
      </c>
      <c r="N390">
        <v>0.26</v>
      </c>
      <c r="O390">
        <v>3.49</v>
      </c>
      <c r="P390">
        <v>0.99299999999999999</v>
      </c>
      <c r="Q390">
        <v>15</v>
      </c>
    </row>
    <row r="391" spans="1:17" x14ac:dyDescent="0.25">
      <c r="A391" s="1">
        <v>41754</v>
      </c>
      <c r="B391">
        <v>8.5</v>
      </c>
      <c r="C391">
        <v>143.5</v>
      </c>
      <c r="D391">
        <v>3.6890000000000001</v>
      </c>
      <c r="E391">
        <v>12.63</v>
      </c>
      <c r="F391">
        <v>5.0999999999999996</v>
      </c>
      <c r="G391">
        <v>1.5189999999999999</v>
      </c>
      <c r="H391" s="15">
        <v>9.9</v>
      </c>
      <c r="I391">
        <v>31.5</v>
      </c>
      <c r="J391" t="e">
        <v>#N/A</v>
      </c>
      <c r="K391">
        <v>9.01</v>
      </c>
      <c r="L391">
        <v>1.69</v>
      </c>
      <c r="M391">
        <v>1.7010000000000001</v>
      </c>
      <c r="N391">
        <v>0.26</v>
      </c>
      <c r="O391">
        <v>3.54</v>
      </c>
      <c r="P391">
        <v>0.99299999999999999</v>
      </c>
      <c r="Q391">
        <v>14</v>
      </c>
    </row>
    <row r="392" spans="1:17" x14ac:dyDescent="0.25">
      <c r="A392" s="1">
        <v>41757</v>
      </c>
      <c r="B392">
        <v>8.4499999999999993</v>
      </c>
      <c r="C392">
        <v>143.25</v>
      </c>
      <c r="D392">
        <v>3.6960000000000002</v>
      </c>
      <c r="E392">
        <v>12.7</v>
      </c>
      <c r="F392">
        <v>5.17</v>
      </c>
      <c r="G392">
        <v>1.538</v>
      </c>
      <c r="H392" s="15">
        <v>9.7799999999999994</v>
      </c>
      <c r="I392">
        <v>31.7</v>
      </c>
      <c r="J392" t="e">
        <v>#N/A</v>
      </c>
      <c r="K392">
        <v>9.02</v>
      </c>
      <c r="L392">
        <v>1.7</v>
      </c>
      <c r="M392">
        <v>1.726</v>
      </c>
      <c r="N392">
        <v>0.26</v>
      </c>
      <c r="O392">
        <v>3.59</v>
      </c>
      <c r="P392">
        <v>0.97299999999999998</v>
      </c>
      <c r="Q392">
        <v>14</v>
      </c>
    </row>
    <row r="393" spans="1:17" x14ac:dyDescent="0.25">
      <c r="A393" s="1">
        <v>41758</v>
      </c>
      <c r="B393">
        <v>8.42</v>
      </c>
      <c r="C393">
        <v>145.12</v>
      </c>
      <c r="D393">
        <v>3.7370000000000001</v>
      </c>
      <c r="E393">
        <v>12.72</v>
      </c>
      <c r="F393">
        <v>5.13</v>
      </c>
      <c r="G393">
        <v>1.5469999999999999</v>
      </c>
      <c r="H393" s="15">
        <v>9.8000000000000007</v>
      </c>
      <c r="I393">
        <v>31.82</v>
      </c>
      <c r="J393">
        <v>15.81</v>
      </c>
      <c r="K393">
        <v>9.02</v>
      </c>
      <c r="L393">
        <v>1.72</v>
      </c>
      <c r="M393">
        <v>1.7589999999999999</v>
      </c>
      <c r="N393">
        <v>0.27</v>
      </c>
      <c r="O393">
        <v>3.59</v>
      </c>
      <c r="P393">
        <v>1.002</v>
      </c>
      <c r="Q393">
        <v>15</v>
      </c>
    </row>
    <row r="394" spans="1:17" x14ac:dyDescent="0.25">
      <c r="A394" s="1">
        <v>41759</v>
      </c>
      <c r="B394">
        <v>8.5</v>
      </c>
      <c r="C394">
        <v>149.5</v>
      </c>
      <c r="D394">
        <v>3.7509999999999999</v>
      </c>
      <c r="E394">
        <v>12.87</v>
      </c>
      <c r="F394">
        <v>5.15</v>
      </c>
      <c r="G394">
        <v>1.5660000000000001</v>
      </c>
      <c r="H394" s="15">
        <v>9.92</v>
      </c>
      <c r="I394">
        <v>32</v>
      </c>
      <c r="J394">
        <v>15.81</v>
      </c>
      <c r="K394">
        <v>9.25</v>
      </c>
      <c r="L394">
        <v>1.78</v>
      </c>
      <c r="M394">
        <v>1.833</v>
      </c>
      <c r="N394">
        <v>0.28000000000000003</v>
      </c>
      <c r="O394" t="e">
        <v>#N/A</v>
      </c>
      <c r="P394">
        <v>1.052</v>
      </c>
      <c r="Q394">
        <v>14</v>
      </c>
    </row>
    <row r="395" spans="1:17" x14ac:dyDescent="0.25">
      <c r="A395" s="1">
        <v>41761</v>
      </c>
      <c r="B395">
        <v>8.75</v>
      </c>
      <c r="C395">
        <v>149.5</v>
      </c>
      <c r="D395">
        <v>3.778</v>
      </c>
      <c r="E395">
        <v>11.48</v>
      </c>
      <c r="F395">
        <v>5.15</v>
      </c>
      <c r="G395">
        <v>1.6679999999999999</v>
      </c>
      <c r="H395" s="15">
        <v>9.85</v>
      </c>
      <c r="I395">
        <v>32.299999999999997</v>
      </c>
      <c r="J395">
        <v>16</v>
      </c>
      <c r="K395">
        <v>9.1</v>
      </c>
      <c r="L395">
        <v>1.78</v>
      </c>
      <c r="M395">
        <v>1.8420000000000001</v>
      </c>
      <c r="N395">
        <v>0.28000000000000003</v>
      </c>
      <c r="O395">
        <v>3.59</v>
      </c>
      <c r="P395">
        <v>1.012</v>
      </c>
      <c r="Q395">
        <v>15</v>
      </c>
    </row>
    <row r="396" spans="1:17" x14ac:dyDescent="0.25">
      <c r="A396" s="1">
        <v>41764</v>
      </c>
      <c r="B396">
        <v>8.84</v>
      </c>
      <c r="C396">
        <v>150.19999999999999</v>
      </c>
      <c r="D396">
        <v>3.778</v>
      </c>
      <c r="E396">
        <v>11.65</v>
      </c>
      <c r="F396">
        <v>5.16</v>
      </c>
      <c r="G396">
        <v>1.649</v>
      </c>
      <c r="H396" s="15">
        <v>9.75</v>
      </c>
      <c r="I396">
        <v>32.35</v>
      </c>
      <c r="J396">
        <v>16</v>
      </c>
      <c r="K396">
        <v>9.3000000000000007</v>
      </c>
      <c r="L396">
        <v>1.75</v>
      </c>
      <c r="M396">
        <v>1.8420000000000001</v>
      </c>
      <c r="N396">
        <v>0.3</v>
      </c>
      <c r="O396">
        <v>3.44</v>
      </c>
      <c r="P396">
        <v>1.022</v>
      </c>
      <c r="Q396">
        <v>15</v>
      </c>
    </row>
    <row r="397" spans="1:17" x14ac:dyDescent="0.25">
      <c r="A397" s="1">
        <v>41765</v>
      </c>
      <c r="B397">
        <v>8.82</v>
      </c>
      <c r="C397">
        <v>149.57</v>
      </c>
      <c r="D397">
        <v>3.8260000000000001</v>
      </c>
      <c r="E397">
        <v>11.5</v>
      </c>
      <c r="F397">
        <v>5.15</v>
      </c>
      <c r="G397">
        <v>1.649</v>
      </c>
      <c r="H397" s="15">
        <v>9.66</v>
      </c>
      <c r="I397">
        <v>32.65</v>
      </c>
      <c r="J397">
        <v>16</v>
      </c>
      <c r="K397">
        <v>9.4</v>
      </c>
      <c r="L397">
        <v>1.75</v>
      </c>
      <c r="M397">
        <v>1.9079999999999999</v>
      </c>
      <c r="N397">
        <v>0.28999999999999998</v>
      </c>
      <c r="O397">
        <v>3.37</v>
      </c>
      <c r="P397">
        <v>1.042</v>
      </c>
      <c r="Q397">
        <v>15</v>
      </c>
    </row>
    <row r="398" spans="1:17" x14ac:dyDescent="0.25">
      <c r="A398" s="1">
        <v>41766</v>
      </c>
      <c r="B398">
        <v>8.82</v>
      </c>
      <c r="C398">
        <v>149.35</v>
      </c>
      <c r="D398">
        <v>3.847</v>
      </c>
      <c r="E398">
        <v>11.07</v>
      </c>
      <c r="F398">
        <v>5.13</v>
      </c>
      <c r="G398">
        <v>1.649</v>
      </c>
      <c r="H398" s="15">
        <v>9.69</v>
      </c>
      <c r="I398" t="e">
        <v>#N/A</v>
      </c>
      <c r="J398" t="e">
        <v>#N/A</v>
      </c>
      <c r="K398">
        <v>9.42</v>
      </c>
      <c r="L398">
        <v>1.8</v>
      </c>
      <c r="M398">
        <v>1.9910000000000001</v>
      </c>
      <c r="N398">
        <v>0.3</v>
      </c>
      <c r="O398">
        <v>3.37</v>
      </c>
      <c r="P398">
        <v>1.0620000000000001</v>
      </c>
      <c r="Q398">
        <v>13</v>
      </c>
    </row>
    <row r="399" spans="1:17" x14ac:dyDescent="0.25">
      <c r="A399" s="1">
        <v>41767</v>
      </c>
      <c r="B399">
        <v>8.75</v>
      </c>
      <c r="C399">
        <v>149.1</v>
      </c>
      <c r="D399">
        <v>3.8540000000000001</v>
      </c>
      <c r="E399">
        <v>11.25</v>
      </c>
      <c r="F399">
        <v>5</v>
      </c>
      <c r="G399">
        <v>1.649</v>
      </c>
      <c r="H399" s="15">
        <v>9.6199999999999992</v>
      </c>
      <c r="I399">
        <v>32.65</v>
      </c>
      <c r="J399">
        <v>16</v>
      </c>
      <c r="K399">
        <v>9.41</v>
      </c>
      <c r="L399">
        <v>1.82</v>
      </c>
      <c r="M399">
        <v>2.0489999999999999</v>
      </c>
      <c r="N399">
        <v>0.3</v>
      </c>
      <c r="O399">
        <v>3.42</v>
      </c>
      <c r="P399">
        <v>1.121</v>
      </c>
      <c r="Q399">
        <v>15</v>
      </c>
    </row>
    <row r="400" spans="1:17" x14ac:dyDescent="0.25">
      <c r="A400" s="1">
        <v>41768</v>
      </c>
      <c r="B400">
        <v>8.75</v>
      </c>
      <c r="C400">
        <v>156.5</v>
      </c>
      <c r="D400">
        <v>3.8610000000000002</v>
      </c>
      <c r="E400">
        <v>11.1</v>
      </c>
      <c r="F400">
        <v>5</v>
      </c>
      <c r="G400">
        <v>1.649</v>
      </c>
      <c r="H400" s="15">
        <v>9.8000000000000007</v>
      </c>
      <c r="I400">
        <v>32.799999999999997</v>
      </c>
      <c r="J400">
        <v>15.9</v>
      </c>
      <c r="K400">
        <v>9.4</v>
      </c>
      <c r="L400">
        <v>1.82</v>
      </c>
      <c r="M400">
        <v>2.0489999999999999</v>
      </c>
      <c r="N400">
        <v>0.3</v>
      </c>
      <c r="O400">
        <v>3.44</v>
      </c>
      <c r="P400">
        <v>1.1020000000000001</v>
      </c>
      <c r="Q400">
        <v>15</v>
      </c>
    </row>
    <row r="401" spans="1:17" x14ac:dyDescent="0.25">
      <c r="A401" s="1">
        <v>41771</v>
      </c>
      <c r="B401">
        <v>8.65</v>
      </c>
      <c r="C401">
        <v>158.54</v>
      </c>
      <c r="D401">
        <v>3.8330000000000002</v>
      </c>
      <c r="E401">
        <v>11.2</v>
      </c>
      <c r="F401">
        <v>5</v>
      </c>
      <c r="G401">
        <v>1.677</v>
      </c>
      <c r="H401" s="15">
        <v>9.7200000000000006</v>
      </c>
      <c r="I401">
        <v>33</v>
      </c>
      <c r="J401">
        <v>15.8</v>
      </c>
      <c r="K401">
        <v>9.4</v>
      </c>
      <c r="L401">
        <v>1.86</v>
      </c>
      <c r="M401">
        <v>2.1240000000000001</v>
      </c>
      <c r="N401">
        <v>0.32</v>
      </c>
      <c r="O401">
        <v>3.39</v>
      </c>
      <c r="P401">
        <v>1.151</v>
      </c>
      <c r="Q401">
        <v>15</v>
      </c>
    </row>
    <row r="402" spans="1:17" x14ac:dyDescent="0.25">
      <c r="A402" s="1">
        <v>41772</v>
      </c>
      <c r="B402">
        <v>8.6</v>
      </c>
      <c r="C402">
        <v>158.4</v>
      </c>
      <c r="D402">
        <v>3.819</v>
      </c>
      <c r="E402">
        <v>11.1</v>
      </c>
      <c r="F402">
        <v>4.9000000000000004</v>
      </c>
      <c r="G402">
        <v>1.659</v>
      </c>
      <c r="H402" s="15">
        <v>9.6</v>
      </c>
      <c r="I402">
        <v>33.11</v>
      </c>
      <c r="J402" t="e">
        <v>#N/A</v>
      </c>
      <c r="K402">
        <v>9.3000000000000007</v>
      </c>
      <c r="L402">
        <v>1.84</v>
      </c>
      <c r="M402">
        <v>2.0910000000000002</v>
      </c>
      <c r="N402">
        <v>0.32</v>
      </c>
      <c r="O402">
        <v>3.31</v>
      </c>
      <c r="P402">
        <v>1.121</v>
      </c>
      <c r="Q402">
        <v>14</v>
      </c>
    </row>
    <row r="403" spans="1:17" x14ac:dyDescent="0.25">
      <c r="A403" s="1">
        <v>41773</v>
      </c>
      <c r="B403">
        <v>8.56</v>
      </c>
      <c r="C403">
        <v>157.65</v>
      </c>
      <c r="D403">
        <v>3.8119999999999998</v>
      </c>
      <c r="E403">
        <v>11.07</v>
      </c>
      <c r="F403">
        <v>4.9000000000000004</v>
      </c>
      <c r="G403">
        <v>1.6679999999999999</v>
      </c>
      <c r="H403" s="15">
        <v>9.58</v>
      </c>
      <c r="I403">
        <v>33</v>
      </c>
      <c r="J403">
        <v>15.8</v>
      </c>
      <c r="K403">
        <v>9.1999999999999993</v>
      </c>
      <c r="L403">
        <v>1.82</v>
      </c>
      <c r="M403">
        <v>2.0910000000000002</v>
      </c>
      <c r="N403">
        <v>0.32</v>
      </c>
      <c r="O403">
        <v>3.32</v>
      </c>
      <c r="P403">
        <v>1.0920000000000001</v>
      </c>
      <c r="Q403">
        <v>15</v>
      </c>
    </row>
    <row r="404" spans="1:17" x14ac:dyDescent="0.25">
      <c r="A404" s="1">
        <v>41774</v>
      </c>
      <c r="B404">
        <v>8.5</v>
      </c>
      <c r="C404">
        <v>155.22999999999999</v>
      </c>
      <c r="D404">
        <v>3.8119999999999998</v>
      </c>
      <c r="E404">
        <v>10.98</v>
      </c>
      <c r="F404">
        <v>4.9000000000000004</v>
      </c>
      <c r="G404">
        <v>1.724</v>
      </c>
      <c r="H404" s="15">
        <v>9.4</v>
      </c>
      <c r="I404">
        <v>33</v>
      </c>
      <c r="J404">
        <v>15.8</v>
      </c>
      <c r="K404">
        <v>9.1999999999999993</v>
      </c>
      <c r="L404">
        <v>1.79</v>
      </c>
      <c r="M404">
        <v>2.1160000000000001</v>
      </c>
      <c r="N404">
        <v>0.31</v>
      </c>
      <c r="O404">
        <v>3.22</v>
      </c>
      <c r="P404">
        <v>1.0920000000000001</v>
      </c>
      <c r="Q404">
        <v>15</v>
      </c>
    </row>
    <row r="405" spans="1:17" x14ac:dyDescent="0.25">
      <c r="A405" s="1">
        <v>41775</v>
      </c>
      <c r="B405">
        <v>8.49</v>
      </c>
      <c r="C405">
        <v>155.69999999999999</v>
      </c>
      <c r="D405">
        <v>3.8119999999999998</v>
      </c>
      <c r="E405">
        <v>10.92</v>
      </c>
      <c r="F405">
        <v>4.9000000000000004</v>
      </c>
      <c r="G405">
        <v>1.7889999999999999</v>
      </c>
      <c r="H405" s="15">
        <v>9.4</v>
      </c>
      <c r="I405">
        <v>33</v>
      </c>
      <c r="J405">
        <v>15.8</v>
      </c>
      <c r="K405">
        <v>9.15</v>
      </c>
      <c r="L405">
        <v>1.77</v>
      </c>
      <c r="M405">
        <v>2.1320000000000001</v>
      </c>
      <c r="N405">
        <v>0.28000000000000003</v>
      </c>
      <c r="O405">
        <v>3.21</v>
      </c>
      <c r="P405">
        <v>1.0920000000000001</v>
      </c>
      <c r="Q405">
        <v>15</v>
      </c>
    </row>
    <row r="406" spans="1:17" x14ac:dyDescent="0.25">
      <c r="A406" s="1">
        <v>41778</v>
      </c>
      <c r="B406">
        <v>8.5</v>
      </c>
      <c r="C406">
        <v>156.18</v>
      </c>
      <c r="D406">
        <v>3.8119999999999998</v>
      </c>
      <c r="E406">
        <v>10.9</v>
      </c>
      <c r="F406">
        <v>5</v>
      </c>
      <c r="G406">
        <v>1.7609999999999999</v>
      </c>
      <c r="H406" s="15">
        <v>9.39</v>
      </c>
      <c r="I406">
        <v>33</v>
      </c>
      <c r="J406">
        <v>15.8</v>
      </c>
      <c r="K406">
        <v>9.16</v>
      </c>
      <c r="L406">
        <v>1.74</v>
      </c>
      <c r="M406">
        <v>2.0819999999999999</v>
      </c>
      <c r="N406">
        <v>0.28000000000000003</v>
      </c>
      <c r="O406">
        <v>3.18</v>
      </c>
      <c r="P406">
        <v>1.0920000000000001</v>
      </c>
      <c r="Q406">
        <v>15</v>
      </c>
    </row>
    <row r="407" spans="1:17" x14ac:dyDescent="0.25">
      <c r="A407" s="1">
        <v>41779</v>
      </c>
      <c r="B407" t="e">
        <v>#N/A</v>
      </c>
      <c r="C407">
        <v>153.5</v>
      </c>
      <c r="D407">
        <v>3.7989999999999999</v>
      </c>
      <c r="E407">
        <v>10.9</v>
      </c>
      <c r="F407">
        <v>5</v>
      </c>
      <c r="G407">
        <v>1.7330000000000001</v>
      </c>
      <c r="H407" s="15">
        <v>9.35</v>
      </c>
      <c r="I407">
        <v>33</v>
      </c>
      <c r="J407" t="e">
        <v>#N/A</v>
      </c>
      <c r="K407">
        <v>9.16</v>
      </c>
      <c r="L407">
        <v>1.72</v>
      </c>
      <c r="M407">
        <v>2.1160000000000001</v>
      </c>
      <c r="N407">
        <v>0.28000000000000003</v>
      </c>
      <c r="O407">
        <v>3.19</v>
      </c>
      <c r="P407">
        <v>1.0820000000000001</v>
      </c>
      <c r="Q407">
        <v>13</v>
      </c>
    </row>
    <row r="408" spans="1:17" x14ac:dyDescent="0.25">
      <c r="A408" s="1">
        <v>41780</v>
      </c>
      <c r="B408">
        <v>8.5</v>
      </c>
      <c r="C408">
        <v>156.1</v>
      </c>
      <c r="D408">
        <v>3.7989999999999999</v>
      </c>
      <c r="E408">
        <v>10.89</v>
      </c>
      <c r="F408">
        <v>4.9800000000000004</v>
      </c>
      <c r="G408">
        <v>1.752</v>
      </c>
      <c r="H408" s="15">
        <v>9.3000000000000007</v>
      </c>
      <c r="I408">
        <v>33</v>
      </c>
      <c r="J408">
        <v>15.75</v>
      </c>
      <c r="K408">
        <v>9.1999999999999993</v>
      </c>
      <c r="L408">
        <v>1.75</v>
      </c>
      <c r="M408">
        <v>2.157</v>
      </c>
      <c r="N408">
        <v>0.28000000000000003</v>
      </c>
      <c r="O408">
        <v>3.2</v>
      </c>
      <c r="P408">
        <v>1.0720000000000001</v>
      </c>
      <c r="Q408">
        <v>15</v>
      </c>
    </row>
    <row r="409" spans="1:17" x14ac:dyDescent="0.25">
      <c r="A409" s="1">
        <v>41781</v>
      </c>
      <c r="B409">
        <v>8.5500000000000007</v>
      </c>
      <c r="C409">
        <v>156.6</v>
      </c>
      <c r="D409">
        <v>3.8260000000000001</v>
      </c>
      <c r="E409">
        <v>10.8</v>
      </c>
      <c r="F409">
        <v>4.9800000000000004</v>
      </c>
      <c r="G409">
        <v>1.7709999999999999</v>
      </c>
      <c r="H409" s="15">
        <v>9.2799999999999994</v>
      </c>
      <c r="I409">
        <v>33.1</v>
      </c>
      <c r="J409" t="e">
        <v>#N/A</v>
      </c>
      <c r="K409">
        <v>9.2100000000000009</v>
      </c>
      <c r="L409">
        <v>1.76</v>
      </c>
      <c r="M409">
        <v>2.2149999999999999</v>
      </c>
      <c r="N409">
        <v>0.28000000000000003</v>
      </c>
      <c r="O409">
        <v>3.21</v>
      </c>
      <c r="P409">
        <v>1.0820000000000001</v>
      </c>
      <c r="Q409">
        <v>14</v>
      </c>
    </row>
    <row r="410" spans="1:17" x14ac:dyDescent="0.25">
      <c r="A410" s="1">
        <v>41782</v>
      </c>
      <c r="B410">
        <v>8.59</v>
      </c>
      <c r="C410">
        <v>157</v>
      </c>
      <c r="D410">
        <v>3.84</v>
      </c>
      <c r="E410">
        <v>10.85</v>
      </c>
      <c r="F410">
        <v>4.95</v>
      </c>
      <c r="G410">
        <v>1.7430000000000001</v>
      </c>
      <c r="H410" s="15">
        <v>9.2899999999999991</v>
      </c>
      <c r="I410">
        <v>33.020000000000003</v>
      </c>
      <c r="J410" t="e">
        <v>#N/A</v>
      </c>
      <c r="K410">
        <v>9.1999999999999993</v>
      </c>
      <c r="L410">
        <v>1.78</v>
      </c>
      <c r="M410">
        <v>2.2730000000000001</v>
      </c>
      <c r="N410">
        <v>0.28000000000000003</v>
      </c>
      <c r="O410">
        <v>3.21</v>
      </c>
      <c r="P410">
        <v>1.1020000000000001</v>
      </c>
      <c r="Q410">
        <v>14</v>
      </c>
    </row>
    <row r="411" spans="1:17" x14ac:dyDescent="0.25">
      <c r="A411" s="1">
        <v>41785</v>
      </c>
      <c r="B411">
        <v>8.59</v>
      </c>
      <c r="C411" t="e">
        <v>#N/A</v>
      </c>
      <c r="D411">
        <v>3.8330000000000002</v>
      </c>
      <c r="E411">
        <v>10.78</v>
      </c>
      <c r="F411" t="e">
        <v>#N/A</v>
      </c>
      <c r="G411" t="e">
        <v>#N/A</v>
      </c>
      <c r="H411" s="15">
        <v>9.2899999999999991</v>
      </c>
      <c r="I411">
        <v>32.85</v>
      </c>
      <c r="J411">
        <v>15.74</v>
      </c>
      <c r="K411">
        <v>9.1999999999999993</v>
      </c>
      <c r="L411" t="e">
        <v>#N/A</v>
      </c>
      <c r="M411">
        <v>2.306</v>
      </c>
      <c r="N411">
        <v>0.28999999999999998</v>
      </c>
      <c r="O411">
        <v>3.2</v>
      </c>
      <c r="P411">
        <v>1.1020000000000001</v>
      </c>
      <c r="Q411">
        <v>11</v>
      </c>
    </row>
    <row r="412" spans="1:17" x14ac:dyDescent="0.25">
      <c r="A412" s="1">
        <v>41786</v>
      </c>
      <c r="B412">
        <v>8.59</v>
      </c>
      <c r="C412">
        <v>154.75</v>
      </c>
      <c r="D412">
        <v>3.847</v>
      </c>
      <c r="E412">
        <v>10.5</v>
      </c>
      <c r="F412">
        <v>4.95</v>
      </c>
      <c r="G412">
        <v>1.7430000000000001</v>
      </c>
      <c r="H412" s="15">
        <v>9.27</v>
      </c>
      <c r="I412">
        <v>32.799999999999997</v>
      </c>
      <c r="J412">
        <v>15.7</v>
      </c>
      <c r="K412">
        <v>9.1999999999999993</v>
      </c>
      <c r="L412">
        <v>1.74</v>
      </c>
      <c r="M412">
        <v>2.2400000000000002</v>
      </c>
      <c r="N412">
        <v>0.3</v>
      </c>
      <c r="O412">
        <v>3.26</v>
      </c>
      <c r="P412">
        <v>1.0720000000000001</v>
      </c>
      <c r="Q412">
        <v>15</v>
      </c>
    </row>
    <row r="413" spans="1:17" x14ac:dyDescent="0.25">
      <c r="A413" s="1">
        <v>41787</v>
      </c>
      <c r="B413">
        <v>8.58</v>
      </c>
      <c r="C413">
        <v>158</v>
      </c>
      <c r="D413">
        <v>3.8260000000000001</v>
      </c>
      <c r="E413">
        <v>10.35</v>
      </c>
      <c r="F413">
        <v>4.93</v>
      </c>
      <c r="G413">
        <v>1.7330000000000001</v>
      </c>
      <c r="H413" s="15">
        <v>9.1999999999999993</v>
      </c>
      <c r="I413">
        <v>33</v>
      </c>
      <c r="J413" t="e">
        <v>#N/A</v>
      </c>
      <c r="K413">
        <v>9.1999999999999993</v>
      </c>
      <c r="L413">
        <v>1.74</v>
      </c>
      <c r="M413">
        <v>2.2240000000000002</v>
      </c>
      <c r="N413">
        <v>0.3</v>
      </c>
      <c r="O413">
        <v>3.27</v>
      </c>
      <c r="P413">
        <v>1.0620000000000001</v>
      </c>
      <c r="Q413">
        <v>14</v>
      </c>
    </row>
    <row r="414" spans="1:17" x14ac:dyDescent="0.25">
      <c r="A414" s="1">
        <v>41788</v>
      </c>
      <c r="B414">
        <v>8.4700000000000006</v>
      </c>
      <c r="C414" t="e">
        <v>#N/A</v>
      </c>
      <c r="D414">
        <v>3.84</v>
      </c>
      <c r="E414">
        <v>10.4</v>
      </c>
      <c r="F414">
        <v>4.9800000000000004</v>
      </c>
      <c r="G414">
        <v>1.7609999999999999</v>
      </c>
      <c r="H414" s="15">
        <v>9.18</v>
      </c>
      <c r="I414">
        <v>33</v>
      </c>
      <c r="J414" t="e">
        <v>#N/A</v>
      </c>
      <c r="K414">
        <v>9.15</v>
      </c>
      <c r="L414">
        <v>1.75</v>
      </c>
      <c r="M414">
        <v>2.1989999999999998</v>
      </c>
      <c r="N414">
        <v>0.3</v>
      </c>
      <c r="O414">
        <v>3.34</v>
      </c>
      <c r="P414">
        <v>1.0720000000000001</v>
      </c>
      <c r="Q414">
        <v>13</v>
      </c>
    </row>
    <row r="415" spans="1:17" x14ac:dyDescent="0.25">
      <c r="A415" s="1">
        <v>41789</v>
      </c>
      <c r="B415">
        <v>8.5</v>
      </c>
      <c r="C415">
        <v>159</v>
      </c>
      <c r="D415">
        <v>3.867</v>
      </c>
      <c r="E415">
        <v>10.65</v>
      </c>
      <c r="F415">
        <v>4.9000000000000004</v>
      </c>
      <c r="G415">
        <v>1.7430000000000001</v>
      </c>
      <c r="H415" s="15">
        <v>9.35</v>
      </c>
      <c r="I415">
        <v>32.979999999999997</v>
      </c>
      <c r="J415">
        <v>16</v>
      </c>
      <c r="K415">
        <v>9</v>
      </c>
      <c r="L415">
        <v>1.73</v>
      </c>
      <c r="M415">
        <v>2.1739999999999999</v>
      </c>
      <c r="N415">
        <v>0.32</v>
      </c>
      <c r="O415">
        <v>3.37</v>
      </c>
      <c r="P415">
        <v>1.0620000000000001</v>
      </c>
      <c r="Q415">
        <v>15</v>
      </c>
    </row>
    <row r="416" spans="1:17" x14ac:dyDescent="0.25">
      <c r="A416" s="1">
        <v>41792</v>
      </c>
      <c r="B416">
        <v>8.4</v>
      </c>
      <c r="C416">
        <v>157</v>
      </c>
      <c r="D416">
        <v>3.8610000000000002</v>
      </c>
      <c r="E416">
        <v>10.45</v>
      </c>
      <c r="F416">
        <v>5.05</v>
      </c>
      <c r="G416">
        <v>1.7150000000000001</v>
      </c>
      <c r="H416" s="15">
        <v>9.1</v>
      </c>
      <c r="I416">
        <v>32.9</v>
      </c>
      <c r="J416" t="e">
        <v>#N/A</v>
      </c>
      <c r="K416">
        <v>9.0500000000000007</v>
      </c>
      <c r="L416">
        <v>1.71</v>
      </c>
      <c r="M416">
        <v>2.1739999999999999</v>
      </c>
      <c r="N416">
        <v>0.34</v>
      </c>
      <c r="O416">
        <v>3.42</v>
      </c>
      <c r="P416">
        <v>1.0620000000000001</v>
      </c>
      <c r="Q416">
        <v>14</v>
      </c>
    </row>
    <row r="417" spans="1:17" x14ac:dyDescent="0.25">
      <c r="A417" s="1">
        <v>41793</v>
      </c>
      <c r="B417">
        <v>8.49</v>
      </c>
      <c r="C417">
        <v>156.49</v>
      </c>
      <c r="D417">
        <v>3.867</v>
      </c>
      <c r="E417">
        <v>10.45</v>
      </c>
      <c r="F417">
        <v>5.05</v>
      </c>
      <c r="G417">
        <v>1.7150000000000001</v>
      </c>
      <c r="H417" s="15">
        <v>9.15</v>
      </c>
      <c r="I417">
        <v>32.9</v>
      </c>
      <c r="J417">
        <v>16.3</v>
      </c>
      <c r="K417">
        <v>9.1999999999999993</v>
      </c>
      <c r="L417">
        <v>1.72</v>
      </c>
      <c r="M417">
        <v>2.1739999999999999</v>
      </c>
      <c r="N417">
        <v>0.33</v>
      </c>
      <c r="O417">
        <v>3.45</v>
      </c>
      <c r="P417">
        <v>1.0620000000000001</v>
      </c>
      <c r="Q417">
        <v>15</v>
      </c>
    </row>
    <row r="418" spans="1:17" x14ac:dyDescent="0.25">
      <c r="A418" s="1">
        <v>41794</v>
      </c>
      <c r="B418">
        <v>8.48</v>
      </c>
      <c r="C418">
        <v>155.57</v>
      </c>
      <c r="D418">
        <v>3.847</v>
      </c>
      <c r="E418">
        <v>10.35</v>
      </c>
      <c r="F418">
        <v>4.95</v>
      </c>
      <c r="G418">
        <v>1.6870000000000001</v>
      </c>
      <c r="H418" s="15">
        <v>9.18</v>
      </c>
      <c r="I418">
        <v>32.85</v>
      </c>
      <c r="J418">
        <v>16.3</v>
      </c>
      <c r="K418">
        <v>9.1999999999999993</v>
      </c>
      <c r="L418">
        <v>1.73</v>
      </c>
      <c r="M418">
        <v>2.1739999999999999</v>
      </c>
      <c r="N418">
        <v>0.32</v>
      </c>
      <c r="O418">
        <v>3.42</v>
      </c>
      <c r="P418">
        <v>1.0620000000000001</v>
      </c>
      <c r="Q418">
        <v>15</v>
      </c>
    </row>
    <row r="419" spans="1:17" x14ac:dyDescent="0.25">
      <c r="A419" s="1">
        <v>41795</v>
      </c>
      <c r="B419">
        <v>8.4</v>
      </c>
      <c r="C419">
        <v>157</v>
      </c>
      <c r="D419">
        <v>3.8809999999999998</v>
      </c>
      <c r="E419">
        <v>10.24</v>
      </c>
      <c r="F419">
        <v>4.9800000000000004</v>
      </c>
      <c r="G419">
        <v>1.724</v>
      </c>
      <c r="H419" s="15">
        <v>9</v>
      </c>
      <c r="I419">
        <v>32.700000000000003</v>
      </c>
      <c r="J419">
        <v>16.3</v>
      </c>
      <c r="K419">
        <v>9.15</v>
      </c>
      <c r="L419">
        <v>1.76</v>
      </c>
      <c r="M419">
        <v>2.1739999999999999</v>
      </c>
      <c r="N419">
        <v>0.33</v>
      </c>
      <c r="O419">
        <v>3.39</v>
      </c>
      <c r="P419">
        <v>1.0620000000000001</v>
      </c>
      <c r="Q419">
        <v>15</v>
      </c>
    </row>
    <row r="420" spans="1:17" x14ac:dyDescent="0.25">
      <c r="A420" s="1">
        <v>41796</v>
      </c>
      <c r="B420">
        <v>8.44</v>
      </c>
      <c r="C420">
        <v>156.15</v>
      </c>
      <c r="D420">
        <v>3.9159999999999999</v>
      </c>
      <c r="E420">
        <v>10.08</v>
      </c>
      <c r="F420">
        <v>5</v>
      </c>
      <c r="G420">
        <v>1.7430000000000001</v>
      </c>
      <c r="H420" s="15">
        <v>9.15</v>
      </c>
      <c r="I420" t="e">
        <v>#N/A</v>
      </c>
      <c r="J420">
        <v>16.3</v>
      </c>
      <c r="K420">
        <v>9</v>
      </c>
      <c r="L420">
        <v>1.75</v>
      </c>
      <c r="M420">
        <v>2.1989999999999998</v>
      </c>
      <c r="N420">
        <v>0.33</v>
      </c>
      <c r="O420" t="e">
        <v>#N/A</v>
      </c>
      <c r="P420">
        <v>1.0720000000000001</v>
      </c>
      <c r="Q420">
        <v>13</v>
      </c>
    </row>
    <row r="421" spans="1:17" x14ac:dyDescent="0.25">
      <c r="A421" s="1">
        <v>41799</v>
      </c>
      <c r="B421">
        <v>8.42</v>
      </c>
      <c r="C421">
        <v>157</v>
      </c>
      <c r="D421">
        <v>3.8809999999999998</v>
      </c>
      <c r="E421">
        <v>10.199999999999999</v>
      </c>
      <c r="F421">
        <v>5</v>
      </c>
      <c r="G421">
        <v>1.7430000000000001</v>
      </c>
      <c r="H421" s="15">
        <v>9.1300000000000008</v>
      </c>
      <c r="I421">
        <v>32.75</v>
      </c>
      <c r="J421" t="e">
        <v>#N/A</v>
      </c>
      <c r="K421">
        <v>9.0129999999999999</v>
      </c>
      <c r="L421">
        <v>1.78</v>
      </c>
      <c r="M421">
        <v>2.2149999999999999</v>
      </c>
      <c r="N421">
        <v>0.36</v>
      </c>
      <c r="O421">
        <v>3.38</v>
      </c>
      <c r="P421">
        <v>1.0820000000000001</v>
      </c>
      <c r="Q421">
        <v>14</v>
      </c>
    </row>
    <row r="422" spans="1:17" x14ac:dyDescent="0.25">
      <c r="A422" s="1">
        <v>41800</v>
      </c>
      <c r="B422">
        <v>8.4600000000000009</v>
      </c>
      <c r="C422">
        <v>157.01</v>
      </c>
      <c r="D422">
        <v>3.9289999999999998</v>
      </c>
      <c r="E422">
        <v>10.1</v>
      </c>
      <c r="F422">
        <v>4.95</v>
      </c>
      <c r="G422">
        <v>1.7150000000000001</v>
      </c>
      <c r="H422" s="15">
        <v>9.1</v>
      </c>
      <c r="I422">
        <v>32.700000000000003</v>
      </c>
      <c r="J422">
        <v>16.25</v>
      </c>
      <c r="K422">
        <v>9.0719999999999992</v>
      </c>
      <c r="L422">
        <v>1.77</v>
      </c>
      <c r="M422">
        <v>2.2250000000000001</v>
      </c>
      <c r="N422">
        <v>0.35</v>
      </c>
      <c r="O422">
        <v>3.35</v>
      </c>
      <c r="P422">
        <v>1.0820000000000001</v>
      </c>
      <c r="Q422">
        <v>15</v>
      </c>
    </row>
    <row r="423" spans="1:17" x14ac:dyDescent="0.25">
      <c r="A423" s="1">
        <v>41801</v>
      </c>
      <c r="B423">
        <v>8.4600000000000009</v>
      </c>
      <c r="C423">
        <v>156.54</v>
      </c>
      <c r="D423">
        <v>3.9289999999999998</v>
      </c>
      <c r="E423">
        <v>10.02</v>
      </c>
      <c r="F423">
        <v>4.95</v>
      </c>
      <c r="G423">
        <v>1.7050000000000001</v>
      </c>
      <c r="H423" s="15">
        <v>9.0500000000000007</v>
      </c>
      <c r="I423">
        <v>32.71</v>
      </c>
      <c r="J423">
        <v>16.28</v>
      </c>
      <c r="K423">
        <v>9.17</v>
      </c>
      <c r="L423">
        <v>1.78</v>
      </c>
      <c r="M423">
        <v>2.3039999999999998</v>
      </c>
      <c r="N423">
        <v>0.35</v>
      </c>
      <c r="O423">
        <v>3.33</v>
      </c>
      <c r="P423">
        <v>1.0920000000000001</v>
      </c>
      <c r="Q423">
        <v>15</v>
      </c>
    </row>
    <row r="424" spans="1:17" x14ac:dyDescent="0.25">
      <c r="A424" s="1">
        <v>41802</v>
      </c>
      <c r="B424">
        <v>8.4600000000000009</v>
      </c>
      <c r="C424">
        <v>157</v>
      </c>
      <c r="D424">
        <v>3.95</v>
      </c>
      <c r="E424">
        <v>10.02</v>
      </c>
      <c r="F424">
        <v>4.95</v>
      </c>
      <c r="G424">
        <v>1.724</v>
      </c>
      <c r="H424" s="15">
        <v>9</v>
      </c>
      <c r="I424">
        <v>32.75</v>
      </c>
      <c r="J424">
        <v>16.28</v>
      </c>
      <c r="K424">
        <v>9.1300000000000008</v>
      </c>
      <c r="L424">
        <v>1.84</v>
      </c>
      <c r="M424">
        <v>2.3039999999999998</v>
      </c>
      <c r="N424">
        <v>0.34100000000000003</v>
      </c>
      <c r="O424">
        <v>3.33</v>
      </c>
      <c r="P424">
        <v>1.1120000000000001</v>
      </c>
      <c r="Q424">
        <v>15</v>
      </c>
    </row>
    <row r="425" spans="1:17" x14ac:dyDescent="0.25">
      <c r="A425" s="1">
        <v>41803</v>
      </c>
      <c r="B425">
        <v>8.4499999999999993</v>
      </c>
      <c r="C425">
        <v>155.85</v>
      </c>
      <c r="D425">
        <v>3.95</v>
      </c>
      <c r="E425">
        <v>10.039999999999999</v>
      </c>
      <c r="F425" t="e">
        <v>#N/A</v>
      </c>
      <c r="G425">
        <v>1.7430000000000001</v>
      </c>
      <c r="H425" s="15">
        <v>9.07</v>
      </c>
      <c r="I425">
        <v>32.799999999999997</v>
      </c>
      <c r="J425">
        <v>16.2</v>
      </c>
      <c r="K425">
        <v>9.1300000000000008</v>
      </c>
      <c r="L425">
        <v>1.81</v>
      </c>
      <c r="M425">
        <v>2.3140000000000001</v>
      </c>
      <c r="N425">
        <v>0.35499999999999998</v>
      </c>
      <c r="O425">
        <v>3.3</v>
      </c>
      <c r="P425">
        <v>1.1120000000000001</v>
      </c>
      <c r="Q425">
        <v>14</v>
      </c>
    </row>
    <row r="426" spans="1:17" x14ac:dyDescent="0.25">
      <c r="A426" s="1">
        <v>41806</v>
      </c>
      <c r="B426">
        <v>8.43</v>
      </c>
      <c r="C426">
        <v>156</v>
      </c>
      <c r="D426">
        <v>3.9220000000000002</v>
      </c>
      <c r="E426">
        <v>10.19</v>
      </c>
      <c r="F426">
        <v>4.9000000000000004</v>
      </c>
      <c r="G426">
        <v>1.7430000000000001</v>
      </c>
      <c r="H426" s="15">
        <v>9.1999999999999993</v>
      </c>
      <c r="I426">
        <v>32.9</v>
      </c>
      <c r="J426" t="e">
        <v>#N/A</v>
      </c>
      <c r="K426">
        <v>9.1300000000000008</v>
      </c>
      <c r="L426">
        <v>1.79</v>
      </c>
      <c r="M426">
        <v>2.3439999999999999</v>
      </c>
      <c r="N426">
        <v>0.35599999999999998</v>
      </c>
      <c r="O426">
        <v>3.25</v>
      </c>
      <c r="P426">
        <v>1.0920000000000001</v>
      </c>
      <c r="Q426">
        <v>14</v>
      </c>
    </row>
    <row r="427" spans="1:17" x14ac:dyDescent="0.25">
      <c r="A427" s="1">
        <v>41807</v>
      </c>
      <c r="B427">
        <v>8.4</v>
      </c>
      <c r="C427">
        <v>154</v>
      </c>
      <c r="D427">
        <v>3.9289999999999998</v>
      </c>
      <c r="E427">
        <v>10.01</v>
      </c>
      <c r="F427">
        <v>4.9000000000000004</v>
      </c>
      <c r="G427">
        <v>1.7709999999999999</v>
      </c>
      <c r="H427" s="15">
        <v>9.5</v>
      </c>
      <c r="I427">
        <v>32.700000000000003</v>
      </c>
      <c r="J427">
        <v>15.9</v>
      </c>
      <c r="K427">
        <v>9.17</v>
      </c>
      <c r="L427">
        <v>1.8</v>
      </c>
      <c r="M427">
        <v>2.383</v>
      </c>
      <c r="N427">
        <v>0.35</v>
      </c>
      <c r="O427">
        <v>3.25</v>
      </c>
      <c r="P427">
        <v>1.0820000000000001</v>
      </c>
      <c r="Q427">
        <v>15</v>
      </c>
    </row>
    <row r="428" spans="1:17" x14ac:dyDescent="0.25">
      <c r="A428" s="1">
        <v>41808</v>
      </c>
      <c r="B428">
        <v>8.35</v>
      </c>
      <c r="C428">
        <v>154.19999999999999</v>
      </c>
      <c r="D428">
        <v>3.9159999999999999</v>
      </c>
      <c r="E428">
        <v>10.01</v>
      </c>
      <c r="F428">
        <v>4.87</v>
      </c>
      <c r="G428">
        <v>1.7709999999999999</v>
      </c>
      <c r="H428" s="15">
        <v>9.5</v>
      </c>
      <c r="I428">
        <v>32.729999999999997</v>
      </c>
      <c r="J428" t="e">
        <v>#N/A</v>
      </c>
      <c r="K428">
        <v>9.1300000000000008</v>
      </c>
      <c r="L428">
        <v>1.77</v>
      </c>
      <c r="M428">
        <v>2.3530000000000002</v>
      </c>
      <c r="N428">
        <v>0.35</v>
      </c>
      <c r="O428">
        <v>3.26</v>
      </c>
      <c r="P428">
        <v>1.0920000000000001</v>
      </c>
      <c r="Q428">
        <v>14</v>
      </c>
    </row>
    <row r="429" spans="1:17" x14ac:dyDescent="0.25">
      <c r="A429" s="1">
        <v>41809</v>
      </c>
      <c r="B429">
        <v>8.3000000000000007</v>
      </c>
      <c r="C429">
        <v>155.99</v>
      </c>
      <c r="D429">
        <v>3.9159999999999999</v>
      </c>
      <c r="E429">
        <v>10.89</v>
      </c>
      <c r="F429">
        <v>4.82</v>
      </c>
      <c r="G429">
        <v>1.7430000000000001</v>
      </c>
      <c r="H429" s="15">
        <v>9.56</v>
      </c>
      <c r="I429" t="e">
        <v>#N/A</v>
      </c>
      <c r="J429">
        <v>15.9</v>
      </c>
      <c r="K429">
        <v>9.14</v>
      </c>
      <c r="L429">
        <v>1.76</v>
      </c>
      <c r="M429">
        <v>2.3929999999999998</v>
      </c>
      <c r="N429">
        <v>0.35099999999999998</v>
      </c>
      <c r="O429">
        <v>3.24</v>
      </c>
      <c r="P429">
        <v>1.131</v>
      </c>
      <c r="Q429">
        <v>14</v>
      </c>
    </row>
    <row r="430" spans="1:17" x14ac:dyDescent="0.25">
      <c r="A430" s="1">
        <v>41810</v>
      </c>
      <c r="B430">
        <v>8.3000000000000007</v>
      </c>
      <c r="C430">
        <v>155.1</v>
      </c>
      <c r="D430">
        <v>3.9089999999999998</v>
      </c>
      <c r="E430">
        <v>10.89</v>
      </c>
      <c r="F430">
        <v>4.8499999999999996</v>
      </c>
      <c r="G430">
        <v>1.7430000000000001</v>
      </c>
      <c r="H430" s="15">
        <v>9.68</v>
      </c>
      <c r="I430">
        <v>32.75</v>
      </c>
      <c r="J430">
        <v>16</v>
      </c>
      <c r="K430">
        <v>9.1</v>
      </c>
      <c r="L430">
        <v>1.77</v>
      </c>
      <c r="M430">
        <v>2.3140000000000001</v>
      </c>
      <c r="N430">
        <v>0.34499999999999997</v>
      </c>
      <c r="O430">
        <v>3.2</v>
      </c>
      <c r="P430">
        <v>1.131</v>
      </c>
      <c r="Q430">
        <v>15</v>
      </c>
    </row>
    <row r="431" spans="1:17" x14ac:dyDescent="0.25">
      <c r="A431" s="1">
        <v>41813</v>
      </c>
      <c r="B431">
        <v>8.2200000000000006</v>
      </c>
      <c r="C431">
        <v>157</v>
      </c>
      <c r="D431">
        <v>3.895</v>
      </c>
      <c r="E431">
        <v>11</v>
      </c>
      <c r="F431">
        <v>4.82</v>
      </c>
      <c r="G431">
        <v>1.7430000000000001</v>
      </c>
      <c r="H431" s="15">
        <v>9.64</v>
      </c>
      <c r="I431">
        <v>32.75</v>
      </c>
      <c r="J431" t="e">
        <v>#N/A</v>
      </c>
      <c r="K431">
        <v>9</v>
      </c>
      <c r="L431">
        <v>1.77</v>
      </c>
      <c r="M431">
        <v>2.3340000000000001</v>
      </c>
      <c r="N431">
        <v>0.33</v>
      </c>
      <c r="O431">
        <v>3.16</v>
      </c>
      <c r="P431">
        <v>1.1120000000000001</v>
      </c>
      <c r="Q431">
        <v>14</v>
      </c>
    </row>
    <row r="432" spans="1:17" x14ac:dyDescent="0.25">
      <c r="A432" s="1">
        <v>41814</v>
      </c>
      <c r="B432">
        <v>8.2799999999999994</v>
      </c>
      <c r="C432">
        <v>155.6</v>
      </c>
      <c r="D432">
        <v>3.8809999999999998</v>
      </c>
      <c r="E432">
        <v>10.8</v>
      </c>
      <c r="F432">
        <v>4.75</v>
      </c>
      <c r="G432">
        <v>1.752</v>
      </c>
      <c r="H432" s="15">
        <v>9.61</v>
      </c>
      <c r="I432">
        <v>32.75</v>
      </c>
      <c r="J432">
        <v>16.12</v>
      </c>
      <c r="K432">
        <v>9.18</v>
      </c>
      <c r="L432">
        <v>1.77</v>
      </c>
      <c r="M432">
        <v>2.3530000000000002</v>
      </c>
      <c r="N432">
        <v>0.33400000000000002</v>
      </c>
      <c r="O432">
        <v>3.16</v>
      </c>
      <c r="P432">
        <v>1.0920000000000001</v>
      </c>
      <c r="Q432">
        <v>15</v>
      </c>
    </row>
    <row r="433" spans="1:17" x14ac:dyDescent="0.25">
      <c r="A433" s="1">
        <v>41815</v>
      </c>
      <c r="B433">
        <v>8.25</v>
      </c>
      <c r="C433">
        <v>156</v>
      </c>
      <c r="D433">
        <v>3.8809999999999998</v>
      </c>
      <c r="E433">
        <v>10.66</v>
      </c>
      <c r="F433">
        <v>4.75</v>
      </c>
      <c r="G433">
        <v>1.7430000000000001</v>
      </c>
      <c r="H433" s="15">
        <v>9.69</v>
      </c>
      <c r="I433">
        <v>32.75</v>
      </c>
      <c r="J433" t="e">
        <v>#N/A</v>
      </c>
      <c r="K433">
        <v>9.18</v>
      </c>
      <c r="L433">
        <v>1.77</v>
      </c>
      <c r="M433">
        <v>2.363</v>
      </c>
      <c r="N433">
        <v>0.33800000000000002</v>
      </c>
      <c r="O433">
        <v>3.2</v>
      </c>
      <c r="P433">
        <v>1.1020000000000001</v>
      </c>
      <c r="Q433">
        <v>14</v>
      </c>
    </row>
    <row r="434" spans="1:17" x14ac:dyDescent="0.25">
      <c r="A434" s="1">
        <v>41816</v>
      </c>
      <c r="B434">
        <v>8.25</v>
      </c>
      <c r="C434">
        <v>155.5</v>
      </c>
      <c r="D434">
        <v>3.8740000000000001</v>
      </c>
      <c r="E434">
        <v>11.4</v>
      </c>
      <c r="F434">
        <v>4.75</v>
      </c>
      <c r="G434">
        <v>1.7430000000000001</v>
      </c>
      <c r="H434" s="15">
        <v>9.7200000000000006</v>
      </c>
      <c r="I434">
        <v>32.75</v>
      </c>
      <c r="J434">
        <v>16.25</v>
      </c>
      <c r="K434">
        <v>9.18</v>
      </c>
      <c r="L434">
        <v>1.76</v>
      </c>
      <c r="M434">
        <v>2.363</v>
      </c>
      <c r="N434">
        <v>0.33300000000000002</v>
      </c>
      <c r="O434">
        <v>3.27</v>
      </c>
      <c r="P434">
        <v>1.1120000000000001</v>
      </c>
      <c r="Q434">
        <v>15</v>
      </c>
    </row>
    <row r="435" spans="1:17" x14ac:dyDescent="0.25">
      <c r="A435" s="1">
        <v>41817</v>
      </c>
      <c r="B435">
        <v>8.23</v>
      </c>
      <c r="C435">
        <v>155.83000000000001</v>
      </c>
      <c r="D435">
        <v>3.867</v>
      </c>
      <c r="E435">
        <v>11.48</v>
      </c>
      <c r="F435">
        <v>4.75</v>
      </c>
      <c r="G435">
        <v>1.724</v>
      </c>
      <c r="H435" s="15">
        <v>9.6999999999999993</v>
      </c>
      <c r="I435">
        <v>32</v>
      </c>
      <c r="J435" t="e">
        <v>#N/A</v>
      </c>
      <c r="K435">
        <v>9.1999999999999993</v>
      </c>
      <c r="L435">
        <v>1.76</v>
      </c>
      <c r="M435">
        <v>2.363</v>
      </c>
      <c r="N435">
        <v>0.33</v>
      </c>
      <c r="O435">
        <v>3.25</v>
      </c>
      <c r="P435">
        <v>1.0820000000000001</v>
      </c>
      <c r="Q435">
        <v>14</v>
      </c>
    </row>
    <row r="436" spans="1:17" x14ac:dyDescent="0.25">
      <c r="A436" s="1">
        <v>41820</v>
      </c>
      <c r="B436">
        <v>8.2200000000000006</v>
      </c>
      <c r="C436">
        <v>155.15</v>
      </c>
      <c r="D436">
        <v>3.9159999999999999</v>
      </c>
      <c r="E436">
        <v>11.78</v>
      </c>
      <c r="F436">
        <v>4.7300000000000004</v>
      </c>
      <c r="G436">
        <v>1.7709999999999999</v>
      </c>
      <c r="H436" s="15">
        <v>10</v>
      </c>
      <c r="I436">
        <v>32.729999999999997</v>
      </c>
      <c r="J436">
        <v>16.25</v>
      </c>
      <c r="K436">
        <v>9.1999999999999993</v>
      </c>
      <c r="L436">
        <v>1.75</v>
      </c>
      <c r="M436">
        <v>2.3730000000000002</v>
      </c>
      <c r="N436">
        <v>0.32</v>
      </c>
      <c r="O436">
        <v>3.3</v>
      </c>
      <c r="P436">
        <v>1.0920000000000001</v>
      </c>
      <c r="Q436">
        <v>15</v>
      </c>
    </row>
    <row r="437" spans="1:17" x14ac:dyDescent="0.25">
      <c r="A437" s="1">
        <v>41821</v>
      </c>
      <c r="B437">
        <v>8.2200000000000006</v>
      </c>
      <c r="C437">
        <v>156.5</v>
      </c>
      <c r="D437">
        <v>3.9089999999999998</v>
      </c>
      <c r="E437">
        <v>11.9</v>
      </c>
      <c r="F437" t="e">
        <v>#N/A</v>
      </c>
      <c r="G437">
        <v>1.7609999999999999</v>
      </c>
      <c r="H437" s="15">
        <v>10.06</v>
      </c>
      <c r="I437">
        <v>32.5</v>
      </c>
      <c r="J437">
        <v>16.5</v>
      </c>
      <c r="K437">
        <v>9.25</v>
      </c>
      <c r="L437">
        <v>1.76</v>
      </c>
      <c r="M437">
        <v>2.3929999999999998</v>
      </c>
      <c r="N437">
        <v>0.32700000000000001</v>
      </c>
      <c r="O437" t="e">
        <v>#N/A</v>
      </c>
      <c r="P437">
        <v>1.1120000000000001</v>
      </c>
      <c r="Q437">
        <v>13</v>
      </c>
    </row>
    <row r="438" spans="1:17" x14ac:dyDescent="0.25">
      <c r="A438" s="1">
        <v>41822</v>
      </c>
      <c r="B438">
        <v>8.2200000000000006</v>
      </c>
      <c r="C438">
        <v>156.5</v>
      </c>
      <c r="D438">
        <v>3.9159999999999999</v>
      </c>
      <c r="E438">
        <v>11.95</v>
      </c>
      <c r="F438">
        <v>4.76</v>
      </c>
      <c r="G438">
        <v>1.7609999999999999</v>
      </c>
      <c r="H438" s="15">
        <v>10.08</v>
      </c>
      <c r="I438">
        <v>32.700000000000003</v>
      </c>
      <c r="J438">
        <v>16.8</v>
      </c>
      <c r="K438">
        <v>9.4</v>
      </c>
      <c r="L438">
        <v>1.76</v>
      </c>
      <c r="M438">
        <v>2.3730000000000002</v>
      </c>
      <c r="N438">
        <v>0.32500000000000001</v>
      </c>
      <c r="O438">
        <v>3.26</v>
      </c>
      <c r="P438">
        <v>1.121</v>
      </c>
      <c r="Q438">
        <v>15</v>
      </c>
    </row>
    <row r="439" spans="1:17" x14ac:dyDescent="0.25">
      <c r="A439" s="1">
        <v>41823</v>
      </c>
      <c r="B439">
        <v>8.25</v>
      </c>
      <c r="C439">
        <v>156.5</v>
      </c>
      <c r="D439">
        <v>3.9569999999999999</v>
      </c>
      <c r="E439">
        <v>11.9</v>
      </c>
      <c r="F439">
        <v>4.96</v>
      </c>
      <c r="G439">
        <v>1.7889999999999999</v>
      </c>
      <c r="H439" s="15">
        <v>10.15</v>
      </c>
      <c r="I439">
        <v>32.75</v>
      </c>
      <c r="J439">
        <v>17.149999999999999</v>
      </c>
      <c r="K439">
        <v>9.4499999999999993</v>
      </c>
      <c r="L439">
        <v>1.8</v>
      </c>
      <c r="M439">
        <v>2.423</v>
      </c>
      <c r="N439">
        <v>0.32100000000000001</v>
      </c>
      <c r="O439">
        <v>3.3</v>
      </c>
      <c r="P439">
        <v>1.131</v>
      </c>
      <c r="Q439">
        <v>15</v>
      </c>
    </row>
    <row r="440" spans="1:17" x14ac:dyDescent="0.25">
      <c r="A440" s="1">
        <v>41824</v>
      </c>
      <c r="B440">
        <v>8.3000000000000007</v>
      </c>
      <c r="C440" t="e">
        <v>#N/A</v>
      </c>
      <c r="D440">
        <v>4.0389999999999997</v>
      </c>
      <c r="E440">
        <v>11.95</v>
      </c>
      <c r="F440">
        <v>5.14</v>
      </c>
      <c r="G440">
        <v>1.7889999999999999</v>
      </c>
      <c r="H440" s="15">
        <v>10.08</v>
      </c>
      <c r="I440">
        <v>32.75</v>
      </c>
      <c r="J440">
        <v>17.149999999999999</v>
      </c>
      <c r="K440">
        <v>9.4499999999999993</v>
      </c>
      <c r="L440">
        <v>1.83</v>
      </c>
      <c r="M440">
        <v>2.512</v>
      </c>
      <c r="N440">
        <v>0.33200000000000002</v>
      </c>
      <c r="O440">
        <v>3.33</v>
      </c>
      <c r="P440">
        <v>1.161</v>
      </c>
      <c r="Q440">
        <v>14</v>
      </c>
    </row>
    <row r="441" spans="1:17" x14ac:dyDescent="0.25">
      <c r="A441" s="1">
        <v>41827</v>
      </c>
      <c r="B441">
        <v>8.33</v>
      </c>
      <c r="C441">
        <v>156.38999999999999</v>
      </c>
      <c r="D441">
        <v>4.0389999999999997</v>
      </c>
      <c r="E441">
        <v>11.9</v>
      </c>
      <c r="F441">
        <v>5.05</v>
      </c>
      <c r="G441">
        <v>1.798</v>
      </c>
      <c r="H441" s="15">
        <v>10.029999999999999</v>
      </c>
      <c r="I441">
        <v>32.75</v>
      </c>
      <c r="J441">
        <v>16.8</v>
      </c>
      <c r="K441">
        <v>9.4499999999999993</v>
      </c>
      <c r="L441">
        <v>1.85</v>
      </c>
      <c r="M441">
        <v>2.5510000000000002</v>
      </c>
      <c r="N441">
        <v>0.33200000000000002</v>
      </c>
      <c r="O441">
        <v>3.33</v>
      </c>
      <c r="P441">
        <v>1.171</v>
      </c>
      <c r="Q441">
        <v>15</v>
      </c>
    </row>
    <row r="442" spans="1:17" x14ac:dyDescent="0.25">
      <c r="A442" s="1">
        <v>41828</v>
      </c>
      <c r="B442">
        <v>8.42</v>
      </c>
      <c r="C442">
        <v>157</v>
      </c>
      <c r="D442">
        <v>4.101</v>
      </c>
      <c r="E442">
        <v>11.8</v>
      </c>
      <c r="F442">
        <v>5</v>
      </c>
      <c r="G442">
        <v>1.7709999999999999</v>
      </c>
      <c r="H442" s="15">
        <v>10.1</v>
      </c>
      <c r="I442">
        <v>32.6</v>
      </c>
      <c r="J442">
        <v>17.3</v>
      </c>
      <c r="K442">
        <v>9.4499999999999993</v>
      </c>
      <c r="L442">
        <v>1.85</v>
      </c>
      <c r="M442">
        <v>2.62</v>
      </c>
      <c r="N442">
        <v>0.33200000000000002</v>
      </c>
      <c r="O442">
        <v>3.35</v>
      </c>
      <c r="P442">
        <v>1.1910000000000001</v>
      </c>
      <c r="Q442">
        <v>15</v>
      </c>
    </row>
    <row r="443" spans="1:17" x14ac:dyDescent="0.25">
      <c r="A443" s="1">
        <v>41829</v>
      </c>
      <c r="B443">
        <v>8.5500000000000007</v>
      </c>
      <c r="C443">
        <v>153.72</v>
      </c>
      <c r="D443">
        <v>4.101</v>
      </c>
      <c r="E443">
        <v>11.95</v>
      </c>
      <c r="F443">
        <v>5.08</v>
      </c>
      <c r="G443">
        <v>1.78</v>
      </c>
      <c r="H443" s="15">
        <v>10.1</v>
      </c>
      <c r="I443">
        <v>32.6</v>
      </c>
      <c r="J443">
        <v>17.399999999999999</v>
      </c>
      <c r="K443">
        <v>9.4499999999999993</v>
      </c>
      <c r="L443">
        <v>1.85</v>
      </c>
      <c r="M443">
        <v>2.67</v>
      </c>
      <c r="N443">
        <v>0.33</v>
      </c>
      <c r="O443">
        <v>3.35</v>
      </c>
      <c r="P443">
        <v>1.2010000000000001</v>
      </c>
      <c r="Q443">
        <v>15</v>
      </c>
    </row>
    <row r="444" spans="1:17" x14ac:dyDescent="0.25">
      <c r="A444" s="1">
        <v>41830</v>
      </c>
      <c r="B444">
        <v>8.6300000000000008</v>
      </c>
      <c r="C444">
        <v>151.58000000000001</v>
      </c>
      <c r="D444">
        <v>4.0869999999999997</v>
      </c>
      <c r="E444">
        <v>11.6</v>
      </c>
      <c r="F444">
        <v>5.08</v>
      </c>
      <c r="G444">
        <v>1.798</v>
      </c>
      <c r="H444" s="15">
        <v>10</v>
      </c>
      <c r="I444">
        <v>32.6</v>
      </c>
      <c r="J444" t="e">
        <v>#N/A</v>
      </c>
      <c r="K444">
        <v>9.42</v>
      </c>
      <c r="L444">
        <v>1.83</v>
      </c>
      <c r="M444">
        <v>2.65</v>
      </c>
      <c r="N444">
        <v>0.32500000000000001</v>
      </c>
      <c r="O444">
        <v>3.36</v>
      </c>
      <c r="P444">
        <v>1.181</v>
      </c>
      <c r="Q444">
        <v>14</v>
      </c>
    </row>
    <row r="445" spans="1:17" x14ac:dyDescent="0.25">
      <c r="A445" s="1">
        <v>41831</v>
      </c>
      <c r="B445">
        <v>8.65</v>
      </c>
      <c r="C445">
        <v>150.18</v>
      </c>
      <c r="D445">
        <v>4.0869999999999997</v>
      </c>
      <c r="E445">
        <v>11.5</v>
      </c>
      <c r="F445">
        <v>5.08</v>
      </c>
      <c r="G445">
        <v>1.8169999999999999</v>
      </c>
      <c r="H445" s="15">
        <v>10</v>
      </c>
      <c r="I445">
        <v>32.6</v>
      </c>
      <c r="J445">
        <v>17.510000000000002</v>
      </c>
      <c r="K445">
        <v>9.5</v>
      </c>
      <c r="L445">
        <v>1.82</v>
      </c>
      <c r="M445">
        <v>2.69</v>
      </c>
      <c r="N445">
        <v>0.316</v>
      </c>
      <c r="O445">
        <v>3.39</v>
      </c>
      <c r="P445">
        <v>1.171</v>
      </c>
      <c r="Q445">
        <v>15</v>
      </c>
    </row>
    <row r="446" spans="1:17" x14ac:dyDescent="0.25">
      <c r="A446" s="1">
        <v>41834</v>
      </c>
      <c r="B446">
        <v>8.6300000000000008</v>
      </c>
      <c r="C446">
        <v>150.15</v>
      </c>
      <c r="D446">
        <v>4.0739999999999998</v>
      </c>
      <c r="E446">
        <v>11.48</v>
      </c>
      <c r="F446">
        <v>5.09</v>
      </c>
      <c r="G446">
        <v>1.8169999999999999</v>
      </c>
      <c r="H446" s="15">
        <v>10.050000000000001</v>
      </c>
      <c r="I446">
        <v>32.700000000000003</v>
      </c>
      <c r="J446" t="e">
        <v>#N/A</v>
      </c>
      <c r="K446">
        <v>9.49</v>
      </c>
      <c r="L446">
        <v>1.81</v>
      </c>
      <c r="M446">
        <v>2.69</v>
      </c>
      <c r="N446">
        <v>0.316</v>
      </c>
      <c r="O446">
        <v>3.39</v>
      </c>
      <c r="P446">
        <v>1.151</v>
      </c>
      <c r="Q446">
        <v>14</v>
      </c>
    </row>
    <row r="447" spans="1:17" x14ac:dyDescent="0.25">
      <c r="A447" s="1">
        <v>41835</v>
      </c>
      <c r="B447">
        <v>8.57</v>
      </c>
      <c r="C447">
        <v>148.6</v>
      </c>
      <c r="D447">
        <v>4.0049999999999999</v>
      </c>
      <c r="E447">
        <v>11</v>
      </c>
      <c r="F447">
        <v>5.05</v>
      </c>
      <c r="G447">
        <v>1.8169999999999999</v>
      </c>
      <c r="H447" s="15">
        <v>9.94</v>
      </c>
      <c r="I447">
        <v>32.6</v>
      </c>
      <c r="J447">
        <v>17.510000000000002</v>
      </c>
      <c r="K447">
        <v>9.4499999999999993</v>
      </c>
      <c r="L447">
        <v>1.78</v>
      </c>
      <c r="M447">
        <v>2.62</v>
      </c>
      <c r="N447">
        <v>0.31</v>
      </c>
      <c r="O447">
        <v>3.35</v>
      </c>
      <c r="P447">
        <v>1.141</v>
      </c>
      <c r="Q447">
        <v>15</v>
      </c>
    </row>
    <row r="448" spans="1:17" x14ac:dyDescent="0.25">
      <c r="A448" s="1">
        <v>41836</v>
      </c>
      <c r="B448">
        <v>8.5500000000000007</v>
      </c>
      <c r="C448">
        <v>149.5</v>
      </c>
      <c r="D448">
        <v>3.984</v>
      </c>
      <c r="E448">
        <v>11.19</v>
      </c>
      <c r="F448">
        <v>5.14</v>
      </c>
      <c r="G448">
        <v>1.798</v>
      </c>
      <c r="H448" s="15">
        <v>10.07</v>
      </c>
      <c r="I448">
        <v>32.6</v>
      </c>
      <c r="J448" t="e">
        <v>#N/A</v>
      </c>
      <c r="K448">
        <v>9.41</v>
      </c>
      <c r="L448">
        <v>1.77</v>
      </c>
      <c r="M448">
        <v>2.64</v>
      </c>
      <c r="N448">
        <v>0.31</v>
      </c>
      <c r="O448">
        <v>3.37</v>
      </c>
      <c r="P448">
        <v>1.141</v>
      </c>
      <c r="Q448">
        <v>14</v>
      </c>
    </row>
    <row r="449" spans="1:17" x14ac:dyDescent="0.25">
      <c r="A449" s="1">
        <v>41837</v>
      </c>
      <c r="B449">
        <v>8.5500000000000007</v>
      </c>
      <c r="C449">
        <v>149.80000000000001</v>
      </c>
      <c r="D449">
        <v>3.9980000000000002</v>
      </c>
      <c r="E449">
        <v>11.39</v>
      </c>
      <c r="F449">
        <v>5.13</v>
      </c>
      <c r="G449">
        <v>1.798</v>
      </c>
      <c r="H449" s="15">
        <v>10.06</v>
      </c>
      <c r="I449">
        <v>32.6</v>
      </c>
      <c r="J449">
        <v>17.399999999999999</v>
      </c>
      <c r="K449">
        <v>9.43</v>
      </c>
      <c r="L449">
        <v>1.76</v>
      </c>
      <c r="M449">
        <v>2.62</v>
      </c>
      <c r="N449">
        <v>0.29099999999999998</v>
      </c>
      <c r="O449">
        <v>3.37</v>
      </c>
      <c r="P449">
        <v>1.131</v>
      </c>
      <c r="Q449">
        <v>15</v>
      </c>
    </row>
    <row r="450" spans="1:17" x14ac:dyDescent="0.25">
      <c r="A450" s="1">
        <v>41838</v>
      </c>
      <c r="B450">
        <v>8.5500000000000007</v>
      </c>
      <c r="C450">
        <v>151.16</v>
      </c>
      <c r="D450">
        <v>4.0190000000000001</v>
      </c>
      <c r="E450">
        <v>11.14</v>
      </c>
      <c r="F450">
        <v>5.0999999999999996</v>
      </c>
      <c r="G450">
        <v>1.7889999999999999</v>
      </c>
      <c r="H450" s="15">
        <v>10.1</v>
      </c>
      <c r="I450">
        <v>32.6</v>
      </c>
      <c r="J450" t="e">
        <v>#N/A</v>
      </c>
      <c r="K450">
        <v>9.41</v>
      </c>
      <c r="L450">
        <v>1.76</v>
      </c>
      <c r="M450">
        <v>2.62</v>
      </c>
      <c r="N450">
        <v>0.3</v>
      </c>
      <c r="O450">
        <v>3.34</v>
      </c>
      <c r="P450">
        <v>1.131</v>
      </c>
      <c r="Q450">
        <v>14</v>
      </c>
    </row>
    <row r="451" spans="1:17" x14ac:dyDescent="0.25">
      <c r="A451" s="1">
        <v>41841</v>
      </c>
      <c r="B451">
        <v>8.5500000000000007</v>
      </c>
      <c r="C451">
        <v>150.5</v>
      </c>
      <c r="D451">
        <v>4.0190000000000001</v>
      </c>
      <c r="E451" t="e">
        <v>#N/A</v>
      </c>
      <c r="F451">
        <v>5.09</v>
      </c>
      <c r="G451">
        <v>1.7889999999999999</v>
      </c>
      <c r="H451" s="15">
        <v>10.09</v>
      </c>
      <c r="I451">
        <v>32</v>
      </c>
      <c r="J451">
        <v>16.5</v>
      </c>
      <c r="K451">
        <v>9.5</v>
      </c>
      <c r="L451">
        <v>1.74</v>
      </c>
      <c r="M451">
        <v>2.62</v>
      </c>
      <c r="N451">
        <v>0.30599999999999999</v>
      </c>
      <c r="O451">
        <v>3.32</v>
      </c>
      <c r="P451">
        <v>1.161</v>
      </c>
      <c r="Q451">
        <v>14</v>
      </c>
    </row>
    <row r="452" spans="1:17" x14ac:dyDescent="0.25">
      <c r="A452" s="1">
        <v>41842</v>
      </c>
      <c r="B452">
        <v>8.5500000000000007</v>
      </c>
      <c r="C452">
        <v>150.5</v>
      </c>
      <c r="D452">
        <v>4.032</v>
      </c>
      <c r="E452" t="e">
        <v>#N/A</v>
      </c>
      <c r="F452">
        <v>5.05</v>
      </c>
      <c r="G452">
        <v>1.7889999999999999</v>
      </c>
      <c r="H452" s="15">
        <v>10.1</v>
      </c>
      <c r="I452">
        <v>32</v>
      </c>
      <c r="J452">
        <v>16.510000000000002</v>
      </c>
      <c r="K452">
        <v>9.5</v>
      </c>
      <c r="L452">
        <v>1.77</v>
      </c>
      <c r="M452">
        <v>2.65</v>
      </c>
      <c r="N452">
        <v>0.31900000000000001</v>
      </c>
      <c r="O452">
        <v>3.24</v>
      </c>
      <c r="P452">
        <v>1.161</v>
      </c>
      <c r="Q452">
        <v>14</v>
      </c>
    </row>
    <row r="453" spans="1:17" x14ac:dyDescent="0.25">
      <c r="A453" s="1">
        <v>41843</v>
      </c>
      <c r="B453">
        <v>8.5</v>
      </c>
      <c r="C453">
        <v>151.57</v>
      </c>
      <c r="D453">
        <v>4.0190000000000001</v>
      </c>
      <c r="E453">
        <v>11.2</v>
      </c>
      <c r="F453">
        <v>5.01</v>
      </c>
      <c r="G453">
        <v>1.78</v>
      </c>
      <c r="H453" s="15">
        <v>10.050000000000001</v>
      </c>
      <c r="I453">
        <v>32.200000000000003</v>
      </c>
      <c r="J453">
        <v>16.5</v>
      </c>
      <c r="K453">
        <v>9.5</v>
      </c>
      <c r="L453">
        <v>1.76</v>
      </c>
      <c r="M453">
        <v>2.63</v>
      </c>
      <c r="N453">
        <v>0.33600000000000002</v>
      </c>
      <c r="O453">
        <v>3.21</v>
      </c>
      <c r="P453">
        <v>1.141</v>
      </c>
      <c r="Q453">
        <v>15</v>
      </c>
    </row>
    <row r="454" spans="1:17" x14ac:dyDescent="0.25">
      <c r="A454" s="1">
        <v>41844</v>
      </c>
      <c r="B454">
        <v>8.5</v>
      </c>
      <c r="C454">
        <v>153</v>
      </c>
      <c r="D454">
        <v>4.0190000000000001</v>
      </c>
      <c r="E454">
        <v>10.96</v>
      </c>
      <c r="F454">
        <v>5.01</v>
      </c>
      <c r="G454">
        <v>1.724</v>
      </c>
      <c r="H454" s="15">
        <v>9.99</v>
      </c>
      <c r="I454">
        <v>32.450000000000003</v>
      </c>
      <c r="J454">
        <v>16.5</v>
      </c>
      <c r="K454">
        <v>9.5</v>
      </c>
      <c r="L454">
        <v>1.76</v>
      </c>
      <c r="M454">
        <v>2.63</v>
      </c>
      <c r="N454">
        <v>0.32500000000000001</v>
      </c>
      <c r="O454" t="e">
        <v>#N/A</v>
      </c>
      <c r="P454">
        <v>1.131</v>
      </c>
      <c r="Q454">
        <v>14</v>
      </c>
    </row>
    <row r="455" spans="1:17" x14ac:dyDescent="0.25">
      <c r="A455" s="1">
        <v>41845</v>
      </c>
      <c r="B455">
        <v>8.49</v>
      </c>
      <c r="C455">
        <v>152.03</v>
      </c>
      <c r="D455">
        <v>3.9980000000000002</v>
      </c>
      <c r="E455">
        <v>11.4</v>
      </c>
      <c r="F455">
        <v>4.9000000000000004</v>
      </c>
      <c r="G455">
        <v>1.696</v>
      </c>
      <c r="H455" s="15">
        <v>9.75</v>
      </c>
      <c r="I455">
        <v>32.21</v>
      </c>
      <c r="J455">
        <v>16.7</v>
      </c>
      <c r="K455">
        <v>9.4</v>
      </c>
      <c r="L455">
        <v>1.74</v>
      </c>
      <c r="M455">
        <v>2.64</v>
      </c>
      <c r="N455">
        <v>0.318</v>
      </c>
      <c r="O455">
        <v>3.21</v>
      </c>
      <c r="P455">
        <v>1.141</v>
      </c>
      <c r="Q455">
        <v>15</v>
      </c>
    </row>
    <row r="456" spans="1:17" x14ac:dyDescent="0.25">
      <c r="A456" s="1">
        <v>41850</v>
      </c>
      <c r="B456" t="e">
        <v>#N/A</v>
      </c>
      <c r="C456">
        <v>149.56</v>
      </c>
      <c r="D456">
        <v>4.0049999999999999</v>
      </c>
      <c r="E456">
        <v>11.74</v>
      </c>
      <c r="F456">
        <v>5</v>
      </c>
      <c r="G456">
        <v>1.72</v>
      </c>
      <c r="H456" s="15">
        <v>9.3699999999999992</v>
      </c>
      <c r="I456">
        <v>32.450000000000003</v>
      </c>
      <c r="J456">
        <v>16.5</v>
      </c>
      <c r="K456">
        <v>9.5</v>
      </c>
      <c r="L456">
        <v>1.75</v>
      </c>
      <c r="M456">
        <v>2.66</v>
      </c>
      <c r="N456">
        <v>0.32500000000000001</v>
      </c>
      <c r="O456">
        <v>3.1970000000000001</v>
      </c>
      <c r="P456">
        <v>1.131</v>
      </c>
      <c r="Q456">
        <v>14</v>
      </c>
    </row>
    <row r="457" spans="1:17" x14ac:dyDescent="0.25">
      <c r="A457" s="1">
        <v>41851</v>
      </c>
      <c r="B457">
        <v>8.35</v>
      </c>
      <c r="C457" t="e">
        <v>#N/A</v>
      </c>
      <c r="D457">
        <v>4.0190000000000001</v>
      </c>
      <c r="E457">
        <v>11.75</v>
      </c>
      <c r="F457">
        <v>4.9800000000000004</v>
      </c>
      <c r="G457">
        <v>1.7</v>
      </c>
      <c r="H457" s="15">
        <v>9.35</v>
      </c>
      <c r="I457">
        <v>32.450000000000003</v>
      </c>
      <c r="J457" t="e">
        <v>#N/A</v>
      </c>
      <c r="K457">
        <v>9.5</v>
      </c>
      <c r="L457">
        <v>1.76</v>
      </c>
      <c r="M457">
        <v>2.7</v>
      </c>
      <c r="N457">
        <v>0.32</v>
      </c>
      <c r="O457">
        <v>3.2069999999999999</v>
      </c>
      <c r="P457">
        <v>1.161</v>
      </c>
      <c r="Q457">
        <v>13</v>
      </c>
    </row>
    <row r="458" spans="1:17" x14ac:dyDescent="0.25">
      <c r="A458" s="1">
        <v>41852</v>
      </c>
      <c r="B458">
        <v>8.2799999999999994</v>
      </c>
      <c r="C458">
        <v>149.6</v>
      </c>
      <c r="D458">
        <v>4.0190000000000001</v>
      </c>
      <c r="E458">
        <v>12</v>
      </c>
      <c r="F458">
        <v>5.01</v>
      </c>
      <c r="G458">
        <v>1.72</v>
      </c>
      <c r="H458" s="15">
        <v>9.35</v>
      </c>
      <c r="I458">
        <v>32.450000000000003</v>
      </c>
      <c r="J458">
        <v>16.55</v>
      </c>
      <c r="K458">
        <v>9.5</v>
      </c>
      <c r="L458">
        <v>1.78</v>
      </c>
      <c r="M458">
        <v>2.7</v>
      </c>
      <c r="N458">
        <v>0.30299999999999999</v>
      </c>
      <c r="O458">
        <v>3.2170000000000001</v>
      </c>
      <c r="P458">
        <v>1.151</v>
      </c>
      <c r="Q458">
        <v>15</v>
      </c>
    </row>
    <row r="459" spans="1:17" x14ac:dyDescent="0.25">
      <c r="A459" s="1">
        <v>41855</v>
      </c>
      <c r="B459">
        <v>8.1999999999999993</v>
      </c>
      <c r="C459">
        <v>151.5</v>
      </c>
      <c r="D459">
        <v>4.0190000000000001</v>
      </c>
      <c r="E459">
        <v>11.88</v>
      </c>
      <c r="F459">
        <v>5.05</v>
      </c>
      <c r="G459">
        <v>1.7</v>
      </c>
      <c r="H459" s="15">
        <v>9.25</v>
      </c>
      <c r="I459">
        <v>32.450000000000003</v>
      </c>
      <c r="J459" t="e">
        <v>#N/A</v>
      </c>
      <c r="K459">
        <v>9.5</v>
      </c>
      <c r="L459">
        <v>1.8</v>
      </c>
      <c r="M459">
        <v>2.7189999999999999</v>
      </c>
      <c r="N459">
        <v>0.3</v>
      </c>
      <c r="O459">
        <v>3.2269999999999999</v>
      </c>
      <c r="P459">
        <v>1.171</v>
      </c>
      <c r="Q459">
        <v>14</v>
      </c>
    </row>
    <row r="460" spans="1:17" x14ac:dyDescent="0.25">
      <c r="A460" s="1">
        <v>41856</v>
      </c>
      <c r="B460">
        <v>8.1999999999999993</v>
      </c>
      <c r="C460">
        <v>150.19999999999999</v>
      </c>
      <c r="D460">
        <v>3.984</v>
      </c>
      <c r="E460" t="e">
        <v>#N/A</v>
      </c>
      <c r="F460">
        <v>5.09</v>
      </c>
      <c r="G460">
        <v>1.7</v>
      </c>
      <c r="H460" s="15">
        <v>9.15</v>
      </c>
      <c r="I460">
        <v>32.299999999999997</v>
      </c>
      <c r="J460" t="e">
        <v>#N/A</v>
      </c>
      <c r="K460">
        <v>9.5500000000000007</v>
      </c>
      <c r="L460">
        <v>1.8</v>
      </c>
      <c r="M460">
        <v>2.7189999999999999</v>
      </c>
      <c r="N460">
        <v>0.3</v>
      </c>
      <c r="O460">
        <v>3.2269999999999999</v>
      </c>
      <c r="P460">
        <v>1.151</v>
      </c>
      <c r="Q460">
        <v>13</v>
      </c>
    </row>
    <row r="461" spans="1:17" x14ac:dyDescent="0.25">
      <c r="A461" s="1">
        <v>41857</v>
      </c>
      <c r="B461">
        <v>8.15</v>
      </c>
      <c r="C461">
        <v>148.71</v>
      </c>
      <c r="D461">
        <v>3.95</v>
      </c>
      <c r="E461">
        <v>12.3</v>
      </c>
      <c r="F461">
        <v>5.0999999999999996</v>
      </c>
      <c r="G461">
        <v>1.67</v>
      </c>
      <c r="H461" s="15">
        <v>9.15</v>
      </c>
      <c r="I461">
        <v>32.299999999999997</v>
      </c>
      <c r="J461" t="e">
        <v>#N/A</v>
      </c>
      <c r="K461">
        <v>9.51</v>
      </c>
      <c r="L461">
        <v>1.82</v>
      </c>
      <c r="M461">
        <v>2.7189999999999999</v>
      </c>
      <c r="N461">
        <v>0.3</v>
      </c>
      <c r="O461">
        <v>3.24</v>
      </c>
      <c r="P461">
        <v>1.151</v>
      </c>
      <c r="Q461">
        <v>14</v>
      </c>
    </row>
    <row r="462" spans="1:17" x14ac:dyDescent="0.25">
      <c r="A462" s="1">
        <v>41858</v>
      </c>
      <c r="B462">
        <v>8.0500000000000007</v>
      </c>
      <c r="C462" t="e">
        <v>#N/A</v>
      </c>
      <c r="D462">
        <v>3.95</v>
      </c>
      <c r="E462">
        <v>12.2</v>
      </c>
      <c r="F462">
        <v>5.15</v>
      </c>
      <c r="G462">
        <v>1.67</v>
      </c>
      <c r="H462" s="15">
        <v>9.15</v>
      </c>
      <c r="I462">
        <v>32.31</v>
      </c>
      <c r="J462" t="e">
        <v>#N/A</v>
      </c>
      <c r="K462">
        <v>9.57</v>
      </c>
      <c r="L462">
        <v>1.8</v>
      </c>
      <c r="M462">
        <v>2.68</v>
      </c>
      <c r="N462">
        <v>0.3</v>
      </c>
      <c r="O462">
        <v>3.24</v>
      </c>
      <c r="P462">
        <v>1.161</v>
      </c>
      <c r="Q462">
        <v>13</v>
      </c>
    </row>
    <row r="463" spans="1:17" x14ac:dyDescent="0.25">
      <c r="A463" s="1">
        <v>41859</v>
      </c>
      <c r="B463">
        <v>7.85</v>
      </c>
      <c r="C463">
        <v>152.30000000000001</v>
      </c>
      <c r="D463">
        <v>3.8879999999999999</v>
      </c>
      <c r="E463">
        <v>12.31</v>
      </c>
      <c r="F463">
        <v>5.12</v>
      </c>
      <c r="G463">
        <v>1.7</v>
      </c>
      <c r="H463" s="15">
        <v>9.15</v>
      </c>
      <c r="I463">
        <v>32.119999999999997</v>
      </c>
      <c r="J463" t="e">
        <v>#N/A</v>
      </c>
      <c r="K463">
        <v>9.5</v>
      </c>
      <c r="L463">
        <v>1.8</v>
      </c>
      <c r="M463">
        <v>2.65</v>
      </c>
      <c r="N463">
        <v>0.30299999999999999</v>
      </c>
      <c r="O463">
        <v>3.21</v>
      </c>
      <c r="P463">
        <v>1.131</v>
      </c>
      <c r="Q463">
        <v>14</v>
      </c>
    </row>
    <row r="464" spans="1:17" x14ac:dyDescent="0.25">
      <c r="A464" s="1">
        <v>41862</v>
      </c>
      <c r="B464">
        <v>7.7</v>
      </c>
      <c r="C464">
        <v>155.05000000000001</v>
      </c>
      <c r="D464">
        <v>3.9289999999999998</v>
      </c>
      <c r="E464">
        <v>13</v>
      </c>
      <c r="F464">
        <v>5.15</v>
      </c>
      <c r="G464">
        <v>1.69</v>
      </c>
      <c r="H464" s="15">
        <v>9.2200000000000006</v>
      </c>
      <c r="I464">
        <v>32.450000000000003</v>
      </c>
      <c r="J464" t="e">
        <v>#N/A</v>
      </c>
      <c r="K464">
        <v>9.5</v>
      </c>
      <c r="L464">
        <v>1.78</v>
      </c>
      <c r="M464">
        <v>2.67</v>
      </c>
      <c r="N464">
        <v>0.30099999999999999</v>
      </c>
      <c r="O464">
        <v>3.2</v>
      </c>
      <c r="P464">
        <v>1.141</v>
      </c>
      <c r="Q464">
        <v>14</v>
      </c>
    </row>
    <row r="465" spans="1:17" x14ac:dyDescent="0.25">
      <c r="A465" s="1">
        <v>41863</v>
      </c>
      <c r="B465">
        <v>7.85</v>
      </c>
      <c r="C465">
        <v>154.16999999999999</v>
      </c>
      <c r="D465">
        <v>3.984</v>
      </c>
      <c r="E465">
        <v>13.2</v>
      </c>
      <c r="F465">
        <v>5.2</v>
      </c>
      <c r="G465">
        <v>1.67</v>
      </c>
      <c r="H465" s="15">
        <v>9.31</v>
      </c>
      <c r="I465">
        <v>32.450000000000003</v>
      </c>
      <c r="J465" t="e">
        <v>#N/A</v>
      </c>
      <c r="K465">
        <v>9.5</v>
      </c>
      <c r="L465">
        <v>1.8</v>
      </c>
      <c r="M465">
        <v>2.67</v>
      </c>
      <c r="N465">
        <v>0.3</v>
      </c>
      <c r="O465">
        <v>3.2</v>
      </c>
      <c r="P465">
        <v>1.131</v>
      </c>
      <c r="Q465">
        <v>14</v>
      </c>
    </row>
    <row r="466" spans="1:17" x14ac:dyDescent="0.25">
      <c r="A466" s="1">
        <v>41864</v>
      </c>
      <c r="B466">
        <v>7.85</v>
      </c>
      <c r="C466">
        <v>156</v>
      </c>
      <c r="D466">
        <v>4.0190000000000001</v>
      </c>
      <c r="E466">
        <v>13.18</v>
      </c>
      <c r="F466">
        <v>5.25</v>
      </c>
      <c r="G466">
        <v>1.69</v>
      </c>
      <c r="H466" s="15">
        <v>9.33</v>
      </c>
      <c r="I466">
        <v>32.450000000000003</v>
      </c>
      <c r="J466">
        <v>16.55</v>
      </c>
      <c r="K466">
        <v>9.51</v>
      </c>
      <c r="L466">
        <v>1.8</v>
      </c>
      <c r="M466">
        <v>2.67</v>
      </c>
      <c r="N466">
        <v>0.28499999999999998</v>
      </c>
      <c r="O466">
        <v>3.23</v>
      </c>
      <c r="P466">
        <v>1.131</v>
      </c>
      <c r="Q466">
        <v>15</v>
      </c>
    </row>
    <row r="467" spans="1:17" x14ac:dyDescent="0.25">
      <c r="A467" s="1">
        <v>41865</v>
      </c>
      <c r="B467">
        <v>7.9</v>
      </c>
      <c r="C467">
        <v>154.5</v>
      </c>
      <c r="D467">
        <v>4.0190000000000001</v>
      </c>
      <c r="E467">
        <v>13</v>
      </c>
      <c r="F467">
        <v>5.18</v>
      </c>
      <c r="G467">
        <v>1.68</v>
      </c>
      <c r="H467" s="15">
        <v>9.33</v>
      </c>
      <c r="I467" t="e">
        <v>#N/A</v>
      </c>
      <c r="J467">
        <v>16.5</v>
      </c>
      <c r="K467">
        <v>9.51</v>
      </c>
      <c r="L467">
        <v>1.8</v>
      </c>
      <c r="M467">
        <v>2.66</v>
      </c>
      <c r="N467">
        <v>0.28000000000000003</v>
      </c>
      <c r="O467">
        <v>3.23</v>
      </c>
      <c r="P467">
        <v>1.131</v>
      </c>
      <c r="Q467">
        <v>14</v>
      </c>
    </row>
    <row r="468" spans="1:17" x14ac:dyDescent="0.25">
      <c r="A468" s="1">
        <v>41866</v>
      </c>
      <c r="B468">
        <v>7.84</v>
      </c>
      <c r="C468">
        <v>153.86000000000001</v>
      </c>
      <c r="D468">
        <v>4.0049999999999999</v>
      </c>
      <c r="E468">
        <v>13</v>
      </c>
      <c r="F468">
        <v>5.13</v>
      </c>
      <c r="G468">
        <v>1.68</v>
      </c>
      <c r="H468" s="15">
        <v>9.4</v>
      </c>
      <c r="I468">
        <v>32.299999999999997</v>
      </c>
      <c r="J468" t="e">
        <v>#N/A</v>
      </c>
      <c r="K468">
        <v>9.48</v>
      </c>
      <c r="L468">
        <v>1.82</v>
      </c>
      <c r="M468">
        <v>2.64</v>
      </c>
      <c r="N468">
        <v>0.27500000000000002</v>
      </c>
      <c r="O468">
        <v>3.23</v>
      </c>
      <c r="P468">
        <v>1.141</v>
      </c>
      <c r="Q468">
        <v>14</v>
      </c>
    </row>
    <row r="469" spans="1:17" x14ac:dyDescent="0.25">
      <c r="A469" s="1">
        <v>41869</v>
      </c>
      <c r="B469">
        <v>7.83</v>
      </c>
      <c r="C469">
        <v>154.53</v>
      </c>
      <c r="D469">
        <v>4.0190000000000001</v>
      </c>
      <c r="E469">
        <v>13.11</v>
      </c>
      <c r="F469">
        <v>5.27</v>
      </c>
      <c r="G469">
        <v>1.68</v>
      </c>
      <c r="H469" s="15">
        <v>9.5</v>
      </c>
      <c r="I469">
        <v>31.97</v>
      </c>
      <c r="J469">
        <v>16.55</v>
      </c>
      <c r="K469">
        <v>9.5500000000000007</v>
      </c>
      <c r="L469">
        <v>1.84</v>
      </c>
      <c r="M469">
        <v>2.69</v>
      </c>
      <c r="N469">
        <v>0.31</v>
      </c>
      <c r="O469">
        <v>3.23</v>
      </c>
      <c r="P469">
        <v>1.141</v>
      </c>
      <c r="Q469">
        <v>15</v>
      </c>
    </row>
    <row r="470" spans="1:17" x14ac:dyDescent="0.25">
      <c r="A470" s="1">
        <v>41870</v>
      </c>
      <c r="B470">
        <v>7.83</v>
      </c>
      <c r="C470">
        <v>153.15</v>
      </c>
      <c r="D470">
        <v>4.0389999999999997</v>
      </c>
      <c r="E470">
        <v>13.09</v>
      </c>
      <c r="F470">
        <v>5.3</v>
      </c>
      <c r="G470">
        <v>1.7</v>
      </c>
      <c r="H470" s="15">
        <v>9.5</v>
      </c>
      <c r="I470">
        <v>31.94</v>
      </c>
      <c r="J470">
        <v>16.75</v>
      </c>
      <c r="K470">
        <v>9.76</v>
      </c>
      <c r="L470">
        <v>1.83</v>
      </c>
      <c r="M470">
        <v>2.69</v>
      </c>
      <c r="N470">
        <v>0.3</v>
      </c>
      <c r="O470">
        <v>3.23</v>
      </c>
      <c r="P470">
        <v>1.141</v>
      </c>
      <c r="Q470">
        <v>15</v>
      </c>
    </row>
    <row r="471" spans="1:17" x14ac:dyDescent="0.25">
      <c r="A471" s="1">
        <v>41871</v>
      </c>
      <c r="B471">
        <v>7.85</v>
      </c>
      <c r="C471">
        <v>155</v>
      </c>
      <c r="D471">
        <v>4.0529999999999999</v>
      </c>
      <c r="E471">
        <v>13.21</v>
      </c>
      <c r="F471">
        <v>5.33</v>
      </c>
      <c r="G471">
        <v>1.7</v>
      </c>
      <c r="H471" s="15">
        <v>9.5</v>
      </c>
      <c r="I471">
        <v>31.5</v>
      </c>
      <c r="J471">
        <v>16.7</v>
      </c>
      <c r="K471">
        <v>9.76</v>
      </c>
      <c r="L471">
        <v>1.85</v>
      </c>
      <c r="M471">
        <v>2.7090000000000001</v>
      </c>
      <c r="N471">
        <v>0.3</v>
      </c>
      <c r="O471">
        <v>3.23</v>
      </c>
      <c r="P471">
        <v>1.141</v>
      </c>
      <c r="Q471">
        <v>15</v>
      </c>
    </row>
    <row r="472" spans="1:17" x14ac:dyDescent="0.25">
      <c r="A472" s="1">
        <v>41872</v>
      </c>
      <c r="B472">
        <v>7.85</v>
      </c>
      <c r="C472">
        <v>155</v>
      </c>
      <c r="D472">
        <v>4.0529999999999999</v>
      </c>
      <c r="E472">
        <v>13.4</v>
      </c>
      <c r="F472">
        <v>5.38</v>
      </c>
      <c r="G472">
        <v>1.7</v>
      </c>
      <c r="H472" s="15">
        <v>9.5</v>
      </c>
      <c r="I472">
        <v>31.5</v>
      </c>
      <c r="J472">
        <v>16.82</v>
      </c>
      <c r="K472">
        <v>9.7799999999999994</v>
      </c>
      <c r="L472">
        <v>1.87</v>
      </c>
      <c r="M472">
        <v>2.7389999999999999</v>
      </c>
      <c r="N472">
        <v>0.28999999999999998</v>
      </c>
      <c r="O472">
        <v>3.23</v>
      </c>
      <c r="P472">
        <v>1.131</v>
      </c>
      <c r="Q472">
        <v>15</v>
      </c>
    </row>
    <row r="473" spans="1:17" x14ac:dyDescent="0.25">
      <c r="A473" s="1">
        <v>41873</v>
      </c>
      <c r="B473">
        <v>7.86</v>
      </c>
      <c r="C473">
        <v>155</v>
      </c>
      <c r="D473">
        <v>4.133</v>
      </c>
      <c r="E473">
        <v>13.4</v>
      </c>
      <c r="F473">
        <v>5.38</v>
      </c>
      <c r="G473">
        <v>1.71</v>
      </c>
      <c r="H473" s="15">
        <v>9.4499999999999993</v>
      </c>
      <c r="I473">
        <v>31.25</v>
      </c>
      <c r="J473">
        <v>17</v>
      </c>
      <c r="K473">
        <v>9.7799999999999994</v>
      </c>
      <c r="L473">
        <v>1.89</v>
      </c>
      <c r="M473">
        <v>2.7490000000000001</v>
      </c>
      <c r="N473">
        <v>0.28899999999999998</v>
      </c>
      <c r="O473">
        <v>3.25</v>
      </c>
      <c r="P473">
        <v>1.141</v>
      </c>
      <c r="Q473">
        <v>15</v>
      </c>
    </row>
    <row r="474" spans="1:17" x14ac:dyDescent="0.25">
      <c r="A474" s="1">
        <v>41876</v>
      </c>
      <c r="B474">
        <v>7.85</v>
      </c>
      <c r="C474">
        <v>155</v>
      </c>
      <c r="D474">
        <v>4.117</v>
      </c>
      <c r="E474">
        <v>13.46</v>
      </c>
      <c r="F474">
        <v>5.3</v>
      </c>
      <c r="G474">
        <v>1.71</v>
      </c>
      <c r="H474" s="15">
        <v>9.42</v>
      </c>
      <c r="I474">
        <v>31.4</v>
      </c>
      <c r="J474">
        <v>17.05</v>
      </c>
      <c r="K474">
        <v>9.82</v>
      </c>
      <c r="L474">
        <v>1.92</v>
      </c>
      <c r="M474">
        <v>2.7490000000000001</v>
      </c>
      <c r="N474">
        <v>0.28899999999999998</v>
      </c>
      <c r="O474">
        <v>3.25</v>
      </c>
      <c r="P474">
        <v>1.131</v>
      </c>
      <c r="Q474">
        <v>15</v>
      </c>
    </row>
    <row r="475" spans="1:17" x14ac:dyDescent="0.25">
      <c r="A475" s="1">
        <v>41877</v>
      </c>
      <c r="B475">
        <v>7.85</v>
      </c>
      <c r="C475">
        <v>152</v>
      </c>
      <c r="D475">
        <v>4.0839999999999996</v>
      </c>
      <c r="E475">
        <v>13.5</v>
      </c>
      <c r="F475">
        <v>5.2</v>
      </c>
      <c r="G475">
        <v>1.71</v>
      </c>
      <c r="H475" s="15">
        <v>9.35</v>
      </c>
      <c r="I475">
        <v>31.4</v>
      </c>
      <c r="J475">
        <v>17.149999999999999</v>
      </c>
      <c r="K475">
        <v>9.8800000000000008</v>
      </c>
      <c r="L475">
        <v>1.94</v>
      </c>
      <c r="M475">
        <v>2.7589999999999999</v>
      </c>
      <c r="N475">
        <v>0.28499999999999998</v>
      </c>
      <c r="O475">
        <v>3.24</v>
      </c>
      <c r="P475">
        <v>1.1020000000000001</v>
      </c>
      <c r="Q475">
        <v>15</v>
      </c>
    </row>
    <row r="476" spans="1:17" x14ac:dyDescent="0.25">
      <c r="A476" s="1">
        <v>41878</v>
      </c>
      <c r="B476">
        <v>7.85</v>
      </c>
      <c r="C476">
        <v>151.33000000000001</v>
      </c>
      <c r="D476">
        <v>4.0839999999999996</v>
      </c>
      <c r="E476">
        <v>13.7</v>
      </c>
      <c r="F476">
        <v>5.32</v>
      </c>
      <c r="G476">
        <v>1.71</v>
      </c>
      <c r="H476" s="15">
        <v>9.34</v>
      </c>
      <c r="I476">
        <v>31.38</v>
      </c>
      <c r="J476">
        <v>17.399999999999999</v>
      </c>
      <c r="K476">
        <v>9.9700000000000006</v>
      </c>
      <c r="L476">
        <v>1.94</v>
      </c>
      <c r="M476">
        <v>2.7490000000000001</v>
      </c>
      <c r="N476">
        <v>0.28599999999999998</v>
      </c>
      <c r="O476">
        <v>3.21</v>
      </c>
      <c r="P476">
        <v>1.1120000000000001</v>
      </c>
      <c r="Q476">
        <v>15</v>
      </c>
    </row>
    <row r="477" spans="1:17" x14ac:dyDescent="0.25">
      <c r="A477" s="1">
        <v>41879</v>
      </c>
      <c r="B477">
        <v>7.71</v>
      </c>
      <c r="C477">
        <v>152.80000000000001</v>
      </c>
      <c r="D477">
        <v>4.0110000000000001</v>
      </c>
      <c r="E477">
        <v>14.45</v>
      </c>
      <c r="F477">
        <v>5.32</v>
      </c>
      <c r="G477">
        <v>1.7</v>
      </c>
      <c r="H477" s="15">
        <v>9.34</v>
      </c>
      <c r="I477">
        <v>31.2</v>
      </c>
      <c r="J477">
        <v>17.7</v>
      </c>
      <c r="K477">
        <v>9.85</v>
      </c>
      <c r="L477">
        <v>1.94</v>
      </c>
      <c r="M477">
        <v>2.7490000000000001</v>
      </c>
      <c r="N477">
        <v>0.29499999999999998</v>
      </c>
      <c r="O477">
        <v>3.22</v>
      </c>
      <c r="P477">
        <v>1.1020000000000001</v>
      </c>
      <c r="Q477">
        <v>15</v>
      </c>
    </row>
    <row r="478" spans="1:17" x14ac:dyDescent="0.25">
      <c r="A478" s="1">
        <v>41880</v>
      </c>
      <c r="B478">
        <v>7.82</v>
      </c>
      <c r="C478">
        <v>154</v>
      </c>
      <c r="D478">
        <v>3.97</v>
      </c>
      <c r="E478">
        <v>14.51</v>
      </c>
      <c r="F478">
        <v>5.3</v>
      </c>
      <c r="G478">
        <v>1.72</v>
      </c>
      <c r="H478" s="15">
        <v>9.33</v>
      </c>
      <c r="I478">
        <v>31.35</v>
      </c>
      <c r="J478">
        <v>17.7</v>
      </c>
      <c r="K478">
        <v>9.6</v>
      </c>
      <c r="L478">
        <v>1.95</v>
      </c>
      <c r="M478">
        <v>2.7290000000000001</v>
      </c>
      <c r="N478">
        <v>0.29199999999999998</v>
      </c>
      <c r="O478">
        <v>3.18</v>
      </c>
      <c r="P478">
        <v>1.1120000000000001</v>
      </c>
      <c r="Q478">
        <v>15</v>
      </c>
    </row>
    <row r="479" spans="1:17" x14ac:dyDescent="0.25">
      <c r="A479" s="1">
        <v>41883</v>
      </c>
      <c r="B479">
        <v>7.82</v>
      </c>
      <c r="C479" t="e">
        <v>#N/A</v>
      </c>
      <c r="D479">
        <v>3.9940000000000002</v>
      </c>
      <c r="E479">
        <v>14.4</v>
      </c>
      <c r="F479">
        <v>5.3</v>
      </c>
      <c r="G479">
        <v>1.71</v>
      </c>
      <c r="H479" s="15">
        <v>9.33</v>
      </c>
      <c r="I479">
        <v>31.35</v>
      </c>
      <c r="J479" t="e">
        <v>#N/A</v>
      </c>
      <c r="K479">
        <v>9.6</v>
      </c>
      <c r="L479">
        <v>1.94</v>
      </c>
      <c r="M479" t="e">
        <v>#N/A</v>
      </c>
      <c r="N479">
        <v>0.3</v>
      </c>
      <c r="O479">
        <v>3.22</v>
      </c>
      <c r="P479">
        <v>1.1120000000000001</v>
      </c>
      <c r="Q479">
        <v>12</v>
      </c>
    </row>
    <row r="480" spans="1:17" x14ac:dyDescent="0.25">
      <c r="A480" s="1">
        <v>41884</v>
      </c>
      <c r="B480">
        <v>7.8</v>
      </c>
      <c r="C480">
        <v>157</v>
      </c>
      <c r="D480">
        <v>4.0110000000000001</v>
      </c>
      <c r="E480">
        <v>13.75</v>
      </c>
      <c r="F480">
        <v>5.3</v>
      </c>
      <c r="G480">
        <v>1.71</v>
      </c>
      <c r="H480" s="15">
        <v>9.1999999999999993</v>
      </c>
      <c r="I480">
        <v>31.4</v>
      </c>
      <c r="J480">
        <v>17.75</v>
      </c>
      <c r="K480">
        <v>9.75</v>
      </c>
      <c r="L480">
        <v>1.92</v>
      </c>
      <c r="M480">
        <v>2.7389999999999999</v>
      </c>
      <c r="N480">
        <v>0.29799999999999999</v>
      </c>
      <c r="O480">
        <v>3.19</v>
      </c>
      <c r="P480">
        <v>1.1120000000000001</v>
      </c>
      <c r="Q480">
        <v>15</v>
      </c>
    </row>
    <row r="481" spans="1:17" x14ac:dyDescent="0.25">
      <c r="A481" s="1">
        <v>41885</v>
      </c>
      <c r="B481">
        <v>7.85</v>
      </c>
      <c r="C481">
        <v>158.69999999999999</v>
      </c>
      <c r="D481">
        <v>4.0110000000000001</v>
      </c>
      <c r="E481">
        <v>13.87</v>
      </c>
      <c r="F481">
        <v>5.32</v>
      </c>
      <c r="G481">
        <v>1.7</v>
      </c>
      <c r="H481" s="15">
        <v>9.1999999999999993</v>
      </c>
      <c r="I481">
        <v>31.35</v>
      </c>
      <c r="J481">
        <v>17.95</v>
      </c>
      <c r="K481">
        <v>9.75</v>
      </c>
      <c r="L481">
        <v>1.92</v>
      </c>
      <c r="M481">
        <v>2.7189999999999999</v>
      </c>
      <c r="N481">
        <v>0.3</v>
      </c>
      <c r="O481">
        <v>3.2</v>
      </c>
      <c r="P481">
        <v>1.1120000000000001</v>
      </c>
      <c r="Q481">
        <v>15</v>
      </c>
    </row>
    <row r="482" spans="1:17" x14ac:dyDescent="0.25">
      <c r="A482" s="1">
        <v>41886</v>
      </c>
      <c r="B482">
        <v>7.8</v>
      </c>
      <c r="C482">
        <v>157</v>
      </c>
      <c r="D482">
        <v>3.9940000000000002</v>
      </c>
      <c r="E482">
        <v>13.05</v>
      </c>
      <c r="F482">
        <v>5.35</v>
      </c>
      <c r="G482">
        <v>1.7</v>
      </c>
      <c r="H482" s="15">
        <v>9.25</v>
      </c>
      <c r="I482">
        <v>31.35</v>
      </c>
      <c r="J482">
        <v>17.95</v>
      </c>
      <c r="K482">
        <v>9.75</v>
      </c>
      <c r="L482">
        <v>1.92</v>
      </c>
      <c r="M482">
        <v>2.7</v>
      </c>
      <c r="N482">
        <v>0.3</v>
      </c>
      <c r="O482">
        <v>3.2</v>
      </c>
      <c r="P482">
        <v>1.0720000000000001</v>
      </c>
      <c r="Q482">
        <v>15</v>
      </c>
    </row>
    <row r="483" spans="1:17" x14ac:dyDescent="0.25">
      <c r="A483" s="1">
        <v>41887</v>
      </c>
      <c r="B483">
        <v>7.9</v>
      </c>
      <c r="C483">
        <v>157.53</v>
      </c>
      <c r="D483">
        <v>3.97</v>
      </c>
      <c r="E483">
        <v>13.15</v>
      </c>
      <c r="F483">
        <v>5.4</v>
      </c>
      <c r="G483">
        <v>1.7</v>
      </c>
      <c r="H483" s="15">
        <v>9.25</v>
      </c>
      <c r="I483">
        <v>31.5</v>
      </c>
      <c r="J483">
        <v>18.149999999999999</v>
      </c>
      <c r="K483">
        <v>10</v>
      </c>
      <c r="L483">
        <v>1.97</v>
      </c>
      <c r="M483">
        <v>2.7290000000000001</v>
      </c>
      <c r="N483">
        <v>0.3</v>
      </c>
      <c r="O483">
        <v>3.17</v>
      </c>
      <c r="P483">
        <v>1.0620000000000001</v>
      </c>
      <c r="Q483">
        <v>15</v>
      </c>
    </row>
    <row r="484" spans="1:17" x14ac:dyDescent="0.25">
      <c r="A484" s="1">
        <v>41890</v>
      </c>
      <c r="B484">
        <v>7.9</v>
      </c>
      <c r="C484" t="e">
        <v>#N/A</v>
      </c>
      <c r="D484">
        <v>4.0019999999999998</v>
      </c>
      <c r="E484">
        <v>12.95</v>
      </c>
      <c r="F484">
        <v>5.4</v>
      </c>
      <c r="G484">
        <v>1.7</v>
      </c>
      <c r="H484" s="15">
        <v>9.25</v>
      </c>
      <c r="I484">
        <v>31.5</v>
      </c>
      <c r="J484">
        <v>18.149999999999999</v>
      </c>
      <c r="K484">
        <v>9.8699999999999992</v>
      </c>
      <c r="L484">
        <v>1.97</v>
      </c>
      <c r="M484">
        <v>2.7490000000000001</v>
      </c>
      <c r="N484">
        <v>0.3</v>
      </c>
      <c r="O484">
        <v>3.17</v>
      </c>
      <c r="P484">
        <v>1.0720000000000001</v>
      </c>
      <c r="Q484">
        <v>14</v>
      </c>
    </row>
    <row r="485" spans="1:17" x14ac:dyDescent="0.25">
      <c r="A485" s="1">
        <v>41891</v>
      </c>
      <c r="B485">
        <v>7.9</v>
      </c>
      <c r="C485">
        <v>155.33000000000001</v>
      </c>
      <c r="D485">
        <v>4.0190000000000001</v>
      </c>
      <c r="E485">
        <v>13</v>
      </c>
      <c r="F485">
        <v>5.42</v>
      </c>
      <c r="G485">
        <v>1.7</v>
      </c>
      <c r="H485" s="15">
        <v>9.1999999999999993</v>
      </c>
      <c r="I485">
        <v>31.6</v>
      </c>
      <c r="J485">
        <v>18.3</v>
      </c>
      <c r="K485">
        <v>9.82</v>
      </c>
      <c r="L485">
        <v>1.95</v>
      </c>
      <c r="M485">
        <v>2.7490000000000001</v>
      </c>
      <c r="N485">
        <v>0.3</v>
      </c>
      <c r="O485">
        <v>3.18</v>
      </c>
      <c r="P485">
        <v>1.0620000000000001</v>
      </c>
      <c r="Q485">
        <v>15</v>
      </c>
    </row>
    <row r="486" spans="1:17" x14ac:dyDescent="0.25">
      <c r="A486" s="1">
        <v>41892</v>
      </c>
      <c r="B486">
        <v>7.83</v>
      </c>
      <c r="C486">
        <v>153.07</v>
      </c>
      <c r="D486">
        <v>4.0110000000000001</v>
      </c>
      <c r="E486">
        <v>12.9</v>
      </c>
      <c r="F486" t="e">
        <v>#N/A</v>
      </c>
      <c r="G486">
        <v>1.68</v>
      </c>
      <c r="H486" s="15">
        <v>9.15</v>
      </c>
      <c r="I486">
        <v>31.75</v>
      </c>
      <c r="J486">
        <v>18.3</v>
      </c>
      <c r="K486">
        <v>9.81</v>
      </c>
      <c r="L486">
        <v>1.94</v>
      </c>
      <c r="M486">
        <v>2.69</v>
      </c>
      <c r="N486">
        <v>0.29899999999999999</v>
      </c>
      <c r="O486">
        <v>3.19</v>
      </c>
      <c r="P486">
        <v>1.042</v>
      </c>
      <c r="Q486">
        <v>14</v>
      </c>
    </row>
    <row r="487" spans="1:17" x14ac:dyDescent="0.25">
      <c r="A487" s="1">
        <v>41893</v>
      </c>
      <c r="B487">
        <v>7.84</v>
      </c>
      <c r="C487">
        <v>153.4</v>
      </c>
      <c r="D487">
        <v>3.9940000000000002</v>
      </c>
      <c r="E487">
        <v>13.02</v>
      </c>
      <c r="F487">
        <v>5.45</v>
      </c>
      <c r="G487">
        <v>1.68</v>
      </c>
      <c r="H487" s="15">
        <v>9.33</v>
      </c>
      <c r="I487">
        <v>32</v>
      </c>
      <c r="J487">
        <v>18.45</v>
      </c>
      <c r="K487">
        <v>9.6999999999999993</v>
      </c>
      <c r="L487">
        <v>1.96</v>
      </c>
      <c r="M487">
        <v>2.7</v>
      </c>
      <c r="N487">
        <v>0.29899999999999999</v>
      </c>
      <c r="O487">
        <v>3.19</v>
      </c>
      <c r="P487">
        <v>1.042</v>
      </c>
      <c r="Q487">
        <v>15</v>
      </c>
    </row>
    <row r="488" spans="1:17" x14ac:dyDescent="0.25">
      <c r="A488" s="1">
        <v>41894</v>
      </c>
      <c r="B488">
        <v>7.8</v>
      </c>
      <c r="C488">
        <v>152.9</v>
      </c>
      <c r="D488">
        <v>3.97</v>
      </c>
      <c r="E488">
        <v>12.8</v>
      </c>
      <c r="F488">
        <v>5.39</v>
      </c>
      <c r="G488">
        <v>1.69</v>
      </c>
      <c r="H488" s="15">
        <v>9.3000000000000007</v>
      </c>
      <c r="I488">
        <v>31.9</v>
      </c>
      <c r="J488" t="e">
        <v>#N/A</v>
      </c>
      <c r="K488">
        <v>9.6010000000000009</v>
      </c>
      <c r="L488">
        <v>1.94</v>
      </c>
      <c r="M488">
        <v>2.69</v>
      </c>
      <c r="N488">
        <v>0.28999999999999998</v>
      </c>
      <c r="O488">
        <v>3.2</v>
      </c>
      <c r="P488">
        <v>1.032</v>
      </c>
      <c r="Q488">
        <v>14</v>
      </c>
    </row>
    <row r="489" spans="1:17" x14ac:dyDescent="0.25">
      <c r="A489" s="1">
        <v>41897</v>
      </c>
      <c r="B489">
        <v>7.85</v>
      </c>
      <c r="C489">
        <v>153.72999999999999</v>
      </c>
      <c r="D489">
        <v>3.9860000000000002</v>
      </c>
      <c r="E489">
        <v>13.06</v>
      </c>
      <c r="F489">
        <v>5.31</v>
      </c>
      <c r="G489">
        <v>1.7</v>
      </c>
      <c r="H489" s="15">
        <v>9.25</v>
      </c>
      <c r="I489">
        <v>31.9</v>
      </c>
      <c r="J489">
        <v>18.350000000000001</v>
      </c>
      <c r="K489">
        <v>9.6010000000000009</v>
      </c>
      <c r="L489">
        <v>1.93</v>
      </c>
      <c r="M489" t="e">
        <v>#N/A</v>
      </c>
      <c r="N489">
        <v>0.29499999999999998</v>
      </c>
      <c r="O489">
        <v>3.18</v>
      </c>
      <c r="P489">
        <v>1.032</v>
      </c>
      <c r="Q489">
        <v>14</v>
      </c>
    </row>
    <row r="490" spans="1:17" x14ac:dyDescent="0.25">
      <c r="A490" s="1">
        <v>41898</v>
      </c>
      <c r="B490">
        <v>7.9</v>
      </c>
      <c r="C490">
        <v>156.19</v>
      </c>
      <c r="D490">
        <v>3.9860000000000002</v>
      </c>
      <c r="E490">
        <v>13.38</v>
      </c>
      <c r="F490">
        <v>5.33</v>
      </c>
      <c r="G490">
        <v>1.69</v>
      </c>
      <c r="H490" s="15">
        <v>9.1999999999999993</v>
      </c>
      <c r="I490">
        <v>31.9</v>
      </c>
      <c r="J490">
        <v>18.399999999999999</v>
      </c>
      <c r="K490">
        <v>9.6999999999999993</v>
      </c>
      <c r="L490">
        <v>1.94</v>
      </c>
      <c r="M490">
        <v>2.69</v>
      </c>
      <c r="N490">
        <v>0.29699999999999999</v>
      </c>
      <c r="O490">
        <v>3.18</v>
      </c>
      <c r="P490">
        <v>1.032</v>
      </c>
      <c r="Q490">
        <v>15</v>
      </c>
    </row>
    <row r="491" spans="1:17" x14ac:dyDescent="0.25">
      <c r="A491" s="1">
        <v>41899</v>
      </c>
      <c r="B491">
        <v>7.95</v>
      </c>
      <c r="C491">
        <v>154.16</v>
      </c>
      <c r="D491">
        <v>4.0019999999999998</v>
      </c>
      <c r="E491">
        <v>12.8</v>
      </c>
      <c r="F491">
        <v>5.32</v>
      </c>
      <c r="G491">
        <v>1.69</v>
      </c>
      <c r="H491" s="15">
        <v>9.2100000000000009</v>
      </c>
      <c r="I491">
        <v>32.5</v>
      </c>
      <c r="J491">
        <v>18.5</v>
      </c>
      <c r="K491">
        <v>9.6999999999999993</v>
      </c>
      <c r="L491">
        <v>1.92</v>
      </c>
      <c r="M491">
        <v>2.69</v>
      </c>
      <c r="N491">
        <v>0.29299999999999998</v>
      </c>
      <c r="O491">
        <v>3.17</v>
      </c>
      <c r="P491">
        <v>1.022</v>
      </c>
      <c r="Q491">
        <v>15</v>
      </c>
    </row>
    <row r="492" spans="1:17" x14ac:dyDescent="0.25">
      <c r="A492" s="1">
        <v>41900</v>
      </c>
      <c r="B492">
        <v>8</v>
      </c>
      <c r="C492">
        <v>154.97999999999999</v>
      </c>
      <c r="D492">
        <v>3.9940000000000002</v>
      </c>
      <c r="E492">
        <v>12.69</v>
      </c>
      <c r="F492">
        <v>5.32</v>
      </c>
      <c r="G492">
        <v>1.68</v>
      </c>
      <c r="H492" s="15">
        <v>9.2200000000000006</v>
      </c>
      <c r="I492">
        <v>32.5</v>
      </c>
      <c r="J492">
        <v>19</v>
      </c>
      <c r="K492">
        <v>9.85</v>
      </c>
      <c r="L492">
        <v>1.92</v>
      </c>
      <c r="M492">
        <v>2.67</v>
      </c>
      <c r="N492">
        <v>0.29199999999999998</v>
      </c>
      <c r="O492">
        <v>3.18</v>
      </c>
      <c r="P492">
        <v>1.022</v>
      </c>
      <c r="Q492">
        <v>15</v>
      </c>
    </row>
    <row r="493" spans="1:17" x14ac:dyDescent="0.25">
      <c r="A493" s="1">
        <v>41901</v>
      </c>
      <c r="B493">
        <v>8.0299999999999994</v>
      </c>
      <c r="C493">
        <v>155.9</v>
      </c>
      <c r="D493">
        <v>3.9940000000000002</v>
      </c>
      <c r="E493">
        <v>12.99</v>
      </c>
      <c r="F493">
        <v>5.25</v>
      </c>
      <c r="G493">
        <v>1.68</v>
      </c>
      <c r="H493" s="15">
        <v>9.23</v>
      </c>
      <c r="I493">
        <v>32.799999999999997</v>
      </c>
      <c r="J493">
        <v>19</v>
      </c>
      <c r="K493">
        <v>9.86</v>
      </c>
      <c r="L493">
        <v>1.94</v>
      </c>
      <c r="M493">
        <v>2.66</v>
      </c>
      <c r="N493">
        <v>0.29199999999999998</v>
      </c>
      <c r="O493">
        <v>3.18</v>
      </c>
      <c r="P493">
        <v>1.0620000000000001</v>
      </c>
      <c r="Q493">
        <v>15</v>
      </c>
    </row>
    <row r="494" spans="1:17" x14ac:dyDescent="0.25">
      <c r="A494" s="1">
        <v>41904</v>
      </c>
      <c r="B494">
        <v>8.0500000000000007</v>
      </c>
      <c r="C494">
        <v>153.5</v>
      </c>
      <c r="D494">
        <v>4.0110000000000001</v>
      </c>
      <c r="E494">
        <v>12.58</v>
      </c>
      <c r="F494">
        <v>5.27</v>
      </c>
      <c r="G494">
        <v>1.68</v>
      </c>
      <c r="H494" s="15">
        <v>9.2100000000000009</v>
      </c>
      <c r="I494">
        <v>32.78</v>
      </c>
      <c r="J494">
        <v>19</v>
      </c>
      <c r="K494">
        <v>9.85</v>
      </c>
      <c r="L494">
        <v>1.91</v>
      </c>
      <c r="M494" t="e">
        <v>#N/A</v>
      </c>
      <c r="N494">
        <v>0.28999999999999998</v>
      </c>
      <c r="O494">
        <v>3.18</v>
      </c>
      <c r="P494">
        <v>1.042</v>
      </c>
      <c r="Q494">
        <v>14</v>
      </c>
    </row>
    <row r="495" spans="1:17" x14ac:dyDescent="0.25">
      <c r="A495" s="1">
        <v>41905</v>
      </c>
      <c r="B495">
        <v>8.1</v>
      </c>
      <c r="C495">
        <v>152.5</v>
      </c>
      <c r="D495">
        <v>3.9860000000000002</v>
      </c>
      <c r="E495">
        <v>12.5</v>
      </c>
      <c r="F495">
        <v>5.29</v>
      </c>
      <c r="G495">
        <v>1.67</v>
      </c>
      <c r="H495" s="15">
        <v>9.18</v>
      </c>
      <c r="I495">
        <v>32.479999999999997</v>
      </c>
      <c r="J495">
        <v>19</v>
      </c>
      <c r="K495">
        <v>9.93</v>
      </c>
      <c r="L495">
        <v>1.91</v>
      </c>
      <c r="M495">
        <v>2.64</v>
      </c>
      <c r="N495">
        <v>0.28699999999999998</v>
      </c>
      <c r="O495">
        <v>3.16</v>
      </c>
      <c r="P495">
        <v>1.032</v>
      </c>
      <c r="Q495">
        <v>15</v>
      </c>
    </row>
    <row r="496" spans="1:17" x14ac:dyDescent="0.25">
      <c r="A496" s="1">
        <v>41906</v>
      </c>
      <c r="B496">
        <v>8.09</v>
      </c>
      <c r="C496">
        <v>153.9</v>
      </c>
      <c r="D496">
        <v>4.0110000000000001</v>
      </c>
      <c r="E496">
        <v>12.51</v>
      </c>
      <c r="F496">
        <v>5.2</v>
      </c>
      <c r="G496">
        <v>1.67</v>
      </c>
      <c r="H496" s="15">
        <v>9</v>
      </c>
      <c r="I496">
        <v>32.380000000000003</v>
      </c>
      <c r="J496">
        <v>18.899999999999999</v>
      </c>
      <c r="K496">
        <v>9.93</v>
      </c>
      <c r="L496">
        <v>1.91</v>
      </c>
      <c r="M496">
        <v>2.62</v>
      </c>
      <c r="N496">
        <v>0.28899999999999998</v>
      </c>
      <c r="O496">
        <v>3.16</v>
      </c>
      <c r="P496">
        <v>1.022</v>
      </c>
      <c r="Q496">
        <v>15</v>
      </c>
    </row>
    <row r="497" spans="1:17" x14ac:dyDescent="0.25">
      <c r="A497" s="1">
        <v>41907</v>
      </c>
      <c r="B497">
        <v>8.09</v>
      </c>
      <c r="C497">
        <v>151.4</v>
      </c>
      <c r="D497">
        <v>4.0110000000000001</v>
      </c>
      <c r="E497">
        <v>12.55</v>
      </c>
      <c r="F497">
        <v>5.25</v>
      </c>
      <c r="G497">
        <v>1.66</v>
      </c>
      <c r="H497" s="15">
        <v>8.83</v>
      </c>
      <c r="I497">
        <v>32</v>
      </c>
      <c r="J497">
        <v>18.899999999999999</v>
      </c>
      <c r="K497">
        <v>9.93</v>
      </c>
      <c r="L497">
        <v>1.88</v>
      </c>
      <c r="M497">
        <v>2.62</v>
      </c>
      <c r="N497">
        <v>0.28399999999999997</v>
      </c>
      <c r="O497">
        <v>3.13</v>
      </c>
      <c r="P497">
        <v>1.012</v>
      </c>
      <c r="Q497">
        <v>15</v>
      </c>
    </row>
    <row r="498" spans="1:17" x14ac:dyDescent="0.25">
      <c r="A498" s="1">
        <v>41908</v>
      </c>
      <c r="B498">
        <v>8.0500000000000007</v>
      </c>
      <c r="C498">
        <v>151</v>
      </c>
      <c r="D498">
        <v>4.0110000000000001</v>
      </c>
      <c r="E498">
        <v>12.23</v>
      </c>
      <c r="F498">
        <v>5.2</v>
      </c>
      <c r="G498">
        <v>1.66</v>
      </c>
      <c r="H498" s="15">
        <v>8.85</v>
      </c>
      <c r="I498">
        <v>31.8</v>
      </c>
      <c r="J498">
        <v>18.95</v>
      </c>
      <c r="K498">
        <v>9.9600000000000009</v>
      </c>
      <c r="L498">
        <v>1.89</v>
      </c>
      <c r="M498">
        <v>2.5910000000000002</v>
      </c>
      <c r="N498">
        <v>0.28299999999999997</v>
      </c>
      <c r="O498">
        <v>3.1</v>
      </c>
      <c r="P498">
        <v>1.022</v>
      </c>
      <c r="Q498">
        <v>15</v>
      </c>
    </row>
    <row r="499" spans="1:17" x14ac:dyDescent="0.25">
      <c r="A499" s="1">
        <v>41911</v>
      </c>
      <c r="B499">
        <v>8.02</v>
      </c>
      <c r="C499">
        <v>150.5</v>
      </c>
      <c r="D499">
        <v>3.9940000000000002</v>
      </c>
      <c r="E499">
        <v>12</v>
      </c>
      <c r="F499">
        <v>5.2</v>
      </c>
      <c r="G499">
        <v>1.66</v>
      </c>
      <c r="H499" s="15">
        <v>8.8000000000000007</v>
      </c>
      <c r="I499">
        <v>31.5</v>
      </c>
      <c r="J499">
        <v>18.95</v>
      </c>
      <c r="K499">
        <v>9.93</v>
      </c>
      <c r="L499" t="e">
        <v>#N/A</v>
      </c>
      <c r="M499">
        <v>2.5910000000000002</v>
      </c>
      <c r="N499">
        <v>0.28299999999999997</v>
      </c>
      <c r="O499">
        <v>3.1</v>
      </c>
      <c r="P499">
        <v>1.002</v>
      </c>
      <c r="Q499">
        <v>14</v>
      </c>
    </row>
    <row r="500" spans="1:17" x14ac:dyDescent="0.25">
      <c r="A500" s="1">
        <v>41912</v>
      </c>
      <c r="B500">
        <v>8</v>
      </c>
      <c r="C500">
        <v>152.5</v>
      </c>
      <c r="D500">
        <v>3.9529999999999998</v>
      </c>
      <c r="E500">
        <v>11.6</v>
      </c>
      <c r="F500">
        <v>5.18</v>
      </c>
      <c r="G500">
        <v>1.66</v>
      </c>
      <c r="H500" s="15">
        <v>8.75</v>
      </c>
      <c r="I500">
        <v>32</v>
      </c>
      <c r="J500">
        <v>19</v>
      </c>
      <c r="K500">
        <v>9.9499999999999993</v>
      </c>
      <c r="L500">
        <v>1.86</v>
      </c>
      <c r="M500">
        <v>2.5219999999999998</v>
      </c>
      <c r="N500">
        <v>0.27100000000000002</v>
      </c>
      <c r="O500">
        <v>3.07</v>
      </c>
      <c r="P500">
        <v>0.98299999999999998</v>
      </c>
      <c r="Q500">
        <v>15</v>
      </c>
    </row>
    <row r="501" spans="1:17" x14ac:dyDescent="0.25">
      <c r="A501" s="1">
        <v>41913</v>
      </c>
      <c r="B501">
        <v>7.98</v>
      </c>
      <c r="C501">
        <v>151.47</v>
      </c>
      <c r="D501">
        <v>3.9529999999999998</v>
      </c>
      <c r="E501">
        <v>11.51</v>
      </c>
      <c r="F501">
        <v>5.0199999999999996</v>
      </c>
      <c r="G501">
        <v>1.63</v>
      </c>
      <c r="H501" s="15">
        <v>8.6</v>
      </c>
      <c r="I501">
        <v>31.75</v>
      </c>
      <c r="J501">
        <v>18.8</v>
      </c>
      <c r="K501">
        <v>9.9499999999999993</v>
      </c>
      <c r="L501">
        <v>1.84</v>
      </c>
      <c r="M501">
        <v>2.5019999999999998</v>
      </c>
      <c r="N501">
        <v>0.27600000000000002</v>
      </c>
      <c r="O501">
        <v>3.04</v>
      </c>
      <c r="P501">
        <v>0.98299999999999998</v>
      </c>
      <c r="Q501">
        <v>15</v>
      </c>
    </row>
    <row r="502" spans="1:17" x14ac:dyDescent="0.25">
      <c r="A502" s="1">
        <v>41914</v>
      </c>
      <c r="B502">
        <v>7.69</v>
      </c>
      <c r="C502">
        <v>150.69999999999999</v>
      </c>
      <c r="D502">
        <v>3.83</v>
      </c>
      <c r="E502">
        <v>11.5</v>
      </c>
      <c r="F502">
        <v>5.05</v>
      </c>
      <c r="G502">
        <v>1.63</v>
      </c>
      <c r="H502" s="15">
        <v>8.56</v>
      </c>
      <c r="I502">
        <v>31.11</v>
      </c>
      <c r="J502" t="e">
        <v>#N/A</v>
      </c>
      <c r="K502">
        <v>9.9499999999999993</v>
      </c>
      <c r="L502">
        <v>1.84</v>
      </c>
      <c r="M502">
        <v>2.3929999999999998</v>
      </c>
      <c r="N502">
        <v>0.26500000000000001</v>
      </c>
      <c r="O502">
        <v>3</v>
      </c>
      <c r="P502">
        <v>0.97299999999999998</v>
      </c>
      <c r="Q502">
        <v>14</v>
      </c>
    </row>
    <row r="503" spans="1:17" x14ac:dyDescent="0.25">
      <c r="A503" s="1">
        <v>41915</v>
      </c>
      <c r="B503">
        <v>7.75</v>
      </c>
      <c r="C503">
        <v>151.94999999999999</v>
      </c>
      <c r="D503">
        <v>3.806</v>
      </c>
      <c r="E503">
        <v>10.99</v>
      </c>
      <c r="F503">
        <v>5</v>
      </c>
      <c r="G503">
        <v>1.61</v>
      </c>
      <c r="H503" s="15">
        <v>8.6</v>
      </c>
      <c r="I503">
        <v>30.85</v>
      </c>
      <c r="J503" t="e">
        <v>#N/A</v>
      </c>
      <c r="K503">
        <v>9.9499999999999993</v>
      </c>
      <c r="L503">
        <v>1.8</v>
      </c>
      <c r="M503">
        <v>2.423</v>
      </c>
      <c r="N503">
        <v>0.255</v>
      </c>
      <c r="O503">
        <v>3.02</v>
      </c>
      <c r="P503">
        <v>0.95299999999999996</v>
      </c>
      <c r="Q503">
        <v>14</v>
      </c>
    </row>
    <row r="504" spans="1:17" x14ac:dyDescent="0.25">
      <c r="A504" s="1">
        <v>41918</v>
      </c>
      <c r="B504">
        <v>7.75</v>
      </c>
      <c r="C504">
        <v>152.5</v>
      </c>
      <c r="D504">
        <v>3.7490000000000001</v>
      </c>
      <c r="E504">
        <v>11.15</v>
      </c>
      <c r="F504">
        <v>4.9000000000000004</v>
      </c>
      <c r="G504">
        <v>1.6</v>
      </c>
      <c r="H504" s="15">
        <v>8.6</v>
      </c>
      <c r="I504">
        <v>30.55</v>
      </c>
      <c r="J504">
        <v>18.8</v>
      </c>
      <c r="K504">
        <v>9.9499999999999993</v>
      </c>
      <c r="L504">
        <v>1.76</v>
      </c>
      <c r="M504">
        <v>2.383</v>
      </c>
      <c r="N504">
        <v>0.245</v>
      </c>
      <c r="O504">
        <v>2.98</v>
      </c>
      <c r="P504">
        <v>0.93300000000000005</v>
      </c>
      <c r="Q504">
        <v>15</v>
      </c>
    </row>
    <row r="505" spans="1:17" x14ac:dyDescent="0.25">
      <c r="A505" s="1">
        <v>41919</v>
      </c>
      <c r="B505">
        <v>7.73</v>
      </c>
      <c r="C505">
        <v>152.4</v>
      </c>
      <c r="D505">
        <v>3.7490000000000001</v>
      </c>
      <c r="E505">
        <v>10.85</v>
      </c>
      <c r="F505">
        <v>4.8</v>
      </c>
      <c r="G505">
        <v>1.57</v>
      </c>
      <c r="H505" s="15">
        <v>8.5299999999999994</v>
      </c>
      <c r="I505">
        <v>30.9</v>
      </c>
      <c r="J505" t="e">
        <v>#N/A</v>
      </c>
      <c r="K505">
        <v>9.93</v>
      </c>
      <c r="L505">
        <v>1.73</v>
      </c>
      <c r="M505">
        <v>2.3439999999999999</v>
      </c>
      <c r="N505">
        <v>0.24299999999999999</v>
      </c>
      <c r="O505">
        <v>2.95</v>
      </c>
      <c r="P505">
        <v>0.91300000000000003</v>
      </c>
      <c r="Q505">
        <v>14</v>
      </c>
    </row>
    <row r="506" spans="1:17" x14ac:dyDescent="0.25">
      <c r="A506" s="1">
        <v>41921</v>
      </c>
      <c r="B506">
        <v>7.66</v>
      </c>
      <c r="C506">
        <v>154</v>
      </c>
      <c r="D506">
        <v>3.7160000000000002</v>
      </c>
      <c r="E506">
        <v>10.85</v>
      </c>
      <c r="F506">
        <v>4.75</v>
      </c>
      <c r="G506">
        <v>1.57</v>
      </c>
      <c r="H506" s="15">
        <v>8.23</v>
      </c>
      <c r="I506">
        <v>30.65</v>
      </c>
      <c r="J506">
        <v>18.64</v>
      </c>
      <c r="K506">
        <v>9.9499999999999993</v>
      </c>
      <c r="L506">
        <v>1.76</v>
      </c>
      <c r="M506">
        <v>2.3239999999999998</v>
      </c>
      <c r="N506">
        <v>0.23499999999999999</v>
      </c>
      <c r="O506">
        <v>2.9</v>
      </c>
      <c r="P506">
        <v>0.92300000000000004</v>
      </c>
      <c r="Q506">
        <v>15</v>
      </c>
    </row>
    <row r="507" spans="1:17" x14ac:dyDescent="0.25">
      <c r="A507" s="1">
        <v>41922</v>
      </c>
      <c r="B507">
        <v>7.66</v>
      </c>
      <c r="C507">
        <v>149.80000000000001</v>
      </c>
      <c r="D507">
        <v>3.7</v>
      </c>
      <c r="E507">
        <v>11.58</v>
      </c>
      <c r="F507">
        <v>4.93</v>
      </c>
      <c r="G507">
        <v>1.6</v>
      </c>
      <c r="H507" s="15">
        <v>8.1999999999999993</v>
      </c>
      <c r="I507">
        <v>30.75</v>
      </c>
      <c r="J507">
        <v>18.5</v>
      </c>
      <c r="K507">
        <v>9.9499999999999993</v>
      </c>
      <c r="L507">
        <v>1.78</v>
      </c>
      <c r="M507">
        <v>2.3530000000000002</v>
      </c>
      <c r="N507">
        <v>0.23499999999999999</v>
      </c>
      <c r="O507">
        <v>2.86</v>
      </c>
      <c r="P507">
        <v>0.92300000000000004</v>
      </c>
      <c r="Q507">
        <v>15</v>
      </c>
    </row>
    <row r="508" spans="1:17" x14ac:dyDescent="0.25">
      <c r="A508" s="1">
        <v>41925</v>
      </c>
      <c r="B508">
        <v>7.68</v>
      </c>
      <c r="C508">
        <v>151.1</v>
      </c>
      <c r="D508">
        <v>3.7080000000000002</v>
      </c>
      <c r="E508">
        <v>12.12</v>
      </c>
      <c r="F508">
        <v>4.8499999999999996</v>
      </c>
      <c r="G508">
        <v>1.6</v>
      </c>
      <c r="H508" s="15">
        <v>8.1999999999999993</v>
      </c>
      <c r="I508">
        <v>30.89</v>
      </c>
      <c r="J508">
        <v>18.5</v>
      </c>
      <c r="K508">
        <v>9.9600000000000009</v>
      </c>
      <c r="L508">
        <v>1.76</v>
      </c>
      <c r="M508">
        <v>2.3530000000000002</v>
      </c>
      <c r="N508">
        <v>0.245</v>
      </c>
      <c r="O508">
        <v>2.9</v>
      </c>
      <c r="P508">
        <v>0.93300000000000005</v>
      </c>
      <c r="Q508">
        <v>15</v>
      </c>
    </row>
    <row r="509" spans="1:17" x14ac:dyDescent="0.25">
      <c r="A509" s="1">
        <v>41926</v>
      </c>
      <c r="B509">
        <v>7.68</v>
      </c>
      <c r="C509">
        <v>150.01</v>
      </c>
      <c r="D509">
        <v>3.7730000000000001</v>
      </c>
      <c r="E509">
        <v>11.85</v>
      </c>
      <c r="F509">
        <v>4.8499999999999996</v>
      </c>
      <c r="G509">
        <v>1.57</v>
      </c>
      <c r="H509" s="15">
        <v>8.0299999999999994</v>
      </c>
      <c r="I509" t="e">
        <v>#N/A</v>
      </c>
      <c r="J509">
        <v>18.5</v>
      </c>
      <c r="K509">
        <v>9.9600000000000009</v>
      </c>
      <c r="L509">
        <v>1.75</v>
      </c>
      <c r="M509">
        <v>2.472</v>
      </c>
      <c r="N509">
        <v>0.25</v>
      </c>
      <c r="O509">
        <v>2.88</v>
      </c>
      <c r="P509">
        <v>0.95299999999999996</v>
      </c>
      <c r="Q509">
        <v>14</v>
      </c>
    </row>
    <row r="510" spans="1:17" x14ac:dyDescent="0.25">
      <c r="A510" s="1">
        <v>41927</v>
      </c>
      <c r="B510">
        <v>7.65</v>
      </c>
      <c r="C510">
        <v>148.5</v>
      </c>
      <c r="D510">
        <v>3.7320000000000002</v>
      </c>
      <c r="E510">
        <v>11.84</v>
      </c>
      <c r="F510">
        <v>4.9000000000000004</v>
      </c>
      <c r="G510">
        <v>1.56</v>
      </c>
      <c r="H510" s="15">
        <v>7.92</v>
      </c>
      <c r="I510">
        <v>30.89</v>
      </c>
      <c r="J510">
        <v>18.5</v>
      </c>
      <c r="K510">
        <v>9.9499999999999993</v>
      </c>
      <c r="L510">
        <v>1.74</v>
      </c>
      <c r="M510">
        <v>2.5019999999999998</v>
      </c>
      <c r="N510">
        <v>0.25900000000000001</v>
      </c>
      <c r="O510">
        <v>2.85</v>
      </c>
      <c r="P510">
        <v>0.97299999999999998</v>
      </c>
      <c r="Q510">
        <v>15</v>
      </c>
    </row>
    <row r="511" spans="1:17" x14ac:dyDescent="0.25">
      <c r="A511" s="1">
        <v>41928</v>
      </c>
      <c r="B511">
        <v>7.68</v>
      </c>
      <c r="C511">
        <v>151</v>
      </c>
      <c r="D511">
        <v>3.7320000000000002</v>
      </c>
      <c r="E511">
        <v>11.5</v>
      </c>
      <c r="F511">
        <v>5.05</v>
      </c>
      <c r="G511" t="e">
        <v>#N/A</v>
      </c>
      <c r="H511" s="15">
        <v>7.83</v>
      </c>
      <c r="I511">
        <v>30.1</v>
      </c>
      <c r="J511">
        <v>18.5</v>
      </c>
      <c r="K511">
        <v>9.9499999999999993</v>
      </c>
      <c r="L511">
        <v>1.73</v>
      </c>
      <c r="M511">
        <v>2.4820000000000002</v>
      </c>
      <c r="N511">
        <v>0.252</v>
      </c>
      <c r="O511">
        <v>2.87</v>
      </c>
      <c r="P511">
        <v>0.95299999999999996</v>
      </c>
      <c r="Q511">
        <v>14</v>
      </c>
    </row>
    <row r="512" spans="1:17" x14ac:dyDescent="0.25">
      <c r="A512" s="1">
        <v>41929</v>
      </c>
      <c r="B512">
        <v>7.69</v>
      </c>
      <c r="C512">
        <v>151.33000000000001</v>
      </c>
      <c r="D512">
        <v>3.7730000000000001</v>
      </c>
      <c r="E512">
        <v>11.07</v>
      </c>
      <c r="F512">
        <v>5.19</v>
      </c>
      <c r="G512">
        <v>1.61</v>
      </c>
      <c r="H512" s="15">
        <v>7.8</v>
      </c>
      <c r="I512">
        <v>30.4</v>
      </c>
      <c r="J512">
        <v>18.5</v>
      </c>
      <c r="K512">
        <v>9.9499999999999993</v>
      </c>
      <c r="L512">
        <v>1.75</v>
      </c>
      <c r="M512">
        <v>2.5219999999999998</v>
      </c>
      <c r="N512">
        <v>0.248</v>
      </c>
      <c r="O512">
        <v>2.92</v>
      </c>
      <c r="P512">
        <v>0.97299999999999998</v>
      </c>
      <c r="Q512">
        <v>15</v>
      </c>
    </row>
    <row r="513" spans="1:17" x14ac:dyDescent="0.25">
      <c r="A513" s="1">
        <v>41932</v>
      </c>
      <c r="B513">
        <v>7.7</v>
      </c>
      <c r="C513">
        <v>151</v>
      </c>
      <c r="D513">
        <v>3.7320000000000002</v>
      </c>
      <c r="E513">
        <v>11</v>
      </c>
      <c r="F513">
        <v>5.16</v>
      </c>
      <c r="G513">
        <v>1.58</v>
      </c>
      <c r="H513" s="15">
        <v>7.7</v>
      </c>
      <c r="I513">
        <v>30</v>
      </c>
      <c r="J513">
        <v>18.5</v>
      </c>
      <c r="K513">
        <v>9.9499999999999993</v>
      </c>
      <c r="L513">
        <v>1.74</v>
      </c>
      <c r="M513">
        <v>2.4820000000000002</v>
      </c>
      <c r="N513">
        <v>0.25</v>
      </c>
      <c r="O513">
        <v>2.88</v>
      </c>
      <c r="P513">
        <v>0.94299999999999995</v>
      </c>
      <c r="Q513">
        <v>15</v>
      </c>
    </row>
    <row r="514" spans="1:17" x14ac:dyDescent="0.25">
      <c r="A514" s="1">
        <v>41933</v>
      </c>
      <c r="B514">
        <v>7.7</v>
      </c>
      <c r="C514">
        <v>152.5</v>
      </c>
      <c r="D514">
        <v>3.7320000000000002</v>
      </c>
      <c r="E514">
        <v>11.05</v>
      </c>
      <c r="F514">
        <v>5.16</v>
      </c>
      <c r="G514">
        <v>1.55</v>
      </c>
      <c r="H514" s="15">
        <v>7.75</v>
      </c>
      <c r="I514">
        <v>29.66</v>
      </c>
      <c r="J514" t="e">
        <v>#N/A</v>
      </c>
      <c r="K514">
        <v>9.82</v>
      </c>
      <c r="L514">
        <v>1.75</v>
      </c>
      <c r="M514">
        <v>2.472</v>
      </c>
      <c r="N514">
        <v>0.24099999999999999</v>
      </c>
      <c r="O514">
        <v>2.83</v>
      </c>
      <c r="P514">
        <v>0.93300000000000005</v>
      </c>
      <c r="Q514">
        <v>14</v>
      </c>
    </row>
    <row r="515" spans="1:17" x14ac:dyDescent="0.25">
      <c r="A515" s="1">
        <v>41934</v>
      </c>
      <c r="B515">
        <v>7.69</v>
      </c>
      <c r="C515">
        <v>152.94999999999999</v>
      </c>
      <c r="D515">
        <v>3.74</v>
      </c>
      <c r="E515">
        <v>11</v>
      </c>
      <c r="F515">
        <v>5.16</v>
      </c>
      <c r="G515">
        <v>1.58</v>
      </c>
      <c r="H515" s="15">
        <v>7.79</v>
      </c>
      <c r="I515">
        <v>29.99</v>
      </c>
      <c r="J515" t="e">
        <v>#N/A</v>
      </c>
      <c r="K515">
        <v>9.83</v>
      </c>
      <c r="L515">
        <v>1.77</v>
      </c>
      <c r="M515">
        <v>2.4820000000000002</v>
      </c>
      <c r="N515">
        <v>0.23300000000000001</v>
      </c>
      <c r="O515">
        <v>2.84</v>
      </c>
      <c r="P515">
        <v>0.93300000000000005</v>
      </c>
      <c r="Q515">
        <v>14</v>
      </c>
    </row>
    <row r="516" spans="1:17" x14ac:dyDescent="0.25">
      <c r="A516" s="1">
        <v>41935</v>
      </c>
      <c r="B516">
        <v>7.7</v>
      </c>
      <c r="C516">
        <v>150</v>
      </c>
      <c r="D516">
        <v>3.7570000000000001</v>
      </c>
      <c r="E516">
        <v>10.9</v>
      </c>
      <c r="F516">
        <v>5.24</v>
      </c>
      <c r="G516">
        <v>1.6</v>
      </c>
      <c r="H516" s="15">
        <v>7.9</v>
      </c>
      <c r="I516">
        <v>30</v>
      </c>
      <c r="J516">
        <v>18.510000000000002</v>
      </c>
      <c r="K516">
        <v>9.85</v>
      </c>
      <c r="L516">
        <v>1.8</v>
      </c>
      <c r="M516">
        <v>2.492</v>
      </c>
      <c r="N516">
        <v>0.23</v>
      </c>
      <c r="O516">
        <v>2.87</v>
      </c>
      <c r="P516">
        <v>0.93300000000000005</v>
      </c>
      <c r="Q516">
        <v>15</v>
      </c>
    </row>
    <row r="517" spans="1:17" x14ac:dyDescent="0.25">
      <c r="A517" s="1">
        <v>41936</v>
      </c>
      <c r="B517">
        <v>7.83</v>
      </c>
      <c r="C517">
        <v>151.6</v>
      </c>
      <c r="D517">
        <v>3.806</v>
      </c>
      <c r="E517">
        <v>10.89</v>
      </c>
      <c r="F517">
        <v>5.3</v>
      </c>
      <c r="G517">
        <v>1.6</v>
      </c>
      <c r="H517" s="15">
        <v>8</v>
      </c>
      <c r="I517">
        <v>30</v>
      </c>
      <c r="J517">
        <v>18.5</v>
      </c>
      <c r="K517">
        <v>9.86</v>
      </c>
      <c r="L517">
        <v>1.85</v>
      </c>
      <c r="M517">
        <v>2.5219999999999998</v>
      </c>
      <c r="N517">
        <v>0.23</v>
      </c>
      <c r="O517">
        <v>2.87</v>
      </c>
      <c r="P517">
        <v>0.94299999999999995</v>
      </c>
      <c r="Q517">
        <v>15</v>
      </c>
    </row>
    <row r="518" spans="1:17" x14ac:dyDescent="0.25">
      <c r="A518" s="1">
        <v>41939</v>
      </c>
      <c r="B518">
        <v>7.85</v>
      </c>
      <c r="C518">
        <v>150</v>
      </c>
      <c r="D518">
        <v>3.847</v>
      </c>
      <c r="E518">
        <v>10.75</v>
      </c>
      <c r="F518">
        <v>5.31</v>
      </c>
      <c r="G518">
        <v>1.59</v>
      </c>
      <c r="H518" s="15">
        <v>8.1</v>
      </c>
      <c r="I518" t="e">
        <v>#N/A</v>
      </c>
      <c r="J518">
        <v>18.5</v>
      </c>
      <c r="K518">
        <v>9.85</v>
      </c>
      <c r="L518">
        <v>1.85</v>
      </c>
      <c r="M518">
        <v>2.492</v>
      </c>
      <c r="N518">
        <v>0.23499999999999999</v>
      </c>
      <c r="O518">
        <v>2.87</v>
      </c>
      <c r="P518">
        <v>0.93300000000000005</v>
      </c>
      <c r="Q518">
        <v>14</v>
      </c>
    </row>
    <row r="519" spans="1:17" x14ac:dyDescent="0.25">
      <c r="A519" s="1">
        <v>41940</v>
      </c>
      <c r="B519">
        <v>8</v>
      </c>
      <c r="C519">
        <v>152</v>
      </c>
      <c r="D519">
        <v>3.855</v>
      </c>
      <c r="E519">
        <v>10.7</v>
      </c>
      <c r="F519">
        <v>5.12</v>
      </c>
      <c r="G519">
        <v>1.59</v>
      </c>
      <c r="H519" s="15">
        <v>7.9</v>
      </c>
      <c r="I519">
        <v>30.15</v>
      </c>
      <c r="J519">
        <v>18.5</v>
      </c>
      <c r="K519">
        <v>9.85</v>
      </c>
      <c r="L519">
        <v>1.87</v>
      </c>
      <c r="M519">
        <v>2.512</v>
      </c>
      <c r="N519">
        <v>0.24</v>
      </c>
      <c r="O519">
        <v>2.92</v>
      </c>
      <c r="P519">
        <v>0.92300000000000004</v>
      </c>
      <c r="Q519">
        <v>15</v>
      </c>
    </row>
    <row r="520" spans="1:17" x14ac:dyDescent="0.25">
      <c r="A520" s="1">
        <v>41941</v>
      </c>
      <c r="B520">
        <v>7.9</v>
      </c>
      <c r="C520">
        <v>153.63999999999999</v>
      </c>
      <c r="D520">
        <v>3.8879999999999999</v>
      </c>
      <c r="E520">
        <v>10.55</v>
      </c>
      <c r="F520">
        <v>5.0999999999999996</v>
      </c>
      <c r="G520">
        <v>1.57</v>
      </c>
      <c r="H520" s="15">
        <v>7.9</v>
      </c>
      <c r="I520">
        <v>30.3</v>
      </c>
      <c r="J520">
        <v>18.5</v>
      </c>
      <c r="K520">
        <v>9.85</v>
      </c>
      <c r="L520" t="e">
        <v>#N/A</v>
      </c>
      <c r="M520">
        <v>2.5510000000000002</v>
      </c>
      <c r="N520">
        <v>0.23799999999999999</v>
      </c>
      <c r="O520">
        <v>2.92</v>
      </c>
      <c r="P520">
        <v>0.91300000000000003</v>
      </c>
      <c r="Q520">
        <v>14</v>
      </c>
    </row>
    <row r="521" spans="1:17" x14ac:dyDescent="0.25">
      <c r="A521" s="1">
        <v>41942</v>
      </c>
      <c r="B521">
        <v>7.9</v>
      </c>
      <c r="C521">
        <v>157.97999999999999</v>
      </c>
      <c r="D521">
        <v>3.9039999999999999</v>
      </c>
      <c r="E521">
        <v>10.15</v>
      </c>
      <c r="F521">
        <v>5.2</v>
      </c>
      <c r="G521">
        <v>1.51</v>
      </c>
      <c r="H521" s="15">
        <v>7.85</v>
      </c>
      <c r="I521">
        <v>30.5</v>
      </c>
      <c r="J521">
        <v>18.149999999999999</v>
      </c>
      <c r="K521">
        <v>9.84</v>
      </c>
      <c r="L521">
        <v>1.86</v>
      </c>
      <c r="M521">
        <v>2.5409999999999999</v>
      </c>
      <c r="N521">
        <v>0.23499999999999999</v>
      </c>
      <c r="O521">
        <v>2.92</v>
      </c>
      <c r="P521">
        <v>0.89300000000000002</v>
      </c>
      <c r="Q521">
        <v>15</v>
      </c>
    </row>
    <row r="522" spans="1:17" x14ac:dyDescent="0.25">
      <c r="A522" s="1">
        <v>41943</v>
      </c>
      <c r="B522">
        <v>7.75</v>
      </c>
      <c r="C522">
        <v>160</v>
      </c>
      <c r="D522">
        <v>3.9119999999999999</v>
      </c>
      <c r="E522">
        <v>9.25</v>
      </c>
      <c r="F522">
        <v>5.3</v>
      </c>
      <c r="G522">
        <v>1.55</v>
      </c>
      <c r="H522" s="15">
        <v>7.95</v>
      </c>
      <c r="I522">
        <v>30.7</v>
      </c>
      <c r="J522" t="e">
        <v>#N/A</v>
      </c>
      <c r="K522">
        <v>10</v>
      </c>
      <c r="L522">
        <v>1.82</v>
      </c>
      <c r="M522">
        <v>2.5019999999999998</v>
      </c>
      <c r="N522">
        <v>0.23</v>
      </c>
      <c r="O522">
        <v>2.92</v>
      </c>
      <c r="P522">
        <v>0.84399999999999997</v>
      </c>
      <c r="Q522">
        <v>14</v>
      </c>
    </row>
    <row r="523" spans="1:17" x14ac:dyDescent="0.25">
      <c r="A523" s="1">
        <v>41946</v>
      </c>
      <c r="B523">
        <v>7.7</v>
      </c>
      <c r="C523">
        <v>159.68</v>
      </c>
      <c r="D523">
        <v>3.8879999999999999</v>
      </c>
      <c r="E523">
        <v>9.6999999999999993</v>
      </c>
      <c r="F523">
        <v>4.9039999999999999</v>
      </c>
      <c r="G523">
        <v>1.55</v>
      </c>
      <c r="H523" s="15">
        <v>7.9</v>
      </c>
      <c r="I523">
        <v>30.5</v>
      </c>
      <c r="J523">
        <v>18.25</v>
      </c>
      <c r="K523">
        <v>9.9</v>
      </c>
      <c r="L523">
        <v>1.79</v>
      </c>
      <c r="M523">
        <v>2.423</v>
      </c>
      <c r="N523">
        <v>0.22500000000000001</v>
      </c>
      <c r="O523">
        <v>2.92</v>
      </c>
      <c r="P523">
        <v>0.80400000000000005</v>
      </c>
      <c r="Q523">
        <v>15</v>
      </c>
    </row>
    <row r="524" spans="1:17" x14ac:dyDescent="0.25">
      <c r="A524" s="1">
        <v>41947</v>
      </c>
      <c r="B524">
        <v>7.69</v>
      </c>
      <c r="C524">
        <v>162.05000000000001</v>
      </c>
      <c r="D524">
        <v>3.8879999999999999</v>
      </c>
      <c r="E524">
        <v>9.5500000000000007</v>
      </c>
      <c r="F524">
        <v>4.952</v>
      </c>
      <c r="G524">
        <v>1.53</v>
      </c>
      <c r="H524" s="15">
        <v>7.89</v>
      </c>
      <c r="I524" t="e">
        <v>#N/A</v>
      </c>
      <c r="J524">
        <v>18.25</v>
      </c>
      <c r="K524">
        <v>9.9499999999999993</v>
      </c>
      <c r="L524">
        <v>1.75</v>
      </c>
      <c r="M524">
        <v>2.3530000000000002</v>
      </c>
      <c r="N524">
        <v>0.22</v>
      </c>
      <c r="O524">
        <v>2.9</v>
      </c>
      <c r="P524">
        <v>0.81399999999999995</v>
      </c>
      <c r="Q524">
        <v>14</v>
      </c>
    </row>
    <row r="525" spans="1:17" x14ac:dyDescent="0.25">
      <c r="A525" s="1">
        <v>41948</v>
      </c>
      <c r="B525" t="e">
        <v>#N/A</v>
      </c>
      <c r="C525">
        <v>162.06</v>
      </c>
      <c r="D525">
        <v>3.8879999999999999</v>
      </c>
      <c r="E525">
        <v>8.9</v>
      </c>
      <c r="F525">
        <v>4.952</v>
      </c>
      <c r="G525">
        <v>1.51</v>
      </c>
      <c r="H525" s="15">
        <v>7.75</v>
      </c>
      <c r="I525">
        <v>30.5</v>
      </c>
      <c r="J525">
        <v>18.25</v>
      </c>
      <c r="K525">
        <v>9.9499999999999993</v>
      </c>
      <c r="L525">
        <v>1.73</v>
      </c>
      <c r="M525">
        <v>2.3340000000000001</v>
      </c>
      <c r="N525">
        <v>0.22</v>
      </c>
      <c r="O525">
        <v>2.9</v>
      </c>
      <c r="P525">
        <v>0.754</v>
      </c>
      <c r="Q525">
        <v>14</v>
      </c>
    </row>
    <row r="526" spans="1:17" x14ac:dyDescent="0.25">
      <c r="A526" s="1">
        <v>41949</v>
      </c>
      <c r="B526">
        <v>7.6</v>
      </c>
      <c r="C526">
        <v>161.55000000000001</v>
      </c>
      <c r="D526">
        <v>3.8879999999999999</v>
      </c>
      <c r="E526">
        <v>9.43</v>
      </c>
      <c r="F526">
        <v>4.952</v>
      </c>
      <c r="G526">
        <v>1.5</v>
      </c>
      <c r="H526" s="15">
        <v>7.75</v>
      </c>
      <c r="I526">
        <v>30.5</v>
      </c>
      <c r="J526">
        <v>18.25</v>
      </c>
      <c r="K526">
        <v>9.91</v>
      </c>
      <c r="L526">
        <v>1.76</v>
      </c>
      <c r="M526">
        <v>2.3530000000000002</v>
      </c>
      <c r="N526">
        <v>0.222</v>
      </c>
      <c r="O526">
        <v>2.92</v>
      </c>
      <c r="P526">
        <v>0.79400000000000004</v>
      </c>
      <c r="Q526">
        <v>15</v>
      </c>
    </row>
    <row r="527" spans="1:17" x14ac:dyDescent="0.25">
      <c r="A527" s="1">
        <v>41950</v>
      </c>
      <c r="B527">
        <v>7.65</v>
      </c>
      <c r="C527">
        <v>162</v>
      </c>
      <c r="D527">
        <v>3.8879999999999999</v>
      </c>
      <c r="E527">
        <v>9.7100000000000009</v>
      </c>
      <c r="F527">
        <v>5</v>
      </c>
      <c r="G527">
        <v>1.57</v>
      </c>
      <c r="H527" s="15">
        <v>7.55</v>
      </c>
      <c r="I527">
        <v>30.5</v>
      </c>
      <c r="J527">
        <v>18.55</v>
      </c>
      <c r="K527">
        <v>9.7609999999999992</v>
      </c>
      <c r="L527">
        <v>1.8</v>
      </c>
      <c r="M527">
        <v>2.403</v>
      </c>
      <c r="N527">
        <v>0.23499999999999999</v>
      </c>
      <c r="O527">
        <v>2.95</v>
      </c>
      <c r="P527">
        <v>0.81399999999999995</v>
      </c>
      <c r="Q527">
        <v>15</v>
      </c>
    </row>
    <row r="528" spans="1:17" x14ac:dyDescent="0.25">
      <c r="A528" s="1">
        <v>41953</v>
      </c>
      <c r="B528">
        <v>7.55</v>
      </c>
      <c r="C528">
        <v>161.4</v>
      </c>
      <c r="D528">
        <v>3.9289999999999998</v>
      </c>
      <c r="E528">
        <v>9.19</v>
      </c>
      <c r="F528">
        <v>5</v>
      </c>
      <c r="G528">
        <v>1.6</v>
      </c>
      <c r="H528" s="15">
        <v>7.44</v>
      </c>
      <c r="I528">
        <v>30.35</v>
      </c>
      <c r="J528" t="e">
        <v>#N/A</v>
      </c>
      <c r="K528">
        <v>9.8000000000000007</v>
      </c>
      <c r="L528">
        <v>1.83</v>
      </c>
      <c r="M528">
        <v>2.3730000000000002</v>
      </c>
      <c r="N528">
        <v>0.23499999999999999</v>
      </c>
      <c r="O528">
        <v>2.9369999999999998</v>
      </c>
      <c r="P528">
        <v>0.79400000000000004</v>
      </c>
      <c r="Q528">
        <v>14</v>
      </c>
    </row>
    <row r="529" spans="1:17" x14ac:dyDescent="0.25">
      <c r="A529" s="1">
        <v>41954</v>
      </c>
      <c r="B529">
        <v>7.65</v>
      </c>
      <c r="C529">
        <v>161.53</v>
      </c>
      <c r="D529">
        <v>3.9289999999999998</v>
      </c>
      <c r="E529">
        <v>9.68</v>
      </c>
      <c r="F529">
        <v>5.17</v>
      </c>
      <c r="G529">
        <v>1.65</v>
      </c>
      <c r="H529" s="15">
        <v>7.4</v>
      </c>
      <c r="I529">
        <v>30</v>
      </c>
      <c r="J529" t="e">
        <v>#N/A</v>
      </c>
      <c r="K529">
        <v>9.8000000000000007</v>
      </c>
      <c r="L529">
        <v>1.87</v>
      </c>
      <c r="M529">
        <v>2.3530000000000002</v>
      </c>
      <c r="N529">
        <v>0.247</v>
      </c>
      <c r="O529">
        <v>2.9470000000000001</v>
      </c>
      <c r="P529">
        <v>0.79400000000000004</v>
      </c>
      <c r="Q529">
        <v>14</v>
      </c>
    </row>
    <row r="530" spans="1:17" x14ac:dyDescent="0.25">
      <c r="A530" s="1">
        <v>41955</v>
      </c>
      <c r="B530">
        <v>7.6</v>
      </c>
      <c r="C530">
        <v>162.1</v>
      </c>
      <c r="D530" t="e">
        <v>#N/A</v>
      </c>
      <c r="E530">
        <v>9.08</v>
      </c>
      <c r="F530">
        <v>5.17</v>
      </c>
      <c r="G530">
        <v>1.65</v>
      </c>
      <c r="H530" s="15">
        <v>7.27</v>
      </c>
      <c r="I530">
        <v>30</v>
      </c>
      <c r="J530">
        <v>18.55</v>
      </c>
      <c r="K530">
        <v>9.85</v>
      </c>
      <c r="L530">
        <v>1.87</v>
      </c>
      <c r="M530">
        <v>2.3530000000000002</v>
      </c>
      <c r="N530">
        <v>0.247</v>
      </c>
      <c r="O530">
        <v>2.9470000000000001</v>
      </c>
      <c r="P530">
        <v>0.77400000000000002</v>
      </c>
      <c r="Q530">
        <v>14</v>
      </c>
    </row>
    <row r="531" spans="1:17" x14ac:dyDescent="0.25">
      <c r="A531" s="1">
        <v>41956</v>
      </c>
      <c r="B531">
        <v>7.6</v>
      </c>
      <c r="C531">
        <v>159.86000000000001</v>
      </c>
      <c r="D531">
        <v>4.75</v>
      </c>
      <c r="E531">
        <v>9</v>
      </c>
      <c r="F531">
        <v>5.05</v>
      </c>
      <c r="G531">
        <v>1.64</v>
      </c>
      <c r="H531" s="15">
        <v>7.27</v>
      </c>
      <c r="I531">
        <v>29.98</v>
      </c>
      <c r="J531">
        <v>18.55</v>
      </c>
      <c r="K531">
        <v>9.83</v>
      </c>
      <c r="L531">
        <v>1.88</v>
      </c>
      <c r="M531">
        <v>2.3730000000000002</v>
      </c>
      <c r="N531">
        <v>0.247</v>
      </c>
      <c r="O531">
        <v>2.907</v>
      </c>
      <c r="P531">
        <v>0.77400000000000002</v>
      </c>
      <c r="Q531">
        <v>15</v>
      </c>
    </row>
    <row r="532" spans="1:17" x14ac:dyDescent="0.25">
      <c r="A532" s="1">
        <v>41957</v>
      </c>
      <c r="B532">
        <v>7.6</v>
      </c>
      <c r="C532">
        <v>158.80000000000001</v>
      </c>
      <c r="D532">
        <v>3.8879999999999999</v>
      </c>
      <c r="E532">
        <v>9.14</v>
      </c>
      <c r="F532" t="e">
        <v>#N/A</v>
      </c>
      <c r="G532">
        <v>1.6</v>
      </c>
      <c r="H532" s="15">
        <v>7.2</v>
      </c>
      <c r="I532">
        <v>30</v>
      </c>
      <c r="J532">
        <v>18.649999999999999</v>
      </c>
      <c r="K532">
        <v>9.83</v>
      </c>
      <c r="L532">
        <v>1.9</v>
      </c>
      <c r="M532">
        <v>2.4129999999999998</v>
      </c>
      <c r="N532">
        <v>0.246</v>
      </c>
      <c r="O532" t="e">
        <v>#N/A</v>
      </c>
      <c r="P532">
        <v>0.78400000000000003</v>
      </c>
      <c r="Q532">
        <v>13</v>
      </c>
    </row>
    <row r="533" spans="1:17" x14ac:dyDescent="0.25">
      <c r="A533" s="1">
        <v>41960</v>
      </c>
      <c r="B533">
        <v>7.6</v>
      </c>
      <c r="C533">
        <v>160.15</v>
      </c>
      <c r="D533">
        <v>3.8879999999999999</v>
      </c>
      <c r="E533">
        <v>9.5</v>
      </c>
      <c r="F533">
        <v>5.15</v>
      </c>
      <c r="G533">
        <v>1.6</v>
      </c>
      <c r="H533" s="15">
        <v>7.2</v>
      </c>
      <c r="I533">
        <v>29.5</v>
      </c>
      <c r="J533">
        <v>18.649999999999999</v>
      </c>
      <c r="K533">
        <v>9.83</v>
      </c>
      <c r="L533">
        <v>1.9</v>
      </c>
      <c r="M533">
        <v>2.4129999999999998</v>
      </c>
      <c r="N533">
        <v>0.24199999999999999</v>
      </c>
      <c r="O533" t="e">
        <v>#N/A</v>
      </c>
      <c r="P533">
        <v>0.76400000000000001</v>
      </c>
      <c r="Q533">
        <v>14</v>
      </c>
    </row>
    <row r="534" spans="1:17" x14ac:dyDescent="0.25">
      <c r="A534" s="1">
        <v>41961</v>
      </c>
      <c r="B534">
        <v>7.6</v>
      </c>
      <c r="C534">
        <v>161.55000000000001</v>
      </c>
      <c r="D534">
        <v>3.8879999999999999</v>
      </c>
      <c r="E534">
        <v>9.6999999999999993</v>
      </c>
      <c r="F534">
        <v>5.0999999999999996</v>
      </c>
      <c r="G534">
        <v>1.58</v>
      </c>
      <c r="H534" s="15">
        <v>7.2</v>
      </c>
      <c r="I534">
        <v>29.99</v>
      </c>
      <c r="J534">
        <v>18.7</v>
      </c>
      <c r="K534">
        <v>9.85</v>
      </c>
      <c r="L534">
        <v>1.91</v>
      </c>
      <c r="M534">
        <v>2.403</v>
      </c>
      <c r="N534">
        <v>0.23400000000000001</v>
      </c>
      <c r="O534">
        <v>2.91</v>
      </c>
      <c r="P534">
        <v>0.74399999999999999</v>
      </c>
      <c r="Q534">
        <v>15</v>
      </c>
    </row>
    <row r="535" spans="1:17" x14ac:dyDescent="0.25">
      <c r="A535" s="1">
        <v>41962</v>
      </c>
      <c r="B535">
        <v>7.6</v>
      </c>
      <c r="C535">
        <v>159.25</v>
      </c>
      <c r="D535">
        <v>3.9119999999999999</v>
      </c>
      <c r="E535">
        <v>9.6</v>
      </c>
      <c r="F535">
        <v>5.0999999999999996</v>
      </c>
      <c r="G535">
        <v>1.58</v>
      </c>
      <c r="H535" s="15">
        <v>7.25</v>
      </c>
      <c r="I535">
        <v>29.99</v>
      </c>
      <c r="J535">
        <v>18.7</v>
      </c>
      <c r="K535">
        <v>9.85</v>
      </c>
      <c r="L535">
        <v>1.92</v>
      </c>
      <c r="M535">
        <v>2.403</v>
      </c>
      <c r="N535">
        <v>0.22</v>
      </c>
      <c r="O535">
        <v>2.9</v>
      </c>
      <c r="P535">
        <v>0.73399999999999999</v>
      </c>
      <c r="Q535">
        <v>15</v>
      </c>
    </row>
    <row r="536" spans="1:17" x14ac:dyDescent="0.25">
      <c r="A536" s="1">
        <v>41963</v>
      </c>
      <c r="B536">
        <v>7.62</v>
      </c>
      <c r="C536">
        <v>160.52000000000001</v>
      </c>
      <c r="D536">
        <v>3.9119999999999999</v>
      </c>
      <c r="E536">
        <v>9.3000000000000007</v>
      </c>
      <c r="F536">
        <v>5.08</v>
      </c>
      <c r="G536">
        <v>1.58</v>
      </c>
      <c r="H536" s="15">
        <v>7.25</v>
      </c>
      <c r="I536">
        <v>30</v>
      </c>
      <c r="J536">
        <v>18.7</v>
      </c>
      <c r="K536">
        <v>9.86</v>
      </c>
      <c r="L536">
        <v>1.92</v>
      </c>
      <c r="M536">
        <v>2.4129999999999998</v>
      </c>
      <c r="N536">
        <v>0.23</v>
      </c>
      <c r="O536">
        <v>2.92</v>
      </c>
      <c r="P536">
        <v>0.74399999999999999</v>
      </c>
      <c r="Q536">
        <v>15</v>
      </c>
    </row>
    <row r="537" spans="1:17" x14ac:dyDescent="0.25">
      <c r="A537" s="1">
        <v>41964</v>
      </c>
      <c r="B537">
        <v>7.65</v>
      </c>
      <c r="C537">
        <v>167.15</v>
      </c>
      <c r="D537">
        <v>3.8879999999999999</v>
      </c>
      <c r="E537">
        <v>10</v>
      </c>
      <c r="F537">
        <v>5.12</v>
      </c>
      <c r="G537">
        <v>1.59</v>
      </c>
      <c r="H537" s="15">
        <v>7.22</v>
      </c>
      <c r="I537">
        <v>29.99</v>
      </c>
      <c r="J537">
        <v>18.75</v>
      </c>
      <c r="K537">
        <v>9.86</v>
      </c>
      <c r="L537">
        <v>1.95</v>
      </c>
      <c r="M537">
        <v>2.472</v>
      </c>
      <c r="N537">
        <v>0.23</v>
      </c>
      <c r="O537">
        <v>2.9</v>
      </c>
      <c r="P537">
        <v>0.78400000000000003</v>
      </c>
      <c r="Q537">
        <v>15</v>
      </c>
    </row>
    <row r="538" spans="1:17" x14ac:dyDescent="0.25">
      <c r="A538" s="1">
        <v>41967</v>
      </c>
      <c r="B538">
        <v>7.61</v>
      </c>
      <c r="C538">
        <v>167.25</v>
      </c>
      <c r="D538">
        <v>3.8879999999999999</v>
      </c>
      <c r="E538">
        <v>10.32</v>
      </c>
      <c r="F538">
        <v>5</v>
      </c>
      <c r="G538">
        <v>1.59</v>
      </c>
      <c r="H538" s="15">
        <v>7.32</v>
      </c>
      <c r="I538">
        <v>30</v>
      </c>
      <c r="J538">
        <v>18.75</v>
      </c>
      <c r="K538">
        <v>9.8800000000000008</v>
      </c>
      <c r="L538">
        <v>1.94</v>
      </c>
      <c r="M538">
        <v>2.472</v>
      </c>
      <c r="N538">
        <v>0.25</v>
      </c>
      <c r="O538">
        <v>2.9</v>
      </c>
      <c r="P538">
        <v>0.77400000000000002</v>
      </c>
      <c r="Q538">
        <v>15</v>
      </c>
    </row>
    <row r="539" spans="1:17" x14ac:dyDescent="0.25">
      <c r="A539" s="1">
        <v>41968</v>
      </c>
      <c r="B539">
        <v>7.75</v>
      </c>
      <c r="C539">
        <v>167</v>
      </c>
      <c r="D539">
        <v>3.8879999999999999</v>
      </c>
      <c r="E539">
        <v>10.1</v>
      </c>
      <c r="F539">
        <v>4.96</v>
      </c>
      <c r="G539">
        <v>1.58</v>
      </c>
      <c r="H539" s="15">
        <v>7.5</v>
      </c>
      <c r="I539" t="e">
        <v>#N/A</v>
      </c>
      <c r="J539">
        <v>19.13</v>
      </c>
      <c r="K539">
        <v>9.75</v>
      </c>
      <c r="L539">
        <v>1.94</v>
      </c>
      <c r="M539">
        <v>2.3730000000000002</v>
      </c>
      <c r="N539">
        <v>0.24399999999999999</v>
      </c>
      <c r="O539">
        <v>2.85</v>
      </c>
      <c r="P539">
        <v>0.78400000000000003</v>
      </c>
      <c r="Q539">
        <v>14</v>
      </c>
    </row>
    <row r="540" spans="1:17" x14ac:dyDescent="0.25">
      <c r="A540" s="1">
        <v>41969</v>
      </c>
      <c r="B540">
        <v>7.55</v>
      </c>
      <c r="C540">
        <v>169.67</v>
      </c>
      <c r="D540">
        <v>3.8879999999999999</v>
      </c>
      <c r="E540">
        <v>10.1</v>
      </c>
      <c r="F540">
        <v>4.95</v>
      </c>
      <c r="G540">
        <v>1.58</v>
      </c>
      <c r="H540" s="15">
        <v>7.64</v>
      </c>
      <c r="I540">
        <v>29.9</v>
      </c>
      <c r="J540">
        <v>19.13</v>
      </c>
      <c r="K540">
        <v>9.85</v>
      </c>
      <c r="L540">
        <v>1.94</v>
      </c>
      <c r="M540">
        <v>2.403</v>
      </c>
      <c r="N540">
        <v>0.24399999999999999</v>
      </c>
      <c r="O540">
        <v>2.88</v>
      </c>
      <c r="P540">
        <v>0.79400000000000004</v>
      </c>
      <c r="Q540">
        <v>15</v>
      </c>
    </row>
    <row r="541" spans="1:17" x14ac:dyDescent="0.25">
      <c r="A541" s="1">
        <v>41970</v>
      </c>
      <c r="B541">
        <v>7.58</v>
      </c>
      <c r="C541" t="e">
        <v>#N/A</v>
      </c>
      <c r="D541">
        <v>3.9039999999999999</v>
      </c>
      <c r="E541">
        <v>9.9</v>
      </c>
      <c r="F541">
        <v>5.05</v>
      </c>
      <c r="G541">
        <v>1.6</v>
      </c>
      <c r="H541" s="15">
        <v>7.57</v>
      </c>
      <c r="I541">
        <v>29.9</v>
      </c>
      <c r="J541">
        <v>19.350000000000001</v>
      </c>
      <c r="K541">
        <v>9.8800000000000008</v>
      </c>
      <c r="L541">
        <v>1.94</v>
      </c>
      <c r="M541">
        <v>2.403</v>
      </c>
      <c r="N541">
        <v>0.24</v>
      </c>
      <c r="O541">
        <v>2.88</v>
      </c>
      <c r="P541">
        <v>0.78400000000000003</v>
      </c>
      <c r="Q541">
        <v>14</v>
      </c>
    </row>
    <row r="542" spans="1:17" x14ac:dyDescent="0.25">
      <c r="A542" s="1">
        <v>41971</v>
      </c>
      <c r="B542">
        <v>7.44</v>
      </c>
      <c r="C542">
        <v>167.44</v>
      </c>
      <c r="D542">
        <v>3.9039999999999999</v>
      </c>
      <c r="E542">
        <v>9.5500000000000007</v>
      </c>
      <c r="F542">
        <v>5.08</v>
      </c>
      <c r="G542">
        <v>1.6</v>
      </c>
      <c r="H542" s="15">
        <v>7.7</v>
      </c>
      <c r="I542">
        <v>29.95</v>
      </c>
      <c r="J542">
        <v>19.350000000000001</v>
      </c>
      <c r="K542">
        <v>9.91</v>
      </c>
      <c r="L542">
        <v>1.94</v>
      </c>
      <c r="M542">
        <v>2.423</v>
      </c>
      <c r="N542">
        <v>0.23699999999999999</v>
      </c>
      <c r="O542">
        <v>2.9</v>
      </c>
      <c r="P542">
        <v>0.77400000000000002</v>
      </c>
      <c r="Q542">
        <v>15</v>
      </c>
    </row>
    <row r="543" spans="1:17" x14ac:dyDescent="0.25">
      <c r="A543" s="1">
        <v>41974</v>
      </c>
      <c r="B543">
        <v>7.4</v>
      </c>
      <c r="C543">
        <v>164.25</v>
      </c>
      <c r="D543">
        <v>3.9039999999999999</v>
      </c>
      <c r="E543">
        <v>10.5</v>
      </c>
      <c r="F543">
        <v>5.04</v>
      </c>
      <c r="G543">
        <v>1.61</v>
      </c>
      <c r="H543" s="15">
        <v>7.55</v>
      </c>
      <c r="I543">
        <v>29.99</v>
      </c>
      <c r="J543">
        <v>19.350000000000001</v>
      </c>
      <c r="K543">
        <v>10</v>
      </c>
      <c r="L543">
        <v>1.95</v>
      </c>
      <c r="M543">
        <v>2.383</v>
      </c>
      <c r="N543">
        <v>0.23499999999999999</v>
      </c>
      <c r="O543">
        <v>2.93</v>
      </c>
      <c r="P543">
        <v>0.81399999999999995</v>
      </c>
      <c r="Q543">
        <v>15</v>
      </c>
    </row>
    <row r="544" spans="1:17" x14ac:dyDescent="0.25">
      <c r="A544" s="1">
        <v>41975</v>
      </c>
      <c r="B544">
        <v>7.4</v>
      </c>
      <c r="C544">
        <v>166.5</v>
      </c>
      <c r="D544">
        <v>3.88</v>
      </c>
      <c r="E544">
        <v>10.3</v>
      </c>
      <c r="F544" t="e">
        <v>#N/A</v>
      </c>
      <c r="G544">
        <v>1.57</v>
      </c>
      <c r="H544" s="15">
        <v>7.5</v>
      </c>
      <c r="I544">
        <v>29.99</v>
      </c>
      <c r="J544">
        <v>19.399999999999999</v>
      </c>
      <c r="K544">
        <v>10</v>
      </c>
      <c r="L544">
        <v>1.95</v>
      </c>
      <c r="M544">
        <v>2.3340000000000001</v>
      </c>
      <c r="N544">
        <v>0.23499999999999999</v>
      </c>
      <c r="O544">
        <v>2.92</v>
      </c>
      <c r="P544">
        <v>0.77400000000000002</v>
      </c>
      <c r="Q544">
        <v>14</v>
      </c>
    </row>
    <row r="545" spans="1:17" x14ac:dyDescent="0.25">
      <c r="A545" s="1">
        <v>41976</v>
      </c>
      <c r="B545">
        <v>7.4</v>
      </c>
      <c r="C545">
        <v>169.5</v>
      </c>
      <c r="D545">
        <v>3.8879999999999999</v>
      </c>
      <c r="E545">
        <v>10.42</v>
      </c>
      <c r="F545">
        <v>5.04</v>
      </c>
      <c r="G545">
        <v>1.58</v>
      </c>
      <c r="H545" s="15">
        <v>7.49</v>
      </c>
      <c r="I545">
        <v>30</v>
      </c>
      <c r="J545">
        <v>19.39</v>
      </c>
      <c r="K545">
        <v>10.07</v>
      </c>
      <c r="L545">
        <v>1.97</v>
      </c>
      <c r="M545">
        <v>2.363</v>
      </c>
      <c r="N545">
        <v>0.23</v>
      </c>
      <c r="O545">
        <v>2.98</v>
      </c>
      <c r="P545">
        <v>0.77400000000000002</v>
      </c>
      <c r="Q545">
        <v>15</v>
      </c>
    </row>
    <row r="546" spans="1:17" x14ac:dyDescent="0.25">
      <c r="A546" s="1">
        <v>41977</v>
      </c>
      <c r="B546">
        <v>7.4</v>
      </c>
      <c r="C546">
        <v>168.33</v>
      </c>
      <c r="D546">
        <v>3.8879999999999999</v>
      </c>
      <c r="E546">
        <v>10.199999999999999</v>
      </c>
      <c r="F546">
        <v>5.09</v>
      </c>
      <c r="G546">
        <v>1.57</v>
      </c>
      <c r="H546" s="15">
        <v>7.38</v>
      </c>
      <c r="I546">
        <v>29.9</v>
      </c>
      <c r="J546">
        <v>19.39</v>
      </c>
      <c r="K546">
        <v>10.08</v>
      </c>
      <c r="L546">
        <v>1.97</v>
      </c>
      <c r="M546">
        <v>2.3929999999999998</v>
      </c>
      <c r="N546">
        <v>0.22</v>
      </c>
      <c r="O546">
        <v>2.97</v>
      </c>
      <c r="P546">
        <v>0.754</v>
      </c>
      <c r="Q546">
        <v>15</v>
      </c>
    </row>
    <row r="547" spans="1:17" x14ac:dyDescent="0.25">
      <c r="A547" s="1">
        <v>41978</v>
      </c>
      <c r="B547">
        <v>7.28</v>
      </c>
      <c r="C547">
        <v>169.2</v>
      </c>
      <c r="D547">
        <v>3.871</v>
      </c>
      <c r="E547">
        <v>10.1</v>
      </c>
      <c r="F547">
        <v>5.2</v>
      </c>
      <c r="G547">
        <v>1.58</v>
      </c>
      <c r="H547" s="15">
        <v>7.35</v>
      </c>
      <c r="I547">
        <v>29.89</v>
      </c>
      <c r="J547">
        <v>19.25</v>
      </c>
      <c r="K547">
        <v>10.08</v>
      </c>
      <c r="L547">
        <v>1.92</v>
      </c>
      <c r="M547">
        <v>2.383</v>
      </c>
      <c r="N547">
        <v>0.20300000000000001</v>
      </c>
      <c r="O547">
        <v>3</v>
      </c>
      <c r="P547">
        <v>0.74399999999999999</v>
      </c>
      <c r="Q547">
        <v>15</v>
      </c>
    </row>
    <row r="548" spans="1:17" x14ac:dyDescent="0.25">
      <c r="A548" s="1">
        <v>41982</v>
      </c>
      <c r="B548">
        <v>7.31</v>
      </c>
      <c r="C548">
        <v>169.47</v>
      </c>
      <c r="D548">
        <v>4.6500000000000004</v>
      </c>
      <c r="E548">
        <v>10.6</v>
      </c>
      <c r="F548">
        <v>5.21</v>
      </c>
      <c r="G548">
        <v>1.55</v>
      </c>
      <c r="H548" s="15">
        <v>7.35</v>
      </c>
      <c r="I548">
        <v>29.88</v>
      </c>
      <c r="J548">
        <v>19.2</v>
      </c>
      <c r="K548">
        <v>10.33</v>
      </c>
      <c r="L548">
        <v>1.83</v>
      </c>
      <c r="M548">
        <v>2.3929999999999998</v>
      </c>
      <c r="N548">
        <v>0.19</v>
      </c>
      <c r="O548">
        <v>3</v>
      </c>
      <c r="P548">
        <v>0.78400000000000003</v>
      </c>
      <c r="Q548">
        <v>15</v>
      </c>
    </row>
    <row r="549" spans="1:17" x14ac:dyDescent="0.25">
      <c r="A549" s="1">
        <v>41983</v>
      </c>
      <c r="B549">
        <v>7.31</v>
      </c>
      <c r="C549">
        <v>166.5</v>
      </c>
      <c r="D549">
        <v>3.9289999999999998</v>
      </c>
      <c r="E549">
        <v>10.199999999999999</v>
      </c>
      <c r="F549">
        <v>5.25</v>
      </c>
      <c r="G549">
        <v>1.58</v>
      </c>
      <c r="H549" s="15">
        <v>7.3</v>
      </c>
      <c r="I549">
        <v>29.85</v>
      </c>
      <c r="J549">
        <v>19</v>
      </c>
      <c r="K549">
        <v>11.75</v>
      </c>
      <c r="L549">
        <v>1.82</v>
      </c>
      <c r="M549">
        <v>2.403</v>
      </c>
      <c r="N549">
        <v>0.19500000000000001</v>
      </c>
      <c r="O549">
        <v>2.99</v>
      </c>
      <c r="P549">
        <v>0.77400000000000002</v>
      </c>
      <c r="Q549">
        <v>15</v>
      </c>
    </row>
    <row r="550" spans="1:17" x14ac:dyDescent="0.25">
      <c r="A550" s="1">
        <v>41984</v>
      </c>
      <c r="B550">
        <v>7.2</v>
      </c>
      <c r="C550">
        <v>160.19999999999999</v>
      </c>
      <c r="D550">
        <v>3.8959999999999999</v>
      </c>
      <c r="E550">
        <v>10.029999999999999</v>
      </c>
      <c r="F550">
        <v>5.3</v>
      </c>
      <c r="G550">
        <v>1.58</v>
      </c>
      <c r="H550" s="15">
        <v>7.35</v>
      </c>
      <c r="I550">
        <v>29.48</v>
      </c>
      <c r="J550">
        <v>18.989999999999998</v>
      </c>
      <c r="K550" t="e">
        <v>#N/A</v>
      </c>
      <c r="L550">
        <v>1.85</v>
      </c>
      <c r="M550">
        <v>2.3239999999999998</v>
      </c>
      <c r="N550">
        <v>0.191</v>
      </c>
      <c r="O550">
        <v>2.99</v>
      </c>
      <c r="P550">
        <v>0.79400000000000004</v>
      </c>
      <c r="Q550">
        <v>14</v>
      </c>
    </row>
    <row r="551" spans="1:17" x14ac:dyDescent="0.25">
      <c r="A551" s="1">
        <v>41985</v>
      </c>
      <c r="B551">
        <v>7.2</v>
      </c>
      <c r="C551">
        <v>155.30000000000001</v>
      </c>
      <c r="D551">
        <v>3.7240000000000002</v>
      </c>
      <c r="E551">
        <v>9.75</v>
      </c>
      <c r="F551">
        <v>5.23</v>
      </c>
      <c r="G551">
        <v>1.55</v>
      </c>
      <c r="H551" s="15">
        <v>7.2</v>
      </c>
      <c r="I551">
        <v>29.25</v>
      </c>
      <c r="J551">
        <v>18.7</v>
      </c>
      <c r="K551">
        <v>11</v>
      </c>
      <c r="L551">
        <v>1.88</v>
      </c>
      <c r="M551">
        <v>2.3239999999999998</v>
      </c>
      <c r="N551">
        <v>0.189</v>
      </c>
      <c r="O551">
        <v>2.95</v>
      </c>
      <c r="P551">
        <v>0.79400000000000004</v>
      </c>
      <c r="Q551">
        <v>15</v>
      </c>
    </row>
    <row r="552" spans="1:17" x14ac:dyDescent="0.25">
      <c r="A552" s="1">
        <v>41988</v>
      </c>
      <c r="B552">
        <v>7.06</v>
      </c>
      <c r="C552">
        <v>152.96</v>
      </c>
      <c r="D552">
        <v>3.74</v>
      </c>
      <c r="E552">
        <v>9.6</v>
      </c>
      <c r="F552">
        <v>5.2</v>
      </c>
      <c r="G552">
        <v>1.54</v>
      </c>
      <c r="H552" s="15">
        <v>7.15</v>
      </c>
      <c r="I552">
        <v>28.75</v>
      </c>
      <c r="J552">
        <v>18.7</v>
      </c>
      <c r="K552">
        <v>10.5</v>
      </c>
      <c r="L552">
        <v>1.87</v>
      </c>
      <c r="M552">
        <v>2.3239999999999998</v>
      </c>
      <c r="N552">
        <v>0.187</v>
      </c>
      <c r="O552">
        <v>2.95</v>
      </c>
      <c r="P552">
        <v>0.74399999999999999</v>
      </c>
      <c r="Q552">
        <v>15</v>
      </c>
    </row>
    <row r="553" spans="1:17" x14ac:dyDescent="0.25">
      <c r="A553" s="1">
        <v>41989</v>
      </c>
      <c r="B553">
        <v>7.12</v>
      </c>
      <c r="C553">
        <v>152</v>
      </c>
      <c r="D553">
        <v>3.6829999999999998</v>
      </c>
      <c r="E553">
        <v>9.0500000000000007</v>
      </c>
      <c r="F553">
        <v>5.12</v>
      </c>
      <c r="G553">
        <v>1.5</v>
      </c>
      <c r="H553" s="15">
        <v>6.9</v>
      </c>
      <c r="I553">
        <v>28.3</v>
      </c>
      <c r="J553">
        <v>18.25</v>
      </c>
      <c r="K553">
        <v>10.5</v>
      </c>
      <c r="L553">
        <v>1.81</v>
      </c>
      <c r="M553">
        <v>2.3039999999999998</v>
      </c>
      <c r="N553">
        <v>0.17699999999999999</v>
      </c>
      <c r="O553">
        <v>2.93</v>
      </c>
      <c r="P553">
        <v>0.71499999999999997</v>
      </c>
      <c r="Q553">
        <v>15</v>
      </c>
    </row>
    <row r="554" spans="1:17" x14ac:dyDescent="0.25">
      <c r="A554" s="1">
        <v>41990</v>
      </c>
      <c r="B554">
        <v>7.01</v>
      </c>
      <c r="C554">
        <v>158.1</v>
      </c>
      <c r="D554">
        <v>3.6829999999999998</v>
      </c>
      <c r="E554">
        <v>9.1</v>
      </c>
      <c r="F554">
        <v>5.17</v>
      </c>
      <c r="G554">
        <v>1.48</v>
      </c>
      <c r="H554" s="15">
        <v>7.06</v>
      </c>
      <c r="I554">
        <v>29</v>
      </c>
      <c r="J554">
        <v>18.100000000000001</v>
      </c>
      <c r="K554">
        <v>10.51</v>
      </c>
      <c r="L554">
        <v>1.82</v>
      </c>
      <c r="M554">
        <v>2.3039999999999998</v>
      </c>
      <c r="N554">
        <v>0.17499999999999999</v>
      </c>
      <c r="O554">
        <v>2.93</v>
      </c>
      <c r="P554">
        <v>0.71499999999999997</v>
      </c>
      <c r="Q554">
        <v>15</v>
      </c>
    </row>
    <row r="555" spans="1:17" x14ac:dyDescent="0.25">
      <c r="A555" s="1">
        <v>41991</v>
      </c>
      <c r="B555">
        <v>7.15</v>
      </c>
      <c r="C555">
        <v>162</v>
      </c>
      <c r="D555">
        <v>3.7</v>
      </c>
      <c r="E555">
        <v>9.75</v>
      </c>
      <c r="F555">
        <v>5.28</v>
      </c>
      <c r="G555">
        <v>1.53</v>
      </c>
      <c r="H555" s="15">
        <v>7.2</v>
      </c>
      <c r="I555">
        <v>29.01</v>
      </c>
      <c r="J555">
        <v>17.84</v>
      </c>
      <c r="K555">
        <v>10.65</v>
      </c>
      <c r="L555">
        <v>1.82</v>
      </c>
      <c r="M555">
        <v>2.3039999999999998</v>
      </c>
      <c r="N555">
        <v>0.17499999999999999</v>
      </c>
      <c r="O555">
        <v>2.93</v>
      </c>
      <c r="P555">
        <v>0.72499999999999998</v>
      </c>
      <c r="Q555">
        <v>15</v>
      </c>
    </row>
    <row r="556" spans="1:17" x14ac:dyDescent="0.25">
      <c r="A556" s="1">
        <v>41992</v>
      </c>
      <c r="B556">
        <v>7.16</v>
      </c>
      <c r="C556">
        <v>159.69999999999999</v>
      </c>
      <c r="D556">
        <v>3.7080000000000002</v>
      </c>
      <c r="E556">
        <v>9.4</v>
      </c>
      <c r="F556">
        <v>5.37</v>
      </c>
      <c r="G556">
        <v>1.55</v>
      </c>
      <c r="H556" s="15">
        <v>7.24</v>
      </c>
      <c r="I556">
        <v>28.17</v>
      </c>
      <c r="J556">
        <v>18.100000000000001</v>
      </c>
      <c r="K556">
        <v>10.67</v>
      </c>
      <c r="L556">
        <v>1.82</v>
      </c>
      <c r="M556">
        <v>2.3039999999999998</v>
      </c>
      <c r="N556">
        <v>0.18</v>
      </c>
      <c r="O556">
        <v>2.93</v>
      </c>
      <c r="P556">
        <v>0.72499999999999998</v>
      </c>
      <c r="Q556">
        <v>15</v>
      </c>
    </row>
    <row r="557" spans="1:17" x14ac:dyDescent="0.25">
      <c r="A557" s="1">
        <v>41995</v>
      </c>
      <c r="B557">
        <v>7.04</v>
      </c>
      <c r="C557">
        <v>159.69999999999999</v>
      </c>
      <c r="D557">
        <v>3.7650000000000001</v>
      </c>
      <c r="E557">
        <v>9.17</v>
      </c>
      <c r="F557">
        <v>5.39</v>
      </c>
      <c r="G557">
        <v>1.56</v>
      </c>
      <c r="H557" s="15">
        <v>7.24</v>
      </c>
      <c r="I557">
        <v>29</v>
      </c>
      <c r="J557">
        <v>18.09</v>
      </c>
      <c r="K557">
        <v>10.71</v>
      </c>
      <c r="L557">
        <v>1.82</v>
      </c>
      <c r="M557">
        <v>2.3730000000000002</v>
      </c>
      <c r="N557">
        <v>0.19600000000000001</v>
      </c>
      <c r="O557">
        <v>2.95</v>
      </c>
      <c r="P557">
        <v>0.72499999999999998</v>
      </c>
      <c r="Q557">
        <v>15</v>
      </c>
    </row>
    <row r="558" spans="1:17" x14ac:dyDescent="0.25">
      <c r="A558" s="1">
        <v>41996</v>
      </c>
      <c r="B558">
        <v>7.25</v>
      </c>
      <c r="C558">
        <v>162.1</v>
      </c>
      <c r="D558">
        <v>3.806</v>
      </c>
      <c r="E558">
        <v>9</v>
      </c>
      <c r="F558">
        <v>5.33</v>
      </c>
      <c r="G558">
        <v>1.56</v>
      </c>
      <c r="H558" s="15">
        <v>7.2</v>
      </c>
      <c r="I558">
        <v>29.25</v>
      </c>
      <c r="J558">
        <v>18.100000000000001</v>
      </c>
      <c r="K558">
        <v>10.73</v>
      </c>
      <c r="L558">
        <v>1.79</v>
      </c>
      <c r="M558">
        <v>2.3730000000000002</v>
      </c>
      <c r="N558">
        <v>0.20499999999999999</v>
      </c>
      <c r="O558">
        <v>2.95</v>
      </c>
      <c r="P558">
        <v>0.72499999999999998</v>
      </c>
      <c r="Q558">
        <v>15</v>
      </c>
    </row>
    <row r="559" spans="1:17" x14ac:dyDescent="0.25">
      <c r="A559" s="1">
        <v>41997</v>
      </c>
      <c r="B559" t="e">
        <v>#N/A</v>
      </c>
      <c r="C559">
        <v>160.5</v>
      </c>
      <c r="D559">
        <v>3.806</v>
      </c>
      <c r="E559">
        <v>9.1</v>
      </c>
      <c r="F559" t="e">
        <v>#N/A</v>
      </c>
      <c r="G559" t="e">
        <v>#N/A</v>
      </c>
      <c r="H559" s="15" t="e">
        <v>#N/A</v>
      </c>
      <c r="I559" t="e">
        <v>#N/A</v>
      </c>
      <c r="J559" t="e">
        <v>#N/A</v>
      </c>
      <c r="K559">
        <v>10.74</v>
      </c>
      <c r="L559" t="e">
        <v>#N/A</v>
      </c>
      <c r="M559">
        <v>2.3730000000000002</v>
      </c>
      <c r="N559">
        <v>0.20499999999999999</v>
      </c>
      <c r="O559" t="e">
        <v>#N/A</v>
      </c>
      <c r="P559">
        <v>0.72499999999999998</v>
      </c>
      <c r="Q559">
        <v>7</v>
      </c>
    </row>
    <row r="560" spans="1:17" x14ac:dyDescent="0.25">
      <c r="A560" s="1">
        <v>41999</v>
      </c>
      <c r="B560">
        <v>7.35</v>
      </c>
      <c r="C560">
        <v>163.6</v>
      </c>
      <c r="D560">
        <v>3.806</v>
      </c>
      <c r="E560">
        <v>9.5399999999999991</v>
      </c>
      <c r="F560">
        <v>5.28</v>
      </c>
      <c r="G560">
        <v>1.55</v>
      </c>
      <c r="H560" s="15">
        <v>7.2</v>
      </c>
      <c r="I560">
        <v>29.6</v>
      </c>
      <c r="J560" t="e">
        <v>#N/A</v>
      </c>
      <c r="K560">
        <v>10.78</v>
      </c>
      <c r="L560">
        <v>1.8</v>
      </c>
      <c r="M560">
        <v>2.3730000000000002</v>
      </c>
      <c r="N560">
        <v>0.21299999999999999</v>
      </c>
      <c r="O560">
        <v>3</v>
      </c>
      <c r="P560">
        <v>0.72499999999999998</v>
      </c>
      <c r="Q560">
        <v>14</v>
      </c>
    </row>
    <row r="561" spans="1:17" x14ac:dyDescent="0.25">
      <c r="A561" s="1">
        <v>42002</v>
      </c>
      <c r="B561">
        <v>7.1</v>
      </c>
      <c r="C561">
        <v>163.35</v>
      </c>
      <c r="D561">
        <v>3.7890000000000001</v>
      </c>
      <c r="E561">
        <v>9.3000000000000007</v>
      </c>
      <c r="F561">
        <v>5.25</v>
      </c>
      <c r="G561">
        <v>1.57</v>
      </c>
      <c r="H561" s="15">
        <v>7.1</v>
      </c>
      <c r="I561">
        <v>29.95</v>
      </c>
      <c r="J561">
        <v>18.399999999999999</v>
      </c>
      <c r="K561">
        <v>10.83</v>
      </c>
      <c r="L561">
        <v>1.78</v>
      </c>
      <c r="M561">
        <v>2.423</v>
      </c>
      <c r="N561">
        <v>0.2</v>
      </c>
      <c r="O561">
        <v>2.95</v>
      </c>
      <c r="P561">
        <v>0.70499999999999996</v>
      </c>
      <c r="Q561">
        <v>15</v>
      </c>
    </row>
    <row r="562" spans="1:17" x14ac:dyDescent="0.25">
      <c r="A562" s="1">
        <v>42003</v>
      </c>
      <c r="B562">
        <v>7.11</v>
      </c>
      <c r="C562">
        <v>160.4</v>
      </c>
      <c r="D562">
        <v>3.7890000000000001</v>
      </c>
      <c r="E562">
        <v>9.6999999999999993</v>
      </c>
      <c r="F562">
        <v>5.25</v>
      </c>
      <c r="G562">
        <v>1.59</v>
      </c>
      <c r="H562" s="15">
        <v>7.26</v>
      </c>
      <c r="I562">
        <v>29.99</v>
      </c>
      <c r="J562" t="e">
        <v>#N/A</v>
      </c>
      <c r="K562">
        <v>10.83</v>
      </c>
      <c r="L562">
        <v>1.78</v>
      </c>
      <c r="M562">
        <v>2.4129999999999998</v>
      </c>
      <c r="N562">
        <v>0.21299999999999999</v>
      </c>
      <c r="O562">
        <v>2.9</v>
      </c>
      <c r="P562">
        <v>0.72499999999999998</v>
      </c>
      <c r="Q562">
        <v>14</v>
      </c>
    </row>
    <row r="563" spans="1:17" x14ac:dyDescent="0.25">
      <c r="A563" s="1">
        <v>42004</v>
      </c>
      <c r="B563">
        <v>7.11</v>
      </c>
      <c r="C563" t="e">
        <v>#N/A</v>
      </c>
      <c r="D563">
        <v>3.806</v>
      </c>
      <c r="E563">
        <v>9.4</v>
      </c>
      <c r="F563">
        <v>5.3</v>
      </c>
      <c r="G563">
        <v>1.62</v>
      </c>
      <c r="H563" s="15" t="e">
        <v>#N/A</v>
      </c>
      <c r="I563">
        <v>30.4</v>
      </c>
      <c r="J563" t="e">
        <v>#N/A</v>
      </c>
      <c r="K563">
        <v>10.83</v>
      </c>
      <c r="L563">
        <v>1.8</v>
      </c>
      <c r="M563">
        <v>2.4620000000000002</v>
      </c>
      <c r="N563">
        <v>0.21</v>
      </c>
      <c r="O563">
        <v>2.93</v>
      </c>
      <c r="P563">
        <v>0.71499999999999997</v>
      </c>
      <c r="Q563">
        <v>12</v>
      </c>
    </row>
    <row r="564" spans="1:17" x14ac:dyDescent="0.25">
      <c r="A564" s="1">
        <v>42009</v>
      </c>
      <c r="B564">
        <v>7.17</v>
      </c>
      <c r="C564">
        <v>155.30000000000001</v>
      </c>
      <c r="D564">
        <v>3.7240000000000002</v>
      </c>
      <c r="E564">
        <v>10.16</v>
      </c>
      <c r="F564">
        <v>5.15</v>
      </c>
      <c r="G564">
        <v>1.58</v>
      </c>
      <c r="H564" s="15">
        <v>7.3</v>
      </c>
      <c r="I564">
        <v>29.5</v>
      </c>
      <c r="J564">
        <v>18.05</v>
      </c>
      <c r="K564">
        <v>10.83</v>
      </c>
      <c r="L564">
        <v>1.75</v>
      </c>
      <c r="M564">
        <v>2.3239999999999998</v>
      </c>
      <c r="N564">
        <v>0.20499999999999999</v>
      </c>
      <c r="O564">
        <v>2.85</v>
      </c>
      <c r="P564">
        <v>0.70499999999999996</v>
      </c>
      <c r="Q564">
        <v>15</v>
      </c>
    </row>
    <row r="565" spans="1:17" x14ac:dyDescent="0.25">
      <c r="A565" s="1">
        <v>42010</v>
      </c>
      <c r="B565">
        <v>7.17</v>
      </c>
      <c r="C565">
        <v>154.69999999999999</v>
      </c>
      <c r="D565">
        <v>3.6829999999999998</v>
      </c>
      <c r="E565">
        <v>10.7</v>
      </c>
      <c r="F565">
        <v>5</v>
      </c>
      <c r="G565">
        <v>1.52</v>
      </c>
      <c r="H565" s="15">
        <v>7.3</v>
      </c>
      <c r="I565">
        <v>29.25</v>
      </c>
      <c r="J565">
        <v>17.8</v>
      </c>
      <c r="K565">
        <v>10.85</v>
      </c>
      <c r="L565">
        <v>1.7</v>
      </c>
      <c r="M565">
        <v>2.3039999999999998</v>
      </c>
      <c r="N565">
        <v>0.20499999999999999</v>
      </c>
      <c r="O565">
        <v>2.8</v>
      </c>
      <c r="P565">
        <v>0.70499999999999996</v>
      </c>
      <c r="Q565">
        <v>15</v>
      </c>
    </row>
    <row r="566" spans="1:17" x14ac:dyDescent="0.25">
      <c r="A566" s="1">
        <v>42011</v>
      </c>
      <c r="B566">
        <v>7.17</v>
      </c>
      <c r="C566">
        <v>156.25</v>
      </c>
      <c r="D566">
        <v>3.6669999999999998</v>
      </c>
      <c r="E566">
        <v>10.5</v>
      </c>
      <c r="F566">
        <v>5.17</v>
      </c>
      <c r="G566">
        <v>1.54</v>
      </c>
      <c r="H566" s="15">
        <v>7.25</v>
      </c>
      <c r="I566">
        <v>29.5</v>
      </c>
      <c r="J566">
        <v>17.5</v>
      </c>
      <c r="K566">
        <v>10.85</v>
      </c>
      <c r="L566">
        <v>1.69</v>
      </c>
      <c r="M566">
        <v>2.3039999999999998</v>
      </c>
      <c r="N566">
        <v>0.20499999999999999</v>
      </c>
      <c r="O566">
        <v>2.7850000000000001</v>
      </c>
      <c r="P566">
        <v>0.69499999999999995</v>
      </c>
      <c r="Q566">
        <v>15</v>
      </c>
    </row>
    <row r="567" spans="1:17" x14ac:dyDescent="0.25">
      <c r="A567" s="1">
        <v>42012</v>
      </c>
      <c r="B567">
        <v>7.17</v>
      </c>
      <c r="C567">
        <v>157.5</v>
      </c>
      <c r="D567">
        <v>3.6669999999999998</v>
      </c>
      <c r="E567">
        <v>10.7</v>
      </c>
      <c r="F567">
        <v>5.0199999999999996</v>
      </c>
      <c r="G567">
        <v>1.54</v>
      </c>
      <c r="H567" s="15">
        <v>7.27</v>
      </c>
      <c r="I567">
        <v>29.2</v>
      </c>
      <c r="J567">
        <v>16.940000000000001</v>
      </c>
      <c r="K567">
        <v>10.85</v>
      </c>
      <c r="L567">
        <v>1.7</v>
      </c>
      <c r="M567">
        <v>2.274</v>
      </c>
      <c r="N567">
        <v>0.21</v>
      </c>
      <c r="O567">
        <v>2.7850000000000001</v>
      </c>
      <c r="P567">
        <v>0.69499999999999995</v>
      </c>
      <c r="Q567">
        <v>15</v>
      </c>
    </row>
    <row r="568" spans="1:17" x14ac:dyDescent="0.25">
      <c r="A568" s="1">
        <v>42013</v>
      </c>
      <c r="B568">
        <v>7.02</v>
      </c>
      <c r="C568">
        <v>156.19999999999999</v>
      </c>
      <c r="D568">
        <v>3.6669999999999998</v>
      </c>
      <c r="E568">
        <v>11</v>
      </c>
      <c r="F568">
        <v>5.01</v>
      </c>
      <c r="G568">
        <v>1.52</v>
      </c>
      <c r="H568" s="15">
        <v>7.27</v>
      </c>
      <c r="I568">
        <v>29.23</v>
      </c>
      <c r="J568">
        <v>16.93</v>
      </c>
      <c r="K568">
        <v>10.87</v>
      </c>
      <c r="L568">
        <v>1.67</v>
      </c>
      <c r="M568">
        <v>2.274</v>
      </c>
      <c r="N568">
        <v>0.20499999999999999</v>
      </c>
      <c r="O568">
        <v>2.7850000000000001</v>
      </c>
      <c r="P568">
        <v>0.69</v>
      </c>
      <c r="Q568">
        <v>15</v>
      </c>
    </row>
    <row r="569" spans="1:17" x14ac:dyDescent="0.25">
      <c r="A569" s="1">
        <v>42016</v>
      </c>
      <c r="B569">
        <v>7.06</v>
      </c>
      <c r="C569">
        <v>152</v>
      </c>
      <c r="D569">
        <v>3.6669999999999998</v>
      </c>
      <c r="E569">
        <v>11.56</v>
      </c>
      <c r="F569">
        <v>5.01</v>
      </c>
      <c r="G569">
        <v>1.5</v>
      </c>
      <c r="H569" s="15">
        <v>7.15</v>
      </c>
      <c r="I569">
        <v>29.45</v>
      </c>
      <c r="J569" t="e">
        <v>#N/A</v>
      </c>
      <c r="K569">
        <v>10.9</v>
      </c>
      <c r="L569">
        <v>1.68</v>
      </c>
      <c r="M569">
        <v>2.274</v>
      </c>
      <c r="N569">
        <v>0.20499999999999999</v>
      </c>
      <c r="O569">
        <v>2.746</v>
      </c>
      <c r="P569">
        <v>0.67</v>
      </c>
      <c r="Q569">
        <v>14</v>
      </c>
    </row>
    <row r="570" spans="1:17" x14ac:dyDescent="0.25">
      <c r="A570" s="1">
        <v>42017</v>
      </c>
      <c r="B570">
        <v>7</v>
      </c>
      <c r="C570">
        <v>150.77000000000001</v>
      </c>
      <c r="D570">
        <v>3.6419999999999999</v>
      </c>
      <c r="E570">
        <v>11.4</v>
      </c>
      <c r="F570">
        <v>4.9000000000000004</v>
      </c>
      <c r="G570">
        <v>1.48</v>
      </c>
      <c r="H570" s="15">
        <v>6.71</v>
      </c>
      <c r="I570">
        <v>29.25</v>
      </c>
      <c r="J570">
        <v>16.5</v>
      </c>
      <c r="K570">
        <v>11</v>
      </c>
      <c r="L570">
        <v>1.68</v>
      </c>
      <c r="M570">
        <v>2.2250000000000001</v>
      </c>
      <c r="N570">
        <v>0.20300000000000001</v>
      </c>
      <c r="O570">
        <v>2.706</v>
      </c>
      <c r="P570">
        <v>0.62</v>
      </c>
      <c r="Q570">
        <v>15</v>
      </c>
    </row>
    <row r="571" spans="1:17" x14ac:dyDescent="0.25">
      <c r="A571" s="1">
        <v>42018</v>
      </c>
      <c r="B571">
        <v>6.75</v>
      </c>
      <c r="C571">
        <v>147</v>
      </c>
      <c r="D571">
        <v>3.6419999999999999</v>
      </c>
      <c r="E571">
        <v>10.55</v>
      </c>
      <c r="F571">
        <v>4.82</v>
      </c>
      <c r="G571">
        <v>1.45</v>
      </c>
      <c r="H571" s="15">
        <v>6.25</v>
      </c>
      <c r="I571">
        <v>28.55</v>
      </c>
      <c r="J571">
        <v>16.5</v>
      </c>
      <c r="K571">
        <v>11.03</v>
      </c>
      <c r="L571">
        <v>1.67</v>
      </c>
      <c r="M571">
        <v>2.0169999999999999</v>
      </c>
      <c r="N571">
        <v>0.185</v>
      </c>
      <c r="O571">
        <v>2.5870000000000002</v>
      </c>
      <c r="P571">
        <v>0.57999999999999996</v>
      </c>
      <c r="Q571">
        <v>15</v>
      </c>
    </row>
    <row r="572" spans="1:17" x14ac:dyDescent="0.25">
      <c r="A572" s="1">
        <v>42019</v>
      </c>
      <c r="B572">
        <v>6.73</v>
      </c>
      <c r="C572">
        <v>146.99</v>
      </c>
      <c r="D572">
        <v>3.601</v>
      </c>
      <c r="E572">
        <v>10.92</v>
      </c>
      <c r="F572">
        <v>4.82</v>
      </c>
      <c r="G572">
        <v>1.45</v>
      </c>
      <c r="H572" s="15">
        <v>6.25</v>
      </c>
      <c r="I572">
        <v>28.6</v>
      </c>
      <c r="J572">
        <v>16.5</v>
      </c>
      <c r="K572">
        <v>11.04</v>
      </c>
      <c r="L572">
        <v>1.58</v>
      </c>
      <c r="M572">
        <v>2.0470000000000002</v>
      </c>
      <c r="N572">
        <v>0.185</v>
      </c>
      <c r="O572">
        <v>2.5369999999999999</v>
      </c>
      <c r="P572">
        <v>0.56999999999999995</v>
      </c>
      <c r="Q572">
        <v>15</v>
      </c>
    </row>
    <row r="573" spans="1:17" x14ac:dyDescent="0.25">
      <c r="A573" s="1">
        <v>42020</v>
      </c>
      <c r="B573" t="e">
        <v>#N/A</v>
      </c>
      <c r="C573">
        <v>145.94999999999999</v>
      </c>
      <c r="D573">
        <v>3.585</v>
      </c>
      <c r="E573">
        <v>11.05</v>
      </c>
      <c r="F573">
        <v>4.8499999999999996</v>
      </c>
      <c r="G573">
        <v>1.42</v>
      </c>
      <c r="H573" s="15">
        <v>6.15</v>
      </c>
      <c r="I573">
        <v>29</v>
      </c>
      <c r="J573" t="e">
        <v>#N/A</v>
      </c>
      <c r="K573">
        <v>11.05</v>
      </c>
      <c r="L573">
        <v>1.6</v>
      </c>
      <c r="M573">
        <v>2.0960000000000001</v>
      </c>
      <c r="N573">
        <v>0.183</v>
      </c>
      <c r="O573">
        <v>2.4870000000000001</v>
      </c>
      <c r="P573">
        <v>0.56999999999999995</v>
      </c>
      <c r="Q573">
        <v>13</v>
      </c>
    </row>
    <row r="574" spans="1:17" x14ac:dyDescent="0.25">
      <c r="A574" s="1">
        <v>42023</v>
      </c>
      <c r="B574">
        <v>6.76</v>
      </c>
      <c r="C574">
        <v>146</v>
      </c>
      <c r="D574">
        <v>3.585</v>
      </c>
      <c r="E574">
        <v>11.05</v>
      </c>
      <c r="F574">
        <v>4.8499999999999996</v>
      </c>
      <c r="G574" t="e">
        <v>#N/A</v>
      </c>
      <c r="H574" s="15">
        <v>6.1</v>
      </c>
      <c r="I574" t="e">
        <v>#N/A</v>
      </c>
      <c r="J574" t="e">
        <v>#N/A</v>
      </c>
      <c r="K574">
        <v>11.08</v>
      </c>
      <c r="L574">
        <v>1.6</v>
      </c>
      <c r="M574" t="e">
        <v>#N/A</v>
      </c>
      <c r="N574">
        <v>0.183</v>
      </c>
      <c r="O574">
        <v>2.5070000000000001</v>
      </c>
      <c r="P574">
        <v>0.56999999999999995</v>
      </c>
      <c r="Q574">
        <v>11</v>
      </c>
    </row>
    <row r="575" spans="1:17" x14ac:dyDescent="0.25">
      <c r="A575" s="1">
        <v>42024</v>
      </c>
      <c r="B575">
        <v>6.79</v>
      </c>
      <c r="C575">
        <v>146.30000000000001</v>
      </c>
      <c r="D575">
        <v>3.601</v>
      </c>
      <c r="E575">
        <v>11.4</v>
      </c>
      <c r="F575">
        <v>4.8499999999999996</v>
      </c>
      <c r="G575">
        <v>1.38</v>
      </c>
      <c r="H575" s="15">
        <v>6</v>
      </c>
      <c r="I575">
        <v>29</v>
      </c>
      <c r="J575">
        <v>16.2</v>
      </c>
      <c r="K575">
        <v>11.12</v>
      </c>
      <c r="L575">
        <v>1.63</v>
      </c>
      <c r="M575">
        <v>2.0960000000000001</v>
      </c>
      <c r="N575">
        <v>0.183</v>
      </c>
      <c r="O575">
        <v>2.5169999999999999</v>
      </c>
      <c r="P575">
        <v>0.53</v>
      </c>
      <c r="Q575">
        <v>15</v>
      </c>
    </row>
    <row r="576" spans="1:17" x14ac:dyDescent="0.25">
      <c r="A576" s="1">
        <v>42025</v>
      </c>
      <c r="B576">
        <v>6.7</v>
      </c>
      <c r="C576">
        <v>146.15</v>
      </c>
      <c r="D576">
        <v>3.593</v>
      </c>
      <c r="E576">
        <v>11.28</v>
      </c>
      <c r="F576">
        <v>4.9000000000000004</v>
      </c>
      <c r="G576">
        <v>1.32</v>
      </c>
      <c r="H576" s="15">
        <v>6.08</v>
      </c>
      <c r="I576">
        <v>29.4</v>
      </c>
      <c r="J576">
        <v>16.2</v>
      </c>
      <c r="K576">
        <v>11.21</v>
      </c>
      <c r="L576">
        <v>1.59</v>
      </c>
      <c r="M576">
        <v>2.0960000000000001</v>
      </c>
      <c r="N576">
        <v>0.18</v>
      </c>
      <c r="O576">
        <v>2.5369999999999999</v>
      </c>
      <c r="P576">
        <v>0.5</v>
      </c>
      <c r="Q576">
        <v>15</v>
      </c>
    </row>
    <row r="577" spans="1:17" x14ac:dyDescent="0.25">
      <c r="A577" s="1">
        <v>42026</v>
      </c>
      <c r="B577">
        <v>6.67</v>
      </c>
      <c r="C577">
        <v>149.5</v>
      </c>
      <c r="D577">
        <v>3.577</v>
      </c>
      <c r="E577">
        <v>11.39</v>
      </c>
      <c r="F577">
        <v>5.08</v>
      </c>
      <c r="G577">
        <v>1.33</v>
      </c>
      <c r="H577" s="15">
        <v>6.14</v>
      </c>
      <c r="I577">
        <v>29.5</v>
      </c>
      <c r="J577">
        <v>16.2</v>
      </c>
      <c r="K577">
        <v>11.35</v>
      </c>
      <c r="L577">
        <v>1.65</v>
      </c>
      <c r="M577">
        <v>2.1259999999999999</v>
      </c>
      <c r="N577">
        <v>0.18</v>
      </c>
      <c r="O577">
        <v>2.5870000000000002</v>
      </c>
      <c r="P577">
        <v>0.5</v>
      </c>
      <c r="Q577">
        <v>15</v>
      </c>
    </row>
    <row r="578" spans="1:17" x14ac:dyDescent="0.25">
      <c r="A578" s="1">
        <v>42027</v>
      </c>
      <c r="B578">
        <v>6.65</v>
      </c>
      <c r="C578">
        <v>150</v>
      </c>
      <c r="D578">
        <v>3.585</v>
      </c>
      <c r="E578">
        <v>11</v>
      </c>
      <c r="F578">
        <v>5.08</v>
      </c>
      <c r="G578">
        <v>1.38</v>
      </c>
      <c r="H578" s="15">
        <v>6.14</v>
      </c>
      <c r="I578">
        <v>29.5</v>
      </c>
      <c r="J578">
        <v>16.25</v>
      </c>
      <c r="K578">
        <v>11.51</v>
      </c>
      <c r="L578">
        <v>1.7</v>
      </c>
      <c r="M578" t="e">
        <v>#N/A</v>
      </c>
      <c r="N578">
        <v>0.18</v>
      </c>
      <c r="O578">
        <v>2.6059999999999999</v>
      </c>
      <c r="P578">
        <v>0.5</v>
      </c>
      <c r="Q578">
        <v>14</v>
      </c>
    </row>
    <row r="579" spans="1:17" x14ac:dyDescent="0.25">
      <c r="A579" s="1">
        <v>42030</v>
      </c>
      <c r="B579">
        <v>6.65</v>
      </c>
      <c r="C579">
        <v>151.69999999999999</v>
      </c>
      <c r="D579">
        <v>3.585</v>
      </c>
      <c r="E579">
        <v>10.4</v>
      </c>
      <c r="F579">
        <v>5.05</v>
      </c>
      <c r="G579">
        <v>1.41</v>
      </c>
      <c r="H579" s="15">
        <v>6.12</v>
      </c>
      <c r="I579">
        <v>29.8</v>
      </c>
      <c r="J579">
        <v>16.260000000000002</v>
      </c>
      <c r="K579">
        <v>11.51</v>
      </c>
      <c r="L579">
        <v>1.7</v>
      </c>
      <c r="M579">
        <v>2.1459999999999999</v>
      </c>
      <c r="N579">
        <v>0.18</v>
      </c>
      <c r="O579">
        <v>2.6259999999999999</v>
      </c>
      <c r="P579">
        <v>0.5</v>
      </c>
      <c r="Q579">
        <v>15</v>
      </c>
    </row>
    <row r="580" spans="1:17" x14ac:dyDescent="0.25">
      <c r="A580" s="1">
        <v>42031</v>
      </c>
      <c r="B580">
        <v>6.6</v>
      </c>
      <c r="C580">
        <v>152.6</v>
      </c>
      <c r="D580">
        <v>3.577</v>
      </c>
      <c r="E580">
        <v>11.7</v>
      </c>
      <c r="F580">
        <v>5.05</v>
      </c>
      <c r="G580">
        <v>1.43</v>
      </c>
      <c r="H580" s="15">
        <v>6.1</v>
      </c>
      <c r="I580" t="e">
        <v>#N/A</v>
      </c>
      <c r="J580">
        <v>16.350000000000001</v>
      </c>
      <c r="K580">
        <v>11.51</v>
      </c>
      <c r="L580">
        <v>1.7</v>
      </c>
      <c r="M580">
        <v>2.1459999999999999</v>
      </c>
      <c r="N580">
        <v>0.18</v>
      </c>
      <c r="O580">
        <v>2.6459999999999999</v>
      </c>
      <c r="P580">
        <v>0.5</v>
      </c>
      <c r="Q580">
        <v>14</v>
      </c>
    </row>
    <row r="581" spans="1:17" x14ac:dyDescent="0.25">
      <c r="A581" s="1">
        <v>42032</v>
      </c>
      <c r="B581">
        <v>6.65</v>
      </c>
      <c r="C581">
        <v>147.65</v>
      </c>
      <c r="D581">
        <v>3.577</v>
      </c>
      <c r="E581">
        <v>11.05</v>
      </c>
      <c r="F581">
        <v>5.05</v>
      </c>
      <c r="G581">
        <v>1.43</v>
      </c>
      <c r="H581" s="15">
        <v>6</v>
      </c>
      <c r="I581">
        <v>29.8</v>
      </c>
      <c r="J581">
        <v>16.399999999999999</v>
      </c>
      <c r="K581">
        <v>11.52</v>
      </c>
      <c r="L581">
        <v>1.7</v>
      </c>
      <c r="M581">
        <v>2.1459999999999999</v>
      </c>
      <c r="N581">
        <v>0.18</v>
      </c>
      <c r="O581">
        <v>2.6760000000000002</v>
      </c>
      <c r="P581">
        <v>0.49</v>
      </c>
      <c r="Q581">
        <v>15</v>
      </c>
    </row>
    <row r="582" spans="1:17" x14ac:dyDescent="0.25">
      <c r="A582" s="1">
        <v>42033</v>
      </c>
      <c r="B582">
        <v>6.85</v>
      </c>
      <c r="C582">
        <v>146.9</v>
      </c>
      <c r="D582">
        <v>3.4380000000000002</v>
      </c>
      <c r="E582">
        <v>10.9</v>
      </c>
      <c r="F582">
        <v>5.05</v>
      </c>
      <c r="G582">
        <v>1.46</v>
      </c>
      <c r="H582" s="15">
        <v>6</v>
      </c>
      <c r="I582">
        <v>29.8</v>
      </c>
      <c r="J582">
        <v>16.3</v>
      </c>
      <c r="K582">
        <v>11.75</v>
      </c>
      <c r="L582">
        <v>1.75</v>
      </c>
      <c r="M582">
        <v>2.1360000000000001</v>
      </c>
      <c r="N582">
        <v>0.18</v>
      </c>
      <c r="O582">
        <v>2.6859999999999999</v>
      </c>
      <c r="P582">
        <v>0.45</v>
      </c>
      <c r="Q582">
        <v>15</v>
      </c>
    </row>
    <row r="583" spans="1:17" x14ac:dyDescent="0.25">
      <c r="A583" s="1">
        <v>42034</v>
      </c>
      <c r="B583">
        <v>6.95</v>
      </c>
      <c r="C583">
        <v>145.69999999999999</v>
      </c>
      <c r="D583">
        <v>3.3639999999999999</v>
      </c>
      <c r="E583">
        <v>11.47</v>
      </c>
      <c r="F583">
        <v>5.1100000000000003</v>
      </c>
      <c r="G583">
        <v>1.5</v>
      </c>
      <c r="H583" s="15">
        <v>6.21</v>
      </c>
      <c r="I583">
        <v>29.7</v>
      </c>
      <c r="J583">
        <v>16.399999999999999</v>
      </c>
      <c r="K583">
        <v>11.51</v>
      </c>
      <c r="L583">
        <v>1.75</v>
      </c>
      <c r="M583">
        <v>2.0960000000000001</v>
      </c>
      <c r="N583">
        <v>0.18</v>
      </c>
      <c r="O583">
        <v>2.6459999999999999</v>
      </c>
      <c r="P583">
        <v>0.48</v>
      </c>
      <c r="Q583">
        <v>15</v>
      </c>
    </row>
    <row r="584" spans="1:17" x14ac:dyDescent="0.25">
      <c r="A584" s="1">
        <v>42037</v>
      </c>
      <c r="B584">
        <v>6.9</v>
      </c>
      <c r="C584">
        <v>147.91999999999999</v>
      </c>
      <c r="D584">
        <v>3.3149999999999999</v>
      </c>
      <c r="E584">
        <v>11.5</v>
      </c>
      <c r="F584">
        <v>5.2</v>
      </c>
      <c r="G584">
        <v>1.45</v>
      </c>
      <c r="H584" s="15">
        <v>6.4</v>
      </c>
      <c r="I584">
        <v>29.1</v>
      </c>
      <c r="J584">
        <v>16.350000000000001</v>
      </c>
      <c r="K584">
        <v>11.5</v>
      </c>
      <c r="L584">
        <v>1.65</v>
      </c>
      <c r="M584">
        <v>2.0670000000000002</v>
      </c>
      <c r="N584">
        <v>0.16600000000000001</v>
      </c>
      <c r="O584">
        <v>2.5270000000000001</v>
      </c>
      <c r="P584">
        <v>0.5</v>
      </c>
      <c r="Q584">
        <v>15</v>
      </c>
    </row>
    <row r="585" spans="1:17" x14ac:dyDescent="0.25">
      <c r="A585" s="1">
        <v>42038</v>
      </c>
      <c r="B585">
        <v>7.01</v>
      </c>
      <c r="C585">
        <v>152.69999999999999</v>
      </c>
      <c r="D585">
        <v>3.4780000000000002</v>
      </c>
      <c r="E585">
        <v>10.91</v>
      </c>
      <c r="F585">
        <v>5.2</v>
      </c>
      <c r="G585">
        <v>1.46</v>
      </c>
      <c r="H585" s="15">
        <v>6.51</v>
      </c>
      <c r="I585">
        <v>29.25</v>
      </c>
      <c r="J585">
        <v>16.25</v>
      </c>
      <c r="K585">
        <v>11.45</v>
      </c>
      <c r="L585">
        <v>1.57</v>
      </c>
      <c r="M585">
        <v>2.0670000000000002</v>
      </c>
      <c r="N585">
        <v>0.185</v>
      </c>
      <c r="O585">
        <v>2.5270000000000001</v>
      </c>
      <c r="P585">
        <v>0.55000000000000004</v>
      </c>
      <c r="Q585">
        <v>15</v>
      </c>
    </row>
    <row r="586" spans="1:17" x14ac:dyDescent="0.25">
      <c r="A586" s="1">
        <v>42039</v>
      </c>
      <c r="B586">
        <v>7.03</v>
      </c>
      <c r="C586">
        <v>151.80000000000001</v>
      </c>
      <c r="D586">
        <v>3.5190000000000001</v>
      </c>
      <c r="E586">
        <v>10.89</v>
      </c>
      <c r="F586">
        <v>5.29</v>
      </c>
      <c r="G586">
        <v>1.46</v>
      </c>
      <c r="H586" s="15">
        <v>6.5</v>
      </c>
      <c r="I586">
        <v>29.3</v>
      </c>
      <c r="J586">
        <v>16.350000000000001</v>
      </c>
      <c r="K586">
        <v>11.4</v>
      </c>
      <c r="L586">
        <v>1.63</v>
      </c>
      <c r="M586">
        <v>2.0470000000000002</v>
      </c>
      <c r="N586">
        <v>0.17199999999999999</v>
      </c>
      <c r="O586">
        <v>2.5369999999999999</v>
      </c>
      <c r="P586">
        <v>0.61</v>
      </c>
      <c r="Q586">
        <v>15</v>
      </c>
    </row>
    <row r="587" spans="1:17" x14ac:dyDescent="0.25">
      <c r="A587" s="1">
        <v>42040</v>
      </c>
      <c r="B587">
        <v>7.17</v>
      </c>
      <c r="C587">
        <v>153.65</v>
      </c>
      <c r="D587">
        <v>3.4780000000000002</v>
      </c>
      <c r="E587">
        <v>10.95</v>
      </c>
      <c r="F587">
        <v>5.29</v>
      </c>
      <c r="G587">
        <v>1.48</v>
      </c>
      <c r="H587" s="15">
        <v>6.4</v>
      </c>
      <c r="I587">
        <v>29.15</v>
      </c>
      <c r="J587">
        <v>16.350000000000001</v>
      </c>
      <c r="K587">
        <v>11.35</v>
      </c>
      <c r="L587">
        <v>1.63</v>
      </c>
      <c r="M587">
        <v>2.0369999999999999</v>
      </c>
      <c r="N587">
        <v>0.16500000000000001</v>
      </c>
      <c r="O587">
        <v>2.5070000000000001</v>
      </c>
      <c r="P587">
        <v>0.57999999999999996</v>
      </c>
      <c r="Q587">
        <v>15</v>
      </c>
    </row>
    <row r="588" spans="1:17" x14ac:dyDescent="0.25">
      <c r="A588" s="1">
        <v>42041</v>
      </c>
      <c r="B588">
        <v>7.05</v>
      </c>
      <c r="C588">
        <v>151.69999999999999</v>
      </c>
      <c r="D588">
        <v>3.4540000000000002</v>
      </c>
      <c r="E588">
        <v>10.5</v>
      </c>
      <c r="F588">
        <v>5.2</v>
      </c>
      <c r="G588">
        <v>1.45</v>
      </c>
      <c r="H588" s="15">
        <v>6.2</v>
      </c>
      <c r="I588">
        <v>28.95</v>
      </c>
      <c r="J588">
        <v>16.100000000000001</v>
      </c>
      <c r="K588">
        <v>11.2</v>
      </c>
      <c r="L588">
        <v>1.6</v>
      </c>
      <c r="M588">
        <v>1.978</v>
      </c>
      <c r="N588">
        <v>0.16700000000000001</v>
      </c>
      <c r="O588">
        <v>2.4969999999999999</v>
      </c>
      <c r="P588">
        <v>0.55000000000000004</v>
      </c>
      <c r="Q588">
        <v>15</v>
      </c>
    </row>
    <row r="589" spans="1:17" x14ac:dyDescent="0.25">
      <c r="A589" s="1">
        <v>42044</v>
      </c>
      <c r="B589">
        <v>7.05</v>
      </c>
      <c r="C589">
        <v>154.19999999999999</v>
      </c>
      <c r="D589">
        <v>3.4380000000000002</v>
      </c>
      <c r="E589">
        <v>10.69</v>
      </c>
      <c r="F589">
        <v>5.2</v>
      </c>
      <c r="G589">
        <v>1.45</v>
      </c>
      <c r="H589" s="15">
        <v>6.11</v>
      </c>
      <c r="I589">
        <v>28.95</v>
      </c>
      <c r="J589">
        <v>16</v>
      </c>
      <c r="K589">
        <v>11.05</v>
      </c>
      <c r="L589">
        <v>1.57</v>
      </c>
      <c r="M589">
        <v>1.948</v>
      </c>
      <c r="N589">
        <v>0.16700000000000001</v>
      </c>
      <c r="O589">
        <v>2.4500000000000002</v>
      </c>
      <c r="P589">
        <v>0.57999999999999996</v>
      </c>
      <c r="Q589">
        <v>15</v>
      </c>
    </row>
    <row r="590" spans="1:17" x14ac:dyDescent="0.25">
      <c r="A590" s="1">
        <v>42045</v>
      </c>
      <c r="B590">
        <v>7.1</v>
      </c>
      <c r="C590">
        <v>148.69999999999999</v>
      </c>
      <c r="D590">
        <v>3.4620000000000002</v>
      </c>
      <c r="E590" t="e">
        <v>#N/A</v>
      </c>
      <c r="F590">
        <v>5.3</v>
      </c>
      <c r="G590">
        <v>1.44</v>
      </c>
      <c r="H590" s="15">
        <v>6</v>
      </c>
      <c r="I590">
        <v>29</v>
      </c>
      <c r="J590">
        <v>16</v>
      </c>
      <c r="K590">
        <v>11.02</v>
      </c>
      <c r="L590">
        <v>1.56</v>
      </c>
      <c r="M590">
        <v>1.978</v>
      </c>
      <c r="N590">
        <v>0.16700000000000001</v>
      </c>
      <c r="O590">
        <v>2.46</v>
      </c>
      <c r="P590">
        <v>0.56999999999999995</v>
      </c>
      <c r="Q590">
        <v>14</v>
      </c>
    </row>
    <row r="591" spans="1:17" x14ac:dyDescent="0.25">
      <c r="A591" s="1">
        <v>42046</v>
      </c>
      <c r="B591">
        <v>7.05</v>
      </c>
      <c r="C591">
        <v>149.6</v>
      </c>
      <c r="D591">
        <v>3.4780000000000002</v>
      </c>
      <c r="E591">
        <v>10.25</v>
      </c>
      <c r="F591">
        <v>5.25</v>
      </c>
      <c r="G591">
        <v>1.43</v>
      </c>
      <c r="H591" s="15">
        <v>5.86</v>
      </c>
      <c r="I591">
        <v>28.8</v>
      </c>
      <c r="J591">
        <v>16</v>
      </c>
      <c r="K591">
        <v>11.01</v>
      </c>
      <c r="L591">
        <v>1.56</v>
      </c>
      <c r="M591">
        <v>1.9379999999999999</v>
      </c>
      <c r="N591">
        <v>0.16</v>
      </c>
      <c r="O591">
        <v>2.46</v>
      </c>
      <c r="P591">
        <v>0.57999999999999996</v>
      </c>
      <c r="Q591">
        <v>15</v>
      </c>
    </row>
    <row r="592" spans="1:17" x14ac:dyDescent="0.25">
      <c r="A592" s="1">
        <v>42047</v>
      </c>
      <c r="B592">
        <v>7.15</v>
      </c>
      <c r="C592">
        <v>149.9</v>
      </c>
      <c r="D592">
        <v>3.4780000000000002</v>
      </c>
      <c r="E592">
        <v>10.41</v>
      </c>
      <c r="F592">
        <v>5.29</v>
      </c>
      <c r="G592">
        <v>1.45</v>
      </c>
      <c r="H592" s="15">
        <v>5.9</v>
      </c>
      <c r="I592">
        <v>28.85</v>
      </c>
      <c r="J592">
        <v>16</v>
      </c>
      <c r="K592">
        <v>11.02</v>
      </c>
      <c r="L592">
        <v>1.62</v>
      </c>
      <c r="M592">
        <v>1.988</v>
      </c>
      <c r="N592">
        <v>0.16</v>
      </c>
      <c r="O592">
        <v>2.46</v>
      </c>
      <c r="P592">
        <v>0.57999999999999996</v>
      </c>
      <c r="Q592">
        <v>15</v>
      </c>
    </row>
    <row r="593" spans="1:17" x14ac:dyDescent="0.25">
      <c r="A593" s="1">
        <v>42048</v>
      </c>
      <c r="B593">
        <v>7.2</v>
      </c>
      <c r="C593">
        <v>151</v>
      </c>
      <c r="D593">
        <v>3.5190000000000001</v>
      </c>
      <c r="E593">
        <v>11.2</v>
      </c>
      <c r="F593">
        <v>5.33</v>
      </c>
      <c r="G593">
        <v>1.48</v>
      </c>
      <c r="H593" s="15">
        <v>5.9</v>
      </c>
      <c r="I593">
        <v>29.05</v>
      </c>
      <c r="J593">
        <v>16.21</v>
      </c>
      <c r="K593">
        <v>11.02</v>
      </c>
      <c r="L593">
        <v>1.67</v>
      </c>
      <c r="M593">
        <v>2.0169999999999999</v>
      </c>
      <c r="N593">
        <v>0.17799999999999999</v>
      </c>
      <c r="O593">
        <v>2.52</v>
      </c>
      <c r="P593">
        <v>0.62</v>
      </c>
      <c r="Q593">
        <v>15</v>
      </c>
    </row>
    <row r="594" spans="1:17" x14ac:dyDescent="0.25">
      <c r="A594" s="1">
        <v>42051</v>
      </c>
      <c r="B594">
        <v>7.17</v>
      </c>
      <c r="C594">
        <v>151</v>
      </c>
      <c r="D594">
        <v>3.5190000000000001</v>
      </c>
      <c r="E594" t="e">
        <v>#N/A</v>
      </c>
      <c r="F594">
        <v>5.45</v>
      </c>
      <c r="G594">
        <v>1.48</v>
      </c>
      <c r="H594" s="15">
        <v>5.8</v>
      </c>
      <c r="I594">
        <v>29.06</v>
      </c>
      <c r="J594">
        <v>16.100000000000001</v>
      </c>
      <c r="K594">
        <v>11.07</v>
      </c>
      <c r="L594">
        <v>1.7</v>
      </c>
      <c r="M594">
        <v>2.077</v>
      </c>
      <c r="N594">
        <v>0.189</v>
      </c>
      <c r="O594">
        <v>2.5299999999999998</v>
      </c>
      <c r="P594">
        <v>0.63</v>
      </c>
      <c r="Q594">
        <v>14</v>
      </c>
    </row>
    <row r="595" spans="1:17" x14ac:dyDescent="0.25">
      <c r="A595" s="1">
        <v>42052</v>
      </c>
      <c r="B595">
        <v>7</v>
      </c>
      <c r="C595">
        <v>152.4</v>
      </c>
      <c r="D595">
        <v>3.4780000000000002</v>
      </c>
      <c r="E595">
        <v>10.5</v>
      </c>
      <c r="F595">
        <v>5.3</v>
      </c>
      <c r="G595">
        <v>1.46</v>
      </c>
      <c r="H595" s="15">
        <v>5.72</v>
      </c>
      <c r="I595">
        <v>29.3</v>
      </c>
      <c r="J595">
        <v>15.95</v>
      </c>
      <c r="K595">
        <v>11.05</v>
      </c>
      <c r="L595">
        <v>1.58</v>
      </c>
      <c r="M595">
        <v>2.0070000000000001</v>
      </c>
      <c r="N595">
        <v>0.19500000000000001</v>
      </c>
      <c r="O595">
        <v>2.5</v>
      </c>
      <c r="P595">
        <v>0.61</v>
      </c>
      <c r="Q595">
        <v>15</v>
      </c>
    </row>
    <row r="596" spans="1:17" x14ac:dyDescent="0.25">
      <c r="A596" s="1">
        <v>42053</v>
      </c>
      <c r="B596">
        <v>6.65</v>
      </c>
      <c r="C596">
        <v>150.19999999999999</v>
      </c>
      <c r="D596">
        <v>3.4380000000000002</v>
      </c>
      <c r="E596">
        <v>10.97</v>
      </c>
      <c r="F596">
        <v>5.4</v>
      </c>
      <c r="G596">
        <v>1.43</v>
      </c>
      <c r="H596" s="15">
        <v>5.78</v>
      </c>
      <c r="I596">
        <v>29.9</v>
      </c>
      <c r="J596">
        <v>16.100000000000001</v>
      </c>
      <c r="K596">
        <v>11.27</v>
      </c>
      <c r="L596">
        <v>1.6</v>
      </c>
      <c r="M596">
        <v>2.0369999999999999</v>
      </c>
      <c r="N596">
        <v>0.19500000000000001</v>
      </c>
      <c r="O596">
        <v>2.4500000000000002</v>
      </c>
      <c r="P596">
        <v>0.62</v>
      </c>
      <c r="Q596">
        <v>15</v>
      </c>
    </row>
    <row r="597" spans="1:17" x14ac:dyDescent="0.25">
      <c r="A597" s="1">
        <v>42054</v>
      </c>
      <c r="B597">
        <v>6.4</v>
      </c>
      <c r="C597">
        <v>148.5</v>
      </c>
      <c r="D597">
        <v>3.4380000000000002</v>
      </c>
      <c r="E597">
        <v>10.56</v>
      </c>
      <c r="F597">
        <v>5.37</v>
      </c>
      <c r="G597">
        <v>1.43</v>
      </c>
      <c r="H597" s="15">
        <v>5.7</v>
      </c>
      <c r="I597">
        <v>29.5</v>
      </c>
      <c r="J597">
        <v>16.25</v>
      </c>
      <c r="K597">
        <v>11.16</v>
      </c>
      <c r="L597">
        <v>1.63</v>
      </c>
      <c r="M597">
        <v>2.0270000000000001</v>
      </c>
      <c r="N597">
        <v>0.191</v>
      </c>
      <c r="O597">
        <v>2.37</v>
      </c>
      <c r="P597">
        <v>0.67</v>
      </c>
      <c r="Q597">
        <v>15</v>
      </c>
    </row>
    <row r="598" spans="1:17" x14ac:dyDescent="0.25">
      <c r="A598" s="1">
        <v>42055</v>
      </c>
      <c r="B598">
        <v>6.3</v>
      </c>
      <c r="C598">
        <v>149.75</v>
      </c>
      <c r="D598">
        <v>3.4380000000000002</v>
      </c>
      <c r="E598">
        <v>10.5</v>
      </c>
      <c r="F598">
        <v>5.16</v>
      </c>
      <c r="G598">
        <v>1.4</v>
      </c>
      <c r="H598" s="15">
        <v>5.78</v>
      </c>
      <c r="I598">
        <v>29.8</v>
      </c>
      <c r="J598">
        <v>16</v>
      </c>
      <c r="K598">
        <v>11.16</v>
      </c>
      <c r="L598">
        <v>1.63</v>
      </c>
      <c r="M598">
        <v>1.998</v>
      </c>
      <c r="N598">
        <v>0.19</v>
      </c>
      <c r="O598">
        <v>2.36</v>
      </c>
      <c r="P598">
        <v>0.65</v>
      </c>
      <c r="Q598">
        <v>15</v>
      </c>
    </row>
    <row r="599" spans="1:17" x14ac:dyDescent="0.25">
      <c r="A599" s="1">
        <v>42058</v>
      </c>
      <c r="B599">
        <v>6.01</v>
      </c>
      <c r="C599">
        <v>148</v>
      </c>
      <c r="D599">
        <v>3.3969999999999998</v>
      </c>
      <c r="E599">
        <v>10.5</v>
      </c>
      <c r="F599">
        <v>5.12</v>
      </c>
      <c r="G599">
        <v>1.41</v>
      </c>
      <c r="H599" s="15">
        <v>5.61</v>
      </c>
      <c r="I599">
        <v>29.51</v>
      </c>
      <c r="J599">
        <v>15.75</v>
      </c>
      <c r="K599">
        <v>11.21</v>
      </c>
      <c r="L599">
        <v>1.61</v>
      </c>
      <c r="M599">
        <v>1.889</v>
      </c>
      <c r="N599">
        <v>0.182</v>
      </c>
      <c r="O599">
        <v>2.34</v>
      </c>
      <c r="P599">
        <v>0.62</v>
      </c>
      <c r="Q599">
        <v>15</v>
      </c>
    </row>
    <row r="600" spans="1:17" x14ac:dyDescent="0.25">
      <c r="A600" s="1">
        <v>42059</v>
      </c>
      <c r="B600">
        <v>6.01</v>
      </c>
      <c r="C600">
        <v>148.1</v>
      </c>
      <c r="D600">
        <v>3.4209999999999998</v>
      </c>
      <c r="E600">
        <v>10.46</v>
      </c>
      <c r="F600">
        <v>5.2</v>
      </c>
      <c r="G600">
        <v>1.41</v>
      </c>
      <c r="H600" s="15">
        <v>5.7</v>
      </c>
      <c r="I600">
        <v>29.6</v>
      </c>
      <c r="J600">
        <v>15.75</v>
      </c>
      <c r="K600">
        <v>11.04</v>
      </c>
      <c r="L600">
        <v>1.59</v>
      </c>
      <c r="M600">
        <v>1.889</v>
      </c>
      <c r="N600">
        <v>0.182</v>
      </c>
      <c r="O600">
        <v>2.2999999999999998</v>
      </c>
      <c r="P600">
        <v>0.62</v>
      </c>
      <c r="Q600">
        <v>15</v>
      </c>
    </row>
    <row r="601" spans="1:17" x14ac:dyDescent="0.25">
      <c r="A601" s="1">
        <v>42060</v>
      </c>
      <c r="B601">
        <v>5.95</v>
      </c>
      <c r="C601">
        <v>148.15</v>
      </c>
      <c r="D601">
        <v>3.3889999999999998</v>
      </c>
      <c r="E601">
        <v>10.5</v>
      </c>
      <c r="F601">
        <v>5.15</v>
      </c>
      <c r="G601">
        <v>1.4</v>
      </c>
      <c r="H601" s="15">
        <v>5.72</v>
      </c>
      <c r="I601">
        <v>29.65</v>
      </c>
      <c r="J601">
        <v>15.75</v>
      </c>
      <c r="K601">
        <v>11.13</v>
      </c>
      <c r="L601">
        <v>1.55</v>
      </c>
      <c r="M601">
        <v>1.859</v>
      </c>
      <c r="N601">
        <v>0.18099999999999999</v>
      </c>
      <c r="O601">
        <v>2.2400000000000002</v>
      </c>
      <c r="P601">
        <v>0.6</v>
      </c>
      <c r="Q601">
        <v>15</v>
      </c>
    </row>
    <row r="602" spans="1:17" x14ac:dyDescent="0.25">
      <c r="A602" s="1">
        <v>42061</v>
      </c>
      <c r="B602">
        <v>5.9</v>
      </c>
      <c r="C602">
        <v>146.94999999999999</v>
      </c>
      <c r="D602">
        <v>3.4049999999999998</v>
      </c>
      <c r="E602">
        <v>10.61</v>
      </c>
      <c r="F602">
        <v>5.0999999999999996</v>
      </c>
      <c r="G602">
        <v>1.41</v>
      </c>
      <c r="H602" s="15">
        <v>5.69</v>
      </c>
      <c r="I602">
        <v>29.54</v>
      </c>
      <c r="J602">
        <v>15.75</v>
      </c>
      <c r="K602">
        <v>11.13</v>
      </c>
      <c r="L602">
        <v>1.52</v>
      </c>
      <c r="M602">
        <v>1.829</v>
      </c>
      <c r="N602">
        <v>0.18</v>
      </c>
      <c r="O602">
        <v>2.17</v>
      </c>
      <c r="P602">
        <v>0.59</v>
      </c>
      <c r="Q602">
        <v>15</v>
      </c>
    </row>
    <row r="603" spans="1:17" x14ac:dyDescent="0.25">
      <c r="A603" s="1">
        <v>42062</v>
      </c>
      <c r="B603">
        <v>5.85</v>
      </c>
      <c r="C603">
        <v>146</v>
      </c>
      <c r="D603">
        <v>3.3969999999999998</v>
      </c>
      <c r="E603">
        <v>11.55</v>
      </c>
      <c r="F603" t="e">
        <v>#N/A</v>
      </c>
      <c r="G603">
        <v>1.44</v>
      </c>
      <c r="H603" s="15">
        <v>5.73</v>
      </c>
      <c r="I603">
        <v>29.3</v>
      </c>
      <c r="J603">
        <v>15.8</v>
      </c>
      <c r="K603">
        <v>11.13</v>
      </c>
      <c r="L603">
        <v>1.5</v>
      </c>
      <c r="M603">
        <v>1.859</v>
      </c>
      <c r="N603">
        <v>0.17499999999999999</v>
      </c>
      <c r="O603">
        <v>2.2000000000000002</v>
      </c>
      <c r="P603">
        <v>0.6</v>
      </c>
      <c r="Q603">
        <v>14</v>
      </c>
    </row>
    <row r="604" spans="1:17" x14ac:dyDescent="0.25">
      <c r="A604" s="1">
        <v>42065</v>
      </c>
      <c r="B604">
        <v>5.85</v>
      </c>
      <c r="C604">
        <v>145.6</v>
      </c>
      <c r="D604">
        <v>3.4380000000000002</v>
      </c>
      <c r="E604">
        <v>11.56</v>
      </c>
      <c r="F604">
        <v>5.0999999999999996</v>
      </c>
      <c r="G604">
        <v>1.43</v>
      </c>
      <c r="H604" s="15">
        <v>5.55</v>
      </c>
      <c r="I604">
        <v>29.11</v>
      </c>
      <c r="J604">
        <v>16</v>
      </c>
      <c r="K604">
        <v>11.14</v>
      </c>
      <c r="L604">
        <v>1.52</v>
      </c>
      <c r="M604">
        <v>1.9279999999999999</v>
      </c>
      <c r="N604">
        <v>0.18</v>
      </c>
      <c r="O604">
        <v>2.23</v>
      </c>
      <c r="P604">
        <v>0.61</v>
      </c>
      <c r="Q604">
        <v>15</v>
      </c>
    </row>
    <row r="605" spans="1:17" x14ac:dyDescent="0.25">
      <c r="A605" s="1">
        <v>42066</v>
      </c>
      <c r="B605">
        <v>5.7</v>
      </c>
      <c r="C605">
        <v>149.19999999999999</v>
      </c>
      <c r="D605">
        <v>3.4380000000000002</v>
      </c>
      <c r="E605">
        <v>11.03</v>
      </c>
      <c r="F605">
        <v>5.0999999999999996</v>
      </c>
      <c r="G605">
        <v>1.43</v>
      </c>
      <c r="H605" s="15">
        <v>5.6</v>
      </c>
      <c r="I605">
        <v>29.3</v>
      </c>
      <c r="J605" t="e">
        <v>#N/A</v>
      </c>
      <c r="K605">
        <v>11.26</v>
      </c>
      <c r="L605">
        <v>1.5</v>
      </c>
      <c r="M605">
        <v>1.958</v>
      </c>
      <c r="N605">
        <v>0.18</v>
      </c>
      <c r="O605">
        <v>2.25</v>
      </c>
      <c r="P605">
        <v>0.6</v>
      </c>
      <c r="Q605">
        <v>14</v>
      </c>
    </row>
    <row r="606" spans="1:17" x14ac:dyDescent="0.25">
      <c r="A606" s="1">
        <v>42067</v>
      </c>
      <c r="B606">
        <v>5.65</v>
      </c>
      <c r="C606">
        <v>149.30000000000001</v>
      </c>
      <c r="D606">
        <v>3.5190000000000001</v>
      </c>
      <c r="E606">
        <v>11.2</v>
      </c>
      <c r="F606">
        <v>5.0999999999999996</v>
      </c>
      <c r="G606" t="e">
        <v>#N/A</v>
      </c>
      <c r="H606" s="15">
        <v>5.57</v>
      </c>
      <c r="I606">
        <v>29.28</v>
      </c>
      <c r="J606">
        <v>15.8</v>
      </c>
      <c r="K606">
        <v>11.35</v>
      </c>
      <c r="L606">
        <v>1.52</v>
      </c>
      <c r="M606">
        <v>1.998</v>
      </c>
      <c r="N606">
        <v>0.18</v>
      </c>
      <c r="O606">
        <v>2.25</v>
      </c>
      <c r="P606">
        <v>0.57999999999999996</v>
      </c>
      <c r="Q606">
        <v>14</v>
      </c>
    </row>
    <row r="607" spans="1:17" x14ac:dyDescent="0.25">
      <c r="A607" s="1">
        <v>42068</v>
      </c>
      <c r="B607">
        <v>5.7</v>
      </c>
      <c r="C607">
        <v>149.05000000000001</v>
      </c>
      <c r="D607">
        <v>3.536</v>
      </c>
      <c r="E607">
        <v>11.24</v>
      </c>
      <c r="F607">
        <v>5.09</v>
      </c>
      <c r="G607">
        <v>1.41</v>
      </c>
      <c r="H607" s="15">
        <v>5.64</v>
      </c>
      <c r="I607">
        <v>29.25</v>
      </c>
      <c r="J607">
        <v>16</v>
      </c>
      <c r="K607">
        <v>11.36</v>
      </c>
      <c r="L607">
        <v>1.46</v>
      </c>
      <c r="M607">
        <v>1.9379999999999999</v>
      </c>
      <c r="N607">
        <v>0.17599999999999999</v>
      </c>
      <c r="O607">
        <v>2.2999999999999998</v>
      </c>
      <c r="P607">
        <v>0.56000000000000005</v>
      </c>
      <c r="Q607">
        <v>15</v>
      </c>
    </row>
    <row r="608" spans="1:17" x14ac:dyDescent="0.25">
      <c r="A608" s="1">
        <v>42069</v>
      </c>
      <c r="B608">
        <v>5.66</v>
      </c>
      <c r="C608">
        <v>145.9</v>
      </c>
      <c r="D608">
        <v>3.552</v>
      </c>
      <c r="E608">
        <v>10.42</v>
      </c>
      <c r="F608">
        <v>5.01</v>
      </c>
      <c r="G608">
        <v>1.43</v>
      </c>
      <c r="H608" s="15">
        <v>5.5</v>
      </c>
      <c r="I608">
        <v>28.5</v>
      </c>
      <c r="J608">
        <v>15.6</v>
      </c>
      <c r="K608">
        <v>11.24</v>
      </c>
      <c r="L608">
        <v>1.45</v>
      </c>
      <c r="M608">
        <v>1.859</v>
      </c>
      <c r="N608">
        <v>0.17</v>
      </c>
      <c r="O608">
        <v>2.31</v>
      </c>
      <c r="P608">
        <v>0.54</v>
      </c>
      <c r="Q608">
        <v>15</v>
      </c>
    </row>
    <row r="609" spans="1:17" x14ac:dyDescent="0.25">
      <c r="A609" s="1">
        <v>42072</v>
      </c>
      <c r="B609">
        <v>5.4</v>
      </c>
      <c r="C609">
        <v>144.80000000000001</v>
      </c>
      <c r="D609">
        <v>3.5190000000000001</v>
      </c>
      <c r="E609">
        <v>10.050000000000001</v>
      </c>
      <c r="F609">
        <v>4.8499999999999996</v>
      </c>
      <c r="G609">
        <v>1.4</v>
      </c>
      <c r="H609" s="15">
        <v>5.44</v>
      </c>
      <c r="I609">
        <v>28.5</v>
      </c>
      <c r="J609">
        <v>15.2</v>
      </c>
      <c r="K609">
        <v>11.25</v>
      </c>
      <c r="L609">
        <v>1.4</v>
      </c>
      <c r="M609">
        <v>1.78</v>
      </c>
      <c r="N609">
        <v>0.16400000000000001</v>
      </c>
      <c r="O609">
        <v>2.25</v>
      </c>
      <c r="P609">
        <v>0.53</v>
      </c>
      <c r="Q609">
        <v>15</v>
      </c>
    </row>
    <row r="610" spans="1:17" x14ac:dyDescent="0.25">
      <c r="A610" s="1">
        <v>42073</v>
      </c>
      <c r="B610">
        <v>5.4</v>
      </c>
      <c r="C610">
        <v>140.56</v>
      </c>
      <c r="D610">
        <v>3.4780000000000002</v>
      </c>
      <c r="E610">
        <v>10.050000000000001</v>
      </c>
      <c r="F610">
        <v>4.8499999999999996</v>
      </c>
      <c r="G610">
        <v>1.4</v>
      </c>
      <c r="H610" s="15">
        <v>5.5</v>
      </c>
      <c r="I610">
        <v>29</v>
      </c>
      <c r="J610">
        <v>15.2</v>
      </c>
      <c r="K610">
        <v>11.14</v>
      </c>
      <c r="L610" t="e">
        <v>#N/A</v>
      </c>
      <c r="M610">
        <v>1.79</v>
      </c>
      <c r="N610">
        <v>0.16700000000000001</v>
      </c>
      <c r="O610">
        <v>2.2000000000000002</v>
      </c>
      <c r="P610">
        <v>0.54</v>
      </c>
      <c r="Q610">
        <v>14</v>
      </c>
    </row>
    <row r="611" spans="1:17" x14ac:dyDescent="0.25">
      <c r="A611" s="1">
        <v>42074</v>
      </c>
      <c r="B611">
        <v>5.3</v>
      </c>
      <c r="C611">
        <v>140.19999999999999</v>
      </c>
      <c r="D611">
        <v>3.4780000000000002</v>
      </c>
      <c r="E611">
        <v>10.75</v>
      </c>
      <c r="F611">
        <v>4.8499999999999996</v>
      </c>
      <c r="G611">
        <v>1.39</v>
      </c>
      <c r="H611" s="15">
        <v>5.43</v>
      </c>
      <c r="I611">
        <v>28.1</v>
      </c>
      <c r="J611">
        <v>14.8</v>
      </c>
      <c r="K611">
        <v>11</v>
      </c>
      <c r="L611">
        <v>1.31</v>
      </c>
      <c r="M611">
        <v>1.819</v>
      </c>
      <c r="N611">
        <v>0.16700000000000001</v>
      </c>
      <c r="O611">
        <v>2.25</v>
      </c>
      <c r="P611">
        <v>0.54</v>
      </c>
      <c r="Q611">
        <v>15</v>
      </c>
    </row>
    <row r="612" spans="1:17" x14ac:dyDescent="0.25">
      <c r="A612" s="1">
        <v>42075</v>
      </c>
      <c r="B612">
        <v>5.26</v>
      </c>
      <c r="C612">
        <v>141</v>
      </c>
      <c r="D612">
        <v>3.5190000000000001</v>
      </c>
      <c r="E612">
        <v>10.45</v>
      </c>
      <c r="F612">
        <v>4.88</v>
      </c>
      <c r="G612">
        <v>1.39</v>
      </c>
      <c r="H612" s="15">
        <v>5.48</v>
      </c>
      <c r="I612">
        <v>28.4</v>
      </c>
      <c r="J612">
        <v>14.51</v>
      </c>
      <c r="K612">
        <v>11</v>
      </c>
      <c r="L612">
        <v>1.38</v>
      </c>
      <c r="M612">
        <v>1.83</v>
      </c>
      <c r="N612">
        <v>0.16700000000000001</v>
      </c>
      <c r="O612">
        <v>2.27</v>
      </c>
      <c r="P612">
        <v>0.54</v>
      </c>
      <c r="Q612">
        <v>15</v>
      </c>
    </row>
    <row r="613" spans="1:17" x14ac:dyDescent="0.25">
      <c r="A613" s="1">
        <v>42076</v>
      </c>
      <c r="B613">
        <v>5.36</v>
      </c>
      <c r="C613">
        <v>139</v>
      </c>
      <c r="D613">
        <v>3.5030000000000001</v>
      </c>
      <c r="E613">
        <v>10.32</v>
      </c>
      <c r="F613">
        <v>4.88</v>
      </c>
      <c r="G613">
        <v>1.4</v>
      </c>
      <c r="H613" s="15">
        <v>5.48</v>
      </c>
      <c r="I613">
        <v>28.41</v>
      </c>
      <c r="J613">
        <v>14.5</v>
      </c>
      <c r="K613">
        <v>11</v>
      </c>
      <c r="L613">
        <v>1.34</v>
      </c>
      <c r="M613">
        <v>1.83</v>
      </c>
      <c r="N613">
        <v>0.16700000000000001</v>
      </c>
      <c r="O613">
        <v>2.27</v>
      </c>
      <c r="P613">
        <v>0.54</v>
      </c>
      <c r="Q613">
        <v>15</v>
      </c>
    </row>
    <row r="614" spans="1:17" x14ac:dyDescent="0.25">
      <c r="A614" s="1">
        <v>42079</v>
      </c>
      <c r="B614">
        <v>5.35</v>
      </c>
      <c r="C614">
        <v>137.99</v>
      </c>
      <c r="D614">
        <v>3.536</v>
      </c>
      <c r="E614">
        <v>10.45</v>
      </c>
      <c r="F614">
        <v>4.75</v>
      </c>
      <c r="G614">
        <v>1.38</v>
      </c>
      <c r="H614" s="15">
        <v>5.3</v>
      </c>
      <c r="I614">
        <v>28</v>
      </c>
      <c r="J614">
        <v>14.5</v>
      </c>
      <c r="K614">
        <v>11</v>
      </c>
      <c r="L614" t="e">
        <v>#N/A</v>
      </c>
      <c r="M614">
        <v>1.8</v>
      </c>
      <c r="N614">
        <v>0.16700000000000001</v>
      </c>
      <c r="O614">
        <v>2.27</v>
      </c>
      <c r="P614">
        <v>0.54</v>
      </c>
      <c r="Q614">
        <v>14</v>
      </c>
    </row>
    <row r="615" spans="1:17" x14ac:dyDescent="0.25">
      <c r="A615" s="1">
        <v>42080</v>
      </c>
      <c r="B615">
        <v>5.5</v>
      </c>
      <c r="C615">
        <v>137.5</v>
      </c>
      <c r="D615">
        <v>3.6419999999999999</v>
      </c>
      <c r="E615">
        <v>10.32</v>
      </c>
      <c r="F615">
        <v>4.75</v>
      </c>
      <c r="G615">
        <v>1.37</v>
      </c>
      <c r="H615" s="15" t="e">
        <v>#N/A</v>
      </c>
      <c r="I615">
        <v>28</v>
      </c>
      <c r="J615">
        <v>14.6</v>
      </c>
      <c r="K615">
        <v>11</v>
      </c>
      <c r="L615">
        <v>1.32</v>
      </c>
      <c r="M615" t="e">
        <v>#N/A</v>
      </c>
      <c r="N615">
        <v>0.161</v>
      </c>
      <c r="O615">
        <v>2.2999999999999998</v>
      </c>
      <c r="P615">
        <v>0.55000000000000004</v>
      </c>
      <c r="Q615">
        <v>13</v>
      </c>
    </row>
    <row r="616" spans="1:17" x14ac:dyDescent="0.25">
      <c r="A616" s="1">
        <v>42081</v>
      </c>
      <c r="B616">
        <v>5.55</v>
      </c>
      <c r="C616">
        <v>140</v>
      </c>
      <c r="D616">
        <v>3.6419999999999999</v>
      </c>
      <c r="E616">
        <v>10.87</v>
      </c>
      <c r="F616">
        <v>4.6500000000000004</v>
      </c>
      <c r="G616">
        <v>1.38</v>
      </c>
      <c r="H616" s="15">
        <v>5.2</v>
      </c>
      <c r="I616">
        <v>28.5</v>
      </c>
      <c r="J616">
        <v>14.7</v>
      </c>
      <c r="K616">
        <v>11</v>
      </c>
      <c r="L616">
        <v>1.32</v>
      </c>
      <c r="M616">
        <v>1.83</v>
      </c>
      <c r="N616">
        <v>0.16300000000000001</v>
      </c>
      <c r="O616">
        <v>2.2999999999999998</v>
      </c>
      <c r="P616">
        <v>0.56000000000000005</v>
      </c>
      <c r="Q616">
        <v>15</v>
      </c>
    </row>
    <row r="617" spans="1:17" x14ac:dyDescent="0.25">
      <c r="A617" s="1">
        <v>42082</v>
      </c>
      <c r="B617">
        <v>5.55</v>
      </c>
      <c r="C617">
        <v>139.4</v>
      </c>
      <c r="D617">
        <v>3.6339999999999999</v>
      </c>
      <c r="E617">
        <v>11.08</v>
      </c>
      <c r="F617">
        <v>4.6500000000000004</v>
      </c>
      <c r="G617" t="e">
        <v>#N/A</v>
      </c>
      <c r="H617" s="15">
        <v>5</v>
      </c>
      <c r="I617">
        <v>28.4</v>
      </c>
      <c r="J617" t="e">
        <v>#N/A</v>
      </c>
      <c r="K617">
        <v>11</v>
      </c>
      <c r="L617">
        <v>1.33</v>
      </c>
      <c r="M617">
        <v>1.85</v>
      </c>
      <c r="N617">
        <v>0.16300000000000001</v>
      </c>
      <c r="O617">
        <v>2.2999999999999998</v>
      </c>
      <c r="P617">
        <v>0.55000000000000004</v>
      </c>
      <c r="Q617">
        <v>13</v>
      </c>
    </row>
    <row r="618" spans="1:17" x14ac:dyDescent="0.25">
      <c r="A618" s="1">
        <v>42083</v>
      </c>
      <c r="B618">
        <v>5.66</v>
      </c>
      <c r="C618">
        <v>138.80000000000001</v>
      </c>
      <c r="D618">
        <v>3.6259999999999999</v>
      </c>
      <c r="E618">
        <v>11.1</v>
      </c>
      <c r="F618">
        <v>4.7</v>
      </c>
      <c r="G618">
        <v>1.41</v>
      </c>
      <c r="H618" s="15">
        <v>5</v>
      </c>
      <c r="I618">
        <v>28.6</v>
      </c>
      <c r="J618">
        <v>14.7</v>
      </c>
      <c r="K618">
        <v>11</v>
      </c>
      <c r="L618">
        <v>1.35</v>
      </c>
      <c r="M618">
        <v>1.87</v>
      </c>
      <c r="N618">
        <v>0.16600000000000001</v>
      </c>
      <c r="O618">
        <v>2.31</v>
      </c>
      <c r="P618">
        <v>0.55000000000000004</v>
      </c>
      <c r="Q618">
        <v>15</v>
      </c>
    </row>
    <row r="619" spans="1:17" x14ac:dyDescent="0.25">
      <c r="A619" s="1">
        <v>42086</v>
      </c>
      <c r="B619">
        <v>5.67</v>
      </c>
      <c r="C619">
        <v>139.6</v>
      </c>
      <c r="D619">
        <v>3.47</v>
      </c>
      <c r="E619">
        <v>11</v>
      </c>
      <c r="F619">
        <v>4.7</v>
      </c>
      <c r="G619">
        <v>1.39</v>
      </c>
      <c r="H619" s="15">
        <v>5</v>
      </c>
      <c r="I619">
        <v>28.6</v>
      </c>
      <c r="J619">
        <v>14.55</v>
      </c>
      <c r="K619">
        <v>10.85</v>
      </c>
      <c r="L619">
        <v>1.27</v>
      </c>
      <c r="M619">
        <v>1.86</v>
      </c>
      <c r="N619">
        <v>0.16</v>
      </c>
      <c r="O619">
        <v>2.3199999999999998</v>
      </c>
      <c r="P619">
        <v>0.54</v>
      </c>
      <c r="Q619">
        <v>15</v>
      </c>
    </row>
    <row r="620" spans="1:17" x14ac:dyDescent="0.25">
      <c r="A620" s="1">
        <v>42087</v>
      </c>
      <c r="B620">
        <v>5.7</v>
      </c>
      <c r="C620">
        <v>138.51</v>
      </c>
      <c r="D620">
        <v>3.536</v>
      </c>
      <c r="E620">
        <v>10.7</v>
      </c>
      <c r="F620">
        <v>4.7</v>
      </c>
      <c r="G620">
        <v>1.38</v>
      </c>
      <c r="H620" s="15">
        <v>4.95</v>
      </c>
      <c r="I620">
        <v>28.6</v>
      </c>
      <c r="J620" t="e">
        <v>#N/A</v>
      </c>
      <c r="K620">
        <v>10.85</v>
      </c>
      <c r="L620">
        <v>1.27</v>
      </c>
      <c r="M620">
        <v>1.86</v>
      </c>
      <c r="N620">
        <v>0.16</v>
      </c>
      <c r="O620">
        <v>2.3199999999999998</v>
      </c>
      <c r="P620">
        <v>0.54</v>
      </c>
      <c r="Q620">
        <v>14</v>
      </c>
    </row>
    <row r="621" spans="1:17" x14ac:dyDescent="0.25">
      <c r="A621" s="1">
        <v>42088</v>
      </c>
      <c r="B621">
        <v>5.72</v>
      </c>
      <c r="C621">
        <v>139</v>
      </c>
      <c r="D621">
        <v>3.536</v>
      </c>
      <c r="E621">
        <v>10.65</v>
      </c>
      <c r="F621">
        <v>4.7</v>
      </c>
      <c r="G621">
        <v>1.38</v>
      </c>
      <c r="H621" s="15">
        <v>4.8499999999999996</v>
      </c>
      <c r="I621">
        <v>28.6</v>
      </c>
      <c r="J621">
        <v>14.55</v>
      </c>
      <c r="K621">
        <v>10.74</v>
      </c>
      <c r="L621">
        <v>1.26</v>
      </c>
      <c r="M621">
        <v>1.85</v>
      </c>
      <c r="N621">
        <v>0.16</v>
      </c>
      <c r="O621">
        <v>2.3199999999999998</v>
      </c>
      <c r="P621">
        <v>0.52</v>
      </c>
      <c r="Q621">
        <v>15</v>
      </c>
    </row>
    <row r="622" spans="1:17" x14ac:dyDescent="0.25">
      <c r="A622" s="1">
        <v>42089</v>
      </c>
      <c r="B622">
        <v>5.74</v>
      </c>
      <c r="C622">
        <v>136</v>
      </c>
      <c r="D622">
        <v>3.536</v>
      </c>
      <c r="E622">
        <v>10.3</v>
      </c>
      <c r="F622">
        <v>4.7</v>
      </c>
      <c r="G622">
        <v>1.37</v>
      </c>
      <c r="H622" s="15">
        <v>4.8</v>
      </c>
      <c r="I622">
        <v>28.6</v>
      </c>
      <c r="J622">
        <v>14.6</v>
      </c>
      <c r="K622">
        <v>10.71</v>
      </c>
      <c r="L622">
        <v>1.27</v>
      </c>
      <c r="M622">
        <v>1.83</v>
      </c>
      <c r="N622">
        <v>0.17</v>
      </c>
      <c r="O622">
        <v>2.3199999999999998</v>
      </c>
      <c r="P622">
        <v>0.52</v>
      </c>
      <c r="Q622">
        <v>15</v>
      </c>
    </row>
    <row r="623" spans="1:17" x14ac:dyDescent="0.25">
      <c r="A623" s="1">
        <v>42090</v>
      </c>
      <c r="B623">
        <v>5.79</v>
      </c>
      <c r="C623">
        <v>138.30000000000001</v>
      </c>
      <c r="D623">
        <v>3.536</v>
      </c>
      <c r="E623">
        <v>10.199999999999999</v>
      </c>
      <c r="F623">
        <v>4.7</v>
      </c>
      <c r="G623">
        <v>1.36</v>
      </c>
      <c r="H623" s="15">
        <v>4.8499999999999996</v>
      </c>
      <c r="I623">
        <v>28.6</v>
      </c>
      <c r="J623">
        <v>14.8</v>
      </c>
      <c r="K623">
        <v>10.4</v>
      </c>
      <c r="L623">
        <v>1.27</v>
      </c>
      <c r="M623">
        <v>1.83</v>
      </c>
      <c r="N623">
        <v>0.16800000000000001</v>
      </c>
      <c r="O623">
        <v>2.33</v>
      </c>
      <c r="P623">
        <v>0.52</v>
      </c>
      <c r="Q623">
        <v>15</v>
      </c>
    </row>
    <row r="624" spans="1:17" x14ac:dyDescent="0.25">
      <c r="A624" s="1">
        <v>42093</v>
      </c>
      <c r="B624">
        <v>5.81</v>
      </c>
      <c r="C624">
        <v>140.51</v>
      </c>
      <c r="D624">
        <v>3.536</v>
      </c>
      <c r="E624">
        <v>10.119999999999999</v>
      </c>
      <c r="F624">
        <v>4.6500000000000004</v>
      </c>
      <c r="G624">
        <v>1.39</v>
      </c>
      <c r="H624" s="15">
        <v>4.8</v>
      </c>
      <c r="I624">
        <v>28.6</v>
      </c>
      <c r="J624">
        <v>14.95</v>
      </c>
      <c r="K624">
        <v>10.55</v>
      </c>
      <c r="L624">
        <v>1.27</v>
      </c>
      <c r="M624">
        <v>1.82</v>
      </c>
      <c r="N624">
        <v>0.16400000000000001</v>
      </c>
      <c r="O624">
        <v>2.2999999999999998</v>
      </c>
      <c r="P624">
        <v>0.54</v>
      </c>
      <c r="Q624">
        <v>15</v>
      </c>
    </row>
    <row r="625" spans="1:17" x14ac:dyDescent="0.25">
      <c r="A625" s="1">
        <v>42094</v>
      </c>
      <c r="B625">
        <v>6</v>
      </c>
      <c r="C625">
        <v>140.9</v>
      </c>
      <c r="D625">
        <v>3.552</v>
      </c>
      <c r="E625">
        <v>10.11</v>
      </c>
      <c r="F625">
        <v>4.7</v>
      </c>
      <c r="G625">
        <v>1.41</v>
      </c>
      <c r="H625" s="15">
        <v>4.8</v>
      </c>
      <c r="I625">
        <v>28.99</v>
      </c>
      <c r="J625">
        <v>15.1</v>
      </c>
      <c r="K625">
        <v>10.506</v>
      </c>
      <c r="L625">
        <v>1.274</v>
      </c>
      <c r="M625" t="e">
        <v>#N/A</v>
      </c>
      <c r="N625">
        <v>0.16500000000000001</v>
      </c>
      <c r="O625">
        <v>2.33</v>
      </c>
      <c r="P625">
        <v>0.55000000000000004</v>
      </c>
      <c r="Q625">
        <v>14</v>
      </c>
    </row>
    <row r="626" spans="1:17" x14ac:dyDescent="0.25">
      <c r="A626" s="1">
        <v>42095</v>
      </c>
      <c r="B626">
        <v>6.2</v>
      </c>
      <c r="C626">
        <v>145.75</v>
      </c>
      <c r="D626">
        <v>3.585</v>
      </c>
      <c r="E626">
        <v>10.35</v>
      </c>
      <c r="F626">
        <v>4.8</v>
      </c>
      <c r="G626">
        <v>1.41</v>
      </c>
      <c r="H626" s="15">
        <v>4.8</v>
      </c>
      <c r="I626">
        <v>29.3</v>
      </c>
      <c r="J626">
        <v>15.3</v>
      </c>
      <c r="K626">
        <v>10.526</v>
      </c>
      <c r="L626">
        <v>1.3140000000000001</v>
      </c>
      <c r="M626">
        <v>1.81</v>
      </c>
      <c r="N626">
        <v>0.16500000000000001</v>
      </c>
      <c r="O626">
        <v>2.34</v>
      </c>
      <c r="P626">
        <v>0.59</v>
      </c>
      <c r="Q626">
        <v>15</v>
      </c>
    </row>
    <row r="627" spans="1:17" x14ac:dyDescent="0.25">
      <c r="A627" s="1">
        <v>42100</v>
      </c>
      <c r="B627">
        <v>6.25</v>
      </c>
      <c r="C627">
        <v>147.66</v>
      </c>
      <c r="D627">
        <v>3.585</v>
      </c>
      <c r="E627">
        <v>10.82</v>
      </c>
      <c r="F627">
        <v>4.84</v>
      </c>
      <c r="G627">
        <v>1.41</v>
      </c>
      <c r="H627" s="15">
        <v>4.8</v>
      </c>
      <c r="I627">
        <v>29.5</v>
      </c>
      <c r="J627" t="e">
        <v>#N/A</v>
      </c>
      <c r="K627">
        <v>10.566000000000001</v>
      </c>
      <c r="L627">
        <v>1.363</v>
      </c>
      <c r="M627">
        <v>1.9</v>
      </c>
      <c r="N627">
        <v>0.17</v>
      </c>
      <c r="O627">
        <v>2.37</v>
      </c>
      <c r="P627">
        <v>0.59199999999999997</v>
      </c>
      <c r="Q627">
        <v>14</v>
      </c>
    </row>
    <row r="628" spans="1:17" x14ac:dyDescent="0.25">
      <c r="A628" s="1">
        <v>42101</v>
      </c>
      <c r="B628">
        <v>6.23</v>
      </c>
      <c r="C628">
        <v>147.27000000000001</v>
      </c>
      <c r="D628">
        <v>3.593</v>
      </c>
      <c r="E628">
        <v>10.8</v>
      </c>
      <c r="F628" t="e">
        <v>#N/A</v>
      </c>
      <c r="G628">
        <v>1.38</v>
      </c>
      <c r="H628" s="15">
        <v>4.5999999999999996</v>
      </c>
      <c r="I628">
        <v>29.5</v>
      </c>
      <c r="J628">
        <v>15.29</v>
      </c>
      <c r="K628">
        <v>10.576000000000001</v>
      </c>
      <c r="L628">
        <v>1.383</v>
      </c>
      <c r="M628">
        <v>1.94</v>
      </c>
      <c r="N628">
        <v>0.16500000000000001</v>
      </c>
      <c r="O628">
        <v>2.38</v>
      </c>
      <c r="P628">
        <v>0.58199999999999996</v>
      </c>
      <c r="Q628">
        <v>14</v>
      </c>
    </row>
    <row r="629" spans="1:17" x14ac:dyDescent="0.25">
      <c r="A629" s="1">
        <v>42102</v>
      </c>
      <c r="B629">
        <v>6.1</v>
      </c>
      <c r="C629">
        <v>147.27000000000001</v>
      </c>
      <c r="D629">
        <v>3.6419999999999999</v>
      </c>
      <c r="E629">
        <v>10.6</v>
      </c>
      <c r="F629">
        <v>4.7</v>
      </c>
      <c r="G629">
        <v>1.39</v>
      </c>
      <c r="H629" s="15">
        <v>4.484</v>
      </c>
      <c r="I629">
        <v>29.5</v>
      </c>
      <c r="J629">
        <v>15.24</v>
      </c>
      <c r="K629">
        <v>10.654999999999999</v>
      </c>
      <c r="L629">
        <v>1.393</v>
      </c>
      <c r="M629">
        <v>1.96</v>
      </c>
      <c r="N629">
        <v>0.16500000000000001</v>
      </c>
      <c r="O629">
        <v>2.35</v>
      </c>
      <c r="P629">
        <v>0.56200000000000006</v>
      </c>
      <c r="Q629">
        <v>15</v>
      </c>
    </row>
    <row r="630" spans="1:17" x14ac:dyDescent="0.25">
      <c r="A630" s="1">
        <v>42103</v>
      </c>
      <c r="B630">
        <v>6.1</v>
      </c>
      <c r="C630">
        <v>148.85</v>
      </c>
      <c r="D630">
        <v>3.6669999999999998</v>
      </c>
      <c r="E630">
        <v>10.36</v>
      </c>
      <c r="F630">
        <v>4.7</v>
      </c>
      <c r="G630">
        <v>1.38</v>
      </c>
      <c r="H630" s="15">
        <v>4.484</v>
      </c>
      <c r="I630">
        <v>29.99</v>
      </c>
      <c r="J630">
        <v>15.25</v>
      </c>
      <c r="K630">
        <v>10.654999999999999</v>
      </c>
      <c r="L630" t="e">
        <v>#N/A</v>
      </c>
      <c r="M630">
        <v>1.96</v>
      </c>
      <c r="N630">
        <v>0.16500000000000001</v>
      </c>
      <c r="O630" t="e">
        <v>#N/A</v>
      </c>
      <c r="P630">
        <v>0.57199999999999995</v>
      </c>
      <c r="Q630">
        <v>13</v>
      </c>
    </row>
    <row r="631" spans="1:17" x14ac:dyDescent="0.25">
      <c r="A631" s="1">
        <v>42104</v>
      </c>
      <c r="B631">
        <v>6.1</v>
      </c>
      <c r="C631">
        <v>148.44999999999999</v>
      </c>
      <c r="D631">
        <v>3.6909999999999998</v>
      </c>
      <c r="E631">
        <v>10.72</v>
      </c>
      <c r="F631">
        <v>4.75</v>
      </c>
      <c r="G631">
        <v>1.38</v>
      </c>
      <c r="H631" s="15">
        <v>4.4640000000000004</v>
      </c>
      <c r="I631">
        <v>29.95</v>
      </c>
      <c r="J631" t="e">
        <v>#N/A</v>
      </c>
      <c r="K631">
        <v>10.654999999999999</v>
      </c>
      <c r="L631">
        <v>1.393</v>
      </c>
      <c r="M631">
        <v>2</v>
      </c>
      <c r="N631">
        <v>0.16500000000000001</v>
      </c>
      <c r="O631" t="e">
        <v>#N/A</v>
      </c>
      <c r="P631">
        <v>0.57199999999999995</v>
      </c>
      <c r="Q631">
        <v>13</v>
      </c>
    </row>
    <row r="632" spans="1:17" x14ac:dyDescent="0.25">
      <c r="A632" s="1">
        <v>42107</v>
      </c>
      <c r="B632">
        <v>6</v>
      </c>
      <c r="C632">
        <v>147.16999999999999</v>
      </c>
      <c r="D632">
        <v>3.6829999999999998</v>
      </c>
      <c r="E632">
        <v>10.71</v>
      </c>
      <c r="F632">
        <v>4.7300000000000004</v>
      </c>
      <c r="G632" t="e">
        <v>#N/A</v>
      </c>
      <c r="H632" s="15">
        <v>4.4640000000000004</v>
      </c>
      <c r="I632">
        <v>29.95</v>
      </c>
      <c r="J632">
        <v>15.25</v>
      </c>
      <c r="K632">
        <v>10.66</v>
      </c>
      <c r="L632">
        <v>1.36</v>
      </c>
      <c r="M632">
        <v>2</v>
      </c>
      <c r="N632">
        <v>0.16500000000000001</v>
      </c>
      <c r="O632">
        <v>2.35</v>
      </c>
      <c r="P632">
        <v>0.58199999999999996</v>
      </c>
      <c r="Q632">
        <v>14</v>
      </c>
    </row>
    <row r="633" spans="1:17" x14ac:dyDescent="0.25">
      <c r="A633" s="1">
        <v>42108</v>
      </c>
      <c r="B633">
        <v>6.05</v>
      </c>
      <c r="C633">
        <v>147.96</v>
      </c>
      <c r="D633">
        <v>3.68</v>
      </c>
      <c r="E633">
        <v>10.8</v>
      </c>
      <c r="F633">
        <v>4.78</v>
      </c>
      <c r="G633">
        <v>1.31</v>
      </c>
      <c r="H633" s="15">
        <v>4.6769999999999996</v>
      </c>
      <c r="I633">
        <v>29.7</v>
      </c>
      <c r="J633">
        <v>15.25</v>
      </c>
      <c r="K633">
        <v>10.75</v>
      </c>
      <c r="L633">
        <v>1.36</v>
      </c>
      <c r="M633">
        <v>2.02</v>
      </c>
      <c r="N633">
        <v>0.16</v>
      </c>
      <c r="O633">
        <v>2.35</v>
      </c>
      <c r="P633">
        <v>0.59199999999999997</v>
      </c>
      <c r="Q633">
        <v>15</v>
      </c>
    </row>
    <row r="634" spans="1:17" x14ac:dyDescent="0.25">
      <c r="A634" s="1">
        <v>42109</v>
      </c>
      <c r="B634">
        <v>6.1</v>
      </c>
      <c r="C634">
        <v>148.65</v>
      </c>
      <c r="D634">
        <v>3.7149999999999999</v>
      </c>
      <c r="E634">
        <v>10.51</v>
      </c>
      <c r="F634">
        <v>4.74</v>
      </c>
      <c r="G634">
        <v>1.339</v>
      </c>
      <c r="H634" s="15">
        <v>4.6970000000000001</v>
      </c>
      <c r="I634">
        <v>30</v>
      </c>
      <c r="J634">
        <v>15.25</v>
      </c>
      <c r="K634">
        <v>10.9</v>
      </c>
      <c r="L634">
        <v>1.36</v>
      </c>
      <c r="M634">
        <v>2.0099999999999998</v>
      </c>
      <c r="N634">
        <v>0.17599999999999999</v>
      </c>
      <c r="O634">
        <v>2.3199999999999998</v>
      </c>
      <c r="P634">
        <v>0.59199999999999997</v>
      </c>
      <c r="Q634">
        <v>15</v>
      </c>
    </row>
    <row r="635" spans="1:17" x14ac:dyDescent="0.25">
      <c r="A635" s="1">
        <v>42110</v>
      </c>
      <c r="B635">
        <v>6.1</v>
      </c>
      <c r="C635">
        <v>151.06</v>
      </c>
      <c r="D635">
        <v>3.698</v>
      </c>
      <c r="E635">
        <v>10.56</v>
      </c>
      <c r="F635">
        <v>4.7</v>
      </c>
      <c r="G635">
        <v>1.33</v>
      </c>
      <c r="H635" s="15">
        <v>4.8419999999999996</v>
      </c>
      <c r="I635">
        <v>30</v>
      </c>
      <c r="J635">
        <v>15.25</v>
      </c>
      <c r="K635">
        <v>11.12</v>
      </c>
      <c r="L635">
        <v>1.36</v>
      </c>
      <c r="M635">
        <v>2</v>
      </c>
      <c r="N635">
        <v>0.18</v>
      </c>
      <c r="O635">
        <v>2.2999999999999998</v>
      </c>
      <c r="P635">
        <v>0.59199999999999997</v>
      </c>
      <c r="Q635">
        <v>15</v>
      </c>
    </row>
    <row r="636" spans="1:17" x14ac:dyDescent="0.25">
      <c r="A636" s="1">
        <v>42111</v>
      </c>
      <c r="B636">
        <v>6</v>
      </c>
      <c r="C636">
        <v>147.6</v>
      </c>
      <c r="D636">
        <v>3.706</v>
      </c>
      <c r="E636" t="e">
        <v>#N/A</v>
      </c>
      <c r="F636">
        <v>4.5</v>
      </c>
      <c r="G636" t="e">
        <v>#N/A</v>
      </c>
      <c r="H636" s="15">
        <v>4.8710000000000004</v>
      </c>
      <c r="I636">
        <v>29.8</v>
      </c>
      <c r="J636">
        <v>15.25</v>
      </c>
      <c r="K636" t="e">
        <v>#N/A</v>
      </c>
      <c r="L636">
        <v>1.33</v>
      </c>
      <c r="M636">
        <v>1.96</v>
      </c>
      <c r="N636">
        <v>0.18</v>
      </c>
      <c r="O636">
        <v>2.31</v>
      </c>
      <c r="P636">
        <v>0.6</v>
      </c>
      <c r="Q636">
        <v>12</v>
      </c>
    </row>
    <row r="637" spans="1:17" x14ac:dyDescent="0.25">
      <c r="A637" s="1">
        <v>42114</v>
      </c>
      <c r="B637">
        <v>6.1</v>
      </c>
      <c r="C637">
        <v>148</v>
      </c>
      <c r="D637">
        <v>3.6890000000000001</v>
      </c>
      <c r="E637">
        <v>10.55</v>
      </c>
      <c r="F637">
        <v>4.3</v>
      </c>
      <c r="G637">
        <v>1.33</v>
      </c>
      <c r="H637" s="15">
        <v>4.8899999999999997</v>
      </c>
      <c r="I637">
        <v>29.9</v>
      </c>
      <c r="J637" t="e">
        <v>#N/A</v>
      </c>
      <c r="K637">
        <v>11</v>
      </c>
      <c r="L637" t="e">
        <v>#N/A</v>
      </c>
      <c r="M637">
        <v>1.86</v>
      </c>
      <c r="N637">
        <v>0.18</v>
      </c>
      <c r="O637">
        <v>2.35</v>
      </c>
      <c r="P637">
        <v>0.57999999999999996</v>
      </c>
      <c r="Q637">
        <v>13</v>
      </c>
    </row>
    <row r="638" spans="1:17" x14ac:dyDescent="0.25">
      <c r="A638" s="1">
        <v>42115</v>
      </c>
      <c r="B638">
        <v>6</v>
      </c>
      <c r="C638">
        <v>148.4</v>
      </c>
      <c r="D638">
        <v>3.6720000000000002</v>
      </c>
      <c r="E638">
        <v>10.85</v>
      </c>
      <c r="F638">
        <v>4.43</v>
      </c>
      <c r="G638">
        <v>1.32</v>
      </c>
      <c r="H638" s="15">
        <v>4.9000000000000004</v>
      </c>
      <c r="I638">
        <v>29.9</v>
      </c>
      <c r="J638" t="e">
        <v>#N/A</v>
      </c>
      <c r="K638">
        <v>10.9</v>
      </c>
      <c r="L638">
        <v>1.35</v>
      </c>
      <c r="M638">
        <v>1.93</v>
      </c>
      <c r="N638">
        <v>0.17899999999999999</v>
      </c>
      <c r="O638" t="e">
        <v>#N/A</v>
      </c>
      <c r="P638">
        <v>0.55000000000000004</v>
      </c>
      <c r="Q638">
        <v>13</v>
      </c>
    </row>
    <row r="639" spans="1:17" x14ac:dyDescent="0.25">
      <c r="A639" s="1">
        <v>42116</v>
      </c>
      <c r="B639">
        <v>6</v>
      </c>
      <c r="C639">
        <v>148.72999999999999</v>
      </c>
      <c r="D639">
        <v>3.6629999999999998</v>
      </c>
      <c r="E639">
        <v>10.94</v>
      </c>
      <c r="F639">
        <v>4.43</v>
      </c>
      <c r="G639">
        <v>1.32</v>
      </c>
      <c r="H639" s="15">
        <v>5.0599999999999996</v>
      </c>
      <c r="I639">
        <v>30</v>
      </c>
      <c r="J639" t="e">
        <v>#N/A</v>
      </c>
      <c r="K639">
        <v>10.75</v>
      </c>
      <c r="L639">
        <v>1.35</v>
      </c>
      <c r="M639">
        <v>1.93</v>
      </c>
      <c r="N639">
        <v>0.18</v>
      </c>
      <c r="O639" t="e">
        <v>#N/A</v>
      </c>
      <c r="P639">
        <v>0.56000000000000005</v>
      </c>
      <c r="Q639">
        <v>13</v>
      </c>
    </row>
    <row r="640" spans="1:17" x14ac:dyDescent="0.25">
      <c r="A640" s="1">
        <v>42117</v>
      </c>
      <c r="B640">
        <v>5.95</v>
      </c>
      <c r="C640">
        <v>150</v>
      </c>
      <c r="D640">
        <v>3.6720000000000002</v>
      </c>
      <c r="E640">
        <v>11</v>
      </c>
      <c r="F640">
        <v>4.4000000000000004</v>
      </c>
      <c r="G640" t="e">
        <v>#N/A</v>
      </c>
      <c r="H640" s="15">
        <v>5.0199999999999996</v>
      </c>
      <c r="I640">
        <v>30</v>
      </c>
      <c r="J640">
        <v>15</v>
      </c>
      <c r="K640">
        <v>10.7</v>
      </c>
      <c r="L640" t="e">
        <v>#N/A</v>
      </c>
      <c r="M640">
        <v>1.97</v>
      </c>
      <c r="N640">
        <v>0.17799999999999999</v>
      </c>
      <c r="O640" t="e">
        <v>#N/A</v>
      </c>
      <c r="P640">
        <v>0.59</v>
      </c>
      <c r="Q640">
        <v>12</v>
      </c>
    </row>
    <row r="641" spans="1:17" x14ac:dyDescent="0.25">
      <c r="A641" s="1">
        <v>42118</v>
      </c>
      <c r="B641">
        <v>6</v>
      </c>
      <c r="C641">
        <v>150</v>
      </c>
      <c r="D641">
        <v>3.6549999999999998</v>
      </c>
      <c r="E641">
        <v>11.11</v>
      </c>
      <c r="F641">
        <v>4.43</v>
      </c>
      <c r="G641">
        <v>1.32</v>
      </c>
      <c r="H641" s="15">
        <v>5.12</v>
      </c>
      <c r="I641">
        <v>30.1</v>
      </c>
      <c r="J641" t="e">
        <v>#N/A</v>
      </c>
      <c r="K641">
        <v>10.65</v>
      </c>
      <c r="L641" t="e">
        <v>#N/A</v>
      </c>
      <c r="M641">
        <v>1.97</v>
      </c>
      <c r="N641">
        <v>0.17799999999999999</v>
      </c>
      <c r="O641">
        <v>2.2679999999999998</v>
      </c>
      <c r="P641">
        <v>0.57999999999999996</v>
      </c>
      <c r="Q641">
        <v>13</v>
      </c>
    </row>
    <row r="642" spans="1:17" x14ac:dyDescent="0.25">
      <c r="A642" s="1">
        <v>42121</v>
      </c>
      <c r="B642">
        <v>6.05</v>
      </c>
      <c r="C642">
        <v>151.6</v>
      </c>
      <c r="D642">
        <v>3.6459999999999999</v>
      </c>
      <c r="E642">
        <v>11.15</v>
      </c>
      <c r="F642">
        <v>4.53</v>
      </c>
      <c r="G642">
        <v>1.33</v>
      </c>
      <c r="H642" s="15">
        <v>5.3</v>
      </c>
      <c r="I642">
        <v>28.25</v>
      </c>
      <c r="J642">
        <v>15</v>
      </c>
      <c r="K642">
        <v>10.64</v>
      </c>
      <c r="L642">
        <v>1.35</v>
      </c>
      <c r="M642">
        <v>2</v>
      </c>
      <c r="N642">
        <v>0.17799999999999999</v>
      </c>
      <c r="O642">
        <v>2.298</v>
      </c>
      <c r="P642">
        <v>0.59</v>
      </c>
      <c r="Q642">
        <v>15</v>
      </c>
    </row>
    <row r="643" spans="1:17" x14ac:dyDescent="0.25">
      <c r="A643" s="1">
        <v>42122</v>
      </c>
      <c r="B643">
        <v>6.08</v>
      </c>
      <c r="C643">
        <v>151</v>
      </c>
      <c r="D643">
        <v>3.6030000000000002</v>
      </c>
      <c r="E643">
        <v>11.11</v>
      </c>
      <c r="F643">
        <v>4.5999999999999996</v>
      </c>
      <c r="G643">
        <v>1.33</v>
      </c>
      <c r="H643" s="15">
        <v>5.4</v>
      </c>
      <c r="I643">
        <v>28.25</v>
      </c>
      <c r="J643" t="e">
        <v>#N/A</v>
      </c>
      <c r="K643">
        <v>10.64</v>
      </c>
      <c r="L643">
        <v>1.32</v>
      </c>
      <c r="M643">
        <v>2</v>
      </c>
      <c r="N643">
        <v>0.17799999999999999</v>
      </c>
      <c r="O643">
        <v>2.3079999999999998</v>
      </c>
      <c r="P643">
        <v>0.57999999999999996</v>
      </c>
      <c r="Q643">
        <v>14</v>
      </c>
    </row>
    <row r="644" spans="1:17" x14ac:dyDescent="0.25">
      <c r="A644" s="1">
        <v>42123</v>
      </c>
      <c r="B644">
        <v>6.05</v>
      </c>
      <c r="C644">
        <v>151</v>
      </c>
      <c r="D644">
        <v>3.6030000000000002</v>
      </c>
      <c r="E644">
        <v>10.9</v>
      </c>
      <c r="F644">
        <v>4.8499999999999996</v>
      </c>
      <c r="G644">
        <v>1.33</v>
      </c>
      <c r="H644" s="15">
        <v>5.09</v>
      </c>
      <c r="I644">
        <v>28.25</v>
      </c>
      <c r="J644">
        <v>15</v>
      </c>
      <c r="K644">
        <v>10.64</v>
      </c>
      <c r="L644">
        <v>1.35</v>
      </c>
      <c r="M644">
        <v>2.0099999999999998</v>
      </c>
      <c r="N644">
        <v>0.17799999999999999</v>
      </c>
      <c r="O644">
        <v>2.3479999999999999</v>
      </c>
      <c r="P644">
        <v>0.6</v>
      </c>
      <c r="Q644">
        <v>15</v>
      </c>
    </row>
    <row r="645" spans="1:17" x14ac:dyDescent="0.25">
      <c r="A645" s="1">
        <v>42124</v>
      </c>
      <c r="B645">
        <v>6.05</v>
      </c>
      <c r="C645">
        <v>150.44999999999999</v>
      </c>
      <c r="D645">
        <v>3.629</v>
      </c>
      <c r="E645">
        <v>11.1</v>
      </c>
      <c r="F645">
        <v>4.99</v>
      </c>
      <c r="G645">
        <v>1.37</v>
      </c>
      <c r="H645" s="15">
        <v>5.05</v>
      </c>
      <c r="I645">
        <v>28.241</v>
      </c>
      <c r="J645">
        <v>14.9</v>
      </c>
      <c r="K645">
        <v>10.67</v>
      </c>
      <c r="L645">
        <v>1.31</v>
      </c>
      <c r="M645">
        <v>2.0099999999999998</v>
      </c>
      <c r="N645">
        <v>0.17799999999999999</v>
      </c>
      <c r="O645">
        <v>2.4369999999999998</v>
      </c>
      <c r="P645">
        <v>0.61</v>
      </c>
      <c r="Q645">
        <v>15</v>
      </c>
    </row>
    <row r="646" spans="1:17" x14ac:dyDescent="0.25">
      <c r="A646" s="1">
        <v>42128</v>
      </c>
      <c r="B646">
        <v>6.01</v>
      </c>
      <c r="C646">
        <v>156.19999999999999</v>
      </c>
      <c r="D646">
        <v>3.6549999999999998</v>
      </c>
      <c r="E646">
        <v>11.2</v>
      </c>
      <c r="F646">
        <v>5</v>
      </c>
      <c r="G646">
        <v>1.38</v>
      </c>
      <c r="H646" s="15">
        <v>5.0999999999999996</v>
      </c>
      <c r="I646">
        <v>28.042999999999999</v>
      </c>
      <c r="J646">
        <v>14.9</v>
      </c>
      <c r="K646">
        <v>10.7</v>
      </c>
      <c r="L646">
        <v>1.3</v>
      </c>
      <c r="M646">
        <v>2.02</v>
      </c>
      <c r="N646">
        <v>0.18</v>
      </c>
      <c r="O646">
        <v>2.4369999999999998</v>
      </c>
      <c r="P646">
        <v>0.63</v>
      </c>
      <c r="Q646">
        <v>15</v>
      </c>
    </row>
    <row r="647" spans="1:17" x14ac:dyDescent="0.25">
      <c r="A647" s="1">
        <v>42129</v>
      </c>
      <c r="B647">
        <v>5.96</v>
      </c>
      <c r="C647">
        <v>155.5</v>
      </c>
      <c r="D647">
        <v>3.6720000000000002</v>
      </c>
      <c r="E647">
        <v>11.37</v>
      </c>
      <c r="F647">
        <v>5</v>
      </c>
      <c r="G647">
        <v>1.39</v>
      </c>
      <c r="H647" s="15">
        <v>5.17</v>
      </c>
      <c r="I647">
        <v>27.4</v>
      </c>
      <c r="J647">
        <v>14.8</v>
      </c>
      <c r="K647">
        <v>10.76</v>
      </c>
      <c r="L647">
        <v>1.31</v>
      </c>
      <c r="M647">
        <v>2.0499999999999998</v>
      </c>
      <c r="N647">
        <v>0.19900000000000001</v>
      </c>
      <c r="O647">
        <v>2.46</v>
      </c>
      <c r="P647">
        <v>0.65</v>
      </c>
      <c r="Q647">
        <v>15</v>
      </c>
    </row>
    <row r="648" spans="1:17" x14ac:dyDescent="0.25">
      <c r="A648" s="1">
        <v>42130</v>
      </c>
      <c r="B648">
        <v>5.96</v>
      </c>
      <c r="C648">
        <v>154</v>
      </c>
      <c r="D648">
        <v>3.6549999999999998</v>
      </c>
      <c r="E648">
        <v>11.09</v>
      </c>
      <c r="F648">
        <v>5.07</v>
      </c>
      <c r="G648">
        <v>1.38</v>
      </c>
      <c r="H648" s="15">
        <v>5.16</v>
      </c>
      <c r="I648">
        <v>28.35</v>
      </c>
      <c r="J648">
        <v>14.8</v>
      </c>
      <c r="K648">
        <v>11</v>
      </c>
      <c r="L648">
        <v>1.28</v>
      </c>
      <c r="M648">
        <v>2.06</v>
      </c>
      <c r="N648">
        <v>0.20300000000000001</v>
      </c>
      <c r="O648">
        <v>2.4500000000000002</v>
      </c>
      <c r="P648">
        <v>0.65</v>
      </c>
      <c r="Q648">
        <v>15</v>
      </c>
    </row>
    <row r="649" spans="1:17" x14ac:dyDescent="0.25">
      <c r="A649" s="1">
        <v>42131</v>
      </c>
      <c r="B649">
        <v>5.93</v>
      </c>
      <c r="C649">
        <v>152</v>
      </c>
      <c r="D649">
        <v>3.6549999999999998</v>
      </c>
      <c r="E649">
        <v>11.12</v>
      </c>
      <c r="F649">
        <v>5.0199999999999996</v>
      </c>
      <c r="G649">
        <v>1.38</v>
      </c>
      <c r="H649" s="15">
        <v>5.14</v>
      </c>
      <c r="I649">
        <v>28.5</v>
      </c>
      <c r="J649">
        <v>14.8</v>
      </c>
      <c r="K649">
        <v>10.85</v>
      </c>
      <c r="L649">
        <v>1.24</v>
      </c>
      <c r="M649">
        <v>2.0499999999999998</v>
      </c>
      <c r="N649">
        <v>0.20300000000000001</v>
      </c>
      <c r="O649">
        <v>2.4700000000000002</v>
      </c>
      <c r="P649">
        <v>0.65</v>
      </c>
      <c r="Q649">
        <v>15</v>
      </c>
    </row>
    <row r="650" spans="1:17" x14ac:dyDescent="0.25">
      <c r="A650" s="1">
        <v>42132</v>
      </c>
      <c r="B650">
        <v>5.85</v>
      </c>
      <c r="C650">
        <v>152</v>
      </c>
      <c r="D650">
        <v>3.6459999999999999</v>
      </c>
      <c r="E650">
        <v>11</v>
      </c>
      <c r="F650">
        <v>5</v>
      </c>
      <c r="G650">
        <v>1.39</v>
      </c>
      <c r="H650" s="15">
        <v>5.14</v>
      </c>
      <c r="I650">
        <v>28.8</v>
      </c>
      <c r="J650">
        <v>15</v>
      </c>
      <c r="K650">
        <v>10.9</v>
      </c>
      <c r="L650">
        <v>1.2</v>
      </c>
      <c r="M650">
        <v>2.04</v>
      </c>
      <c r="N650">
        <v>0.19500000000000001</v>
      </c>
      <c r="O650">
        <v>2.4700000000000002</v>
      </c>
      <c r="P650">
        <v>0.66</v>
      </c>
      <c r="Q650">
        <v>15</v>
      </c>
    </row>
    <row r="651" spans="1:17" x14ac:dyDescent="0.25">
      <c r="A651" s="1">
        <v>42135</v>
      </c>
      <c r="B651">
        <v>5.84</v>
      </c>
      <c r="C651">
        <v>154.65</v>
      </c>
      <c r="D651">
        <v>3.6549999999999998</v>
      </c>
      <c r="E651">
        <v>11</v>
      </c>
      <c r="F651">
        <v>4.9800000000000004</v>
      </c>
      <c r="G651">
        <v>1.37</v>
      </c>
      <c r="H651" s="15">
        <v>5.14</v>
      </c>
      <c r="I651">
        <v>29</v>
      </c>
      <c r="J651">
        <v>15</v>
      </c>
      <c r="K651">
        <v>10.89</v>
      </c>
      <c r="L651">
        <v>1.18</v>
      </c>
      <c r="M651">
        <v>2.02</v>
      </c>
      <c r="N651">
        <v>0.19500000000000001</v>
      </c>
      <c r="O651">
        <v>2.42</v>
      </c>
      <c r="P651">
        <v>0.68</v>
      </c>
      <c r="Q651">
        <v>15</v>
      </c>
    </row>
    <row r="652" spans="1:17" x14ac:dyDescent="0.25">
      <c r="A652" s="1">
        <v>42136</v>
      </c>
      <c r="B652">
        <v>5.8</v>
      </c>
      <c r="C652">
        <v>152.35</v>
      </c>
      <c r="D652">
        <v>3.6549999999999998</v>
      </c>
      <c r="E652">
        <v>11.3</v>
      </c>
      <c r="F652">
        <v>5.05</v>
      </c>
      <c r="G652">
        <v>1.38</v>
      </c>
      <c r="H652" s="15">
        <v>5.25</v>
      </c>
      <c r="I652">
        <v>29.1</v>
      </c>
      <c r="J652">
        <v>15.1</v>
      </c>
      <c r="K652">
        <v>10.89</v>
      </c>
      <c r="L652">
        <v>1.1499999999999999</v>
      </c>
      <c r="M652">
        <v>2.04</v>
      </c>
      <c r="N652">
        <v>0.19500000000000001</v>
      </c>
      <c r="O652">
        <v>2.4500000000000002</v>
      </c>
      <c r="P652">
        <v>0.7</v>
      </c>
      <c r="Q652">
        <v>15</v>
      </c>
    </row>
    <row r="653" spans="1:17" x14ac:dyDescent="0.25">
      <c r="A653" s="1">
        <v>42137</v>
      </c>
      <c r="B653">
        <v>5.8</v>
      </c>
      <c r="C653">
        <v>153</v>
      </c>
      <c r="D653">
        <v>3.6720000000000002</v>
      </c>
      <c r="E653">
        <v>11.89</v>
      </c>
      <c r="F653">
        <v>4.5</v>
      </c>
      <c r="G653">
        <v>1.38</v>
      </c>
      <c r="H653" s="15">
        <v>5.45</v>
      </c>
      <c r="I653">
        <v>29</v>
      </c>
      <c r="J653">
        <v>15.1</v>
      </c>
      <c r="K653">
        <v>10.9</v>
      </c>
      <c r="L653">
        <v>1.1599999999999999</v>
      </c>
      <c r="M653">
        <v>2.11</v>
      </c>
      <c r="N653">
        <v>0.2</v>
      </c>
      <c r="O653">
        <v>2.42</v>
      </c>
      <c r="P653">
        <v>0.7</v>
      </c>
      <c r="Q653">
        <v>15</v>
      </c>
    </row>
    <row r="654" spans="1:17" x14ac:dyDescent="0.25">
      <c r="A654" s="1">
        <v>42138</v>
      </c>
      <c r="B654">
        <v>5.76</v>
      </c>
      <c r="C654">
        <v>151</v>
      </c>
      <c r="D654">
        <v>3.6720000000000002</v>
      </c>
      <c r="E654">
        <v>12.31</v>
      </c>
      <c r="F654" t="e">
        <v>#N/A</v>
      </c>
      <c r="G654">
        <v>1.37</v>
      </c>
      <c r="H654" s="15">
        <v>5.3</v>
      </c>
      <c r="I654">
        <v>29.2</v>
      </c>
      <c r="J654">
        <v>15.1</v>
      </c>
      <c r="K654">
        <v>11.01</v>
      </c>
      <c r="L654">
        <v>1.2</v>
      </c>
      <c r="M654">
        <v>2.11</v>
      </c>
      <c r="N654">
        <v>0.21</v>
      </c>
      <c r="O654">
        <v>2.42</v>
      </c>
      <c r="P654">
        <v>0.71</v>
      </c>
      <c r="Q654">
        <v>14</v>
      </c>
    </row>
    <row r="655" spans="1:17" x14ac:dyDescent="0.25">
      <c r="A655" s="1">
        <v>42139</v>
      </c>
      <c r="B655">
        <v>5.75</v>
      </c>
      <c r="C655">
        <v>150.01</v>
      </c>
      <c r="D655">
        <v>3.6629999999999998</v>
      </c>
      <c r="E655">
        <v>12.34</v>
      </c>
      <c r="F655">
        <v>5.05</v>
      </c>
      <c r="G655">
        <v>1.4</v>
      </c>
      <c r="H655" s="15">
        <v>5.25</v>
      </c>
      <c r="I655">
        <v>29.5</v>
      </c>
      <c r="J655">
        <v>15.1</v>
      </c>
      <c r="K655">
        <v>11.01</v>
      </c>
      <c r="L655">
        <v>1.24</v>
      </c>
      <c r="M655">
        <v>2.13</v>
      </c>
      <c r="N655">
        <v>0.22500000000000001</v>
      </c>
      <c r="O655">
        <v>2.4</v>
      </c>
      <c r="P655">
        <v>0.73</v>
      </c>
      <c r="Q655">
        <v>15</v>
      </c>
    </row>
    <row r="656" spans="1:17" x14ac:dyDescent="0.25">
      <c r="A656" s="1">
        <v>42142</v>
      </c>
      <c r="B656">
        <v>5.7</v>
      </c>
      <c r="C656">
        <v>146.69999999999999</v>
      </c>
      <c r="D656">
        <v>3.6890000000000001</v>
      </c>
      <c r="E656">
        <v>11.9</v>
      </c>
      <c r="F656">
        <v>5.05</v>
      </c>
      <c r="G656">
        <v>1.37</v>
      </c>
      <c r="H656" s="15">
        <v>5.25</v>
      </c>
      <c r="I656">
        <v>29.3</v>
      </c>
      <c r="J656">
        <v>15.1</v>
      </c>
      <c r="K656">
        <v>11.03</v>
      </c>
      <c r="L656">
        <v>1.25</v>
      </c>
      <c r="M656">
        <v>2.14</v>
      </c>
      <c r="N656">
        <v>0.22500000000000001</v>
      </c>
      <c r="O656" t="e">
        <v>#N/A</v>
      </c>
      <c r="P656">
        <v>0.72</v>
      </c>
      <c r="Q656">
        <v>14</v>
      </c>
    </row>
    <row r="657" spans="1:17" x14ac:dyDescent="0.25">
      <c r="A657" s="1">
        <v>42143</v>
      </c>
      <c r="B657">
        <v>5.72</v>
      </c>
      <c r="C657">
        <v>146.5</v>
      </c>
      <c r="D657">
        <v>3.68</v>
      </c>
      <c r="E657">
        <v>11.65</v>
      </c>
      <c r="F657">
        <v>4.9000000000000004</v>
      </c>
      <c r="G657">
        <v>1.37</v>
      </c>
      <c r="H657" s="15">
        <v>5.21</v>
      </c>
      <c r="I657" t="e">
        <v>#N/A</v>
      </c>
      <c r="J657">
        <v>14.85</v>
      </c>
      <c r="K657">
        <v>11</v>
      </c>
      <c r="L657">
        <v>1.26</v>
      </c>
      <c r="M657">
        <v>2.12</v>
      </c>
      <c r="N657">
        <v>0.219</v>
      </c>
      <c r="O657">
        <v>2.33</v>
      </c>
      <c r="P657">
        <v>0.69</v>
      </c>
      <c r="Q657">
        <v>14</v>
      </c>
    </row>
    <row r="658" spans="1:17" x14ac:dyDescent="0.25">
      <c r="A658" s="1">
        <v>42144</v>
      </c>
      <c r="B658" t="e">
        <v>#N/A</v>
      </c>
      <c r="C658">
        <v>146.01</v>
      </c>
      <c r="D658">
        <v>3.68</v>
      </c>
      <c r="E658">
        <v>11.6</v>
      </c>
      <c r="F658">
        <v>4.88</v>
      </c>
      <c r="G658">
        <v>1.38</v>
      </c>
      <c r="H658" s="15">
        <v>5.13</v>
      </c>
      <c r="I658" t="e">
        <v>#N/A</v>
      </c>
      <c r="J658">
        <v>14.85</v>
      </c>
      <c r="K658">
        <v>11</v>
      </c>
      <c r="L658">
        <v>1.27</v>
      </c>
      <c r="M658">
        <v>2.12</v>
      </c>
      <c r="N658">
        <v>0.22</v>
      </c>
      <c r="O658">
        <v>2.35</v>
      </c>
      <c r="P658">
        <v>0.68</v>
      </c>
      <c r="Q658">
        <v>13</v>
      </c>
    </row>
    <row r="659" spans="1:17" x14ac:dyDescent="0.25">
      <c r="A659" s="1">
        <v>42145</v>
      </c>
      <c r="B659">
        <v>5.7</v>
      </c>
      <c r="C659">
        <v>145.6</v>
      </c>
      <c r="D659">
        <v>3.68</v>
      </c>
      <c r="E659">
        <v>11.35</v>
      </c>
      <c r="F659">
        <v>4.8</v>
      </c>
      <c r="G659">
        <v>1.38</v>
      </c>
      <c r="H659" s="15">
        <v>5</v>
      </c>
      <c r="I659">
        <v>29.3</v>
      </c>
      <c r="J659">
        <v>14.85</v>
      </c>
      <c r="K659">
        <v>11</v>
      </c>
      <c r="L659">
        <v>1.26</v>
      </c>
      <c r="M659">
        <v>2.1800000000000002</v>
      </c>
      <c r="N659">
        <v>0.215</v>
      </c>
      <c r="O659">
        <v>2.37</v>
      </c>
      <c r="P659">
        <v>0.69</v>
      </c>
      <c r="Q659">
        <v>15</v>
      </c>
    </row>
    <row r="660" spans="1:17" x14ac:dyDescent="0.25">
      <c r="A660" s="1">
        <v>42146</v>
      </c>
      <c r="B660">
        <v>5.7</v>
      </c>
      <c r="C660">
        <v>147</v>
      </c>
      <c r="D660">
        <v>3.68</v>
      </c>
      <c r="E660">
        <v>11.38</v>
      </c>
      <c r="F660">
        <v>4.88</v>
      </c>
      <c r="G660">
        <v>1.38</v>
      </c>
      <c r="H660" s="15">
        <v>5</v>
      </c>
      <c r="I660">
        <v>28.75</v>
      </c>
      <c r="J660">
        <v>14.81</v>
      </c>
      <c r="K660">
        <v>11</v>
      </c>
      <c r="L660">
        <v>1.26</v>
      </c>
      <c r="M660">
        <v>2.15</v>
      </c>
      <c r="N660">
        <v>0.22</v>
      </c>
      <c r="O660">
        <v>2.38</v>
      </c>
      <c r="P660">
        <v>0.68</v>
      </c>
      <c r="Q660">
        <v>15</v>
      </c>
    </row>
    <row r="661" spans="1:17" x14ac:dyDescent="0.25">
      <c r="A661" s="1">
        <v>42149</v>
      </c>
      <c r="B661">
        <v>5.85</v>
      </c>
      <c r="C661">
        <v>147</v>
      </c>
      <c r="D661">
        <v>3.68</v>
      </c>
      <c r="E661">
        <v>11.25</v>
      </c>
      <c r="F661">
        <v>4.88</v>
      </c>
      <c r="G661">
        <v>1.38</v>
      </c>
      <c r="H661" s="15" t="e">
        <v>#N/A</v>
      </c>
      <c r="I661">
        <v>28.75</v>
      </c>
      <c r="J661">
        <v>14.81</v>
      </c>
      <c r="K661">
        <v>11.1</v>
      </c>
      <c r="L661">
        <v>1.25</v>
      </c>
      <c r="M661">
        <v>2.16</v>
      </c>
      <c r="N661">
        <v>0.22</v>
      </c>
      <c r="O661">
        <v>2.38</v>
      </c>
      <c r="P661">
        <v>0.68</v>
      </c>
      <c r="Q661">
        <v>14</v>
      </c>
    </row>
    <row r="662" spans="1:17" x14ac:dyDescent="0.25">
      <c r="A662" s="1">
        <v>42150</v>
      </c>
      <c r="B662">
        <v>5.8</v>
      </c>
      <c r="C662">
        <v>143.69999999999999</v>
      </c>
      <c r="D662">
        <v>3.68</v>
      </c>
      <c r="E662">
        <v>11.2</v>
      </c>
      <c r="F662">
        <v>4.74</v>
      </c>
      <c r="G662">
        <v>1.37</v>
      </c>
      <c r="H662" s="15">
        <v>4.8099999999999996</v>
      </c>
      <c r="I662">
        <v>28.4</v>
      </c>
      <c r="J662">
        <v>14.5</v>
      </c>
      <c r="K662">
        <v>11.1</v>
      </c>
      <c r="L662">
        <v>1.24</v>
      </c>
      <c r="M662">
        <v>2.15</v>
      </c>
      <c r="N662">
        <v>0.22</v>
      </c>
      <c r="O662">
        <v>2.33</v>
      </c>
      <c r="P662">
        <v>0.69</v>
      </c>
      <c r="Q662">
        <v>15</v>
      </c>
    </row>
    <row r="663" spans="1:17" x14ac:dyDescent="0.25">
      <c r="A663" s="1">
        <v>42151</v>
      </c>
      <c r="B663">
        <v>5.8</v>
      </c>
      <c r="C663">
        <v>141.4</v>
      </c>
      <c r="D663">
        <v>3.6549999999999998</v>
      </c>
      <c r="E663">
        <v>11.19</v>
      </c>
      <c r="F663">
        <v>4.8</v>
      </c>
      <c r="G663">
        <v>1.38</v>
      </c>
      <c r="H663" s="15">
        <v>4.8099999999999996</v>
      </c>
      <c r="I663">
        <v>28.5</v>
      </c>
      <c r="J663">
        <v>14.45</v>
      </c>
      <c r="K663">
        <v>11.1</v>
      </c>
      <c r="L663">
        <v>1.24</v>
      </c>
      <c r="M663">
        <v>2.16</v>
      </c>
      <c r="N663">
        <v>0.22</v>
      </c>
      <c r="O663">
        <v>2.3199999999999998</v>
      </c>
      <c r="P663">
        <v>0.68</v>
      </c>
      <c r="Q663">
        <v>15</v>
      </c>
    </row>
    <row r="664" spans="1:17" x14ac:dyDescent="0.25">
      <c r="A664" s="1">
        <v>42152</v>
      </c>
      <c r="B664">
        <v>5.65</v>
      </c>
      <c r="C664">
        <v>141.5</v>
      </c>
      <c r="D664">
        <v>3.6549999999999998</v>
      </c>
      <c r="E664">
        <v>11.4</v>
      </c>
      <c r="F664">
        <v>4.8</v>
      </c>
      <c r="G664">
        <v>1.38</v>
      </c>
      <c r="H664" s="15">
        <v>4.78</v>
      </c>
      <c r="I664">
        <v>29</v>
      </c>
      <c r="J664">
        <v>14.45</v>
      </c>
      <c r="K664">
        <v>10.99</v>
      </c>
      <c r="L664">
        <v>1.23</v>
      </c>
      <c r="M664">
        <v>2.17</v>
      </c>
      <c r="N664">
        <v>0.21</v>
      </c>
      <c r="O664">
        <v>2.3199999999999998</v>
      </c>
      <c r="P664">
        <v>0.67</v>
      </c>
      <c r="Q664">
        <v>15</v>
      </c>
    </row>
    <row r="665" spans="1:17" x14ac:dyDescent="0.25">
      <c r="A665" s="1">
        <v>42153</v>
      </c>
      <c r="B665">
        <v>5.71</v>
      </c>
      <c r="C665">
        <v>141.19999999999999</v>
      </c>
      <c r="D665">
        <v>3.68</v>
      </c>
      <c r="E665">
        <v>11.23</v>
      </c>
      <c r="F665">
        <v>4.95</v>
      </c>
      <c r="G665">
        <v>1.43</v>
      </c>
      <c r="H665" s="15">
        <v>5</v>
      </c>
      <c r="I665">
        <v>29.29</v>
      </c>
      <c r="J665">
        <v>14.75</v>
      </c>
      <c r="K665">
        <v>11</v>
      </c>
      <c r="L665">
        <v>1.2</v>
      </c>
      <c r="M665">
        <v>2.23</v>
      </c>
      <c r="N665">
        <v>0.2</v>
      </c>
      <c r="O665">
        <v>2.4</v>
      </c>
      <c r="P665">
        <v>0.7</v>
      </c>
      <c r="Q665">
        <v>15</v>
      </c>
    </row>
    <row r="666" spans="1:17" x14ac:dyDescent="0.25">
      <c r="A666" s="1">
        <v>42156</v>
      </c>
      <c r="B666">
        <v>5.7</v>
      </c>
      <c r="C666">
        <v>140.69999999999999</v>
      </c>
      <c r="D666">
        <v>3.68</v>
      </c>
      <c r="E666">
        <v>11</v>
      </c>
      <c r="F666">
        <v>4.88</v>
      </c>
      <c r="G666">
        <v>1.43</v>
      </c>
      <c r="H666" s="15">
        <v>4.75</v>
      </c>
      <c r="I666">
        <v>29.19</v>
      </c>
      <c r="J666">
        <v>14.75</v>
      </c>
      <c r="K666">
        <v>10.851000000000001</v>
      </c>
      <c r="L666">
        <v>1.18</v>
      </c>
      <c r="M666" t="e">
        <v>#N/A</v>
      </c>
      <c r="N666">
        <v>0.2</v>
      </c>
      <c r="O666">
        <v>2.37</v>
      </c>
      <c r="P666">
        <v>0.67</v>
      </c>
      <c r="Q666">
        <v>14</v>
      </c>
    </row>
    <row r="667" spans="1:17" x14ac:dyDescent="0.25">
      <c r="A667" s="1">
        <v>42157</v>
      </c>
      <c r="B667">
        <v>5.6</v>
      </c>
      <c r="C667">
        <v>144.19999999999999</v>
      </c>
      <c r="D667">
        <v>3.6890000000000001</v>
      </c>
      <c r="E667">
        <v>11.2</v>
      </c>
      <c r="F667">
        <v>4.8099999999999996</v>
      </c>
      <c r="G667">
        <v>1.41</v>
      </c>
      <c r="H667" s="15">
        <v>4.8</v>
      </c>
      <c r="I667">
        <v>29.5</v>
      </c>
      <c r="J667" t="e">
        <v>#N/A</v>
      </c>
      <c r="K667">
        <v>10.851000000000001</v>
      </c>
      <c r="L667">
        <v>1.18</v>
      </c>
      <c r="M667">
        <v>2.1800000000000002</v>
      </c>
      <c r="N667">
        <v>0.2</v>
      </c>
      <c r="O667">
        <v>2.36</v>
      </c>
      <c r="P667">
        <v>0.69</v>
      </c>
      <c r="Q667">
        <v>14</v>
      </c>
    </row>
    <row r="668" spans="1:17" x14ac:dyDescent="0.25">
      <c r="A668" s="1">
        <v>42158</v>
      </c>
      <c r="B668">
        <v>5.6</v>
      </c>
      <c r="C668">
        <v>143</v>
      </c>
      <c r="D668">
        <v>3.68</v>
      </c>
      <c r="E668">
        <v>10.9</v>
      </c>
      <c r="F668">
        <v>4.8</v>
      </c>
      <c r="G668">
        <v>1.41</v>
      </c>
      <c r="H668" s="15">
        <v>4.8</v>
      </c>
      <c r="I668">
        <v>29.49</v>
      </c>
      <c r="J668">
        <v>15</v>
      </c>
      <c r="K668">
        <v>10.861000000000001</v>
      </c>
      <c r="L668">
        <v>1.18</v>
      </c>
      <c r="M668">
        <v>2.2000000000000002</v>
      </c>
      <c r="N668">
        <v>0.21</v>
      </c>
      <c r="O668">
        <v>2.36</v>
      </c>
      <c r="P668">
        <v>0.7</v>
      </c>
      <c r="Q668">
        <v>15</v>
      </c>
    </row>
    <row r="669" spans="1:17" x14ac:dyDescent="0.25">
      <c r="A669" s="1">
        <v>42159</v>
      </c>
      <c r="B669">
        <v>5.71</v>
      </c>
      <c r="C669">
        <v>141.1</v>
      </c>
      <c r="D669">
        <v>3.68</v>
      </c>
      <c r="E669">
        <v>10.93</v>
      </c>
      <c r="F669">
        <v>4.78</v>
      </c>
      <c r="G669">
        <v>1.41</v>
      </c>
      <c r="H669" s="15">
        <v>4.7300000000000004</v>
      </c>
      <c r="I669">
        <v>29.49</v>
      </c>
      <c r="J669" t="e">
        <v>#N/A</v>
      </c>
      <c r="K669">
        <v>10.88</v>
      </c>
      <c r="L669">
        <v>1.19</v>
      </c>
      <c r="M669">
        <v>2.16</v>
      </c>
      <c r="N669">
        <v>0.20899999999999999</v>
      </c>
      <c r="O669">
        <v>2.35</v>
      </c>
      <c r="P669">
        <v>0.68</v>
      </c>
      <c r="Q669">
        <v>14</v>
      </c>
    </row>
    <row r="670" spans="1:17" x14ac:dyDescent="0.25">
      <c r="A670" s="1">
        <v>42160</v>
      </c>
      <c r="B670">
        <v>5.71</v>
      </c>
      <c r="C670">
        <v>140.80000000000001</v>
      </c>
      <c r="D670">
        <v>3.68</v>
      </c>
      <c r="E670">
        <v>10.61</v>
      </c>
      <c r="F670">
        <v>4.7300000000000004</v>
      </c>
      <c r="G670">
        <v>1.41</v>
      </c>
      <c r="H670" s="15">
        <v>4.6500000000000004</v>
      </c>
      <c r="I670" t="e">
        <v>#N/A</v>
      </c>
      <c r="J670">
        <v>14.87</v>
      </c>
      <c r="K670">
        <v>11.058</v>
      </c>
      <c r="L670">
        <v>1.18</v>
      </c>
      <c r="M670">
        <v>2.13</v>
      </c>
      <c r="N670">
        <v>0.20499999999999999</v>
      </c>
      <c r="O670">
        <v>2.35</v>
      </c>
      <c r="P670">
        <v>0.68</v>
      </c>
      <c r="Q670">
        <v>14</v>
      </c>
    </row>
    <row r="671" spans="1:17" x14ac:dyDescent="0.25">
      <c r="A671" s="1">
        <v>42163</v>
      </c>
      <c r="B671">
        <v>5.71</v>
      </c>
      <c r="C671">
        <v>141.15</v>
      </c>
      <c r="D671">
        <v>3.6890000000000001</v>
      </c>
      <c r="E671">
        <v>10.55</v>
      </c>
      <c r="F671">
        <v>4.6500000000000004</v>
      </c>
      <c r="G671">
        <v>1.37</v>
      </c>
      <c r="H671" s="15">
        <v>4.6399999999999997</v>
      </c>
      <c r="I671" t="e">
        <v>#N/A</v>
      </c>
      <c r="J671" t="e">
        <v>#N/A</v>
      </c>
      <c r="K671">
        <v>10.949</v>
      </c>
      <c r="L671">
        <v>1.18</v>
      </c>
      <c r="M671">
        <v>2.1</v>
      </c>
      <c r="N671">
        <v>0.2</v>
      </c>
      <c r="O671">
        <v>2.36</v>
      </c>
      <c r="P671">
        <v>0.67</v>
      </c>
      <c r="Q671">
        <v>13</v>
      </c>
    </row>
    <row r="672" spans="1:17" x14ac:dyDescent="0.25">
      <c r="A672" s="1">
        <v>42164</v>
      </c>
      <c r="B672" t="e">
        <v>#N/A</v>
      </c>
      <c r="C672">
        <v>139.5</v>
      </c>
      <c r="D672">
        <v>3.6720000000000002</v>
      </c>
      <c r="E672">
        <v>10.6</v>
      </c>
      <c r="F672">
        <v>4.5999999999999996</v>
      </c>
      <c r="G672">
        <v>1.41</v>
      </c>
      <c r="H672" s="15">
        <v>4.6500000000000004</v>
      </c>
      <c r="I672">
        <v>29</v>
      </c>
      <c r="J672">
        <v>14.75</v>
      </c>
      <c r="K672">
        <v>10.949</v>
      </c>
      <c r="L672">
        <v>1.18</v>
      </c>
      <c r="M672">
        <v>2.12</v>
      </c>
      <c r="N672">
        <v>0.20300000000000001</v>
      </c>
      <c r="O672">
        <v>2.34</v>
      </c>
      <c r="P672">
        <v>0.67</v>
      </c>
      <c r="Q672">
        <v>14</v>
      </c>
    </row>
    <row r="673" spans="1:17" x14ac:dyDescent="0.25">
      <c r="A673" s="1">
        <v>42165</v>
      </c>
      <c r="B673">
        <v>5.73</v>
      </c>
      <c r="C673">
        <v>139.01</v>
      </c>
      <c r="D673">
        <v>3.6720000000000002</v>
      </c>
      <c r="E673">
        <v>10.78</v>
      </c>
      <c r="F673">
        <v>4.7</v>
      </c>
      <c r="G673" t="e">
        <v>#N/A</v>
      </c>
      <c r="H673" s="15">
        <v>4.6900000000000004</v>
      </c>
      <c r="I673">
        <v>29</v>
      </c>
      <c r="J673">
        <v>15</v>
      </c>
      <c r="K673">
        <v>10.9</v>
      </c>
      <c r="L673">
        <v>1.23</v>
      </c>
      <c r="M673">
        <v>2.14</v>
      </c>
      <c r="N673">
        <v>0.20399999999999999</v>
      </c>
      <c r="O673">
        <v>2.33</v>
      </c>
      <c r="P673">
        <v>0.68</v>
      </c>
      <c r="Q673">
        <v>14</v>
      </c>
    </row>
    <row r="674" spans="1:17" x14ac:dyDescent="0.25">
      <c r="A674" s="1">
        <v>42166</v>
      </c>
      <c r="B674">
        <v>5.74</v>
      </c>
      <c r="C674">
        <v>138</v>
      </c>
      <c r="D674">
        <v>3.6720000000000002</v>
      </c>
      <c r="E674">
        <v>10.95</v>
      </c>
      <c r="F674">
        <v>4.78</v>
      </c>
      <c r="G674" t="e">
        <v>#N/A</v>
      </c>
      <c r="H674" s="15">
        <v>4.66</v>
      </c>
      <c r="I674">
        <v>28.51</v>
      </c>
      <c r="J674">
        <v>15</v>
      </c>
      <c r="K674">
        <v>10.9</v>
      </c>
      <c r="L674">
        <v>1.23</v>
      </c>
      <c r="M674">
        <v>2.14</v>
      </c>
      <c r="N674">
        <v>0.20399999999999999</v>
      </c>
      <c r="O674">
        <v>2.4</v>
      </c>
      <c r="P674">
        <v>0.69</v>
      </c>
      <c r="Q674">
        <v>14</v>
      </c>
    </row>
    <row r="675" spans="1:17" x14ac:dyDescent="0.25">
      <c r="A675" s="1">
        <v>42167</v>
      </c>
      <c r="B675">
        <v>5.85</v>
      </c>
      <c r="C675">
        <v>138.15</v>
      </c>
      <c r="D675">
        <v>3.6459999999999999</v>
      </c>
      <c r="E675">
        <v>10.71</v>
      </c>
      <c r="F675">
        <v>4.8099999999999996</v>
      </c>
      <c r="G675" t="e">
        <v>#N/A</v>
      </c>
      <c r="H675" s="15" t="e">
        <v>#N/A</v>
      </c>
      <c r="I675">
        <v>28.8</v>
      </c>
      <c r="J675" t="e">
        <v>#N/A</v>
      </c>
      <c r="K675">
        <v>11</v>
      </c>
      <c r="L675">
        <v>1.25</v>
      </c>
      <c r="M675">
        <v>2.16</v>
      </c>
      <c r="N675">
        <v>0.20399999999999999</v>
      </c>
      <c r="O675">
        <v>2.4</v>
      </c>
      <c r="P675">
        <v>0.7</v>
      </c>
      <c r="Q675">
        <v>12</v>
      </c>
    </row>
    <row r="676" spans="1:17" x14ac:dyDescent="0.25">
      <c r="A676" s="1">
        <v>42170</v>
      </c>
      <c r="B676">
        <v>5.85</v>
      </c>
      <c r="C676">
        <v>136.99</v>
      </c>
      <c r="D676">
        <v>3.6379999999999999</v>
      </c>
      <c r="E676">
        <v>10.7</v>
      </c>
      <c r="F676">
        <v>4.78</v>
      </c>
      <c r="G676">
        <v>1.4</v>
      </c>
      <c r="H676" s="15">
        <v>4.6399999999999997</v>
      </c>
      <c r="I676">
        <v>29.46</v>
      </c>
      <c r="J676" t="e">
        <v>#N/A</v>
      </c>
      <c r="K676">
        <v>11</v>
      </c>
      <c r="L676">
        <v>1.22</v>
      </c>
      <c r="M676">
        <v>2.14</v>
      </c>
      <c r="N676">
        <v>0.2</v>
      </c>
      <c r="O676" t="e">
        <v>#N/A</v>
      </c>
      <c r="P676">
        <v>0.69</v>
      </c>
      <c r="Q676">
        <v>13</v>
      </c>
    </row>
    <row r="677" spans="1:17" x14ac:dyDescent="0.25">
      <c r="A677" s="1">
        <v>42171</v>
      </c>
      <c r="B677">
        <v>5.64</v>
      </c>
      <c r="C677">
        <v>136.19999999999999</v>
      </c>
      <c r="D677">
        <v>3.6459999999999999</v>
      </c>
      <c r="E677">
        <v>10.55</v>
      </c>
      <c r="F677">
        <v>4.79</v>
      </c>
      <c r="G677">
        <v>1.37</v>
      </c>
      <c r="H677" s="15">
        <v>4.5999999999999996</v>
      </c>
      <c r="I677">
        <v>29.39</v>
      </c>
      <c r="J677">
        <v>14.75</v>
      </c>
      <c r="K677">
        <v>11.05</v>
      </c>
      <c r="L677">
        <v>1.22</v>
      </c>
      <c r="M677">
        <v>2.1</v>
      </c>
      <c r="N677">
        <v>0.2</v>
      </c>
      <c r="O677">
        <v>2.4</v>
      </c>
      <c r="P677">
        <v>0.7</v>
      </c>
      <c r="Q677">
        <v>15</v>
      </c>
    </row>
    <row r="678" spans="1:17" x14ac:dyDescent="0.25">
      <c r="A678" s="1">
        <v>42172</v>
      </c>
      <c r="B678">
        <v>5.75</v>
      </c>
      <c r="C678">
        <v>136.9</v>
      </c>
      <c r="D678">
        <v>2.6269999999999998</v>
      </c>
      <c r="E678">
        <v>10.65</v>
      </c>
      <c r="F678">
        <v>4.8</v>
      </c>
      <c r="G678">
        <v>1.4</v>
      </c>
      <c r="H678" s="15">
        <v>4.7</v>
      </c>
      <c r="I678">
        <v>29.25</v>
      </c>
      <c r="J678">
        <v>14.75</v>
      </c>
      <c r="K678">
        <v>11.05</v>
      </c>
      <c r="L678">
        <v>1.27</v>
      </c>
      <c r="M678">
        <v>2.65</v>
      </c>
      <c r="N678">
        <v>0.2</v>
      </c>
      <c r="O678">
        <v>2.4500000000000002</v>
      </c>
      <c r="P678">
        <v>0.73</v>
      </c>
      <c r="Q678">
        <v>15</v>
      </c>
    </row>
    <row r="679" spans="1:17" x14ac:dyDescent="0.25">
      <c r="A679" s="1">
        <v>42173</v>
      </c>
      <c r="B679">
        <v>5.9</v>
      </c>
      <c r="C679">
        <v>138.1</v>
      </c>
      <c r="D679">
        <v>2.6019999999999999</v>
      </c>
      <c r="E679" t="e">
        <v>#N/A</v>
      </c>
      <c r="F679">
        <v>4.8</v>
      </c>
      <c r="G679">
        <v>1.41</v>
      </c>
      <c r="H679" s="15">
        <v>4.55</v>
      </c>
      <c r="I679">
        <v>29.3</v>
      </c>
      <c r="J679">
        <v>14.75</v>
      </c>
      <c r="K679">
        <v>11.03</v>
      </c>
      <c r="L679">
        <v>1.32</v>
      </c>
      <c r="M679">
        <v>2.5499999999999998</v>
      </c>
      <c r="N679">
        <v>0.20300000000000001</v>
      </c>
      <c r="O679">
        <v>2.4700000000000002</v>
      </c>
      <c r="P679">
        <v>0.73</v>
      </c>
      <c r="Q679">
        <v>14</v>
      </c>
    </row>
    <row r="680" spans="1:17" x14ac:dyDescent="0.25">
      <c r="A680" s="1">
        <v>42174</v>
      </c>
      <c r="B680">
        <v>5.96</v>
      </c>
      <c r="C680">
        <v>138</v>
      </c>
      <c r="D680">
        <v>2.5840000000000001</v>
      </c>
      <c r="E680">
        <v>10.6</v>
      </c>
      <c r="F680">
        <v>4.87</v>
      </c>
      <c r="G680">
        <v>1.41</v>
      </c>
      <c r="H680" s="15">
        <v>4.5999999999999996</v>
      </c>
      <c r="I680">
        <v>29.3</v>
      </c>
      <c r="J680">
        <v>14.85</v>
      </c>
      <c r="K680">
        <v>11</v>
      </c>
      <c r="L680">
        <v>1.34</v>
      </c>
      <c r="M680">
        <v>2.5299999999999998</v>
      </c>
      <c r="N680">
        <v>0.20300000000000001</v>
      </c>
      <c r="O680">
        <v>2.48</v>
      </c>
      <c r="P680">
        <v>0.73</v>
      </c>
      <c r="Q680">
        <v>15</v>
      </c>
    </row>
    <row r="681" spans="1:17" x14ac:dyDescent="0.25">
      <c r="A681" s="1">
        <v>42177</v>
      </c>
      <c r="B681">
        <v>6.05</v>
      </c>
      <c r="C681">
        <v>140</v>
      </c>
      <c r="D681">
        <v>2.5659999999999998</v>
      </c>
      <c r="E681">
        <v>10.5</v>
      </c>
      <c r="F681">
        <v>5.01</v>
      </c>
      <c r="G681">
        <v>1.42</v>
      </c>
      <c r="H681" s="15">
        <v>4.7</v>
      </c>
      <c r="I681">
        <v>29.5</v>
      </c>
      <c r="J681">
        <v>14.9</v>
      </c>
      <c r="K681">
        <v>11.05</v>
      </c>
      <c r="L681">
        <v>1.32</v>
      </c>
      <c r="M681">
        <v>2.5499999999999998</v>
      </c>
      <c r="N681">
        <v>0.20300000000000001</v>
      </c>
      <c r="O681">
        <v>2.5</v>
      </c>
      <c r="P681">
        <v>0.73</v>
      </c>
      <c r="Q681">
        <v>15</v>
      </c>
    </row>
    <row r="682" spans="1:17" x14ac:dyDescent="0.25">
      <c r="A682" s="1">
        <v>42178</v>
      </c>
      <c r="B682">
        <v>6.1</v>
      </c>
      <c r="C682">
        <v>141</v>
      </c>
      <c r="D682">
        <v>2.56</v>
      </c>
      <c r="E682">
        <v>10.41</v>
      </c>
      <c r="F682">
        <v>5.0999999999999996</v>
      </c>
      <c r="G682">
        <v>1.43</v>
      </c>
      <c r="H682" s="15">
        <v>4.7</v>
      </c>
      <c r="I682" t="e">
        <v>#N/A</v>
      </c>
      <c r="J682">
        <v>14.9</v>
      </c>
      <c r="K682">
        <v>11.09</v>
      </c>
      <c r="L682">
        <v>1.32</v>
      </c>
      <c r="M682">
        <v>2.59</v>
      </c>
      <c r="N682">
        <v>0.2</v>
      </c>
      <c r="O682">
        <v>2.5</v>
      </c>
      <c r="P682">
        <v>0.71</v>
      </c>
      <c r="Q682">
        <v>14</v>
      </c>
    </row>
    <row r="683" spans="1:17" x14ac:dyDescent="0.25">
      <c r="A683" s="1">
        <v>42179</v>
      </c>
      <c r="B683">
        <v>6.1</v>
      </c>
      <c r="C683">
        <v>142.5</v>
      </c>
      <c r="D683">
        <v>2.5350000000000001</v>
      </c>
      <c r="E683">
        <v>10.54</v>
      </c>
      <c r="F683">
        <v>5.0999999999999996</v>
      </c>
      <c r="G683" t="e">
        <v>#N/A</v>
      </c>
      <c r="H683" s="15">
        <v>4.68</v>
      </c>
      <c r="I683">
        <v>29.5</v>
      </c>
      <c r="J683">
        <v>14.9</v>
      </c>
      <c r="K683">
        <v>11.01</v>
      </c>
      <c r="L683">
        <v>1.32</v>
      </c>
      <c r="M683">
        <v>2.59</v>
      </c>
      <c r="N683">
        <v>0.2</v>
      </c>
      <c r="O683">
        <v>2.4500000000000002</v>
      </c>
      <c r="P683">
        <v>0.71</v>
      </c>
      <c r="Q683">
        <v>14</v>
      </c>
    </row>
    <row r="684" spans="1:17" x14ac:dyDescent="0.25">
      <c r="A684" s="1">
        <v>42180</v>
      </c>
      <c r="B684">
        <v>6.13</v>
      </c>
      <c r="C684">
        <v>141.5</v>
      </c>
      <c r="D684">
        <v>2.5350000000000001</v>
      </c>
      <c r="E684">
        <v>10.41</v>
      </c>
      <c r="F684">
        <v>5</v>
      </c>
      <c r="G684">
        <v>1.41</v>
      </c>
      <c r="H684" s="15">
        <v>4.59</v>
      </c>
      <c r="I684">
        <v>29.05</v>
      </c>
      <c r="J684">
        <v>14.9</v>
      </c>
      <c r="K684">
        <v>11.06</v>
      </c>
      <c r="L684">
        <v>1.3</v>
      </c>
      <c r="M684">
        <v>2.6</v>
      </c>
      <c r="N684">
        <v>0.19400000000000001</v>
      </c>
      <c r="O684">
        <v>2.42</v>
      </c>
      <c r="P684">
        <v>0.7</v>
      </c>
      <c r="Q684">
        <v>15</v>
      </c>
    </row>
    <row r="685" spans="1:17" x14ac:dyDescent="0.25">
      <c r="A685" s="1">
        <v>42181</v>
      </c>
      <c r="B685">
        <v>6.1</v>
      </c>
      <c r="C685">
        <v>144</v>
      </c>
      <c r="D685">
        <v>2.5409999999999999</v>
      </c>
      <c r="E685">
        <v>10.5</v>
      </c>
      <c r="F685">
        <v>5</v>
      </c>
      <c r="G685">
        <v>1.42</v>
      </c>
      <c r="H685" s="15">
        <v>4.5999999999999996</v>
      </c>
      <c r="I685">
        <v>29.5</v>
      </c>
      <c r="J685" t="e">
        <v>#N/A</v>
      </c>
      <c r="K685">
        <v>11.13</v>
      </c>
      <c r="L685">
        <v>1.3</v>
      </c>
      <c r="M685">
        <v>2.65</v>
      </c>
      <c r="N685">
        <v>0.2</v>
      </c>
      <c r="O685">
        <v>2.42</v>
      </c>
      <c r="P685">
        <v>0.72</v>
      </c>
      <c r="Q685">
        <v>14</v>
      </c>
    </row>
    <row r="686" spans="1:17" x14ac:dyDescent="0.25">
      <c r="A686" s="1">
        <v>42185</v>
      </c>
      <c r="B686">
        <v>6</v>
      </c>
      <c r="C686">
        <v>139</v>
      </c>
      <c r="D686">
        <v>2.5409999999999999</v>
      </c>
      <c r="E686">
        <v>10.25</v>
      </c>
      <c r="F686">
        <v>5.0999999999999996</v>
      </c>
      <c r="G686">
        <v>1.42</v>
      </c>
      <c r="H686" s="15">
        <v>4.5999999999999996</v>
      </c>
      <c r="I686">
        <v>29.5</v>
      </c>
      <c r="J686">
        <v>14.5</v>
      </c>
      <c r="K686">
        <v>11.1</v>
      </c>
      <c r="L686">
        <v>1.3</v>
      </c>
      <c r="M686">
        <v>2.62</v>
      </c>
      <c r="N686">
        <v>0.2</v>
      </c>
      <c r="O686">
        <v>2.46</v>
      </c>
      <c r="P686">
        <v>0.7</v>
      </c>
      <c r="Q686">
        <v>15</v>
      </c>
    </row>
    <row r="687" spans="1:17" x14ac:dyDescent="0.25">
      <c r="A687" s="1">
        <v>42186</v>
      </c>
      <c r="B687">
        <v>6.04</v>
      </c>
      <c r="C687">
        <v>140.4</v>
      </c>
      <c r="D687">
        <v>2.5659999999999998</v>
      </c>
      <c r="E687">
        <v>10</v>
      </c>
      <c r="F687">
        <v>5.14</v>
      </c>
      <c r="G687" t="e">
        <v>#N/A</v>
      </c>
      <c r="H687" s="15">
        <v>4.5999999999999996</v>
      </c>
      <c r="I687">
        <v>29.46</v>
      </c>
      <c r="J687">
        <v>14.55</v>
      </c>
      <c r="K687">
        <v>11.1</v>
      </c>
      <c r="L687">
        <v>1.32</v>
      </c>
      <c r="M687">
        <v>2.65</v>
      </c>
      <c r="N687">
        <v>0.2</v>
      </c>
      <c r="O687">
        <v>2.4700000000000002</v>
      </c>
      <c r="P687">
        <v>0.68</v>
      </c>
      <c r="Q687">
        <v>14</v>
      </c>
    </row>
    <row r="688" spans="1:17" x14ac:dyDescent="0.25">
      <c r="A688" s="1">
        <v>42187</v>
      </c>
      <c r="B688">
        <v>5.99</v>
      </c>
      <c r="C688">
        <v>139.85</v>
      </c>
      <c r="D688">
        <v>2.56</v>
      </c>
      <c r="E688">
        <v>10.1</v>
      </c>
      <c r="F688">
        <v>5</v>
      </c>
      <c r="G688">
        <v>1.39</v>
      </c>
      <c r="H688" s="15">
        <v>4.5999999999999996</v>
      </c>
      <c r="I688">
        <v>29.46</v>
      </c>
      <c r="J688">
        <v>14.61</v>
      </c>
      <c r="K688">
        <v>11.12</v>
      </c>
      <c r="L688">
        <v>1.3</v>
      </c>
      <c r="M688">
        <v>2.7</v>
      </c>
      <c r="N688">
        <v>0.2</v>
      </c>
      <c r="O688">
        <v>2.5</v>
      </c>
      <c r="P688">
        <v>0.67</v>
      </c>
      <c r="Q688">
        <v>15</v>
      </c>
    </row>
    <row r="689" spans="1:17" x14ac:dyDescent="0.25">
      <c r="A689" s="1">
        <v>42188</v>
      </c>
      <c r="B689">
        <v>5.99</v>
      </c>
      <c r="C689">
        <v>140</v>
      </c>
      <c r="D689">
        <v>2.5409999999999999</v>
      </c>
      <c r="E689" t="e">
        <v>#N/A</v>
      </c>
      <c r="F689">
        <v>5</v>
      </c>
      <c r="G689">
        <v>1.39</v>
      </c>
      <c r="H689" s="15">
        <v>4.5</v>
      </c>
      <c r="I689">
        <v>29.46</v>
      </c>
      <c r="J689" t="e">
        <v>#N/A</v>
      </c>
      <c r="K689">
        <v>11.11</v>
      </c>
      <c r="L689">
        <v>1.31</v>
      </c>
      <c r="M689">
        <v>2.7</v>
      </c>
      <c r="N689">
        <v>0.2</v>
      </c>
      <c r="O689">
        <v>2.5099999999999998</v>
      </c>
      <c r="P689">
        <v>0.66</v>
      </c>
      <c r="Q689">
        <v>13</v>
      </c>
    </row>
    <row r="690" spans="1:17" x14ac:dyDescent="0.25">
      <c r="A690" s="1">
        <v>42191</v>
      </c>
      <c r="B690">
        <v>5.99</v>
      </c>
      <c r="C690">
        <v>137.4</v>
      </c>
      <c r="D690">
        <v>2.5169999999999999</v>
      </c>
      <c r="E690">
        <v>10.199999999999999</v>
      </c>
      <c r="F690">
        <v>4.9000000000000004</v>
      </c>
      <c r="G690">
        <v>1.4</v>
      </c>
      <c r="H690" s="15">
        <v>4.4000000000000004</v>
      </c>
      <c r="I690">
        <v>29</v>
      </c>
      <c r="J690">
        <v>14.61</v>
      </c>
      <c r="K690">
        <v>11.17</v>
      </c>
      <c r="L690">
        <v>1.32</v>
      </c>
      <c r="M690">
        <v>2.69</v>
      </c>
      <c r="N690">
        <v>0.2</v>
      </c>
      <c r="O690">
        <v>2.5</v>
      </c>
      <c r="P690">
        <v>0.65</v>
      </c>
      <c r="Q690">
        <v>15</v>
      </c>
    </row>
    <row r="691" spans="1:17" x14ac:dyDescent="0.25">
      <c r="A691" s="1">
        <v>42192</v>
      </c>
      <c r="B691">
        <v>5.99</v>
      </c>
      <c r="C691">
        <v>137.6</v>
      </c>
      <c r="D691">
        <v>2.5049999999999999</v>
      </c>
      <c r="E691">
        <v>9.6999999999999993</v>
      </c>
      <c r="F691">
        <v>4.95</v>
      </c>
      <c r="G691">
        <v>1.39</v>
      </c>
      <c r="H691" s="15">
        <v>4.3499999999999996</v>
      </c>
      <c r="I691">
        <v>29</v>
      </c>
      <c r="J691" t="e">
        <v>#N/A</v>
      </c>
      <c r="K691">
        <v>11.1</v>
      </c>
      <c r="L691" t="e">
        <v>#N/A</v>
      </c>
      <c r="M691">
        <v>2.75</v>
      </c>
      <c r="N691">
        <v>0.191</v>
      </c>
      <c r="O691">
        <v>2.5</v>
      </c>
      <c r="P691">
        <v>0.62</v>
      </c>
      <c r="Q691">
        <v>13</v>
      </c>
    </row>
    <row r="692" spans="1:17" x14ac:dyDescent="0.25">
      <c r="A692" s="1">
        <v>42193</v>
      </c>
      <c r="B692">
        <v>5.97</v>
      </c>
      <c r="C692">
        <v>136.35</v>
      </c>
      <c r="D692">
        <v>2.5110000000000001</v>
      </c>
      <c r="E692">
        <v>9.5500000000000007</v>
      </c>
      <c r="F692">
        <v>4.9800000000000004</v>
      </c>
      <c r="G692">
        <v>1.42</v>
      </c>
      <c r="H692" s="15">
        <v>4.3</v>
      </c>
      <c r="I692">
        <v>28.5</v>
      </c>
      <c r="J692" t="e">
        <v>#N/A</v>
      </c>
      <c r="K692">
        <v>11.1</v>
      </c>
      <c r="L692">
        <v>1.31</v>
      </c>
      <c r="M692">
        <v>2.66</v>
      </c>
      <c r="N692">
        <v>0.19500000000000001</v>
      </c>
      <c r="O692">
        <v>2.5</v>
      </c>
      <c r="P692">
        <v>0.62</v>
      </c>
      <c r="Q692">
        <v>14</v>
      </c>
    </row>
    <row r="693" spans="1:17" x14ac:dyDescent="0.25">
      <c r="A693" s="1">
        <v>42194</v>
      </c>
      <c r="B693">
        <v>5.9</v>
      </c>
      <c r="C693">
        <v>137.5</v>
      </c>
      <c r="D693">
        <v>2.5110000000000001</v>
      </c>
      <c r="E693">
        <v>9.35</v>
      </c>
      <c r="F693" t="e">
        <v>#N/A</v>
      </c>
      <c r="G693">
        <v>1.43</v>
      </c>
      <c r="H693" s="15">
        <v>4.4000000000000004</v>
      </c>
      <c r="I693">
        <v>28.3</v>
      </c>
      <c r="J693">
        <v>14.56</v>
      </c>
      <c r="K693">
        <v>11.1</v>
      </c>
      <c r="L693">
        <v>1.31</v>
      </c>
      <c r="M693">
        <v>2.7</v>
      </c>
      <c r="N693">
        <v>0.19800000000000001</v>
      </c>
      <c r="O693">
        <v>2.5</v>
      </c>
      <c r="P693">
        <v>0.62</v>
      </c>
      <c r="Q693">
        <v>14</v>
      </c>
    </row>
    <row r="694" spans="1:17" x14ac:dyDescent="0.25">
      <c r="A694" s="1">
        <v>42195</v>
      </c>
      <c r="B694">
        <v>5.85</v>
      </c>
      <c r="C694">
        <v>139.65</v>
      </c>
      <c r="D694">
        <v>2.5049999999999999</v>
      </c>
      <c r="E694">
        <v>9.19</v>
      </c>
      <c r="F694">
        <v>5.05</v>
      </c>
      <c r="G694">
        <v>1.39</v>
      </c>
      <c r="H694" s="15">
        <v>4.32</v>
      </c>
      <c r="I694">
        <v>28.3</v>
      </c>
      <c r="J694">
        <v>14.56</v>
      </c>
      <c r="K694">
        <v>11.1</v>
      </c>
      <c r="L694">
        <v>1.3</v>
      </c>
      <c r="M694">
        <v>2.67</v>
      </c>
      <c r="N694">
        <v>0.189</v>
      </c>
      <c r="O694" t="e">
        <v>#N/A</v>
      </c>
      <c r="P694">
        <v>0.62</v>
      </c>
      <c r="Q694">
        <v>14</v>
      </c>
    </row>
    <row r="695" spans="1:17" x14ac:dyDescent="0.25">
      <c r="A695" s="1">
        <v>42198</v>
      </c>
      <c r="B695">
        <v>5.9</v>
      </c>
      <c r="C695">
        <v>141.94999999999999</v>
      </c>
      <c r="D695">
        <v>2.5230000000000001</v>
      </c>
      <c r="E695">
        <v>9.25</v>
      </c>
      <c r="F695">
        <v>5</v>
      </c>
      <c r="G695" t="e">
        <v>#N/A</v>
      </c>
      <c r="H695" s="15">
        <v>4.3</v>
      </c>
      <c r="I695">
        <v>28.5</v>
      </c>
      <c r="J695" t="e">
        <v>#N/A</v>
      </c>
      <c r="K695">
        <v>11.1</v>
      </c>
      <c r="L695">
        <v>1.3</v>
      </c>
      <c r="M695">
        <v>2.68</v>
      </c>
      <c r="N695">
        <v>0.19</v>
      </c>
      <c r="O695">
        <v>2.5</v>
      </c>
      <c r="P695">
        <v>0.6</v>
      </c>
      <c r="Q695">
        <v>13</v>
      </c>
    </row>
    <row r="696" spans="1:17" x14ac:dyDescent="0.25">
      <c r="A696" s="1">
        <v>42199</v>
      </c>
      <c r="B696">
        <v>5.87</v>
      </c>
      <c r="C696">
        <v>140.69999999999999</v>
      </c>
      <c r="D696">
        <v>2.5659999999999998</v>
      </c>
      <c r="E696">
        <v>9.2100000000000009</v>
      </c>
      <c r="F696" t="e">
        <v>#N/A</v>
      </c>
      <c r="G696">
        <v>1.38</v>
      </c>
      <c r="H696" s="15">
        <v>4.3</v>
      </c>
      <c r="I696">
        <v>28.5</v>
      </c>
      <c r="J696">
        <v>14.5</v>
      </c>
      <c r="K696">
        <v>11.06</v>
      </c>
      <c r="L696">
        <v>1.3</v>
      </c>
      <c r="M696">
        <v>2.64</v>
      </c>
      <c r="N696">
        <v>0.19</v>
      </c>
      <c r="O696">
        <v>2.496</v>
      </c>
      <c r="P696">
        <v>0.65</v>
      </c>
      <c r="Q696">
        <v>14</v>
      </c>
    </row>
    <row r="697" spans="1:17" x14ac:dyDescent="0.25">
      <c r="A697" s="1">
        <v>42200</v>
      </c>
      <c r="B697">
        <v>5.87</v>
      </c>
      <c r="C697">
        <v>139.30000000000001</v>
      </c>
      <c r="D697">
        <v>2.5659999999999998</v>
      </c>
      <c r="E697">
        <v>8.9499999999999993</v>
      </c>
      <c r="F697">
        <v>4.99</v>
      </c>
      <c r="G697">
        <v>1.37</v>
      </c>
      <c r="H697" s="15">
        <v>4.29</v>
      </c>
      <c r="I697">
        <v>28.3</v>
      </c>
      <c r="J697">
        <v>14.52</v>
      </c>
      <c r="K697">
        <v>11.08</v>
      </c>
      <c r="L697">
        <v>1.3</v>
      </c>
      <c r="M697">
        <v>2.72</v>
      </c>
      <c r="N697">
        <v>0.19</v>
      </c>
      <c r="O697">
        <v>2.496</v>
      </c>
      <c r="P697">
        <v>0.65</v>
      </c>
      <c r="Q697">
        <v>15</v>
      </c>
    </row>
    <row r="698" spans="1:17" x14ac:dyDescent="0.25">
      <c r="A698" s="1">
        <v>42201</v>
      </c>
      <c r="B698">
        <v>5.8</v>
      </c>
      <c r="C698">
        <v>139</v>
      </c>
      <c r="D698">
        <v>2.5659999999999998</v>
      </c>
      <c r="E698">
        <v>8.89</v>
      </c>
      <c r="F698">
        <v>5.27</v>
      </c>
      <c r="G698">
        <v>1.39</v>
      </c>
      <c r="H698" s="15">
        <v>4.29</v>
      </c>
      <c r="I698">
        <v>28.5</v>
      </c>
      <c r="J698" t="e">
        <v>#N/A</v>
      </c>
      <c r="K698">
        <v>11.15</v>
      </c>
      <c r="L698">
        <v>1.34</v>
      </c>
      <c r="M698">
        <v>2.5499999999999998</v>
      </c>
      <c r="N698">
        <v>0.19</v>
      </c>
      <c r="O698">
        <v>2.496</v>
      </c>
      <c r="P698">
        <v>0.64</v>
      </c>
      <c r="Q698">
        <v>14</v>
      </c>
    </row>
    <row r="699" spans="1:17" x14ac:dyDescent="0.25">
      <c r="A699" s="1">
        <v>42202</v>
      </c>
      <c r="B699">
        <v>5.75</v>
      </c>
      <c r="C699">
        <v>137.05000000000001</v>
      </c>
      <c r="D699">
        <v>2.5659999999999998</v>
      </c>
      <c r="E699">
        <v>8.6300000000000008</v>
      </c>
      <c r="F699">
        <v>5.25</v>
      </c>
      <c r="G699" t="e">
        <v>#N/A</v>
      </c>
      <c r="H699" s="15">
        <v>4.2</v>
      </c>
      <c r="I699">
        <v>28.5</v>
      </c>
      <c r="J699" t="e">
        <v>#N/A</v>
      </c>
      <c r="K699" t="e">
        <v>#N/A</v>
      </c>
      <c r="L699">
        <v>1.33</v>
      </c>
      <c r="M699">
        <v>2.5099999999999998</v>
      </c>
      <c r="N699">
        <v>0.19500000000000001</v>
      </c>
      <c r="O699">
        <v>2.496</v>
      </c>
      <c r="P699">
        <v>0.6</v>
      </c>
      <c r="Q699">
        <v>12</v>
      </c>
    </row>
    <row r="700" spans="1:17" x14ac:dyDescent="0.25">
      <c r="A700" s="1">
        <v>42205</v>
      </c>
      <c r="B700">
        <v>5.65</v>
      </c>
      <c r="C700">
        <v>137</v>
      </c>
      <c r="D700">
        <v>2.5659999999999998</v>
      </c>
      <c r="E700">
        <v>7.3</v>
      </c>
      <c r="F700" t="e">
        <v>#N/A</v>
      </c>
      <c r="G700">
        <v>1.36</v>
      </c>
      <c r="H700" s="15">
        <v>4.0999999999999996</v>
      </c>
      <c r="I700">
        <v>28.5</v>
      </c>
      <c r="J700" t="e">
        <v>#N/A</v>
      </c>
      <c r="K700">
        <v>11.16</v>
      </c>
      <c r="L700">
        <v>1.33</v>
      </c>
      <c r="M700">
        <v>2.5099999999999998</v>
      </c>
      <c r="N700">
        <v>0.19500000000000001</v>
      </c>
      <c r="O700">
        <v>2.4860000000000002</v>
      </c>
      <c r="P700">
        <v>0.56999999999999995</v>
      </c>
      <c r="Q700">
        <v>13</v>
      </c>
    </row>
    <row r="701" spans="1:17" x14ac:dyDescent="0.25">
      <c r="A701" s="1">
        <v>42206</v>
      </c>
      <c r="B701">
        <v>5.54</v>
      </c>
      <c r="C701">
        <v>136.01</v>
      </c>
      <c r="D701">
        <v>2.6269999999999998</v>
      </c>
      <c r="E701">
        <v>7.75</v>
      </c>
      <c r="F701">
        <v>5.25</v>
      </c>
      <c r="G701">
        <v>1.34</v>
      </c>
      <c r="H701" s="15">
        <v>4</v>
      </c>
      <c r="I701" t="e">
        <v>#N/A</v>
      </c>
      <c r="J701">
        <v>15</v>
      </c>
      <c r="K701">
        <v>11.23</v>
      </c>
      <c r="L701">
        <v>1.32</v>
      </c>
      <c r="M701">
        <v>2.52</v>
      </c>
      <c r="N701">
        <v>0.2</v>
      </c>
      <c r="O701">
        <v>2.4369999999999998</v>
      </c>
      <c r="P701">
        <v>0.57999999999999996</v>
      </c>
      <c r="Q701">
        <v>14</v>
      </c>
    </row>
    <row r="702" spans="1:17" x14ac:dyDescent="0.25">
      <c r="A702" s="1">
        <v>42207</v>
      </c>
      <c r="B702">
        <v>5.5</v>
      </c>
      <c r="C702">
        <v>135.19999999999999</v>
      </c>
      <c r="D702">
        <v>2.6880000000000002</v>
      </c>
      <c r="E702">
        <v>7.8</v>
      </c>
      <c r="F702">
        <v>5.15</v>
      </c>
      <c r="G702">
        <v>1.33</v>
      </c>
      <c r="H702" s="15">
        <v>3.95</v>
      </c>
      <c r="I702">
        <v>28.49</v>
      </c>
      <c r="J702">
        <v>14.4</v>
      </c>
      <c r="K702">
        <v>11.26</v>
      </c>
      <c r="L702">
        <v>1.29</v>
      </c>
      <c r="M702">
        <v>2.54</v>
      </c>
      <c r="N702">
        <v>0.20300000000000001</v>
      </c>
      <c r="O702">
        <v>2.4369999999999998</v>
      </c>
      <c r="P702">
        <v>0.56000000000000005</v>
      </c>
      <c r="Q702">
        <v>15</v>
      </c>
    </row>
    <row r="703" spans="1:17" x14ac:dyDescent="0.25">
      <c r="A703" s="1">
        <v>42208</v>
      </c>
      <c r="B703">
        <v>5.5</v>
      </c>
      <c r="C703">
        <v>133.30000000000001</v>
      </c>
      <c r="D703">
        <v>2.657</v>
      </c>
      <c r="E703">
        <v>7.14</v>
      </c>
      <c r="F703">
        <v>5.13</v>
      </c>
      <c r="G703">
        <v>1.37</v>
      </c>
      <c r="H703" s="15">
        <v>3.85</v>
      </c>
      <c r="I703">
        <v>28.49</v>
      </c>
      <c r="J703">
        <v>14.4</v>
      </c>
      <c r="K703">
        <v>11.33</v>
      </c>
      <c r="L703">
        <v>1.27</v>
      </c>
      <c r="M703">
        <v>2.54</v>
      </c>
      <c r="N703">
        <v>0.20100000000000001</v>
      </c>
      <c r="O703" t="e">
        <v>#N/A</v>
      </c>
      <c r="P703">
        <v>0.55000000000000004</v>
      </c>
      <c r="Q703">
        <v>14</v>
      </c>
    </row>
    <row r="704" spans="1:17" x14ac:dyDescent="0.25">
      <c r="A704" s="1">
        <v>42209</v>
      </c>
      <c r="B704">
        <v>5.45</v>
      </c>
      <c r="C704">
        <v>132.6</v>
      </c>
      <c r="D704">
        <v>2.56</v>
      </c>
      <c r="E704">
        <v>7.55</v>
      </c>
      <c r="F704">
        <v>5</v>
      </c>
      <c r="G704">
        <v>1.37</v>
      </c>
      <c r="H704" s="15">
        <v>3.7</v>
      </c>
      <c r="I704">
        <v>28.3</v>
      </c>
      <c r="J704" t="e">
        <v>#N/A</v>
      </c>
      <c r="K704">
        <v>11.45</v>
      </c>
      <c r="L704">
        <v>1.22</v>
      </c>
      <c r="M704">
        <v>2.5299999999999998</v>
      </c>
      <c r="N704">
        <v>0.19800000000000001</v>
      </c>
      <c r="O704">
        <v>2.387</v>
      </c>
      <c r="P704">
        <v>0.56000000000000005</v>
      </c>
      <c r="Q704">
        <v>14</v>
      </c>
    </row>
    <row r="705" spans="1:17" x14ac:dyDescent="0.25">
      <c r="A705" s="1">
        <v>42212</v>
      </c>
      <c r="B705">
        <v>5.45</v>
      </c>
      <c r="C705">
        <v>132.6</v>
      </c>
      <c r="D705">
        <v>4.1900000000000004</v>
      </c>
      <c r="E705">
        <v>7.55</v>
      </c>
      <c r="F705">
        <v>5</v>
      </c>
      <c r="G705">
        <v>1.37</v>
      </c>
      <c r="H705" s="15">
        <v>3.7</v>
      </c>
      <c r="I705">
        <v>28.3</v>
      </c>
      <c r="J705" t="e">
        <v>#N/A</v>
      </c>
      <c r="K705">
        <v>11.45</v>
      </c>
      <c r="L705">
        <v>1.22</v>
      </c>
      <c r="M705">
        <v>2.5299999999999998</v>
      </c>
      <c r="N705">
        <v>0.19800000000000001</v>
      </c>
      <c r="O705">
        <v>2.4</v>
      </c>
      <c r="P705">
        <v>0.56000000000000005</v>
      </c>
      <c r="Q705">
        <v>14</v>
      </c>
    </row>
    <row r="706" spans="1:17" x14ac:dyDescent="0.25">
      <c r="A706" s="1">
        <v>42215</v>
      </c>
      <c r="B706">
        <v>5.34</v>
      </c>
      <c r="C706">
        <v>130.80000000000001</v>
      </c>
      <c r="D706">
        <v>2.5659999999999998</v>
      </c>
      <c r="E706">
        <v>7.6</v>
      </c>
      <c r="F706">
        <v>4.95</v>
      </c>
      <c r="G706">
        <v>1.4</v>
      </c>
      <c r="H706" s="15">
        <v>3.75</v>
      </c>
      <c r="I706">
        <v>28.31</v>
      </c>
      <c r="J706">
        <v>14.4</v>
      </c>
      <c r="K706">
        <v>11.45</v>
      </c>
      <c r="L706">
        <v>1.22</v>
      </c>
      <c r="M706">
        <v>2.52</v>
      </c>
      <c r="N706">
        <v>0.19600000000000001</v>
      </c>
      <c r="O706">
        <v>2.387</v>
      </c>
      <c r="P706">
        <v>0.55000000000000004</v>
      </c>
      <c r="Q706">
        <v>15</v>
      </c>
    </row>
    <row r="707" spans="1:17" x14ac:dyDescent="0.25">
      <c r="A707" s="1">
        <v>42216</v>
      </c>
      <c r="B707">
        <v>5.3</v>
      </c>
      <c r="C707">
        <v>132.1</v>
      </c>
      <c r="D707">
        <v>2.5409999999999999</v>
      </c>
      <c r="E707" t="e">
        <v>#N/A</v>
      </c>
      <c r="F707">
        <v>4.95</v>
      </c>
      <c r="G707">
        <v>1.37</v>
      </c>
      <c r="H707" s="15">
        <v>3.75</v>
      </c>
      <c r="I707">
        <v>28.59</v>
      </c>
      <c r="J707">
        <v>14.39</v>
      </c>
      <c r="K707">
        <v>11.4</v>
      </c>
      <c r="L707">
        <v>1.19</v>
      </c>
      <c r="M707" t="e">
        <v>#N/A</v>
      </c>
      <c r="N707">
        <v>0.19600000000000001</v>
      </c>
      <c r="O707">
        <v>2.387</v>
      </c>
      <c r="P707">
        <v>0.52</v>
      </c>
      <c r="Q707">
        <v>13</v>
      </c>
    </row>
    <row r="708" spans="1:17" x14ac:dyDescent="0.25">
      <c r="A708" s="1">
        <v>42219</v>
      </c>
      <c r="B708">
        <v>5.25</v>
      </c>
      <c r="C708">
        <v>130.5</v>
      </c>
      <c r="D708">
        <v>2.5539999999999998</v>
      </c>
      <c r="E708">
        <v>6.65</v>
      </c>
      <c r="F708">
        <v>4.8499999999999996</v>
      </c>
      <c r="G708">
        <v>1.36</v>
      </c>
      <c r="H708" s="15">
        <v>3.7</v>
      </c>
      <c r="I708">
        <v>28.8</v>
      </c>
      <c r="J708">
        <v>14.25</v>
      </c>
      <c r="K708">
        <v>11.45</v>
      </c>
      <c r="L708">
        <v>1.1599999999999999</v>
      </c>
      <c r="M708">
        <v>2.2999999999999998</v>
      </c>
      <c r="N708">
        <v>0.192</v>
      </c>
      <c r="O708">
        <v>2.387</v>
      </c>
      <c r="P708">
        <v>0.5</v>
      </c>
      <c r="Q708">
        <v>15</v>
      </c>
    </row>
    <row r="709" spans="1:17" x14ac:dyDescent="0.25">
      <c r="A709" s="1">
        <v>42220</v>
      </c>
      <c r="B709">
        <v>5.3</v>
      </c>
      <c r="C709">
        <v>132</v>
      </c>
      <c r="D709" t="e">
        <v>#N/A</v>
      </c>
      <c r="E709">
        <v>6.53</v>
      </c>
      <c r="F709">
        <v>4.8099999999999996</v>
      </c>
      <c r="G709">
        <v>1.34</v>
      </c>
      <c r="H709" s="15">
        <v>3.6</v>
      </c>
      <c r="I709">
        <v>28.65</v>
      </c>
      <c r="J709">
        <v>14</v>
      </c>
      <c r="K709">
        <v>11.45</v>
      </c>
      <c r="L709">
        <v>1.08</v>
      </c>
      <c r="M709">
        <v>2.25</v>
      </c>
      <c r="N709">
        <v>0.18</v>
      </c>
      <c r="O709" t="e">
        <v>#N/A</v>
      </c>
      <c r="P709">
        <v>0.45</v>
      </c>
      <c r="Q709">
        <v>13</v>
      </c>
    </row>
    <row r="710" spans="1:17" x14ac:dyDescent="0.25">
      <c r="A710" s="1">
        <v>42221</v>
      </c>
      <c r="B710">
        <v>5.3</v>
      </c>
      <c r="C710">
        <v>131.62</v>
      </c>
      <c r="D710">
        <v>2.556</v>
      </c>
      <c r="E710">
        <v>6.68</v>
      </c>
      <c r="F710">
        <v>4.9000000000000004</v>
      </c>
      <c r="G710">
        <v>1.34</v>
      </c>
      <c r="H710" s="15">
        <v>3.5</v>
      </c>
      <c r="I710" t="e">
        <v>#N/A</v>
      </c>
      <c r="J710" t="e">
        <v>#N/A</v>
      </c>
      <c r="K710">
        <v>11.45</v>
      </c>
      <c r="L710" t="e">
        <v>#N/A</v>
      </c>
      <c r="M710">
        <v>2.25</v>
      </c>
      <c r="N710">
        <v>0.18</v>
      </c>
      <c r="O710">
        <v>2.38</v>
      </c>
      <c r="P710">
        <v>0.49</v>
      </c>
      <c r="Q710">
        <v>12</v>
      </c>
    </row>
    <row r="711" spans="1:17" x14ac:dyDescent="0.25">
      <c r="A711" s="1">
        <v>42222</v>
      </c>
      <c r="B711">
        <v>5.2</v>
      </c>
      <c r="C711">
        <v>130.6</v>
      </c>
      <c r="D711">
        <v>2.5350000000000001</v>
      </c>
      <c r="E711">
        <v>6.82</v>
      </c>
      <c r="F711">
        <v>4.8899999999999997</v>
      </c>
      <c r="G711">
        <v>1.34</v>
      </c>
      <c r="H711" s="15">
        <v>3.5</v>
      </c>
      <c r="I711">
        <v>28.3</v>
      </c>
      <c r="J711">
        <v>13.8</v>
      </c>
      <c r="K711">
        <v>11.4</v>
      </c>
      <c r="L711">
        <v>1.03</v>
      </c>
      <c r="M711">
        <v>2.27</v>
      </c>
      <c r="N711">
        <v>0.17599999999999999</v>
      </c>
      <c r="O711">
        <v>2.33</v>
      </c>
      <c r="P711">
        <v>0.47</v>
      </c>
      <c r="Q711">
        <v>15</v>
      </c>
    </row>
    <row r="712" spans="1:17" x14ac:dyDescent="0.25">
      <c r="A712" s="1">
        <v>42223</v>
      </c>
      <c r="B712">
        <v>5.3</v>
      </c>
      <c r="C712">
        <v>130</v>
      </c>
      <c r="D712">
        <v>2.5350000000000001</v>
      </c>
      <c r="E712">
        <v>6.55</v>
      </c>
      <c r="F712">
        <v>5</v>
      </c>
      <c r="G712">
        <v>1.34</v>
      </c>
      <c r="H712" s="15">
        <v>3.48</v>
      </c>
      <c r="I712">
        <v>28.3</v>
      </c>
      <c r="J712">
        <v>13.8</v>
      </c>
      <c r="K712">
        <v>11.35</v>
      </c>
      <c r="L712">
        <v>1.01</v>
      </c>
      <c r="M712">
        <v>2.25</v>
      </c>
      <c r="N712">
        <v>0.17</v>
      </c>
      <c r="O712">
        <v>2.3199999999999998</v>
      </c>
      <c r="P712">
        <v>0.49</v>
      </c>
      <c r="Q712">
        <v>15</v>
      </c>
    </row>
    <row r="713" spans="1:17" x14ac:dyDescent="0.25">
      <c r="A713" s="1">
        <v>42226</v>
      </c>
      <c r="B713">
        <v>5.3</v>
      </c>
      <c r="C713">
        <v>132.35</v>
      </c>
      <c r="D713">
        <v>2.5350000000000001</v>
      </c>
      <c r="E713">
        <v>6.66</v>
      </c>
      <c r="F713">
        <v>5.09</v>
      </c>
      <c r="G713">
        <v>1.34</v>
      </c>
      <c r="H713" s="15">
        <v>3.59</v>
      </c>
      <c r="I713">
        <v>28.45</v>
      </c>
      <c r="J713">
        <v>13.8</v>
      </c>
      <c r="K713">
        <v>11.35</v>
      </c>
      <c r="L713">
        <v>1.02</v>
      </c>
      <c r="M713">
        <v>2.2999999999999998</v>
      </c>
      <c r="N713">
        <v>0.17</v>
      </c>
      <c r="O713">
        <v>2.3199999999999998</v>
      </c>
      <c r="P713">
        <v>0.51</v>
      </c>
      <c r="Q713">
        <v>15</v>
      </c>
    </row>
    <row r="714" spans="1:17" x14ac:dyDescent="0.25">
      <c r="A714" s="1">
        <v>42227</v>
      </c>
      <c r="B714">
        <v>5.2</v>
      </c>
      <c r="C714">
        <v>128</v>
      </c>
      <c r="D714">
        <v>2.5209999999999999</v>
      </c>
      <c r="E714">
        <v>6.68</v>
      </c>
      <c r="F714">
        <v>5.04</v>
      </c>
      <c r="G714">
        <v>1.33</v>
      </c>
      <c r="H714" s="15">
        <v>3.4</v>
      </c>
      <c r="I714">
        <v>28.01</v>
      </c>
      <c r="J714">
        <v>13.8</v>
      </c>
      <c r="K714" t="e">
        <v>#N/A</v>
      </c>
      <c r="L714">
        <v>1</v>
      </c>
      <c r="M714">
        <v>2.25</v>
      </c>
      <c r="N714">
        <v>0.17</v>
      </c>
      <c r="O714">
        <v>2.27</v>
      </c>
      <c r="P714">
        <v>0.51</v>
      </c>
      <c r="Q714">
        <v>14</v>
      </c>
    </row>
    <row r="715" spans="1:17" x14ac:dyDescent="0.25">
      <c r="A715" s="1">
        <v>42228</v>
      </c>
      <c r="B715">
        <v>5.0999999999999996</v>
      </c>
      <c r="C715">
        <v>124.85</v>
      </c>
      <c r="D715">
        <v>2.3849999999999998</v>
      </c>
      <c r="E715">
        <v>7.35</v>
      </c>
      <c r="F715">
        <v>5.0599999999999996</v>
      </c>
      <c r="G715">
        <v>1.33</v>
      </c>
      <c r="H715" s="15">
        <v>3.3</v>
      </c>
      <c r="I715">
        <v>27.8</v>
      </c>
      <c r="J715">
        <v>13.65</v>
      </c>
      <c r="K715">
        <v>11.28</v>
      </c>
      <c r="L715">
        <v>0.99</v>
      </c>
      <c r="M715" t="e">
        <v>#N/A</v>
      </c>
      <c r="N715">
        <v>0.17</v>
      </c>
      <c r="O715">
        <v>2.23</v>
      </c>
      <c r="P715">
        <v>0.49</v>
      </c>
      <c r="Q715">
        <v>14</v>
      </c>
    </row>
    <row r="716" spans="1:17" x14ac:dyDescent="0.25">
      <c r="A716" s="1">
        <v>42229</v>
      </c>
      <c r="B716">
        <v>5.03</v>
      </c>
      <c r="C716">
        <v>124.3</v>
      </c>
      <c r="D716">
        <v>2.3140000000000001</v>
      </c>
      <c r="E716">
        <v>7.3</v>
      </c>
      <c r="F716">
        <v>4.95</v>
      </c>
      <c r="G716">
        <v>1.32</v>
      </c>
      <c r="H716" s="15">
        <v>3.2</v>
      </c>
      <c r="I716">
        <v>27.49</v>
      </c>
      <c r="J716">
        <v>13.4</v>
      </c>
      <c r="K716">
        <v>11.2</v>
      </c>
      <c r="L716">
        <v>0.99</v>
      </c>
      <c r="M716">
        <v>2.2000000000000002</v>
      </c>
      <c r="N716">
        <v>0.17</v>
      </c>
      <c r="O716">
        <v>2.2200000000000002</v>
      </c>
      <c r="P716">
        <v>0.48</v>
      </c>
      <c r="Q716">
        <v>15</v>
      </c>
    </row>
    <row r="717" spans="1:17" x14ac:dyDescent="0.25">
      <c r="A717" s="1">
        <v>42230</v>
      </c>
      <c r="B717">
        <v>4.6500000000000004</v>
      </c>
      <c r="C717">
        <v>116.37</v>
      </c>
      <c r="D717">
        <v>2.1360000000000001</v>
      </c>
      <c r="E717">
        <v>6.75</v>
      </c>
      <c r="F717">
        <v>4.95</v>
      </c>
      <c r="G717">
        <v>1.29</v>
      </c>
      <c r="H717" s="15">
        <v>2.66</v>
      </c>
      <c r="I717">
        <v>26</v>
      </c>
      <c r="J717">
        <v>12.4</v>
      </c>
      <c r="K717">
        <v>11</v>
      </c>
      <c r="L717">
        <v>0.94</v>
      </c>
      <c r="M717">
        <v>2.15</v>
      </c>
      <c r="N717">
        <v>0.16900000000000001</v>
      </c>
      <c r="O717">
        <v>2.0299999999999998</v>
      </c>
      <c r="P717">
        <v>0.42</v>
      </c>
      <c r="Q717">
        <v>15</v>
      </c>
    </row>
    <row r="718" spans="1:17" x14ac:dyDescent="0.25">
      <c r="A718" s="1">
        <v>42233</v>
      </c>
      <c r="B718">
        <v>4.4000000000000004</v>
      </c>
      <c r="C718">
        <v>116</v>
      </c>
      <c r="D718">
        <v>2.101</v>
      </c>
      <c r="E718">
        <v>6.9</v>
      </c>
      <c r="F718">
        <v>4.68</v>
      </c>
      <c r="G718">
        <v>1.23</v>
      </c>
      <c r="H718" s="15">
        <v>2.81</v>
      </c>
      <c r="I718">
        <v>26</v>
      </c>
      <c r="J718">
        <v>12.5</v>
      </c>
      <c r="K718">
        <v>10.6</v>
      </c>
      <c r="L718">
        <v>0.85</v>
      </c>
      <c r="M718">
        <v>1.93</v>
      </c>
      <c r="N718">
        <v>0.14499999999999999</v>
      </c>
      <c r="O718">
        <v>2.04</v>
      </c>
      <c r="P718">
        <v>0.4</v>
      </c>
      <c r="Q718">
        <v>15</v>
      </c>
    </row>
    <row r="719" spans="1:17" x14ac:dyDescent="0.25">
      <c r="A719" s="1">
        <v>42234</v>
      </c>
      <c r="B719">
        <v>4.3499999999999996</v>
      </c>
      <c r="C719">
        <v>115.8</v>
      </c>
      <c r="D719">
        <v>2.2069999999999999</v>
      </c>
      <c r="E719">
        <v>7</v>
      </c>
      <c r="F719">
        <v>4.6500000000000004</v>
      </c>
      <c r="G719">
        <v>1.18</v>
      </c>
      <c r="H719" s="15">
        <v>2.76</v>
      </c>
      <c r="I719">
        <v>26</v>
      </c>
      <c r="J719">
        <v>12.4</v>
      </c>
      <c r="K719">
        <v>10.35</v>
      </c>
      <c r="L719">
        <v>0.88</v>
      </c>
      <c r="M719">
        <v>1.92</v>
      </c>
      <c r="N719">
        <v>0.14099999999999999</v>
      </c>
      <c r="O719">
        <v>2.0299999999999998</v>
      </c>
      <c r="P719">
        <v>0.4</v>
      </c>
      <c r="Q719">
        <v>15</v>
      </c>
    </row>
    <row r="720" spans="1:17" x14ac:dyDescent="0.25">
      <c r="A720" s="1">
        <v>42235</v>
      </c>
      <c r="B720">
        <v>4.3</v>
      </c>
      <c r="C720">
        <v>115.8</v>
      </c>
      <c r="D720">
        <v>2.2069999999999999</v>
      </c>
      <c r="E720">
        <v>7</v>
      </c>
      <c r="F720">
        <v>4.45</v>
      </c>
      <c r="G720">
        <v>1.1399999999999999</v>
      </c>
      <c r="H720" s="15">
        <v>2.72</v>
      </c>
      <c r="I720">
        <v>25.95</v>
      </c>
      <c r="J720">
        <v>12.41</v>
      </c>
      <c r="K720">
        <v>10.35</v>
      </c>
      <c r="L720">
        <v>0.89</v>
      </c>
      <c r="M720">
        <v>1.81</v>
      </c>
      <c r="N720">
        <v>0.13500000000000001</v>
      </c>
      <c r="O720">
        <v>2</v>
      </c>
      <c r="P720">
        <v>0.39</v>
      </c>
      <c r="Q720">
        <v>15</v>
      </c>
    </row>
    <row r="721" spans="1:17" x14ac:dyDescent="0.25">
      <c r="A721" s="1">
        <v>42236</v>
      </c>
      <c r="B721">
        <v>4.22</v>
      </c>
      <c r="C721">
        <v>113</v>
      </c>
      <c r="D721">
        <v>2.1720000000000002</v>
      </c>
      <c r="E721">
        <v>7.19</v>
      </c>
      <c r="F721">
        <v>4.3</v>
      </c>
      <c r="G721">
        <v>1.1000000000000001</v>
      </c>
      <c r="H721" s="15">
        <v>2.74</v>
      </c>
      <c r="I721">
        <v>25.6</v>
      </c>
      <c r="J721">
        <v>12.3</v>
      </c>
      <c r="K721">
        <v>10.199999999999999</v>
      </c>
      <c r="L721">
        <v>0.86</v>
      </c>
      <c r="M721">
        <v>1.76</v>
      </c>
      <c r="N721">
        <v>0.13100000000000001</v>
      </c>
      <c r="O721">
        <v>1.95</v>
      </c>
      <c r="P721">
        <v>0.39</v>
      </c>
      <c r="Q721">
        <v>15</v>
      </c>
    </row>
    <row r="722" spans="1:17" x14ac:dyDescent="0.25">
      <c r="A722" s="1">
        <v>42237</v>
      </c>
      <c r="B722">
        <v>4.21</v>
      </c>
      <c r="C722">
        <v>110.65</v>
      </c>
      <c r="D722">
        <v>2.0649999999999999</v>
      </c>
      <c r="E722">
        <v>7</v>
      </c>
      <c r="F722">
        <v>4.2</v>
      </c>
      <c r="G722">
        <v>1.0900000000000001</v>
      </c>
      <c r="H722" s="15">
        <v>2.68</v>
      </c>
      <c r="I722">
        <v>25.5</v>
      </c>
      <c r="J722">
        <v>12.15</v>
      </c>
      <c r="K722">
        <v>10</v>
      </c>
      <c r="L722">
        <v>0.79</v>
      </c>
      <c r="M722">
        <v>1.62</v>
      </c>
      <c r="N722">
        <v>0.128</v>
      </c>
      <c r="O722">
        <v>1.81</v>
      </c>
      <c r="P722">
        <v>0.35299999999999998</v>
      </c>
      <c r="Q722">
        <v>15</v>
      </c>
    </row>
    <row r="723" spans="1:17" x14ac:dyDescent="0.25">
      <c r="A723" s="1">
        <v>42240</v>
      </c>
      <c r="B723">
        <v>3.9</v>
      </c>
      <c r="C723">
        <v>106</v>
      </c>
      <c r="D723">
        <v>1.958</v>
      </c>
      <c r="E723">
        <v>6.5</v>
      </c>
      <c r="F723">
        <v>3.9</v>
      </c>
      <c r="G723">
        <v>1.05</v>
      </c>
      <c r="H723" s="15">
        <v>2.68</v>
      </c>
      <c r="I723">
        <v>24.73</v>
      </c>
      <c r="J723">
        <v>11.6</v>
      </c>
      <c r="K723">
        <v>9.7010000000000005</v>
      </c>
      <c r="L723">
        <v>0.71</v>
      </c>
      <c r="M723">
        <v>1.55</v>
      </c>
      <c r="N723">
        <v>0.125</v>
      </c>
      <c r="O723">
        <v>1.74</v>
      </c>
      <c r="P723">
        <v>0.34</v>
      </c>
      <c r="Q723">
        <v>15</v>
      </c>
    </row>
    <row r="724" spans="1:17" x14ac:dyDescent="0.25">
      <c r="A724" s="1">
        <v>42241</v>
      </c>
      <c r="B724">
        <v>3.95</v>
      </c>
      <c r="C724">
        <v>103.8</v>
      </c>
      <c r="D724">
        <v>2.008</v>
      </c>
      <c r="E724">
        <v>6.2</v>
      </c>
      <c r="F724">
        <v>3.9</v>
      </c>
      <c r="G724">
        <v>1.05</v>
      </c>
      <c r="H724" s="15">
        <v>2.69</v>
      </c>
      <c r="I724">
        <v>25</v>
      </c>
      <c r="J724">
        <v>11.6</v>
      </c>
      <c r="K724">
        <v>9.6329999999999991</v>
      </c>
      <c r="L724">
        <v>0.75</v>
      </c>
      <c r="M724">
        <v>1.67</v>
      </c>
      <c r="N724">
        <v>0.13500000000000001</v>
      </c>
      <c r="O724">
        <v>1.78</v>
      </c>
      <c r="P724">
        <v>0.38</v>
      </c>
      <c r="Q724">
        <v>15</v>
      </c>
    </row>
    <row r="725" spans="1:17" x14ac:dyDescent="0.25">
      <c r="A725" s="1">
        <v>42242</v>
      </c>
      <c r="B725">
        <v>4.22</v>
      </c>
      <c r="C725">
        <v>104</v>
      </c>
      <c r="D725">
        <v>2.044</v>
      </c>
      <c r="E725">
        <v>5.88</v>
      </c>
      <c r="F725">
        <v>3.92</v>
      </c>
      <c r="G725">
        <v>1.05</v>
      </c>
      <c r="H725" s="15">
        <v>2.75</v>
      </c>
      <c r="I725">
        <v>25</v>
      </c>
      <c r="J725">
        <v>11.6</v>
      </c>
      <c r="K725">
        <v>9.6329999999999991</v>
      </c>
      <c r="L725">
        <v>0.77</v>
      </c>
      <c r="M725">
        <v>1.65</v>
      </c>
      <c r="N725">
        <v>0.15</v>
      </c>
      <c r="O725">
        <v>1.8</v>
      </c>
      <c r="P725">
        <v>0.38500000000000001</v>
      </c>
      <c r="Q725">
        <v>15</v>
      </c>
    </row>
    <row r="726" spans="1:17" x14ac:dyDescent="0.25">
      <c r="A726" s="1">
        <v>42243</v>
      </c>
      <c r="B726">
        <v>4.29</v>
      </c>
      <c r="C726">
        <v>110.3</v>
      </c>
      <c r="D726">
        <v>2.2069999999999999</v>
      </c>
      <c r="E726">
        <v>6.2</v>
      </c>
      <c r="F726">
        <v>4</v>
      </c>
      <c r="G726">
        <v>1.17</v>
      </c>
      <c r="H726" s="15">
        <v>2.9</v>
      </c>
      <c r="I726">
        <v>26.24</v>
      </c>
      <c r="J726">
        <v>12</v>
      </c>
      <c r="K726">
        <v>9.7010000000000005</v>
      </c>
      <c r="L726">
        <v>0.85</v>
      </c>
      <c r="M726">
        <v>1.8</v>
      </c>
      <c r="N726">
        <v>0.16</v>
      </c>
      <c r="O726">
        <v>1.9</v>
      </c>
      <c r="P726">
        <v>0.41399999999999998</v>
      </c>
      <c r="Q726">
        <v>15</v>
      </c>
    </row>
    <row r="727" spans="1:17" x14ac:dyDescent="0.25">
      <c r="A727" s="1">
        <v>42244</v>
      </c>
      <c r="B727">
        <v>4.5199999999999996</v>
      </c>
      <c r="C727">
        <v>111.45</v>
      </c>
      <c r="D727">
        <v>2.286</v>
      </c>
      <c r="E727">
        <v>6.61</v>
      </c>
      <c r="F727">
        <v>4</v>
      </c>
      <c r="G727">
        <v>1.3</v>
      </c>
      <c r="H727" s="15">
        <v>2.93</v>
      </c>
      <c r="I727">
        <v>26.3</v>
      </c>
      <c r="J727">
        <v>12</v>
      </c>
      <c r="K727">
        <v>10.145</v>
      </c>
      <c r="L727">
        <v>0.9</v>
      </c>
      <c r="M727">
        <v>1.99</v>
      </c>
      <c r="N727">
        <v>0.17499999999999999</v>
      </c>
      <c r="O727">
        <v>2</v>
      </c>
      <c r="P727">
        <v>0.42</v>
      </c>
      <c r="Q727">
        <v>15</v>
      </c>
    </row>
    <row r="728" spans="1:17" x14ac:dyDescent="0.25">
      <c r="A728" s="1">
        <v>42247</v>
      </c>
      <c r="B728">
        <v>4.6500000000000004</v>
      </c>
      <c r="C728">
        <v>109.3</v>
      </c>
      <c r="D728">
        <v>2.2789999999999999</v>
      </c>
      <c r="E728">
        <v>6.3</v>
      </c>
      <c r="F728">
        <v>4.07</v>
      </c>
      <c r="G728">
        <v>1.29</v>
      </c>
      <c r="H728" s="15">
        <v>2.8</v>
      </c>
      <c r="I728">
        <v>25</v>
      </c>
      <c r="J728">
        <v>11.9</v>
      </c>
      <c r="K728">
        <v>9.6519999999999992</v>
      </c>
      <c r="L728">
        <v>0.91</v>
      </c>
      <c r="M728">
        <v>1.95</v>
      </c>
      <c r="N728">
        <v>0.17699999999999999</v>
      </c>
      <c r="O728">
        <v>2</v>
      </c>
      <c r="P728">
        <v>0.41899999999999998</v>
      </c>
      <c r="Q728">
        <v>15</v>
      </c>
    </row>
    <row r="729" spans="1:17" x14ac:dyDescent="0.25">
      <c r="A729" s="1">
        <v>42248</v>
      </c>
      <c r="B729">
        <v>4.5</v>
      </c>
      <c r="C729">
        <v>106.85</v>
      </c>
      <c r="D729">
        <v>2.2789999999999999</v>
      </c>
      <c r="E729">
        <v>6.06</v>
      </c>
      <c r="F729">
        <v>3.85</v>
      </c>
      <c r="G729">
        <v>1.29</v>
      </c>
      <c r="H729" s="15">
        <v>2.8</v>
      </c>
      <c r="I729">
        <v>25.5</v>
      </c>
      <c r="J729">
        <v>11.9</v>
      </c>
      <c r="K729">
        <v>9.7509999999999994</v>
      </c>
      <c r="L729">
        <v>0.9</v>
      </c>
      <c r="M729">
        <v>1.97</v>
      </c>
      <c r="N729">
        <v>0.17199999999999999</v>
      </c>
      <c r="O729">
        <v>1.98</v>
      </c>
      <c r="P729">
        <v>0.40500000000000003</v>
      </c>
      <c r="Q729">
        <v>15</v>
      </c>
    </row>
    <row r="730" spans="1:17" x14ac:dyDescent="0.25">
      <c r="A730" s="1">
        <v>42249</v>
      </c>
      <c r="B730">
        <v>4.5</v>
      </c>
      <c r="C730">
        <v>107</v>
      </c>
      <c r="D730">
        <v>2.2789999999999999</v>
      </c>
      <c r="E730">
        <v>6</v>
      </c>
      <c r="F730">
        <v>3.85</v>
      </c>
      <c r="G730">
        <v>1.25</v>
      </c>
      <c r="H730" s="15">
        <v>2.8</v>
      </c>
      <c r="I730">
        <v>25.5</v>
      </c>
      <c r="J730">
        <v>11.9</v>
      </c>
      <c r="K730">
        <v>9.859</v>
      </c>
      <c r="L730">
        <v>0.88</v>
      </c>
      <c r="M730" t="e">
        <v>#N/A</v>
      </c>
      <c r="N730">
        <v>0.17</v>
      </c>
      <c r="O730" t="e">
        <v>#N/A</v>
      </c>
      <c r="P730">
        <v>0.40699999999999997</v>
      </c>
      <c r="Q730">
        <v>13</v>
      </c>
    </row>
    <row r="731" spans="1:17" x14ac:dyDescent="0.25">
      <c r="A731" s="1">
        <v>42250</v>
      </c>
      <c r="B731">
        <v>4.5999999999999996</v>
      </c>
      <c r="C731">
        <v>109.25</v>
      </c>
      <c r="D731">
        <v>2.3359999999999999</v>
      </c>
      <c r="E731">
        <v>6.1</v>
      </c>
      <c r="F731">
        <v>3.85</v>
      </c>
      <c r="G731">
        <v>1.25</v>
      </c>
      <c r="H731" s="15">
        <v>2.8</v>
      </c>
      <c r="I731">
        <v>25.5</v>
      </c>
      <c r="J731">
        <v>12</v>
      </c>
      <c r="K731">
        <v>9.8000000000000007</v>
      </c>
      <c r="L731" t="e">
        <v>#N/A</v>
      </c>
      <c r="M731">
        <v>1.97</v>
      </c>
      <c r="N731">
        <v>0.17100000000000001</v>
      </c>
      <c r="O731" t="e">
        <v>#N/A</v>
      </c>
      <c r="P731">
        <v>0.40400000000000003</v>
      </c>
      <c r="Q731">
        <v>13</v>
      </c>
    </row>
    <row r="732" spans="1:17" x14ac:dyDescent="0.25">
      <c r="A732" s="1">
        <v>42251</v>
      </c>
      <c r="B732">
        <v>4.55</v>
      </c>
      <c r="C732">
        <v>107.8</v>
      </c>
      <c r="D732">
        <v>2.3140000000000001</v>
      </c>
      <c r="E732">
        <v>6</v>
      </c>
      <c r="F732">
        <v>3.85</v>
      </c>
      <c r="G732">
        <v>1.2</v>
      </c>
      <c r="H732" s="15">
        <v>2.7</v>
      </c>
      <c r="I732">
        <v>24.85</v>
      </c>
      <c r="J732">
        <v>11.9</v>
      </c>
      <c r="K732">
        <v>9.5540000000000003</v>
      </c>
      <c r="L732">
        <v>0.82</v>
      </c>
      <c r="M732">
        <v>1.96</v>
      </c>
      <c r="N732">
        <v>0.17100000000000001</v>
      </c>
      <c r="O732">
        <v>1.92</v>
      </c>
      <c r="P732">
        <v>0.39900000000000002</v>
      </c>
      <c r="Q732">
        <v>15</v>
      </c>
    </row>
    <row r="733" spans="1:17" x14ac:dyDescent="0.25">
      <c r="A733" s="1">
        <v>42254</v>
      </c>
      <c r="B733" t="e">
        <v>#N/A</v>
      </c>
      <c r="C733">
        <v>107.1</v>
      </c>
      <c r="D733">
        <v>2.2930000000000001</v>
      </c>
      <c r="E733">
        <v>6</v>
      </c>
      <c r="F733" t="e">
        <v>#N/A</v>
      </c>
      <c r="G733">
        <v>1.2</v>
      </c>
      <c r="H733" s="15" t="e">
        <v>#N/A</v>
      </c>
      <c r="I733">
        <v>25</v>
      </c>
      <c r="J733">
        <v>12</v>
      </c>
      <c r="K733">
        <v>9.5540000000000003</v>
      </c>
      <c r="L733">
        <v>0.75</v>
      </c>
      <c r="M733">
        <v>1.96</v>
      </c>
      <c r="N733">
        <v>0.16500000000000001</v>
      </c>
      <c r="O733">
        <v>1.91</v>
      </c>
      <c r="P733">
        <v>0.39</v>
      </c>
      <c r="Q733">
        <v>12</v>
      </c>
    </row>
    <row r="734" spans="1:17" x14ac:dyDescent="0.25">
      <c r="A734" s="1">
        <v>42255</v>
      </c>
      <c r="B734">
        <v>4.55</v>
      </c>
      <c r="C734">
        <v>108.3</v>
      </c>
      <c r="D734">
        <v>2.2930000000000001</v>
      </c>
      <c r="E734">
        <v>6.3</v>
      </c>
      <c r="F734">
        <v>3.93</v>
      </c>
      <c r="G734">
        <v>1.18</v>
      </c>
      <c r="H734" s="15">
        <v>2.7</v>
      </c>
      <c r="I734">
        <v>24.9</v>
      </c>
      <c r="J734" t="e">
        <v>#N/A</v>
      </c>
      <c r="K734">
        <v>9.5640000000000001</v>
      </c>
      <c r="L734">
        <v>0.85</v>
      </c>
      <c r="M734" t="e">
        <v>#N/A</v>
      </c>
      <c r="N734">
        <v>0.16200000000000001</v>
      </c>
      <c r="O734">
        <v>1.88</v>
      </c>
      <c r="P734">
        <v>0.40500000000000003</v>
      </c>
      <c r="Q734">
        <v>13</v>
      </c>
    </row>
    <row r="735" spans="1:17" x14ac:dyDescent="0.25">
      <c r="A735" s="1">
        <v>42256</v>
      </c>
      <c r="B735">
        <v>4.76</v>
      </c>
      <c r="C735">
        <v>107.5</v>
      </c>
      <c r="D735">
        <v>2.2789999999999999</v>
      </c>
      <c r="E735">
        <v>6.1</v>
      </c>
      <c r="F735">
        <v>3.93</v>
      </c>
      <c r="G735">
        <v>1.18</v>
      </c>
      <c r="H735" s="15">
        <v>2.7</v>
      </c>
      <c r="I735">
        <v>25</v>
      </c>
      <c r="J735">
        <v>11.9</v>
      </c>
      <c r="K735">
        <v>9.6229999999999993</v>
      </c>
      <c r="L735">
        <v>0.87</v>
      </c>
      <c r="M735" t="e">
        <v>#N/A</v>
      </c>
      <c r="N735">
        <v>0.159</v>
      </c>
      <c r="O735">
        <v>1.85</v>
      </c>
      <c r="P735">
        <v>0.4</v>
      </c>
      <c r="Q735">
        <v>14</v>
      </c>
    </row>
    <row r="736" spans="1:17" x14ac:dyDescent="0.25">
      <c r="A736" s="1">
        <v>42257</v>
      </c>
      <c r="B736">
        <v>4.95</v>
      </c>
      <c r="C736">
        <v>108.7</v>
      </c>
      <c r="D736" t="e">
        <v>#N/A</v>
      </c>
      <c r="E736">
        <v>6.1</v>
      </c>
      <c r="F736" t="e">
        <v>#N/A</v>
      </c>
      <c r="G736" t="e">
        <v>#N/A</v>
      </c>
      <c r="H736" s="15">
        <v>2.7</v>
      </c>
      <c r="I736">
        <v>25</v>
      </c>
      <c r="J736">
        <v>11.89</v>
      </c>
      <c r="K736">
        <v>9.6920000000000002</v>
      </c>
      <c r="L736">
        <v>0.88</v>
      </c>
      <c r="M736">
        <v>1.93</v>
      </c>
      <c r="N736">
        <v>0.15</v>
      </c>
      <c r="O736">
        <v>1.9</v>
      </c>
      <c r="P736" t="e">
        <v>#N/A</v>
      </c>
      <c r="Q736">
        <v>11</v>
      </c>
    </row>
    <row r="737" spans="1:17" x14ac:dyDescent="0.25">
      <c r="A737" s="1">
        <v>42258</v>
      </c>
      <c r="B737">
        <v>5.05</v>
      </c>
      <c r="C737">
        <v>110.6</v>
      </c>
      <c r="D737">
        <v>2.2570000000000001</v>
      </c>
      <c r="E737" t="e">
        <v>#N/A</v>
      </c>
      <c r="F737">
        <v>3.6440000000000001</v>
      </c>
      <c r="G737">
        <v>1.18</v>
      </c>
      <c r="H737" s="15">
        <v>2.7</v>
      </c>
      <c r="I737">
        <v>24.86</v>
      </c>
      <c r="J737">
        <v>12</v>
      </c>
      <c r="K737">
        <v>9.8000000000000007</v>
      </c>
      <c r="L737">
        <v>0.88</v>
      </c>
      <c r="M737" t="e">
        <v>#N/A</v>
      </c>
      <c r="N737">
        <v>0.15</v>
      </c>
      <c r="O737">
        <v>1.9</v>
      </c>
      <c r="P737">
        <v>0.39</v>
      </c>
      <c r="Q737">
        <v>13</v>
      </c>
    </row>
    <row r="738" spans="1:17" x14ac:dyDescent="0.25">
      <c r="A738" s="1">
        <v>42261</v>
      </c>
      <c r="B738">
        <v>5.05</v>
      </c>
      <c r="C738">
        <v>109.9</v>
      </c>
      <c r="D738">
        <v>2.2069999999999999</v>
      </c>
      <c r="E738">
        <v>6.08</v>
      </c>
      <c r="F738">
        <v>3.6160000000000001</v>
      </c>
      <c r="G738">
        <v>1.17</v>
      </c>
      <c r="H738" s="15" t="e">
        <v>#N/A</v>
      </c>
      <c r="I738">
        <v>25</v>
      </c>
      <c r="J738">
        <v>12</v>
      </c>
      <c r="K738">
        <v>9.8800000000000008</v>
      </c>
      <c r="L738" t="e">
        <v>#N/A</v>
      </c>
      <c r="M738">
        <v>1.88</v>
      </c>
      <c r="N738">
        <v>0.15</v>
      </c>
      <c r="O738">
        <v>1.9</v>
      </c>
      <c r="P738">
        <v>0.38800000000000001</v>
      </c>
      <c r="Q738">
        <v>13</v>
      </c>
    </row>
    <row r="739" spans="1:17" x14ac:dyDescent="0.25">
      <c r="A739" s="1">
        <v>42262</v>
      </c>
      <c r="B739">
        <v>5.0599999999999996</v>
      </c>
      <c r="C739">
        <v>108.9</v>
      </c>
      <c r="D739">
        <v>2.2069999999999999</v>
      </c>
      <c r="E739">
        <v>6</v>
      </c>
      <c r="F739">
        <v>3.6160000000000001</v>
      </c>
      <c r="G739">
        <v>1.2</v>
      </c>
      <c r="H739" s="15">
        <v>2.7</v>
      </c>
      <c r="I739">
        <v>25</v>
      </c>
      <c r="J739">
        <v>12</v>
      </c>
      <c r="K739">
        <v>9.8699999999999992</v>
      </c>
      <c r="L739">
        <v>0.85</v>
      </c>
      <c r="M739" t="e">
        <v>#N/A</v>
      </c>
      <c r="N739">
        <v>0.14499999999999999</v>
      </c>
      <c r="O739">
        <v>1.9</v>
      </c>
      <c r="P739">
        <v>0.38</v>
      </c>
      <c r="Q739">
        <v>14</v>
      </c>
    </row>
    <row r="740" spans="1:17" x14ac:dyDescent="0.25">
      <c r="A740" s="1">
        <v>42263</v>
      </c>
      <c r="B740">
        <v>5.0599999999999996</v>
      </c>
      <c r="C740">
        <v>110.05</v>
      </c>
      <c r="D740">
        <v>2.2069999999999999</v>
      </c>
      <c r="E740">
        <v>6.49</v>
      </c>
      <c r="F740">
        <v>3.6629999999999998</v>
      </c>
      <c r="G740">
        <v>1.2</v>
      </c>
      <c r="H740" s="15">
        <v>2.7</v>
      </c>
      <c r="I740">
        <v>25</v>
      </c>
      <c r="J740">
        <v>12</v>
      </c>
      <c r="K740">
        <v>9.8000000000000007</v>
      </c>
      <c r="L740" t="e">
        <v>#N/A</v>
      </c>
      <c r="M740">
        <v>1.83</v>
      </c>
      <c r="N740">
        <v>0.14399999999999999</v>
      </c>
      <c r="O740">
        <v>1.93</v>
      </c>
      <c r="P740">
        <v>0.375</v>
      </c>
      <c r="Q740">
        <v>14</v>
      </c>
    </row>
    <row r="741" spans="1:17" x14ac:dyDescent="0.25">
      <c r="A741" s="1">
        <v>42264</v>
      </c>
      <c r="B741">
        <v>5.15</v>
      </c>
      <c r="C741">
        <v>109</v>
      </c>
      <c r="D741">
        <v>2.2069999999999999</v>
      </c>
      <c r="E741">
        <v>6.5</v>
      </c>
      <c r="F741">
        <v>3.6070000000000002</v>
      </c>
      <c r="G741">
        <v>1.22</v>
      </c>
      <c r="H741" s="15">
        <v>2.64</v>
      </c>
      <c r="I741">
        <v>25</v>
      </c>
      <c r="J741">
        <v>12</v>
      </c>
      <c r="K741">
        <v>9.75</v>
      </c>
      <c r="L741" t="e">
        <v>#N/A</v>
      </c>
      <c r="M741">
        <v>1.8</v>
      </c>
      <c r="N741">
        <v>0.13600000000000001</v>
      </c>
      <c r="O741">
        <v>2</v>
      </c>
      <c r="P741">
        <v>0.4</v>
      </c>
      <c r="Q741">
        <v>14</v>
      </c>
    </row>
    <row r="742" spans="1:17" x14ac:dyDescent="0.25">
      <c r="A742" s="1">
        <v>42265</v>
      </c>
      <c r="B742">
        <v>5.2</v>
      </c>
      <c r="C742">
        <v>108.5</v>
      </c>
      <c r="D742">
        <v>2.2069999999999999</v>
      </c>
      <c r="E742">
        <v>6.8</v>
      </c>
      <c r="F742">
        <v>3.6070000000000002</v>
      </c>
      <c r="G742">
        <v>1.25</v>
      </c>
      <c r="H742" s="15">
        <v>2.57</v>
      </c>
      <c r="I742">
        <v>25.23</v>
      </c>
      <c r="J742">
        <v>12</v>
      </c>
      <c r="K742">
        <v>10.1</v>
      </c>
      <c r="L742">
        <v>0.8</v>
      </c>
      <c r="M742">
        <v>1.8</v>
      </c>
      <c r="N742">
        <v>0.13600000000000001</v>
      </c>
      <c r="O742">
        <v>1.93</v>
      </c>
      <c r="P742">
        <v>0.39800000000000002</v>
      </c>
      <c r="Q742">
        <v>15</v>
      </c>
    </row>
    <row r="743" spans="1:17" x14ac:dyDescent="0.25">
      <c r="A743" s="1">
        <v>42268</v>
      </c>
      <c r="B743">
        <v>5.15</v>
      </c>
      <c r="C743">
        <v>108.5</v>
      </c>
      <c r="D743">
        <v>2.2069999999999999</v>
      </c>
      <c r="E743">
        <v>6.6</v>
      </c>
      <c r="F743">
        <v>3.7090000000000001</v>
      </c>
      <c r="G743">
        <v>1.25</v>
      </c>
      <c r="H743" s="15">
        <v>2.5299999999999998</v>
      </c>
      <c r="I743">
        <v>25.23</v>
      </c>
      <c r="J743">
        <v>12.1</v>
      </c>
      <c r="K743">
        <v>10.1</v>
      </c>
      <c r="L743">
        <v>0.75</v>
      </c>
      <c r="M743">
        <v>1.8</v>
      </c>
      <c r="N743">
        <v>0.13600000000000001</v>
      </c>
      <c r="O743" t="e">
        <v>#N/A</v>
      </c>
      <c r="P743">
        <v>0.38</v>
      </c>
      <c r="Q743">
        <v>14</v>
      </c>
    </row>
    <row r="744" spans="1:17" x14ac:dyDescent="0.25">
      <c r="A744" s="1">
        <v>42269</v>
      </c>
      <c r="B744">
        <v>5.09</v>
      </c>
      <c r="C744">
        <v>106</v>
      </c>
      <c r="D744">
        <v>2.1789999999999998</v>
      </c>
      <c r="E744">
        <v>6.12</v>
      </c>
      <c r="F744">
        <v>3.7650000000000001</v>
      </c>
      <c r="G744">
        <v>1.25</v>
      </c>
      <c r="H744" s="15">
        <v>2.52</v>
      </c>
      <c r="I744">
        <v>25.2</v>
      </c>
      <c r="J744" t="e">
        <v>#N/A</v>
      </c>
      <c r="K744" t="e">
        <v>#N/A</v>
      </c>
      <c r="L744">
        <v>0.75</v>
      </c>
      <c r="M744">
        <v>1.8</v>
      </c>
      <c r="N744">
        <v>0.13100000000000001</v>
      </c>
      <c r="O744">
        <v>1.9</v>
      </c>
      <c r="P744">
        <v>0.37</v>
      </c>
      <c r="Q744">
        <v>13</v>
      </c>
    </row>
    <row r="745" spans="1:17" x14ac:dyDescent="0.25">
      <c r="A745" s="1">
        <v>42270</v>
      </c>
      <c r="B745">
        <v>5.0999999999999996</v>
      </c>
      <c r="C745">
        <v>105.1</v>
      </c>
      <c r="D745">
        <v>2.1930000000000001</v>
      </c>
      <c r="E745">
        <v>6</v>
      </c>
      <c r="F745">
        <v>3.6629999999999998</v>
      </c>
      <c r="G745">
        <v>1.24</v>
      </c>
      <c r="H745" s="15">
        <v>2.52</v>
      </c>
      <c r="I745">
        <v>25</v>
      </c>
      <c r="J745" t="e">
        <v>#N/A</v>
      </c>
      <c r="K745">
        <v>10.050000000000001</v>
      </c>
      <c r="L745" t="e">
        <v>#N/A</v>
      </c>
      <c r="M745" t="e">
        <v>#N/A</v>
      </c>
      <c r="N745">
        <v>0.13800000000000001</v>
      </c>
      <c r="O745">
        <v>1.9</v>
      </c>
      <c r="P745">
        <v>0.374</v>
      </c>
      <c r="Q745">
        <v>12</v>
      </c>
    </row>
    <row r="746" spans="1:17" x14ac:dyDescent="0.25">
      <c r="A746" s="1">
        <v>42271</v>
      </c>
      <c r="B746">
        <v>5.0999999999999996</v>
      </c>
      <c r="C746">
        <v>103</v>
      </c>
      <c r="D746">
        <v>2.1930000000000001</v>
      </c>
      <c r="E746">
        <v>6.21</v>
      </c>
      <c r="F746">
        <v>3.6440000000000001</v>
      </c>
      <c r="G746">
        <v>1.25</v>
      </c>
      <c r="H746" s="15">
        <v>2.52</v>
      </c>
      <c r="I746">
        <v>25</v>
      </c>
      <c r="J746">
        <v>11.95</v>
      </c>
      <c r="K746">
        <v>10</v>
      </c>
      <c r="L746">
        <v>0.7</v>
      </c>
      <c r="M746">
        <v>1.8</v>
      </c>
      <c r="N746">
        <v>0.13800000000000001</v>
      </c>
      <c r="O746">
        <v>1.89</v>
      </c>
      <c r="P746">
        <v>0.36</v>
      </c>
      <c r="Q746">
        <v>15</v>
      </c>
    </row>
    <row r="747" spans="1:17" x14ac:dyDescent="0.25">
      <c r="A747" s="1">
        <v>42272</v>
      </c>
      <c r="B747">
        <v>5.0999999999999996</v>
      </c>
      <c r="C747">
        <v>101.5</v>
      </c>
      <c r="D747">
        <v>2.1720000000000002</v>
      </c>
      <c r="E747" t="e">
        <v>#N/A</v>
      </c>
      <c r="F747">
        <v>3.6440000000000001</v>
      </c>
      <c r="G747">
        <v>1.25</v>
      </c>
      <c r="H747" s="15">
        <v>2.5299999999999998</v>
      </c>
      <c r="I747">
        <v>25</v>
      </c>
      <c r="J747">
        <v>12</v>
      </c>
      <c r="K747">
        <v>9.9</v>
      </c>
      <c r="L747">
        <v>0.75</v>
      </c>
      <c r="M747">
        <v>1.8</v>
      </c>
      <c r="N747">
        <v>0.14000000000000001</v>
      </c>
      <c r="O747">
        <v>1.85</v>
      </c>
      <c r="P747">
        <v>0.36</v>
      </c>
      <c r="Q747">
        <v>14</v>
      </c>
    </row>
    <row r="748" spans="1:17" x14ac:dyDescent="0.25">
      <c r="A748" s="1">
        <v>42275</v>
      </c>
      <c r="B748">
        <v>5.0999999999999996</v>
      </c>
      <c r="C748">
        <v>100.5</v>
      </c>
      <c r="D748">
        <v>2.1360000000000001</v>
      </c>
      <c r="E748">
        <v>5.8</v>
      </c>
      <c r="F748">
        <v>3.6629999999999998</v>
      </c>
      <c r="G748">
        <v>1.24</v>
      </c>
      <c r="H748" s="15">
        <v>2.37</v>
      </c>
      <c r="I748">
        <v>24.6</v>
      </c>
      <c r="J748">
        <v>11.98</v>
      </c>
      <c r="K748">
        <v>9.9</v>
      </c>
      <c r="L748">
        <v>0.75</v>
      </c>
      <c r="M748">
        <v>1.8</v>
      </c>
      <c r="N748">
        <v>0.14000000000000001</v>
      </c>
      <c r="O748">
        <v>1.85</v>
      </c>
      <c r="P748">
        <v>0.35</v>
      </c>
      <c r="Q748">
        <v>15</v>
      </c>
    </row>
    <row r="749" spans="1:17" x14ac:dyDescent="0.25">
      <c r="A749" s="1">
        <v>42276</v>
      </c>
      <c r="B749">
        <v>5.08</v>
      </c>
      <c r="C749">
        <v>103.82</v>
      </c>
      <c r="D749">
        <v>2.1360000000000001</v>
      </c>
      <c r="E749">
        <v>5.86</v>
      </c>
      <c r="F749">
        <v>3.6259999999999999</v>
      </c>
      <c r="G749">
        <v>1.25</v>
      </c>
      <c r="H749" s="15">
        <v>2.38</v>
      </c>
      <c r="I749">
        <v>24.6</v>
      </c>
      <c r="J749">
        <v>11.75</v>
      </c>
      <c r="K749">
        <v>9.9499999999999993</v>
      </c>
      <c r="L749" t="e">
        <v>#N/A</v>
      </c>
      <c r="M749">
        <v>1.79</v>
      </c>
      <c r="N749">
        <v>0.14000000000000001</v>
      </c>
      <c r="O749">
        <v>1.85</v>
      </c>
      <c r="P749">
        <v>0.35</v>
      </c>
      <c r="Q749">
        <v>14</v>
      </c>
    </row>
    <row r="750" spans="1:17" x14ac:dyDescent="0.25">
      <c r="A750" s="1">
        <v>42277</v>
      </c>
      <c r="B750">
        <v>5.08</v>
      </c>
      <c r="C750">
        <v>106</v>
      </c>
      <c r="D750">
        <v>2.15</v>
      </c>
      <c r="E750">
        <v>5.91</v>
      </c>
      <c r="F750">
        <v>3.57</v>
      </c>
      <c r="G750">
        <v>1.26</v>
      </c>
      <c r="H750" s="15">
        <v>2.6</v>
      </c>
      <c r="I750">
        <v>25.49</v>
      </c>
      <c r="J750">
        <v>11.95</v>
      </c>
      <c r="K750">
        <v>9.9499999999999993</v>
      </c>
      <c r="L750">
        <v>0.75</v>
      </c>
      <c r="M750">
        <v>1.79</v>
      </c>
      <c r="N750">
        <v>0.14000000000000001</v>
      </c>
      <c r="O750">
        <v>1.87</v>
      </c>
      <c r="P750">
        <v>0.378</v>
      </c>
      <c r="Q750">
        <v>15</v>
      </c>
    </row>
    <row r="751" spans="1:17" x14ac:dyDescent="0.25">
      <c r="A751" s="1">
        <v>42278</v>
      </c>
      <c r="B751">
        <v>5.15</v>
      </c>
      <c r="C751">
        <v>106</v>
      </c>
      <c r="D751">
        <v>2.1930000000000001</v>
      </c>
      <c r="E751">
        <v>6.1</v>
      </c>
      <c r="F751">
        <v>3.66</v>
      </c>
      <c r="G751">
        <v>1.28</v>
      </c>
      <c r="H751" s="15">
        <v>2.68</v>
      </c>
      <c r="I751">
        <v>25.48</v>
      </c>
      <c r="J751" t="e">
        <v>#N/A</v>
      </c>
      <c r="K751">
        <v>10</v>
      </c>
      <c r="L751">
        <v>0.8</v>
      </c>
      <c r="M751">
        <v>1.8</v>
      </c>
      <c r="N751">
        <v>0.14000000000000001</v>
      </c>
      <c r="O751">
        <v>1.83</v>
      </c>
      <c r="P751">
        <v>0.38</v>
      </c>
      <c r="Q751">
        <v>14</v>
      </c>
    </row>
    <row r="752" spans="1:17" x14ac:dyDescent="0.25">
      <c r="A752" s="1">
        <v>42279</v>
      </c>
      <c r="B752">
        <v>5.15</v>
      </c>
      <c r="C752">
        <v>104</v>
      </c>
      <c r="D752">
        <v>2.15</v>
      </c>
      <c r="E752">
        <v>6.29</v>
      </c>
      <c r="F752">
        <v>3.65</v>
      </c>
      <c r="G752">
        <v>1.25</v>
      </c>
      <c r="H752" s="15">
        <v>2.5499999999999998</v>
      </c>
      <c r="I752">
        <v>25</v>
      </c>
      <c r="J752">
        <v>11.94</v>
      </c>
      <c r="K752">
        <v>9.9499999999999993</v>
      </c>
      <c r="L752">
        <v>0.8</v>
      </c>
      <c r="M752">
        <v>1.8</v>
      </c>
      <c r="N752">
        <v>0.14000000000000001</v>
      </c>
      <c r="O752">
        <v>1.8</v>
      </c>
      <c r="P752">
        <v>0.36199999999999999</v>
      </c>
      <c r="Q752">
        <v>15</v>
      </c>
    </row>
    <row r="753" spans="1:17" x14ac:dyDescent="0.25">
      <c r="A753" s="1">
        <v>42282</v>
      </c>
      <c r="B753">
        <v>5.32</v>
      </c>
      <c r="C753">
        <v>111.28</v>
      </c>
      <c r="D753">
        <v>2.15</v>
      </c>
      <c r="E753">
        <v>7.11</v>
      </c>
      <c r="F753">
        <v>3.65</v>
      </c>
      <c r="G753">
        <v>1.25</v>
      </c>
      <c r="H753" s="15">
        <v>2.58</v>
      </c>
      <c r="I753">
        <v>25</v>
      </c>
      <c r="J753">
        <v>11.94</v>
      </c>
      <c r="K753" t="e">
        <v>#N/A</v>
      </c>
      <c r="L753">
        <v>0.82</v>
      </c>
      <c r="M753">
        <v>1.82</v>
      </c>
      <c r="N753">
        <v>0.14000000000000001</v>
      </c>
      <c r="O753">
        <v>1.8</v>
      </c>
      <c r="P753">
        <v>0.38300000000000001</v>
      </c>
      <c r="Q753">
        <v>14</v>
      </c>
    </row>
    <row r="754" spans="1:17" x14ac:dyDescent="0.25">
      <c r="A754" s="1">
        <v>42283</v>
      </c>
      <c r="B754">
        <v>5.32</v>
      </c>
      <c r="C754">
        <v>113.1</v>
      </c>
      <c r="D754">
        <v>2.1930000000000001</v>
      </c>
      <c r="E754">
        <v>7.4</v>
      </c>
      <c r="F754">
        <v>3.65</v>
      </c>
      <c r="G754">
        <v>1.3</v>
      </c>
      <c r="H754" s="15">
        <v>2.4300000000000002</v>
      </c>
      <c r="I754">
        <v>25</v>
      </c>
      <c r="J754">
        <v>11.95</v>
      </c>
      <c r="K754">
        <v>9.9499999999999993</v>
      </c>
      <c r="L754">
        <v>0.84</v>
      </c>
      <c r="M754">
        <v>1.8</v>
      </c>
      <c r="N754">
        <v>0.14000000000000001</v>
      </c>
      <c r="O754">
        <v>1.8</v>
      </c>
      <c r="P754">
        <v>0.38</v>
      </c>
      <c r="Q754">
        <v>15</v>
      </c>
    </row>
    <row r="755" spans="1:17" x14ac:dyDescent="0.25">
      <c r="A755" s="1">
        <v>42284</v>
      </c>
      <c r="B755">
        <v>5.4</v>
      </c>
      <c r="C755">
        <v>114.82</v>
      </c>
      <c r="D755">
        <v>2.2789999999999999</v>
      </c>
      <c r="E755">
        <v>7.3</v>
      </c>
      <c r="F755">
        <v>3.72</v>
      </c>
      <c r="G755">
        <v>1.3</v>
      </c>
      <c r="H755" s="15">
        <v>2.52</v>
      </c>
      <c r="I755">
        <v>25.01</v>
      </c>
      <c r="J755">
        <v>11.95</v>
      </c>
      <c r="K755">
        <v>9.9499999999999993</v>
      </c>
      <c r="L755">
        <v>0.86</v>
      </c>
      <c r="M755">
        <v>1.85</v>
      </c>
      <c r="N755">
        <v>0.14000000000000001</v>
      </c>
      <c r="O755">
        <v>1.8</v>
      </c>
      <c r="P755">
        <v>0.378</v>
      </c>
      <c r="Q755">
        <v>15</v>
      </c>
    </row>
    <row r="756" spans="1:17" x14ac:dyDescent="0.25">
      <c r="A756" s="1">
        <v>42289</v>
      </c>
      <c r="B756">
        <v>5.4</v>
      </c>
      <c r="C756">
        <v>114.4</v>
      </c>
      <c r="D756">
        <v>2.2789999999999999</v>
      </c>
      <c r="E756">
        <v>7.5</v>
      </c>
      <c r="F756">
        <v>3.75</v>
      </c>
      <c r="G756">
        <v>1.26</v>
      </c>
      <c r="H756" s="15">
        <v>2.54</v>
      </c>
      <c r="I756">
        <v>24.6</v>
      </c>
      <c r="J756" t="e">
        <v>#N/A</v>
      </c>
      <c r="K756" t="e">
        <v>#N/A</v>
      </c>
      <c r="L756">
        <v>0.88</v>
      </c>
      <c r="M756">
        <v>1.82</v>
      </c>
      <c r="N756">
        <v>0.14000000000000001</v>
      </c>
      <c r="O756">
        <v>1.83</v>
      </c>
      <c r="P756">
        <v>0.372</v>
      </c>
      <c r="Q756">
        <v>13</v>
      </c>
    </row>
    <row r="757" spans="1:17" x14ac:dyDescent="0.25">
      <c r="A757" s="1">
        <v>42290</v>
      </c>
      <c r="B757">
        <v>5.35</v>
      </c>
      <c r="C757">
        <v>114.7</v>
      </c>
      <c r="D757">
        <v>2.2069999999999999</v>
      </c>
      <c r="E757">
        <v>7.42</v>
      </c>
      <c r="F757">
        <v>3.76</v>
      </c>
      <c r="G757">
        <v>1.26</v>
      </c>
      <c r="H757" s="15">
        <v>2.56</v>
      </c>
      <c r="I757">
        <v>25</v>
      </c>
      <c r="J757">
        <v>11.75</v>
      </c>
      <c r="K757">
        <v>9.8000000000000007</v>
      </c>
      <c r="L757">
        <v>0.87</v>
      </c>
      <c r="M757">
        <v>1.8</v>
      </c>
      <c r="N757">
        <v>0.13500000000000001</v>
      </c>
      <c r="O757">
        <v>1.8</v>
      </c>
      <c r="P757">
        <v>0.372</v>
      </c>
      <c r="Q757">
        <v>15</v>
      </c>
    </row>
    <row r="758" spans="1:17" x14ac:dyDescent="0.25">
      <c r="A758" s="1">
        <v>42291</v>
      </c>
      <c r="B758">
        <v>5.35</v>
      </c>
      <c r="C758">
        <v>116</v>
      </c>
      <c r="D758">
        <v>2.2069999999999999</v>
      </c>
      <c r="E758">
        <v>8.0399999999999991</v>
      </c>
      <c r="F758">
        <v>3.78</v>
      </c>
      <c r="G758">
        <v>1.27</v>
      </c>
      <c r="H758" s="15">
        <v>2.6</v>
      </c>
      <c r="I758">
        <v>25</v>
      </c>
      <c r="J758">
        <v>11.75</v>
      </c>
      <c r="K758">
        <v>9.8000000000000007</v>
      </c>
      <c r="L758">
        <v>0.87</v>
      </c>
      <c r="M758">
        <v>1.8</v>
      </c>
      <c r="N758">
        <v>0.13500000000000001</v>
      </c>
      <c r="O758">
        <v>1.8</v>
      </c>
      <c r="P758">
        <v>0.372</v>
      </c>
      <c r="Q758">
        <v>15</v>
      </c>
    </row>
    <row r="759" spans="1:17" x14ac:dyDescent="0.25">
      <c r="A759" s="1">
        <v>42292</v>
      </c>
      <c r="B759" t="e">
        <v>#N/A</v>
      </c>
      <c r="C759">
        <v>114.5</v>
      </c>
      <c r="D759">
        <v>2.2149999999999999</v>
      </c>
      <c r="E759">
        <v>8.0500000000000007</v>
      </c>
      <c r="F759">
        <v>4.05</v>
      </c>
      <c r="G759">
        <v>1.28</v>
      </c>
      <c r="H759" s="15">
        <v>2.64</v>
      </c>
      <c r="I759">
        <v>25</v>
      </c>
      <c r="J759">
        <v>11.7</v>
      </c>
      <c r="K759">
        <v>9.8000000000000007</v>
      </c>
      <c r="L759">
        <v>0.87</v>
      </c>
      <c r="M759">
        <v>1.83</v>
      </c>
      <c r="N759">
        <v>0.14000000000000001</v>
      </c>
      <c r="O759">
        <v>1.84</v>
      </c>
      <c r="P759">
        <v>0.36899999999999999</v>
      </c>
      <c r="Q759">
        <v>14</v>
      </c>
    </row>
    <row r="760" spans="1:17" x14ac:dyDescent="0.25">
      <c r="A760" s="1">
        <v>42293</v>
      </c>
      <c r="B760">
        <v>5.28</v>
      </c>
      <c r="C760">
        <v>114.4</v>
      </c>
      <c r="D760">
        <v>2.2069999999999999</v>
      </c>
      <c r="E760">
        <v>7.8</v>
      </c>
      <c r="F760">
        <v>4.0199999999999996</v>
      </c>
      <c r="G760">
        <v>1.27</v>
      </c>
      <c r="H760" s="15">
        <v>2.52</v>
      </c>
      <c r="I760">
        <v>24.9</v>
      </c>
      <c r="J760">
        <v>11.71</v>
      </c>
      <c r="K760">
        <v>9.69</v>
      </c>
      <c r="L760">
        <v>0.83</v>
      </c>
      <c r="M760">
        <v>1.8</v>
      </c>
      <c r="N760">
        <v>0.13200000000000001</v>
      </c>
      <c r="O760">
        <v>1.75</v>
      </c>
      <c r="P760">
        <v>0.35599999999999998</v>
      </c>
      <c r="Q760">
        <v>15</v>
      </c>
    </row>
    <row r="761" spans="1:17" x14ac:dyDescent="0.25">
      <c r="A761" s="1">
        <v>42296</v>
      </c>
      <c r="B761" t="e">
        <v>#N/A</v>
      </c>
      <c r="C761">
        <v>113.51</v>
      </c>
      <c r="D761">
        <v>2.2069999999999999</v>
      </c>
      <c r="E761">
        <v>7.6</v>
      </c>
      <c r="F761">
        <v>4.05</v>
      </c>
      <c r="G761">
        <v>1.29</v>
      </c>
      <c r="H761" s="15">
        <v>2.5</v>
      </c>
      <c r="I761">
        <v>24.9</v>
      </c>
      <c r="J761" t="e">
        <v>#N/A</v>
      </c>
      <c r="K761">
        <v>9.5329999999999995</v>
      </c>
      <c r="L761">
        <v>0.8</v>
      </c>
      <c r="M761">
        <v>1.8</v>
      </c>
      <c r="N761">
        <v>0.13400000000000001</v>
      </c>
      <c r="O761">
        <v>1.7270000000000001</v>
      </c>
      <c r="P761">
        <v>0.35599999999999998</v>
      </c>
      <c r="Q761">
        <v>13</v>
      </c>
    </row>
    <row r="762" spans="1:17" x14ac:dyDescent="0.25">
      <c r="A762" s="1">
        <v>42297</v>
      </c>
      <c r="B762">
        <v>5.27</v>
      </c>
      <c r="C762">
        <v>114.55</v>
      </c>
      <c r="D762">
        <v>2.2069999999999999</v>
      </c>
      <c r="E762">
        <v>7.76</v>
      </c>
      <c r="F762">
        <v>4.2699999999999996</v>
      </c>
      <c r="G762">
        <v>1.29</v>
      </c>
      <c r="H762" s="15">
        <v>2.5099999999999998</v>
      </c>
      <c r="I762">
        <v>24.5</v>
      </c>
      <c r="J762">
        <v>11.55</v>
      </c>
      <c r="K762">
        <v>9.3759999999999994</v>
      </c>
      <c r="L762" t="e">
        <v>#N/A</v>
      </c>
      <c r="M762">
        <v>1.8</v>
      </c>
      <c r="N762">
        <v>0.13400000000000001</v>
      </c>
      <c r="O762">
        <v>1.7569999999999999</v>
      </c>
      <c r="P762">
        <v>0.36499999999999999</v>
      </c>
      <c r="Q762">
        <v>14</v>
      </c>
    </row>
    <row r="763" spans="1:17" x14ac:dyDescent="0.25">
      <c r="A763" s="1">
        <v>42298</v>
      </c>
      <c r="B763">
        <v>5.27</v>
      </c>
      <c r="C763">
        <v>113.1</v>
      </c>
      <c r="D763">
        <v>2.2429999999999999</v>
      </c>
      <c r="E763">
        <v>7.5</v>
      </c>
      <c r="F763">
        <v>4.25</v>
      </c>
      <c r="G763">
        <v>1.3</v>
      </c>
      <c r="H763" s="15">
        <v>2.5</v>
      </c>
      <c r="I763">
        <v>24.6</v>
      </c>
      <c r="J763">
        <v>11.55</v>
      </c>
      <c r="K763">
        <v>9.3759999999999994</v>
      </c>
      <c r="L763">
        <v>0.81</v>
      </c>
      <c r="M763">
        <v>1.81</v>
      </c>
      <c r="N763">
        <v>0.13400000000000001</v>
      </c>
      <c r="O763">
        <v>1.7569999999999999</v>
      </c>
      <c r="P763">
        <v>0.36499999999999999</v>
      </c>
      <c r="Q763">
        <v>15</v>
      </c>
    </row>
    <row r="764" spans="1:17" x14ac:dyDescent="0.25">
      <c r="A764" s="1">
        <v>42299</v>
      </c>
      <c r="B764">
        <v>5.35</v>
      </c>
      <c r="C764">
        <v>114.05</v>
      </c>
      <c r="D764">
        <v>2.2360000000000002</v>
      </c>
      <c r="E764">
        <v>7.82</v>
      </c>
      <c r="F764">
        <v>4.1500000000000004</v>
      </c>
      <c r="G764">
        <v>1.3</v>
      </c>
      <c r="H764" s="15">
        <v>2.5099999999999998</v>
      </c>
      <c r="I764">
        <v>24.6</v>
      </c>
      <c r="J764">
        <v>11.7</v>
      </c>
      <c r="K764">
        <v>9.3559999999999999</v>
      </c>
      <c r="L764">
        <v>0.81</v>
      </c>
      <c r="M764">
        <v>1.8</v>
      </c>
      <c r="N764">
        <v>0.13400000000000001</v>
      </c>
      <c r="O764">
        <v>1.7569999999999999</v>
      </c>
      <c r="P764">
        <v>0.36799999999999999</v>
      </c>
      <c r="Q764">
        <v>15</v>
      </c>
    </row>
    <row r="765" spans="1:17" x14ac:dyDescent="0.25">
      <c r="A765" s="1">
        <v>42300</v>
      </c>
      <c r="B765">
        <v>5.5</v>
      </c>
      <c r="C765">
        <v>114.55</v>
      </c>
      <c r="D765">
        <v>2.2360000000000002</v>
      </c>
      <c r="E765">
        <v>7.99</v>
      </c>
      <c r="F765">
        <v>4.1500000000000004</v>
      </c>
      <c r="G765">
        <v>1.31</v>
      </c>
      <c r="H765" s="15">
        <v>2.48</v>
      </c>
      <c r="I765">
        <v>25</v>
      </c>
      <c r="J765">
        <v>11.76</v>
      </c>
      <c r="K765">
        <v>9.5530000000000008</v>
      </c>
      <c r="L765">
        <v>0.83</v>
      </c>
      <c r="M765">
        <v>1.8</v>
      </c>
      <c r="N765">
        <v>0.13400000000000001</v>
      </c>
      <c r="O765">
        <v>1.7470000000000001</v>
      </c>
      <c r="P765">
        <v>0.35</v>
      </c>
      <c r="Q765">
        <v>15</v>
      </c>
    </row>
    <row r="766" spans="1:17" x14ac:dyDescent="0.25">
      <c r="A766" s="1">
        <v>42303</v>
      </c>
      <c r="B766" t="e">
        <v>#N/A</v>
      </c>
      <c r="C766">
        <v>115</v>
      </c>
      <c r="D766">
        <v>2.2789999999999999</v>
      </c>
      <c r="E766">
        <v>7.75</v>
      </c>
      <c r="F766">
        <v>4.1500000000000004</v>
      </c>
      <c r="G766">
        <v>1.31</v>
      </c>
      <c r="H766" s="15">
        <v>2.65</v>
      </c>
      <c r="I766">
        <v>25.3</v>
      </c>
      <c r="J766">
        <v>11.76</v>
      </c>
      <c r="K766">
        <v>9.6709999999999994</v>
      </c>
      <c r="L766">
        <v>0.83</v>
      </c>
      <c r="M766" t="e">
        <v>#N/A</v>
      </c>
      <c r="N766">
        <v>0.14099999999999999</v>
      </c>
      <c r="O766">
        <v>1.7370000000000001</v>
      </c>
      <c r="P766">
        <v>0.35</v>
      </c>
      <c r="Q766">
        <v>13</v>
      </c>
    </row>
    <row r="767" spans="1:17" x14ac:dyDescent="0.25">
      <c r="A767" s="1">
        <v>42304</v>
      </c>
      <c r="B767">
        <v>5.5</v>
      </c>
      <c r="C767">
        <v>114</v>
      </c>
      <c r="D767">
        <v>2.25</v>
      </c>
      <c r="E767">
        <v>7.55</v>
      </c>
      <c r="F767">
        <v>4.05</v>
      </c>
      <c r="G767">
        <v>1.3</v>
      </c>
      <c r="H767" s="15">
        <v>2.65</v>
      </c>
      <c r="I767">
        <v>25.1</v>
      </c>
      <c r="J767">
        <v>11.76</v>
      </c>
      <c r="K767">
        <v>9.6319999999999997</v>
      </c>
      <c r="L767">
        <v>0.83</v>
      </c>
      <c r="M767">
        <v>1.8</v>
      </c>
      <c r="N767">
        <v>0.13200000000000001</v>
      </c>
      <c r="O767">
        <v>1.7370000000000001</v>
      </c>
      <c r="P767">
        <v>0.32100000000000001</v>
      </c>
      <c r="Q767">
        <v>15</v>
      </c>
    </row>
    <row r="768" spans="1:17" x14ac:dyDescent="0.25">
      <c r="A768" s="1">
        <v>42305</v>
      </c>
      <c r="B768">
        <v>5.65</v>
      </c>
      <c r="C768">
        <v>113.7</v>
      </c>
      <c r="D768">
        <v>2.2429999999999999</v>
      </c>
      <c r="E768">
        <v>7.4</v>
      </c>
      <c r="F768">
        <v>4.2</v>
      </c>
      <c r="G768">
        <v>1.3</v>
      </c>
      <c r="H768" s="15">
        <v>2.65</v>
      </c>
      <c r="I768">
        <v>25</v>
      </c>
      <c r="J768">
        <v>11.96</v>
      </c>
      <c r="K768">
        <v>9.5530000000000008</v>
      </c>
      <c r="L768">
        <v>0.8</v>
      </c>
      <c r="M768" t="e">
        <v>#N/A</v>
      </c>
      <c r="N768">
        <v>0.13600000000000001</v>
      </c>
      <c r="O768">
        <v>1.7370000000000001</v>
      </c>
      <c r="P768">
        <v>0.33500000000000002</v>
      </c>
      <c r="Q768">
        <v>14</v>
      </c>
    </row>
    <row r="769" spans="1:17" x14ac:dyDescent="0.25">
      <c r="A769" s="1">
        <v>42306</v>
      </c>
      <c r="B769">
        <v>5.58</v>
      </c>
      <c r="C769">
        <v>114</v>
      </c>
      <c r="D769">
        <v>2.2429999999999999</v>
      </c>
      <c r="E769">
        <v>7</v>
      </c>
      <c r="F769">
        <v>4.3</v>
      </c>
      <c r="G769">
        <v>1.35</v>
      </c>
      <c r="H769" s="15">
        <v>2.63</v>
      </c>
      <c r="I769">
        <v>24.9</v>
      </c>
      <c r="J769">
        <v>12.01</v>
      </c>
      <c r="K769">
        <v>9.4049999999999994</v>
      </c>
      <c r="L769">
        <v>0.78</v>
      </c>
      <c r="M769">
        <v>1.8</v>
      </c>
      <c r="N769">
        <v>0.13</v>
      </c>
      <c r="O769">
        <v>1.7470000000000001</v>
      </c>
      <c r="P769">
        <v>0.32500000000000001</v>
      </c>
      <c r="Q769">
        <v>15</v>
      </c>
    </row>
    <row r="770" spans="1:17" x14ac:dyDescent="0.25">
      <c r="A770" s="1">
        <v>42307</v>
      </c>
      <c r="B770">
        <v>5.58</v>
      </c>
      <c r="C770">
        <v>113.38</v>
      </c>
      <c r="D770">
        <v>2.2149999999999999</v>
      </c>
      <c r="E770">
        <v>6.4</v>
      </c>
      <c r="F770">
        <v>4.3</v>
      </c>
      <c r="G770">
        <v>1.4</v>
      </c>
      <c r="H770" s="15">
        <v>2.65</v>
      </c>
      <c r="I770">
        <v>25</v>
      </c>
      <c r="J770">
        <v>12.2</v>
      </c>
      <c r="K770">
        <v>9.4450000000000003</v>
      </c>
      <c r="L770">
        <v>0.72</v>
      </c>
      <c r="M770">
        <v>1.8</v>
      </c>
      <c r="N770">
        <v>0.13500000000000001</v>
      </c>
      <c r="O770">
        <v>1.7370000000000001</v>
      </c>
      <c r="P770">
        <v>0.32100000000000001</v>
      </c>
      <c r="Q770">
        <v>15</v>
      </c>
    </row>
    <row r="771" spans="1:17" x14ac:dyDescent="0.25">
      <c r="A771" s="1">
        <v>42310</v>
      </c>
      <c r="B771">
        <v>5.5</v>
      </c>
      <c r="C771">
        <v>114</v>
      </c>
      <c r="D771">
        <v>2.1859999999999999</v>
      </c>
      <c r="E771">
        <v>6.2</v>
      </c>
      <c r="F771">
        <v>4.3499999999999996</v>
      </c>
      <c r="G771">
        <v>1.43</v>
      </c>
      <c r="H771" s="15">
        <v>2.63</v>
      </c>
      <c r="I771">
        <v>25</v>
      </c>
      <c r="J771">
        <v>12</v>
      </c>
      <c r="K771">
        <v>9.4640000000000004</v>
      </c>
      <c r="L771">
        <v>0.65</v>
      </c>
      <c r="M771">
        <v>1.8</v>
      </c>
      <c r="N771">
        <v>0.13800000000000001</v>
      </c>
      <c r="O771">
        <v>1.7370000000000001</v>
      </c>
      <c r="P771">
        <v>0.32100000000000001</v>
      </c>
      <c r="Q771">
        <v>15</v>
      </c>
    </row>
    <row r="772" spans="1:17" x14ac:dyDescent="0.25">
      <c r="A772" s="1">
        <v>42311</v>
      </c>
      <c r="B772">
        <v>5.5</v>
      </c>
      <c r="C772">
        <v>115.39</v>
      </c>
      <c r="D772">
        <v>2.165</v>
      </c>
      <c r="E772">
        <v>6.45</v>
      </c>
      <c r="F772">
        <v>4.4000000000000004</v>
      </c>
      <c r="G772">
        <v>1.44</v>
      </c>
      <c r="H772" s="15">
        <v>2.56</v>
      </c>
      <c r="I772">
        <v>24.9</v>
      </c>
      <c r="J772">
        <v>12.2</v>
      </c>
      <c r="K772">
        <v>9.5039999999999996</v>
      </c>
      <c r="L772">
        <v>0.65</v>
      </c>
      <c r="M772">
        <v>1.8</v>
      </c>
      <c r="N772">
        <v>0.14000000000000001</v>
      </c>
      <c r="O772">
        <v>1.7569999999999999</v>
      </c>
      <c r="P772">
        <v>0.32</v>
      </c>
      <c r="Q772">
        <v>15</v>
      </c>
    </row>
    <row r="773" spans="1:17" x14ac:dyDescent="0.25">
      <c r="A773" s="1">
        <v>42312</v>
      </c>
      <c r="B773" t="e">
        <v>#N/A</v>
      </c>
      <c r="C773">
        <v>114.2</v>
      </c>
      <c r="D773">
        <v>2.165</v>
      </c>
      <c r="E773">
        <v>6.28</v>
      </c>
      <c r="F773">
        <v>4.4000000000000004</v>
      </c>
      <c r="G773">
        <v>1.45</v>
      </c>
      <c r="H773" s="15">
        <v>2.56</v>
      </c>
      <c r="I773">
        <v>25</v>
      </c>
      <c r="J773">
        <v>12.3</v>
      </c>
      <c r="K773">
        <v>9.6020000000000003</v>
      </c>
      <c r="L773">
        <v>0.65</v>
      </c>
      <c r="M773" t="e">
        <v>#N/A</v>
      </c>
      <c r="N773">
        <v>0.14000000000000001</v>
      </c>
      <c r="O773" t="e">
        <v>#N/A</v>
      </c>
      <c r="P773">
        <v>0.315</v>
      </c>
      <c r="Q773">
        <v>12</v>
      </c>
    </row>
    <row r="774" spans="1:17" x14ac:dyDescent="0.25">
      <c r="A774" s="1">
        <v>42313</v>
      </c>
      <c r="B774">
        <v>5.5</v>
      </c>
      <c r="C774">
        <v>114.3</v>
      </c>
      <c r="D774">
        <v>2.2069999999999999</v>
      </c>
      <c r="E774">
        <v>5.92</v>
      </c>
      <c r="F774">
        <v>4.45</v>
      </c>
      <c r="G774">
        <v>1.45</v>
      </c>
      <c r="H774" s="15">
        <v>2.5</v>
      </c>
      <c r="I774">
        <v>25</v>
      </c>
      <c r="J774">
        <v>12.45</v>
      </c>
      <c r="K774">
        <v>9.6809999999999992</v>
      </c>
      <c r="L774">
        <v>0.6</v>
      </c>
      <c r="M774">
        <v>1.8</v>
      </c>
      <c r="N774">
        <v>0.14000000000000001</v>
      </c>
      <c r="O774">
        <v>1.7669999999999999</v>
      </c>
      <c r="P774">
        <v>0.3</v>
      </c>
      <c r="Q774">
        <v>15</v>
      </c>
    </row>
    <row r="775" spans="1:17" x14ac:dyDescent="0.25">
      <c r="A775" s="1">
        <v>42314</v>
      </c>
      <c r="B775">
        <v>5.7</v>
      </c>
      <c r="C775">
        <v>114</v>
      </c>
      <c r="D775">
        <v>2.2069999999999999</v>
      </c>
      <c r="E775">
        <v>5.62</v>
      </c>
      <c r="F775">
        <v>4.5</v>
      </c>
      <c r="G775">
        <v>1.45</v>
      </c>
      <c r="H775" s="15">
        <v>2.5</v>
      </c>
      <c r="I775">
        <v>25</v>
      </c>
      <c r="J775">
        <v>12.55</v>
      </c>
      <c r="K775">
        <v>9.75</v>
      </c>
      <c r="L775">
        <v>0.61</v>
      </c>
      <c r="M775">
        <v>1.8</v>
      </c>
      <c r="N775">
        <v>0.13900000000000001</v>
      </c>
      <c r="O775">
        <v>1.7769999999999999</v>
      </c>
      <c r="P775">
        <v>0.3</v>
      </c>
      <c r="Q775">
        <v>15</v>
      </c>
    </row>
    <row r="776" spans="1:17" x14ac:dyDescent="0.25">
      <c r="A776" s="1">
        <v>42317</v>
      </c>
      <c r="B776">
        <v>5.75</v>
      </c>
      <c r="C776">
        <v>112.5</v>
      </c>
      <c r="D776">
        <v>2.1579999999999999</v>
      </c>
      <c r="E776">
        <v>5.67</v>
      </c>
      <c r="F776">
        <v>4.5999999999999996</v>
      </c>
      <c r="G776">
        <v>1.44</v>
      </c>
      <c r="H776" s="15" t="e">
        <v>#N/A</v>
      </c>
      <c r="I776" t="e">
        <v>#N/A</v>
      </c>
      <c r="J776">
        <v>12.56</v>
      </c>
      <c r="K776">
        <v>9.73</v>
      </c>
      <c r="L776" t="e">
        <v>#N/A</v>
      </c>
      <c r="M776">
        <v>1.79</v>
      </c>
      <c r="N776">
        <v>0.13600000000000001</v>
      </c>
      <c r="O776">
        <v>1.81</v>
      </c>
      <c r="P776">
        <v>0.28999999999999998</v>
      </c>
      <c r="Q776">
        <v>12</v>
      </c>
    </row>
    <row r="777" spans="1:17" x14ac:dyDescent="0.25">
      <c r="A777" s="1">
        <v>42318</v>
      </c>
      <c r="B777">
        <v>5.8</v>
      </c>
      <c r="C777">
        <v>111.3</v>
      </c>
      <c r="D777">
        <v>2.2069999999999999</v>
      </c>
      <c r="E777">
        <v>5.2</v>
      </c>
      <c r="F777">
        <v>4.4000000000000004</v>
      </c>
      <c r="G777">
        <v>1.41</v>
      </c>
      <c r="H777" s="15">
        <v>2.39</v>
      </c>
      <c r="I777">
        <v>25</v>
      </c>
      <c r="J777">
        <v>12.7</v>
      </c>
      <c r="K777">
        <v>9.73</v>
      </c>
      <c r="L777">
        <v>0.59</v>
      </c>
      <c r="M777" t="e">
        <v>#N/A</v>
      </c>
      <c r="N777">
        <v>0.13600000000000001</v>
      </c>
      <c r="O777">
        <v>1.85</v>
      </c>
      <c r="P777">
        <v>0.3</v>
      </c>
      <c r="Q777">
        <v>14</v>
      </c>
    </row>
    <row r="778" spans="1:17" x14ac:dyDescent="0.25">
      <c r="A778" s="1">
        <v>42319</v>
      </c>
      <c r="B778">
        <v>5.8</v>
      </c>
      <c r="C778">
        <v>115.2</v>
      </c>
      <c r="D778">
        <v>2.2069999999999999</v>
      </c>
      <c r="E778">
        <v>5.2</v>
      </c>
      <c r="F778">
        <v>4.4000000000000004</v>
      </c>
      <c r="G778">
        <v>1.43</v>
      </c>
      <c r="H778" s="15" t="e">
        <v>#N/A</v>
      </c>
      <c r="I778">
        <v>24.8</v>
      </c>
      <c r="J778">
        <v>13.1</v>
      </c>
      <c r="K778">
        <v>9.73</v>
      </c>
      <c r="L778">
        <v>0.59</v>
      </c>
      <c r="M778" t="e">
        <v>#N/A</v>
      </c>
      <c r="N778">
        <v>0.13600000000000001</v>
      </c>
      <c r="O778" t="e">
        <v>#N/A</v>
      </c>
      <c r="P778">
        <v>0.31</v>
      </c>
      <c r="Q778">
        <v>12</v>
      </c>
    </row>
    <row r="779" spans="1:17" x14ac:dyDescent="0.25">
      <c r="A779" s="1">
        <v>42320</v>
      </c>
      <c r="B779" t="e">
        <v>#N/A</v>
      </c>
      <c r="C779">
        <v>113.4</v>
      </c>
      <c r="D779">
        <v>2.2069999999999999</v>
      </c>
      <c r="E779">
        <v>4.95</v>
      </c>
      <c r="F779">
        <v>4.4000000000000004</v>
      </c>
      <c r="G779" t="e">
        <v>#N/A</v>
      </c>
      <c r="H779" s="15" t="e">
        <v>#N/A</v>
      </c>
      <c r="I779">
        <v>25.25</v>
      </c>
      <c r="J779">
        <v>13.1</v>
      </c>
      <c r="K779">
        <v>9.73</v>
      </c>
      <c r="L779">
        <v>0.55000000000000004</v>
      </c>
      <c r="M779" t="e">
        <v>#N/A</v>
      </c>
      <c r="N779">
        <v>0.13500000000000001</v>
      </c>
      <c r="O779" t="e">
        <v>#N/A</v>
      </c>
      <c r="P779">
        <v>0.31</v>
      </c>
      <c r="Q779">
        <v>10</v>
      </c>
    </row>
    <row r="780" spans="1:17" x14ac:dyDescent="0.25">
      <c r="A780" s="1">
        <v>42321</v>
      </c>
      <c r="B780">
        <v>5.8</v>
      </c>
      <c r="C780">
        <v>110.3</v>
      </c>
      <c r="D780">
        <v>2.1360000000000001</v>
      </c>
      <c r="E780">
        <v>5.0999999999999996</v>
      </c>
      <c r="F780">
        <v>4.4000000000000004</v>
      </c>
      <c r="G780">
        <v>1.38</v>
      </c>
      <c r="H780" s="15">
        <v>2.25</v>
      </c>
      <c r="I780">
        <v>25.5</v>
      </c>
      <c r="J780">
        <v>13.2</v>
      </c>
      <c r="K780">
        <v>9.74</v>
      </c>
      <c r="L780">
        <v>0.52</v>
      </c>
      <c r="M780">
        <v>1.79</v>
      </c>
      <c r="N780">
        <v>0.13500000000000001</v>
      </c>
      <c r="O780">
        <v>1.83</v>
      </c>
      <c r="P780">
        <v>0.30499999999999999</v>
      </c>
      <c r="Q780">
        <v>15</v>
      </c>
    </row>
    <row r="781" spans="1:17" x14ac:dyDescent="0.25">
      <c r="A781" s="1">
        <v>42324</v>
      </c>
      <c r="B781">
        <v>5.8</v>
      </c>
      <c r="C781">
        <v>110.3</v>
      </c>
      <c r="D781">
        <v>2.2069999999999999</v>
      </c>
      <c r="E781">
        <v>4.9000000000000004</v>
      </c>
      <c r="F781">
        <v>4.4000000000000004</v>
      </c>
      <c r="G781">
        <v>1.33</v>
      </c>
      <c r="H781" s="15">
        <v>2.25</v>
      </c>
      <c r="I781">
        <v>25.5</v>
      </c>
      <c r="J781">
        <v>13.4</v>
      </c>
      <c r="K781">
        <v>9.74</v>
      </c>
      <c r="L781">
        <v>0.52</v>
      </c>
      <c r="M781" t="e">
        <v>#N/A</v>
      </c>
      <c r="N781">
        <v>0.13500000000000001</v>
      </c>
      <c r="O781">
        <v>1.83</v>
      </c>
      <c r="P781">
        <v>0.29499999999999998</v>
      </c>
      <c r="Q781">
        <v>14</v>
      </c>
    </row>
    <row r="782" spans="1:17" x14ac:dyDescent="0.25">
      <c r="A782" s="1">
        <v>42325</v>
      </c>
      <c r="B782">
        <v>5.8</v>
      </c>
      <c r="C782">
        <v>111.42</v>
      </c>
      <c r="D782">
        <v>2.222</v>
      </c>
      <c r="E782">
        <v>4.5599999999999996</v>
      </c>
      <c r="F782">
        <v>4.42</v>
      </c>
      <c r="G782">
        <v>1.35</v>
      </c>
      <c r="H782" s="15">
        <v>2.2000000000000002</v>
      </c>
      <c r="I782">
        <v>25.5</v>
      </c>
      <c r="J782">
        <v>13.42</v>
      </c>
      <c r="K782">
        <v>9.81</v>
      </c>
      <c r="L782">
        <v>0.52</v>
      </c>
      <c r="M782" t="e">
        <v>#N/A</v>
      </c>
      <c r="N782">
        <v>0.13500000000000001</v>
      </c>
      <c r="O782">
        <v>1.8</v>
      </c>
      <c r="P782">
        <v>0.28000000000000003</v>
      </c>
      <c r="Q782">
        <v>14</v>
      </c>
    </row>
    <row r="783" spans="1:17" x14ac:dyDescent="0.25">
      <c r="A783" s="1">
        <v>42326</v>
      </c>
      <c r="B783">
        <v>5.7</v>
      </c>
      <c r="C783">
        <v>111.15</v>
      </c>
      <c r="D783">
        <v>2.222</v>
      </c>
      <c r="E783">
        <v>4.5999999999999996</v>
      </c>
      <c r="F783" t="e">
        <v>#N/A</v>
      </c>
      <c r="G783">
        <v>1.32</v>
      </c>
      <c r="H783" s="15" t="e">
        <v>#N/A</v>
      </c>
      <c r="I783">
        <v>25.5</v>
      </c>
      <c r="J783">
        <v>13.42</v>
      </c>
      <c r="K783">
        <v>9.85</v>
      </c>
      <c r="L783">
        <v>0.52</v>
      </c>
      <c r="M783" t="e">
        <v>#N/A</v>
      </c>
      <c r="N783">
        <v>0.13500000000000001</v>
      </c>
      <c r="O783" t="e">
        <v>#N/A</v>
      </c>
      <c r="P783">
        <v>0.28000000000000003</v>
      </c>
      <c r="Q783">
        <v>11</v>
      </c>
    </row>
    <row r="784" spans="1:17" x14ac:dyDescent="0.25">
      <c r="A784" s="1">
        <v>42327</v>
      </c>
      <c r="B784">
        <v>5.7</v>
      </c>
      <c r="C784">
        <v>111.52</v>
      </c>
      <c r="D784">
        <v>2.2069999999999999</v>
      </c>
      <c r="E784">
        <v>4.7699999999999996</v>
      </c>
      <c r="F784">
        <v>4.42</v>
      </c>
      <c r="G784">
        <v>1.34</v>
      </c>
      <c r="H784" s="15">
        <v>2.2000000000000002</v>
      </c>
      <c r="I784">
        <v>25.5</v>
      </c>
      <c r="J784">
        <v>13.5</v>
      </c>
      <c r="K784">
        <v>9.9</v>
      </c>
      <c r="L784">
        <v>0.54</v>
      </c>
      <c r="M784">
        <v>1.79</v>
      </c>
      <c r="N784">
        <v>0.13500000000000001</v>
      </c>
      <c r="O784">
        <v>1.75</v>
      </c>
      <c r="P784">
        <v>0.27</v>
      </c>
      <c r="Q784">
        <v>15</v>
      </c>
    </row>
    <row r="785" spans="1:17" x14ac:dyDescent="0.25">
      <c r="A785" s="1">
        <v>42328</v>
      </c>
      <c r="B785" t="e">
        <v>#N/A</v>
      </c>
      <c r="C785" t="e">
        <v>#N/A</v>
      </c>
      <c r="D785">
        <v>2.2069999999999999</v>
      </c>
      <c r="E785">
        <v>4.55</v>
      </c>
      <c r="F785" t="e">
        <v>#N/A</v>
      </c>
      <c r="G785">
        <v>1.3</v>
      </c>
      <c r="H785" s="15">
        <v>2.25</v>
      </c>
      <c r="I785">
        <v>25.6</v>
      </c>
      <c r="J785">
        <v>13.5</v>
      </c>
      <c r="K785">
        <v>9.93</v>
      </c>
      <c r="L785">
        <v>0.54</v>
      </c>
      <c r="M785" t="e">
        <v>#N/A</v>
      </c>
      <c r="N785">
        <v>0.13</v>
      </c>
      <c r="O785" t="e">
        <v>#N/A</v>
      </c>
      <c r="P785">
        <v>0.27</v>
      </c>
      <c r="Q785">
        <v>10</v>
      </c>
    </row>
    <row r="786" spans="1:17" x14ac:dyDescent="0.25">
      <c r="A786" s="1">
        <v>42331</v>
      </c>
      <c r="B786">
        <v>5.8</v>
      </c>
      <c r="C786">
        <v>111.55</v>
      </c>
      <c r="D786">
        <v>2.2069999999999999</v>
      </c>
      <c r="E786">
        <v>4.5</v>
      </c>
      <c r="F786" t="e">
        <v>#N/A</v>
      </c>
      <c r="G786">
        <v>1.3</v>
      </c>
      <c r="H786" s="15" t="e">
        <v>#N/A</v>
      </c>
      <c r="I786">
        <v>25.6</v>
      </c>
      <c r="J786" t="e">
        <v>#N/A</v>
      </c>
      <c r="K786">
        <v>9.93</v>
      </c>
      <c r="L786">
        <v>0.56999999999999995</v>
      </c>
      <c r="M786" t="e">
        <v>#N/A</v>
      </c>
      <c r="N786">
        <v>0.13500000000000001</v>
      </c>
      <c r="O786" t="e">
        <v>#N/A</v>
      </c>
      <c r="P786">
        <v>0.27</v>
      </c>
      <c r="Q786">
        <v>10</v>
      </c>
    </row>
    <row r="787" spans="1:17" x14ac:dyDescent="0.25">
      <c r="A787" s="1">
        <v>42332</v>
      </c>
      <c r="B787">
        <v>5.75</v>
      </c>
      <c r="C787">
        <v>112</v>
      </c>
      <c r="D787">
        <v>2.2069999999999999</v>
      </c>
      <c r="E787">
        <v>4.8499999999999996</v>
      </c>
      <c r="F787">
        <v>4.42</v>
      </c>
      <c r="G787">
        <v>1.3</v>
      </c>
      <c r="H787" s="15">
        <v>2.25</v>
      </c>
      <c r="I787">
        <v>25.6</v>
      </c>
      <c r="J787">
        <v>13.57</v>
      </c>
      <c r="K787">
        <v>9.9700000000000006</v>
      </c>
      <c r="L787">
        <v>0.6</v>
      </c>
      <c r="M787">
        <v>1.72</v>
      </c>
      <c r="N787">
        <v>0.13500000000000001</v>
      </c>
      <c r="O787" t="e">
        <v>#N/A</v>
      </c>
      <c r="P787">
        <v>0.26700000000000002</v>
      </c>
      <c r="Q787">
        <v>14</v>
      </c>
    </row>
    <row r="788" spans="1:17" x14ac:dyDescent="0.25">
      <c r="A788" s="1">
        <v>42333</v>
      </c>
      <c r="B788">
        <v>5.7</v>
      </c>
      <c r="C788">
        <v>110.2</v>
      </c>
      <c r="D788">
        <v>2.222</v>
      </c>
      <c r="E788">
        <v>4.8</v>
      </c>
      <c r="F788">
        <v>4.42</v>
      </c>
      <c r="G788">
        <v>1.29</v>
      </c>
      <c r="H788" s="15">
        <v>2.2400000000000002</v>
      </c>
      <c r="I788">
        <v>25.59</v>
      </c>
      <c r="J788">
        <v>13.57</v>
      </c>
      <c r="K788">
        <v>9.9700000000000006</v>
      </c>
      <c r="L788">
        <v>0.61</v>
      </c>
      <c r="M788" t="e">
        <v>#N/A</v>
      </c>
      <c r="N788">
        <v>0.13500000000000001</v>
      </c>
      <c r="O788">
        <v>1.73</v>
      </c>
      <c r="P788">
        <v>0.26500000000000001</v>
      </c>
      <c r="Q788">
        <v>14</v>
      </c>
    </row>
    <row r="789" spans="1:17" x14ac:dyDescent="0.25">
      <c r="A789" s="1">
        <v>42334</v>
      </c>
      <c r="B789" t="e">
        <v>#N/A</v>
      </c>
      <c r="C789" t="e">
        <v>#N/A</v>
      </c>
      <c r="D789">
        <v>2.1720000000000002</v>
      </c>
      <c r="E789" t="e">
        <v>#N/A</v>
      </c>
      <c r="F789">
        <v>4.42</v>
      </c>
      <c r="G789">
        <v>1.28</v>
      </c>
      <c r="H789" s="15" t="e">
        <v>#N/A</v>
      </c>
      <c r="I789">
        <v>25.65</v>
      </c>
      <c r="J789">
        <v>13.57</v>
      </c>
      <c r="K789">
        <v>9.9700000000000006</v>
      </c>
      <c r="L789">
        <v>0.65</v>
      </c>
      <c r="M789">
        <v>1.7</v>
      </c>
      <c r="N789">
        <v>0.13500000000000001</v>
      </c>
      <c r="O789">
        <v>1.72</v>
      </c>
      <c r="P789">
        <v>0.27</v>
      </c>
      <c r="Q789">
        <v>11</v>
      </c>
    </row>
    <row r="790" spans="1:17" x14ac:dyDescent="0.25">
      <c r="A790" s="1">
        <v>42335</v>
      </c>
      <c r="B790">
        <v>5.65</v>
      </c>
      <c r="C790">
        <v>106.95</v>
      </c>
      <c r="D790">
        <v>2.1579999999999999</v>
      </c>
      <c r="E790">
        <v>4.7</v>
      </c>
      <c r="F790">
        <v>4.4000000000000004</v>
      </c>
      <c r="G790">
        <v>1.3</v>
      </c>
      <c r="H790" s="15">
        <v>2.1800000000000002</v>
      </c>
      <c r="I790">
        <v>25.5</v>
      </c>
      <c r="J790" t="e">
        <v>#N/A</v>
      </c>
      <c r="K790">
        <v>9.9700000000000006</v>
      </c>
      <c r="L790">
        <v>0.65</v>
      </c>
      <c r="M790" t="e">
        <v>#N/A</v>
      </c>
      <c r="N790">
        <v>0.13500000000000001</v>
      </c>
      <c r="O790">
        <v>1.7</v>
      </c>
      <c r="P790">
        <v>0.26800000000000002</v>
      </c>
      <c r="Q790">
        <v>13</v>
      </c>
    </row>
    <row r="791" spans="1:17" x14ac:dyDescent="0.25">
      <c r="A791" s="1">
        <v>42338</v>
      </c>
      <c r="B791">
        <v>5.71</v>
      </c>
      <c r="C791">
        <v>106</v>
      </c>
      <c r="D791">
        <v>2.2069999999999999</v>
      </c>
      <c r="E791">
        <v>4.75</v>
      </c>
      <c r="F791">
        <v>4.38</v>
      </c>
      <c r="G791">
        <v>1.28</v>
      </c>
      <c r="H791" s="15">
        <v>2.1800000000000002</v>
      </c>
      <c r="I791">
        <v>25.6</v>
      </c>
      <c r="J791">
        <v>13.57</v>
      </c>
      <c r="K791">
        <v>10.02</v>
      </c>
      <c r="L791" t="e">
        <v>#N/A</v>
      </c>
      <c r="M791">
        <v>1.65</v>
      </c>
      <c r="N791">
        <v>0.13</v>
      </c>
      <c r="O791">
        <v>1.7</v>
      </c>
      <c r="P791">
        <v>0.26400000000000001</v>
      </c>
      <c r="Q791">
        <v>14</v>
      </c>
    </row>
    <row r="792" spans="1:17" x14ac:dyDescent="0.25">
      <c r="A792" s="1">
        <v>42339</v>
      </c>
      <c r="B792">
        <v>5.75</v>
      </c>
      <c r="C792">
        <v>108</v>
      </c>
      <c r="D792">
        <v>2.2069999999999999</v>
      </c>
      <c r="E792">
        <v>4.8</v>
      </c>
      <c r="F792">
        <v>4.38</v>
      </c>
      <c r="G792">
        <v>1.32</v>
      </c>
      <c r="H792" s="15" t="e">
        <v>#N/A</v>
      </c>
      <c r="I792">
        <v>25.5</v>
      </c>
      <c r="J792" t="e">
        <v>#N/A</v>
      </c>
      <c r="K792">
        <v>10.02</v>
      </c>
      <c r="L792" t="e">
        <v>#N/A</v>
      </c>
      <c r="M792">
        <v>1.65</v>
      </c>
      <c r="N792">
        <v>0.13</v>
      </c>
      <c r="O792" t="e">
        <v>#N/A</v>
      </c>
      <c r="P792">
        <v>0.27</v>
      </c>
      <c r="Q792">
        <v>11</v>
      </c>
    </row>
    <row r="793" spans="1:17" x14ac:dyDescent="0.25">
      <c r="A793" s="1">
        <v>42340</v>
      </c>
      <c r="B793">
        <v>5.65</v>
      </c>
      <c r="C793">
        <v>104.55</v>
      </c>
      <c r="D793">
        <v>2.222</v>
      </c>
      <c r="E793">
        <v>4.78</v>
      </c>
      <c r="F793">
        <v>4.3499999999999996</v>
      </c>
      <c r="G793">
        <v>1.32</v>
      </c>
      <c r="H793" s="15">
        <v>2.1</v>
      </c>
      <c r="I793">
        <v>25.1</v>
      </c>
      <c r="J793">
        <v>13.57</v>
      </c>
      <c r="K793">
        <v>10.02</v>
      </c>
      <c r="L793">
        <v>0.65</v>
      </c>
      <c r="M793" t="e">
        <v>#N/A</v>
      </c>
      <c r="N793">
        <v>0.129</v>
      </c>
      <c r="O793" t="e">
        <v>#N/A</v>
      </c>
      <c r="P793">
        <v>0.26500000000000001</v>
      </c>
      <c r="Q793">
        <v>13</v>
      </c>
    </row>
    <row r="794" spans="1:17" x14ac:dyDescent="0.25">
      <c r="A794" s="1">
        <v>42341</v>
      </c>
      <c r="B794">
        <v>5.7</v>
      </c>
      <c r="C794">
        <v>103.6</v>
      </c>
      <c r="D794">
        <v>2.2069999999999999</v>
      </c>
      <c r="E794">
        <v>4.82</v>
      </c>
      <c r="F794">
        <v>4.2300000000000004</v>
      </c>
      <c r="G794">
        <v>1.3</v>
      </c>
      <c r="H794" s="15">
        <v>2.1</v>
      </c>
      <c r="I794">
        <v>25.45</v>
      </c>
      <c r="J794" t="e">
        <v>#N/A</v>
      </c>
      <c r="K794" t="e">
        <v>#N/A</v>
      </c>
      <c r="L794">
        <v>0.64</v>
      </c>
      <c r="M794">
        <v>1.65</v>
      </c>
      <c r="N794">
        <v>0.125</v>
      </c>
      <c r="O794">
        <v>1.7</v>
      </c>
      <c r="P794">
        <v>0.26500000000000001</v>
      </c>
      <c r="Q794">
        <v>13</v>
      </c>
    </row>
    <row r="795" spans="1:17" x14ac:dyDescent="0.25">
      <c r="A795" s="1">
        <v>42342</v>
      </c>
      <c r="B795">
        <v>5.65</v>
      </c>
      <c r="C795">
        <v>105.8</v>
      </c>
      <c r="D795">
        <v>2.1720000000000002</v>
      </c>
      <c r="E795">
        <v>4.92</v>
      </c>
      <c r="F795">
        <v>4.2</v>
      </c>
      <c r="G795" t="e">
        <v>#N/A</v>
      </c>
      <c r="H795" s="15">
        <v>2.1800000000000002</v>
      </c>
      <c r="I795">
        <v>25.4</v>
      </c>
      <c r="J795" t="e">
        <v>#N/A</v>
      </c>
      <c r="K795">
        <v>10.02</v>
      </c>
      <c r="L795">
        <v>0.64</v>
      </c>
      <c r="M795">
        <v>1.55</v>
      </c>
      <c r="N795">
        <v>0.125</v>
      </c>
      <c r="O795">
        <v>1.73</v>
      </c>
      <c r="P795">
        <v>0.26500000000000001</v>
      </c>
      <c r="Q795">
        <v>13</v>
      </c>
    </row>
    <row r="796" spans="1:17" x14ac:dyDescent="0.25">
      <c r="A796" s="1">
        <v>42345</v>
      </c>
      <c r="B796">
        <v>5.7</v>
      </c>
      <c r="C796">
        <v>105.45</v>
      </c>
      <c r="D796">
        <v>2.1720000000000002</v>
      </c>
      <c r="E796">
        <v>4.59</v>
      </c>
      <c r="F796">
        <v>4.2</v>
      </c>
      <c r="G796">
        <v>1.32</v>
      </c>
      <c r="H796" s="15">
        <v>2.17</v>
      </c>
      <c r="I796" t="e">
        <v>#N/A</v>
      </c>
      <c r="J796">
        <v>13.57</v>
      </c>
      <c r="K796">
        <v>10.02</v>
      </c>
      <c r="L796">
        <v>0.64</v>
      </c>
      <c r="M796" t="e">
        <v>#N/A</v>
      </c>
      <c r="N796">
        <v>0.12</v>
      </c>
      <c r="O796">
        <v>1.73</v>
      </c>
      <c r="P796">
        <v>0.26400000000000001</v>
      </c>
      <c r="Q796">
        <v>13</v>
      </c>
    </row>
    <row r="797" spans="1:17" x14ac:dyDescent="0.25">
      <c r="A797" s="1">
        <v>42347</v>
      </c>
      <c r="B797">
        <v>5.9</v>
      </c>
      <c r="C797">
        <v>104</v>
      </c>
      <c r="D797">
        <v>2.2069999999999999</v>
      </c>
      <c r="E797">
        <v>4.8</v>
      </c>
      <c r="F797">
        <v>4.3099999999999996</v>
      </c>
      <c r="G797">
        <v>1.32</v>
      </c>
      <c r="H797" s="15">
        <v>2.15</v>
      </c>
      <c r="I797">
        <v>25.1</v>
      </c>
      <c r="J797">
        <v>13.57</v>
      </c>
      <c r="K797">
        <v>9.9</v>
      </c>
      <c r="L797">
        <v>0.64</v>
      </c>
      <c r="M797" t="e">
        <v>#N/A</v>
      </c>
      <c r="N797">
        <v>0.12</v>
      </c>
      <c r="O797" t="e">
        <v>#N/A</v>
      </c>
      <c r="P797">
        <v>0.26500000000000001</v>
      </c>
      <c r="Q797">
        <v>13</v>
      </c>
    </row>
    <row r="798" spans="1:17" x14ac:dyDescent="0.25">
      <c r="A798" s="1">
        <v>42348</v>
      </c>
      <c r="B798">
        <v>5.95</v>
      </c>
      <c r="C798">
        <v>101.1</v>
      </c>
      <c r="D798">
        <v>2.1720000000000002</v>
      </c>
      <c r="E798">
        <v>4.7</v>
      </c>
      <c r="F798">
        <v>4.4000000000000004</v>
      </c>
      <c r="G798">
        <v>1.3</v>
      </c>
      <c r="H798" s="15">
        <v>2.08</v>
      </c>
      <c r="I798">
        <v>25.11</v>
      </c>
      <c r="J798">
        <v>13.57</v>
      </c>
      <c r="K798">
        <v>9.89</v>
      </c>
      <c r="L798">
        <v>0.63</v>
      </c>
      <c r="M798" t="e">
        <v>#N/A</v>
      </c>
      <c r="N798">
        <v>0.12</v>
      </c>
      <c r="O798">
        <v>1.69</v>
      </c>
      <c r="P798">
        <v>0.26300000000000001</v>
      </c>
      <c r="Q798">
        <v>14</v>
      </c>
    </row>
    <row r="799" spans="1:17" x14ac:dyDescent="0.25">
      <c r="A799" s="1">
        <v>42349</v>
      </c>
      <c r="B799">
        <v>5.95</v>
      </c>
      <c r="C799">
        <v>99.3</v>
      </c>
      <c r="D799">
        <v>2.1720000000000002</v>
      </c>
      <c r="E799">
        <v>4.7</v>
      </c>
      <c r="F799">
        <v>4.5</v>
      </c>
      <c r="G799" t="e">
        <v>#N/A</v>
      </c>
      <c r="H799" s="15">
        <v>2.08</v>
      </c>
      <c r="I799">
        <v>24.5</v>
      </c>
      <c r="J799" t="e">
        <v>#N/A</v>
      </c>
      <c r="K799">
        <v>9.7100000000000009</v>
      </c>
      <c r="L799">
        <v>0.62</v>
      </c>
      <c r="M799">
        <v>1.65</v>
      </c>
      <c r="N799">
        <v>0.12</v>
      </c>
      <c r="O799">
        <v>1.7</v>
      </c>
      <c r="P799">
        <v>0.26</v>
      </c>
      <c r="Q799">
        <v>13</v>
      </c>
    </row>
    <row r="800" spans="1:17" x14ac:dyDescent="0.25">
      <c r="A800" s="1">
        <v>42352</v>
      </c>
      <c r="B800" t="e">
        <v>#N/A</v>
      </c>
      <c r="C800">
        <v>98.55</v>
      </c>
      <c r="D800">
        <v>2.165</v>
      </c>
      <c r="E800">
        <v>4.17</v>
      </c>
      <c r="F800">
        <v>4.5</v>
      </c>
      <c r="G800">
        <v>1.3</v>
      </c>
      <c r="H800" s="15">
        <v>2.08</v>
      </c>
      <c r="I800">
        <v>24.5</v>
      </c>
      <c r="J800">
        <v>13.57</v>
      </c>
      <c r="K800">
        <v>9.65</v>
      </c>
      <c r="L800">
        <v>0.62</v>
      </c>
      <c r="M800">
        <v>1.65</v>
      </c>
      <c r="N800">
        <v>0.12</v>
      </c>
      <c r="O800">
        <v>1.6</v>
      </c>
      <c r="P800">
        <v>0.245</v>
      </c>
      <c r="Q800">
        <v>14</v>
      </c>
    </row>
    <row r="801" spans="1:17" x14ac:dyDescent="0.25">
      <c r="A801" s="1">
        <v>42353</v>
      </c>
      <c r="B801">
        <v>5.95</v>
      </c>
      <c r="C801">
        <v>99.6</v>
      </c>
      <c r="D801">
        <v>2.1360000000000001</v>
      </c>
      <c r="E801">
        <v>4.2</v>
      </c>
      <c r="F801">
        <v>4.41</v>
      </c>
      <c r="G801">
        <v>1.3</v>
      </c>
      <c r="H801" s="15">
        <v>2</v>
      </c>
      <c r="I801">
        <v>24.3</v>
      </c>
      <c r="J801">
        <v>13.71</v>
      </c>
      <c r="K801">
        <v>9.6999999999999993</v>
      </c>
      <c r="L801">
        <v>0.63</v>
      </c>
      <c r="M801">
        <v>1.64</v>
      </c>
      <c r="N801">
        <v>0.11899999999999999</v>
      </c>
      <c r="O801">
        <v>1.65</v>
      </c>
      <c r="P801">
        <v>0.23499999999999999</v>
      </c>
      <c r="Q801">
        <v>15</v>
      </c>
    </row>
    <row r="802" spans="1:17" x14ac:dyDescent="0.25">
      <c r="A802" s="1">
        <v>42354</v>
      </c>
      <c r="B802">
        <v>5.85</v>
      </c>
      <c r="C802">
        <v>101</v>
      </c>
      <c r="D802">
        <v>2.129</v>
      </c>
      <c r="E802">
        <v>4.29</v>
      </c>
      <c r="F802">
        <v>4.4000000000000004</v>
      </c>
      <c r="G802">
        <v>1.3</v>
      </c>
      <c r="H802" s="15">
        <v>2</v>
      </c>
      <c r="I802">
        <v>23.98</v>
      </c>
      <c r="J802">
        <v>13.71</v>
      </c>
      <c r="K802" t="e">
        <v>#N/A</v>
      </c>
      <c r="L802" t="e">
        <v>#N/A</v>
      </c>
      <c r="M802" t="e">
        <v>#N/A</v>
      </c>
      <c r="N802">
        <v>0.12</v>
      </c>
      <c r="O802">
        <v>1.6</v>
      </c>
      <c r="P802">
        <v>0.23499999999999999</v>
      </c>
      <c r="Q802">
        <v>12</v>
      </c>
    </row>
    <row r="803" spans="1:17" x14ac:dyDescent="0.25">
      <c r="A803" s="1">
        <v>42355</v>
      </c>
      <c r="B803">
        <v>5.97</v>
      </c>
      <c r="C803">
        <v>102.3</v>
      </c>
      <c r="D803">
        <v>2.0579999999999998</v>
      </c>
      <c r="E803">
        <v>4.26</v>
      </c>
      <c r="F803">
        <v>4.47</v>
      </c>
      <c r="G803">
        <v>1.3</v>
      </c>
      <c r="H803" s="15">
        <v>1.94</v>
      </c>
      <c r="I803">
        <v>23.5</v>
      </c>
      <c r="J803">
        <v>13.71</v>
      </c>
      <c r="K803" t="e">
        <v>#N/A</v>
      </c>
      <c r="L803">
        <v>0.63</v>
      </c>
      <c r="M803">
        <v>1.64</v>
      </c>
      <c r="N803">
        <v>0.12</v>
      </c>
      <c r="O803">
        <v>1.62</v>
      </c>
      <c r="P803">
        <v>0.22</v>
      </c>
      <c r="Q803">
        <v>14</v>
      </c>
    </row>
    <row r="804" spans="1:17" x14ac:dyDescent="0.25">
      <c r="A804" s="1">
        <v>42356</v>
      </c>
      <c r="B804">
        <v>5.88</v>
      </c>
      <c r="C804">
        <v>96.74</v>
      </c>
      <c r="D804">
        <v>2.0579999999999998</v>
      </c>
      <c r="E804">
        <v>4.16</v>
      </c>
      <c r="F804" t="e">
        <v>#N/A</v>
      </c>
      <c r="G804">
        <v>1.29</v>
      </c>
      <c r="H804" s="15">
        <v>1.94</v>
      </c>
      <c r="I804">
        <v>23.25</v>
      </c>
      <c r="J804">
        <v>13.73</v>
      </c>
      <c r="K804">
        <v>9.6</v>
      </c>
      <c r="L804">
        <v>0.63</v>
      </c>
      <c r="M804">
        <v>1.64</v>
      </c>
      <c r="N804">
        <v>0.11799999999999999</v>
      </c>
      <c r="O804" t="e">
        <v>#N/A</v>
      </c>
      <c r="P804">
        <v>0.22</v>
      </c>
      <c r="Q804">
        <v>13</v>
      </c>
    </row>
    <row r="805" spans="1:17" x14ac:dyDescent="0.25">
      <c r="A805" s="1">
        <v>42359</v>
      </c>
      <c r="B805" t="e">
        <v>#N/A</v>
      </c>
      <c r="C805">
        <v>96</v>
      </c>
      <c r="D805">
        <v>2.0150000000000001</v>
      </c>
      <c r="E805">
        <v>3.93</v>
      </c>
      <c r="F805">
        <v>4.8499999999999996</v>
      </c>
      <c r="G805">
        <v>1.27</v>
      </c>
      <c r="H805" s="15">
        <v>2</v>
      </c>
      <c r="I805">
        <v>22.9</v>
      </c>
      <c r="J805">
        <v>13.74</v>
      </c>
      <c r="K805">
        <v>9.5</v>
      </c>
      <c r="L805" t="e">
        <v>#N/A</v>
      </c>
      <c r="M805">
        <v>1.7</v>
      </c>
      <c r="N805">
        <v>0.11600000000000001</v>
      </c>
      <c r="O805" t="e">
        <v>#N/A</v>
      </c>
      <c r="P805">
        <v>0.21299999999999999</v>
      </c>
      <c r="Q805">
        <v>12</v>
      </c>
    </row>
    <row r="806" spans="1:17" x14ac:dyDescent="0.25">
      <c r="A806" s="1">
        <v>42360</v>
      </c>
      <c r="B806">
        <v>5.8</v>
      </c>
      <c r="C806">
        <v>97.8</v>
      </c>
      <c r="D806" t="e">
        <v>#N/A</v>
      </c>
      <c r="E806">
        <v>3.9</v>
      </c>
      <c r="F806">
        <v>4.84</v>
      </c>
      <c r="G806">
        <v>1.29</v>
      </c>
      <c r="H806" s="15">
        <v>2.0299999999999998</v>
      </c>
      <c r="I806">
        <v>22.5</v>
      </c>
      <c r="J806">
        <v>13.9</v>
      </c>
      <c r="K806">
        <v>9.35</v>
      </c>
      <c r="L806">
        <v>0.56999999999999995</v>
      </c>
      <c r="M806">
        <v>1.66</v>
      </c>
      <c r="N806">
        <v>0.11600000000000001</v>
      </c>
      <c r="O806">
        <v>1.62</v>
      </c>
      <c r="P806">
        <v>0.21199999999999999</v>
      </c>
      <c r="Q806">
        <v>14</v>
      </c>
    </row>
    <row r="807" spans="1:17" x14ac:dyDescent="0.25">
      <c r="A807" s="1">
        <v>42361</v>
      </c>
      <c r="B807">
        <v>5.8</v>
      </c>
      <c r="C807">
        <v>99.65</v>
      </c>
      <c r="D807">
        <v>2.0150000000000001</v>
      </c>
      <c r="E807">
        <v>4.2</v>
      </c>
      <c r="F807">
        <v>4.84</v>
      </c>
      <c r="G807" t="e">
        <v>#N/A</v>
      </c>
      <c r="H807" s="15">
        <v>2.0299999999999998</v>
      </c>
      <c r="I807">
        <v>22.9</v>
      </c>
      <c r="J807">
        <v>14</v>
      </c>
      <c r="K807">
        <v>9.35</v>
      </c>
      <c r="L807">
        <v>0.55000000000000004</v>
      </c>
      <c r="M807">
        <v>1.7</v>
      </c>
      <c r="N807">
        <v>0.12</v>
      </c>
      <c r="O807" t="e">
        <v>#N/A</v>
      </c>
      <c r="P807">
        <v>0.21</v>
      </c>
      <c r="Q807">
        <v>13</v>
      </c>
    </row>
    <row r="808" spans="1:17" x14ac:dyDescent="0.25">
      <c r="A808" s="1">
        <v>42362</v>
      </c>
      <c r="B808">
        <v>5.8</v>
      </c>
      <c r="C808">
        <v>100</v>
      </c>
      <c r="D808">
        <v>2.0150000000000001</v>
      </c>
      <c r="E808" t="e">
        <v>#N/A</v>
      </c>
      <c r="F808">
        <v>4.8</v>
      </c>
      <c r="G808">
        <v>1.3</v>
      </c>
      <c r="H808" s="15">
        <v>2.0299999999999998</v>
      </c>
      <c r="I808" t="e">
        <v>#N/A</v>
      </c>
      <c r="J808">
        <v>14.05</v>
      </c>
      <c r="K808" t="e">
        <v>#N/A</v>
      </c>
      <c r="L808" t="e">
        <v>#N/A</v>
      </c>
      <c r="M808" t="e">
        <v>#N/A</v>
      </c>
      <c r="N808">
        <v>0.12</v>
      </c>
      <c r="O808" t="e">
        <v>#N/A</v>
      </c>
      <c r="P808">
        <v>0.21</v>
      </c>
      <c r="Q808">
        <v>9</v>
      </c>
    </row>
    <row r="809" spans="1:17" x14ac:dyDescent="0.25">
      <c r="A809" s="1">
        <v>42366</v>
      </c>
      <c r="B809">
        <v>5.78</v>
      </c>
      <c r="C809">
        <v>97.8</v>
      </c>
      <c r="D809">
        <v>1.98</v>
      </c>
      <c r="E809">
        <v>4.1500000000000004</v>
      </c>
      <c r="F809">
        <v>4.75</v>
      </c>
      <c r="G809">
        <v>1.3</v>
      </c>
      <c r="H809" s="15">
        <v>1.97</v>
      </c>
      <c r="I809">
        <v>22.63</v>
      </c>
      <c r="J809">
        <v>14</v>
      </c>
      <c r="K809">
        <v>9.35</v>
      </c>
      <c r="L809">
        <v>0.5</v>
      </c>
      <c r="M809">
        <v>1.5</v>
      </c>
      <c r="N809">
        <v>0.11600000000000001</v>
      </c>
      <c r="O809">
        <v>1.6</v>
      </c>
      <c r="P809">
        <v>0.20200000000000001</v>
      </c>
      <c r="Q809">
        <v>15</v>
      </c>
    </row>
    <row r="810" spans="1:17" x14ac:dyDescent="0.25">
      <c r="A810" s="1">
        <v>42367</v>
      </c>
      <c r="B810">
        <v>5.8</v>
      </c>
      <c r="C810">
        <v>98.8</v>
      </c>
      <c r="D810">
        <v>1.98</v>
      </c>
      <c r="E810" t="e">
        <v>#N/A</v>
      </c>
      <c r="F810">
        <v>4.75</v>
      </c>
      <c r="G810">
        <v>1.32</v>
      </c>
      <c r="H810" s="15">
        <v>2</v>
      </c>
      <c r="I810">
        <v>22.75</v>
      </c>
      <c r="J810" t="e">
        <v>#N/A</v>
      </c>
      <c r="K810">
        <v>9.2100000000000009</v>
      </c>
      <c r="L810">
        <v>0.5</v>
      </c>
      <c r="M810">
        <v>1.6</v>
      </c>
      <c r="N810">
        <v>0.11600000000000001</v>
      </c>
      <c r="O810">
        <v>1.6</v>
      </c>
      <c r="P810">
        <v>0.19400000000000001</v>
      </c>
      <c r="Q810">
        <v>13</v>
      </c>
    </row>
    <row r="811" spans="1:17" x14ac:dyDescent="0.25">
      <c r="A811" s="1">
        <v>42368</v>
      </c>
      <c r="B811" t="e">
        <v>#N/A</v>
      </c>
      <c r="C811">
        <v>97.9</v>
      </c>
      <c r="D811">
        <v>1.98</v>
      </c>
      <c r="E811" t="e">
        <v>#N/A</v>
      </c>
      <c r="F811">
        <v>4.8499999999999996</v>
      </c>
      <c r="G811">
        <v>1.33</v>
      </c>
      <c r="H811" s="15">
        <v>1.95</v>
      </c>
      <c r="I811">
        <v>22.75</v>
      </c>
      <c r="J811">
        <v>14</v>
      </c>
      <c r="K811">
        <v>9.2100000000000009</v>
      </c>
      <c r="L811" t="e">
        <v>#N/A</v>
      </c>
      <c r="M811">
        <v>1.6</v>
      </c>
      <c r="N811">
        <v>0.115</v>
      </c>
      <c r="O811">
        <v>1.64</v>
      </c>
      <c r="P811">
        <v>0.189</v>
      </c>
      <c r="Q811">
        <v>12</v>
      </c>
    </row>
    <row r="812" spans="1:17" x14ac:dyDescent="0.25">
      <c r="A812" s="1">
        <v>42369</v>
      </c>
      <c r="B812" t="e">
        <v>#N/A</v>
      </c>
      <c r="C812" t="e">
        <v>#N/A</v>
      </c>
      <c r="D812" t="e">
        <v>#N/A</v>
      </c>
      <c r="E812" t="e">
        <v>#N/A</v>
      </c>
      <c r="F812">
        <v>5</v>
      </c>
      <c r="G812">
        <v>1.35</v>
      </c>
      <c r="H812" s="15">
        <v>1.97</v>
      </c>
      <c r="I812">
        <v>22.75</v>
      </c>
      <c r="J812" t="e">
        <v>#N/A</v>
      </c>
      <c r="K812">
        <v>9.15</v>
      </c>
      <c r="L812">
        <v>0.52</v>
      </c>
      <c r="M812" t="e">
        <v>#N/A</v>
      </c>
      <c r="N812">
        <v>0.115</v>
      </c>
      <c r="O812">
        <v>1.7</v>
      </c>
      <c r="P812">
        <v>0.19</v>
      </c>
      <c r="Q812">
        <v>9</v>
      </c>
    </row>
    <row r="813" spans="1:17" x14ac:dyDescent="0.25">
      <c r="A813" s="1">
        <v>42373</v>
      </c>
      <c r="B813">
        <v>5.7</v>
      </c>
      <c r="C813">
        <v>95.5</v>
      </c>
      <c r="D813">
        <v>1.98</v>
      </c>
      <c r="E813">
        <v>4.45</v>
      </c>
      <c r="F813">
        <v>5</v>
      </c>
      <c r="G813" t="e">
        <v>#N/A</v>
      </c>
      <c r="H813" s="15">
        <v>1.97</v>
      </c>
      <c r="I813">
        <v>22.74</v>
      </c>
      <c r="J813">
        <v>14</v>
      </c>
      <c r="K813">
        <v>8.9</v>
      </c>
      <c r="L813">
        <v>0.5</v>
      </c>
      <c r="M813" t="e">
        <v>#N/A</v>
      </c>
      <c r="N813">
        <v>0.115</v>
      </c>
      <c r="O813" t="e">
        <v>#N/A</v>
      </c>
      <c r="P813">
        <v>0.185</v>
      </c>
      <c r="Q813">
        <v>12</v>
      </c>
    </row>
    <row r="814" spans="1:17" x14ac:dyDescent="0.25">
      <c r="A814" s="1">
        <v>42374</v>
      </c>
      <c r="B814">
        <v>5.65</v>
      </c>
      <c r="C814">
        <v>94</v>
      </c>
      <c r="D814">
        <v>1.958</v>
      </c>
      <c r="E814">
        <v>4.45</v>
      </c>
      <c r="F814">
        <v>4.99</v>
      </c>
      <c r="G814">
        <v>1.33</v>
      </c>
      <c r="H814" s="15">
        <v>1.9</v>
      </c>
      <c r="I814">
        <v>22.74</v>
      </c>
      <c r="J814" t="e">
        <v>#N/A</v>
      </c>
      <c r="K814">
        <v>8.9</v>
      </c>
      <c r="L814">
        <v>0.5</v>
      </c>
      <c r="M814">
        <v>1.6</v>
      </c>
      <c r="N814">
        <v>0.115</v>
      </c>
      <c r="O814">
        <v>1.73</v>
      </c>
      <c r="P814">
        <v>0.17899999999999999</v>
      </c>
      <c r="Q814">
        <v>14</v>
      </c>
    </row>
    <row r="815" spans="1:17" x14ac:dyDescent="0.25">
      <c r="A815" s="1">
        <v>42375</v>
      </c>
      <c r="B815">
        <v>5.55</v>
      </c>
      <c r="C815">
        <v>94</v>
      </c>
      <c r="D815">
        <v>1.923</v>
      </c>
      <c r="E815">
        <v>4.3499999999999996</v>
      </c>
      <c r="F815">
        <v>4.8</v>
      </c>
      <c r="G815">
        <v>1.3</v>
      </c>
      <c r="H815" s="15">
        <v>1.9</v>
      </c>
      <c r="I815" t="e">
        <v>#N/A</v>
      </c>
      <c r="J815" t="e">
        <v>#N/A</v>
      </c>
      <c r="K815">
        <v>8.89</v>
      </c>
      <c r="L815">
        <v>0.5</v>
      </c>
      <c r="M815" t="e">
        <v>#N/A</v>
      </c>
      <c r="N815">
        <v>0.105</v>
      </c>
      <c r="O815" t="e">
        <v>#N/A</v>
      </c>
      <c r="P815">
        <v>0.17499999999999999</v>
      </c>
      <c r="Q815">
        <v>11</v>
      </c>
    </row>
    <row r="816" spans="1:17" x14ac:dyDescent="0.25">
      <c r="A816" s="1">
        <v>42376</v>
      </c>
      <c r="B816">
        <v>5.5</v>
      </c>
      <c r="C816">
        <v>90.15</v>
      </c>
      <c r="D816">
        <v>1.9079999999999999</v>
      </c>
      <c r="E816">
        <v>4.16</v>
      </c>
      <c r="F816">
        <v>4.55</v>
      </c>
      <c r="G816">
        <v>1.3</v>
      </c>
      <c r="H816" s="15">
        <v>1.77</v>
      </c>
      <c r="I816">
        <v>22.65</v>
      </c>
      <c r="J816" t="e">
        <v>#N/A</v>
      </c>
      <c r="K816">
        <v>8.8800000000000008</v>
      </c>
      <c r="L816" t="e">
        <v>#N/A</v>
      </c>
      <c r="M816">
        <v>1.56</v>
      </c>
      <c r="N816">
        <v>0.10299999999999999</v>
      </c>
      <c r="O816">
        <v>1.65</v>
      </c>
      <c r="P816">
        <v>0.17</v>
      </c>
      <c r="Q816">
        <v>13</v>
      </c>
    </row>
    <row r="817" spans="1:17" x14ac:dyDescent="0.25">
      <c r="A817" s="1">
        <v>42377</v>
      </c>
      <c r="B817">
        <v>5.45</v>
      </c>
      <c r="C817">
        <v>89.73</v>
      </c>
      <c r="D817">
        <v>1.8939999999999999</v>
      </c>
      <c r="E817" t="e">
        <v>#N/A</v>
      </c>
      <c r="F817">
        <v>4.5</v>
      </c>
      <c r="G817" t="e">
        <v>#N/A</v>
      </c>
      <c r="H817" s="15">
        <v>1.75</v>
      </c>
      <c r="I817">
        <v>21.9</v>
      </c>
      <c r="J817" t="e">
        <v>#N/A</v>
      </c>
      <c r="K817">
        <v>8.8699999999999992</v>
      </c>
      <c r="L817">
        <v>0.46</v>
      </c>
      <c r="M817">
        <v>1.45</v>
      </c>
      <c r="N817">
        <v>0.104</v>
      </c>
      <c r="O817">
        <v>1.6</v>
      </c>
      <c r="P817">
        <v>0.17</v>
      </c>
      <c r="Q817">
        <v>12</v>
      </c>
    </row>
    <row r="818" spans="1:17" x14ac:dyDescent="0.25">
      <c r="A818" s="1">
        <v>42380</v>
      </c>
      <c r="B818" t="e">
        <v>#N/A</v>
      </c>
      <c r="C818">
        <v>88</v>
      </c>
      <c r="D818">
        <v>1.887</v>
      </c>
      <c r="E818">
        <v>4</v>
      </c>
      <c r="F818">
        <v>4.55</v>
      </c>
      <c r="G818">
        <v>1.31</v>
      </c>
      <c r="H818" s="15">
        <v>1.75</v>
      </c>
      <c r="I818">
        <v>21</v>
      </c>
      <c r="J818">
        <v>13.25</v>
      </c>
      <c r="K818">
        <v>8.6</v>
      </c>
      <c r="L818">
        <v>0.46</v>
      </c>
      <c r="M818">
        <v>1.45</v>
      </c>
      <c r="N818">
        <v>0.105</v>
      </c>
      <c r="O818">
        <v>1.6</v>
      </c>
      <c r="P818">
        <v>0.16900000000000001</v>
      </c>
      <c r="Q818">
        <v>14</v>
      </c>
    </row>
    <row r="819" spans="1:17" x14ac:dyDescent="0.25">
      <c r="A819" s="1">
        <v>42381</v>
      </c>
      <c r="B819">
        <v>5.5</v>
      </c>
      <c r="C819">
        <v>89.75</v>
      </c>
      <c r="D819">
        <v>1.8160000000000001</v>
      </c>
      <c r="E819" t="e">
        <v>#N/A</v>
      </c>
      <c r="F819">
        <v>4.57</v>
      </c>
      <c r="G819">
        <v>1.27</v>
      </c>
      <c r="H819" s="15">
        <v>1.75</v>
      </c>
      <c r="I819">
        <v>20.7</v>
      </c>
      <c r="J819">
        <v>13</v>
      </c>
      <c r="K819">
        <v>8.4</v>
      </c>
      <c r="L819">
        <v>0.46</v>
      </c>
      <c r="M819" t="e">
        <v>#N/A</v>
      </c>
      <c r="N819">
        <v>0.105</v>
      </c>
      <c r="O819">
        <v>1.57</v>
      </c>
      <c r="P819">
        <v>0.16900000000000001</v>
      </c>
      <c r="Q819">
        <v>13</v>
      </c>
    </row>
    <row r="820" spans="1:17" x14ac:dyDescent="0.25">
      <c r="A820" s="1">
        <v>42382</v>
      </c>
      <c r="B820">
        <v>5.5</v>
      </c>
      <c r="C820">
        <v>88.6</v>
      </c>
      <c r="D820">
        <v>1.78</v>
      </c>
      <c r="E820">
        <v>4.1500000000000004</v>
      </c>
      <c r="F820">
        <v>4.5999999999999996</v>
      </c>
      <c r="G820" t="e">
        <v>#N/A</v>
      </c>
      <c r="H820" s="15" t="e">
        <v>#N/A</v>
      </c>
      <c r="I820">
        <v>20.48</v>
      </c>
      <c r="J820">
        <v>12.7</v>
      </c>
      <c r="K820">
        <v>8.4</v>
      </c>
      <c r="L820">
        <v>0.45</v>
      </c>
      <c r="M820" t="e">
        <v>#N/A</v>
      </c>
      <c r="N820">
        <v>0.105</v>
      </c>
      <c r="O820">
        <v>1.57</v>
      </c>
      <c r="P820">
        <v>0.16800000000000001</v>
      </c>
      <c r="Q820">
        <v>12</v>
      </c>
    </row>
    <row r="821" spans="1:17" x14ac:dyDescent="0.25">
      <c r="A821" s="1">
        <v>42383</v>
      </c>
      <c r="B821">
        <v>5.25</v>
      </c>
      <c r="C821">
        <v>89.6</v>
      </c>
      <c r="D821" t="e">
        <v>#N/A</v>
      </c>
      <c r="E821">
        <v>4.2</v>
      </c>
      <c r="F821">
        <v>4.5</v>
      </c>
      <c r="G821">
        <v>1.28</v>
      </c>
      <c r="H821" s="15" t="e">
        <v>#N/A</v>
      </c>
      <c r="I821">
        <v>20.48</v>
      </c>
      <c r="J821">
        <v>12.9</v>
      </c>
      <c r="K821">
        <v>8.4</v>
      </c>
      <c r="L821">
        <v>0.45500000000000002</v>
      </c>
      <c r="M821">
        <v>1.3</v>
      </c>
      <c r="N821">
        <v>0.105</v>
      </c>
      <c r="O821">
        <v>1.54</v>
      </c>
      <c r="P821">
        <v>0.16800000000000001</v>
      </c>
      <c r="Q821">
        <v>13</v>
      </c>
    </row>
    <row r="822" spans="1:17" x14ac:dyDescent="0.25">
      <c r="A822" s="1">
        <v>42384</v>
      </c>
      <c r="B822">
        <v>5.4</v>
      </c>
      <c r="C822">
        <v>87.4</v>
      </c>
      <c r="D822">
        <v>1.673</v>
      </c>
      <c r="E822">
        <v>4</v>
      </c>
      <c r="F822">
        <v>4.4000000000000004</v>
      </c>
      <c r="G822" t="e">
        <v>#N/A</v>
      </c>
      <c r="H822" s="15">
        <v>1.7</v>
      </c>
      <c r="I822">
        <v>20.399999999999999</v>
      </c>
      <c r="J822" t="e">
        <v>#N/A</v>
      </c>
      <c r="K822">
        <v>8.4</v>
      </c>
      <c r="L822">
        <v>0.45300000000000001</v>
      </c>
      <c r="M822" t="e">
        <v>#N/A</v>
      </c>
      <c r="N822">
        <v>0.105</v>
      </c>
      <c r="O822" t="e">
        <v>#N/A</v>
      </c>
      <c r="P822">
        <v>0.16800000000000001</v>
      </c>
      <c r="Q822">
        <v>11</v>
      </c>
    </row>
    <row r="823" spans="1:17" x14ac:dyDescent="0.25">
      <c r="A823" s="1">
        <v>42387</v>
      </c>
      <c r="B823">
        <v>5.35</v>
      </c>
      <c r="C823">
        <v>87.6</v>
      </c>
      <c r="D823">
        <v>1.6659999999999999</v>
      </c>
      <c r="E823" t="e">
        <v>#N/A</v>
      </c>
      <c r="F823" t="e">
        <v>#N/A</v>
      </c>
      <c r="G823" t="e">
        <v>#N/A</v>
      </c>
      <c r="H823" s="15">
        <v>1.7</v>
      </c>
      <c r="I823">
        <v>20.399999999999999</v>
      </c>
      <c r="J823" t="e">
        <v>#N/A</v>
      </c>
      <c r="K823">
        <v>8.39</v>
      </c>
      <c r="L823" t="e">
        <v>#N/A</v>
      </c>
      <c r="M823" t="e">
        <v>#N/A</v>
      </c>
      <c r="N823">
        <v>0.105</v>
      </c>
      <c r="O823">
        <v>1.54</v>
      </c>
      <c r="P823">
        <v>0.16800000000000001</v>
      </c>
      <c r="Q823">
        <v>9</v>
      </c>
    </row>
    <row r="824" spans="1:17" x14ac:dyDescent="0.25">
      <c r="A824" s="1">
        <v>42388</v>
      </c>
      <c r="B824">
        <v>5.25</v>
      </c>
      <c r="C824">
        <v>88.22</v>
      </c>
      <c r="D824">
        <v>1.6950000000000001</v>
      </c>
      <c r="E824">
        <v>3.4</v>
      </c>
      <c r="F824">
        <v>4.4000000000000004</v>
      </c>
      <c r="G824">
        <v>1.28</v>
      </c>
      <c r="H824" s="15">
        <v>1.7</v>
      </c>
      <c r="I824">
        <v>20.399999999999999</v>
      </c>
      <c r="J824">
        <v>13.2</v>
      </c>
      <c r="K824">
        <v>8.1999999999999993</v>
      </c>
      <c r="L824">
        <v>0.47</v>
      </c>
      <c r="M824">
        <v>1.45</v>
      </c>
      <c r="N824">
        <v>0.1</v>
      </c>
      <c r="O824">
        <v>1.54</v>
      </c>
      <c r="P824">
        <v>0.16900000000000001</v>
      </c>
      <c r="Q824">
        <v>15</v>
      </c>
    </row>
    <row r="825" spans="1:17" x14ac:dyDescent="0.25">
      <c r="A825" s="1">
        <v>42389</v>
      </c>
      <c r="B825">
        <v>5.18</v>
      </c>
      <c r="C825">
        <v>88</v>
      </c>
      <c r="D825">
        <v>1.7090000000000001</v>
      </c>
      <c r="E825">
        <v>3.55</v>
      </c>
      <c r="F825">
        <v>4.33</v>
      </c>
      <c r="G825">
        <v>1.27</v>
      </c>
      <c r="H825" s="15" t="e">
        <v>#N/A</v>
      </c>
      <c r="I825">
        <v>20.2</v>
      </c>
      <c r="J825">
        <v>13</v>
      </c>
      <c r="K825">
        <v>8.01</v>
      </c>
      <c r="L825">
        <v>0.47</v>
      </c>
      <c r="M825" t="e">
        <v>#N/A</v>
      </c>
      <c r="N825">
        <v>9.5000000000000001E-2</v>
      </c>
      <c r="O825" t="e">
        <v>#N/A</v>
      </c>
      <c r="P825">
        <v>0.17</v>
      </c>
      <c r="Q825">
        <v>12</v>
      </c>
    </row>
    <row r="826" spans="1:17" x14ac:dyDescent="0.25">
      <c r="A826" s="1">
        <v>42390</v>
      </c>
      <c r="B826">
        <v>5.18</v>
      </c>
      <c r="C826">
        <v>86.9</v>
      </c>
      <c r="D826">
        <v>1.7090000000000001</v>
      </c>
      <c r="E826">
        <v>3.5</v>
      </c>
      <c r="F826">
        <v>4.3499999999999996</v>
      </c>
      <c r="G826">
        <v>1.26</v>
      </c>
      <c r="H826" s="15" t="e">
        <v>#N/A</v>
      </c>
      <c r="I826">
        <v>20.399999999999999</v>
      </c>
      <c r="J826">
        <v>13</v>
      </c>
      <c r="K826">
        <v>8.01</v>
      </c>
      <c r="L826">
        <v>0.47</v>
      </c>
      <c r="M826">
        <v>1.38</v>
      </c>
      <c r="N826">
        <v>0.1</v>
      </c>
      <c r="O826" t="e">
        <v>#N/A</v>
      </c>
      <c r="P826">
        <v>0.18099999999999999</v>
      </c>
      <c r="Q826">
        <v>13</v>
      </c>
    </row>
    <row r="827" spans="1:17" x14ac:dyDescent="0.25">
      <c r="A827" s="1">
        <v>42391</v>
      </c>
      <c r="B827">
        <v>5.09</v>
      </c>
      <c r="C827">
        <v>91</v>
      </c>
      <c r="D827">
        <v>1.7230000000000001</v>
      </c>
      <c r="E827">
        <v>3.5</v>
      </c>
      <c r="F827">
        <v>4.3499999999999996</v>
      </c>
      <c r="G827">
        <v>1.26</v>
      </c>
      <c r="H827" s="15">
        <v>1.7</v>
      </c>
      <c r="I827">
        <v>20.6</v>
      </c>
      <c r="J827">
        <v>13.5</v>
      </c>
      <c r="K827">
        <v>8.01</v>
      </c>
      <c r="L827">
        <v>0.48</v>
      </c>
      <c r="M827">
        <v>1.46</v>
      </c>
      <c r="N827">
        <v>0.106</v>
      </c>
      <c r="O827">
        <v>1.54</v>
      </c>
      <c r="P827">
        <v>0.20499999999999999</v>
      </c>
      <c r="Q827">
        <v>15</v>
      </c>
    </row>
    <row r="828" spans="1:17" x14ac:dyDescent="0.25">
      <c r="A828" s="1">
        <v>42394</v>
      </c>
      <c r="B828">
        <v>5.0999999999999996</v>
      </c>
      <c r="C828">
        <v>90.2</v>
      </c>
      <c r="D828">
        <v>1.7230000000000001</v>
      </c>
      <c r="E828">
        <v>3.89</v>
      </c>
      <c r="F828">
        <v>4.3499999999999996</v>
      </c>
      <c r="G828" t="e">
        <v>#N/A</v>
      </c>
      <c r="H828" s="15">
        <v>1.69</v>
      </c>
      <c r="I828">
        <v>20.6</v>
      </c>
      <c r="J828">
        <v>13.5</v>
      </c>
      <c r="K828">
        <v>8.1300000000000008</v>
      </c>
      <c r="L828" t="e">
        <v>#N/A</v>
      </c>
      <c r="M828">
        <v>1.47</v>
      </c>
      <c r="N828">
        <v>0.1</v>
      </c>
      <c r="O828" t="e">
        <v>#N/A</v>
      </c>
      <c r="P828">
        <v>0.2</v>
      </c>
      <c r="Q828">
        <v>12</v>
      </c>
    </row>
    <row r="829" spans="1:17" x14ac:dyDescent="0.25">
      <c r="A829" s="1">
        <v>42395</v>
      </c>
      <c r="B829">
        <v>5</v>
      </c>
      <c r="C829">
        <v>91</v>
      </c>
      <c r="D829">
        <v>1.6950000000000001</v>
      </c>
      <c r="E829">
        <v>4.1500000000000004</v>
      </c>
      <c r="F829">
        <v>4.3499999999999996</v>
      </c>
      <c r="G829">
        <v>1.25</v>
      </c>
      <c r="H829" s="15">
        <v>1.69</v>
      </c>
      <c r="I829" t="e">
        <v>#N/A</v>
      </c>
      <c r="J829">
        <v>13.5</v>
      </c>
      <c r="K829">
        <v>8.3000000000000007</v>
      </c>
      <c r="L829">
        <v>0.495</v>
      </c>
      <c r="M829">
        <v>1.45</v>
      </c>
      <c r="N829">
        <v>0.1</v>
      </c>
      <c r="O829" t="e">
        <v>#N/A</v>
      </c>
      <c r="P829">
        <v>0.20499999999999999</v>
      </c>
      <c r="Q829">
        <v>13</v>
      </c>
    </row>
    <row r="830" spans="1:17" x14ac:dyDescent="0.25">
      <c r="A830" s="1">
        <v>42396</v>
      </c>
      <c r="B830">
        <v>5.0999999999999996</v>
      </c>
      <c r="C830">
        <v>94.45</v>
      </c>
      <c r="D830">
        <v>1.7230000000000001</v>
      </c>
      <c r="E830">
        <v>4.1500000000000004</v>
      </c>
      <c r="F830">
        <v>4.3499999999999996</v>
      </c>
      <c r="G830">
        <v>1.25</v>
      </c>
      <c r="H830" s="15">
        <v>1.69</v>
      </c>
      <c r="I830">
        <v>20.100000000000001</v>
      </c>
      <c r="J830">
        <v>13.48</v>
      </c>
      <c r="K830">
        <v>8.1</v>
      </c>
      <c r="L830">
        <v>0.5</v>
      </c>
      <c r="M830">
        <v>1.45</v>
      </c>
      <c r="N830">
        <v>0.1</v>
      </c>
      <c r="O830" t="e">
        <v>#N/A</v>
      </c>
      <c r="P830">
        <v>0.214</v>
      </c>
      <c r="Q830">
        <v>14</v>
      </c>
    </row>
    <row r="831" spans="1:17" x14ac:dyDescent="0.25">
      <c r="A831" s="1">
        <v>42397</v>
      </c>
      <c r="B831">
        <v>5.0999999999999996</v>
      </c>
      <c r="C831">
        <v>98.6</v>
      </c>
      <c r="D831">
        <v>1.744</v>
      </c>
      <c r="E831">
        <v>4.04</v>
      </c>
      <c r="F831">
        <v>4.3499999999999996</v>
      </c>
      <c r="G831">
        <v>1.21</v>
      </c>
      <c r="H831" s="15">
        <v>1.65</v>
      </c>
      <c r="I831">
        <v>20</v>
      </c>
      <c r="J831" t="e">
        <v>#N/A</v>
      </c>
      <c r="K831">
        <v>8.1</v>
      </c>
      <c r="L831">
        <v>0.5</v>
      </c>
      <c r="M831" t="e">
        <v>#N/A</v>
      </c>
      <c r="N831">
        <v>0.10199999999999999</v>
      </c>
      <c r="O831" t="e">
        <v>#N/A</v>
      </c>
      <c r="P831">
        <v>0.23300000000000001</v>
      </c>
      <c r="Q831">
        <v>12</v>
      </c>
    </row>
    <row r="832" spans="1:17" x14ac:dyDescent="0.25">
      <c r="A832" s="1">
        <v>42398</v>
      </c>
      <c r="B832">
        <v>5.0999999999999996</v>
      </c>
      <c r="C832">
        <v>100.85</v>
      </c>
      <c r="D832">
        <v>1.794</v>
      </c>
      <c r="E832">
        <v>4</v>
      </c>
      <c r="F832">
        <v>4.5</v>
      </c>
      <c r="G832">
        <v>1.22</v>
      </c>
      <c r="H832" s="15">
        <v>1.6</v>
      </c>
      <c r="I832">
        <v>20.149999999999999</v>
      </c>
      <c r="J832">
        <v>13</v>
      </c>
      <c r="K832">
        <v>8.15</v>
      </c>
      <c r="L832">
        <v>0.5</v>
      </c>
      <c r="M832" t="e">
        <v>#N/A</v>
      </c>
      <c r="N832">
        <v>0.105</v>
      </c>
      <c r="O832">
        <v>1.45</v>
      </c>
      <c r="P832">
        <v>0.23899999999999999</v>
      </c>
      <c r="Q832">
        <v>14</v>
      </c>
    </row>
    <row r="833" spans="1:17" x14ac:dyDescent="0.25">
      <c r="A833" s="1">
        <v>42401</v>
      </c>
      <c r="B833">
        <v>5.2</v>
      </c>
      <c r="C833">
        <v>100.35</v>
      </c>
      <c r="D833">
        <v>1.8089999999999999</v>
      </c>
      <c r="E833">
        <v>4.2</v>
      </c>
      <c r="F833">
        <v>4.49</v>
      </c>
      <c r="G833">
        <v>1.22</v>
      </c>
      <c r="H833" s="15">
        <v>1.6</v>
      </c>
      <c r="I833">
        <v>20.149999999999999</v>
      </c>
      <c r="J833">
        <v>12.75</v>
      </c>
      <c r="K833">
        <v>8.35</v>
      </c>
      <c r="L833">
        <v>0.5</v>
      </c>
      <c r="M833" t="e">
        <v>#N/A</v>
      </c>
      <c r="N833">
        <v>0.106</v>
      </c>
      <c r="O833">
        <v>1.35</v>
      </c>
      <c r="P833">
        <v>0.24</v>
      </c>
      <c r="Q833">
        <v>14</v>
      </c>
    </row>
    <row r="834" spans="1:17" x14ac:dyDescent="0.25">
      <c r="A834" s="1">
        <v>42402</v>
      </c>
      <c r="B834">
        <v>5.15</v>
      </c>
      <c r="C834">
        <v>97.5</v>
      </c>
      <c r="D834">
        <v>1.823</v>
      </c>
      <c r="E834">
        <v>4.1900000000000004</v>
      </c>
      <c r="F834">
        <v>4.42</v>
      </c>
      <c r="G834">
        <v>1.17</v>
      </c>
      <c r="H834" s="15">
        <v>1.6</v>
      </c>
      <c r="I834">
        <v>20.149999999999999</v>
      </c>
      <c r="J834">
        <v>12.58</v>
      </c>
      <c r="K834">
        <v>8.35</v>
      </c>
      <c r="L834">
        <v>0.49</v>
      </c>
      <c r="M834">
        <v>1.43</v>
      </c>
      <c r="N834">
        <v>0.106</v>
      </c>
      <c r="O834">
        <v>1.288</v>
      </c>
      <c r="P834">
        <v>0.252</v>
      </c>
      <c r="Q834">
        <v>15</v>
      </c>
    </row>
    <row r="835" spans="1:17" x14ac:dyDescent="0.25">
      <c r="A835" s="1">
        <v>42403</v>
      </c>
      <c r="B835">
        <v>5.0999999999999996</v>
      </c>
      <c r="C835">
        <v>97.8</v>
      </c>
      <c r="D835">
        <v>1.887</v>
      </c>
      <c r="E835">
        <v>4.5</v>
      </c>
      <c r="F835">
        <v>4.43</v>
      </c>
      <c r="G835">
        <v>1.2</v>
      </c>
      <c r="H835" s="15">
        <v>1.75</v>
      </c>
      <c r="I835">
        <v>20.2</v>
      </c>
      <c r="J835">
        <v>12.6</v>
      </c>
      <c r="K835">
        <v>8.35</v>
      </c>
      <c r="L835">
        <v>0.5</v>
      </c>
      <c r="M835">
        <v>1.5</v>
      </c>
      <c r="N835">
        <v>0.127</v>
      </c>
      <c r="O835">
        <v>1.288</v>
      </c>
      <c r="P835">
        <v>0.28999999999999998</v>
      </c>
      <c r="Q835">
        <v>15</v>
      </c>
    </row>
    <row r="836" spans="1:17" x14ac:dyDescent="0.25">
      <c r="A836" s="1">
        <v>42404</v>
      </c>
      <c r="B836">
        <v>5.15</v>
      </c>
      <c r="C836">
        <v>100.5</v>
      </c>
      <c r="D836">
        <v>1.958</v>
      </c>
      <c r="E836">
        <v>4.74</v>
      </c>
      <c r="F836">
        <v>4.42</v>
      </c>
      <c r="G836">
        <v>1.26</v>
      </c>
      <c r="H836" s="15">
        <v>2.0499999999999998</v>
      </c>
      <c r="I836">
        <v>20.5</v>
      </c>
      <c r="J836">
        <v>12.59</v>
      </c>
      <c r="K836">
        <v>8.3699999999999992</v>
      </c>
      <c r="L836">
        <v>0.52</v>
      </c>
      <c r="M836">
        <v>1.6</v>
      </c>
      <c r="N836">
        <v>0.13500000000000001</v>
      </c>
      <c r="O836">
        <v>1.288</v>
      </c>
      <c r="P836">
        <v>0.28999999999999998</v>
      </c>
      <c r="Q836">
        <v>15</v>
      </c>
    </row>
    <row r="837" spans="1:17" x14ac:dyDescent="0.25">
      <c r="A837" s="1">
        <v>42405</v>
      </c>
      <c r="B837">
        <v>5.2</v>
      </c>
      <c r="C837">
        <v>98.99</v>
      </c>
      <c r="D837">
        <v>2.0289999999999999</v>
      </c>
      <c r="E837">
        <v>4.8</v>
      </c>
      <c r="F837">
        <v>4.49</v>
      </c>
      <c r="G837" t="e">
        <v>#N/A</v>
      </c>
      <c r="H837" s="15">
        <v>2.25</v>
      </c>
      <c r="I837">
        <v>20.61</v>
      </c>
      <c r="J837">
        <v>12.59</v>
      </c>
      <c r="K837">
        <v>8.3699999999999992</v>
      </c>
      <c r="L837">
        <v>0.54</v>
      </c>
      <c r="M837">
        <v>1.58</v>
      </c>
      <c r="N837">
        <v>0.12</v>
      </c>
      <c r="O837">
        <v>1.337</v>
      </c>
      <c r="P837">
        <v>0.27100000000000002</v>
      </c>
      <c r="Q837">
        <v>14</v>
      </c>
    </row>
    <row r="838" spans="1:17" x14ac:dyDescent="0.25">
      <c r="A838" s="1">
        <v>42408</v>
      </c>
      <c r="B838">
        <v>5</v>
      </c>
      <c r="C838">
        <v>97.51</v>
      </c>
      <c r="D838">
        <v>2.1360000000000001</v>
      </c>
      <c r="E838">
        <v>4.8</v>
      </c>
      <c r="F838">
        <v>4.5</v>
      </c>
      <c r="G838" t="e">
        <v>#N/A</v>
      </c>
      <c r="H838" s="15">
        <v>2.54</v>
      </c>
      <c r="I838" t="e">
        <v>#N/A</v>
      </c>
      <c r="J838" t="e">
        <v>#N/A</v>
      </c>
      <c r="K838">
        <v>8.3699999999999992</v>
      </c>
      <c r="L838">
        <v>0.56999999999999995</v>
      </c>
      <c r="M838" t="e">
        <v>#N/A</v>
      </c>
      <c r="N838">
        <v>0.11899999999999999</v>
      </c>
      <c r="O838" t="e">
        <v>#N/A</v>
      </c>
      <c r="P838">
        <v>0.28999999999999998</v>
      </c>
      <c r="Q838">
        <v>10</v>
      </c>
    </row>
    <row r="839" spans="1:17" x14ac:dyDescent="0.25">
      <c r="A839" s="1">
        <v>42409</v>
      </c>
      <c r="B839">
        <v>5.05</v>
      </c>
      <c r="C839">
        <v>98.5</v>
      </c>
      <c r="D839">
        <v>2.101</v>
      </c>
      <c r="E839">
        <v>4.67</v>
      </c>
      <c r="F839">
        <v>4.38</v>
      </c>
      <c r="G839" t="e">
        <v>#N/A</v>
      </c>
      <c r="H839" s="15">
        <v>2.57</v>
      </c>
      <c r="I839">
        <v>20.7</v>
      </c>
      <c r="J839">
        <v>12.01</v>
      </c>
      <c r="K839">
        <v>8.4</v>
      </c>
      <c r="L839">
        <v>0.57999999999999996</v>
      </c>
      <c r="M839">
        <v>1.58</v>
      </c>
      <c r="N839">
        <v>0.12</v>
      </c>
      <c r="O839">
        <v>1.387</v>
      </c>
      <c r="P839">
        <v>0.3</v>
      </c>
      <c r="Q839">
        <v>14</v>
      </c>
    </row>
    <row r="840" spans="1:17" x14ac:dyDescent="0.25">
      <c r="A840" s="1">
        <v>42410</v>
      </c>
      <c r="B840">
        <v>5.03</v>
      </c>
      <c r="C840">
        <v>104.3</v>
      </c>
      <c r="D840">
        <v>2.1360000000000001</v>
      </c>
      <c r="E840" t="e">
        <v>#N/A</v>
      </c>
      <c r="F840">
        <v>4.45</v>
      </c>
      <c r="G840">
        <v>1.29</v>
      </c>
      <c r="H840" s="15">
        <v>2.7</v>
      </c>
      <c r="I840">
        <v>21</v>
      </c>
      <c r="J840">
        <v>12.5</v>
      </c>
      <c r="K840">
        <v>8.6</v>
      </c>
      <c r="L840">
        <v>0.57999999999999996</v>
      </c>
      <c r="M840">
        <v>1.56</v>
      </c>
      <c r="N840">
        <v>0.12</v>
      </c>
      <c r="O840">
        <v>1.387</v>
      </c>
      <c r="P840">
        <v>0.28499999999999998</v>
      </c>
      <c r="Q840">
        <v>14</v>
      </c>
    </row>
    <row r="841" spans="1:17" x14ac:dyDescent="0.25">
      <c r="A841" s="1">
        <v>42411</v>
      </c>
      <c r="B841">
        <v>5.0599999999999996</v>
      </c>
      <c r="C841">
        <v>105.3</v>
      </c>
      <c r="D841">
        <v>2.15</v>
      </c>
      <c r="E841">
        <v>5.4</v>
      </c>
      <c r="F841">
        <v>4.4000000000000004</v>
      </c>
      <c r="G841">
        <v>1.28</v>
      </c>
      <c r="H841" s="15">
        <v>2.7</v>
      </c>
      <c r="I841">
        <v>21</v>
      </c>
      <c r="J841">
        <v>12.5</v>
      </c>
      <c r="K841">
        <v>8.5</v>
      </c>
      <c r="L841" t="e">
        <v>#N/A</v>
      </c>
      <c r="M841">
        <v>1.5</v>
      </c>
      <c r="N841">
        <v>0.11700000000000001</v>
      </c>
      <c r="O841">
        <v>1.337</v>
      </c>
      <c r="P841">
        <v>0.28999999999999998</v>
      </c>
      <c r="Q841">
        <v>14</v>
      </c>
    </row>
    <row r="842" spans="1:17" x14ac:dyDescent="0.25">
      <c r="A842" s="1">
        <v>42412</v>
      </c>
      <c r="B842">
        <v>5</v>
      </c>
      <c r="C842">
        <v>110.15</v>
      </c>
      <c r="D842">
        <v>2.1360000000000001</v>
      </c>
      <c r="E842">
        <v>5.36</v>
      </c>
      <c r="F842">
        <v>4.55</v>
      </c>
      <c r="G842">
        <v>1.32</v>
      </c>
      <c r="H842" s="15">
        <v>3</v>
      </c>
      <c r="I842">
        <v>21.8</v>
      </c>
      <c r="J842">
        <v>12.5</v>
      </c>
      <c r="K842">
        <v>8.6</v>
      </c>
      <c r="L842">
        <v>0.6</v>
      </c>
      <c r="M842">
        <v>1.45</v>
      </c>
      <c r="N842">
        <v>0.126</v>
      </c>
      <c r="O842">
        <v>1.337</v>
      </c>
      <c r="P842">
        <v>0.28999999999999998</v>
      </c>
      <c r="Q842">
        <v>15</v>
      </c>
    </row>
    <row r="843" spans="1:17" x14ac:dyDescent="0.25">
      <c r="A843" s="1">
        <v>42415</v>
      </c>
      <c r="B843">
        <v>5.07</v>
      </c>
      <c r="C843">
        <v>110.1</v>
      </c>
      <c r="D843">
        <v>2.1720000000000002</v>
      </c>
      <c r="E843">
        <v>5.34</v>
      </c>
      <c r="F843">
        <v>4.55</v>
      </c>
      <c r="G843">
        <v>1.32</v>
      </c>
      <c r="H843" s="15">
        <v>3</v>
      </c>
      <c r="I843">
        <v>22.51</v>
      </c>
      <c r="J843" t="e">
        <v>#N/A</v>
      </c>
      <c r="K843">
        <v>8.6300000000000008</v>
      </c>
      <c r="L843">
        <v>0.6</v>
      </c>
      <c r="M843">
        <v>1.45</v>
      </c>
      <c r="N843">
        <v>0.128</v>
      </c>
      <c r="O843">
        <v>1.35</v>
      </c>
      <c r="P843">
        <v>0.28999999999999998</v>
      </c>
      <c r="Q843">
        <v>14</v>
      </c>
    </row>
    <row r="844" spans="1:17" x14ac:dyDescent="0.25">
      <c r="A844" s="1">
        <v>42416</v>
      </c>
      <c r="B844">
        <v>5.0999999999999996</v>
      </c>
      <c r="C844">
        <v>110.5</v>
      </c>
      <c r="D844">
        <v>2.2069999999999999</v>
      </c>
      <c r="E844">
        <v>4.7699999999999996</v>
      </c>
      <c r="F844">
        <v>4.62</v>
      </c>
      <c r="G844">
        <v>1.34</v>
      </c>
      <c r="H844" s="15">
        <v>2.95</v>
      </c>
      <c r="I844">
        <v>23.05</v>
      </c>
      <c r="J844">
        <v>12.5</v>
      </c>
      <c r="K844">
        <v>8.68</v>
      </c>
      <c r="L844">
        <v>0.6</v>
      </c>
      <c r="M844">
        <v>1.4</v>
      </c>
      <c r="N844">
        <v>0.13</v>
      </c>
      <c r="O844">
        <v>1.34</v>
      </c>
      <c r="P844">
        <v>0.28000000000000003</v>
      </c>
      <c r="Q844">
        <v>15</v>
      </c>
    </row>
    <row r="845" spans="1:17" x14ac:dyDescent="0.25">
      <c r="A845" s="1">
        <v>42417</v>
      </c>
      <c r="B845">
        <v>5.2</v>
      </c>
      <c r="C845">
        <v>112.8</v>
      </c>
      <c r="D845">
        <v>2.1429999999999998</v>
      </c>
      <c r="E845">
        <v>4.79</v>
      </c>
      <c r="F845">
        <v>4.6500000000000004</v>
      </c>
      <c r="G845">
        <v>1.35</v>
      </c>
      <c r="H845" s="15">
        <v>2.85</v>
      </c>
      <c r="I845">
        <v>24</v>
      </c>
      <c r="J845">
        <v>12.9</v>
      </c>
      <c r="K845">
        <v>8.9</v>
      </c>
      <c r="L845">
        <v>0.65</v>
      </c>
      <c r="M845">
        <v>1.44</v>
      </c>
      <c r="N845">
        <v>0.13600000000000001</v>
      </c>
      <c r="O845">
        <v>1.34</v>
      </c>
      <c r="P845">
        <v>0.3</v>
      </c>
      <c r="Q845">
        <v>15</v>
      </c>
    </row>
    <row r="846" spans="1:17" x14ac:dyDescent="0.25">
      <c r="A846" s="1">
        <v>42418</v>
      </c>
      <c r="B846">
        <v>5.2</v>
      </c>
      <c r="C846">
        <v>111.4</v>
      </c>
      <c r="D846">
        <v>2.1720000000000002</v>
      </c>
      <c r="E846">
        <v>5.35</v>
      </c>
      <c r="F846">
        <v>4.75</v>
      </c>
      <c r="G846">
        <v>1.35</v>
      </c>
      <c r="H846" s="15">
        <v>2.7</v>
      </c>
      <c r="I846">
        <v>24.1</v>
      </c>
      <c r="J846">
        <v>12.96</v>
      </c>
      <c r="K846">
        <v>9</v>
      </c>
      <c r="L846">
        <v>0.72</v>
      </c>
      <c r="M846">
        <v>1.44</v>
      </c>
      <c r="N846">
        <v>0.14000000000000001</v>
      </c>
      <c r="O846">
        <v>1.34</v>
      </c>
      <c r="P846">
        <v>0.3</v>
      </c>
      <c r="Q846">
        <v>15</v>
      </c>
    </row>
    <row r="847" spans="1:17" x14ac:dyDescent="0.25">
      <c r="A847" s="1">
        <v>42419</v>
      </c>
      <c r="B847">
        <v>5.35</v>
      </c>
      <c r="C847">
        <v>111</v>
      </c>
      <c r="D847">
        <v>2.1579999999999999</v>
      </c>
      <c r="E847">
        <v>5.2</v>
      </c>
      <c r="F847">
        <v>4.68</v>
      </c>
      <c r="G847">
        <v>1.35</v>
      </c>
      <c r="H847" s="15">
        <v>2.67</v>
      </c>
      <c r="I847">
        <v>23.97</v>
      </c>
      <c r="J847">
        <v>13</v>
      </c>
      <c r="K847">
        <v>8.9</v>
      </c>
      <c r="L847">
        <v>0.72</v>
      </c>
      <c r="M847">
        <v>1.47</v>
      </c>
      <c r="N847">
        <v>0.13800000000000001</v>
      </c>
      <c r="O847">
        <v>1.33</v>
      </c>
      <c r="P847">
        <v>0.30599999999999999</v>
      </c>
      <c r="Q847">
        <v>15</v>
      </c>
    </row>
    <row r="848" spans="1:17" x14ac:dyDescent="0.25">
      <c r="A848" s="1">
        <v>42422</v>
      </c>
      <c r="B848">
        <v>5.55</v>
      </c>
      <c r="C848">
        <v>115.5</v>
      </c>
      <c r="D848">
        <v>2.1859999999999999</v>
      </c>
      <c r="E848">
        <v>5.45</v>
      </c>
      <c r="F848">
        <v>4.6500000000000004</v>
      </c>
      <c r="G848">
        <v>1.32</v>
      </c>
      <c r="H848" s="15">
        <v>2.69</v>
      </c>
      <c r="I848">
        <v>23</v>
      </c>
      <c r="J848">
        <v>12.9</v>
      </c>
      <c r="K848">
        <v>8.83</v>
      </c>
      <c r="L848">
        <v>0.72</v>
      </c>
      <c r="M848">
        <v>1.51</v>
      </c>
      <c r="N848">
        <v>0.13800000000000001</v>
      </c>
      <c r="O848">
        <v>1.35</v>
      </c>
      <c r="P848">
        <v>0.33</v>
      </c>
      <c r="Q848">
        <v>15</v>
      </c>
    </row>
    <row r="849" spans="1:17" x14ac:dyDescent="0.25">
      <c r="A849" s="1">
        <v>42423</v>
      </c>
      <c r="B849">
        <v>5.55</v>
      </c>
      <c r="C849">
        <v>115.6</v>
      </c>
      <c r="D849">
        <v>2.1859999999999999</v>
      </c>
      <c r="E849" t="e">
        <v>#N/A</v>
      </c>
      <c r="F849">
        <v>4.63</v>
      </c>
      <c r="G849">
        <v>1.32</v>
      </c>
      <c r="H849" s="15">
        <v>2.68</v>
      </c>
      <c r="I849">
        <v>23</v>
      </c>
      <c r="J849">
        <v>13.2</v>
      </c>
      <c r="K849">
        <v>8.83</v>
      </c>
      <c r="L849">
        <v>0.66</v>
      </c>
      <c r="M849">
        <v>1.53</v>
      </c>
      <c r="N849">
        <v>0.13800000000000001</v>
      </c>
      <c r="O849">
        <v>1.35</v>
      </c>
      <c r="P849">
        <v>0.34200000000000003</v>
      </c>
      <c r="Q849">
        <v>14</v>
      </c>
    </row>
    <row r="850" spans="1:17" x14ac:dyDescent="0.25">
      <c r="A850" s="1">
        <v>42424</v>
      </c>
      <c r="B850">
        <v>5.49</v>
      </c>
      <c r="C850">
        <v>116.8</v>
      </c>
      <c r="D850">
        <v>2.1859999999999999</v>
      </c>
      <c r="E850">
        <v>5.42</v>
      </c>
      <c r="F850">
        <v>4.5999999999999996</v>
      </c>
      <c r="G850">
        <v>1.32</v>
      </c>
      <c r="H850" s="15">
        <v>2.68</v>
      </c>
      <c r="I850">
        <v>23</v>
      </c>
      <c r="J850">
        <v>13.06</v>
      </c>
      <c r="K850">
        <v>8.9</v>
      </c>
      <c r="L850">
        <v>0.69</v>
      </c>
      <c r="M850">
        <v>1.59</v>
      </c>
      <c r="N850">
        <v>0.13</v>
      </c>
      <c r="O850">
        <v>1.35</v>
      </c>
      <c r="P850">
        <v>0.39200000000000002</v>
      </c>
      <c r="Q850">
        <v>15</v>
      </c>
    </row>
    <row r="851" spans="1:17" x14ac:dyDescent="0.25">
      <c r="A851" s="1">
        <v>42425</v>
      </c>
      <c r="B851">
        <v>5.5</v>
      </c>
      <c r="C851">
        <v>118.5</v>
      </c>
      <c r="D851">
        <v>2.1579999999999999</v>
      </c>
      <c r="E851" t="e">
        <v>#N/A</v>
      </c>
      <c r="F851">
        <v>4.5</v>
      </c>
      <c r="G851">
        <v>1.32</v>
      </c>
      <c r="H851" s="15">
        <v>2.62</v>
      </c>
      <c r="I851">
        <v>23</v>
      </c>
      <c r="J851">
        <v>13.15</v>
      </c>
      <c r="K851">
        <v>8.9</v>
      </c>
      <c r="L851">
        <v>0.7</v>
      </c>
      <c r="M851">
        <v>1.6</v>
      </c>
      <c r="N851">
        <v>0.13200000000000001</v>
      </c>
      <c r="O851">
        <v>1.35</v>
      </c>
      <c r="P851">
        <v>0.38</v>
      </c>
      <c r="Q851">
        <v>14</v>
      </c>
    </row>
    <row r="852" spans="1:17" x14ac:dyDescent="0.25">
      <c r="A852" s="1">
        <v>42426</v>
      </c>
      <c r="B852">
        <v>5.49</v>
      </c>
      <c r="C852">
        <v>117.95</v>
      </c>
      <c r="D852">
        <v>2.1859999999999999</v>
      </c>
      <c r="E852">
        <v>5.23</v>
      </c>
      <c r="F852">
        <v>4.5</v>
      </c>
      <c r="G852">
        <v>1.3</v>
      </c>
      <c r="H852" s="15">
        <v>2.58</v>
      </c>
      <c r="I852" t="e">
        <v>#N/A</v>
      </c>
      <c r="J852">
        <v>13.5</v>
      </c>
      <c r="K852">
        <v>8.9</v>
      </c>
      <c r="L852">
        <v>0.75</v>
      </c>
      <c r="M852">
        <v>1.68</v>
      </c>
      <c r="N852">
        <v>0.13700000000000001</v>
      </c>
      <c r="O852">
        <v>1.35</v>
      </c>
      <c r="P852">
        <v>0.39900000000000002</v>
      </c>
      <c r="Q852">
        <v>14</v>
      </c>
    </row>
    <row r="853" spans="1:17" x14ac:dyDescent="0.25">
      <c r="A853" s="1">
        <v>42429</v>
      </c>
      <c r="B853">
        <v>5.47</v>
      </c>
      <c r="C853">
        <v>118.2</v>
      </c>
      <c r="D853">
        <v>2.1859999999999999</v>
      </c>
      <c r="E853">
        <v>5.35</v>
      </c>
      <c r="F853">
        <v>4.5999999999999996</v>
      </c>
      <c r="G853">
        <v>1.3</v>
      </c>
      <c r="H853" s="15">
        <v>2.6</v>
      </c>
      <c r="I853">
        <v>24</v>
      </c>
      <c r="J853">
        <v>13.5</v>
      </c>
      <c r="K853">
        <v>8.8000000000000007</v>
      </c>
      <c r="L853">
        <v>0.76</v>
      </c>
      <c r="M853">
        <v>1.65</v>
      </c>
      <c r="N853">
        <v>0.14000000000000001</v>
      </c>
      <c r="O853">
        <v>1.4</v>
      </c>
      <c r="P853">
        <v>0.39200000000000002</v>
      </c>
      <c r="Q853">
        <v>15</v>
      </c>
    </row>
    <row r="854" spans="1:17" x14ac:dyDescent="0.25">
      <c r="A854" s="1">
        <v>42430</v>
      </c>
      <c r="B854">
        <v>5.45</v>
      </c>
      <c r="C854">
        <v>119.85</v>
      </c>
      <c r="D854">
        <v>2.2290000000000001</v>
      </c>
      <c r="E854">
        <v>5.0999999999999996</v>
      </c>
      <c r="F854">
        <v>4.6399999999999997</v>
      </c>
      <c r="G854">
        <v>1.3</v>
      </c>
      <c r="H854" s="15">
        <v>2.56</v>
      </c>
      <c r="I854">
        <v>24.5</v>
      </c>
      <c r="J854">
        <v>14.25</v>
      </c>
      <c r="K854">
        <v>8.8000000000000007</v>
      </c>
      <c r="L854">
        <v>0.76</v>
      </c>
      <c r="M854">
        <v>1.56</v>
      </c>
      <c r="N854">
        <v>0.13600000000000001</v>
      </c>
      <c r="O854">
        <v>1.5</v>
      </c>
      <c r="P854">
        <v>0.39</v>
      </c>
      <c r="Q854">
        <v>15</v>
      </c>
    </row>
    <row r="855" spans="1:17" x14ac:dyDescent="0.25">
      <c r="A855" s="1">
        <v>42431</v>
      </c>
      <c r="B855">
        <v>5.45</v>
      </c>
      <c r="C855">
        <v>126.32</v>
      </c>
      <c r="D855">
        <v>2.2570000000000001</v>
      </c>
      <c r="E855">
        <v>5.44</v>
      </c>
      <c r="F855">
        <v>4.5999999999999996</v>
      </c>
      <c r="G855">
        <v>1.3</v>
      </c>
      <c r="H855" s="15">
        <v>2.52</v>
      </c>
      <c r="I855">
        <v>25.33</v>
      </c>
      <c r="J855">
        <v>14.26</v>
      </c>
      <c r="K855">
        <v>8.93</v>
      </c>
      <c r="L855">
        <v>0.8</v>
      </c>
      <c r="M855">
        <v>1.63</v>
      </c>
      <c r="N855">
        <v>0.13</v>
      </c>
      <c r="O855">
        <v>1.5</v>
      </c>
      <c r="P855">
        <v>0.39</v>
      </c>
      <c r="Q855">
        <v>15</v>
      </c>
    </row>
    <row r="856" spans="1:17" x14ac:dyDescent="0.25">
      <c r="A856" s="1">
        <v>42432</v>
      </c>
      <c r="B856">
        <v>5.62</v>
      </c>
      <c r="C856">
        <v>127.1</v>
      </c>
      <c r="D856">
        <v>2.2639999999999998</v>
      </c>
      <c r="E856">
        <v>5.7</v>
      </c>
      <c r="F856">
        <v>4.71</v>
      </c>
      <c r="G856">
        <v>1.3</v>
      </c>
      <c r="H856" s="15">
        <v>2.48</v>
      </c>
      <c r="I856">
        <v>25.5</v>
      </c>
      <c r="J856">
        <v>14.23</v>
      </c>
      <c r="K856">
        <v>9.1</v>
      </c>
      <c r="L856">
        <v>0.8</v>
      </c>
      <c r="M856">
        <v>1.67</v>
      </c>
      <c r="N856">
        <v>0.13500000000000001</v>
      </c>
      <c r="O856">
        <v>1.5</v>
      </c>
      <c r="P856">
        <v>0.40100000000000002</v>
      </c>
      <c r="Q856">
        <v>15</v>
      </c>
    </row>
    <row r="857" spans="1:17" x14ac:dyDescent="0.25">
      <c r="A857" s="1">
        <v>42433</v>
      </c>
      <c r="B857">
        <v>5.72</v>
      </c>
      <c r="C857">
        <v>129.1</v>
      </c>
      <c r="D857">
        <v>2.2639999999999998</v>
      </c>
      <c r="E857">
        <v>5.5</v>
      </c>
      <c r="F857">
        <v>4.7</v>
      </c>
      <c r="G857">
        <v>1.3</v>
      </c>
      <c r="H857" s="15">
        <v>2.6</v>
      </c>
      <c r="I857">
        <v>25.45</v>
      </c>
      <c r="J857" t="e">
        <v>#N/A</v>
      </c>
      <c r="K857">
        <v>9.2200000000000006</v>
      </c>
      <c r="L857">
        <v>0.81</v>
      </c>
      <c r="M857">
        <v>1.75</v>
      </c>
      <c r="N857">
        <v>0.13900000000000001</v>
      </c>
      <c r="O857">
        <v>1.56</v>
      </c>
      <c r="P857">
        <v>0.45</v>
      </c>
      <c r="Q857">
        <v>14</v>
      </c>
    </row>
    <row r="858" spans="1:17" x14ac:dyDescent="0.25">
      <c r="A858" s="1">
        <v>42436</v>
      </c>
      <c r="B858">
        <v>5.71</v>
      </c>
      <c r="C858">
        <v>127.2</v>
      </c>
      <c r="D858">
        <v>2.286</v>
      </c>
      <c r="E858">
        <v>5.97</v>
      </c>
      <c r="F858">
        <v>4.7</v>
      </c>
      <c r="G858">
        <v>1.35</v>
      </c>
      <c r="H858" s="15">
        <v>2.65</v>
      </c>
      <c r="I858">
        <v>25.5</v>
      </c>
      <c r="J858">
        <v>13.9</v>
      </c>
      <c r="K858">
        <v>9.3800000000000008</v>
      </c>
      <c r="L858">
        <v>0.87</v>
      </c>
      <c r="M858">
        <v>1.845</v>
      </c>
      <c r="N858">
        <v>0.16</v>
      </c>
      <c r="O858">
        <v>1.65</v>
      </c>
      <c r="P858">
        <v>0.46600000000000003</v>
      </c>
      <c r="Q858">
        <v>15</v>
      </c>
    </row>
    <row r="859" spans="1:17" x14ac:dyDescent="0.25">
      <c r="A859" s="1">
        <v>42437</v>
      </c>
      <c r="B859">
        <v>5.72</v>
      </c>
      <c r="C859">
        <v>125.5</v>
      </c>
      <c r="D859">
        <v>2.3140000000000001</v>
      </c>
      <c r="E859">
        <v>5.72</v>
      </c>
      <c r="F859">
        <v>4.8499999999999996</v>
      </c>
      <c r="G859">
        <v>1.37</v>
      </c>
      <c r="H859" s="15">
        <v>2.65</v>
      </c>
      <c r="I859">
        <v>25.85</v>
      </c>
      <c r="J859">
        <v>13.79</v>
      </c>
      <c r="K859">
        <v>9.2799999999999994</v>
      </c>
      <c r="L859">
        <v>0.84</v>
      </c>
      <c r="M859">
        <v>1.7669999999999999</v>
      </c>
      <c r="N859">
        <v>0.17</v>
      </c>
      <c r="O859">
        <v>1.66</v>
      </c>
      <c r="P859">
        <v>0.45500000000000002</v>
      </c>
      <c r="Q859">
        <v>15</v>
      </c>
    </row>
    <row r="860" spans="1:17" x14ac:dyDescent="0.25">
      <c r="A860" s="1">
        <v>42438</v>
      </c>
      <c r="B860">
        <v>5.73</v>
      </c>
      <c r="C860">
        <v>129</v>
      </c>
      <c r="D860">
        <v>2.3140000000000001</v>
      </c>
      <c r="E860">
        <v>5.75</v>
      </c>
      <c r="F860">
        <v>4.95</v>
      </c>
      <c r="G860">
        <v>1.45</v>
      </c>
      <c r="H860" s="15">
        <v>2.85</v>
      </c>
      <c r="I860">
        <v>25.6</v>
      </c>
      <c r="J860">
        <v>13.79</v>
      </c>
      <c r="K860">
        <v>9.35</v>
      </c>
      <c r="L860">
        <v>0.86</v>
      </c>
      <c r="M860">
        <v>1.806</v>
      </c>
      <c r="N860">
        <v>0.185</v>
      </c>
      <c r="O860">
        <v>1.7</v>
      </c>
      <c r="P860">
        <v>0.45500000000000002</v>
      </c>
      <c r="Q860">
        <v>15</v>
      </c>
    </row>
    <row r="861" spans="1:17" x14ac:dyDescent="0.25">
      <c r="A861" s="1">
        <v>42439</v>
      </c>
      <c r="B861">
        <v>5.7</v>
      </c>
      <c r="C861">
        <v>129</v>
      </c>
      <c r="D861">
        <v>2.3140000000000001</v>
      </c>
      <c r="E861">
        <v>5.8</v>
      </c>
      <c r="F861">
        <v>5.04</v>
      </c>
      <c r="G861">
        <v>1.46</v>
      </c>
      <c r="H861" s="15">
        <v>2.75</v>
      </c>
      <c r="I861">
        <v>25.45</v>
      </c>
      <c r="J861">
        <v>13.5</v>
      </c>
      <c r="K861">
        <v>9.35</v>
      </c>
      <c r="L861">
        <v>0.85</v>
      </c>
      <c r="M861">
        <v>1.7569999999999999</v>
      </c>
      <c r="N861">
        <v>0.18</v>
      </c>
      <c r="O861">
        <v>1.78</v>
      </c>
      <c r="P861">
        <v>0.45500000000000002</v>
      </c>
      <c r="Q861">
        <v>15</v>
      </c>
    </row>
    <row r="862" spans="1:17" x14ac:dyDescent="0.25">
      <c r="A862" s="1">
        <v>42440</v>
      </c>
      <c r="B862">
        <v>5.65</v>
      </c>
      <c r="C862">
        <v>129.19999999999999</v>
      </c>
      <c r="D862">
        <v>2.35</v>
      </c>
      <c r="E862">
        <v>5.68</v>
      </c>
      <c r="F862">
        <v>5</v>
      </c>
      <c r="G862">
        <v>1.47</v>
      </c>
      <c r="H862" s="15">
        <v>2.75</v>
      </c>
      <c r="I862">
        <v>25.5</v>
      </c>
      <c r="J862">
        <v>13.75</v>
      </c>
      <c r="K862">
        <v>9.4</v>
      </c>
      <c r="L862">
        <v>0.87</v>
      </c>
      <c r="M862">
        <v>1.796</v>
      </c>
      <c r="N862">
        <v>0.2</v>
      </c>
      <c r="O862">
        <v>1.83</v>
      </c>
      <c r="P862">
        <v>0.47</v>
      </c>
      <c r="Q862">
        <v>15</v>
      </c>
    </row>
    <row r="863" spans="1:17" x14ac:dyDescent="0.25">
      <c r="A863" s="1">
        <v>42443</v>
      </c>
      <c r="B863">
        <v>5.72</v>
      </c>
      <c r="C863">
        <v>129.5</v>
      </c>
      <c r="D863">
        <v>2.3639999999999999</v>
      </c>
      <c r="E863">
        <v>5.35</v>
      </c>
      <c r="F863">
        <v>5</v>
      </c>
      <c r="G863">
        <v>1.49</v>
      </c>
      <c r="H863" s="15">
        <v>2.75</v>
      </c>
      <c r="I863">
        <v>25.5</v>
      </c>
      <c r="J863" t="e">
        <v>#N/A</v>
      </c>
      <c r="K863">
        <v>9.4</v>
      </c>
      <c r="L863">
        <v>0.9</v>
      </c>
      <c r="M863">
        <v>1.796</v>
      </c>
      <c r="N863">
        <v>0.215</v>
      </c>
      <c r="O863">
        <v>1.85</v>
      </c>
      <c r="P863">
        <v>0.48</v>
      </c>
      <c r="Q863">
        <v>14</v>
      </c>
    </row>
    <row r="864" spans="1:17" x14ac:dyDescent="0.25">
      <c r="A864" s="1">
        <v>42444</v>
      </c>
      <c r="B864">
        <v>5.72</v>
      </c>
      <c r="C864">
        <v>127.3</v>
      </c>
      <c r="D864">
        <v>2.3849999999999998</v>
      </c>
      <c r="E864">
        <v>5.15</v>
      </c>
      <c r="F864">
        <v>4.95</v>
      </c>
      <c r="G864">
        <v>1.48</v>
      </c>
      <c r="H864" s="15">
        <v>2.5299999999999998</v>
      </c>
      <c r="I864">
        <v>25.5</v>
      </c>
      <c r="J864">
        <v>14.1</v>
      </c>
      <c r="K864">
        <v>9.4</v>
      </c>
      <c r="L864">
        <v>0.86</v>
      </c>
      <c r="M864">
        <v>1.718</v>
      </c>
      <c r="N864">
        <v>0.20300000000000001</v>
      </c>
      <c r="O864">
        <v>1.85</v>
      </c>
      <c r="P864">
        <v>0.46</v>
      </c>
      <c r="Q864">
        <v>15</v>
      </c>
    </row>
    <row r="865" spans="1:17" x14ac:dyDescent="0.25">
      <c r="A865" s="1">
        <v>42445</v>
      </c>
      <c r="B865">
        <v>5.75</v>
      </c>
      <c r="C865">
        <v>126.9</v>
      </c>
      <c r="D865">
        <v>2.371</v>
      </c>
      <c r="E865">
        <v>5.65</v>
      </c>
      <c r="F865">
        <v>5</v>
      </c>
      <c r="G865">
        <v>1.47</v>
      </c>
      <c r="H865" s="15">
        <v>2.68</v>
      </c>
      <c r="I865">
        <v>25.4</v>
      </c>
      <c r="J865">
        <v>14.51</v>
      </c>
      <c r="K865">
        <v>9.69</v>
      </c>
      <c r="L865">
        <v>0.88</v>
      </c>
      <c r="M865">
        <v>1.7569999999999999</v>
      </c>
      <c r="N865">
        <v>0.20499999999999999</v>
      </c>
      <c r="O865">
        <v>1.8</v>
      </c>
      <c r="P865">
        <v>0.46700000000000003</v>
      </c>
      <c r="Q865">
        <v>15</v>
      </c>
    </row>
    <row r="866" spans="1:17" x14ac:dyDescent="0.25">
      <c r="A866" s="1">
        <v>42446</v>
      </c>
      <c r="B866">
        <v>5.79</v>
      </c>
      <c r="C866">
        <v>132.69999999999999</v>
      </c>
      <c r="D866">
        <v>2.4569999999999999</v>
      </c>
      <c r="E866">
        <v>5.86</v>
      </c>
      <c r="F866">
        <v>5</v>
      </c>
      <c r="G866">
        <v>1.47</v>
      </c>
      <c r="H866" s="15">
        <v>2.79</v>
      </c>
      <c r="I866">
        <v>25.4</v>
      </c>
      <c r="J866">
        <v>14.7</v>
      </c>
      <c r="K866">
        <v>10.199999999999999</v>
      </c>
      <c r="L866">
        <v>0.94</v>
      </c>
      <c r="M866">
        <v>1.7769999999999999</v>
      </c>
      <c r="N866">
        <v>0.21299999999999999</v>
      </c>
      <c r="O866">
        <v>1.86</v>
      </c>
      <c r="P866">
        <v>0.46700000000000003</v>
      </c>
      <c r="Q866">
        <v>15</v>
      </c>
    </row>
    <row r="867" spans="1:17" x14ac:dyDescent="0.25">
      <c r="A867" s="1">
        <v>42447</v>
      </c>
      <c r="B867">
        <v>5.95</v>
      </c>
      <c r="C867">
        <v>133.44999999999999</v>
      </c>
      <c r="D867">
        <v>2.528</v>
      </c>
      <c r="E867">
        <v>6.02</v>
      </c>
      <c r="F867">
        <v>5.35</v>
      </c>
      <c r="G867">
        <v>1.46</v>
      </c>
      <c r="H867" s="15">
        <v>2.82</v>
      </c>
      <c r="I867">
        <v>25.8</v>
      </c>
      <c r="J867">
        <v>15.81</v>
      </c>
      <c r="K867">
        <v>10.9</v>
      </c>
      <c r="L867">
        <v>1.05</v>
      </c>
      <c r="M867">
        <v>1.87</v>
      </c>
      <c r="N867">
        <v>0.23799999999999999</v>
      </c>
      <c r="O867">
        <v>2.0499999999999998</v>
      </c>
      <c r="P867">
        <v>0.52</v>
      </c>
      <c r="Q867">
        <v>15</v>
      </c>
    </row>
    <row r="868" spans="1:17" x14ac:dyDescent="0.25">
      <c r="A868" s="1">
        <v>42450</v>
      </c>
      <c r="B868">
        <v>5.97</v>
      </c>
      <c r="C868">
        <v>131.5</v>
      </c>
      <c r="D868">
        <v>2.5630000000000002</v>
      </c>
      <c r="E868">
        <v>6.05</v>
      </c>
      <c r="F868">
        <v>5.36</v>
      </c>
      <c r="G868">
        <v>1.45</v>
      </c>
      <c r="H868" s="15">
        <v>2.82</v>
      </c>
      <c r="I868">
        <v>25.6</v>
      </c>
      <c r="J868">
        <v>15.6</v>
      </c>
      <c r="K868">
        <v>10.95</v>
      </c>
      <c r="L868">
        <v>1.05</v>
      </c>
      <c r="M868">
        <v>2.16</v>
      </c>
      <c r="N868">
        <v>0.23699999999999999</v>
      </c>
      <c r="O868">
        <v>2.1800000000000002</v>
      </c>
      <c r="P868">
        <v>0.55000000000000004</v>
      </c>
      <c r="Q868">
        <v>15</v>
      </c>
    </row>
    <row r="869" spans="1:17" x14ac:dyDescent="0.25">
      <c r="A869" s="1">
        <v>42451</v>
      </c>
      <c r="B869">
        <v>6</v>
      </c>
      <c r="C869">
        <v>128.65</v>
      </c>
      <c r="D869">
        <v>2.5990000000000002</v>
      </c>
      <c r="E869">
        <v>6.35</v>
      </c>
      <c r="F869">
        <v>5.15</v>
      </c>
      <c r="G869">
        <v>1.47</v>
      </c>
      <c r="H869" s="15">
        <v>2.8</v>
      </c>
      <c r="I869">
        <v>25</v>
      </c>
      <c r="J869">
        <v>15.6</v>
      </c>
      <c r="K869">
        <v>10.94</v>
      </c>
      <c r="L869">
        <v>1.05</v>
      </c>
      <c r="M869">
        <v>2.25</v>
      </c>
      <c r="N869">
        <v>0.23799999999999999</v>
      </c>
      <c r="O869">
        <v>2.15</v>
      </c>
      <c r="P869">
        <v>0.54</v>
      </c>
      <c r="Q869">
        <v>15</v>
      </c>
    </row>
    <row r="870" spans="1:17" x14ac:dyDescent="0.25">
      <c r="A870" s="1">
        <v>42452</v>
      </c>
      <c r="B870" t="e">
        <v>#N/A</v>
      </c>
      <c r="C870">
        <v>126.05</v>
      </c>
      <c r="D870">
        <v>2.5630000000000002</v>
      </c>
      <c r="E870">
        <v>6.3</v>
      </c>
      <c r="F870">
        <v>5.15</v>
      </c>
      <c r="G870">
        <v>1.47</v>
      </c>
      <c r="H870" s="15">
        <v>2.75</v>
      </c>
      <c r="I870">
        <v>24.5</v>
      </c>
      <c r="J870">
        <v>15.6</v>
      </c>
      <c r="K870">
        <v>10.9</v>
      </c>
      <c r="L870">
        <v>0.97</v>
      </c>
      <c r="M870">
        <v>2.16</v>
      </c>
      <c r="N870">
        <v>0.218</v>
      </c>
      <c r="O870">
        <v>2.2400000000000002</v>
      </c>
      <c r="P870">
        <v>0.52</v>
      </c>
      <c r="Q870">
        <v>14</v>
      </c>
    </row>
    <row r="871" spans="1:17" x14ac:dyDescent="0.25">
      <c r="A871" s="1">
        <v>42457</v>
      </c>
      <c r="B871">
        <v>6</v>
      </c>
      <c r="C871">
        <v>123.63</v>
      </c>
      <c r="D871">
        <v>2.5630000000000002</v>
      </c>
      <c r="E871">
        <v>6.25</v>
      </c>
      <c r="F871">
        <v>5.14</v>
      </c>
      <c r="G871">
        <v>1.47</v>
      </c>
      <c r="H871" s="15">
        <v>2.7</v>
      </c>
      <c r="I871">
        <v>24.5</v>
      </c>
      <c r="J871" t="e">
        <v>#N/A</v>
      </c>
      <c r="K871">
        <v>10.78</v>
      </c>
      <c r="L871">
        <v>0.97</v>
      </c>
      <c r="M871">
        <v>2.14</v>
      </c>
      <c r="N871">
        <v>0.222</v>
      </c>
      <c r="O871">
        <v>2.17</v>
      </c>
      <c r="P871">
        <v>0.53</v>
      </c>
      <c r="Q871">
        <v>14</v>
      </c>
    </row>
    <row r="872" spans="1:17" x14ac:dyDescent="0.25">
      <c r="A872" s="1">
        <v>42458</v>
      </c>
      <c r="B872">
        <v>5.9</v>
      </c>
      <c r="C872">
        <v>126</v>
      </c>
      <c r="D872" t="e">
        <v>#N/A</v>
      </c>
      <c r="E872">
        <v>6.96</v>
      </c>
      <c r="F872">
        <v>5.0999999999999996</v>
      </c>
      <c r="G872">
        <v>1.46</v>
      </c>
      <c r="H872" s="15">
        <v>2.74</v>
      </c>
      <c r="I872">
        <v>24</v>
      </c>
      <c r="J872">
        <v>15.65</v>
      </c>
      <c r="K872">
        <v>10.78</v>
      </c>
      <c r="L872">
        <v>0.97</v>
      </c>
      <c r="M872">
        <v>2.0499999999999998</v>
      </c>
      <c r="N872">
        <v>0.22500000000000001</v>
      </c>
      <c r="O872" t="e">
        <v>#N/A</v>
      </c>
      <c r="P872">
        <v>0.52</v>
      </c>
      <c r="Q872">
        <v>13</v>
      </c>
    </row>
    <row r="873" spans="1:17" x14ac:dyDescent="0.25">
      <c r="A873" s="1">
        <v>42459</v>
      </c>
      <c r="B873">
        <v>6</v>
      </c>
      <c r="C873">
        <v>130.65</v>
      </c>
      <c r="D873">
        <v>2.492</v>
      </c>
      <c r="E873">
        <v>7.3</v>
      </c>
      <c r="F873">
        <v>5.0999999999999996</v>
      </c>
      <c r="G873">
        <v>1.45</v>
      </c>
      <c r="H873" s="15">
        <v>2.8</v>
      </c>
      <c r="I873">
        <v>24.9</v>
      </c>
      <c r="J873">
        <v>16.100000000000001</v>
      </c>
      <c r="K873">
        <v>10.49</v>
      </c>
      <c r="L873">
        <v>1.02</v>
      </c>
      <c r="M873">
        <v>2.08</v>
      </c>
      <c r="N873">
        <v>0.24</v>
      </c>
      <c r="O873">
        <v>2.25</v>
      </c>
      <c r="P873">
        <v>0.53</v>
      </c>
      <c r="Q873">
        <v>15</v>
      </c>
    </row>
    <row r="874" spans="1:17" x14ac:dyDescent="0.25">
      <c r="A874" s="1">
        <v>42460</v>
      </c>
      <c r="B874">
        <v>6</v>
      </c>
      <c r="C874">
        <v>130.69999999999999</v>
      </c>
      <c r="D874">
        <v>2.492</v>
      </c>
      <c r="E874">
        <v>7.39</v>
      </c>
      <c r="F874">
        <v>5.2</v>
      </c>
      <c r="G874">
        <v>1.47</v>
      </c>
      <c r="H874" s="15">
        <v>2.75</v>
      </c>
      <c r="I874">
        <v>25.84</v>
      </c>
      <c r="J874">
        <v>16.850000000000001</v>
      </c>
      <c r="K874">
        <v>9.9</v>
      </c>
      <c r="L874">
        <v>1.03</v>
      </c>
      <c r="M874">
        <v>2.1</v>
      </c>
      <c r="N874">
        <v>0.25800000000000001</v>
      </c>
      <c r="O874">
        <v>2.25</v>
      </c>
      <c r="P874">
        <v>0.54</v>
      </c>
      <c r="Q874">
        <v>15</v>
      </c>
    </row>
    <row r="875" spans="1:17" x14ac:dyDescent="0.25">
      <c r="A875" s="1">
        <v>42461</v>
      </c>
      <c r="B875">
        <v>6</v>
      </c>
      <c r="C875">
        <v>127.55</v>
      </c>
      <c r="D875">
        <v>2.4209999999999998</v>
      </c>
      <c r="E875">
        <v>7.51</v>
      </c>
      <c r="F875">
        <v>5.0999999999999996</v>
      </c>
      <c r="G875">
        <v>1.45</v>
      </c>
      <c r="H875" s="15">
        <v>2.8</v>
      </c>
      <c r="I875">
        <v>25</v>
      </c>
      <c r="J875">
        <v>16.45</v>
      </c>
      <c r="K875">
        <v>9.68</v>
      </c>
      <c r="L875">
        <v>0.95</v>
      </c>
      <c r="M875">
        <v>2.02</v>
      </c>
      <c r="N875">
        <v>0.24</v>
      </c>
      <c r="O875">
        <v>2.25</v>
      </c>
      <c r="P875">
        <v>0.49</v>
      </c>
      <c r="Q875">
        <v>15</v>
      </c>
    </row>
    <row r="876" spans="1:17" x14ac:dyDescent="0.25">
      <c r="A876" s="1">
        <v>42464</v>
      </c>
      <c r="B876">
        <v>5.98</v>
      </c>
      <c r="C876">
        <v>120.76</v>
      </c>
      <c r="D876">
        <v>2.2639999999999998</v>
      </c>
      <c r="E876">
        <v>7.22</v>
      </c>
      <c r="F876">
        <v>4.95</v>
      </c>
      <c r="G876">
        <v>1.45</v>
      </c>
      <c r="H876" s="15">
        <v>2.75</v>
      </c>
      <c r="I876">
        <v>25</v>
      </c>
      <c r="J876">
        <v>16.2</v>
      </c>
      <c r="K876" t="e">
        <v>#N/A</v>
      </c>
      <c r="L876" t="e">
        <v>#N/A</v>
      </c>
      <c r="M876" t="e">
        <v>#N/A</v>
      </c>
      <c r="N876">
        <v>0.22900000000000001</v>
      </c>
      <c r="O876">
        <v>2.2000000000000002</v>
      </c>
      <c r="P876">
        <v>0.42499999999999999</v>
      </c>
      <c r="Q876">
        <v>12</v>
      </c>
    </row>
    <row r="877" spans="1:17" x14ac:dyDescent="0.25">
      <c r="A877" s="1">
        <v>42465</v>
      </c>
      <c r="B877">
        <v>6</v>
      </c>
      <c r="C877">
        <v>123.84</v>
      </c>
      <c r="D877">
        <v>2.2429999999999999</v>
      </c>
      <c r="E877">
        <v>7.9</v>
      </c>
      <c r="F877">
        <v>4.93</v>
      </c>
      <c r="G877">
        <v>1.42</v>
      </c>
      <c r="H877" s="15">
        <v>2.83</v>
      </c>
      <c r="I877">
        <v>24.58</v>
      </c>
      <c r="J877">
        <v>16.2</v>
      </c>
      <c r="K877">
        <v>9.5500000000000007</v>
      </c>
      <c r="L877">
        <v>0.92</v>
      </c>
      <c r="M877">
        <v>1.95</v>
      </c>
      <c r="N877">
        <v>0.222</v>
      </c>
      <c r="O877">
        <v>2.1</v>
      </c>
      <c r="P877">
        <v>0.45</v>
      </c>
      <c r="Q877">
        <v>15</v>
      </c>
    </row>
    <row r="878" spans="1:17" x14ac:dyDescent="0.25">
      <c r="A878" s="1">
        <v>42466</v>
      </c>
      <c r="B878">
        <v>5.95</v>
      </c>
      <c r="C878">
        <v>122.88</v>
      </c>
      <c r="D878">
        <v>2.2429999999999999</v>
      </c>
      <c r="E878">
        <v>7.72</v>
      </c>
      <c r="F878">
        <v>4.9000000000000004</v>
      </c>
      <c r="G878">
        <v>1.4</v>
      </c>
      <c r="H878" s="15">
        <v>2.75</v>
      </c>
      <c r="I878">
        <v>24.5</v>
      </c>
      <c r="J878">
        <v>15.85</v>
      </c>
      <c r="K878">
        <v>9.5500000000000007</v>
      </c>
      <c r="L878">
        <v>0.87</v>
      </c>
      <c r="M878">
        <v>1.95</v>
      </c>
      <c r="N878">
        <v>0.20399999999999999</v>
      </c>
      <c r="O878">
        <v>1.98</v>
      </c>
      <c r="P878">
        <v>0.42</v>
      </c>
      <c r="Q878">
        <v>15</v>
      </c>
    </row>
    <row r="879" spans="1:17" x14ac:dyDescent="0.25">
      <c r="A879" s="1">
        <v>42467</v>
      </c>
      <c r="B879">
        <v>5.85</v>
      </c>
      <c r="C879">
        <v>120.02</v>
      </c>
      <c r="D879">
        <v>2.15</v>
      </c>
      <c r="E879">
        <v>7.65</v>
      </c>
      <c r="F879">
        <v>4.6500000000000004</v>
      </c>
      <c r="G879">
        <v>1.33</v>
      </c>
      <c r="H879" s="15">
        <v>2.7</v>
      </c>
      <c r="I879">
        <v>24.25</v>
      </c>
      <c r="J879">
        <v>15</v>
      </c>
      <c r="K879">
        <v>9.2040000000000006</v>
      </c>
      <c r="L879">
        <v>0.8</v>
      </c>
      <c r="M879">
        <v>1.79</v>
      </c>
      <c r="N879">
        <v>0.188</v>
      </c>
      <c r="O879">
        <v>1.89</v>
      </c>
      <c r="P879">
        <v>0.38300000000000001</v>
      </c>
      <c r="Q879">
        <v>15</v>
      </c>
    </row>
    <row r="880" spans="1:17" x14ac:dyDescent="0.25">
      <c r="A880" s="1">
        <v>42468</v>
      </c>
      <c r="B880">
        <v>5.8</v>
      </c>
      <c r="C880">
        <v>123.66</v>
      </c>
      <c r="D880">
        <v>2.2789999999999999</v>
      </c>
      <c r="E880">
        <v>7.81</v>
      </c>
      <c r="F880">
        <v>4.7</v>
      </c>
      <c r="G880">
        <v>1.42</v>
      </c>
      <c r="H880" s="15">
        <v>2.77</v>
      </c>
      <c r="I880">
        <v>24</v>
      </c>
      <c r="J880">
        <v>15.1</v>
      </c>
      <c r="K880">
        <v>9.0749999999999993</v>
      </c>
      <c r="L880">
        <v>0.86</v>
      </c>
      <c r="M880">
        <v>2.02</v>
      </c>
      <c r="N880">
        <v>0.21199999999999999</v>
      </c>
      <c r="O880">
        <v>2</v>
      </c>
      <c r="P880">
        <v>0.45500000000000002</v>
      </c>
      <c r="Q880">
        <v>15</v>
      </c>
    </row>
    <row r="881" spans="1:17" x14ac:dyDescent="0.25">
      <c r="A881" s="1">
        <v>42471</v>
      </c>
      <c r="B881">
        <v>6.4470000000000001</v>
      </c>
      <c r="C881">
        <v>136.75</v>
      </c>
      <c r="D881">
        <v>2.5489999999999999</v>
      </c>
      <c r="E881">
        <v>8.3000000000000007</v>
      </c>
      <c r="F881">
        <v>5.4</v>
      </c>
      <c r="G881">
        <v>1.5209999999999999</v>
      </c>
      <c r="H881" s="15">
        <v>3.1659999999999999</v>
      </c>
      <c r="I881">
        <v>26.85</v>
      </c>
      <c r="J881">
        <v>16.8</v>
      </c>
      <c r="K881">
        <v>10.292999999999999</v>
      </c>
      <c r="L881">
        <v>1.03</v>
      </c>
      <c r="M881">
        <v>2.3199999999999998</v>
      </c>
      <c r="N881">
        <v>0.24</v>
      </c>
      <c r="O881">
        <v>2.35</v>
      </c>
      <c r="P881">
        <v>0.56999999999999995</v>
      </c>
      <c r="Q881">
        <v>15</v>
      </c>
    </row>
    <row r="882" spans="1:17" x14ac:dyDescent="0.25">
      <c r="A882" s="1">
        <v>42472</v>
      </c>
      <c r="B882">
        <v>6.5460000000000003</v>
      </c>
      <c r="C882">
        <v>142.16</v>
      </c>
      <c r="D882">
        <v>2.67</v>
      </c>
      <c r="E882">
        <v>8.5500000000000007</v>
      </c>
      <c r="F882">
        <v>5.55</v>
      </c>
      <c r="G882">
        <v>1.569</v>
      </c>
      <c r="H882" s="15">
        <v>3.5710000000000002</v>
      </c>
      <c r="I882">
        <v>28</v>
      </c>
      <c r="J882">
        <v>17</v>
      </c>
      <c r="K882">
        <v>10.54</v>
      </c>
      <c r="L882">
        <v>1.06</v>
      </c>
      <c r="M882">
        <v>2.2999999999999998</v>
      </c>
      <c r="N882">
        <v>0.24399999999999999</v>
      </c>
      <c r="O882">
        <v>2.5</v>
      </c>
      <c r="P882">
        <v>0.56000000000000005</v>
      </c>
      <c r="Q882">
        <v>15</v>
      </c>
    </row>
    <row r="883" spans="1:17" x14ac:dyDescent="0.25">
      <c r="A883" s="1">
        <v>42473</v>
      </c>
      <c r="B883">
        <v>6.6950000000000003</v>
      </c>
      <c r="C883">
        <v>140.68</v>
      </c>
      <c r="D883">
        <v>2.72</v>
      </c>
      <c r="E883">
        <v>8.5</v>
      </c>
      <c r="F883">
        <v>5.6</v>
      </c>
      <c r="G883">
        <v>1.5880000000000001</v>
      </c>
      <c r="H883" s="15">
        <v>3.7890000000000001</v>
      </c>
      <c r="I883">
        <v>28.1</v>
      </c>
      <c r="J883">
        <v>17</v>
      </c>
      <c r="K883">
        <v>10.65</v>
      </c>
      <c r="L883">
        <v>1.1100000000000001</v>
      </c>
      <c r="M883">
        <v>2.36</v>
      </c>
      <c r="N883">
        <v>0.23300000000000001</v>
      </c>
      <c r="O883">
        <v>2.5499999999999998</v>
      </c>
      <c r="P883">
        <v>0.59</v>
      </c>
      <c r="Q883">
        <v>15</v>
      </c>
    </row>
    <row r="884" spans="1:17" x14ac:dyDescent="0.25">
      <c r="A884" s="1">
        <v>42474</v>
      </c>
      <c r="B884">
        <v>6.5960000000000001</v>
      </c>
      <c r="C884">
        <v>139.9</v>
      </c>
      <c r="D884">
        <v>2.5990000000000002</v>
      </c>
      <c r="E884">
        <v>7.99</v>
      </c>
      <c r="F884">
        <v>5.5</v>
      </c>
      <c r="G884">
        <v>1.5589999999999999</v>
      </c>
      <c r="H884" s="15">
        <v>3.8580000000000001</v>
      </c>
      <c r="I884">
        <v>27.5</v>
      </c>
      <c r="J884">
        <v>16.5</v>
      </c>
      <c r="K884">
        <v>10.43</v>
      </c>
      <c r="L884">
        <v>1.1000000000000001</v>
      </c>
      <c r="M884">
        <v>2.36</v>
      </c>
      <c r="N884">
        <v>0.23899999999999999</v>
      </c>
      <c r="O884">
        <v>2.46</v>
      </c>
      <c r="P884">
        <v>0.57999999999999996</v>
      </c>
      <c r="Q884">
        <v>15</v>
      </c>
    </row>
    <row r="885" spans="1:17" x14ac:dyDescent="0.25">
      <c r="A885" s="1">
        <v>42475</v>
      </c>
      <c r="B885">
        <v>6.5960000000000001</v>
      </c>
      <c r="C885">
        <v>139.1</v>
      </c>
      <c r="D885">
        <v>2.609</v>
      </c>
      <c r="E885">
        <v>8.1</v>
      </c>
      <c r="F885">
        <v>5.55</v>
      </c>
      <c r="G885">
        <v>1.569</v>
      </c>
      <c r="H885" s="15">
        <v>4.0759999999999996</v>
      </c>
      <c r="I885">
        <v>27</v>
      </c>
      <c r="J885">
        <v>16.25</v>
      </c>
      <c r="K885" t="e">
        <v>#N/A</v>
      </c>
      <c r="L885">
        <v>1.1299999999999999</v>
      </c>
      <c r="M885">
        <v>2.36</v>
      </c>
      <c r="N885">
        <v>0.24299999999999999</v>
      </c>
      <c r="O885">
        <v>2.5</v>
      </c>
      <c r="P885">
        <v>0.63</v>
      </c>
      <c r="Q885">
        <v>14</v>
      </c>
    </row>
    <row r="886" spans="1:17" x14ac:dyDescent="0.25">
      <c r="A886" s="1">
        <v>42478</v>
      </c>
      <c r="B886">
        <v>6.7450000000000001</v>
      </c>
      <c r="C886">
        <v>140</v>
      </c>
      <c r="D886">
        <v>2.5339999999999998</v>
      </c>
      <c r="E886">
        <v>8</v>
      </c>
      <c r="F886">
        <v>5.65</v>
      </c>
      <c r="G886">
        <v>1.6160000000000001</v>
      </c>
      <c r="H886" s="15">
        <v>4.3029999999999999</v>
      </c>
      <c r="I886">
        <v>25.890999999999998</v>
      </c>
      <c r="J886">
        <v>17.010000000000002</v>
      </c>
      <c r="K886">
        <v>10.4</v>
      </c>
      <c r="L886">
        <v>1.1599999999999999</v>
      </c>
      <c r="M886">
        <v>2.35</v>
      </c>
      <c r="N886">
        <v>0.25900000000000001</v>
      </c>
      <c r="O886">
        <v>2.6</v>
      </c>
      <c r="P886">
        <v>0.65</v>
      </c>
      <c r="Q886">
        <v>15</v>
      </c>
    </row>
    <row r="887" spans="1:17" x14ac:dyDescent="0.25">
      <c r="A887" s="1">
        <v>42479</v>
      </c>
      <c r="B887">
        <v>6.7450000000000001</v>
      </c>
      <c r="C887">
        <v>142</v>
      </c>
      <c r="D887">
        <v>2.5640000000000001</v>
      </c>
      <c r="E887">
        <v>8.1999999999999993</v>
      </c>
      <c r="F887">
        <v>5.95</v>
      </c>
      <c r="G887">
        <v>1.7110000000000001</v>
      </c>
      <c r="H887" s="15">
        <v>4.95</v>
      </c>
      <c r="I887">
        <v>26.760999999999999</v>
      </c>
      <c r="J887">
        <v>17</v>
      </c>
      <c r="K887">
        <v>10.24</v>
      </c>
      <c r="L887">
        <v>1.28</v>
      </c>
      <c r="M887">
        <v>2.37</v>
      </c>
      <c r="N887">
        <v>0.26800000000000002</v>
      </c>
      <c r="O887">
        <v>2.75</v>
      </c>
      <c r="P887">
        <v>0.66</v>
      </c>
      <c r="Q887">
        <v>15</v>
      </c>
    </row>
    <row r="888" spans="1:17" x14ac:dyDescent="0.25">
      <c r="A888" s="1">
        <v>42480</v>
      </c>
      <c r="B888">
        <v>6.5960000000000001</v>
      </c>
      <c r="C888">
        <v>143.80000000000001</v>
      </c>
      <c r="D888">
        <v>2.5419999999999998</v>
      </c>
      <c r="E888">
        <v>8.15</v>
      </c>
      <c r="F888">
        <v>5.89</v>
      </c>
      <c r="G888">
        <v>1.65</v>
      </c>
      <c r="H888" s="15">
        <v>4.8499999999999996</v>
      </c>
      <c r="I888">
        <v>27.085999999999999</v>
      </c>
      <c r="J888">
        <v>17</v>
      </c>
      <c r="K888">
        <v>10.199999999999999</v>
      </c>
      <c r="L888">
        <v>1.24</v>
      </c>
      <c r="M888">
        <v>2.4</v>
      </c>
      <c r="N888">
        <v>0.26</v>
      </c>
      <c r="O888">
        <v>2.8</v>
      </c>
      <c r="P888">
        <v>0.65</v>
      </c>
      <c r="Q888">
        <v>15</v>
      </c>
    </row>
    <row r="889" spans="1:17" x14ac:dyDescent="0.25">
      <c r="A889" s="1">
        <v>42481</v>
      </c>
      <c r="B889">
        <v>6.42</v>
      </c>
      <c r="C889">
        <v>143.5</v>
      </c>
      <c r="D889">
        <v>2.5419999999999998</v>
      </c>
      <c r="E889">
        <v>8.61</v>
      </c>
      <c r="F889">
        <v>5.85</v>
      </c>
      <c r="G889">
        <v>1.6</v>
      </c>
      <c r="H889" s="15">
        <v>4.79</v>
      </c>
      <c r="I889">
        <v>27.324999999999999</v>
      </c>
      <c r="J889">
        <v>16.75</v>
      </c>
      <c r="K889">
        <v>10.5</v>
      </c>
      <c r="L889">
        <v>1.21</v>
      </c>
      <c r="M889">
        <v>2.41</v>
      </c>
      <c r="N889">
        <v>0.26</v>
      </c>
      <c r="O889">
        <v>2.85</v>
      </c>
      <c r="P889">
        <v>0.65</v>
      </c>
      <c r="Q889">
        <v>15</v>
      </c>
    </row>
    <row r="890" spans="1:17" x14ac:dyDescent="0.25">
      <c r="A890" s="1">
        <v>42482</v>
      </c>
      <c r="B890">
        <v>6.33</v>
      </c>
      <c r="C890">
        <v>143</v>
      </c>
      <c r="D890">
        <v>2.5419999999999998</v>
      </c>
      <c r="E890">
        <v>8.4499999999999993</v>
      </c>
      <c r="F890">
        <v>5.8</v>
      </c>
      <c r="G890">
        <v>1.58</v>
      </c>
      <c r="H890" s="15">
        <v>4.5</v>
      </c>
      <c r="I890">
        <v>27.468</v>
      </c>
      <c r="J890" t="e">
        <v>#N/A</v>
      </c>
      <c r="K890">
        <v>10.6</v>
      </c>
      <c r="L890">
        <v>1.19</v>
      </c>
      <c r="M890">
        <v>2.38</v>
      </c>
      <c r="N890">
        <v>0.25900000000000001</v>
      </c>
      <c r="O890">
        <v>2.8</v>
      </c>
      <c r="P890">
        <v>0.64</v>
      </c>
      <c r="Q890">
        <v>14</v>
      </c>
    </row>
    <row r="891" spans="1:17" x14ac:dyDescent="0.25">
      <c r="A891" s="1">
        <v>42485</v>
      </c>
      <c r="B891">
        <v>6.28</v>
      </c>
      <c r="C891">
        <v>141.5</v>
      </c>
      <c r="D891">
        <v>2.5419999999999998</v>
      </c>
      <c r="E891">
        <v>8.4499999999999993</v>
      </c>
      <c r="F891">
        <v>5.68</v>
      </c>
      <c r="G891">
        <v>1.58</v>
      </c>
      <c r="H891" s="15">
        <v>4.55</v>
      </c>
      <c r="I891">
        <v>27.468</v>
      </c>
      <c r="J891">
        <v>16.75</v>
      </c>
      <c r="K891">
        <v>10.52</v>
      </c>
      <c r="L891">
        <v>1.18</v>
      </c>
      <c r="M891">
        <v>2.37</v>
      </c>
      <c r="N891">
        <v>0.26</v>
      </c>
      <c r="O891">
        <v>2.7</v>
      </c>
      <c r="P891">
        <v>0.63</v>
      </c>
      <c r="Q891">
        <v>15</v>
      </c>
    </row>
    <row r="892" spans="1:17" x14ac:dyDescent="0.25">
      <c r="A892" s="1">
        <v>42486</v>
      </c>
      <c r="B892">
        <v>6.26</v>
      </c>
      <c r="C892">
        <v>142.62</v>
      </c>
      <c r="D892">
        <v>2.609</v>
      </c>
      <c r="E892">
        <v>8.82</v>
      </c>
      <c r="F892">
        <v>5.75</v>
      </c>
      <c r="G892">
        <v>1.54</v>
      </c>
      <c r="H892" s="15">
        <v>4.55</v>
      </c>
      <c r="I892">
        <v>27.707000000000001</v>
      </c>
      <c r="J892">
        <v>16.8</v>
      </c>
      <c r="K892">
        <v>10.52</v>
      </c>
      <c r="L892">
        <v>1.22</v>
      </c>
      <c r="M892">
        <v>2.41</v>
      </c>
      <c r="N892">
        <v>0.27</v>
      </c>
      <c r="O892">
        <v>2.65</v>
      </c>
      <c r="P892">
        <v>0.64</v>
      </c>
      <c r="Q892">
        <v>15</v>
      </c>
    </row>
    <row r="893" spans="1:17" x14ac:dyDescent="0.25">
      <c r="A893" s="1">
        <v>42487</v>
      </c>
      <c r="B893">
        <v>6.3</v>
      </c>
      <c r="C893">
        <v>145.4</v>
      </c>
      <c r="D893">
        <v>2.6459999999999999</v>
      </c>
      <c r="E893">
        <v>8.98</v>
      </c>
      <c r="F893">
        <v>5.75</v>
      </c>
      <c r="G893">
        <v>1.58</v>
      </c>
      <c r="H893" s="15">
        <v>4.7</v>
      </c>
      <c r="I893">
        <v>27.85</v>
      </c>
      <c r="J893">
        <v>16.75</v>
      </c>
      <c r="K893">
        <v>10.65</v>
      </c>
      <c r="L893">
        <v>1.23</v>
      </c>
      <c r="M893">
        <v>2.41</v>
      </c>
      <c r="N893">
        <v>0.26200000000000001</v>
      </c>
      <c r="O893">
        <v>2.7</v>
      </c>
      <c r="P893">
        <v>0.63</v>
      </c>
      <c r="Q893">
        <v>15</v>
      </c>
    </row>
    <row r="894" spans="1:17" x14ac:dyDescent="0.25">
      <c r="A894" s="1">
        <v>42488</v>
      </c>
      <c r="B894">
        <v>6.25</v>
      </c>
      <c r="C894">
        <v>144.87</v>
      </c>
      <c r="D894">
        <v>2.7949999999999999</v>
      </c>
      <c r="E894">
        <v>9.26</v>
      </c>
      <c r="F894">
        <v>5.8</v>
      </c>
      <c r="G894">
        <v>1.7</v>
      </c>
      <c r="H894" s="15">
        <v>4.78</v>
      </c>
      <c r="I894">
        <v>27.8</v>
      </c>
      <c r="J894">
        <v>17</v>
      </c>
      <c r="K894">
        <v>10.8</v>
      </c>
      <c r="L894">
        <v>1.26</v>
      </c>
      <c r="M894">
        <v>2.4500000000000002</v>
      </c>
      <c r="N894">
        <v>0.246</v>
      </c>
      <c r="O894">
        <v>2.66</v>
      </c>
      <c r="P894">
        <v>0.63</v>
      </c>
      <c r="Q894">
        <v>15</v>
      </c>
    </row>
    <row r="895" spans="1:17" x14ac:dyDescent="0.25">
      <c r="A895" s="1">
        <v>42489</v>
      </c>
      <c r="B895">
        <v>6.23</v>
      </c>
      <c r="C895">
        <v>145.07</v>
      </c>
      <c r="D895">
        <v>2.7210000000000001</v>
      </c>
      <c r="E895">
        <v>10.09</v>
      </c>
      <c r="F895">
        <v>5.95</v>
      </c>
      <c r="G895">
        <v>1.72</v>
      </c>
      <c r="H895" s="15">
        <v>4.58</v>
      </c>
      <c r="I895">
        <v>28.5</v>
      </c>
      <c r="J895">
        <v>17</v>
      </c>
      <c r="K895">
        <v>10.5</v>
      </c>
      <c r="L895">
        <v>1.29</v>
      </c>
      <c r="M895">
        <v>2.54</v>
      </c>
      <c r="N895">
        <v>0.255</v>
      </c>
      <c r="O895">
        <v>2.85</v>
      </c>
      <c r="P895">
        <v>0.63</v>
      </c>
      <c r="Q895">
        <v>15</v>
      </c>
    </row>
    <row r="896" spans="1:17" x14ac:dyDescent="0.25">
      <c r="A896" s="1">
        <v>42492</v>
      </c>
      <c r="B896">
        <v>6.4</v>
      </c>
      <c r="C896">
        <v>144.35</v>
      </c>
      <c r="D896">
        <v>2.7210000000000001</v>
      </c>
      <c r="E896">
        <v>10.1</v>
      </c>
      <c r="F896">
        <v>5.96</v>
      </c>
      <c r="G896">
        <v>1.75</v>
      </c>
      <c r="H896" s="15">
        <v>4.5</v>
      </c>
      <c r="I896">
        <v>28.5</v>
      </c>
      <c r="J896">
        <v>16.989999999999998</v>
      </c>
      <c r="K896">
        <v>10.7</v>
      </c>
      <c r="L896">
        <v>1.29</v>
      </c>
      <c r="M896">
        <v>2.4500000000000002</v>
      </c>
      <c r="N896">
        <v>0.25</v>
      </c>
      <c r="O896">
        <v>2.94</v>
      </c>
      <c r="P896">
        <v>0.65</v>
      </c>
      <c r="Q896">
        <v>15</v>
      </c>
    </row>
    <row r="897" spans="1:17" x14ac:dyDescent="0.25">
      <c r="A897" s="1">
        <v>42493</v>
      </c>
      <c r="B897">
        <v>6.4</v>
      </c>
      <c r="C897">
        <v>139.51</v>
      </c>
      <c r="D897">
        <v>2.7210000000000001</v>
      </c>
      <c r="E897">
        <v>9.77</v>
      </c>
      <c r="F897">
        <v>5.91</v>
      </c>
      <c r="G897">
        <v>1.72</v>
      </c>
      <c r="H897" s="15">
        <v>4.41</v>
      </c>
      <c r="I897">
        <v>27.8</v>
      </c>
      <c r="J897">
        <v>17</v>
      </c>
      <c r="K897">
        <v>10.5</v>
      </c>
      <c r="L897">
        <v>1.22</v>
      </c>
      <c r="M897">
        <v>2.37</v>
      </c>
      <c r="N897">
        <v>0.245</v>
      </c>
      <c r="O897" t="e">
        <v>#N/A</v>
      </c>
      <c r="P897">
        <v>0.63</v>
      </c>
      <c r="Q897">
        <v>14</v>
      </c>
    </row>
    <row r="898" spans="1:17" x14ac:dyDescent="0.25">
      <c r="A898" s="1">
        <v>42494</v>
      </c>
      <c r="B898">
        <v>6.5</v>
      </c>
      <c r="C898">
        <v>135.4</v>
      </c>
      <c r="D898">
        <v>2.6459999999999999</v>
      </c>
      <c r="E898">
        <v>9.42</v>
      </c>
      <c r="F898">
        <v>5.9</v>
      </c>
      <c r="G898">
        <v>1.7</v>
      </c>
      <c r="H898" s="15">
        <v>4.3</v>
      </c>
      <c r="I898">
        <v>27.3</v>
      </c>
      <c r="J898">
        <v>17</v>
      </c>
      <c r="K898">
        <v>10.199999999999999</v>
      </c>
      <c r="L898">
        <v>1.19</v>
      </c>
      <c r="M898">
        <v>2.2999999999999998</v>
      </c>
      <c r="N898">
        <v>0.23200000000000001</v>
      </c>
      <c r="O898">
        <v>2.8370000000000002</v>
      </c>
      <c r="P898">
        <v>0.57999999999999996</v>
      </c>
      <c r="Q898">
        <v>15</v>
      </c>
    </row>
    <row r="899" spans="1:17" x14ac:dyDescent="0.25">
      <c r="A899" s="1">
        <v>42495</v>
      </c>
      <c r="B899">
        <v>6.5</v>
      </c>
      <c r="C899">
        <v>136.69999999999999</v>
      </c>
      <c r="D899">
        <v>2.6829999999999998</v>
      </c>
      <c r="E899">
        <v>9.6</v>
      </c>
      <c r="F899">
        <v>6.05</v>
      </c>
      <c r="G899">
        <v>1.71</v>
      </c>
      <c r="H899" s="15">
        <v>4.25</v>
      </c>
      <c r="I899" t="e">
        <v>#N/A</v>
      </c>
      <c r="J899">
        <v>17.2</v>
      </c>
      <c r="K899">
        <v>10.199999999999999</v>
      </c>
      <c r="L899">
        <v>1.19</v>
      </c>
      <c r="M899">
        <v>2.2400000000000002</v>
      </c>
      <c r="N899">
        <v>0.22500000000000001</v>
      </c>
      <c r="O899" t="e">
        <v>#N/A</v>
      </c>
      <c r="P899">
        <v>0.57999999999999996</v>
      </c>
      <c r="Q899">
        <v>13</v>
      </c>
    </row>
    <row r="900" spans="1:17" x14ac:dyDescent="0.25">
      <c r="A900" s="1">
        <v>42496</v>
      </c>
      <c r="B900">
        <v>6.5</v>
      </c>
      <c r="C900">
        <v>139.65</v>
      </c>
      <c r="D900">
        <v>2.6829999999999998</v>
      </c>
      <c r="E900">
        <v>9.99</v>
      </c>
      <c r="F900">
        <v>6</v>
      </c>
      <c r="G900">
        <v>1.65</v>
      </c>
      <c r="H900" s="15">
        <v>4.4000000000000004</v>
      </c>
      <c r="I900">
        <v>27.15</v>
      </c>
      <c r="J900">
        <v>16.86</v>
      </c>
      <c r="K900">
        <v>10</v>
      </c>
      <c r="L900">
        <v>1.19</v>
      </c>
      <c r="M900">
        <v>2.17</v>
      </c>
      <c r="N900">
        <v>0.218</v>
      </c>
      <c r="O900">
        <v>2.7370000000000001</v>
      </c>
      <c r="P900">
        <v>0.57999999999999996</v>
      </c>
      <c r="Q900">
        <v>15</v>
      </c>
    </row>
    <row r="901" spans="1:17" x14ac:dyDescent="0.25">
      <c r="A901" s="1">
        <v>42499</v>
      </c>
      <c r="B901">
        <v>6.5</v>
      </c>
      <c r="C901">
        <v>137.33000000000001</v>
      </c>
      <c r="D901">
        <v>2.6829999999999998</v>
      </c>
      <c r="E901">
        <v>9.2799999999999994</v>
      </c>
      <c r="F901">
        <v>5.95</v>
      </c>
      <c r="G901">
        <v>1.6</v>
      </c>
      <c r="H901" s="15">
        <v>4.3499999999999996</v>
      </c>
      <c r="I901">
        <v>27.25</v>
      </c>
      <c r="J901">
        <v>17</v>
      </c>
      <c r="K901">
        <v>10</v>
      </c>
      <c r="L901">
        <v>1.1599999999999999</v>
      </c>
      <c r="M901">
        <v>2.1</v>
      </c>
      <c r="N901">
        <v>0.20499999999999999</v>
      </c>
      <c r="O901">
        <v>2.7170000000000001</v>
      </c>
      <c r="P901">
        <v>0.56999999999999995</v>
      </c>
      <c r="Q901">
        <v>15</v>
      </c>
    </row>
    <row r="902" spans="1:17" x14ac:dyDescent="0.25">
      <c r="A902" s="1">
        <v>42500</v>
      </c>
      <c r="B902">
        <v>6.5</v>
      </c>
      <c r="C902">
        <v>143.30000000000001</v>
      </c>
      <c r="D902">
        <v>2.7360000000000002</v>
      </c>
      <c r="E902">
        <v>9.5</v>
      </c>
      <c r="F902">
        <v>6.05</v>
      </c>
      <c r="G902">
        <v>1.67</v>
      </c>
      <c r="H902" s="15">
        <v>4.49</v>
      </c>
      <c r="I902">
        <v>28</v>
      </c>
      <c r="J902">
        <v>17</v>
      </c>
      <c r="K902">
        <v>10.3</v>
      </c>
      <c r="L902">
        <v>1.22</v>
      </c>
      <c r="M902">
        <v>2.25</v>
      </c>
      <c r="N902">
        <v>0.23599999999999999</v>
      </c>
      <c r="O902">
        <v>2.6869999999999998</v>
      </c>
      <c r="P902">
        <v>0.61</v>
      </c>
      <c r="Q902">
        <v>15</v>
      </c>
    </row>
    <row r="903" spans="1:17" x14ac:dyDescent="0.25">
      <c r="A903" s="1">
        <v>42501</v>
      </c>
      <c r="B903">
        <v>6.5</v>
      </c>
      <c r="C903">
        <v>143</v>
      </c>
      <c r="D903">
        <v>2.7949999999999999</v>
      </c>
      <c r="E903">
        <v>9.9499999999999993</v>
      </c>
      <c r="F903">
        <v>6.05</v>
      </c>
      <c r="G903">
        <v>1.7</v>
      </c>
      <c r="H903" s="15">
        <v>4.45</v>
      </c>
      <c r="I903">
        <v>28.25</v>
      </c>
      <c r="J903">
        <v>16.989999999999998</v>
      </c>
      <c r="K903">
        <v>10.35</v>
      </c>
      <c r="L903">
        <v>1.26</v>
      </c>
      <c r="M903">
        <v>2.2599999999999998</v>
      </c>
      <c r="N903">
        <v>0.246</v>
      </c>
      <c r="O903">
        <v>2.6869999999999998</v>
      </c>
      <c r="P903">
        <v>0.62</v>
      </c>
      <c r="Q903">
        <v>15</v>
      </c>
    </row>
    <row r="904" spans="1:17" x14ac:dyDescent="0.25">
      <c r="A904" s="1">
        <v>42502</v>
      </c>
      <c r="B904">
        <v>6.5</v>
      </c>
      <c r="C904">
        <v>143.19999999999999</v>
      </c>
      <c r="D904">
        <v>2.87</v>
      </c>
      <c r="E904">
        <v>9.8000000000000007</v>
      </c>
      <c r="F904">
        <v>6.05</v>
      </c>
      <c r="G904">
        <v>1.7</v>
      </c>
      <c r="H904" s="15">
        <v>4.26</v>
      </c>
      <c r="I904">
        <v>28</v>
      </c>
      <c r="J904">
        <v>16.600000000000001</v>
      </c>
      <c r="K904">
        <v>10.35</v>
      </c>
      <c r="L904">
        <v>1.28</v>
      </c>
      <c r="M904">
        <v>2.35</v>
      </c>
      <c r="N904">
        <v>0.25800000000000001</v>
      </c>
      <c r="O904">
        <v>2.7370000000000001</v>
      </c>
      <c r="P904">
        <v>0.65</v>
      </c>
      <c r="Q904">
        <v>15</v>
      </c>
    </row>
    <row r="905" spans="1:17" x14ac:dyDescent="0.25">
      <c r="A905" s="1">
        <v>42503</v>
      </c>
      <c r="B905">
        <v>6.45</v>
      </c>
      <c r="C905">
        <v>144</v>
      </c>
      <c r="D905">
        <v>2.9809999999999999</v>
      </c>
      <c r="E905">
        <v>9.9</v>
      </c>
      <c r="F905">
        <v>6.03</v>
      </c>
      <c r="G905">
        <v>1.68</v>
      </c>
      <c r="H905" s="15">
        <v>4.4000000000000004</v>
      </c>
      <c r="I905">
        <v>28.6</v>
      </c>
      <c r="J905">
        <v>17</v>
      </c>
      <c r="K905">
        <v>10.6</v>
      </c>
      <c r="L905">
        <v>1.3</v>
      </c>
      <c r="M905">
        <v>2.46</v>
      </c>
      <c r="N905">
        <v>0.25900000000000001</v>
      </c>
      <c r="O905">
        <v>2.7370000000000001</v>
      </c>
      <c r="P905">
        <v>0.65</v>
      </c>
      <c r="Q905">
        <v>15</v>
      </c>
    </row>
    <row r="906" spans="1:17" x14ac:dyDescent="0.25">
      <c r="A906" s="1">
        <v>42506</v>
      </c>
      <c r="B906">
        <v>6.47</v>
      </c>
      <c r="C906">
        <v>146.69999999999999</v>
      </c>
      <c r="D906">
        <v>3.0190000000000001</v>
      </c>
      <c r="E906">
        <v>10.25</v>
      </c>
      <c r="F906">
        <v>6.08</v>
      </c>
      <c r="G906">
        <v>1.69</v>
      </c>
      <c r="H906" s="15">
        <v>4.45</v>
      </c>
      <c r="I906">
        <v>28.5</v>
      </c>
      <c r="J906">
        <v>17.13</v>
      </c>
      <c r="K906">
        <v>10.6</v>
      </c>
      <c r="L906">
        <v>1.3</v>
      </c>
      <c r="M906">
        <v>2.5</v>
      </c>
      <c r="N906">
        <v>0.25800000000000001</v>
      </c>
      <c r="O906" t="e">
        <v>#N/A</v>
      </c>
      <c r="P906">
        <v>0.65</v>
      </c>
      <c r="Q906">
        <v>14</v>
      </c>
    </row>
    <row r="907" spans="1:17" x14ac:dyDescent="0.25">
      <c r="A907" s="1">
        <v>42507</v>
      </c>
      <c r="B907">
        <v>6.42</v>
      </c>
      <c r="C907">
        <v>146.4</v>
      </c>
      <c r="D907">
        <v>3.093</v>
      </c>
      <c r="E907">
        <v>10.5</v>
      </c>
      <c r="F907">
        <v>6.05</v>
      </c>
      <c r="G907">
        <v>1.69</v>
      </c>
      <c r="H907" s="15">
        <v>4.42</v>
      </c>
      <c r="I907">
        <v>28.5</v>
      </c>
      <c r="J907">
        <v>17.100000000000001</v>
      </c>
      <c r="K907">
        <v>10.6</v>
      </c>
      <c r="L907">
        <v>1.3</v>
      </c>
      <c r="M907">
        <v>2.4500000000000002</v>
      </c>
      <c r="N907">
        <v>0.245</v>
      </c>
      <c r="O907">
        <v>2.7</v>
      </c>
      <c r="P907">
        <v>0.64</v>
      </c>
      <c r="Q907">
        <v>15</v>
      </c>
    </row>
    <row r="908" spans="1:17" x14ac:dyDescent="0.25">
      <c r="A908" s="1">
        <v>42508</v>
      </c>
      <c r="B908">
        <v>6.4</v>
      </c>
      <c r="C908">
        <v>145</v>
      </c>
      <c r="D908">
        <v>3.093</v>
      </c>
      <c r="E908">
        <v>9.6999999999999993</v>
      </c>
      <c r="F908">
        <v>5.98</v>
      </c>
      <c r="G908">
        <v>1.68</v>
      </c>
      <c r="H908" s="15">
        <v>4.33</v>
      </c>
      <c r="I908">
        <v>28.5</v>
      </c>
      <c r="J908" t="e">
        <v>#N/A</v>
      </c>
      <c r="K908">
        <v>10.6</v>
      </c>
      <c r="L908">
        <v>1.25</v>
      </c>
      <c r="M908">
        <v>2.4500000000000002</v>
      </c>
      <c r="N908">
        <v>0.245</v>
      </c>
      <c r="O908">
        <v>2.69</v>
      </c>
      <c r="P908">
        <v>0.62</v>
      </c>
      <c r="Q908">
        <v>14</v>
      </c>
    </row>
    <row r="909" spans="1:17" x14ac:dyDescent="0.25">
      <c r="A909" s="1">
        <v>42509</v>
      </c>
      <c r="B909">
        <v>6.3</v>
      </c>
      <c r="C909">
        <v>139.1</v>
      </c>
      <c r="D909">
        <v>3.093</v>
      </c>
      <c r="E909">
        <v>9.9499999999999993</v>
      </c>
      <c r="F909">
        <v>5.97</v>
      </c>
      <c r="G909">
        <v>1.68</v>
      </c>
      <c r="H909" s="15">
        <v>4.26</v>
      </c>
      <c r="I909">
        <v>28.5</v>
      </c>
      <c r="J909">
        <v>17.100000000000001</v>
      </c>
      <c r="K909">
        <v>10.55</v>
      </c>
      <c r="L909">
        <v>1.21</v>
      </c>
      <c r="M909">
        <v>2.35</v>
      </c>
      <c r="N909">
        <v>0.248</v>
      </c>
      <c r="O909">
        <v>2.65</v>
      </c>
      <c r="P909">
        <v>0.61</v>
      </c>
      <c r="Q909">
        <v>15</v>
      </c>
    </row>
    <row r="910" spans="1:17" x14ac:dyDescent="0.25">
      <c r="A910" s="1">
        <v>42510</v>
      </c>
      <c r="B910">
        <v>6.4</v>
      </c>
      <c r="C910">
        <v>139.9</v>
      </c>
      <c r="D910">
        <v>3.0190000000000001</v>
      </c>
      <c r="E910">
        <v>9.9</v>
      </c>
      <c r="F910">
        <v>6.04</v>
      </c>
      <c r="G910">
        <v>1.68</v>
      </c>
      <c r="H910" s="15">
        <v>4.37</v>
      </c>
      <c r="I910">
        <v>28.1</v>
      </c>
      <c r="J910">
        <v>17</v>
      </c>
      <c r="K910">
        <v>10.55</v>
      </c>
      <c r="L910" t="e">
        <v>#N/A</v>
      </c>
      <c r="M910" t="e">
        <v>#N/A</v>
      </c>
      <c r="N910">
        <v>0.25600000000000001</v>
      </c>
      <c r="O910">
        <v>2.61</v>
      </c>
      <c r="P910">
        <v>0.61</v>
      </c>
      <c r="Q910">
        <v>13</v>
      </c>
    </row>
    <row r="911" spans="1:17" x14ac:dyDescent="0.25">
      <c r="A911" s="1">
        <v>42513</v>
      </c>
      <c r="B911">
        <v>6.45</v>
      </c>
      <c r="C911">
        <v>142</v>
      </c>
      <c r="D911">
        <v>3.0190000000000001</v>
      </c>
      <c r="E911">
        <v>9.8000000000000007</v>
      </c>
      <c r="F911">
        <v>6.04</v>
      </c>
      <c r="G911">
        <v>1.68</v>
      </c>
      <c r="H911" s="15">
        <v>4.6500000000000004</v>
      </c>
      <c r="I911">
        <v>28</v>
      </c>
      <c r="J911" t="e">
        <v>#N/A</v>
      </c>
      <c r="K911">
        <v>10.5</v>
      </c>
      <c r="L911">
        <v>1.19</v>
      </c>
      <c r="M911">
        <v>2.2999999999999998</v>
      </c>
      <c r="N911">
        <v>0.245</v>
      </c>
      <c r="O911">
        <v>2.61</v>
      </c>
      <c r="P911">
        <v>0.6</v>
      </c>
      <c r="Q911">
        <v>14</v>
      </c>
    </row>
    <row r="912" spans="1:17" x14ac:dyDescent="0.25">
      <c r="A912" s="1">
        <v>42514</v>
      </c>
      <c r="B912">
        <v>6.44</v>
      </c>
      <c r="C912">
        <v>141.1</v>
      </c>
      <c r="D912">
        <v>3.0190000000000001</v>
      </c>
      <c r="E912">
        <v>9.6999999999999993</v>
      </c>
      <c r="F912">
        <v>6.06</v>
      </c>
      <c r="G912">
        <v>1.68</v>
      </c>
      <c r="H912" s="15">
        <v>4.58</v>
      </c>
      <c r="I912">
        <v>28</v>
      </c>
      <c r="J912">
        <v>16.850000000000001</v>
      </c>
      <c r="K912">
        <v>10.4</v>
      </c>
      <c r="L912">
        <v>1.19</v>
      </c>
      <c r="M912">
        <v>2.2799999999999998</v>
      </c>
      <c r="N912">
        <v>0.24</v>
      </c>
      <c r="O912">
        <v>2.63</v>
      </c>
      <c r="P912">
        <v>0.57999999999999996</v>
      </c>
      <c r="Q912">
        <v>15</v>
      </c>
    </row>
    <row r="913" spans="1:17" x14ac:dyDescent="0.25">
      <c r="A913" s="1">
        <v>42515</v>
      </c>
      <c r="B913">
        <v>6.44</v>
      </c>
      <c r="C913">
        <v>143.69999999999999</v>
      </c>
      <c r="D913">
        <v>3.093</v>
      </c>
      <c r="E913">
        <v>9.9</v>
      </c>
      <c r="F913">
        <v>6.06</v>
      </c>
      <c r="G913">
        <v>1.68</v>
      </c>
      <c r="H913" s="15">
        <v>4.5</v>
      </c>
      <c r="I913">
        <v>28</v>
      </c>
      <c r="J913">
        <v>16.93</v>
      </c>
      <c r="K913">
        <v>10.4</v>
      </c>
      <c r="L913">
        <v>1.1599999999999999</v>
      </c>
      <c r="M913">
        <v>2.2000000000000002</v>
      </c>
      <c r="N913">
        <v>0.24199999999999999</v>
      </c>
      <c r="O913">
        <v>2.63</v>
      </c>
      <c r="P913">
        <v>0.57999999999999996</v>
      </c>
      <c r="Q913">
        <v>15</v>
      </c>
    </row>
    <row r="914" spans="1:17" x14ac:dyDescent="0.25">
      <c r="A914" s="1">
        <v>42516</v>
      </c>
      <c r="B914">
        <v>6.44</v>
      </c>
      <c r="C914">
        <v>145</v>
      </c>
      <c r="D914">
        <v>3.1309999999999998</v>
      </c>
      <c r="E914">
        <v>10</v>
      </c>
      <c r="F914">
        <v>6.06</v>
      </c>
      <c r="G914">
        <v>1.68</v>
      </c>
      <c r="H914" s="15">
        <v>4.41</v>
      </c>
      <c r="I914">
        <v>29.07</v>
      </c>
      <c r="J914">
        <v>17</v>
      </c>
      <c r="K914">
        <v>10.4</v>
      </c>
      <c r="L914">
        <v>1.17</v>
      </c>
      <c r="M914">
        <v>2.2000000000000002</v>
      </c>
      <c r="N914">
        <v>0.24199999999999999</v>
      </c>
      <c r="O914">
        <v>2.61</v>
      </c>
      <c r="P914">
        <v>0.6</v>
      </c>
      <c r="Q914">
        <v>15</v>
      </c>
    </row>
    <row r="915" spans="1:17" x14ac:dyDescent="0.25">
      <c r="A915" s="1">
        <v>42517</v>
      </c>
      <c r="B915">
        <v>6.49</v>
      </c>
      <c r="C915">
        <v>143.5</v>
      </c>
      <c r="D915">
        <v>3.1080000000000001</v>
      </c>
      <c r="E915">
        <v>9.8000000000000007</v>
      </c>
      <c r="F915">
        <v>6.04</v>
      </c>
      <c r="G915">
        <v>1.69</v>
      </c>
      <c r="H915" s="15">
        <v>4.43</v>
      </c>
      <c r="I915">
        <v>29.5</v>
      </c>
      <c r="J915">
        <v>17</v>
      </c>
      <c r="K915">
        <v>10.42</v>
      </c>
      <c r="L915">
        <v>1.18</v>
      </c>
      <c r="M915">
        <v>2.1800000000000002</v>
      </c>
      <c r="N915">
        <v>0.24399999999999999</v>
      </c>
      <c r="O915">
        <v>2.65</v>
      </c>
      <c r="P915">
        <v>0.59</v>
      </c>
      <c r="Q915">
        <v>15</v>
      </c>
    </row>
    <row r="916" spans="1:17" x14ac:dyDescent="0.25">
      <c r="A916" s="1">
        <v>42520</v>
      </c>
      <c r="B916">
        <v>6.5</v>
      </c>
      <c r="C916" t="e">
        <v>#N/A</v>
      </c>
      <c r="D916">
        <v>3.1309999999999998</v>
      </c>
      <c r="E916" t="e">
        <v>#N/A</v>
      </c>
      <c r="F916" t="e">
        <v>#N/A</v>
      </c>
      <c r="G916">
        <v>1.69</v>
      </c>
      <c r="H916" s="15">
        <v>4.46</v>
      </c>
      <c r="I916" t="e">
        <v>#N/A</v>
      </c>
      <c r="J916" t="e">
        <v>#N/A</v>
      </c>
      <c r="K916">
        <v>10.43</v>
      </c>
      <c r="L916">
        <v>1.22</v>
      </c>
      <c r="M916">
        <v>2.1800000000000002</v>
      </c>
      <c r="N916">
        <v>0.245</v>
      </c>
      <c r="O916">
        <v>2.65</v>
      </c>
      <c r="P916">
        <v>0.59</v>
      </c>
      <c r="Q916">
        <v>10</v>
      </c>
    </row>
    <row r="917" spans="1:17" x14ac:dyDescent="0.25">
      <c r="A917" s="1">
        <v>42521</v>
      </c>
      <c r="B917">
        <v>6.5</v>
      </c>
      <c r="C917">
        <v>140.55000000000001</v>
      </c>
      <c r="D917">
        <v>3.1309999999999998</v>
      </c>
      <c r="E917">
        <v>9.5500000000000007</v>
      </c>
      <c r="F917">
        <v>6</v>
      </c>
      <c r="G917">
        <v>1.7</v>
      </c>
      <c r="H917" s="15">
        <v>4.25</v>
      </c>
      <c r="I917">
        <v>29.95</v>
      </c>
      <c r="J917">
        <v>17</v>
      </c>
      <c r="K917">
        <v>10.5</v>
      </c>
      <c r="L917">
        <v>1.22</v>
      </c>
      <c r="M917">
        <v>2.2200000000000002</v>
      </c>
      <c r="N917">
        <v>0.252</v>
      </c>
      <c r="O917">
        <v>2.66</v>
      </c>
      <c r="P917">
        <v>0.59</v>
      </c>
      <c r="Q917">
        <v>15</v>
      </c>
    </row>
    <row r="918" spans="1:17" x14ac:dyDescent="0.25">
      <c r="A918" s="1">
        <v>42522</v>
      </c>
      <c r="B918">
        <v>6.5</v>
      </c>
      <c r="C918">
        <v>142.5</v>
      </c>
      <c r="D918">
        <v>3.093</v>
      </c>
      <c r="E918">
        <v>9.51</v>
      </c>
      <c r="F918">
        <v>6.02</v>
      </c>
      <c r="G918">
        <v>1.7</v>
      </c>
      <c r="H918" s="15">
        <v>4.3899999999999997</v>
      </c>
      <c r="I918">
        <v>29.88</v>
      </c>
      <c r="J918">
        <v>17</v>
      </c>
      <c r="K918">
        <v>10.5</v>
      </c>
      <c r="L918">
        <v>1.23</v>
      </c>
      <c r="M918">
        <v>2.2400000000000002</v>
      </c>
      <c r="N918">
        <v>0.251</v>
      </c>
      <c r="O918">
        <v>2.66</v>
      </c>
      <c r="P918">
        <v>0.57999999999999996</v>
      </c>
      <c r="Q918">
        <v>15</v>
      </c>
    </row>
    <row r="919" spans="1:17" x14ac:dyDescent="0.25">
      <c r="A919" s="1">
        <v>42523</v>
      </c>
      <c r="B919">
        <v>6.5</v>
      </c>
      <c r="C919">
        <v>144.6</v>
      </c>
      <c r="D919">
        <v>3.093</v>
      </c>
      <c r="E919">
        <v>9.9</v>
      </c>
      <c r="F919">
        <v>6</v>
      </c>
      <c r="G919">
        <v>1.7</v>
      </c>
      <c r="H919" s="15">
        <v>4.45</v>
      </c>
      <c r="I919">
        <v>29</v>
      </c>
      <c r="J919" t="e">
        <v>#N/A</v>
      </c>
      <c r="K919">
        <v>10.51</v>
      </c>
      <c r="L919">
        <v>1.29</v>
      </c>
      <c r="M919">
        <v>2.25</v>
      </c>
      <c r="N919">
        <v>0.25700000000000001</v>
      </c>
      <c r="O919" t="e">
        <v>#N/A</v>
      </c>
      <c r="P919">
        <v>0.59</v>
      </c>
      <c r="Q919">
        <v>13</v>
      </c>
    </row>
    <row r="920" spans="1:17" x14ac:dyDescent="0.25">
      <c r="A920" s="1">
        <v>42524</v>
      </c>
      <c r="B920">
        <v>6.45</v>
      </c>
      <c r="C920">
        <v>149.5</v>
      </c>
      <c r="D920">
        <v>3.093</v>
      </c>
      <c r="E920">
        <v>11.09</v>
      </c>
      <c r="F920">
        <v>6.05</v>
      </c>
      <c r="G920">
        <v>1.7</v>
      </c>
      <c r="H920" s="15">
        <v>4.7</v>
      </c>
      <c r="I920">
        <v>29.8</v>
      </c>
      <c r="J920">
        <v>17</v>
      </c>
      <c r="K920">
        <v>10.5</v>
      </c>
      <c r="L920">
        <v>1.3</v>
      </c>
      <c r="M920">
        <v>2.35</v>
      </c>
      <c r="N920">
        <v>0.26</v>
      </c>
      <c r="O920">
        <v>2.66</v>
      </c>
      <c r="P920">
        <v>0.62</v>
      </c>
      <c r="Q920">
        <v>15</v>
      </c>
    </row>
    <row r="921" spans="1:17" x14ac:dyDescent="0.25">
      <c r="A921" s="1">
        <v>42527</v>
      </c>
      <c r="B921">
        <v>6.45</v>
      </c>
      <c r="C921">
        <v>151</v>
      </c>
      <c r="D921">
        <v>3.093</v>
      </c>
      <c r="E921">
        <v>11.09</v>
      </c>
      <c r="F921">
        <v>6.05</v>
      </c>
      <c r="G921">
        <v>1.68</v>
      </c>
      <c r="H921" s="15">
        <v>4.78</v>
      </c>
      <c r="I921">
        <v>29.93</v>
      </c>
      <c r="J921">
        <v>17</v>
      </c>
      <c r="K921">
        <v>10.37</v>
      </c>
      <c r="L921">
        <v>1.3</v>
      </c>
      <c r="M921">
        <v>2.4500000000000002</v>
      </c>
      <c r="N921">
        <v>0.25900000000000001</v>
      </c>
      <c r="O921">
        <v>2.7</v>
      </c>
      <c r="P921">
        <v>0.62</v>
      </c>
      <c r="Q921">
        <v>15</v>
      </c>
    </row>
    <row r="922" spans="1:17" x14ac:dyDescent="0.25">
      <c r="A922" s="1">
        <v>42528</v>
      </c>
      <c r="B922" t="e">
        <v>#N/A</v>
      </c>
      <c r="C922">
        <v>152.4</v>
      </c>
      <c r="D922">
        <v>3.0779999999999998</v>
      </c>
      <c r="E922">
        <v>10.58</v>
      </c>
      <c r="F922">
        <v>6.03</v>
      </c>
      <c r="G922">
        <v>1.68</v>
      </c>
      <c r="H922" s="15">
        <v>5</v>
      </c>
      <c r="I922">
        <v>30.3</v>
      </c>
      <c r="J922">
        <v>17.100000000000001</v>
      </c>
      <c r="K922">
        <v>10.398999999999999</v>
      </c>
      <c r="L922">
        <v>1.25</v>
      </c>
      <c r="M922">
        <v>2.4</v>
      </c>
      <c r="N922">
        <v>0.252</v>
      </c>
      <c r="O922">
        <v>2.7</v>
      </c>
      <c r="P922">
        <v>0.59</v>
      </c>
      <c r="Q922">
        <v>14</v>
      </c>
    </row>
    <row r="923" spans="1:17" x14ac:dyDescent="0.25">
      <c r="A923" s="1">
        <v>42529</v>
      </c>
      <c r="B923">
        <v>6.45</v>
      </c>
      <c r="C923">
        <v>153</v>
      </c>
      <c r="D923">
        <v>3.0259999999999998</v>
      </c>
      <c r="E923">
        <v>11.15</v>
      </c>
      <c r="F923">
        <v>6.02</v>
      </c>
      <c r="G923">
        <v>1.68</v>
      </c>
      <c r="H923" s="15">
        <v>4.8</v>
      </c>
      <c r="I923">
        <v>29.7</v>
      </c>
      <c r="J923">
        <v>16.7</v>
      </c>
      <c r="K923">
        <v>10.449</v>
      </c>
      <c r="L923">
        <v>1.23</v>
      </c>
      <c r="M923">
        <v>2.36</v>
      </c>
      <c r="N923">
        <v>0.255</v>
      </c>
      <c r="O923">
        <v>2.6</v>
      </c>
      <c r="P923">
        <v>0.6</v>
      </c>
      <c r="Q923">
        <v>15</v>
      </c>
    </row>
    <row r="924" spans="1:17" x14ac:dyDescent="0.25">
      <c r="A924" s="1">
        <v>42530</v>
      </c>
      <c r="B924">
        <v>6.4</v>
      </c>
      <c r="C924">
        <v>154.4</v>
      </c>
      <c r="D924">
        <v>3.0409999999999999</v>
      </c>
      <c r="E924">
        <v>11.31</v>
      </c>
      <c r="F924">
        <v>6.01</v>
      </c>
      <c r="G924">
        <v>1.68</v>
      </c>
      <c r="H924" s="15">
        <v>4.83</v>
      </c>
      <c r="I924">
        <v>30</v>
      </c>
      <c r="J924" t="e">
        <v>#N/A</v>
      </c>
      <c r="K924">
        <v>10.398999999999999</v>
      </c>
      <c r="L924">
        <v>1.25</v>
      </c>
      <c r="M924">
        <v>2.39</v>
      </c>
      <c r="N924">
        <v>0.25</v>
      </c>
      <c r="O924" t="e">
        <v>#N/A</v>
      </c>
      <c r="P924">
        <v>0.59</v>
      </c>
      <c r="Q924">
        <v>13</v>
      </c>
    </row>
    <row r="925" spans="1:17" x14ac:dyDescent="0.25">
      <c r="A925" s="1">
        <v>42531</v>
      </c>
      <c r="B925">
        <v>6.32</v>
      </c>
      <c r="C925">
        <v>147.5</v>
      </c>
      <c r="D925">
        <v>2.9809999999999999</v>
      </c>
      <c r="E925">
        <v>11.06</v>
      </c>
      <c r="F925">
        <v>5.95</v>
      </c>
      <c r="G925">
        <v>1.66</v>
      </c>
      <c r="H925" s="15">
        <v>4.7300000000000004</v>
      </c>
      <c r="I925">
        <v>29.6</v>
      </c>
      <c r="J925">
        <v>16.98</v>
      </c>
      <c r="K925">
        <v>10.398999999999999</v>
      </c>
      <c r="L925">
        <v>1.23</v>
      </c>
      <c r="M925">
        <v>2.36</v>
      </c>
      <c r="N925">
        <v>0.25</v>
      </c>
      <c r="O925">
        <v>2.6</v>
      </c>
      <c r="P925">
        <v>0.59</v>
      </c>
      <c r="Q925">
        <v>15</v>
      </c>
    </row>
    <row r="926" spans="1:17" x14ac:dyDescent="0.25">
      <c r="A926" s="1">
        <v>42534</v>
      </c>
      <c r="B926">
        <v>6.26</v>
      </c>
      <c r="C926">
        <v>145.6</v>
      </c>
      <c r="D926">
        <v>3.004</v>
      </c>
      <c r="E926">
        <v>10.8</v>
      </c>
      <c r="F926">
        <v>5.9</v>
      </c>
      <c r="G926">
        <v>1.67</v>
      </c>
      <c r="H926" s="15">
        <v>4.55</v>
      </c>
      <c r="I926">
        <v>29.5</v>
      </c>
      <c r="J926" t="e">
        <v>#N/A</v>
      </c>
      <c r="K926">
        <v>10.35</v>
      </c>
      <c r="L926">
        <v>1.23</v>
      </c>
      <c r="M926">
        <v>2.34</v>
      </c>
      <c r="N926">
        <v>0.25</v>
      </c>
      <c r="O926">
        <v>2.4900000000000002</v>
      </c>
      <c r="P926">
        <v>0.59</v>
      </c>
      <c r="Q926">
        <v>14</v>
      </c>
    </row>
    <row r="927" spans="1:17" x14ac:dyDescent="0.25">
      <c r="A927" s="1">
        <v>42535</v>
      </c>
      <c r="B927">
        <v>6.2</v>
      </c>
      <c r="C927">
        <v>144.30000000000001</v>
      </c>
      <c r="D927">
        <v>3.0259999999999998</v>
      </c>
      <c r="E927">
        <v>10.38</v>
      </c>
      <c r="F927">
        <v>5.9</v>
      </c>
      <c r="G927">
        <v>1.64</v>
      </c>
      <c r="H927" s="15">
        <v>4.3499999999999996</v>
      </c>
      <c r="I927">
        <v>29.6</v>
      </c>
      <c r="J927">
        <v>16.5</v>
      </c>
      <c r="K927">
        <v>10.36</v>
      </c>
      <c r="L927">
        <v>1.2</v>
      </c>
      <c r="M927">
        <v>2.2599999999999998</v>
      </c>
      <c r="N927">
        <v>0.24</v>
      </c>
      <c r="O927">
        <v>2.44</v>
      </c>
      <c r="P927">
        <v>0.59</v>
      </c>
      <c r="Q927">
        <v>15</v>
      </c>
    </row>
    <row r="928" spans="1:17" x14ac:dyDescent="0.25">
      <c r="A928" s="1">
        <v>42536</v>
      </c>
      <c r="B928">
        <v>6.2</v>
      </c>
      <c r="C928">
        <v>148.80000000000001</v>
      </c>
      <c r="D928">
        <v>3.0339999999999998</v>
      </c>
      <c r="E928">
        <v>10.98</v>
      </c>
      <c r="F928">
        <v>6</v>
      </c>
      <c r="G928">
        <v>1.63</v>
      </c>
      <c r="H928" s="15">
        <v>4.53</v>
      </c>
      <c r="I928">
        <v>30.51</v>
      </c>
      <c r="J928">
        <v>16.899999999999999</v>
      </c>
      <c r="K928">
        <v>10.35</v>
      </c>
      <c r="L928">
        <v>1.23</v>
      </c>
      <c r="M928">
        <v>2.25</v>
      </c>
      <c r="N928">
        <v>0.24099999999999999</v>
      </c>
      <c r="O928">
        <v>2.58</v>
      </c>
      <c r="P928">
        <v>0.6</v>
      </c>
      <c r="Q928">
        <v>15</v>
      </c>
    </row>
    <row r="929" spans="1:17" x14ac:dyDescent="0.25">
      <c r="A929" s="1">
        <v>42537</v>
      </c>
      <c r="B929">
        <v>6.1</v>
      </c>
      <c r="C929">
        <v>149</v>
      </c>
      <c r="D929">
        <v>3.0259999999999998</v>
      </c>
      <c r="E929">
        <v>10.85</v>
      </c>
      <c r="F929">
        <v>5.9</v>
      </c>
      <c r="G929">
        <v>1.6</v>
      </c>
      <c r="H929" s="15">
        <v>4.4000000000000004</v>
      </c>
      <c r="I929">
        <v>30.25</v>
      </c>
      <c r="J929">
        <v>16.5</v>
      </c>
      <c r="K929">
        <v>10.4</v>
      </c>
      <c r="L929">
        <v>1.19</v>
      </c>
      <c r="M929">
        <v>2.1800000000000002</v>
      </c>
      <c r="N929">
        <v>0.23300000000000001</v>
      </c>
      <c r="O929">
        <v>2.59</v>
      </c>
      <c r="P929">
        <v>0.59</v>
      </c>
      <c r="Q929">
        <v>15</v>
      </c>
    </row>
    <row r="930" spans="1:17" x14ac:dyDescent="0.25">
      <c r="A930" s="1">
        <v>42538</v>
      </c>
      <c r="B930">
        <v>6.15</v>
      </c>
      <c r="C930">
        <v>151</v>
      </c>
      <c r="D930">
        <v>3.0339999999999998</v>
      </c>
      <c r="E930">
        <v>10.65</v>
      </c>
      <c r="F930">
        <v>5.85</v>
      </c>
      <c r="G930">
        <v>1.65</v>
      </c>
      <c r="H930" s="15">
        <v>4.5</v>
      </c>
      <c r="I930">
        <v>30.5</v>
      </c>
      <c r="J930" t="e">
        <v>#N/A</v>
      </c>
      <c r="K930">
        <v>10.42</v>
      </c>
      <c r="L930">
        <v>1.19</v>
      </c>
      <c r="M930">
        <v>2.1800000000000002</v>
      </c>
      <c r="N930">
        <v>0.23200000000000001</v>
      </c>
      <c r="O930">
        <v>2.6</v>
      </c>
      <c r="P930">
        <v>0.57999999999999996</v>
      </c>
      <c r="Q930">
        <v>14</v>
      </c>
    </row>
    <row r="931" spans="1:17" x14ac:dyDescent="0.25">
      <c r="A931" s="1">
        <v>42541</v>
      </c>
      <c r="B931">
        <v>6.14</v>
      </c>
      <c r="C931">
        <v>151.5</v>
      </c>
      <c r="D931">
        <v>3.008</v>
      </c>
      <c r="E931">
        <v>10.81</v>
      </c>
      <c r="F931">
        <v>5.8</v>
      </c>
      <c r="G931">
        <v>1.64</v>
      </c>
      <c r="H931" s="15">
        <v>4.45</v>
      </c>
      <c r="I931">
        <v>30.5</v>
      </c>
      <c r="J931">
        <v>16.5</v>
      </c>
      <c r="K931">
        <v>10.42</v>
      </c>
      <c r="L931">
        <v>1.19</v>
      </c>
      <c r="M931">
        <v>2.1800000000000002</v>
      </c>
      <c r="N931">
        <v>0.22500000000000001</v>
      </c>
      <c r="O931">
        <v>2.6</v>
      </c>
      <c r="P931">
        <v>0.57999999999999996</v>
      </c>
      <c r="Q931">
        <v>15</v>
      </c>
    </row>
    <row r="932" spans="1:17" x14ac:dyDescent="0.25">
      <c r="A932" s="1">
        <v>42542</v>
      </c>
      <c r="B932">
        <v>6.15</v>
      </c>
      <c r="C932">
        <v>152</v>
      </c>
      <c r="D932">
        <v>3.008</v>
      </c>
      <c r="E932">
        <v>10.7</v>
      </c>
      <c r="F932">
        <v>5.8</v>
      </c>
      <c r="G932">
        <v>1.64</v>
      </c>
      <c r="H932" s="15">
        <v>4.5</v>
      </c>
      <c r="I932">
        <v>30.35</v>
      </c>
      <c r="J932">
        <v>16.600000000000001</v>
      </c>
      <c r="K932">
        <v>10.49</v>
      </c>
      <c r="L932">
        <v>1.19</v>
      </c>
      <c r="M932">
        <v>2.1800000000000002</v>
      </c>
      <c r="N932">
        <v>0.23</v>
      </c>
      <c r="O932">
        <v>2.5499999999999998</v>
      </c>
      <c r="P932">
        <v>0.56000000000000005</v>
      </c>
      <c r="Q932">
        <v>15</v>
      </c>
    </row>
    <row r="933" spans="1:17" x14ac:dyDescent="0.25">
      <c r="A933" s="1">
        <v>42543</v>
      </c>
      <c r="B933">
        <v>6.3</v>
      </c>
      <c r="C933">
        <v>150.80000000000001</v>
      </c>
      <c r="D933">
        <v>3.0339999999999998</v>
      </c>
      <c r="E933">
        <v>10.6</v>
      </c>
      <c r="F933">
        <v>5.75</v>
      </c>
      <c r="G933">
        <v>1.6</v>
      </c>
      <c r="H933" s="15">
        <v>4.55</v>
      </c>
      <c r="I933">
        <v>30</v>
      </c>
      <c r="J933">
        <v>16.899999999999999</v>
      </c>
      <c r="K933">
        <v>10.49</v>
      </c>
      <c r="L933">
        <v>1.19</v>
      </c>
      <c r="M933">
        <v>2.1800000000000002</v>
      </c>
      <c r="N933">
        <v>0.23</v>
      </c>
      <c r="O933" t="e">
        <v>#N/A</v>
      </c>
      <c r="P933">
        <v>0.56000000000000005</v>
      </c>
      <c r="Q933">
        <v>14</v>
      </c>
    </row>
    <row r="934" spans="1:17" x14ac:dyDescent="0.25">
      <c r="A934" s="1">
        <v>42544</v>
      </c>
      <c r="B934">
        <v>6.35</v>
      </c>
      <c r="C934">
        <v>152.55000000000001</v>
      </c>
      <c r="D934">
        <v>3.052</v>
      </c>
      <c r="E934">
        <v>10.9</v>
      </c>
      <c r="F934">
        <v>5.82</v>
      </c>
      <c r="G934">
        <v>1.6</v>
      </c>
      <c r="H934" s="15">
        <v>4.7</v>
      </c>
      <c r="I934">
        <v>29.77</v>
      </c>
      <c r="J934">
        <v>16.8</v>
      </c>
      <c r="K934">
        <v>10.53</v>
      </c>
      <c r="L934">
        <v>1.21</v>
      </c>
      <c r="M934">
        <v>2.16</v>
      </c>
      <c r="N934">
        <v>0.245</v>
      </c>
      <c r="O934">
        <v>2.5499999999999998</v>
      </c>
      <c r="P934">
        <v>0.59</v>
      </c>
      <c r="Q934">
        <v>15</v>
      </c>
    </row>
    <row r="935" spans="1:17" x14ac:dyDescent="0.25">
      <c r="A935" s="1">
        <v>42545</v>
      </c>
      <c r="B935">
        <v>6.25</v>
      </c>
      <c r="C935">
        <v>146.9</v>
      </c>
      <c r="D935" t="e">
        <v>#N/A</v>
      </c>
      <c r="E935">
        <v>11.32</v>
      </c>
      <c r="F935">
        <v>5.73</v>
      </c>
      <c r="G935">
        <v>1.55</v>
      </c>
      <c r="H935" s="15">
        <v>4.55</v>
      </c>
      <c r="I935">
        <v>28.7</v>
      </c>
      <c r="J935">
        <v>16.28</v>
      </c>
      <c r="K935">
        <v>10.53</v>
      </c>
      <c r="L935">
        <v>1.2</v>
      </c>
      <c r="M935">
        <v>2.09</v>
      </c>
      <c r="N935">
        <v>0.23100000000000001</v>
      </c>
      <c r="O935">
        <v>2.5499999999999998</v>
      </c>
      <c r="P935">
        <v>0.56000000000000005</v>
      </c>
      <c r="Q935">
        <v>14</v>
      </c>
    </row>
    <row r="936" spans="1:17" x14ac:dyDescent="0.25">
      <c r="A936" s="1">
        <v>42548</v>
      </c>
      <c r="B936">
        <v>6.25</v>
      </c>
      <c r="C936">
        <v>144.43</v>
      </c>
      <c r="D936">
        <v>3.0169999999999999</v>
      </c>
      <c r="E936">
        <v>11.3</v>
      </c>
      <c r="F936">
        <v>5.68</v>
      </c>
      <c r="G936">
        <v>1.53</v>
      </c>
      <c r="H936" s="15">
        <v>4.41</v>
      </c>
      <c r="I936">
        <v>29.07</v>
      </c>
      <c r="J936">
        <v>16.34</v>
      </c>
      <c r="K936">
        <v>10.3</v>
      </c>
      <c r="L936">
        <v>1.17</v>
      </c>
      <c r="M936">
        <v>2.0699999999999998</v>
      </c>
      <c r="N936">
        <v>0.22800000000000001</v>
      </c>
      <c r="O936">
        <v>2.48</v>
      </c>
      <c r="P936">
        <v>0.55000000000000004</v>
      </c>
      <c r="Q936">
        <v>15</v>
      </c>
    </row>
    <row r="937" spans="1:17" x14ac:dyDescent="0.25">
      <c r="A937" s="1">
        <v>42549</v>
      </c>
      <c r="B937">
        <v>6.27</v>
      </c>
      <c r="C937">
        <v>149.55000000000001</v>
      </c>
      <c r="D937">
        <v>2.9039999999999999</v>
      </c>
      <c r="E937">
        <v>11.5</v>
      </c>
      <c r="F937">
        <v>5.65</v>
      </c>
      <c r="G937">
        <v>1.51</v>
      </c>
      <c r="H937" s="15">
        <v>4.5</v>
      </c>
      <c r="I937">
        <v>29.5</v>
      </c>
      <c r="J937">
        <v>16.34</v>
      </c>
      <c r="K937">
        <v>10.5</v>
      </c>
      <c r="L937">
        <v>1.18</v>
      </c>
      <c r="M937">
        <v>2.06</v>
      </c>
      <c r="N937">
        <v>0.23</v>
      </c>
      <c r="O937">
        <v>2.5</v>
      </c>
      <c r="P937">
        <v>0.56000000000000005</v>
      </c>
      <c r="Q937">
        <v>15</v>
      </c>
    </row>
    <row r="938" spans="1:17" x14ac:dyDescent="0.25">
      <c r="A938" s="1">
        <v>42551</v>
      </c>
      <c r="B938">
        <v>6.45</v>
      </c>
      <c r="C938">
        <v>154.1</v>
      </c>
      <c r="D938">
        <v>2.9129999999999998</v>
      </c>
      <c r="E938">
        <v>11.9</v>
      </c>
      <c r="F938">
        <v>5.87</v>
      </c>
      <c r="G938">
        <v>1.56</v>
      </c>
      <c r="H938" s="15">
        <v>4.6399999999999997</v>
      </c>
      <c r="I938">
        <v>30</v>
      </c>
      <c r="J938">
        <v>16.600000000000001</v>
      </c>
      <c r="K938">
        <v>10.51</v>
      </c>
      <c r="L938" t="e">
        <v>#N/A</v>
      </c>
      <c r="M938">
        <v>2.14</v>
      </c>
      <c r="N938">
        <v>0.23599999999999999</v>
      </c>
      <c r="O938">
        <v>2.5299999999999998</v>
      </c>
      <c r="P938">
        <v>0.6</v>
      </c>
      <c r="Q938">
        <v>14</v>
      </c>
    </row>
    <row r="939" spans="1:17" x14ac:dyDescent="0.25">
      <c r="A939" s="1">
        <v>42552</v>
      </c>
      <c r="B939">
        <v>6.45</v>
      </c>
      <c r="C939">
        <v>154</v>
      </c>
      <c r="D939">
        <v>3.0339999999999998</v>
      </c>
      <c r="E939">
        <v>12.4</v>
      </c>
      <c r="F939">
        <v>5.8</v>
      </c>
      <c r="G939">
        <v>1.56</v>
      </c>
      <c r="H939" s="15">
        <v>4.76</v>
      </c>
      <c r="I939">
        <v>30</v>
      </c>
      <c r="J939">
        <v>17</v>
      </c>
      <c r="K939">
        <v>10.6</v>
      </c>
      <c r="L939">
        <v>1.18</v>
      </c>
      <c r="M939">
        <v>2.19</v>
      </c>
      <c r="N939">
        <v>0.245</v>
      </c>
      <c r="O939">
        <v>2.5</v>
      </c>
      <c r="P939">
        <v>0.63</v>
      </c>
      <c r="Q939">
        <v>15</v>
      </c>
    </row>
    <row r="940" spans="1:17" x14ac:dyDescent="0.25">
      <c r="A940" s="1">
        <v>42555</v>
      </c>
      <c r="B940">
        <v>6.45</v>
      </c>
      <c r="C940" t="e">
        <v>#N/A</v>
      </c>
      <c r="D940">
        <v>3.0339999999999998</v>
      </c>
      <c r="E940">
        <v>12.6</v>
      </c>
      <c r="F940">
        <v>5.82</v>
      </c>
      <c r="G940">
        <v>1.55</v>
      </c>
      <c r="H940" s="15">
        <v>4.76</v>
      </c>
      <c r="I940" t="e">
        <v>#N/A</v>
      </c>
      <c r="J940" t="e">
        <v>#N/A</v>
      </c>
      <c r="K940">
        <v>10.61</v>
      </c>
      <c r="L940">
        <v>1.24</v>
      </c>
      <c r="M940">
        <v>2.2599999999999998</v>
      </c>
      <c r="N940">
        <v>0.24399999999999999</v>
      </c>
      <c r="O940">
        <v>2.5</v>
      </c>
      <c r="P940">
        <v>0.66</v>
      </c>
      <c r="Q940">
        <v>12</v>
      </c>
    </row>
    <row r="941" spans="1:17" x14ac:dyDescent="0.25">
      <c r="A941" s="1">
        <v>42556</v>
      </c>
      <c r="B941">
        <v>6.43</v>
      </c>
      <c r="C941">
        <v>150.30000000000001</v>
      </c>
      <c r="D941">
        <v>3.0339999999999998</v>
      </c>
      <c r="E941">
        <v>12.19</v>
      </c>
      <c r="F941">
        <v>5.76</v>
      </c>
      <c r="G941">
        <v>1.52</v>
      </c>
      <c r="H941" s="15">
        <v>4.7</v>
      </c>
      <c r="I941">
        <v>29.5</v>
      </c>
      <c r="J941">
        <v>17</v>
      </c>
      <c r="K941">
        <v>10.61</v>
      </c>
      <c r="L941">
        <v>1.23</v>
      </c>
      <c r="M941" t="e">
        <v>#N/A</v>
      </c>
      <c r="N941">
        <v>0.24</v>
      </c>
      <c r="O941">
        <v>2.52</v>
      </c>
      <c r="P941">
        <v>0.65</v>
      </c>
      <c r="Q941">
        <v>14</v>
      </c>
    </row>
    <row r="942" spans="1:17" x14ac:dyDescent="0.25">
      <c r="A942" s="1">
        <v>42557</v>
      </c>
      <c r="B942">
        <v>6.35</v>
      </c>
      <c r="C942">
        <v>150</v>
      </c>
      <c r="D942">
        <v>3.0339999999999998</v>
      </c>
      <c r="E942">
        <v>12.86</v>
      </c>
      <c r="F942">
        <v>5.7</v>
      </c>
      <c r="G942">
        <v>1.49</v>
      </c>
      <c r="H942" s="15">
        <v>4.7</v>
      </c>
      <c r="I942">
        <v>29</v>
      </c>
      <c r="J942">
        <v>17</v>
      </c>
      <c r="K942">
        <v>10.61</v>
      </c>
      <c r="L942">
        <v>1.19</v>
      </c>
      <c r="M942">
        <v>2.2000000000000002</v>
      </c>
      <c r="N942">
        <v>0.23599999999999999</v>
      </c>
      <c r="O942">
        <v>2.5499999999999998</v>
      </c>
      <c r="P942">
        <v>0.65</v>
      </c>
      <c r="Q942">
        <v>15</v>
      </c>
    </row>
    <row r="943" spans="1:17" x14ac:dyDescent="0.25">
      <c r="A943" s="1">
        <v>42558</v>
      </c>
      <c r="B943" t="e">
        <v>#N/A</v>
      </c>
      <c r="C943">
        <v>150.6</v>
      </c>
      <c r="D943">
        <v>3.052</v>
      </c>
      <c r="E943">
        <v>12.4</v>
      </c>
      <c r="F943">
        <v>5.7</v>
      </c>
      <c r="G943">
        <v>1.54</v>
      </c>
      <c r="H943" s="15">
        <v>4.6399999999999997</v>
      </c>
      <c r="I943">
        <v>29</v>
      </c>
      <c r="J943" t="e">
        <v>#N/A</v>
      </c>
      <c r="K943">
        <v>10.62</v>
      </c>
      <c r="L943">
        <v>1.22</v>
      </c>
      <c r="M943">
        <v>2.2000000000000002</v>
      </c>
      <c r="N943">
        <v>0.23799999999999999</v>
      </c>
      <c r="O943">
        <v>2.5499999999999998</v>
      </c>
      <c r="P943">
        <v>0.65</v>
      </c>
      <c r="Q943">
        <v>13</v>
      </c>
    </row>
    <row r="944" spans="1:17" x14ac:dyDescent="0.25">
      <c r="A944" s="1">
        <v>42559</v>
      </c>
      <c r="B944">
        <v>6.42</v>
      </c>
      <c r="C944">
        <v>156.5</v>
      </c>
      <c r="D944">
        <v>3.1640000000000001</v>
      </c>
      <c r="E944">
        <v>12.95</v>
      </c>
      <c r="F944">
        <v>5.78</v>
      </c>
      <c r="G944">
        <v>1.6</v>
      </c>
      <c r="H944" s="15">
        <v>4.6900000000000004</v>
      </c>
      <c r="I944">
        <v>29.05</v>
      </c>
      <c r="J944">
        <v>17</v>
      </c>
      <c r="K944">
        <v>10.62</v>
      </c>
      <c r="L944">
        <v>1.25</v>
      </c>
      <c r="M944">
        <v>2.2000000000000002</v>
      </c>
      <c r="N944">
        <v>0.24</v>
      </c>
      <c r="O944">
        <v>2.5499999999999998</v>
      </c>
      <c r="P944">
        <v>0.66</v>
      </c>
      <c r="Q944">
        <v>15</v>
      </c>
    </row>
    <row r="945" spans="1:17" x14ac:dyDescent="0.25">
      <c r="A945" s="1">
        <v>42562</v>
      </c>
      <c r="B945">
        <v>6.45</v>
      </c>
      <c r="C945">
        <v>157.12</v>
      </c>
      <c r="D945">
        <v>3.173</v>
      </c>
      <c r="E945">
        <v>13</v>
      </c>
      <c r="F945">
        <v>5.92</v>
      </c>
      <c r="G945">
        <v>1.6</v>
      </c>
      <c r="H945" s="15">
        <v>4.7</v>
      </c>
      <c r="I945">
        <v>29.5</v>
      </c>
      <c r="J945">
        <v>17</v>
      </c>
      <c r="K945">
        <v>10.85</v>
      </c>
      <c r="L945">
        <v>1.25</v>
      </c>
      <c r="M945">
        <v>2.19</v>
      </c>
      <c r="N945">
        <v>0.24</v>
      </c>
      <c r="O945">
        <v>2.5499999999999998</v>
      </c>
      <c r="P945">
        <v>0.64700000000000002</v>
      </c>
      <c r="Q945">
        <v>15</v>
      </c>
    </row>
    <row r="946" spans="1:17" x14ac:dyDescent="0.25">
      <c r="A946" s="1">
        <v>42563</v>
      </c>
      <c r="B946">
        <v>6.46</v>
      </c>
      <c r="C946">
        <v>155.5</v>
      </c>
      <c r="D946">
        <v>3.2080000000000002</v>
      </c>
      <c r="E946">
        <v>12.68</v>
      </c>
      <c r="F946">
        <v>6</v>
      </c>
      <c r="G946">
        <v>1.63</v>
      </c>
      <c r="H946" s="15">
        <v>4.9400000000000004</v>
      </c>
      <c r="I946">
        <v>30</v>
      </c>
      <c r="J946">
        <v>17</v>
      </c>
      <c r="K946">
        <v>10.87</v>
      </c>
      <c r="L946">
        <v>1.3</v>
      </c>
      <c r="M946">
        <v>2.2400000000000002</v>
      </c>
      <c r="N946">
        <v>0.245</v>
      </c>
      <c r="O946">
        <v>2.63</v>
      </c>
      <c r="P946">
        <v>0.66700000000000004</v>
      </c>
      <c r="Q946">
        <v>15</v>
      </c>
    </row>
    <row r="947" spans="1:17" x14ac:dyDescent="0.25">
      <c r="A947" s="1">
        <v>42564</v>
      </c>
      <c r="B947">
        <v>6.46</v>
      </c>
      <c r="C947">
        <v>158.6</v>
      </c>
      <c r="D947">
        <v>3.1989999999999998</v>
      </c>
      <c r="E947">
        <v>12.71</v>
      </c>
      <c r="F947">
        <v>6.05</v>
      </c>
      <c r="G947">
        <v>1.65</v>
      </c>
      <c r="H947" s="15">
        <v>4.93</v>
      </c>
      <c r="I947">
        <v>30.01</v>
      </c>
      <c r="J947">
        <v>17.3</v>
      </c>
      <c r="K947">
        <v>10.88</v>
      </c>
      <c r="L947">
        <v>1.32</v>
      </c>
      <c r="M947">
        <v>2.2000000000000002</v>
      </c>
      <c r="N947">
        <v>0.245</v>
      </c>
      <c r="O947" t="e">
        <v>#N/A</v>
      </c>
      <c r="P947">
        <v>0.65700000000000003</v>
      </c>
      <c r="Q947">
        <v>14</v>
      </c>
    </row>
    <row r="948" spans="1:17" x14ac:dyDescent="0.25">
      <c r="A948" s="1">
        <v>42565</v>
      </c>
      <c r="B948">
        <v>6.48</v>
      </c>
      <c r="C948">
        <v>158.55000000000001</v>
      </c>
      <c r="D948">
        <v>3.19</v>
      </c>
      <c r="E948">
        <v>12.7</v>
      </c>
      <c r="F948">
        <v>6.05</v>
      </c>
      <c r="G948">
        <v>1.67</v>
      </c>
      <c r="H948" s="15">
        <v>4.9400000000000004</v>
      </c>
      <c r="I948">
        <v>31</v>
      </c>
      <c r="J948">
        <v>17.399999999999999</v>
      </c>
      <c r="K948" t="e">
        <v>#N/A</v>
      </c>
      <c r="L948">
        <v>1.37</v>
      </c>
      <c r="M948">
        <v>2.29</v>
      </c>
      <c r="N948">
        <v>0.26800000000000002</v>
      </c>
      <c r="O948">
        <v>2.7</v>
      </c>
      <c r="P948">
        <v>0.65700000000000003</v>
      </c>
      <c r="Q948">
        <v>14</v>
      </c>
    </row>
    <row r="949" spans="1:17" x14ac:dyDescent="0.25">
      <c r="A949" s="1">
        <v>42566</v>
      </c>
      <c r="B949">
        <v>6.5</v>
      </c>
      <c r="C949">
        <v>156.1</v>
      </c>
      <c r="D949">
        <v>3.19</v>
      </c>
      <c r="E949">
        <v>12.65</v>
      </c>
      <c r="F949">
        <v>6.03</v>
      </c>
      <c r="G949">
        <v>1.67</v>
      </c>
      <c r="H949" s="15">
        <v>5</v>
      </c>
      <c r="I949">
        <v>31</v>
      </c>
      <c r="J949">
        <v>18</v>
      </c>
      <c r="K949">
        <v>10.88</v>
      </c>
      <c r="L949">
        <v>1.35</v>
      </c>
      <c r="M949">
        <v>2.27</v>
      </c>
      <c r="N949">
        <v>0.26800000000000002</v>
      </c>
      <c r="O949">
        <v>2.71</v>
      </c>
      <c r="P949">
        <v>0.67700000000000005</v>
      </c>
      <c r="Q949">
        <v>15</v>
      </c>
    </row>
    <row r="950" spans="1:17" x14ac:dyDescent="0.25">
      <c r="A950" s="1">
        <v>42569</v>
      </c>
      <c r="B950">
        <v>6.7</v>
      </c>
      <c r="C950">
        <v>158.22</v>
      </c>
      <c r="D950">
        <v>3.2509999999999999</v>
      </c>
      <c r="E950">
        <v>12.75</v>
      </c>
      <c r="F950">
        <v>6.15</v>
      </c>
      <c r="G950">
        <v>1.7</v>
      </c>
      <c r="H950" s="15">
        <v>5.15</v>
      </c>
      <c r="I950">
        <v>31</v>
      </c>
      <c r="J950" t="e">
        <v>#N/A</v>
      </c>
      <c r="K950">
        <v>10.91</v>
      </c>
      <c r="L950">
        <v>1.33</v>
      </c>
      <c r="M950">
        <v>2.25</v>
      </c>
      <c r="N950">
        <v>0.27500000000000002</v>
      </c>
      <c r="O950">
        <v>2.85</v>
      </c>
      <c r="P950">
        <v>0.66700000000000004</v>
      </c>
      <c r="Q950">
        <v>14</v>
      </c>
    </row>
    <row r="951" spans="1:17" x14ac:dyDescent="0.25">
      <c r="A951" s="1">
        <v>42570</v>
      </c>
      <c r="B951">
        <v>6.76</v>
      </c>
      <c r="C951">
        <v>158.4</v>
      </c>
      <c r="D951">
        <v>3.2080000000000002</v>
      </c>
      <c r="E951">
        <v>12.55</v>
      </c>
      <c r="F951">
        <v>6.21</v>
      </c>
      <c r="G951">
        <v>1.68</v>
      </c>
      <c r="H951" s="15">
        <v>5.0999999999999996</v>
      </c>
      <c r="I951">
        <v>30.99</v>
      </c>
      <c r="J951">
        <v>17.5</v>
      </c>
      <c r="K951">
        <v>10.92</v>
      </c>
      <c r="L951">
        <v>1.33</v>
      </c>
      <c r="M951">
        <v>2.25</v>
      </c>
      <c r="N951">
        <v>0.27200000000000002</v>
      </c>
      <c r="O951">
        <v>2.85</v>
      </c>
      <c r="P951">
        <v>0.67700000000000005</v>
      </c>
      <c r="Q951">
        <v>15</v>
      </c>
    </row>
    <row r="952" spans="1:17" x14ac:dyDescent="0.25">
      <c r="A952" s="1">
        <v>42571</v>
      </c>
      <c r="B952">
        <v>7</v>
      </c>
      <c r="C952">
        <v>158.69999999999999</v>
      </c>
      <c r="D952">
        <v>3.13</v>
      </c>
      <c r="E952">
        <v>12.34</v>
      </c>
      <c r="F952">
        <v>6.15</v>
      </c>
      <c r="G952">
        <v>1.69</v>
      </c>
      <c r="H952" s="15">
        <v>5</v>
      </c>
      <c r="I952" t="e">
        <v>#N/A</v>
      </c>
      <c r="J952">
        <v>17.600000000000001</v>
      </c>
      <c r="K952">
        <v>11.15</v>
      </c>
      <c r="L952">
        <v>1.27</v>
      </c>
      <c r="M952">
        <v>2.25</v>
      </c>
      <c r="N952">
        <v>0.27</v>
      </c>
      <c r="O952">
        <v>2.8</v>
      </c>
      <c r="P952">
        <v>0.65</v>
      </c>
      <c r="Q952">
        <v>14</v>
      </c>
    </row>
    <row r="953" spans="1:17" x14ac:dyDescent="0.25">
      <c r="A953" s="1">
        <v>42572</v>
      </c>
      <c r="B953">
        <v>7.16</v>
      </c>
      <c r="C953">
        <v>159.80000000000001</v>
      </c>
      <c r="D953">
        <v>3.1379999999999999</v>
      </c>
      <c r="E953">
        <v>12.83</v>
      </c>
      <c r="F953">
        <v>6.1</v>
      </c>
      <c r="G953">
        <v>1.63</v>
      </c>
      <c r="H953" s="15">
        <v>5</v>
      </c>
      <c r="I953">
        <v>30.7</v>
      </c>
      <c r="J953">
        <v>18</v>
      </c>
      <c r="K953">
        <v>11.2</v>
      </c>
      <c r="L953">
        <v>1.28</v>
      </c>
      <c r="M953">
        <v>2.25</v>
      </c>
      <c r="N953">
        <v>0.26300000000000001</v>
      </c>
      <c r="O953">
        <v>2.8</v>
      </c>
      <c r="P953">
        <v>0.68</v>
      </c>
      <c r="Q953">
        <v>15</v>
      </c>
    </row>
    <row r="954" spans="1:17" x14ac:dyDescent="0.25">
      <c r="A954" s="1">
        <v>42573</v>
      </c>
      <c r="B954">
        <v>7.15</v>
      </c>
      <c r="C954">
        <v>162.01</v>
      </c>
      <c r="D954">
        <v>3.1379999999999999</v>
      </c>
      <c r="E954">
        <v>12.7</v>
      </c>
      <c r="F954">
        <v>6.09</v>
      </c>
      <c r="G954">
        <v>1.6</v>
      </c>
      <c r="H954" s="15">
        <v>5</v>
      </c>
      <c r="I954">
        <v>30.15</v>
      </c>
      <c r="J954">
        <v>17.87</v>
      </c>
      <c r="K954">
        <v>11.22</v>
      </c>
      <c r="L954">
        <v>1.3</v>
      </c>
      <c r="M954">
        <v>2.25</v>
      </c>
      <c r="N954">
        <v>0.25700000000000001</v>
      </c>
      <c r="O954">
        <v>2.77</v>
      </c>
      <c r="P954">
        <v>0.66</v>
      </c>
      <c r="Q954">
        <v>15</v>
      </c>
    </row>
    <row r="955" spans="1:17" x14ac:dyDescent="0.25">
      <c r="A955" s="1">
        <v>42576</v>
      </c>
      <c r="B955">
        <v>7.16</v>
      </c>
      <c r="C955">
        <v>160.6</v>
      </c>
      <c r="D955">
        <v>3.1469999999999998</v>
      </c>
      <c r="E955">
        <v>12.25</v>
      </c>
      <c r="F955">
        <v>6.1</v>
      </c>
      <c r="G955">
        <v>1.6</v>
      </c>
      <c r="H955" s="15">
        <v>4.95</v>
      </c>
      <c r="I955">
        <v>30.05</v>
      </c>
      <c r="J955" t="e">
        <v>#N/A</v>
      </c>
      <c r="K955">
        <v>11.3</v>
      </c>
      <c r="L955">
        <v>1.3</v>
      </c>
      <c r="M955">
        <v>2.25</v>
      </c>
      <c r="N955">
        <v>0.251</v>
      </c>
      <c r="O955">
        <v>2.7</v>
      </c>
      <c r="P955">
        <v>0.66</v>
      </c>
      <c r="Q955">
        <v>14</v>
      </c>
    </row>
    <row r="956" spans="1:17" x14ac:dyDescent="0.25">
      <c r="A956" s="1">
        <v>42577</v>
      </c>
      <c r="B956">
        <v>7.15</v>
      </c>
      <c r="C956">
        <v>162</v>
      </c>
      <c r="D956">
        <v>3.1640000000000001</v>
      </c>
      <c r="E956">
        <v>12.77</v>
      </c>
      <c r="F956">
        <v>6.09</v>
      </c>
      <c r="G956">
        <v>1.62</v>
      </c>
      <c r="H956" s="15">
        <v>5.0999999999999996</v>
      </c>
      <c r="I956">
        <v>30.15</v>
      </c>
      <c r="J956">
        <v>18</v>
      </c>
      <c r="K956">
        <v>11.4</v>
      </c>
      <c r="L956">
        <v>1.3</v>
      </c>
      <c r="M956">
        <v>2.4</v>
      </c>
      <c r="N956">
        <v>0.255</v>
      </c>
      <c r="O956">
        <v>2.75</v>
      </c>
      <c r="P956">
        <v>0.67</v>
      </c>
      <c r="Q956">
        <v>15</v>
      </c>
    </row>
    <row r="957" spans="1:17" x14ac:dyDescent="0.25">
      <c r="A957" s="1">
        <v>42578</v>
      </c>
      <c r="B957">
        <v>7.5</v>
      </c>
      <c r="C957">
        <v>161.1</v>
      </c>
      <c r="D957">
        <v>3.2509999999999999</v>
      </c>
      <c r="E957">
        <v>13.9</v>
      </c>
      <c r="F957">
        <v>6.15</v>
      </c>
      <c r="G957">
        <v>1.63</v>
      </c>
      <c r="H957" s="15">
        <v>5.23</v>
      </c>
      <c r="I957">
        <v>32.5</v>
      </c>
      <c r="J957">
        <v>18.100000000000001</v>
      </c>
      <c r="K957">
        <v>11.4</v>
      </c>
      <c r="L957">
        <v>1.33</v>
      </c>
      <c r="M957">
        <v>2.37</v>
      </c>
      <c r="N957">
        <v>0.26800000000000002</v>
      </c>
      <c r="O957">
        <v>2.8</v>
      </c>
      <c r="P957">
        <v>0.67</v>
      </c>
      <c r="Q957">
        <v>15</v>
      </c>
    </row>
    <row r="958" spans="1:17" x14ac:dyDescent="0.25">
      <c r="A958" s="1">
        <v>42583</v>
      </c>
      <c r="B958">
        <v>7.8</v>
      </c>
      <c r="C958">
        <v>160.80000000000001</v>
      </c>
      <c r="D958">
        <v>3.3029999999999999</v>
      </c>
      <c r="E958">
        <v>14.82</v>
      </c>
      <c r="F958">
        <v>6.13</v>
      </c>
      <c r="G958">
        <v>1.6</v>
      </c>
      <c r="H958" s="15">
        <v>5.25</v>
      </c>
      <c r="I958">
        <v>32.5</v>
      </c>
      <c r="J958">
        <v>18.100000000000001</v>
      </c>
      <c r="K958">
        <v>11.55</v>
      </c>
      <c r="L958">
        <v>1.37</v>
      </c>
      <c r="M958">
        <v>2.52</v>
      </c>
      <c r="N958">
        <v>0.26700000000000002</v>
      </c>
      <c r="O958">
        <v>2.7869999999999999</v>
      </c>
      <c r="P958">
        <v>0.68</v>
      </c>
      <c r="Q958">
        <v>15</v>
      </c>
    </row>
    <row r="959" spans="1:17" x14ac:dyDescent="0.25">
      <c r="A959" s="1">
        <v>42584</v>
      </c>
      <c r="B959">
        <v>7.8</v>
      </c>
      <c r="C959">
        <v>157.9</v>
      </c>
      <c r="D959">
        <v>3.3029999999999999</v>
      </c>
      <c r="E959">
        <v>15.1</v>
      </c>
      <c r="F959">
        <v>6.08</v>
      </c>
      <c r="G959">
        <v>1.58</v>
      </c>
      <c r="H959" s="15">
        <v>5.25</v>
      </c>
      <c r="I959">
        <v>32.4</v>
      </c>
      <c r="J959">
        <v>18.2</v>
      </c>
      <c r="K959">
        <v>11.6</v>
      </c>
      <c r="L959">
        <v>1.31</v>
      </c>
      <c r="M959">
        <v>2.6</v>
      </c>
      <c r="N959">
        <v>0.25800000000000001</v>
      </c>
      <c r="O959">
        <v>2.8170000000000002</v>
      </c>
      <c r="P959">
        <v>0.68</v>
      </c>
      <c r="Q959">
        <v>15</v>
      </c>
    </row>
    <row r="960" spans="1:17" x14ac:dyDescent="0.25">
      <c r="A960" s="1">
        <v>42585</v>
      </c>
      <c r="B960">
        <v>7.56</v>
      </c>
      <c r="C960">
        <v>159.4</v>
      </c>
      <c r="D960">
        <v>3.2679999999999998</v>
      </c>
      <c r="E960">
        <v>15.3</v>
      </c>
      <c r="F960">
        <v>6.08</v>
      </c>
      <c r="G960">
        <v>1.6</v>
      </c>
      <c r="H960" s="15">
        <v>5.4</v>
      </c>
      <c r="I960">
        <v>31.8</v>
      </c>
      <c r="J960">
        <v>18.149999999999999</v>
      </c>
      <c r="K960">
        <v>11.68</v>
      </c>
      <c r="L960">
        <v>1.32</v>
      </c>
      <c r="M960">
        <v>2.57</v>
      </c>
      <c r="N960">
        <v>0.25800000000000001</v>
      </c>
      <c r="O960">
        <v>2.7770000000000001</v>
      </c>
      <c r="P960">
        <v>0.67</v>
      </c>
      <c r="Q960">
        <v>15</v>
      </c>
    </row>
    <row r="961" spans="1:17" x14ac:dyDescent="0.25">
      <c r="A961" s="1">
        <v>42586</v>
      </c>
      <c r="B961">
        <v>7.56</v>
      </c>
      <c r="C961">
        <v>160.1</v>
      </c>
      <c r="D961">
        <v>3.286</v>
      </c>
      <c r="E961">
        <v>15.57</v>
      </c>
      <c r="F961">
        <v>6.18</v>
      </c>
      <c r="G961">
        <v>1.6</v>
      </c>
      <c r="H961" s="15">
        <v>5.43</v>
      </c>
      <c r="I961">
        <v>31.99</v>
      </c>
      <c r="J961" t="e">
        <v>#N/A</v>
      </c>
      <c r="K961">
        <v>11.68</v>
      </c>
      <c r="L961">
        <v>1.32</v>
      </c>
      <c r="M961">
        <v>2.6</v>
      </c>
      <c r="N961">
        <v>0.255</v>
      </c>
      <c r="O961">
        <v>2.7469999999999999</v>
      </c>
      <c r="P961">
        <v>0.68</v>
      </c>
      <c r="Q961">
        <v>14</v>
      </c>
    </row>
    <row r="962" spans="1:17" x14ac:dyDescent="0.25">
      <c r="A962" s="1">
        <v>42587</v>
      </c>
      <c r="B962">
        <v>7.7</v>
      </c>
      <c r="C962">
        <v>159.5</v>
      </c>
      <c r="D962">
        <v>3.3119999999999998</v>
      </c>
      <c r="E962">
        <v>15.15</v>
      </c>
      <c r="F962">
        <v>6.11</v>
      </c>
      <c r="G962">
        <v>1.59</v>
      </c>
      <c r="H962" s="15">
        <v>5.52</v>
      </c>
      <c r="I962">
        <v>31.8</v>
      </c>
      <c r="J962">
        <v>18</v>
      </c>
      <c r="K962">
        <v>11.75</v>
      </c>
      <c r="L962">
        <v>1.33</v>
      </c>
      <c r="M962">
        <v>2.62</v>
      </c>
      <c r="N962">
        <v>0.254</v>
      </c>
      <c r="O962">
        <v>2.7869999999999999</v>
      </c>
      <c r="P962">
        <v>0.67</v>
      </c>
      <c r="Q962">
        <v>15</v>
      </c>
    </row>
    <row r="963" spans="1:17" x14ac:dyDescent="0.25">
      <c r="A963" s="1">
        <v>42590</v>
      </c>
      <c r="B963">
        <v>7.56</v>
      </c>
      <c r="C963">
        <v>159.4</v>
      </c>
      <c r="D963">
        <v>3.2770000000000001</v>
      </c>
      <c r="E963">
        <v>15.04</v>
      </c>
      <c r="F963">
        <v>6.11</v>
      </c>
      <c r="G963">
        <v>1.59</v>
      </c>
      <c r="H963" s="15">
        <v>5.54</v>
      </c>
      <c r="I963" t="e">
        <v>#N/A</v>
      </c>
      <c r="J963" t="e">
        <v>#N/A</v>
      </c>
      <c r="K963">
        <v>11.75</v>
      </c>
      <c r="L963">
        <v>1.3</v>
      </c>
      <c r="M963">
        <v>2.65</v>
      </c>
      <c r="N963">
        <v>0.254</v>
      </c>
      <c r="O963">
        <v>2.7570000000000001</v>
      </c>
      <c r="P963">
        <v>0.68</v>
      </c>
      <c r="Q963">
        <v>13</v>
      </c>
    </row>
    <row r="964" spans="1:17" x14ac:dyDescent="0.25">
      <c r="A964" s="1">
        <v>42591</v>
      </c>
      <c r="B964">
        <v>7.44</v>
      </c>
      <c r="C964">
        <v>158.01</v>
      </c>
      <c r="D964">
        <v>3.294</v>
      </c>
      <c r="E964">
        <v>15.15</v>
      </c>
      <c r="F964">
        <v>6.08</v>
      </c>
      <c r="G964">
        <v>1.58</v>
      </c>
      <c r="H964" s="15">
        <v>5.5</v>
      </c>
      <c r="I964">
        <v>31.8</v>
      </c>
      <c r="J964">
        <v>18.2</v>
      </c>
      <c r="K964">
        <v>11.9</v>
      </c>
      <c r="L964">
        <v>1.28</v>
      </c>
      <c r="M964" t="e">
        <v>#N/A</v>
      </c>
      <c r="N964">
        <v>0.255</v>
      </c>
      <c r="O964">
        <v>2.7770000000000001</v>
      </c>
      <c r="P964">
        <v>0.68</v>
      </c>
      <c r="Q964">
        <v>14</v>
      </c>
    </row>
    <row r="965" spans="1:17" x14ac:dyDescent="0.25">
      <c r="A965" s="1">
        <v>42592</v>
      </c>
      <c r="B965">
        <v>7.44</v>
      </c>
      <c r="C965">
        <v>161.56</v>
      </c>
      <c r="D965">
        <v>3.286</v>
      </c>
      <c r="E965">
        <v>15.13</v>
      </c>
      <c r="F965">
        <v>6.1</v>
      </c>
      <c r="G965">
        <v>1.58</v>
      </c>
      <c r="H965" s="15">
        <v>5.54</v>
      </c>
      <c r="I965">
        <v>31.82</v>
      </c>
      <c r="J965">
        <v>18.3</v>
      </c>
      <c r="K965">
        <v>11.75</v>
      </c>
      <c r="L965">
        <v>1.3</v>
      </c>
      <c r="M965">
        <v>2.73</v>
      </c>
      <c r="N965">
        <v>0.253</v>
      </c>
      <c r="O965">
        <v>2.8</v>
      </c>
      <c r="P965">
        <v>0.68</v>
      </c>
      <c r="Q965">
        <v>15</v>
      </c>
    </row>
    <row r="966" spans="1:17" x14ac:dyDescent="0.25">
      <c r="A966" s="1">
        <v>42593</v>
      </c>
      <c r="B966">
        <v>7.5</v>
      </c>
      <c r="C966">
        <v>163</v>
      </c>
      <c r="D966">
        <v>3.294</v>
      </c>
      <c r="E966">
        <v>15.34</v>
      </c>
      <c r="F966">
        <v>6.07</v>
      </c>
      <c r="G966">
        <v>1.57</v>
      </c>
      <c r="H966" s="15">
        <v>5.64</v>
      </c>
      <c r="I966">
        <v>31.9</v>
      </c>
      <c r="J966">
        <v>18.3</v>
      </c>
      <c r="K966">
        <v>11.74</v>
      </c>
      <c r="L966">
        <v>1.33</v>
      </c>
      <c r="M966">
        <v>2.72</v>
      </c>
      <c r="N966">
        <v>0.26</v>
      </c>
      <c r="O966">
        <v>2.8</v>
      </c>
      <c r="P966">
        <v>0.69</v>
      </c>
      <c r="Q966">
        <v>15</v>
      </c>
    </row>
    <row r="967" spans="1:17" x14ac:dyDescent="0.25">
      <c r="A967" s="1">
        <v>42594</v>
      </c>
      <c r="B967">
        <v>7.5</v>
      </c>
      <c r="C967">
        <v>158.6</v>
      </c>
      <c r="D967">
        <v>3.3380000000000001</v>
      </c>
      <c r="E967">
        <v>15.6</v>
      </c>
      <c r="F967">
        <v>6.12</v>
      </c>
      <c r="G967">
        <v>1.57</v>
      </c>
      <c r="H967" s="15">
        <v>5.7</v>
      </c>
      <c r="I967">
        <v>31.87</v>
      </c>
      <c r="J967">
        <v>18.55</v>
      </c>
      <c r="K967">
        <v>11.6</v>
      </c>
      <c r="L967">
        <v>1.33</v>
      </c>
      <c r="M967">
        <v>2.7</v>
      </c>
      <c r="N967">
        <v>0.26</v>
      </c>
      <c r="O967">
        <v>2.79</v>
      </c>
      <c r="P967">
        <v>0.68</v>
      </c>
      <c r="Q967">
        <v>15</v>
      </c>
    </row>
    <row r="968" spans="1:17" x14ac:dyDescent="0.25">
      <c r="A968" s="1">
        <v>42597</v>
      </c>
      <c r="B968">
        <v>7.6</v>
      </c>
      <c r="C968">
        <v>158.85</v>
      </c>
      <c r="D968">
        <v>3.355</v>
      </c>
      <c r="E968">
        <v>15.87</v>
      </c>
      <c r="F968">
        <v>6.14</v>
      </c>
      <c r="G968">
        <v>1.59</v>
      </c>
      <c r="H968" s="15">
        <v>5.8</v>
      </c>
      <c r="I968" t="e">
        <v>#N/A</v>
      </c>
      <c r="J968">
        <v>18.5</v>
      </c>
      <c r="K968">
        <v>11.4</v>
      </c>
      <c r="L968">
        <v>1.32</v>
      </c>
      <c r="M968" t="e">
        <v>#N/A</v>
      </c>
      <c r="N968">
        <v>0.26300000000000001</v>
      </c>
      <c r="O968">
        <v>2.77</v>
      </c>
      <c r="P968">
        <v>0.67</v>
      </c>
      <c r="Q968">
        <v>13</v>
      </c>
    </row>
    <row r="969" spans="1:17" x14ac:dyDescent="0.25">
      <c r="A969" s="1">
        <v>42598</v>
      </c>
      <c r="B969">
        <v>7.61</v>
      </c>
      <c r="C969">
        <v>157.5</v>
      </c>
      <c r="D969">
        <v>3.3380000000000001</v>
      </c>
      <c r="E969">
        <v>15.6</v>
      </c>
      <c r="F969">
        <v>6.15</v>
      </c>
      <c r="G969">
        <v>1.62</v>
      </c>
      <c r="H969" s="15">
        <v>5.8</v>
      </c>
      <c r="I969">
        <v>31.75</v>
      </c>
      <c r="J969">
        <v>18.600000000000001</v>
      </c>
      <c r="K969">
        <v>11.4</v>
      </c>
      <c r="L969">
        <v>1.32</v>
      </c>
      <c r="M969">
        <v>2.71</v>
      </c>
      <c r="N969">
        <v>0.26300000000000001</v>
      </c>
      <c r="O969">
        <v>2.79</v>
      </c>
      <c r="P969">
        <v>0.67</v>
      </c>
      <c r="Q969">
        <v>15</v>
      </c>
    </row>
    <row r="970" spans="1:17" x14ac:dyDescent="0.25">
      <c r="A970" s="1">
        <v>42599</v>
      </c>
      <c r="B970">
        <v>7.72</v>
      </c>
      <c r="C970">
        <v>156.32</v>
      </c>
      <c r="D970">
        <v>3.3639999999999999</v>
      </c>
      <c r="E970">
        <v>15.5</v>
      </c>
      <c r="F970">
        <v>6.19</v>
      </c>
      <c r="G970">
        <v>1.63</v>
      </c>
      <c r="H970" s="15">
        <v>5.82</v>
      </c>
      <c r="I970">
        <v>31.5</v>
      </c>
      <c r="J970">
        <v>18.61</v>
      </c>
      <c r="K970">
        <v>11.4</v>
      </c>
      <c r="L970">
        <v>1.32</v>
      </c>
      <c r="M970">
        <v>2.7</v>
      </c>
      <c r="N970">
        <v>0.26300000000000001</v>
      </c>
      <c r="O970">
        <v>2.79</v>
      </c>
      <c r="P970">
        <v>0.66</v>
      </c>
      <c r="Q970">
        <v>15</v>
      </c>
    </row>
    <row r="971" spans="1:17" x14ac:dyDescent="0.25">
      <c r="A971" s="1">
        <v>42600</v>
      </c>
      <c r="B971">
        <v>7.85</v>
      </c>
      <c r="C971">
        <v>156.94999999999999</v>
      </c>
      <c r="D971">
        <v>3.39</v>
      </c>
      <c r="E971">
        <v>16.27</v>
      </c>
      <c r="F971">
        <v>6.16</v>
      </c>
      <c r="G971">
        <v>1.65</v>
      </c>
      <c r="H971" s="15">
        <v>5.8</v>
      </c>
      <c r="I971" t="e">
        <v>#N/A</v>
      </c>
      <c r="J971">
        <v>18.75</v>
      </c>
      <c r="K971">
        <v>11.7</v>
      </c>
      <c r="L971">
        <v>1.32</v>
      </c>
      <c r="M971">
        <v>2.8</v>
      </c>
      <c r="N971">
        <v>0.26600000000000001</v>
      </c>
      <c r="O971">
        <v>2.85</v>
      </c>
      <c r="P971">
        <v>0.67</v>
      </c>
      <c r="Q971">
        <v>14</v>
      </c>
    </row>
    <row r="972" spans="1:17" x14ac:dyDescent="0.25">
      <c r="A972" s="1">
        <v>42601</v>
      </c>
      <c r="B972">
        <v>7.85</v>
      </c>
      <c r="C972">
        <v>159.5</v>
      </c>
      <c r="D972">
        <v>3.3380000000000001</v>
      </c>
      <c r="E972">
        <v>16</v>
      </c>
      <c r="F972">
        <v>6.14</v>
      </c>
      <c r="G972">
        <v>1.65</v>
      </c>
      <c r="H972" s="15">
        <v>5.8</v>
      </c>
      <c r="I972">
        <v>31.5</v>
      </c>
      <c r="J972" t="e">
        <v>#N/A</v>
      </c>
      <c r="K972">
        <v>11.65</v>
      </c>
      <c r="L972">
        <v>1.28</v>
      </c>
      <c r="M972">
        <v>2.8</v>
      </c>
      <c r="N972">
        <v>0.26500000000000001</v>
      </c>
      <c r="O972">
        <v>2.92</v>
      </c>
      <c r="P972">
        <v>0.66</v>
      </c>
      <c r="Q972">
        <v>14</v>
      </c>
    </row>
    <row r="973" spans="1:17" x14ac:dyDescent="0.25">
      <c r="A973" s="1">
        <v>42604</v>
      </c>
      <c r="B973" t="e">
        <v>#N/A</v>
      </c>
      <c r="C973">
        <v>159.6</v>
      </c>
      <c r="D973">
        <v>3.3380000000000001</v>
      </c>
      <c r="E973">
        <v>15.2</v>
      </c>
      <c r="F973">
        <v>6.15</v>
      </c>
      <c r="G973">
        <v>1.65</v>
      </c>
      <c r="H973" s="15">
        <v>5.69</v>
      </c>
      <c r="I973">
        <v>31.48</v>
      </c>
      <c r="J973">
        <v>18.7</v>
      </c>
      <c r="K973">
        <v>11.65</v>
      </c>
      <c r="L973">
        <v>1.29</v>
      </c>
      <c r="M973">
        <v>2.77</v>
      </c>
      <c r="N973">
        <v>0.26</v>
      </c>
      <c r="O973">
        <v>2.87</v>
      </c>
      <c r="P973">
        <v>0.65</v>
      </c>
      <c r="Q973">
        <v>14</v>
      </c>
    </row>
    <row r="974" spans="1:17" x14ac:dyDescent="0.25">
      <c r="A974" s="1">
        <v>42605</v>
      </c>
      <c r="B974">
        <v>7.8</v>
      </c>
      <c r="C974">
        <v>160.1</v>
      </c>
      <c r="D974">
        <v>3.3719999999999999</v>
      </c>
      <c r="E974">
        <v>14.43</v>
      </c>
      <c r="F974">
        <v>6.28</v>
      </c>
      <c r="G974">
        <v>1.65</v>
      </c>
      <c r="H974" s="15">
        <v>5.7</v>
      </c>
      <c r="I974">
        <v>31.48</v>
      </c>
      <c r="J974">
        <v>18.7</v>
      </c>
      <c r="K974">
        <v>11.75</v>
      </c>
      <c r="L974">
        <v>1.32</v>
      </c>
      <c r="M974">
        <v>2.75</v>
      </c>
      <c r="N974">
        <v>0.26</v>
      </c>
      <c r="O974">
        <v>2.89</v>
      </c>
      <c r="P974">
        <v>0.66</v>
      </c>
      <c r="Q974">
        <v>15</v>
      </c>
    </row>
    <row r="975" spans="1:17" x14ac:dyDescent="0.25">
      <c r="A975" s="1">
        <v>42606</v>
      </c>
      <c r="B975">
        <v>7.75</v>
      </c>
      <c r="C975">
        <v>160.55000000000001</v>
      </c>
      <c r="D975">
        <v>3.45</v>
      </c>
      <c r="E975">
        <v>13.34</v>
      </c>
      <c r="F975">
        <v>6.33</v>
      </c>
      <c r="G975">
        <v>1.69</v>
      </c>
      <c r="H975" s="15">
        <v>5.58</v>
      </c>
      <c r="I975">
        <v>31.29</v>
      </c>
      <c r="J975">
        <v>18.59</v>
      </c>
      <c r="K975">
        <v>11.72</v>
      </c>
      <c r="L975">
        <v>1.3</v>
      </c>
      <c r="M975">
        <v>2.68</v>
      </c>
      <c r="N975">
        <v>0.26</v>
      </c>
      <c r="O975">
        <v>2.89</v>
      </c>
      <c r="P975">
        <v>0.63</v>
      </c>
      <c r="Q975">
        <v>15</v>
      </c>
    </row>
    <row r="976" spans="1:17" x14ac:dyDescent="0.25">
      <c r="A976" s="1">
        <v>42607</v>
      </c>
      <c r="B976">
        <v>7.8</v>
      </c>
      <c r="C976">
        <v>160.30000000000001</v>
      </c>
      <c r="D976">
        <v>3.39</v>
      </c>
      <c r="E976">
        <v>13.36</v>
      </c>
      <c r="F976">
        <v>6.44</v>
      </c>
      <c r="G976">
        <v>1.62</v>
      </c>
      <c r="H976" s="15">
        <v>5.52</v>
      </c>
      <c r="I976">
        <v>31</v>
      </c>
      <c r="J976">
        <v>18.5</v>
      </c>
      <c r="K976">
        <v>11.76</v>
      </c>
      <c r="L976">
        <v>1.26</v>
      </c>
      <c r="M976">
        <v>2.71</v>
      </c>
      <c r="N976">
        <v>0.26200000000000001</v>
      </c>
      <c r="O976">
        <v>2.89</v>
      </c>
      <c r="P976">
        <v>0.63</v>
      </c>
      <c r="Q976">
        <v>15</v>
      </c>
    </row>
    <row r="977" spans="1:17" x14ac:dyDescent="0.25">
      <c r="A977" s="1">
        <v>42608</v>
      </c>
      <c r="B977">
        <v>7.8</v>
      </c>
      <c r="C977">
        <v>157</v>
      </c>
      <c r="D977">
        <v>3.3809999999999998</v>
      </c>
      <c r="E977">
        <v>13.4</v>
      </c>
      <c r="F977">
        <v>6.5</v>
      </c>
      <c r="G977">
        <v>1.64</v>
      </c>
      <c r="H977" s="15">
        <v>5.4</v>
      </c>
      <c r="I977">
        <v>30.98</v>
      </c>
      <c r="J977">
        <v>18.5</v>
      </c>
      <c r="K977">
        <v>11.601000000000001</v>
      </c>
      <c r="L977">
        <v>1.28</v>
      </c>
      <c r="M977">
        <v>2.2909999999999999</v>
      </c>
      <c r="N977">
        <v>0.26</v>
      </c>
      <c r="O977">
        <v>2.89</v>
      </c>
      <c r="P977">
        <v>0.63</v>
      </c>
      <c r="Q977">
        <v>15</v>
      </c>
    </row>
    <row r="978" spans="1:17" x14ac:dyDescent="0.25">
      <c r="A978" s="1">
        <v>42611</v>
      </c>
      <c r="B978">
        <v>7.7</v>
      </c>
      <c r="C978">
        <v>159</v>
      </c>
      <c r="D978">
        <v>3.3380000000000001</v>
      </c>
      <c r="E978">
        <v>13.75</v>
      </c>
      <c r="F978">
        <v>6.2519999999999998</v>
      </c>
      <c r="G978">
        <v>1.63</v>
      </c>
      <c r="H978" s="15">
        <v>5.55</v>
      </c>
      <c r="I978">
        <v>30.9</v>
      </c>
      <c r="J978">
        <v>18.600000000000001</v>
      </c>
      <c r="K978">
        <v>11.581</v>
      </c>
      <c r="L978">
        <v>1.29</v>
      </c>
      <c r="M978">
        <v>2.2989999999999999</v>
      </c>
      <c r="N978">
        <v>0.26800000000000002</v>
      </c>
      <c r="O978">
        <v>2.95</v>
      </c>
      <c r="P978">
        <v>0.62</v>
      </c>
      <c r="Q978">
        <v>15</v>
      </c>
    </row>
    <row r="979" spans="1:17" x14ac:dyDescent="0.25">
      <c r="A979" s="1">
        <v>42613</v>
      </c>
      <c r="B979">
        <v>7.5</v>
      </c>
      <c r="C979">
        <v>156</v>
      </c>
      <c r="D979">
        <v>3.3719999999999999</v>
      </c>
      <c r="E979">
        <v>12.33</v>
      </c>
      <c r="F979">
        <v>6.3479999999999999</v>
      </c>
      <c r="G979">
        <v>1.63</v>
      </c>
      <c r="H979" s="15">
        <v>5.6</v>
      </c>
      <c r="I979">
        <v>30.5</v>
      </c>
      <c r="J979">
        <v>19</v>
      </c>
      <c r="K979">
        <v>11.611000000000001</v>
      </c>
      <c r="L979">
        <v>1.23</v>
      </c>
      <c r="M979">
        <v>2.2080000000000002</v>
      </c>
      <c r="N979">
        <v>0.26100000000000001</v>
      </c>
      <c r="O979">
        <v>2.9</v>
      </c>
      <c r="P979">
        <v>0.65</v>
      </c>
      <c r="Q979">
        <v>15</v>
      </c>
    </row>
    <row r="980" spans="1:17" x14ac:dyDescent="0.25">
      <c r="A980" s="1">
        <v>42614</v>
      </c>
      <c r="B980">
        <v>7.5</v>
      </c>
      <c r="C980">
        <v>161.6</v>
      </c>
      <c r="D980">
        <v>3.32</v>
      </c>
      <c r="E980">
        <v>12.95</v>
      </c>
      <c r="F980">
        <v>6.1280000000000001</v>
      </c>
      <c r="G980">
        <v>1.62</v>
      </c>
      <c r="H980" s="15">
        <v>5.45</v>
      </c>
      <c r="I980">
        <v>30.5</v>
      </c>
      <c r="J980">
        <v>18.3</v>
      </c>
      <c r="K980">
        <v>11.433</v>
      </c>
      <c r="L980">
        <v>1.27</v>
      </c>
      <c r="M980">
        <v>2.2330000000000001</v>
      </c>
      <c r="N980">
        <v>0.26100000000000001</v>
      </c>
      <c r="O980">
        <v>2.9</v>
      </c>
      <c r="P980">
        <v>0.64</v>
      </c>
      <c r="Q980">
        <v>15</v>
      </c>
    </row>
    <row r="981" spans="1:17" x14ac:dyDescent="0.25">
      <c r="A981" s="1">
        <v>42615</v>
      </c>
      <c r="B981">
        <v>7.6</v>
      </c>
      <c r="C981">
        <v>162</v>
      </c>
      <c r="D981">
        <v>3.32</v>
      </c>
      <c r="E981">
        <v>13.9</v>
      </c>
      <c r="F981">
        <v>6.2229999999999999</v>
      </c>
      <c r="G981">
        <v>1.64</v>
      </c>
      <c r="H981" s="15">
        <v>5.55</v>
      </c>
      <c r="I981">
        <v>30.8</v>
      </c>
      <c r="J981">
        <v>18.399999999999999</v>
      </c>
      <c r="K981">
        <v>11.611000000000001</v>
      </c>
      <c r="L981">
        <v>1.3</v>
      </c>
      <c r="M981">
        <v>2.2330000000000001</v>
      </c>
      <c r="N981">
        <v>0.26500000000000001</v>
      </c>
      <c r="O981">
        <v>2.88</v>
      </c>
      <c r="P981">
        <v>0.65</v>
      </c>
      <c r="Q981">
        <v>15</v>
      </c>
    </row>
    <row r="982" spans="1:17" x14ac:dyDescent="0.25">
      <c r="A982" s="1">
        <v>42618</v>
      </c>
      <c r="B982">
        <v>7.6</v>
      </c>
      <c r="C982">
        <v>162</v>
      </c>
      <c r="D982">
        <v>3.3380000000000001</v>
      </c>
      <c r="E982">
        <v>14.09</v>
      </c>
      <c r="F982">
        <v>6.319</v>
      </c>
      <c r="G982" t="e">
        <v>#N/A</v>
      </c>
      <c r="H982" s="15">
        <v>5.55</v>
      </c>
      <c r="I982">
        <v>30.8</v>
      </c>
      <c r="J982">
        <v>18.149999999999999</v>
      </c>
      <c r="K982">
        <v>11.66</v>
      </c>
      <c r="L982">
        <v>1.31</v>
      </c>
      <c r="M982">
        <v>2.2410000000000001</v>
      </c>
      <c r="N982">
        <v>0.26800000000000002</v>
      </c>
      <c r="O982">
        <v>2.9</v>
      </c>
      <c r="P982">
        <v>0.66</v>
      </c>
      <c r="Q982">
        <v>14</v>
      </c>
    </row>
    <row r="983" spans="1:17" x14ac:dyDescent="0.25">
      <c r="A983" s="1">
        <v>42619</v>
      </c>
      <c r="B983">
        <v>7.8</v>
      </c>
      <c r="C983">
        <v>163.5</v>
      </c>
      <c r="D983">
        <v>3.3639999999999999</v>
      </c>
      <c r="E983">
        <v>14.78</v>
      </c>
      <c r="F983">
        <v>6.415</v>
      </c>
      <c r="G983">
        <v>1.65</v>
      </c>
      <c r="H983" s="15">
        <v>5.7</v>
      </c>
      <c r="I983">
        <v>31</v>
      </c>
      <c r="J983">
        <v>18.600000000000001</v>
      </c>
      <c r="K983">
        <v>11.67</v>
      </c>
      <c r="L983">
        <v>1.34</v>
      </c>
      <c r="M983">
        <v>2.2490000000000001</v>
      </c>
      <c r="N983">
        <v>0.26900000000000002</v>
      </c>
      <c r="O983">
        <v>2.87</v>
      </c>
      <c r="P983">
        <v>0.67</v>
      </c>
      <c r="Q983">
        <v>15</v>
      </c>
    </row>
    <row r="984" spans="1:17" x14ac:dyDescent="0.25">
      <c r="A984" s="1">
        <v>42620</v>
      </c>
      <c r="B984">
        <v>8</v>
      </c>
      <c r="C984">
        <v>162.94999999999999</v>
      </c>
      <c r="D984">
        <v>3.3719999999999999</v>
      </c>
      <c r="E984">
        <v>15</v>
      </c>
      <c r="F984">
        <v>6.42</v>
      </c>
      <c r="G984">
        <v>1.65</v>
      </c>
      <c r="H984" s="15">
        <v>5.83</v>
      </c>
      <c r="I984">
        <v>31.25</v>
      </c>
      <c r="J984">
        <v>18.600000000000001</v>
      </c>
      <c r="K984">
        <v>11.75</v>
      </c>
      <c r="L984">
        <v>1.31</v>
      </c>
      <c r="M984">
        <v>2.2330000000000001</v>
      </c>
      <c r="N984">
        <v>0.26500000000000001</v>
      </c>
      <c r="O984">
        <v>2.87</v>
      </c>
      <c r="P984">
        <v>0.67</v>
      </c>
      <c r="Q984">
        <v>15</v>
      </c>
    </row>
    <row r="985" spans="1:17" x14ac:dyDescent="0.25">
      <c r="A985" s="1">
        <v>42621</v>
      </c>
      <c r="B985">
        <v>7.99</v>
      </c>
      <c r="C985">
        <v>160.80000000000001</v>
      </c>
      <c r="D985">
        <v>3.3719999999999999</v>
      </c>
      <c r="E985">
        <v>15.15</v>
      </c>
      <c r="F985">
        <v>6.47</v>
      </c>
      <c r="G985">
        <v>1.65</v>
      </c>
      <c r="H985" s="15">
        <v>5.82</v>
      </c>
      <c r="I985">
        <v>31.5</v>
      </c>
      <c r="J985">
        <v>18.600000000000001</v>
      </c>
      <c r="K985">
        <v>11.75</v>
      </c>
      <c r="L985">
        <v>1.29</v>
      </c>
      <c r="M985">
        <v>2.274</v>
      </c>
      <c r="N985">
        <v>0.26900000000000002</v>
      </c>
      <c r="O985">
        <v>2.85</v>
      </c>
      <c r="P985">
        <v>0.66</v>
      </c>
      <c r="Q985">
        <v>15</v>
      </c>
    </row>
    <row r="986" spans="1:17" x14ac:dyDescent="0.25">
      <c r="A986" s="1">
        <v>42622</v>
      </c>
      <c r="B986">
        <v>7.9</v>
      </c>
      <c r="C986">
        <v>154.80000000000001</v>
      </c>
      <c r="D986">
        <v>3.3719999999999999</v>
      </c>
      <c r="E986">
        <v>14.5</v>
      </c>
      <c r="F986">
        <v>6.47</v>
      </c>
      <c r="G986">
        <v>1.64</v>
      </c>
      <c r="H986" s="15">
        <v>5.66</v>
      </c>
      <c r="I986">
        <v>31.5</v>
      </c>
      <c r="J986">
        <v>18.399999999999999</v>
      </c>
      <c r="K986">
        <v>11.73</v>
      </c>
      <c r="L986">
        <v>1.25</v>
      </c>
      <c r="M986">
        <v>2.2330000000000001</v>
      </c>
      <c r="N986">
        <v>0.26</v>
      </c>
      <c r="O986">
        <v>2.85</v>
      </c>
      <c r="P986">
        <v>0.64</v>
      </c>
      <c r="Q986">
        <v>15</v>
      </c>
    </row>
    <row r="987" spans="1:17" x14ac:dyDescent="0.25">
      <c r="A987" s="1">
        <v>42625</v>
      </c>
      <c r="B987">
        <v>8</v>
      </c>
      <c r="C987">
        <v>155</v>
      </c>
      <c r="D987">
        <v>3.3719999999999999</v>
      </c>
      <c r="E987">
        <v>14.8</v>
      </c>
      <c r="F987">
        <v>6.46</v>
      </c>
      <c r="G987">
        <v>1.59</v>
      </c>
      <c r="H987" s="15">
        <v>5.7</v>
      </c>
      <c r="I987">
        <v>31</v>
      </c>
      <c r="J987">
        <v>18.059999999999999</v>
      </c>
      <c r="K987">
        <v>11.6</v>
      </c>
      <c r="L987">
        <v>1.25</v>
      </c>
      <c r="M987">
        <v>2.1920000000000002</v>
      </c>
      <c r="N987">
        <v>0.255</v>
      </c>
      <c r="O987">
        <v>2.8</v>
      </c>
      <c r="P987">
        <v>0.64</v>
      </c>
      <c r="Q987">
        <v>15</v>
      </c>
    </row>
    <row r="988" spans="1:17" x14ac:dyDescent="0.25">
      <c r="A988" s="1">
        <v>42626</v>
      </c>
      <c r="B988">
        <v>7.9</v>
      </c>
      <c r="C988">
        <v>152.12</v>
      </c>
      <c r="D988">
        <v>3.3460000000000001</v>
      </c>
      <c r="E988">
        <v>14.17</v>
      </c>
      <c r="F988">
        <v>6.4</v>
      </c>
      <c r="G988">
        <v>1.59</v>
      </c>
      <c r="H988" s="15">
        <v>5.75</v>
      </c>
      <c r="I988">
        <v>31</v>
      </c>
      <c r="J988" t="e">
        <v>#N/A</v>
      </c>
      <c r="K988">
        <v>11.55</v>
      </c>
      <c r="L988">
        <v>1.25</v>
      </c>
      <c r="M988" t="e">
        <v>#N/A</v>
      </c>
      <c r="N988">
        <v>0.252</v>
      </c>
      <c r="O988">
        <v>2.75</v>
      </c>
      <c r="P988">
        <v>0.63</v>
      </c>
      <c r="Q988">
        <v>13</v>
      </c>
    </row>
    <row r="989" spans="1:17" x14ac:dyDescent="0.25">
      <c r="A989" s="1">
        <v>42627</v>
      </c>
      <c r="B989">
        <v>7.9</v>
      </c>
      <c r="C989">
        <v>152.4</v>
      </c>
      <c r="D989">
        <v>3.294</v>
      </c>
      <c r="E989">
        <v>14.23</v>
      </c>
      <c r="F989">
        <v>6.5</v>
      </c>
      <c r="G989">
        <v>1.59</v>
      </c>
      <c r="H989" s="15">
        <v>5.8</v>
      </c>
      <c r="I989">
        <v>31</v>
      </c>
      <c r="J989">
        <v>17.8</v>
      </c>
      <c r="K989">
        <v>11.5</v>
      </c>
      <c r="L989">
        <v>1.28</v>
      </c>
      <c r="M989" t="e">
        <v>#N/A</v>
      </c>
      <c r="N989">
        <v>0.25600000000000001</v>
      </c>
      <c r="O989">
        <v>2.71</v>
      </c>
      <c r="P989">
        <v>0.64</v>
      </c>
      <c r="Q989">
        <v>14</v>
      </c>
    </row>
    <row r="990" spans="1:17" x14ac:dyDescent="0.25">
      <c r="A990" s="1">
        <v>42628</v>
      </c>
      <c r="B990">
        <v>7.84</v>
      </c>
      <c r="C990">
        <v>154.5</v>
      </c>
      <c r="D990" t="e">
        <v>#N/A</v>
      </c>
      <c r="E990">
        <v>14.25</v>
      </c>
      <c r="F990">
        <v>6.5</v>
      </c>
      <c r="G990">
        <v>1.59</v>
      </c>
      <c r="H990" s="15">
        <v>5.9</v>
      </c>
      <c r="I990">
        <v>30.8</v>
      </c>
      <c r="J990">
        <v>18.149999999999999</v>
      </c>
      <c r="K990">
        <v>11.4</v>
      </c>
      <c r="L990">
        <v>1.25</v>
      </c>
      <c r="M990" t="e">
        <v>#N/A</v>
      </c>
      <c r="N990">
        <v>0.26</v>
      </c>
      <c r="O990">
        <v>2.72</v>
      </c>
      <c r="P990">
        <v>0.63</v>
      </c>
      <c r="Q990">
        <v>13</v>
      </c>
    </row>
    <row r="991" spans="1:17" x14ac:dyDescent="0.25">
      <c r="A991" s="1">
        <v>42629</v>
      </c>
      <c r="B991">
        <v>7.7</v>
      </c>
      <c r="C991">
        <v>151.30000000000001</v>
      </c>
      <c r="D991">
        <v>3.26</v>
      </c>
      <c r="E991">
        <v>13.9</v>
      </c>
      <c r="F991">
        <v>6.45</v>
      </c>
      <c r="G991">
        <v>1.61</v>
      </c>
      <c r="H991" s="15">
        <v>5.75</v>
      </c>
      <c r="I991">
        <v>30.56</v>
      </c>
      <c r="J991" t="e">
        <v>#N/A</v>
      </c>
      <c r="K991">
        <v>11.25</v>
      </c>
      <c r="L991">
        <v>1.24</v>
      </c>
      <c r="M991" t="e">
        <v>#N/A</v>
      </c>
      <c r="N991">
        <v>0.26300000000000001</v>
      </c>
      <c r="O991">
        <v>2.66</v>
      </c>
      <c r="P991">
        <v>0.64</v>
      </c>
      <c r="Q991">
        <v>13</v>
      </c>
    </row>
    <row r="992" spans="1:17" x14ac:dyDescent="0.25">
      <c r="A992" s="1">
        <v>42632</v>
      </c>
      <c r="B992">
        <v>7.75</v>
      </c>
      <c r="C992">
        <v>152.4</v>
      </c>
      <c r="D992">
        <v>3.2679999999999998</v>
      </c>
      <c r="E992">
        <v>14.07</v>
      </c>
      <c r="F992">
        <v>6.48</v>
      </c>
      <c r="G992">
        <v>1.63</v>
      </c>
      <c r="H992" s="15">
        <v>5.7</v>
      </c>
      <c r="I992">
        <v>30.58</v>
      </c>
      <c r="J992">
        <v>18.25</v>
      </c>
      <c r="K992">
        <v>11.15</v>
      </c>
      <c r="L992">
        <v>1.26</v>
      </c>
      <c r="M992">
        <v>2.2000000000000002</v>
      </c>
      <c r="N992">
        <v>0.26300000000000001</v>
      </c>
      <c r="O992">
        <v>2.75</v>
      </c>
      <c r="P992">
        <v>0.64</v>
      </c>
      <c r="Q992">
        <v>15</v>
      </c>
    </row>
    <row r="993" spans="1:17" x14ac:dyDescent="0.25">
      <c r="A993" s="1">
        <v>42633</v>
      </c>
      <c r="B993">
        <v>7.65</v>
      </c>
      <c r="C993">
        <v>153.69999999999999</v>
      </c>
      <c r="D993">
        <v>3.2679999999999998</v>
      </c>
      <c r="E993">
        <v>14.06</v>
      </c>
      <c r="F993">
        <v>6.48</v>
      </c>
      <c r="G993">
        <v>1.61</v>
      </c>
      <c r="H993" s="15">
        <v>5.76</v>
      </c>
      <c r="I993">
        <v>31</v>
      </c>
      <c r="J993">
        <v>18.260000000000002</v>
      </c>
      <c r="K993">
        <v>11.04</v>
      </c>
      <c r="L993">
        <v>1.28</v>
      </c>
      <c r="M993">
        <v>2.2080000000000002</v>
      </c>
      <c r="N993">
        <v>0.25800000000000001</v>
      </c>
      <c r="O993">
        <v>2.75</v>
      </c>
      <c r="P993">
        <v>0.64</v>
      </c>
      <c r="Q993">
        <v>15</v>
      </c>
    </row>
    <row r="994" spans="1:17" x14ac:dyDescent="0.25">
      <c r="A994" s="1">
        <v>42634</v>
      </c>
      <c r="B994">
        <v>7.5</v>
      </c>
      <c r="C994">
        <v>156.19999999999999</v>
      </c>
      <c r="D994">
        <v>3.2679999999999998</v>
      </c>
      <c r="E994">
        <v>14.69</v>
      </c>
      <c r="F994">
        <v>6.48</v>
      </c>
      <c r="G994">
        <v>1.63</v>
      </c>
      <c r="H994" s="15">
        <v>5.8</v>
      </c>
      <c r="I994">
        <v>31.8</v>
      </c>
      <c r="J994">
        <v>18.36</v>
      </c>
      <c r="K994">
        <v>11.06</v>
      </c>
      <c r="L994">
        <v>1.28</v>
      </c>
      <c r="M994" t="e">
        <v>#N/A</v>
      </c>
      <c r="N994">
        <v>0.26200000000000001</v>
      </c>
      <c r="O994" t="e">
        <v>#N/A</v>
      </c>
      <c r="P994">
        <v>0.64</v>
      </c>
      <c r="Q994">
        <v>13</v>
      </c>
    </row>
    <row r="995" spans="1:17" x14ac:dyDescent="0.25">
      <c r="A995" s="1">
        <v>42635</v>
      </c>
      <c r="B995">
        <v>7.6</v>
      </c>
      <c r="C995">
        <v>159.78</v>
      </c>
      <c r="D995">
        <v>3.3029999999999999</v>
      </c>
      <c r="E995">
        <v>14.59</v>
      </c>
      <c r="F995">
        <v>6.49</v>
      </c>
      <c r="G995">
        <v>1.64</v>
      </c>
      <c r="H995" s="15">
        <v>5.83</v>
      </c>
      <c r="I995">
        <v>31.85</v>
      </c>
      <c r="J995">
        <v>18.41</v>
      </c>
      <c r="K995">
        <v>11.14</v>
      </c>
      <c r="L995">
        <v>1.3</v>
      </c>
      <c r="M995">
        <v>2.2160000000000002</v>
      </c>
      <c r="N995">
        <v>0.25900000000000001</v>
      </c>
      <c r="O995">
        <v>2.81</v>
      </c>
      <c r="P995">
        <v>0.64</v>
      </c>
      <c r="Q995">
        <v>15</v>
      </c>
    </row>
    <row r="996" spans="1:17" x14ac:dyDescent="0.25">
      <c r="A996" s="1">
        <v>42636</v>
      </c>
      <c r="B996">
        <v>7.58</v>
      </c>
      <c r="C996">
        <v>156.6</v>
      </c>
      <c r="D996">
        <v>3.3380000000000001</v>
      </c>
      <c r="E996">
        <v>14.16</v>
      </c>
      <c r="F996">
        <v>6.49</v>
      </c>
      <c r="G996">
        <v>1.64</v>
      </c>
      <c r="H996" s="15">
        <v>5.63</v>
      </c>
      <c r="I996">
        <v>31.8</v>
      </c>
      <c r="J996">
        <v>18.5</v>
      </c>
      <c r="K996">
        <v>11.3</v>
      </c>
      <c r="L996">
        <v>1.3</v>
      </c>
      <c r="M996">
        <v>2.2160000000000002</v>
      </c>
      <c r="N996">
        <v>0.25800000000000001</v>
      </c>
      <c r="O996">
        <v>2.78</v>
      </c>
      <c r="P996">
        <v>0.63</v>
      </c>
      <c r="Q996">
        <v>15</v>
      </c>
    </row>
    <row r="997" spans="1:17" x14ac:dyDescent="0.25">
      <c r="A997" s="1">
        <v>42639</v>
      </c>
      <c r="B997">
        <v>7.52</v>
      </c>
      <c r="C997">
        <v>153.4</v>
      </c>
      <c r="D997">
        <v>3.3380000000000001</v>
      </c>
      <c r="E997">
        <v>13.86</v>
      </c>
      <c r="F997">
        <v>6.38</v>
      </c>
      <c r="G997">
        <v>1.62</v>
      </c>
      <c r="H997" s="15">
        <v>5.65</v>
      </c>
      <c r="I997">
        <v>31.7</v>
      </c>
      <c r="J997">
        <v>18.350000000000001</v>
      </c>
      <c r="K997">
        <v>11.4</v>
      </c>
      <c r="L997">
        <v>1.25</v>
      </c>
      <c r="M997">
        <v>2.2160000000000002</v>
      </c>
      <c r="N997">
        <v>0.25700000000000001</v>
      </c>
      <c r="O997">
        <v>2.76</v>
      </c>
      <c r="P997">
        <v>0.63</v>
      </c>
      <c r="Q997">
        <v>15</v>
      </c>
    </row>
    <row r="998" spans="1:17" x14ac:dyDescent="0.25">
      <c r="A998" s="1">
        <v>42640</v>
      </c>
      <c r="B998">
        <v>7.48</v>
      </c>
      <c r="C998">
        <v>152.1</v>
      </c>
      <c r="D998">
        <v>3.355</v>
      </c>
      <c r="E998">
        <v>13.3</v>
      </c>
      <c r="F998">
        <v>6.38</v>
      </c>
      <c r="G998">
        <v>1.63</v>
      </c>
      <c r="H998" s="15">
        <v>5.65</v>
      </c>
      <c r="I998">
        <v>31.8</v>
      </c>
      <c r="J998">
        <v>18.3</v>
      </c>
      <c r="K998">
        <v>11.4</v>
      </c>
      <c r="L998">
        <v>1.25</v>
      </c>
      <c r="M998">
        <v>2.2160000000000002</v>
      </c>
      <c r="N998">
        <v>0.252</v>
      </c>
      <c r="O998">
        <v>2.76</v>
      </c>
      <c r="P998">
        <v>0.62</v>
      </c>
      <c r="Q998">
        <v>15</v>
      </c>
    </row>
    <row r="999" spans="1:17" x14ac:dyDescent="0.25">
      <c r="A999" s="1">
        <v>42641</v>
      </c>
      <c r="B999">
        <v>7.43</v>
      </c>
      <c r="C999">
        <v>152.71</v>
      </c>
      <c r="D999">
        <v>3.355</v>
      </c>
      <c r="E999">
        <v>13.64</v>
      </c>
      <c r="F999">
        <v>6.48</v>
      </c>
      <c r="G999">
        <v>1.64</v>
      </c>
      <c r="H999" s="15">
        <v>5.7</v>
      </c>
      <c r="I999">
        <v>31.8</v>
      </c>
      <c r="J999">
        <v>18.3</v>
      </c>
      <c r="K999">
        <v>11.41</v>
      </c>
      <c r="L999" t="e">
        <v>#N/A</v>
      </c>
      <c r="M999">
        <v>2.2250000000000001</v>
      </c>
      <c r="N999">
        <v>0.25700000000000001</v>
      </c>
      <c r="O999">
        <v>2.8</v>
      </c>
      <c r="P999">
        <v>0.62</v>
      </c>
      <c r="Q999">
        <v>14</v>
      </c>
    </row>
    <row r="1000" spans="1:17" x14ac:dyDescent="0.25">
      <c r="A1000" s="1">
        <v>42642</v>
      </c>
      <c r="B1000">
        <v>7.35</v>
      </c>
      <c r="C1000">
        <v>151.30000000000001</v>
      </c>
      <c r="D1000">
        <v>3.3460000000000001</v>
      </c>
      <c r="E1000">
        <v>13.85</v>
      </c>
      <c r="F1000">
        <v>6.43</v>
      </c>
      <c r="G1000">
        <v>1.62</v>
      </c>
      <c r="H1000" s="15">
        <v>5.66</v>
      </c>
      <c r="I1000">
        <v>31.73</v>
      </c>
      <c r="J1000">
        <v>18.3</v>
      </c>
      <c r="K1000">
        <v>11.45</v>
      </c>
      <c r="L1000">
        <v>1.3</v>
      </c>
      <c r="M1000">
        <v>2.2490000000000001</v>
      </c>
      <c r="N1000">
        <v>0.25900000000000001</v>
      </c>
      <c r="O1000">
        <v>2.8</v>
      </c>
      <c r="P1000">
        <v>0.62</v>
      </c>
      <c r="Q1000">
        <v>15</v>
      </c>
    </row>
    <row r="1001" spans="1:17" x14ac:dyDescent="0.25">
      <c r="A1001" s="1">
        <v>42643</v>
      </c>
      <c r="B1001">
        <v>7.33</v>
      </c>
      <c r="C1001">
        <v>152.5</v>
      </c>
      <c r="D1001">
        <v>3.3460000000000001</v>
      </c>
      <c r="E1001">
        <v>13.99</v>
      </c>
      <c r="F1001">
        <v>6.43</v>
      </c>
      <c r="G1001">
        <v>1.65</v>
      </c>
      <c r="H1001" s="15">
        <v>5.56</v>
      </c>
      <c r="I1001">
        <v>31.95</v>
      </c>
      <c r="J1001" t="e">
        <v>#N/A</v>
      </c>
      <c r="K1001">
        <v>11.45</v>
      </c>
      <c r="L1001">
        <v>1.3</v>
      </c>
      <c r="M1001">
        <v>2.2490000000000001</v>
      </c>
      <c r="N1001">
        <v>0.26300000000000001</v>
      </c>
      <c r="O1001">
        <v>2.8</v>
      </c>
      <c r="P1001">
        <v>0.62</v>
      </c>
      <c r="Q1001">
        <v>14</v>
      </c>
    </row>
    <row r="1002" spans="1:17" x14ac:dyDescent="0.25">
      <c r="A1002" s="1">
        <v>42646</v>
      </c>
      <c r="B1002">
        <v>7.35</v>
      </c>
      <c r="C1002">
        <v>151.1</v>
      </c>
      <c r="D1002">
        <v>3.355</v>
      </c>
      <c r="E1002">
        <v>13.65</v>
      </c>
      <c r="F1002">
        <v>6.43</v>
      </c>
      <c r="G1002">
        <v>1.64</v>
      </c>
      <c r="H1002" s="15">
        <v>5.74</v>
      </c>
      <c r="I1002">
        <v>31.94</v>
      </c>
      <c r="J1002">
        <v>18.399999999999999</v>
      </c>
      <c r="K1002">
        <v>11.7</v>
      </c>
      <c r="L1002">
        <v>1.29</v>
      </c>
      <c r="M1002">
        <v>2.3980000000000001</v>
      </c>
      <c r="N1002">
        <v>0.26300000000000001</v>
      </c>
      <c r="O1002">
        <v>2.85</v>
      </c>
      <c r="P1002">
        <v>0.62</v>
      </c>
      <c r="Q1002">
        <v>15</v>
      </c>
    </row>
    <row r="1003" spans="1:17" x14ac:dyDescent="0.25">
      <c r="A1003" s="1">
        <v>42647</v>
      </c>
      <c r="B1003">
        <v>7.35</v>
      </c>
      <c r="C1003">
        <v>149</v>
      </c>
      <c r="D1003">
        <v>3.3380000000000001</v>
      </c>
      <c r="E1003">
        <v>12.6</v>
      </c>
      <c r="F1003">
        <v>6.4</v>
      </c>
      <c r="G1003">
        <v>1.62</v>
      </c>
      <c r="H1003" s="15">
        <v>5.69</v>
      </c>
      <c r="I1003" t="e">
        <v>#N/A</v>
      </c>
      <c r="J1003">
        <v>18.45</v>
      </c>
      <c r="K1003">
        <v>11.7</v>
      </c>
      <c r="L1003">
        <v>1.3</v>
      </c>
      <c r="M1003">
        <v>2.2330000000000001</v>
      </c>
      <c r="N1003">
        <v>0.254</v>
      </c>
      <c r="O1003">
        <v>2.83</v>
      </c>
      <c r="P1003">
        <v>0.6</v>
      </c>
      <c r="Q1003">
        <v>14</v>
      </c>
    </row>
    <row r="1004" spans="1:17" x14ac:dyDescent="0.25">
      <c r="A1004" s="1">
        <v>42648</v>
      </c>
      <c r="B1004">
        <v>7.36</v>
      </c>
      <c r="C1004">
        <v>147.1</v>
      </c>
      <c r="D1004">
        <v>3.3380000000000001</v>
      </c>
      <c r="E1004">
        <v>12.57</v>
      </c>
      <c r="F1004">
        <v>6.43</v>
      </c>
      <c r="G1004">
        <v>1.63</v>
      </c>
      <c r="H1004" s="15">
        <v>5.75</v>
      </c>
      <c r="I1004">
        <v>31.9</v>
      </c>
      <c r="J1004">
        <v>18.55</v>
      </c>
      <c r="K1004">
        <v>11.6</v>
      </c>
      <c r="L1004">
        <v>1.31</v>
      </c>
      <c r="M1004">
        <v>2.3069999999999999</v>
      </c>
      <c r="N1004">
        <v>0.254</v>
      </c>
      <c r="O1004">
        <v>2.83</v>
      </c>
      <c r="P1004">
        <v>0.6</v>
      </c>
      <c r="Q1004">
        <v>15</v>
      </c>
    </row>
    <row r="1005" spans="1:17" x14ac:dyDescent="0.25">
      <c r="A1005" s="1">
        <v>42649</v>
      </c>
      <c r="B1005">
        <v>7.45</v>
      </c>
      <c r="C1005">
        <v>146</v>
      </c>
      <c r="D1005">
        <v>3.3380000000000001</v>
      </c>
      <c r="E1005">
        <v>12.23</v>
      </c>
      <c r="F1005">
        <v>6.39</v>
      </c>
      <c r="G1005">
        <v>1.62</v>
      </c>
      <c r="H1005" s="15">
        <v>5.79</v>
      </c>
      <c r="I1005">
        <v>31.75</v>
      </c>
      <c r="J1005">
        <v>18.55</v>
      </c>
      <c r="K1005">
        <v>11.7</v>
      </c>
      <c r="L1005">
        <v>1.3</v>
      </c>
      <c r="M1005">
        <v>2.2989999999999999</v>
      </c>
      <c r="N1005">
        <v>0.255</v>
      </c>
      <c r="O1005">
        <v>2.83</v>
      </c>
      <c r="P1005">
        <v>0.59</v>
      </c>
      <c r="Q1005">
        <v>15</v>
      </c>
    </row>
    <row r="1006" spans="1:17" x14ac:dyDescent="0.25">
      <c r="A1006" s="1">
        <v>42650</v>
      </c>
      <c r="B1006">
        <v>7.63</v>
      </c>
      <c r="C1006">
        <v>147</v>
      </c>
      <c r="D1006">
        <v>3.3290000000000002</v>
      </c>
      <c r="E1006">
        <v>12.5</v>
      </c>
      <c r="F1006">
        <v>6.4</v>
      </c>
      <c r="G1006">
        <v>1.64</v>
      </c>
      <c r="H1006" s="15">
        <v>5.79</v>
      </c>
      <c r="I1006">
        <v>31.75</v>
      </c>
      <c r="J1006">
        <v>18.55</v>
      </c>
      <c r="K1006">
        <v>11.65</v>
      </c>
      <c r="L1006">
        <v>1.29</v>
      </c>
      <c r="M1006" t="e">
        <v>#N/A</v>
      </c>
      <c r="N1006">
        <v>0.25600000000000001</v>
      </c>
      <c r="O1006">
        <v>2.89</v>
      </c>
      <c r="P1006">
        <v>0.61</v>
      </c>
      <c r="Q1006">
        <v>14</v>
      </c>
    </row>
    <row r="1007" spans="1:17" x14ac:dyDescent="0.25">
      <c r="A1007" s="1">
        <v>42653</v>
      </c>
      <c r="B1007">
        <v>7.6</v>
      </c>
      <c r="C1007">
        <v>148.30000000000001</v>
      </c>
      <c r="D1007">
        <v>3.3290000000000002</v>
      </c>
      <c r="E1007">
        <v>12.59</v>
      </c>
      <c r="F1007">
        <v>6.45</v>
      </c>
      <c r="G1007">
        <v>1.64</v>
      </c>
      <c r="H1007" s="15">
        <v>5.74</v>
      </c>
      <c r="I1007">
        <v>31.65</v>
      </c>
      <c r="J1007">
        <v>18.399999999999999</v>
      </c>
      <c r="K1007">
        <v>11.66</v>
      </c>
      <c r="L1007">
        <v>1.29</v>
      </c>
      <c r="M1007" t="e">
        <v>#N/A</v>
      </c>
      <c r="N1007">
        <v>0.26400000000000001</v>
      </c>
      <c r="O1007">
        <v>2.9</v>
      </c>
      <c r="P1007">
        <v>0.61</v>
      </c>
      <c r="Q1007">
        <v>14</v>
      </c>
    </row>
    <row r="1008" spans="1:17" x14ac:dyDescent="0.25">
      <c r="A1008" s="1">
        <v>42654</v>
      </c>
      <c r="B1008">
        <v>7.6</v>
      </c>
      <c r="C1008">
        <v>147.21</v>
      </c>
      <c r="D1008">
        <v>3.3290000000000002</v>
      </c>
      <c r="E1008">
        <v>12.35</v>
      </c>
      <c r="F1008">
        <v>6.45</v>
      </c>
      <c r="G1008">
        <v>1.63</v>
      </c>
      <c r="H1008" s="15">
        <v>5.74</v>
      </c>
      <c r="I1008">
        <v>31.35</v>
      </c>
      <c r="J1008">
        <v>18</v>
      </c>
      <c r="K1008">
        <v>11.8</v>
      </c>
      <c r="L1008">
        <v>1.27</v>
      </c>
      <c r="M1008">
        <v>2.274</v>
      </c>
      <c r="N1008">
        <v>0.26300000000000001</v>
      </c>
      <c r="O1008">
        <v>2.9</v>
      </c>
      <c r="P1008">
        <v>0.6</v>
      </c>
      <c r="Q1008">
        <v>15</v>
      </c>
    </row>
    <row r="1009" spans="1:17" x14ac:dyDescent="0.25">
      <c r="A1009" s="1">
        <v>42655</v>
      </c>
      <c r="B1009">
        <v>7.6</v>
      </c>
      <c r="C1009">
        <v>148</v>
      </c>
      <c r="D1009">
        <v>3.3290000000000002</v>
      </c>
      <c r="E1009">
        <v>12.41</v>
      </c>
      <c r="F1009">
        <v>6.5</v>
      </c>
      <c r="G1009">
        <v>1.63</v>
      </c>
      <c r="H1009" s="15">
        <v>5.78</v>
      </c>
      <c r="I1009">
        <v>31.1</v>
      </c>
      <c r="J1009">
        <v>18.5</v>
      </c>
      <c r="K1009">
        <v>11.7</v>
      </c>
      <c r="L1009">
        <v>1.29</v>
      </c>
      <c r="M1009">
        <v>2.2160000000000002</v>
      </c>
      <c r="N1009">
        <v>0.26</v>
      </c>
      <c r="O1009">
        <v>2.9</v>
      </c>
      <c r="P1009">
        <v>0.6</v>
      </c>
      <c r="Q1009">
        <v>15</v>
      </c>
    </row>
    <row r="1010" spans="1:17" x14ac:dyDescent="0.25">
      <c r="A1010" s="1">
        <v>42656</v>
      </c>
      <c r="B1010">
        <v>7.6</v>
      </c>
      <c r="C1010">
        <v>145.9</v>
      </c>
      <c r="D1010">
        <v>3.3290000000000002</v>
      </c>
      <c r="E1010">
        <v>12.64</v>
      </c>
      <c r="F1010">
        <v>6.5</v>
      </c>
      <c r="G1010">
        <v>1.62</v>
      </c>
      <c r="H1010" s="15">
        <v>5.68</v>
      </c>
      <c r="I1010">
        <v>30.7</v>
      </c>
      <c r="J1010">
        <v>18.2</v>
      </c>
      <c r="K1010">
        <v>11.6</v>
      </c>
      <c r="L1010">
        <v>1.29</v>
      </c>
      <c r="M1010">
        <v>2.2490000000000001</v>
      </c>
      <c r="N1010">
        <v>0.26</v>
      </c>
      <c r="O1010">
        <v>2.86</v>
      </c>
      <c r="P1010">
        <v>0.6</v>
      </c>
      <c r="Q1010">
        <v>15</v>
      </c>
    </row>
    <row r="1011" spans="1:17" x14ac:dyDescent="0.25">
      <c r="A1011" s="1">
        <v>42657</v>
      </c>
      <c r="B1011">
        <v>7.65</v>
      </c>
      <c r="C1011">
        <v>146.79</v>
      </c>
      <c r="D1011">
        <v>3.3290000000000002</v>
      </c>
      <c r="E1011">
        <v>12.4</v>
      </c>
      <c r="F1011">
        <v>6.5</v>
      </c>
      <c r="G1011">
        <v>1.63</v>
      </c>
      <c r="H1011" s="15">
        <v>5.76</v>
      </c>
      <c r="I1011">
        <v>31.4</v>
      </c>
      <c r="J1011">
        <v>18.05</v>
      </c>
      <c r="K1011">
        <v>11.6</v>
      </c>
      <c r="L1011">
        <v>1.29</v>
      </c>
      <c r="M1011">
        <v>2.274</v>
      </c>
      <c r="N1011">
        <v>0.26</v>
      </c>
      <c r="O1011">
        <v>2.84</v>
      </c>
      <c r="P1011">
        <v>0.6</v>
      </c>
      <c r="Q1011">
        <v>15</v>
      </c>
    </row>
    <row r="1012" spans="1:17" x14ac:dyDescent="0.25">
      <c r="A1012" s="1">
        <v>42660</v>
      </c>
      <c r="B1012">
        <v>7.65</v>
      </c>
      <c r="C1012">
        <v>145.55000000000001</v>
      </c>
      <c r="D1012">
        <v>3.3290000000000002</v>
      </c>
      <c r="E1012">
        <v>12.9</v>
      </c>
      <c r="F1012">
        <v>6.55</v>
      </c>
      <c r="G1012">
        <v>1.63</v>
      </c>
      <c r="H1012" s="15">
        <v>5.76</v>
      </c>
      <c r="I1012">
        <v>31.39</v>
      </c>
      <c r="J1012">
        <v>18.05</v>
      </c>
      <c r="K1012">
        <v>11.7</v>
      </c>
      <c r="L1012">
        <v>1.29</v>
      </c>
      <c r="M1012">
        <v>2.274</v>
      </c>
      <c r="N1012">
        <v>0.25900000000000001</v>
      </c>
      <c r="O1012">
        <v>2.83</v>
      </c>
      <c r="P1012">
        <v>0.6</v>
      </c>
      <c r="Q1012">
        <v>15</v>
      </c>
    </row>
    <row r="1013" spans="1:17" x14ac:dyDescent="0.25">
      <c r="A1013" s="1">
        <v>42661</v>
      </c>
      <c r="B1013">
        <v>7.72</v>
      </c>
      <c r="C1013">
        <v>148.80000000000001</v>
      </c>
      <c r="D1013">
        <v>3.3719999999999999</v>
      </c>
      <c r="E1013">
        <v>13.61</v>
      </c>
      <c r="F1013">
        <v>6.54</v>
      </c>
      <c r="G1013">
        <v>1.66</v>
      </c>
      <c r="H1013" s="15">
        <v>5.8</v>
      </c>
      <c r="I1013">
        <v>31.24</v>
      </c>
      <c r="J1013">
        <v>18.05</v>
      </c>
      <c r="K1013">
        <v>11.74</v>
      </c>
      <c r="L1013">
        <v>1.31</v>
      </c>
      <c r="M1013">
        <v>2.3410000000000002</v>
      </c>
      <c r="N1013">
        <v>0.25600000000000001</v>
      </c>
      <c r="O1013">
        <v>2.79</v>
      </c>
      <c r="P1013">
        <v>0.62</v>
      </c>
      <c r="Q1013">
        <v>15</v>
      </c>
    </row>
    <row r="1014" spans="1:17" x14ac:dyDescent="0.25">
      <c r="A1014" s="1">
        <v>42662</v>
      </c>
      <c r="B1014">
        <v>7.7</v>
      </c>
      <c r="C1014">
        <v>150.69999999999999</v>
      </c>
      <c r="D1014">
        <v>3.3809999999999998</v>
      </c>
      <c r="E1014">
        <v>14</v>
      </c>
      <c r="F1014">
        <v>6.55</v>
      </c>
      <c r="G1014">
        <v>1.66</v>
      </c>
      <c r="H1014" s="15">
        <v>5.77</v>
      </c>
      <c r="I1014">
        <v>31.15</v>
      </c>
      <c r="J1014">
        <v>18.05</v>
      </c>
      <c r="K1014">
        <v>11.74</v>
      </c>
      <c r="L1014">
        <v>1.33</v>
      </c>
      <c r="M1014">
        <v>2.44</v>
      </c>
      <c r="N1014">
        <v>0.26</v>
      </c>
      <c r="O1014">
        <v>2.75</v>
      </c>
      <c r="P1014">
        <v>0.64</v>
      </c>
      <c r="Q1014">
        <v>15</v>
      </c>
    </row>
    <row r="1015" spans="1:17" x14ac:dyDescent="0.25">
      <c r="A1015" s="1">
        <v>42663</v>
      </c>
      <c r="B1015">
        <v>7.7</v>
      </c>
      <c r="C1015">
        <v>152.25</v>
      </c>
      <c r="D1015">
        <v>3.3809999999999998</v>
      </c>
      <c r="E1015">
        <v>13.77</v>
      </c>
      <c r="F1015">
        <v>6.5</v>
      </c>
      <c r="G1015">
        <v>1.64</v>
      </c>
      <c r="H1015" s="15">
        <v>5.82</v>
      </c>
      <c r="I1015">
        <v>31.2</v>
      </c>
      <c r="J1015">
        <v>18.100000000000001</v>
      </c>
      <c r="K1015">
        <v>11.73</v>
      </c>
      <c r="L1015">
        <v>1.34</v>
      </c>
      <c r="M1015">
        <v>2.3980000000000001</v>
      </c>
      <c r="N1015">
        <v>0.26400000000000001</v>
      </c>
      <c r="O1015">
        <v>2.75</v>
      </c>
      <c r="P1015">
        <v>0.63</v>
      </c>
      <c r="Q1015">
        <v>15</v>
      </c>
    </row>
    <row r="1016" spans="1:17" x14ac:dyDescent="0.25">
      <c r="A1016" s="1">
        <v>42664</v>
      </c>
      <c r="B1016">
        <v>7.72</v>
      </c>
      <c r="C1016">
        <v>151.31</v>
      </c>
      <c r="D1016">
        <v>3.3809999999999998</v>
      </c>
      <c r="E1016">
        <v>13.65</v>
      </c>
      <c r="F1016">
        <v>6.5</v>
      </c>
      <c r="G1016">
        <v>1.65</v>
      </c>
      <c r="H1016" s="15">
        <v>5.84</v>
      </c>
      <c r="I1016">
        <v>31.1</v>
      </c>
      <c r="J1016">
        <v>18.09</v>
      </c>
      <c r="K1016">
        <v>11.73</v>
      </c>
      <c r="L1016">
        <v>1.34</v>
      </c>
      <c r="M1016" t="e">
        <v>#N/A</v>
      </c>
      <c r="N1016">
        <v>0.27</v>
      </c>
      <c r="O1016">
        <v>2.75</v>
      </c>
      <c r="P1016">
        <v>0.62</v>
      </c>
      <c r="Q1016">
        <v>14</v>
      </c>
    </row>
    <row r="1017" spans="1:17" x14ac:dyDescent="0.25">
      <c r="A1017" s="1">
        <v>42667</v>
      </c>
      <c r="B1017">
        <v>7.67</v>
      </c>
      <c r="C1017">
        <v>150.35</v>
      </c>
      <c r="D1017">
        <v>3.4239999999999999</v>
      </c>
      <c r="E1017">
        <v>13.24</v>
      </c>
      <c r="F1017">
        <v>6.48</v>
      </c>
      <c r="G1017">
        <v>1.67</v>
      </c>
      <c r="H1017" s="15">
        <v>5.84</v>
      </c>
      <c r="I1017">
        <v>31.2</v>
      </c>
      <c r="J1017">
        <v>17.8</v>
      </c>
      <c r="K1017">
        <v>11.73</v>
      </c>
      <c r="L1017">
        <v>1.32</v>
      </c>
      <c r="M1017">
        <v>2.3570000000000002</v>
      </c>
      <c r="N1017">
        <v>0.26500000000000001</v>
      </c>
      <c r="O1017">
        <v>2.75</v>
      </c>
      <c r="P1017">
        <v>0.62</v>
      </c>
      <c r="Q1017">
        <v>15</v>
      </c>
    </row>
    <row r="1018" spans="1:17" x14ac:dyDescent="0.25">
      <c r="A1018" s="1">
        <v>42668</v>
      </c>
      <c r="B1018">
        <v>7.75</v>
      </c>
      <c r="C1018">
        <v>150.09</v>
      </c>
      <c r="D1018">
        <v>3.4239999999999999</v>
      </c>
      <c r="E1018">
        <v>13.59</v>
      </c>
      <c r="F1018">
        <v>6.5</v>
      </c>
      <c r="G1018">
        <v>1.67</v>
      </c>
      <c r="H1018" s="15">
        <v>5.84</v>
      </c>
      <c r="I1018">
        <v>31.24</v>
      </c>
      <c r="J1018">
        <v>18</v>
      </c>
      <c r="K1018">
        <v>11.7</v>
      </c>
      <c r="L1018">
        <v>1.32</v>
      </c>
      <c r="M1018">
        <v>2.3980000000000001</v>
      </c>
      <c r="N1018">
        <v>0.27</v>
      </c>
      <c r="O1018">
        <v>2.69</v>
      </c>
      <c r="P1018">
        <v>0.62</v>
      </c>
      <c r="Q1018">
        <v>15</v>
      </c>
    </row>
    <row r="1019" spans="1:17" x14ac:dyDescent="0.25">
      <c r="A1019" s="1">
        <v>42669</v>
      </c>
      <c r="B1019">
        <v>7.71</v>
      </c>
      <c r="C1019">
        <v>150.9</v>
      </c>
      <c r="D1019">
        <v>3.4239999999999999</v>
      </c>
      <c r="E1019">
        <v>13.39</v>
      </c>
      <c r="F1019">
        <v>6.44</v>
      </c>
      <c r="G1019">
        <v>1.69</v>
      </c>
      <c r="H1019" s="15">
        <v>5.67</v>
      </c>
      <c r="I1019">
        <v>31.24</v>
      </c>
      <c r="J1019">
        <v>18.07</v>
      </c>
      <c r="K1019">
        <v>11.7</v>
      </c>
      <c r="L1019">
        <v>1.3</v>
      </c>
      <c r="M1019">
        <v>2.3980000000000001</v>
      </c>
      <c r="N1019">
        <v>0.26500000000000001</v>
      </c>
      <c r="O1019">
        <v>2.69</v>
      </c>
      <c r="P1019">
        <v>0.62</v>
      </c>
      <c r="Q1019">
        <v>15</v>
      </c>
    </row>
    <row r="1020" spans="1:17" x14ac:dyDescent="0.25">
      <c r="A1020" s="1">
        <v>42670</v>
      </c>
      <c r="B1020">
        <v>7.71</v>
      </c>
      <c r="C1020">
        <v>149.09</v>
      </c>
      <c r="D1020">
        <v>3.4329999999999998</v>
      </c>
      <c r="E1020">
        <v>13.4</v>
      </c>
      <c r="F1020">
        <v>6.4</v>
      </c>
      <c r="G1020">
        <v>1.68</v>
      </c>
      <c r="H1020" s="15">
        <v>5.7590000000000003</v>
      </c>
      <c r="I1020">
        <v>31.24</v>
      </c>
      <c r="J1020">
        <v>18.14</v>
      </c>
      <c r="K1020">
        <v>11.75</v>
      </c>
      <c r="L1020">
        <v>1.28</v>
      </c>
      <c r="M1020">
        <v>2.3980000000000001</v>
      </c>
      <c r="N1020">
        <v>0.26500000000000001</v>
      </c>
      <c r="O1020">
        <v>2.66</v>
      </c>
      <c r="P1020">
        <v>0.62</v>
      </c>
      <c r="Q1020">
        <v>15</v>
      </c>
    </row>
    <row r="1021" spans="1:17" x14ac:dyDescent="0.25">
      <c r="A1021" s="1">
        <v>42671</v>
      </c>
      <c r="B1021">
        <v>7.8</v>
      </c>
      <c r="C1021">
        <v>147.9</v>
      </c>
      <c r="D1021">
        <v>3.3809999999999998</v>
      </c>
      <c r="E1021">
        <v>12.87</v>
      </c>
      <c r="F1021">
        <v>6.41</v>
      </c>
      <c r="G1021">
        <v>1.68</v>
      </c>
      <c r="H1021" s="15">
        <v>5.5510000000000002</v>
      </c>
      <c r="I1021">
        <v>31.15</v>
      </c>
      <c r="J1021">
        <v>18.149999999999999</v>
      </c>
      <c r="K1021">
        <v>11.75</v>
      </c>
      <c r="L1021">
        <v>1.3</v>
      </c>
      <c r="M1021">
        <v>2.4980000000000002</v>
      </c>
      <c r="N1021">
        <v>0.255</v>
      </c>
      <c r="O1021">
        <v>2.61</v>
      </c>
      <c r="P1021">
        <v>0.62</v>
      </c>
      <c r="Q1021">
        <v>15</v>
      </c>
    </row>
    <row r="1022" spans="1:17" x14ac:dyDescent="0.25">
      <c r="A1022" s="1">
        <v>42674</v>
      </c>
      <c r="B1022">
        <v>7.8</v>
      </c>
      <c r="C1022">
        <v>148.6</v>
      </c>
      <c r="D1022">
        <v>3.3980000000000001</v>
      </c>
      <c r="E1022">
        <v>13.3</v>
      </c>
      <c r="F1022">
        <v>6.5</v>
      </c>
      <c r="G1022">
        <v>1.67</v>
      </c>
      <c r="H1022" s="15">
        <v>5.5810000000000004</v>
      </c>
      <c r="I1022">
        <v>31.2</v>
      </c>
      <c r="J1022">
        <v>18</v>
      </c>
      <c r="K1022">
        <v>11.73</v>
      </c>
      <c r="L1022">
        <v>1.33</v>
      </c>
      <c r="M1022">
        <v>2.5390000000000001</v>
      </c>
      <c r="N1022">
        <v>0.245</v>
      </c>
      <c r="O1022">
        <v>2.69</v>
      </c>
      <c r="P1022">
        <v>0.62</v>
      </c>
      <c r="Q1022">
        <v>15</v>
      </c>
    </row>
    <row r="1023" spans="1:17" x14ac:dyDescent="0.25">
      <c r="A1023" s="1">
        <v>42676</v>
      </c>
      <c r="B1023">
        <v>7.85</v>
      </c>
      <c r="C1023">
        <v>147.29</v>
      </c>
      <c r="D1023" t="e">
        <v>#N/A</v>
      </c>
      <c r="E1023">
        <v>13.06</v>
      </c>
      <c r="F1023">
        <v>6.45</v>
      </c>
      <c r="G1023">
        <v>1.65</v>
      </c>
      <c r="H1023" s="15">
        <v>5.5810000000000004</v>
      </c>
      <c r="I1023">
        <v>30.9</v>
      </c>
      <c r="J1023">
        <v>18</v>
      </c>
      <c r="K1023">
        <v>11.73</v>
      </c>
      <c r="L1023">
        <v>1.3</v>
      </c>
      <c r="M1023">
        <v>2.4980000000000002</v>
      </c>
      <c r="N1023">
        <v>0.24099999999999999</v>
      </c>
      <c r="O1023">
        <v>2.617</v>
      </c>
      <c r="P1023">
        <v>0.6</v>
      </c>
      <c r="Q1023">
        <v>14</v>
      </c>
    </row>
    <row r="1024" spans="1:17" x14ac:dyDescent="0.25">
      <c r="A1024" s="1">
        <v>42677</v>
      </c>
      <c r="B1024">
        <v>7.9</v>
      </c>
      <c r="C1024">
        <v>147.29</v>
      </c>
      <c r="D1024">
        <v>3.3380000000000001</v>
      </c>
      <c r="E1024">
        <v>12.92</v>
      </c>
      <c r="F1024">
        <v>6.44</v>
      </c>
      <c r="G1024">
        <v>1.62</v>
      </c>
      <c r="H1024" s="15">
        <v>5.5810000000000004</v>
      </c>
      <c r="I1024">
        <v>30.75</v>
      </c>
      <c r="J1024" t="e">
        <v>#N/A</v>
      </c>
      <c r="K1024">
        <v>11.7</v>
      </c>
      <c r="L1024">
        <v>1.31</v>
      </c>
      <c r="M1024">
        <v>2.4809999999999999</v>
      </c>
      <c r="N1024">
        <v>0.24399999999999999</v>
      </c>
      <c r="O1024">
        <v>2.617</v>
      </c>
      <c r="P1024">
        <v>0.61</v>
      </c>
      <c r="Q1024">
        <v>14</v>
      </c>
    </row>
    <row r="1025" spans="1:17" x14ac:dyDescent="0.25">
      <c r="A1025" s="1">
        <v>42678</v>
      </c>
      <c r="B1025">
        <v>7.86</v>
      </c>
      <c r="C1025">
        <v>155.69999999999999</v>
      </c>
      <c r="D1025">
        <v>3.3029999999999999</v>
      </c>
      <c r="E1025">
        <v>12.57</v>
      </c>
      <c r="F1025">
        <v>6.4</v>
      </c>
      <c r="G1025">
        <v>1.61</v>
      </c>
      <c r="H1025" s="15">
        <v>5.7</v>
      </c>
      <c r="I1025">
        <v>31</v>
      </c>
      <c r="J1025">
        <v>18</v>
      </c>
      <c r="K1025">
        <v>11.64</v>
      </c>
      <c r="L1025">
        <v>1.3</v>
      </c>
      <c r="M1025">
        <v>2.4889999999999999</v>
      </c>
      <c r="N1025">
        <v>0.24099999999999999</v>
      </c>
      <c r="O1025">
        <v>2.6360000000000001</v>
      </c>
      <c r="P1025">
        <v>0.61</v>
      </c>
      <c r="Q1025">
        <v>15</v>
      </c>
    </row>
    <row r="1026" spans="1:17" x14ac:dyDescent="0.25">
      <c r="A1026" s="1">
        <v>42681</v>
      </c>
      <c r="B1026">
        <v>7.75</v>
      </c>
      <c r="C1026">
        <v>163.1</v>
      </c>
      <c r="D1026">
        <v>3.294</v>
      </c>
      <c r="E1026">
        <v>12.52</v>
      </c>
      <c r="F1026">
        <v>6.39</v>
      </c>
      <c r="G1026">
        <v>1.61</v>
      </c>
      <c r="H1026" s="15">
        <v>5.63</v>
      </c>
      <c r="I1026">
        <v>31.5</v>
      </c>
      <c r="J1026">
        <v>18.03</v>
      </c>
      <c r="K1026">
        <v>11.68</v>
      </c>
      <c r="L1026">
        <v>1.35</v>
      </c>
      <c r="M1026">
        <v>2.4809999999999999</v>
      </c>
      <c r="N1026">
        <v>0.23599999999999999</v>
      </c>
      <c r="O1026">
        <v>2.6360000000000001</v>
      </c>
      <c r="P1026">
        <v>0.61</v>
      </c>
      <c r="Q1026">
        <v>15</v>
      </c>
    </row>
    <row r="1027" spans="1:17" x14ac:dyDescent="0.25">
      <c r="A1027" s="1">
        <v>42682</v>
      </c>
      <c r="B1027">
        <v>7.65</v>
      </c>
      <c r="C1027">
        <v>162.51</v>
      </c>
      <c r="D1027">
        <v>3.3719999999999999</v>
      </c>
      <c r="E1027">
        <v>12.15</v>
      </c>
      <c r="F1027">
        <v>6.35</v>
      </c>
      <c r="G1027">
        <v>1.58</v>
      </c>
      <c r="H1027" s="15">
        <v>5.5609999999999999</v>
      </c>
      <c r="I1027">
        <v>31.5</v>
      </c>
      <c r="J1027">
        <v>18.25</v>
      </c>
      <c r="K1027">
        <v>11.7</v>
      </c>
      <c r="L1027">
        <v>1.4</v>
      </c>
      <c r="M1027">
        <v>2.4809999999999999</v>
      </c>
      <c r="N1027">
        <v>0.23</v>
      </c>
      <c r="O1027">
        <v>2.5870000000000002</v>
      </c>
      <c r="P1027">
        <v>0.61</v>
      </c>
      <c r="Q1027">
        <v>15</v>
      </c>
    </row>
    <row r="1028" spans="1:17" x14ac:dyDescent="0.25">
      <c r="A1028" s="1">
        <v>42683</v>
      </c>
      <c r="B1028">
        <v>7.49</v>
      </c>
      <c r="C1028">
        <v>162.80000000000001</v>
      </c>
      <c r="D1028">
        <v>3.3719999999999999</v>
      </c>
      <c r="E1028">
        <v>12.81</v>
      </c>
      <c r="F1028">
        <v>6.35</v>
      </c>
      <c r="G1028">
        <v>1.57</v>
      </c>
      <c r="H1028" s="15">
        <v>5.5810000000000004</v>
      </c>
      <c r="I1028">
        <v>30.75</v>
      </c>
      <c r="J1028">
        <v>18.3</v>
      </c>
      <c r="K1028">
        <v>11.6</v>
      </c>
      <c r="L1028">
        <v>1.4</v>
      </c>
      <c r="M1028">
        <v>2.4980000000000002</v>
      </c>
      <c r="N1028">
        <v>0.221</v>
      </c>
      <c r="O1028">
        <v>2.5369999999999999</v>
      </c>
      <c r="P1028">
        <v>0.59</v>
      </c>
      <c r="Q1028">
        <v>15</v>
      </c>
    </row>
    <row r="1029" spans="1:17" x14ac:dyDescent="0.25">
      <c r="A1029" s="1">
        <v>42684</v>
      </c>
      <c r="B1029">
        <v>7.38</v>
      </c>
      <c r="C1029">
        <v>159.69999999999999</v>
      </c>
      <c r="D1029">
        <v>3.468</v>
      </c>
      <c r="E1029">
        <v>12.6</v>
      </c>
      <c r="F1029">
        <v>6.41</v>
      </c>
      <c r="G1029">
        <v>1.57</v>
      </c>
      <c r="H1029" s="15">
        <v>5.7590000000000003</v>
      </c>
      <c r="I1029">
        <v>30</v>
      </c>
      <c r="J1029">
        <v>18.7</v>
      </c>
      <c r="K1029">
        <v>11.5</v>
      </c>
      <c r="L1029">
        <v>1.46</v>
      </c>
      <c r="M1029">
        <v>2.4809999999999999</v>
      </c>
      <c r="N1029">
        <v>0.23</v>
      </c>
      <c r="O1029">
        <v>2.5870000000000002</v>
      </c>
      <c r="P1029">
        <v>0.64</v>
      </c>
      <c r="Q1029">
        <v>15</v>
      </c>
    </row>
    <row r="1030" spans="1:17" x14ac:dyDescent="0.25">
      <c r="A1030" s="1">
        <v>42685</v>
      </c>
      <c r="B1030">
        <v>7.34</v>
      </c>
      <c r="C1030">
        <v>155.29</v>
      </c>
      <c r="D1030">
        <v>3.468</v>
      </c>
      <c r="E1030">
        <v>12.02</v>
      </c>
      <c r="F1030">
        <v>6.4</v>
      </c>
      <c r="G1030">
        <v>1.57</v>
      </c>
      <c r="H1030" s="15">
        <v>5.66</v>
      </c>
      <c r="I1030">
        <v>29.8</v>
      </c>
      <c r="J1030">
        <v>18.7</v>
      </c>
      <c r="K1030">
        <v>11.55</v>
      </c>
      <c r="L1030">
        <v>1.42</v>
      </c>
      <c r="M1030">
        <v>2.4809999999999999</v>
      </c>
      <c r="N1030">
        <v>0.217</v>
      </c>
      <c r="O1030">
        <v>2.5870000000000002</v>
      </c>
      <c r="P1030">
        <v>0.63</v>
      </c>
      <c r="Q1030">
        <v>15</v>
      </c>
    </row>
    <row r="1031" spans="1:17" x14ac:dyDescent="0.25">
      <c r="A1031" s="1">
        <v>42688</v>
      </c>
      <c r="B1031">
        <v>7.34</v>
      </c>
      <c r="C1031">
        <v>152.91</v>
      </c>
      <c r="D1031">
        <v>3.45</v>
      </c>
      <c r="E1031">
        <v>11.4</v>
      </c>
      <c r="F1031">
        <v>6.4</v>
      </c>
      <c r="G1031">
        <v>1.61</v>
      </c>
      <c r="H1031" s="15">
        <v>5.6109999999999998</v>
      </c>
      <c r="I1031">
        <v>29.9</v>
      </c>
      <c r="J1031">
        <v>18.7</v>
      </c>
      <c r="K1031">
        <v>11.5</v>
      </c>
      <c r="L1031">
        <v>1.4</v>
      </c>
      <c r="M1031">
        <v>2.4809999999999999</v>
      </c>
      <c r="N1031">
        <v>0.22</v>
      </c>
      <c r="O1031">
        <v>2.5369999999999999</v>
      </c>
      <c r="P1031">
        <v>0.67</v>
      </c>
      <c r="Q1031">
        <v>15</v>
      </c>
    </row>
    <row r="1032" spans="1:17" x14ac:dyDescent="0.25">
      <c r="A1032" s="1">
        <v>42689</v>
      </c>
      <c r="B1032">
        <v>7.33</v>
      </c>
      <c r="C1032">
        <v>153.69999999999999</v>
      </c>
      <c r="D1032">
        <v>3.45</v>
      </c>
      <c r="E1032">
        <v>11.08</v>
      </c>
      <c r="F1032">
        <v>6.39</v>
      </c>
      <c r="G1032">
        <v>1.65</v>
      </c>
      <c r="H1032" s="15">
        <v>5.5220000000000002</v>
      </c>
      <c r="I1032">
        <v>30</v>
      </c>
      <c r="J1032">
        <v>18.7</v>
      </c>
      <c r="K1032">
        <v>11.7</v>
      </c>
      <c r="L1032">
        <v>1.4</v>
      </c>
      <c r="M1032">
        <v>2.456</v>
      </c>
      <c r="N1032">
        <v>0.23200000000000001</v>
      </c>
      <c r="O1032">
        <v>2.52</v>
      </c>
      <c r="P1032">
        <v>0.64</v>
      </c>
      <c r="Q1032">
        <v>15</v>
      </c>
    </row>
    <row r="1033" spans="1:17" x14ac:dyDescent="0.25">
      <c r="A1033" s="1">
        <v>42690</v>
      </c>
      <c r="B1033">
        <v>7.29</v>
      </c>
      <c r="C1033">
        <v>152</v>
      </c>
      <c r="D1033">
        <v>3.5110000000000001</v>
      </c>
      <c r="E1033">
        <v>11</v>
      </c>
      <c r="F1033">
        <v>6.32</v>
      </c>
      <c r="G1033">
        <v>1.7</v>
      </c>
      <c r="H1033" s="15">
        <v>5.5220000000000002</v>
      </c>
      <c r="I1033">
        <v>30</v>
      </c>
      <c r="J1033">
        <v>18.7</v>
      </c>
      <c r="K1033">
        <v>11.79</v>
      </c>
      <c r="L1033">
        <v>1.47</v>
      </c>
      <c r="M1033">
        <v>2.4809999999999999</v>
      </c>
      <c r="N1033">
        <v>0.249</v>
      </c>
      <c r="O1033">
        <v>2.5099999999999998</v>
      </c>
      <c r="P1033">
        <v>0.65</v>
      </c>
      <c r="Q1033">
        <v>15</v>
      </c>
    </row>
    <row r="1034" spans="1:17" x14ac:dyDescent="0.25">
      <c r="A1034" s="1">
        <v>42695</v>
      </c>
      <c r="B1034">
        <v>7.22</v>
      </c>
      <c r="C1034">
        <v>150.5</v>
      </c>
      <c r="D1034">
        <v>3.468</v>
      </c>
      <c r="E1034">
        <v>11.16</v>
      </c>
      <c r="F1034">
        <v>6.27</v>
      </c>
      <c r="G1034">
        <v>1.7</v>
      </c>
      <c r="H1034" s="15">
        <v>4.9189999999999996</v>
      </c>
      <c r="I1034">
        <v>29.8</v>
      </c>
      <c r="J1034">
        <v>18.7</v>
      </c>
      <c r="K1034">
        <v>11.7</v>
      </c>
      <c r="L1034">
        <v>1.48</v>
      </c>
      <c r="M1034">
        <v>2.4980000000000002</v>
      </c>
      <c r="N1034">
        <v>0.249</v>
      </c>
      <c r="O1034">
        <v>2.5</v>
      </c>
      <c r="P1034">
        <v>0.63</v>
      </c>
      <c r="Q1034">
        <v>15</v>
      </c>
    </row>
    <row r="1035" spans="1:17" x14ac:dyDescent="0.25">
      <c r="A1035" s="1">
        <v>42696</v>
      </c>
      <c r="B1035">
        <v>7.16</v>
      </c>
      <c r="C1035">
        <v>150.80000000000001</v>
      </c>
      <c r="D1035">
        <v>3.476</v>
      </c>
      <c r="E1035">
        <v>11.41</v>
      </c>
      <c r="F1035">
        <v>6.25</v>
      </c>
      <c r="G1035">
        <v>1.7</v>
      </c>
      <c r="H1035" s="15">
        <v>4.742</v>
      </c>
      <c r="I1035">
        <v>30</v>
      </c>
      <c r="J1035">
        <v>19.010000000000002</v>
      </c>
      <c r="K1035">
        <v>11.522</v>
      </c>
      <c r="L1035">
        <v>1.48</v>
      </c>
      <c r="M1035">
        <v>2.5059999999999998</v>
      </c>
      <c r="N1035">
        <v>0.24399999999999999</v>
      </c>
      <c r="O1035">
        <v>2.5499999999999998</v>
      </c>
      <c r="P1035">
        <v>0.63</v>
      </c>
      <c r="Q1035">
        <v>15</v>
      </c>
    </row>
    <row r="1036" spans="1:17" x14ac:dyDescent="0.25">
      <c r="A1036" s="1">
        <v>42697</v>
      </c>
      <c r="B1036">
        <v>7.3</v>
      </c>
      <c r="C1036">
        <v>149.6</v>
      </c>
      <c r="D1036">
        <v>3.468</v>
      </c>
      <c r="E1036">
        <v>11.09</v>
      </c>
      <c r="F1036">
        <v>6.3</v>
      </c>
      <c r="G1036">
        <v>1.7</v>
      </c>
      <c r="H1036" s="15">
        <v>4.4950000000000001</v>
      </c>
      <c r="I1036">
        <v>30.1</v>
      </c>
      <c r="J1036">
        <v>19.05</v>
      </c>
      <c r="K1036">
        <v>11.541</v>
      </c>
      <c r="L1036">
        <v>1.52</v>
      </c>
      <c r="M1036">
        <v>2.5059999999999998</v>
      </c>
      <c r="N1036">
        <v>0.24399999999999999</v>
      </c>
      <c r="O1036">
        <v>2.65</v>
      </c>
      <c r="P1036">
        <v>0.64</v>
      </c>
      <c r="Q1036">
        <v>15</v>
      </c>
    </row>
    <row r="1037" spans="1:17" x14ac:dyDescent="0.25">
      <c r="A1037" s="1">
        <v>42698</v>
      </c>
      <c r="B1037">
        <v>7.3</v>
      </c>
      <c r="C1037" t="e">
        <v>#N/A</v>
      </c>
      <c r="D1037">
        <v>3.4239999999999999</v>
      </c>
      <c r="E1037">
        <v>11.2</v>
      </c>
      <c r="F1037">
        <v>6.3</v>
      </c>
      <c r="G1037">
        <v>1.7</v>
      </c>
      <c r="H1037" s="15">
        <v>4.4450000000000003</v>
      </c>
      <c r="I1037">
        <v>30.38</v>
      </c>
      <c r="J1037">
        <v>19.16</v>
      </c>
      <c r="K1037">
        <v>11.541</v>
      </c>
      <c r="L1037">
        <v>1.49</v>
      </c>
      <c r="M1037">
        <v>2.4980000000000002</v>
      </c>
      <c r="N1037">
        <v>0.24399999999999999</v>
      </c>
      <c r="O1037">
        <v>2.6</v>
      </c>
      <c r="P1037">
        <v>0.67</v>
      </c>
      <c r="Q1037">
        <v>14</v>
      </c>
    </row>
    <row r="1038" spans="1:17" x14ac:dyDescent="0.25">
      <c r="A1038" s="1">
        <v>42699</v>
      </c>
      <c r="B1038">
        <v>7.3</v>
      </c>
      <c r="C1038">
        <v>152</v>
      </c>
      <c r="D1038">
        <v>3.407</v>
      </c>
      <c r="E1038">
        <v>11.05</v>
      </c>
      <c r="F1038">
        <v>6.2</v>
      </c>
      <c r="G1038">
        <v>1.7</v>
      </c>
      <c r="H1038" s="15">
        <v>4.4450000000000003</v>
      </c>
      <c r="I1038">
        <v>30.55</v>
      </c>
      <c r="J1038">
        <v>19.399999999999999</v>
      </c>
      <c r="K1038">
        <v>11.63</v>
      </c>
      <c r="L1038">
        <v>1.49</v>
      </c>
      <c r="M1038">
        <v>2.5059999999999998</v>
      </c>
      <c r="N1038">
        <v>0.23200000000000001</v>
      </c>
      <c r="O1038">
        <v>2.6</v>
      </c>
      <c r="P1038">
        <v>0.68</v>
      </c>
      <c r="Q1038">
        <v>15</v>
      </c>
    </row>
    <row r="1039" spans="1:17" x14ac:dyDescent="0.25">
      <c r="A1039" s="1">
        <v>42702</v>
      </c>
      <c r="B1039">
        <v>7.39</v>
      </c>
      <c r="C1039">
        <v>151.4</v>
      </c>
      <c r="D1039" t="e">
        <v>#N/A</v>
      </c>
      <c r="E1039">
        <v>11.4</v>
      </c>
      <c r="F1039">
        <v>6.25</v>
      </c>
      <c r="G1039">
        <v>1.69</v>
      </c>
      <c r="H1039" s="15">
        <v>4.4450000000000003</v>
      </c>
      <c r="I1039">
        <v>30.6</v>
      </c>
      <c r="J1039">
        <v>19.399999999999999</v>
      </c>
      <c r="K1039">
        <v>11.61</v>
      </c>
      <c r="L1039" t="e">
        <v>#N/A</v>
      </c>
      <c r="M1039">
        <v>2.5059999999999998</v>
      </c>
      <c r="N1039">
        <v>0.23100000000000001</v>
      </c>
      <c r="O1039">
        <v>2.6</v>
      </c>
      <c r="P1039">
        <v>0.7</v>
      </c>
      <c r="Q1039">
        <v>13</v>
      </c>
    </row>
    <row r="1040" spans="1:17" x14ac:dyDescent="0.25">
      <c r="A1040" s="1">
        <v>42703</v>
      </c>
      <c r="B1040">
        <v>7.37</v>
      </c>
      <c r="C1040">
        <v>154.30000000000001</v>
      </c>
      <c r="D1040">
        <v>3.4239999999999999</v>
      </c>
      <c r="E1040">
        <v>11.13</v>
      </c>
      <c r="F1040">
        <v>6.25</v>
      </c>
      <c r="G1040">
        <v>1.68</v>
      </c>
      <c r="H1040" s="15">
        <v>4.2969999999999997</v>
      </c>
      <c r="I1040">
        <v>31</v>
      </c>
      <c r="J1040">
        <v>19.45</v>
      </c>
      <c r="K1040" t="e">
        <v>#N/A</v>
      </c>
      <c r="L1040">
        <v>1.45</v>
      </c>
      <c r="M1040">
        <v>2.5059999999999998</v>
      </c>
      <c r="N1040">
        <v>0.23499999999999999</v>
      </c>
      <c r="O1040">
        <v>2.58</v>
      </c>
      <c r="P1040">
        <v>0.7</v>
      </c>
      <c r="Q1040">
        <v>14</v>
      </c>
    </row>
    <row r="1041" spans="1:17" x14ac:dyDescent="0.25">
      <c r="A1041" s="1">
        <v>42704</v>
      </c>
      <c r="B1041">
        <v>7.34</v>
      </c>
      <c r="C1041">
        <v>156.69999999999999</v>
      </c>
      <c r="D1041">
        <v>3.4239999999999999</v>
      </c>
      <c r="E1041">
        <v>11.1</v>
      </c>
      <c r="F1041">
        <v>6.3</v>
      </c>
      <c r="G1041">
        <v>1.71</v>
      </c>
      <c r="H1041" s="15">
        <v>4.2969999999999997</v>
      </c>
      <c r="I1041">
        <v>31.6</v>
      </c>
      <c r="J1041">
        <v>19.02</v>
      </c>
      <c r="K1041">
        <v>11.64</v>
      </c>
      <c r="L1041">
        <v>1.44</v>
      </c>
      <c r="M1041">
        <v>2.6469999999999998</v>
      </c>
      <c r="N1041">
        <v>0.24</v>
      </c>
      <c r="O1041">
        <v>2.61</v>
      </c>
      <c r="P1041">
        <v>0.68</v>
      </c>
      <c r="Q1041">
        <v>15</v>
      </c>
    </row>
    <row r="1042" spans="1:17" x14ac:dyDescent="0.25">
      <c r="A1042" s="1">
        <v>42705</v>
      </c>
      <c r="B1042">
        <v>7.34</v>
      </c>
      <c r="C1042">
        <v>159.19999999999999</v>
      </c>
      <c r="D1042">
        <v>3.4239999999999999</v>
      </c>
      <c r="E1042">
        <v>11.15</v>
      </c>
      <c r="F1042">
        <v>6.29</v>
      </c>
      <c r="G1042">
        <v>1.71</v>
      </c>
      <c r="H1042" s="15">
        <v>4.3760000000000003</v>
      </c>
      <c r="I1042">
        <v>32</v>
      </c>
      <c r="J1042">
        <v>19.100000000000001</v>
      </c>
      <c r="K1042">
        <v>11.61</v>
      </c>
      <c r="L1042">
        <v>1.44</v>
      </c>
      <c r="M1042">
        <v>2.58</v>
      </c>
      <c r="N1042">
        <v>0.24399999999999999</v>
      </c>
      <c r="O1042">
        <v>2.56</v>
      </c>
      <c r="P1042">
        <v>0.7</v>
      </c>
      <c r="Q1042">
        <v>15</v>
      </c>
    </row>
    <row r="1043" spans="1:17" x14ac:dyDescent="0.25">
      <c r="A1043" s="1">
        <v>42706</v>
      </c>
      <c r="B1043">
        <v>7.3</v>
      </c>
      <c r="C1043">
        <v>155.69999999999999</v>
      </c>
      <c r="D1043">
        <v>3.4420000000000002</v>
      </c>
      <c r="E1043">
        <v>11.48</v>
      </c>
      <c r="F1043">
        <v>6.25</v>
      </c>
      <c r="G1043">
        <v>1.72</v>
      </c>
      <c r="H1043" s="15">
        <v>4.4450000000000003</v>
      </c>
      <c r="I1043">
        <v>31.9</v>
      </c>
      <c r="J1043">
        <v>19.149999999999999</v>
      </c>
      <c r="K1043">
        <v>11.64</v>
      </c>
      <c r="L1043">
        <v>1.44</v>
      </c>
      <c r="M1043">
        <v>2.605</v>
      </c>
      <c r="N1043">
        <v>0.23300000000000001</v>
      </c>
      <c r="O1043">
        <v>2.5099999999999998</v>
      </c>
      <c r="P1043">
        <v>0.7</v>
      </c>
      <c r="Q1043">
        <v>15</v>
      </c>
    </row>
    <row r="1044" spans="1:17" x14ac:dyDescent="0.25">
      <c r="A1044" s="1">
        <v>42709</v>
      </c>
      <c r="B1044">
        <v>7.26</v>
      </c>
      <c r="C1044">
        <v>157.41</v>
      </c>
      <c r="D1044">
        <v>3.45</v>
      </c>
      <c r="E1044">
        <v>11.61</v>
      </c>
      <c r="F1044">
        <v>6.25</v>
      </c>
      <c r="G1044">
        <v>1.72</v>
      </c>
      <c r="H1044" s="15">
        <v>4.4349999999999996</v>
      </c>
      <c r="I1044">
        <v>31.85</v>
      </c>
      <c r="J1044">
        <v>19.21</v>
      </c>
      <c r="K1044">
        <v>11.64</v>
      </c>
      <c r="L1044">
        <v>1.43</v>
      </c>
      <c r="M1044">
        <v>2.5640000000000001</v>
      </c>
      <c r="N1044">
        <v>0.23300000000000001</v>
      </c>
      <c r="O1044">
        <v>2.5499999999999998</v>
      </c>
      <c r="P1044">
        <v>0.7</v>
      </c>
      <c r="Q1044">
        <v>15</v>
      </c>
    </row>
    <row r="1045" spans="1:17" x14ac:dyDescent="0.25">
      <c r="A1045" s="1">
        <v>42710</v>
      </c>
      <c r="B1045">
        <v>7.26</v>
      </c>
      <c r="C1045">
        <v>157.21</v>
      </c>
      <c r="D1045">
        <v>3.4849999999999999</v>
      </c>
      <c r="E1045">
        <v>11.79</v>
      </c>
      <c r="F1045">
        <v>6.2</v>
      </c>
      <c r="G1045">
        <v>1.7</v>
      </c>
      <c r="H1045" s="15">
        <v>4.4450000000000003</v>
      </c>
      <c r="I1045" t="e">
        <v>#N/A</v>
      </c>
      <c r="J1045">
        <v>19.21</v>
      </c>
      <c r="K1045">
        <v>11.63</v>
      </c>
      <c r="L1045">
        <v>1.45</v>
      </c>
      <c r="M1045">
        <v>2.5640000000000001</v>
      </c>
      <c r="N1045">
        <v>0.24</v>
      </c>
      <c r="O1045">
        <v>2.5099999999999998</v>
      </c>
      <c r="P1045">
        <v>0.69</v>
      </c>
      <c r="Q1045">
        <v>14</v>
      </c>
    </row>
    <row r="1046" spans="1:17" x14ac:dyDescent="0.25">
      <c r="A1046" s="1">
        <v>42711</v>
      </c>
      <c r="B1046">
        <v>7.26</v>
      </c>
      <c r="C1046">
        <v>158</v>
      </c>
      <c r="D1046">
        <v>3.5720000000000001</v>
      </c>
      <c r="E1046">
        <v>11.94</v>
      </c>
      <c r="F1046">
        <v>6.18</v>
      </c>
      <c r="G1046">
        <v>1.65</v>
      </c>
      <c r="H1046" s="15">
        <v>4.4749999999999996</v>
      </c>
      <c r="I1046">
        <v>31.8</v>
      </c>
      <c r="J1046">
        <v>19.22</v>
      </c>
      <c r="K1046">
        <v>11.6</v>
      </c>
      <c r="L1046">
        <v>1.44</v>
      </c>
      <c r="M1046">
        <v>2.63</v>
      </c>
      <c r="N1046">
        <v>0.23799999999999999</v>
      </c>
      <c r="O1046">
        <v>2.48</v>
      </c>
      <c r="P1046">
        <v>0.71</v>
      </c>
      <c r="Q1046">
        <v>15</v>
      </c>
    </row>
    <row r="1047" spans="1:17" x14ac:dyDescent="0.25">
      <c r="A1047" s="1">
        <v>42713</v>
      </c>
      <c r="B1047">
        <v>7.2</v>
      </c>
      <c r="C1047">
        <v>159.69999999999999</v>
      </c>
      <c r="D1047">
        <v>3.5539999999999998</v>
      </c>
      <c r="E1047">
        <v>11.17</v>
      </c>
      <c r="F1047">
        <v>6.18</v>
      </c>
      <c r="G1047">
        <v>1.65</v>
      </c>
      <c r="H1047" s="15">
        <v>4.4450000000000003</v>
      </c>
      <c r="I1047">
        <v>31</v>
      </c>
      <c r="J1047">
        <v>19.32</v>
      </c>
      <c r="K1047">
        <v>11.6</v>
      </c>
      <c r="L1047">
        <v>1.46</v>
      </c>
      <c r="M1047">
        <v>2.7290000000000001</v>
      </c>
      <c r="N1047">
        <v>0.23599999999999999</v>
      </c>
      <c r="O1047">
        <v>2.4700000000000002</v>
      </c>
      <c r="P1047">
        <v>0.72</v>
      </c>
      <c r="Q1047">
        <v>15</v>
      </c>
    </row>
    <row r="1048" spans="1:17" x14ac:dyDescent="0.25">
      <c r="A1048" s="1">
        <v>42716</v>
      </c>
      <c r="B1048">
        <v>7.1</v>
      </c>
      <c r="C1048">
        <v>155.69999999999999</v>
      </c>
      <c r="D1048">
        <v>3.5539999999999998</v>
      </c>
      <c r="E1048">
        <v>11.36</v>
      </c>
      <c r="F1048">
        <v>6.2</v>
      </c>
      <c r="G1048">
        <v>1.65</v>
      </c>
      <c r="H1048" s="15">
        <v>4.4950000000000001</v>
      </c>
      <c r="I1048">
        <v>30.5</v>
      </c>
      <c r="J1048">
        <v>19.3</v>
      </c>
      <c r="K1048">
        <v>11.7</v>
      </c>
      <c r="L1048">
        <v>1.5</v>
      </c>
      <c r="M1048">
        <v>2.746</v>
      </c>
      <c r="N1048">
        <v>0.23599999999999999</v>
      </c>
      <c r="O1048">
        <v>2.4500000000000002</v>
      </c>
      <c r="P1048">
        <v>0.75</v>
      </c>
      <c r="Q1048">
        <v>15</v>
      </c>
    </row>
    <row r="1049" spans="1:17" x14ac:dyDescent="0.25">
      <c r="A1049" s="1">
        <v>42717</v>
      </c>
      <c r="B1049">
        <v>7.04</v>
      </c>
      <c r="C1049">
        <v>157.30000000000001</v>
      </c>
      <c r="D1049">
        <v>3.6760000000000002</v>
      </c>
      <c r="E1049">
        <v>11.3</v>
      </c>
      <c r="F1049">
        <v>6.2</v>
      </c>
      <c r="G1049">
        <v>1.68</v>
      </c>
      <c r="H1049" s="15">
        <v>4.4450000000000003</v>
      </c>
      <c r="I1049">
        <v>30.63</v>
      </c>
      <c r="J1049">
        <v>19.5</v>
      </c>
      <c r="K1049">
        <v>11.91</v>
      </c>
      <c r="L1049">
        <v>1.48</v>
      </c>
      <c r="M1049">
        <v>2.746</v>
      </c>
      <c r="N1049">
        <v>0.23499999999999999</v>
      </c>
      <c r="O1049">
        <v>2.48</v>
      </c>
      <c r="P1049">
        <v>0.75</v>
      </c>
      <c r="Q1049">
        <v>15</v>
      </c>
    </row>
    <row r="1050" spans="1:17" x14ac:dyDescent="0.25">
      <c r="A1050" s="1">
        <v>42718</v>
      </c>
      <c r="B1050">
        <v>7.03</v>
      </c>
      <c r="C1050">
        <v>156.6</v>
      </c>
      <c r="D1050">
        <v>3.641</v>
      </c>
      <c r="E1050">
        <v>10.89</v>
      </c>
      <c r="F1050">
        <v>6.15</v>
      </c>
      <c r="G1050">
        <v>1.71</v>
      </c>
      <c r="H1050" s="15">
        <v>4.415</v>
      </c>
      <c r="I1050">
        <v>31.02</v>
      </c>
      <c r="J1050">
        <v>19.5</v>
      </c>
      <c r="K1050">
        <v>12.22</v>
      </c>
      <c r="L1050">
        <v>1.45</v>
      </c>
      <c r="M1050">
        <v>2.8119999999999998</v>
      </c>
      <c r="N1050">
        <v>0.23</v>
      </c>
      <c r="O1050">
        <v>2.5</v>
      </c>
      <c r="P1050">
        <v>0.75</v>
      </c>
      <c r="Q1050">
        <v>15</v>
      </c>
    </row>
    <row r="1051" spans="1:17" x14ac:dyDescent="0.25">
      <c r="A1051" s="1">
        <v>42719</v>
      </c>
      <c r="B1051">
        <v>7</v>
      </c>
      <c r="C1051">
        <v>156.80000000000001</v>
      </c>
      <c r="D1051">
        <v>3.641</v>
      </c>
      <c r="E1051">
        <v>10.16</v>
      </c>
      <c r="F1051">
        <v>6.14</v>
      </c>
      <c r="G1051">
        <v>1.7</v>
      </c>
      <c r="H1051" s="15">
        <v>4.4950000000000001</v>
      </c>
      <c r="I1051">
        <v>31.2</v>
      </c>
      <c r="J1051">
        <v>19.5</v>
      </c>
      <c r="K1051">
        <v>12.25</v>
      </c>
      <c r="L1051">
        <v>1.45</v>
      </c>
      <c r="M1051">
        <v>2.7869999999999999</v>
      </c>
      <c r="N1051">
        <v>0.22800000000000001</v>
      </c>
      <c r="O1051">
        <v>2.48</v>
      </c>
      <c r="P1051">
        <v>0.73</v>
      </c>
      <c r="Q1051">
        <v>15</v>
      </c>
    </row>
    <row r="1052" spans="1:17" x14ac:dyDescent="0.25">
      <c r="A1052" s="1">
        <v>42720</v>
      </c>
      <c r="B1052">
        <v>7.08</v>
      </c>
      <c r="C1052">
        <v>156.80000000000001</v>
      </c>
      <c r="D1052">
        <v>3.641</v>
      </c>
      <c r="E1052">
        <v>10.14</v>
      </c>
      <c r="F1052">
        <v>6.15</v>
      </c>
      <c r="G1052">
        <v>1.7</v>
      </c>
      <c r="H1052" s="15">
        <v>4.5439999999999996</v>
      </c>
      <c r="I1052">
        <v>31.8</v>
      </c>
      <c r="J1052">
        <v>19.7</v>
      </c>
      <c r="K1052">
        <v>12.3</v>
      </c>
      <c r="L1052">
        <v>1.45</v>
      </c>
      <c r="M1052">
        <v>2.7869999999999999</v>
      </c>
      <c r="N1052">
        <v>0.218</v>
      </c>
      <c r="O1052">
        <v>2.48</v>
      </c>
      <c r="P1052">
        <v>0.72</v>
      </c>
      <c r="Q1052">
        <v>15</v>
      </c>
    </row>
    <row r="1053" spans="1:17" x14ac:dyDescent="0.25">
      <c r="A1053" s="1">
        <v>42723</v>
      </c>
      <c r="B1053">
        <v>7.08</v>
      </c>
      <c r="C1053">
        <v>155.69999999999999</v>
      </c>
      <c r="D1053">
        <v>3.6240000000000001</v>
      </c>
      <c r="E1053">
        <v>10.11</v>
      </c>
      <c r="F1053">
        <v>6.14</v>
      </c>
      <c r="G1053">
        <v>1.68</v>
      </c>
      <c r="H1053" s="15">
        <v>4.5140000000000002</v>
      </c>
      <c r="I1053">
        <v>31.95</v>
      </c>
      <c r="J1053">
        <v>19.5</v>
      </c>
      <c r="K1053">
        <v>12.5</v>
      </c>
      <c r="L1053">
        <v>1.45</v>
      </c>
      <c r="M1053">
        <v>2.7869999999999999</v>
      </c>
      <c r="N1053">
        <v>0.215</v>
      </c>
      <c r="O1053">
        <v>2.5</v>
      </c>
      <c r="P1053">
        <v>0.71</v>
      </c>
      <c r="Q1053">
        <v>15</v>
      </c>
    </row>
    <row r="1054" spans="1:17" x14ac:dyDescent="0.25">
      <c r="A1054" s="1">
        <v>42724</v>
      </c>
      <c r="B1054">
        <v>7.18</v>
      </c>
      <c r="C1054">
        <v>156.9</v>
      </c>
      <c r="D1054">
        <v>3.6240000000000001</v>
      </c>
      <c r="E1054">
        <v>10.4</v>
      </c>
      <c r="F1054">
        <v>6.19</v>
      </c>
      <c r="G1054">
        <v>1.66</v>
      </c>
      <c r="H1054" s="15">
        <v>4.5439999999999996</v>
      </c>
      <c r="I1054">
        <v>31.9</v>
      </c>
      <c r="J1054">
        <v>19.5</v>
      </c>
      <c r="K1054">
        <v>12.56</v>
      </c>
      <c r="L1054">
        <v>1.47</v>
      </c>
      <c r="M1054">
        <v>2.7869999999999999</v>
      </c>
      <c r="N1054">
        <v>0.22</v>
      </c>
      <c r="O1054">
        <v>2.5499999999999998</v>
      </c>
      <c r="P1054">
        <v>0.71</v>
      </c>
      <c r="Q1054">
        <v>15</v>
      </c>
    </row>
    <row r="1055" spans="1:17" x14ac:dyDescent="0.25">
      <c r="A1055" s="1">
        <v>42725</v>
      </c>
      <c r="B1055">
        <v>7.3</v>
      </c>
      <c r="C1055">
        <v>158.30000000000001</v>
      </c>
      <c r="D1055">
        <v>3.6059999999999999</v>
      </c>
      <c r="E1055">
        <v>10.4</v>
      </c>
      <c r="F1055">
        <v>6.25</v>
      </c>
      <c r="G1055">
        <v>1.7</v>
      </c>
      <c r="H1055" s="15">
        <v>5.117</v>
      </c>
      <c r="I1055">
        <v>31.84</v>
      </c>
      <c r="J1055">
        <v>19.5</v>
      </c>
      <c r="K1055">
        <v>12.9</v>
      </c>
      <c r="L1055">
        <v>1.47</v>
      </c>
      <c r="M1055">
        <v>2.7869999999999999</v>
      </c>
      <c r="N1055">
        <v>0.22500000000000001</v>
      </c>
      <c r="O1055">
        <v>2.5499999999999998</v>
      </c>
      <c r="P1055">
        <v>0.73</v>
      </c>
      <c r="Q1055">
        <v>15</v>
      </c>
    </row>
    <row r="1056" spans="1:17" x14ac:dyDescent="0.25">
      <c r="A1056" s="1">
        <v>42726</v>
      </c>
      <c r="B1056">
        <v>7.3</v>
      </c>
      <c r="C1056">
        <v>156.5</v>
      </c>
      <c r="D1056">
        <v>3.5979999999999999</v>
      </c>
      <c r="E1056">
        <v>10.61</v>
      </c>
      <c r="F1056">
        <v>6.2</v>
      </c>
      <c r="G1056">
        <v>1.71</v>
      </c>
      <c r="H1056" s="15">
        <v>4.9889999999999999</v>
      </c>
      <c r="I1056">
        <v>31.95</v>
      </c>
      <c r="J1056">
        <v>19.489999999999998</v>
      </c>
      <c r="K1056">
        <v>13</v>
      </c>
      <c r="L1056" t="e">
        <v>#N/A</v>
      </c>
      <c r="M1056">
        <v>2.8119999999999998</v>
      </c>
      <c r="N1056">
        <v>0.222</v>
      </c>
      <c r="O1056">
        <v>2.5299999999999998</v>
      </c>
      <c r="P1056">
        <v>0.73</v>
      </c>
      <c r="Q1056">
        <v>14</v>
      </c>
    </row>
    <row r="1057" spans="1:17" x14ac:dyDescent="0.25">
      <c r="A1057" s="1">
        <v>42727</v>
      </c>
      <c r="B1057">
        <v>7.3</v>
      </c>
      <c r="C1057">
        <v>156.30000000000001</v>
      </c>
      <c r="D1057">
        <v>3.5979999999999999</v>
      </c>
      <c r="E1057">
        <v>10.32</v>
      </c>
      <c r="F1057">
        <v>6.2</v>
      </c>
      <c r="G1057">
        <v>1.71</v>
      </c>
      <c r="H1057" s="15">
        <v>4.9189999999999996</v>
      </c>
      <c r="I1057">
        <v>31.75</v>
      </c>
      <c r="J1057" t="e">
        <v>#N/A</v>
      </c>
      <c r="K1057">
        <v>13.05</v>
      </c>
      <c r="L1057" t="e">
        <v>#N/A</v>
      </c>
      <c r="M1057">
        <v>2.8119999999999998</v>
      </c>
      <c r="N1057">
        <v>0.215</v>
      </c>
      <c r="O1057" t="e">
        <v>#N/A</v>
      </c>
      <c r="P1057">
        <v>0.73</v>
      </c>
      <c r="Q1057">
        <v>12</v>
      </c>
    </row>
    <row r="1058" spans="1:17" x14ac:dyDescent="0.25">
      <c r="A1058" s="1">
        <v>42730</v>
      </c>
      <c r="B1058">
        <v>7.3</v>
      </c>
      <c r="C1058">
        <v>156.19999999999999</v>
      </c>
      <c r="D1058">
        <v>3.5539999999999998</v>
      </c>
      <c r="E1058">
        <v>10.5</v>
      </c>
      <c r="F1058">
        <v>6.15</v>
      </c>
      <c r="G1058">
        <v>1.71</v>
      </c>
      <c r="H1058" s="15">
        <v>4.9000000000000004</v>
      </c>
      <c r="I1058">
        <v>31.76</v>
      </c>
      <c r="J1058">
        <v>19.45</v>
      </c>
      <c r="K1058">
        <v>13.06</v>
      </c>
      <c r="L1058">
        <v>1.48</v>
      </c>
      <c r="M1058">
        <v>2.82</v>
      </c>
      <c r="N1058">
        <v>0.215</v>
      </c>
      <c r="O1058">
        <v>2.5299999999999998</v>
      </c>
      <c r="P1058">
        <v>0.73</v>
      </c>
      <c r="Q1058">
        <v>15</v>
      </c>
    </row>
    <row r="1059" spans="1:17" x14ac:dyDescent="0.25">
      <c r="A1059" s="1">
        <v>42731</v>
      </c>
      <c r="B1059">
        <v>7.3</v>
      </c>
      <c r="C1059">
        <v>156</v>
      </c>
      <c r="D1059">
        <v>3.5539999999999998</v>
      </c>
      <c r="E1059">
        <v>10.93</v>
      </c>
      <c r="F1059">
        <v>6.15</v>
      </c>
      <c r="G1059">
        <v>1.71</v>
      </c>
      <c r="H1059" s="15">
        <v>4.7709999999999999</v>
      </c>
      <c r="I1059">
        <v>31.77</v>
      </c>
      <c r="J1059">
        <v>19.399999999999999</v>
      </c>
      <c r="K1059">
        <v>13.06</v>
      </c>
      <c r="L1059">
        <v>1.45</v>
      </c>
      <c r="M1059">
        <v>2.82</v>
      </c>
      <c r="N1059">
        <v>0.222</v>
      </c>
      <c r="O1059">
        <v>2.48</v>
      </c>
      <c r="P1059">
        <v>0.73</v>
      </c>
      <c r="Q1059">
        <v>15</v>
      </c>
    </row>
    <row r="1060" spans="1:17" x14ac:dyDescent="0.25">
      <c r="A1060" s="1">
        <v>42732</v>
      </c>
      <c r="B1060">
        <v>7.35</v>
      </c>
      <c r="C1060">
        <v>158</v>
      </c>
      <c r="D1060">
        <v>3.5110000000000001</v>
      </c>
      <c r="E1060">
        <v>11.17</v>
      </c>
      <c r="F1060">
        <v>6.14</v>
      </c>
      <c r="G1060">
        <v>1.7</v>
      </c>
      <c r="H1060" s="15">
        <v>4.6719999999999997</v>
      </c>
      <c r="I1060">
        <v>31.77</v>
      </c>
      <c r="J1060">
        <v>19.399999999999999</v>
      </c>
      <c r="K1060">
        <v>13.1</v>
      </c>
      <c r="L1060">
        <v>1.45</v>
      </c>
      <c r="M1060">
        <v>2.82</v>
      </c>
      <c r="N1060">
        <v>0.22500000000000001</v>
      </c>
      <c r="O1060">
        <v>2.48</v>
      </c>
      <c r="P1060">
        <v>0.74</v>
      </c>
      <c r="Q1060">
        <v>15</v>
      </c>
    </row>
    <row r="1061" spans="1:17" x14ac:dyDescent="0.25">
      <c r="A1061" s="1">
        <v>42733</v>
      </c>
      <c r="B1061">
        <v>7.3</v>
      </c>
      <c r="C1061">
        <v>158.19999999999999</v>
      </c>
      <c r="D1061">
        <v>3.5110000000000001</v>
      </c>
      <c r="E1061">
        <v>11.8</v>
      </c>
      <c r="F1061">
        <v>6.15</v>
      </c>
      <c r="G1061">
        <v>1.73</v>
      </c>
      <c r="H1061" s="15">
        <v>4.6920000000000002</v>
      </c>
      <c r="I1061">
        <v>31.7</v>
      </c>
      <c r="J1061">
        <v>19.38</v>
      </c>
      <c r="K1061">
        <v>13.09</v>
      </c>
      <c r="L1061">
        <v>1.45</v>
      </c>
      <c r="M1061">
        <v>2.8290000000000002</v>
      </c>
      <c r="N1061">
        <v>0.23</v>
      </c>
      <c r="O1061">
        <v>2.4900000000000002</v>
      </c>
      <c r="P1061">
        <v>0.73</v>
      </c>
      <c r="Q1061">
        <v>15</v>
      </c>
    </row>
    <row r="1062" spans="1:17" x14ac:dyDescent="0.25">
      <c r="A1062" s="1">
        <v>42734</v>
      </c>
      <c r="B1062">
        <v>7.3</v>
      </c>
      <c r="C1062" t="e">
        <v>#N/A</v>
      </c>
      <c r="D1062">
        <v>3.468</v>
      </c>
      <c r="E1062">
        <v>11.5</v>
      </c>
      <c r="F1062">
        <v>6.3</v>
      </c>
      <c r="G1062">
        <v>1.69</v>
      </c>
      <c r="H1062" s="15">
        <v>4.6429999999999998</v>
      </c>
      <c r="I1062">
        <v>32</v>
      </c>
      <c r="J1062">
        <v>19.38</v>
      </c>
      <c r="K1062">
        <v>13.09</v>
      </c>
      <c r="L1062" t="e">
        <v>#N/A</v>
      </c>
      <c r="M1062" t="e">
        <v>#N/A</v>
      </c>
      <c r="N1062">
        <v>0.23300000000000001</v>
      </c>
      <c r="O1062">
        <v>2.56</v>
      </c>
      <c r="P1062">
        <v>0.72</v>
      </c>
      <c r="Q1062">
        <v>12</v>
      </c>
    </row>
    <row r="1063" spans="1:17" x14ac:dyDescent="0.25">
      <c r="A1063" s="1">
        <v>42737</v>
      </c>
      <c r="B1063">
        <v>7.29</v>
      </c>
      <c r="C1063">
        <v>158.30000000000001</v>
      </c>
      <c r="D1063" t="e">
        <v>#N/A</v>
      </c>
      <c r="E1063">
        <v>11.35</v>
      </c>
      <c r="F1063">
        <v>6.31</v>
      </c>
      <c r="G1063">
        <v>1.69</v>
      </c>
      <c r="H1063" s="15">
        <v>4.5439999999999996</v>
      </c>
      <c r="I1063" t="e">
        <v>#N/A</v>
      </c>
      <c r="J1063" t="e">
        <v>#N/A</v>
      </c>
      <c r="K1063">
        <v>13.09</v>
      </c>
      <c r="L1063">
        <v>1.45</v>
      </c>
      <c r="M1063">
        <v>2.8450000000000002</v>
      </c>
      <c r="N1063">
        <v>0.23799999999999999</v>
      </c>
      <c r="O1063" t="e">
        <v>#N/A</v>
      </c>
      <c r="P1063">
        <v>0.72</v>
      </c>
      <c r="Q1063">
        <v>11</v>
      </c>
    </row>
    <row r="1064" spans="1:17" x14ac:dyDescent="0.25">
      <c r="A1064" s="1">
        <v>42738</v>
      </c>
      <c r="B1064">
        <v>7.29</v>
      </c>
      <c r="C1064">
        <v>161.30000000000001</v>
      </c>
      <c r="D1064">
        <v>3.4239999999999999</v>
      </c>
      <c r="E1064">
        <v>12</v>
      </c>
      <c r="F1064">
        <v>6.3</v>
      </c>
      <c r="G1064">
        <v>1.68</v>
      </c>
      <c r="H1064" s="15">
        <v>4.5739999999999998</v>
      </c>
      <c r="I1064">
        <v>32</v>
      </c>
      <c r="J1064">
        <v>19.399999999999999</v>
      </c>
      <c r="K1064">
        <v>13.04</v>
      </c>
      <c r="L1064">
        <v>1.47</v>
      </c>
      <c r="M1064" t="e">
        <v>#N/A</v>
      </c>
      <c r="N1064">
        <v>0.24399999999999999</v>
      </c>
      <c r="O1064">
        <v>2.57</v>
      </c>
      <c r="P1064">
        <v>0.75</v>
      </c>
      <c r="Q1064">
        <v>14</v>
      </c>
    </row>
    <row r="1065" spans="1:17" x14ac:dyDescent="0.25">
      <c r="A1065" s="1">
        <v>42739</v>
      </c>
      <c r="B1065">
        <v>7.3</v>
      </c>
      <c r="C1065">
        <v>163.80000000000001</v>
      </c>
      <c r="D1065">
        <v>3.468</v>
      </c>
      <c r="E1065">
        <v>12.6</v>
      </c>
      <c r="F1065">
        <v>6.34</v>
      </c>
      <c r="G1065">
        <v>1.65</v>
      </c>
      <c r="H1065" s="15">
        <v>4.4450000000000003</v>
      </c>
      <c r="I1065">
        <v>31.98</v>
      </c>
      <c r="J1065">
        <v>19.3</v>
      </c>
      <c r="K1065">
        <v>13.02</v>
      </c>
      <c r="L1065">
        <v>1.45</v>
      </c>
      <c r="M1065">
        <v>2.8290000000000002</v>
      </c>
      <c r="N1065">
        <v>0.248</v>
      </c>
      <c r="O1065">
        <v>2.56</v>
      </c>
      <c r="P1065">
        <v>0.76</v>
      </c>
      <c r="Q1065">
        <v>15</v>
      </c>
    </row>
    <row r="1066" spans="1:17" x14ac:dyDescent="0.25">
      <c r="A1066" s="1">
        <v>42740</v>
      </c>
      <c r="B1066">
        <v>7.4</v>
      </c>
      <c r="C1066">
        <v>164.01</v>
      </c>
      <c r="D1066">
        <v>3.5539999999999998</v>
      </c>
      <c r="E1066">
        <v>13</v>
      </c>
      <c r="F1066">
        <v>6.4</v>
      </c>
      <c r="G1066">
        <v>1.69</v>
      </c>
      <c r="H1066" s="15">
        <v>4.2380000000000004</v>
      </c>
      <c r="I1066">
        <v>31.95</v>
      </c>
      <c r="J1066">
        <v>19.399999999999999</v>
      </c>
      <c r="K1066">
        <v>12.82</v>
      </c>
      <c r="L1066">
        <v>1.48</v>
      </c>
      <c r="M1066">
        <v>2.8780000000000001</v>
      </c>
      <c r="N1066">
        <v>0.24</v>
      </c>
      <c r="O1066">
        <v>2.54</v>
      </c>
      <c r="P1066">
        <v>0.76</v>
      </c>
      <c r="Q1066">
        <v>15</v>
      </c>
    </row>
    <row r="1067" spans="1:17" x14ac:dyDescent="0.25">
      <c r="A1067" s="1">
        <v>42741</v>
      </c>
      <c r="B1067">
        <v>7.45</v>
      </c>
      <c r="C1067">
        <v>164.6</v>
      </c>
      <c r="D1067">
        <v>3.5369999999999999</v>
      </c>
      <c r="E1067">
        <v>12.4</v>
      </c>
      <c r="F1067">
        <v>6.45</v>
      </c>
      <c r="G1067">
        <v>1.69</v>
      </c>
      <c r="H1067" s="15">
        <v>4.1589999999999998</v>
      </c>
      <c r="I1067">
        <v>31.9</v>
      </c>
      <c r="J1067">
        <v>19.39</v>
      </c>
      <c r="K1067">
        <v>12.8</v>
      </c>
      <c r="L1067">
        <v>1.49</v>
      </c>
      <c r="M1067">
        <v>2.9529999999999998</v>
      </c>
      <c r="N1067">
        <v>0.24</v>
      </c>
      <c r="O1067">
        <v>2.5099999999999998</v>
      </c>
      <c r="P1067">
        <v>0.76</v>
      </c>
      <c r="Q1067">
        <v>15</v>
      </c>
    </row>
    <row r="1068" spans="1:17" x14ac:dyDescent="0.25">
      <c r="A1068" s="1">
        <v>42744</v>
      </c>
      <c r="B1068">
        <v>7.5</v>
      </c>
      <c r="C1068">
        <v>164.05</v>
      </c>
      <c r="D1068">
        <v>3.5539999999999998</v>
      </c>
      <c r="E1068">
        <v>13</v>
      </c>
      <c r="F1068">
        <v>6.44</v>
      </c>
      <c r="G1068">
        <v>1.7</v>
      </c>
      <c r="H1068" s="15">
        <v>3.8530000000000002</v>
      </c>
      <c r="I1068">
        <v>31.87</v>
      </c>
      <c r="J1068">
        <v>19.25</v>
      </c>
      <c r="K1068">
        <v>12.85</v>
      </c>
      <c r="L1068">
        <v>1.5</v>
      </c>
      <c r="M1068" t="e">
        <v>#N/A</v>
      </c>
      <c r="N1068">
        <v>0.23100000000000001</v>
      </c>
      <c r="O1068">
        <v>2.5</v>
      </c>
      <c r="P1068">
        <v>0.76</v>
      </c>
      <c r="Q1068">
        <v>14</v>
      </c>
    </row>
    <row r="1069" spans="1:17" x14ac:dyDescent="0.25">
      <c r="A1069" s="1">
        <v>42745</v>
      </c>
      <c r="B1069">
        <v>7.52</v>
      </c>
      <c r="C1069">
        <v>165.06</v>
      </c>
      <c r="D1069">
        <v>3.5539999999999998</v>
      </c>
      <c r="E1069">
        <v>13.1</v>
      </c>
      <c r="F1069">
        <v>6.5</v>
      </c>
      <c r="G1069">
        <v>1.72</v>
      </c>
      <c r="H1069" s="15">
        <v>3.823</v>
      </c>
      <c r="I1069">
        <v>31.51</v>
      </c>
      <c r="J1069">
        <v>19.5</v>
      </c>
      <c r="K1069">
        <v>13.15</v>
      </c>
      <c r="L1069">
        <v>1.5</v>
      </c>
      <c r="M1069">
        <v>2.9769999999999999</v>
      </c>
      <c r="N1069">
        <v>0.24</v>
      </c>
      <c r="O1069">
        <v>2.5</v>
      </c>
      <c r="P1069">
        <v>0.77</v>
      </c>
      <c r="Q1069">
        <v>15</v>
      </c>
    </row>
    <row r="1070" spans="1:17" x14ac:dyDescent="0.25">
      <c r="A1070" s="1">
        <v>42746</v>
      </c>
      <c r="B1070">
        <v>7.53</v>
      </c>
      <c r="C1070">
        <v>164</v>
      </c>
      <c r="D1070">
        <v>3.5720000000000001</v>
      </c>
      <c r="E1070">
        <v>13</v>
      </c>
      <c r="F1070">
        <v>6.5</v>
      </c>
      <c r="G1070">
        <v>1.72</v>
      </c>
      <c r="H1070" s="15">
        <v>3.4569999999999999</v>
      </c>
      <c r="I1070">
        <v>32</v>
      </c>
      <c r="J1070">
        <v>19.5</v>
      </c>
      <c r="K1070">
        <v>13.15</v>
      </c>
      <c r="L1070">
        <v>1.51</v>
      </c>
      <c r="M1070">
        <v>2.9529999999999998</v>
      </c>
      <c r="N1070">
        <v>0.24399999999999999</v>
      </c>
      <c r="O1070">
        <v>2.5</v>
      </c>
      <c r="P1070">
        <v>0.77</v>
      </c>
      <c r="Q1070">
        <v>15</v>
      </c>
    </row>
    <row r="1071" spans="1:17" x14ac:dyDescent="0.25">
      <c r="A1071" s="1">
        <v>42747</v>
      </c>
      <c r="B1071">
        <v>7.4</v>
      </c>
      <c r="C1071">
        <v>163.19999999999999</v>
      </c>
      <c r="D1071">
        <v>3.5720000000000001</v>
      </c>
      <c r="E1071">
        <v>13.15</v>
      </c>
      <c r="F1071">
        <v>6.4</v>
      </c>
      <c r="G1071">
        <v>1.72</v>
      </c>
      <c r="H1071" s="15">
        <v>2.9540000000000002</v>
      </c>
      <c r="I1071">
        <v>31.51</v>
      </c>
      <c r="J1071" t="e">
        <v>#N/A</v>
      </c>
      <c r="K1071">
        <v>12.95</v>
      </c>
      <c r="L1071">
        <v>1.5</v>
      </c>
      <c r="M1071" t="e">
        <v>#N/A</v>
      </c>
      <c r="N1071">
        <v>0.24</v>
      </c>
      <c r="O1071">
        <v>2.48</v>
      </c>
      <c r="P1071">
        <v>0.78</v>
      </c>
      <c r="Q1071">
        <v>13</v>
      </c>
    </row>
    <row r="1072" spans="1:17" x14ac:dyDescent="0.25">
      <c r="A1072" s="1">
        <v>42748</v>
      </c>
      <c r="B1072">
        <v>7.37</v>
      </c>
      <c r="C1072">
        <v>160.81</v>
      </c>
      <c r="D1072">
        <v>3.589</v>
      </c>
      <c r="E1072">
        <v>13.08</v>
      </c>
      <c r="F1072">
        <v>6.4</v>
      </c>
      <c r="G1072">
        <v>1.72</v>
      </c>
      <c r="H1072" s="15">
        <v>3.25</v>
      </c>
      <c r="I1072">
        <v>32</v>
      </c>
      <c r="J1072">
        <v>19.399999999999999</v>
      </c>
      <c r="K1072">
        <v>12.75</v>
      </c>
      <c r="L1072">
        <v>1.5</v>
      </c>
      <c r="M1072">
        <v>2.895</v>
      </c>
      <c r="N1072">
        <v>0.24</v>
      </c>
      <c r="O1072">
        <v>2.5</v>
      </c>
      <c r="P1072">
        <v>0.81</v>
      </c>
      <c r="Q1072">
        <v>15</v>
      </c>
    </row>
    <row r="1073" spans="1:17" x14ac:dyDescent="0.25">
      <c r="A1073" s="1">
        <v>42751</v>
      </c>
      <c r="B1073">
        <v>7.33</v>
      </c>
      <c r="C1073" t="e">
        <v>#N/A</v>
      </c>
      <c r="D1073">
        <v>3.5630000000000002</v>
      </c>
      <c r="E1073" t="e">
        <v>#N/A</v>
      </c>
      <c r="F1073">
        <v>6.37</v>
      </c>
      <c r="G1073">
        <v>1.71</v>
      </c>
      <c r="H1073" s="15">
        <v>3.25</v>
      </c>
      <c r="I1073">
        <v>32</v>
      </c>
      <c r="J1073">
        <v>19.5</v>
      </c>
      <c r="K1073">
        <v>12.75</v>
      </c>
      <c r="L1073">
        <v>1.49</v>
      </c>
      <c r="M1073">
        <v>2.7290000000000001</v>
      </c>
      <c r="N1073">
        <v>0.24</v>
      </c>
      <c r="O1073">
        <v>2.5</v>
      </c>
      <c r="P1073">
        <v>0.81</v>
      </c>
      <c r="Q1073">
        <v>13</v>
      </c>
    </row>
    <row r="1074" spans="1:17" x14ac:dyDescent="0.25">
      <c r="A1074" s="1">
        <v>42752</v>
      </c>
      <c r="B1074">
        <v>7.2</v>
      </c>
      <c r="C1074">
        <v>160.69999999999999</v>
      </c>
      <c r="D1074">
        <v>3.589</v>
      </c>
      <c r="E1074">
        <v>13.4</v>
      </c>
      <c r="F1074">
        <v>6.34</v>
      </c>
      <c r="G1074">
        <v>1.72</v>
      </c>
      <c r="H1074" s="15">
        <v>3.21</v>
      </c>
      <c r="I1074" t="e">
        <v>#N/A</v>
      </c>
      <c r="J1074">
        <v>19.5</v>
      </c>
      <c r="K1074" t="e">
        <v>#N/A</v>
      </c>
      <c r="L1074" t="e">
        <v>#N/A</v>
      </c>
      <c r="M1074">
        <v>2.7290000000000001</v>
      </c>
      <c r="N1074">
        <v>0.24</v>
      </c>
      <c r="O1074">
        <v>2.48</v>
      </c>
      <c r="P1074">
        <v>0.81</v>
      </c>
      <c r="Q1074">
        <v>12</v>
      </c>
    </row>
    <row r="1075" spans="1:17" x14ac:dyDescent="0.25">
      <c r="A1075" s="1">
        <v>42753</v>
      </c>
      <c r="B1075">
        <v>7.22</v>
      </c>
      <c r="C1075">
        <v>161.5</v>
      </c>
      <c r="D1075">
        <v>3.5630000000000002</v>
      </c>
      <c r="E1075">
        <v>13</v>
      </c>
      <c r="F1075">
        <v>6.37</v>
      </c>
      <c r="G1075">
        <v>1.73</v>
      </c>
      <c r="H1075" s="15">
        <v>3.24</v>
      </c>
      <c r="I1075">
        <v>31.9</v>
      </c>
      <c r="J1075">
        <v>19.45</v>
      </c>
      <c r="K1075">
        <v>12.69</v>
      </c>
      <c r="L1075">
        <v>1.49</v>
      </c>
      <c r="M1075">
        <v>2.7709999999999999</v>
      </c>
      <c r="N1075">
        <v>0.23400000000000001</v>
      </c>
      <c r="O1075">
        <v>2.4700000000000002</v>
      </c>
      <c r="P1075">
        <v>0.8</v>
      </c>
      <c r="Q1075">
        <v>15</v>
      </c>
    </row>
    <row r="1076" spans="1:17" x14ac:dyDescent="0.25">
      <c r="A1076" s="1">
        <v>42754</v>
      </c>
      <c r="B1076">
        <v>7.22</v>
      </c>
      <c r="C1076">
        <v>159.5</v>
      </c>
      <c r="D1076">
        <v>3.5720000000000001</v>
      </c>
      <c r="E1076">
        <v>12.9</v>
      </c>
      <c r="F1076">
        <v>6.3</v>
      </c>
      <c r="G1076">
        <v>1.72</v>
      </c>
      <c r="H1076" s="15">
        <v>3.1120000000000001</v>
      </c>
      <c r="I1076">
        <v>31.7</v>
      </c>
      <c r="J1076">
        <v>19.45</v>
      </c>
      <c r="K1076">
        <v>12.65</v>
      </c>
      <c r="L1076" t="e">
        <v>#N/A</v>
      </c>
      <c r="M1076">
        <v>2.7290000000000001</v>
      </c>
      <c r="N1076">
        <v>0.249</v>
      </c>
      <c r="O1076">
        <v>2.4700000000000002</v>
      </c>
      <c r="P1076">
        <v>0.79</v>
      </c>
      <c r="Q1076">
        <v>14</v>
      </c>
    </row>
    <row r="1077" spans="1:17" x14ac:dyDescent="0.25">
      <c r="A1077" s="1">
        <v>42755</v>
      </c>
      <c r="B1077">
        <v>7.27</v>
      </c>
      <c r="C1077">
        <v>160</v>
      </c>
      <c r="D1077">
        <v>3.5720000000000001</v>
      </c>
      <c r="E1077">
        <v>13.19</v>
      </c>
      <c r="F1077">
        <v>6.25</v>
      </c>
      <c r="G1077">
        <v>1.72</v>
      </c>
      <c r="H1077" s="15">
        <v>2.9630000000000001</v>
      </c>
      <c r="I1077">
        <v>31.35</v>
      </c>
      <c r="J1077">
        <v>19.45</v>
      </c>
      <c r="K1077">
        <v>12.64</v>
      </c>
      <c r="L1077">
        <v>1.49</v>
      </c>
      <c r="M1077">
        <v>2.7370000000000001</v>
      </c>
      <c r="N1077">
        <v>0.245</v>
      </c>
      <c r="O1077">
        <v>2.46</v>
      </c>
      <c r="P1077">
        <v>0.8</v>
      </c>
      <c r="Q1077">
        <v>15</v>
      </c>
    </row>
    <row r="1078" spans="1:17" x14ac:dyDescent="0.25">
      <c r="A1078" s="1">
        <v>42758</v>
      </c>
      <c r="B1078">
        <v>7.35</v>
      </c>
      <c r="C1078">
        <v>164</v>
      </c>
      <c r="D1078">
        <v>3.589</v>
      </c>
      <c r="E1078">
        <v>13.5</v>
      </c>
      <c r="F1078">
        <v>6.23</v>
      </c>
      <c r="G1078">
        <v>1.73</v>
      </c>
      <c r="H1078" s="15">
        <v>2.9140000000000001</v>
      </c>
      <c r="I1078">
        <v>31.35</v>
      </c>
      <c r="J1078">
        <v>19.399999999999999</v>
      </c>
      <c r="K1078">
        <v>12.75</v>
      </c>
      <c r="L1078">
        <v>1.46</v>
      </c>
      <c r="M1078">
        <v>2.7709999999999999</v>
      </c>
      <c r="N1078">
        <v>0.24</v>
      </c>
      <c r="O1078">
        <v>2.4700000000000002</v>
      </c>
      <c r="P1078">
        <v>0.81</v>
      </c>
      <c r="Q1078">
        <v>15</v>
      </c>
    </row>
    <row r="1079" spans="1:17" x14ac:dyDescent="0.25">
      <c r="A1079" s="1">
        <v>42759</v>
      </c>
      <c r="B1079">
        <v>7.41</v>
      </c>
      <c r="C1079">
        <v>165.7</v>
      </c>
      <c r="D1079">
        <v>3.589</v>
      </c>
      <c r="E1079">
        <v>13.49</v>
      </c>
      <c r="F1079">
        <v>6.26</v>
      </c>
      <c r="G1079">
        <v>1.75</v>
      </c>
      <c r="H1079" s="15">
        <v>3.4279999999999999</v>
      </c>
      <c r="I1079">
        <v>31.65</v>
      </c>
      <c r="J1079">
        <v>19.3</v>
      </c>
      <c r="K1079">
        <v>12.66</v>
      </c>
      <c r="L1079">
        <v>1.47</v>
      </c>
      <c r="M1079">
        <v>2.895</v>
      </c>
      <c r="N1079">
        <v>0.245</v>
      </c>
      <c r="O1079">
        <v>2.4500000000000002</v>
      </c>
      <c r="P1079">
        <v>0.82799999999999996</v>
      </c>
      <c r="Q1079">
        <v>15</v>
      </c>
    </row>
    <row r="1080" spans="1:17" x14ac:dyDescent="0.25">
      <c r="A1080" s="1">
        <v>42760</v>
      </c>
      <c r="B1080">
        <v>7.45</v>
      </c>
      <c r="C1080">
        <v>168.3</v>
      </c>
      <c r="D1080">
        <v>3.6150000000000002</v>
      </c>
      <c r="E1080">
        <v>13</v>
      </c>
      <c r="F1080">
        <v>6.38</v>
      </c>
      <c r="G1080">
        <v>1.75</v>
      </c>
      <c r="H1080" s="15">
        <v>3.5070000000000001</v>
      </c>
      <c r="I1080">
        <v>31.75</v>
      </c>
      <c r="J1080">
        <v>19.350000000000001</v>
      </c>
      <c r="K1080">
        <v>13</v>
      </c>
      <c r="L1080">
        <v>1.46</v>
      </c>
      <c r="M1080">
        <v>2.895</v>
      </c>
      <c r="N1080">
        <v>0.24</v>
      </c>
      <c r="O1080">
        <v>2.4700000000000002</v>
      </c>
      <c r="P1080">
        <v>0.81799999999999995</v>
      </c>
      <c r="Q1080">
        <v>15</v>
      </c>
    </row>
    <row r="1081" spans="1:17" x14ac:dyDescent="0.25">
      <c r="A1081" s="1">
        <v>42761</v>
      </c>
      <c r="B1081">
        <v>7.35</v>
      </c>
      <c r="C1081">
        <v>165.3</v>
      </c>
      <c r="D1081">
        <v>3.6320000000000001</v>
      </c>
      <c r="E1081">
        <v>12.98</v>
      </c>
      <c r="F1081">
        <v>6.35</v>
      </c>
      <c r="G1081">
        <v>1.75</v>
      </c>
      <c r="H1081" s="15">
        <v>3.3879999999999999</v>
      </c>
      <c r="I1081">
        <v>31.75</v>
      </c>
      <c r="J1081">
        <v>19.239999999999998</v>
      </c>
      <c r="K1081">
        <v>12.75</v>
      </c>
      <c r="L1081">
        <v>1.44</v>
      </c>
      <c r="M1081">
        <v>2.8119999999999998</v>
      </c>
      <c r="N1081">
        <v>0.245</v>
      </c>
      <c r="O1081">
        <v>2.4700000000000002</v>
      </c>
      <c r="P1081">
        <v>0.81799999999999995</v>
      </c>
      <c r="Q1081">
        <v>15</v>
      </c>
    </row>
    <row r="1082" spans="1:17" x14ac:dyDescent="0.25">
      <c r="A1082" s="1">
        <v>42762</v>
      </c>
      <c r="B1082">
        <v>7.28</v>
      </c>
      <c r="C1082">
        <v>166</v>
      </c>
      <c r="D1082">
        <v>3.641</v>
      </c>
      <c r="E1082">
        <v>13.32</v>
      </c>
      <c r="F1082">
        <v>6.27</v>
      </c>
      <c r="G1082">
        <v>1.75</v>
      </c>
      <c r="H1082" s="15">
        <v>3.1019999999999999</v>
      </c>
      <c r="I1082">
        <v>31.51</v>
      </c>
      <c r="J1082">
        <v>19.149999999999999</v>
      </c>
      <c r="K1082">
        <v>12.75</v>
      </c>
      <c r="L1082">
        <v>1.44</v>
      </c>
      <c r="M1082">
        <v>2.7949999999999999</v>
      </c>
      <c r="N1082">
        <v>0.24</v>
      </c>
      <c r="O1082">
        <v>2.4</v>
      </c>
      <c r="P1082">
        <v>0.79800000000000004</v>
      </c>
      <c r="Q1082">
        <v>15</v>
      </c>
    </row>
    <row r="1083" spans="1:17" x14ac:dyDescent="0.25">
      <c r="A1083" s="1">
        <v>42765</v>
      </c>
      <c r="B1083">
        <v>7.35</v>
      </c>
      <c r="C1083">
        <v>164.1</v>
      </c>
      <c r="D1083">
        <v>3.6320000000000001</v>
      </c>
      <c r="E1083">
        <v>13.33</v>
      </c>
      <c r="F1083">
        <v>6.22</v>
      </c>
      <c r="G1083">
        <v>1.8</v>
      </c>
      <c r="H1083" s="15">
        <v>2.9929999999999999</v>
      </c>
      <c r="I1083">
        <v>31.51</v>
      </c>
      <c r="J1083">
        <v>19.100000000000001</v>
      </c>
      <c r="K1083">
        <v>12.72</v>
      </c>
      <c r="L1083">
        <v>1.44</v>
      </c>
      <c r="M1083">
        <v>2.7949999999999999</v>
      </c>
      <c r="N1083">
        <v>0.23499999999999999</v>
      </c>
      <c r="O1083">
        <v>2.4</v>
      </c>
      <c r="P1083">
        <v>0.79800000000000004</v>
      </c>
      <c r="Q1083">
        <v>15</v>
      </c>
    </row>
    <row r="1084" spans="1:17" x14ac:dyDescent="0.25">
      <c r="A1084" s="1">
        <v>42766</v>
      </c>
      <c r="B1084">
        <v>7.51</v>
      </c>
      <c r="C1084">
        <v>163.41</v>
      </c>
      <c r="D1084">
        <v>3.641</v>
      </c>
      <c r="E1084">
        <v>13.75</v>
      </c>
      <c r="F1084">
        <v>6.3</v>
      </c>
      <c r="G1084">
        <v>1.8</v>
      </c>
      <c r="H1084" s="15">
        <v>2.9729999999999999</v>
      </c>
      <c r="I1084">
        <v>32</v>
      </c>
      <c r="J1084">
        <v>19</v>
      </c>
      <c r="K1084">
        <v>12.72</v>
      </c>
      <c r="L1084">
        <v>1.4</v>
      </c>
      <c r="M1084">
        <v>2.7949999999999999</v>
      </c>
      <c r="N1084">
        <v>0.23599999999999999</v>
      </c>
      <c r="O1084">
        <v>2.4079999999999999</v>
      </c>
      <c r="P1084">
        <v>0.80800000000000005</v>
      </c>
      <c r="Q1084">
        <v>15</v>
      </c>
    </row>
    <row r="1085" spans="1:17" x14ac:dyDescent="0.25">
      <c r="A1085" s="1">
        <v>42767</v>
      </c>
      <c r="B1085">
        <v>7.57</v>
      </c>
      <c r="C1085">
        <v>163.19999999999999</v>
      </c>
      <c r="D1085">
        <v>3.6589999999999998</v>
      </c>
      <c r="E1085">
        <v>13.59</v>
      </c>
      <c r="F1085">
        <v>6.5</v>
      </c>
      <c r="G1085">
        <v>1.82</v>
      </c>
      <c r="H1085" s="15">
        <v>3.0030000000000001</v>
      </c>
      <c r="I1085">
        <v>32.99</v>
      </c>
      <c r="J1085">
        <v>18.95</v>
      </c>
      <c r="K1085">
        <v>12.72</v>
      </c>
      <c r="L1085">
        <v>1.41</v>
      </c>
      <c r="M1085">
        <v>2.7949999999999999</v>
      </c>
      <c r="N1085">
        <v>0.23599999999999999</v>
      </c>
      <c r="O1085">
        <v>2.4079999999999999</v>
      </c>
      <c r="P1085">
        <v>0.80800000000000005</v>
      </c>
      <c r="Q1085">
        <v>15</v>
      </c>
    </row>
    <row r="1086" spans="1:17" x14ac:dyDescent="0.25">
      <c r="A1086" s="1">
        <v>42768</v>
      </c>
      <c r="B1086">
        <v>7.56</v>
      </c>
      <c r="C1086">
        <v>162.4</v>
      </c>
      <c r="D1086">
        <v>3.6760000000000002</v>
      </c>
      <c r="E1086">
        <v>13.78</v>
      </c>
      <c r="F1086">
        <v>6.5</v>
      </c>
      <c r="G1086">
        <v>1.82</v>
      </c>
      <c r="H1086" s="15">
        <v>3.0619999999999998</v>
      </c>
      <c r="I1086">
        <v>33.35</v>
      </c>
      <c r="J1086">
        <v>19.260000000000002</v>
      </c>
      <c r="K1086">
        <v>12.94</v>
      </c>
      <c r="L1086">
        <v>1.42</v>
      </c>
      <c r="M1086">
        <v>2.8780000000000001</v>
      </c>
      <c r="N1086">
        <v>0.255</v>
      </c>
      <c r="O1086">
        <v>2.4079999999999999</v>
      </c>
      <c r="P1086">
        <v>0.80800000000000005</v>
      </c>
      <c r="Q1086">
        <v>15</v>
      </c>
    </row>
    <row r="1087" spans="1:17" x14ac:dyDescent="0.25">
      <c r="A1087" s="1">
        <v>42769</v>
      </c>
      <c r="B1087">
        <v>7.55</v>
      </c>
      <c r="C1087">
        <v>164</v>
      </c>
      <c r="D1087">
        <v>3.6760000000000002</v>
      </c>
      <c r="E1087">
        <v>13.6</v>
      </c>
      <c r="F1087">
        <v>6.5</v>
      </c>
      <c r="G1087">
        <v>1.85</v>
      </c>
      <c r="H1087" s="15">
        <v>3.0129999999999999</v>
      </c>
      <c r="I1087">
        <v>33.4</v>
      </c>
      <c r="J1087">
        <v>19.399999999999999</v>
      </c>
      <c r="K1087">
        <v>12.94</v>
      </c>
      <c r="L1087">
        <v>1.45</v>
      </c>
      <c r="M1087">
        <v>2.895</v>
      </c>
      <c r="N1087">
        <v>0.26100000000000001</v>
      </c>
      <c r="O1087">
        <v>2.4169999999999998</v>
      </c>
      <c r="P1087">
        <v>0.83799999999999997</v>
      </c>
      <c r="Q1087">
        <v>15</v>
      </c>
    </row>
    <row r="1088" spans="1:17" x14ac:dyDescent="0.25">
      <c r="A1088" s="1">
        <v>42772</v>
      </c>
      <c r="B1088">
        <v>7.51</v>
      </c>
      <c r="C1088">
        <v>162.01</v>
      </c>
      <c r="D1088">
        <v>3.6760000000000002</v>
      </c>
      <c r="E1088">
        <v>14.45</v>
      </c>
      <c r="F1088">
        <v>6.46</v>
      </c>
      <c r="G1088">
        <v>1.89</v>
      </c>
      <c r="H1088" s="15">
        <v>3.1120000000000001</v>
      </c>
      <c r="I1088">
        <v>33.39</v>
      </c>
      <c r="J1088" t="e">
        <v>#N/A</v>
      </c>
      <c r="K1088">
        <v>12.95</v>
      </c>
      <c r="L1088">
        <v>1.44</v>
      </c>
      <c r="M1088">
        <v>2.8620000000000001</v>
      </c>
      <c r="N1088">
        <v>0.26800000000000002</v>
      </c>
      <c r="O1088">
        <v>2.4369999999999998</v>
      </c>
      <c r="P1088">
        <v>0.82799999999999996</v>
      </c>
      <c r="Q1088">
        <v>14</v>
      </c>
    </row>
    <row r="1089" spans="1:17" x14ac:dyDescent="0.25">
      <c r="A1089" s="1">
        <v>42773</v>
      </c>
      <c r="B1089">
        <v>7.5</v>
      </c>
      <c r="C1089">
        <v>166.8</v>
      </c>
      <c r="D1089">
        <v>3.641</v>
      </c>
      <c r="E1089">
        <v>14.38</v>
      </c>
      <c r="F1089">
        <v>6.47</v>
      </c>
      <c r="G1089">
        <v>1.92</v>
      </c>
      <c r="H1089" s="15">
        <v>3.0619999999999998</v>
      </c>
      <c r="I1089">
        <v>33.35</v>
      </c>
      <c r="J1089">
        <v>19.399999999999999</v>
      </c>
      <c r="K1089">
        <v>12.79</v>
      </c>
      <c r="L1089">
        <v>1.41</v>
      </c>
      <c r="M1089">
        <v>2.8450000000000002</v>
      </c>
      <c r="N1089">
        <v>0.26400000000000001</v>
      </c>
      <c r="O1089">
        <v>2.4870000000000001</v>
      </c>
      <c r="P1089">
        <v>0.85</v>
      </c>
      <c r="Q1089">
        <v>15</v>
      </c>
    </row>
    <row r="1090" spans="1:17" x14ac:dyDescent="0.25">
      <c r="A1090" s="1">
        <v>42774</v>
      </c>
      <c r="B1090">
        <v>7.5</v>
      </c>
      <c r="C1090">
        <v>168.2</v>
      </c>
      <c r="D1090">
        <v>3.6760000000000002</v>
      </c>
      <c r="E1090">
        <v>14.2</v>
      </c>
      <c r="F1090">
        <v>6.45</v>
      </c>
      <c r="G1090">
        <v>1.92</v>
      </c>
      <c r="H1090" s="15">
        <v>3.0230000000000001</v>
      </c>
      <c r="I1090">
        <v>33.35</v>
      </c>
      <c r="J1090">
        <v>19.100000000000001</v>
      </c>
      <c r="K1090">
        <v>12.58</v>
      </c>
      <c r="L1090">
        <v>1.41</v>
      </c>
      <c r="M1090">
        <v>2.8450000000000002</v>
      </c>
      <c r="N1090">
        <v>0.26900000000000002</v>
      </c>
      <c r="O1090">
        <v>2.4969999999999999</v>
      </c>
      <c r="P1090">
        <v>0.89</v>
      </c>
      <c r="Q1090">
        <v>15</v>
      </c>
    </row>
    <row r="1091" spans="1:17" x14ac:dyDescent="0.25">
      <c r="A1091" s="1">
        <v>42775</v>
      </c>
      <c r="B1091">
        <v>7.55</v>
      </c>
      <c r="C1091">
        <v>169.82</v>
      </c>
      <c r="D1091">
        <v>3.6150000000000002</v>
      </c>
      <c r="E1091">
        <v>13.86</v>
      </c>
      <c r="F1091">
        <v>6.45</v>
      </c>
      <c r="G1091">
        <v>1.9</v>
      </c>
      <c r="H1091" s="15">
        <v>3.0129999999999999</v>
      </c>
      <c r="I1091">
        <v>33.200000000000003</v>
      </c>
      <c r="J1091" t="e">
        <v>#N/A</v>
      </c>
      <c r="K1091">
        <v>12.51</v>
      </c>
      <c r="L1091">
        <v>1.4</v>
      </c>
      <c r="M1091">
        <v>2.8290000000000002</v>
      </c>
      <c r="N1091">
        <v>0.26700000000000002</v>
      </c>
      <c r="O1091">
        <v>2.4969999999999999</v>
      </c>
      <c r="P1091">
        <v>0.88</v>
      </c>
      <c r="Q1091">
        <v>14</v>
      </c>
    </row>
    <row r="1092" spans="1:17" x14ac:dyDescent="0.25">
      <c r="A1092" s="1">
        <v>42776</v>
      </c>
      <c r="B1092">
        <v>7.6</v>
      </c>
      <c r="C1092">
        <v>172.3</v>
      </c>
      <c r="D1092">
        <v>3.6150000000000002</v>
      </c>
      <c r="E1092">
        <v>14.18</v>
      </c>
      <c r="F1092">
        <v>6.35</v>
      </c>
      <c r="G1092">
        <v>1.9</v>
      </c>
      <c r="H1092" s="15">
        <v>3.0129999999999999</v>
      </c>
      <c r="I1092">
        <v>33.200000000000003</v>
      </c>
      <c r="J1092">
        <v>19.100000000000001</v>
      </c>
      <c r="K1092">
        <v>12.6</v>
      </c>
      <c r="L1092">
        <v>1.41</v>
      </c>
      <c r="M1092">
        <v>2.911</v>
      </c>
      <c r="N1092">
        <v>0.26900000000000002</v>
      </c>
      <c r="O1092">
        <v>2.4969999999999999</v>
      </c>
      <c r="P1092">
        <v>0.91</v>
      </c>
      <c r="Q1092">
        <v>15</v>
      </c>
    </row>
    <row r="1093" spans="1:17" x14ac:dyDescent="0.25">
      <c r="A1093" s="1">
        <v>42779</v>
      </c>
      <c r="B1093">
        <v>7.67</v>
      </c>
      <c r="C1093">
        <v>170.3</v>
      </c>
      <c r="D1093">
        <v>3.6930000000000001</v>
      </c>
      <c r="E1093">
        <v>13.92</v>
      </c>
      <c r="F1093">
        <v>6.25</v>
      </c>
      <c r="G1093">
        <v>1.89</v>
      </c>
      <c r="H1093" s="15">
        <v>3.1120000000000001</v>
      </c>
      <c r="I1093">
        <v>32.5</v>
      </c>
      <c r="J1093">
        <v>19.16</v>
      </c>
      <c r="K1093">
        <v>12.6</v>
      </c>
      <c r="L1093">
        <v>1.4</v>
      </c>
      <c r="M1093">
        <v>2.919</v>
      </c>
      <c r="N1093">
        <v>0.26500000000000001</v>
      </c>
      <c r="O1093">
        <v>2.4900000000000002</v>
      </c>
      <c r="P1093">
        <v>0.94</v>
      </c>
      <c r="Q1093">
        <v>15</v>
      </c>
    </row>
    <row r="1094" spans="1:17" x14ac:dyDescent="0.25">
      <c r="A1094" s="1">
        <v>42780</v>
      </c>
      <c r="B1094">
        <v>7.8</v>
      </c>
      <c r="C1094">
        <v>166.8</v>
      </c>
      <c r="D1094">
        <v>3.6930000000000001</v>
      </c>
      <c r="E1094">
        <v>13.73</v>
      </c>
      <c r="F1094">
        <v>6.2</v>
      </c>
      <c r="G1094">
        <v>1.9</v>
      </c>
      <c r="H1094" s="15">
        <v>3.161</v>
      </c>
      <c r="I1094">
        <v>32.5</v>
      </c>
      <c r="J1094">
        <v>19.11</v>
      </c>
      <c r="K1094">
        <v>12.6</v>
      </c>
      <c r="L1094">
        <v>1.38</v>
      </c>
      <c r="M1094">
        <v>2.895</v>
      </c>
      <c r="N1094">
        <v>0.245</v>
      </c>
      <c r="O1094">
        <v>2.4900000000000002</v>
      </c>
      <c r="P1094">
        <v>0.9</v>
      </c>
      <c r="Q1094">
        <v>15</v>
      </c>
    </row>
    <row r="1095" spans="1:17" x14ac:dyDescent="0.25">
      <c r="A1095" s="1">
        <v>42781</v>
      </c>
      <c r="B1095">
        <v>7.9</v>
      </c>
      <c r="C1095">
        <v>167.8</v>
      </c>
      <c r="D1095">
        <v>3.6840000000000002</v>
      </c>
      <c r="E1095">
        <v>13.72</v>
      </c>
      <c r="F1095">
        <v>6.1</v>
      </c>
      <c r="G1095">
        <v>1.9</v>
      </c>
      <c r="H1095" s="15">
        <v>3.24</v>
      </c>
      <c r="I1095">
        <v>32.51</v>
      </c>
      <c r="J1095">
        <v>19.11</v>
      </c>
      <c r="K1095">
        <v>12.6</v>
      </c>
      <c r="L1095">
        <v>1.45</v>
      </c>
      <c r="M1095">
        <v>2.895</v>
      </c>
      <c r="N1095">
        <v>0.23799999999999999</v>
      </c>
      <c r="O1095">
        <v>2.5</v>
      </c>
      <c r="P1095">
        <v>0.89</v>
      </c>
      <c r="Q1095">
        <v>15</v>
      </c>
    </row>
    <row r="1096" spans="1:17" x14ac:dyDescent="0.25">
      <c r="A1096" s="1">
        <v>42782</v>
      </c>
      <c r="B1096">
        <v>7.95</v>
      </c>
      <c r="C1096">
        <v>167.4</v>
      </c>
      <c r="D1096">
        <v>3.7280000000000002</v>
      </c>
      <c r="E1096">
        <v>13.53</v>
      </c>
      <c r="F1096">
        <v>6.08</v>
      </c>
      <c r="G1096">
        <v>1.9</v>
      </c>
      <c r="H1096" s="15">
        <v>3.24</v>
      </c>
      <c r="I1096">
        <v>32.6</v>
      </c>
      <c r="J1096">
        <v>19.3</v>
      </c>
      <c r="K1096">
        <v>12.55</v>
      </c>
      <c r="L1096">
        <v>1.45</v>
      </c>
      <c r="M1096">
        <v>2.895</v>
      </c>
      <c r="N1096">
        <v>0.23699999999999999</v>
      </c>
      <c r="O1096">
        <v>2.48</v>
      </c>
      <c r="P1096">
        <v>0.85</v>
      </c>
      <c r="Q1096">
        <v>15</v>
      </c>
    </row>
    <row r="1097" spans="1:17" x14ac:dyDescent="0.25">
      <c r="A1097" s="1">
        <v>42783</v>
      </c>
      <c r="B1097">
        <v>7.85</v>
      </c>
      <c r="C1097">
        <v>166</v>
      </c>
      <c r="D1097">
        <v>3.7280000000000002</v>
      </c>
      <c r="E1097">
        <v>13.15</v>
      </c>
      <c r="F1097">
        <v>6.05</v>
      </c>
      <c r="G1097">
        <v>1.9</v>
      </c>
      <c r="H1097" s="15">
        <v>3.319</v>
      </c>
      <c r="I1097">
        <v>33</v>
      </c>
      <c r="J1097">
        <v>19.100000000000001</v>
      </c>
      <c r="K1097">
        <v>12.25</v>
      </c>
      <c r="L1097">
        <v>1.45</v>
      </c>
      <c r="M1097" t="e">
        <v>#N/A</v>
      </c>
      <c r="N1097">
        <v>0.23799999999999999</v>
      </c>
      <c r="O1097">
        <v>2.5</v>
      </c>
      <c r="P1097">
        <v>0.86</v>
      </c>
      <c r="Q1097">
        <v>14</v>
      </c>
    </row>
    <row r="1098" spans="1:17" x14ac:dyDescent="0.25">
      <c r="A1098" s="1">
        <v>42786</v>
      </c>
      <c r="B1098">
        <v>7.71</v>
      </c>
      <c r="C1098" t="e">
        <v>#N/A</v>
      </c>
      <c r="D1098">
        <v>3.7709999999999999</v>
      </c>
      <c r="E1098" t="e">
        <v>#N/A</v>
      </c>
      <c r="F1098">
        <v>6.01</v>
      </c>
      <c r="G1098">
        <v>1.91</v>
      </c>
      <c r="H1098" s="15">
        <v>3.3980000000000001</v>
      </c>
      <c r="I1098">
        <v>33</v>
      </c>
      <c r="J1098">
        <v>19.149999999999999</v>
      </c>
      <c r="K1098">
        <v>12.2</v>
      </c>
      <c r="L1098">
        <v>1.45</v>
      </c>
      <c r="M1098" t="e">
        <v>#N/A</v>
      </c>
      <c r="N1098">
        <v>0.23499999999999999</v>
      </c>
      <c r="O1098">
        <v>2.46</v>
      </c>
      <c r="P1098">
        <v>0.87</v>
      </c>
      <c r="Q1098">
        <v>12</v>
      </c>
    </row>
    <row r="1099" spans="1:17" x14ac:dyDescent="0.25">
      <c r="A1099" s="1">
        <v>42787</v>
      </c>
      <c r="B1099">
        <v>7.85</v>
      </c>
      <c r="C1099">
        <v>170.5</v>
      </c>
      <c r="D1099">
        <v>3.7709999999999999</v>
      </c>
      <c r="E1099">
        <v>13</v>
      </c>
      <c r="F1099">
        <v>6.04</v>
      </c>
      <c r="G1099">
        <v>1.9</v>
      </c>
      <c r="H1099" s="15">
        <v>3.359</v>
      </c>
      <c r="I1099">
        <v>33</v>
      </c>
      <c r="J1099">
        <v>19.149999999999999</v>
      </c>
      <c r="K1099">
        <v>12</v>
      </c>
      <c r="L1099">
        <v>1.45</v>
      </c>
      <c r="M1099">
        <v>2.8530000000000002</v>
      </c>
      <c r="N1099">
        <v>0.23</v>
      </c>
      <c r="O1099">
        <v>2.46</v>
      </c>
      <c r="P1099">
        <v>0.85</v>
      </c>
      <c r="Q1099">
        <v>15</v>
      </c>
    </row>
    <row r="1100" spans="1:17" x14ac:dyDescent="0.25">
      <c r="A1100" s="1">
        <v>42788</v>
      </c>
      <c r="B1100">
        <v>7.9</v>
      </c>
      <c r="C1100">
        <v>170.51</v>
      </c>
      <c r="D1100">
        <v>3.8140000000000001</v>
      </c>
      <c r="E1100">
        <v>12.94</v>
      </c>
      <c r="F1100">
        <v>5.96</v>
      </c>
      <c r="G1100">
        <v>1.87</v>
      </c>
      <c r="H1100" s="15">
        <v>3.3090000000000002</v>
      </c>
      <c r="I1100">
        <v>33</v>
      </c>
      <c r="J1100">
        <v>19.29</v>
      </c>
      <c r="K1100">
        <v>11.95</v>
      </c>
      <c r="L1100">
        <v>1.45</v>
      </c>
      <c r="M1100">
        <v>2.8530000000000002</v>
      </c>
      <c r="N1100">
        <v>0.23</v>
      </c>
      <c r="O1100">
        <v>2.44</v>
      </c>
      <c r="P1100">
        <v>0.87</v>
      </c>
      <c r="Q1100">
        <v>15</v>
      </c>
    </row>
    <row r="1101" spans="1:17" x14ac:dyDescent="0.25">
      <c r="A1101" s="1">
        <v>42789</v>
      </c>
      <c r="B1101">
        <v>7.95</v>
      </c>
      <c r="C1101">
        <v>170.09</v>
      </c>
      <c r="D1101">
        <v>3.7709999999999999</v>
      </c>
      <c r="E1101">
        <v>12.9</v>
      </c>
      <c r="F1101">
        <v>6</v>
      </c>
      <c r="G1101">
        <v>1.85</v>
      </c>
      <c r="H1101" s="15">
        <v>3.26</v>
      </c>
      <c r="I1101" t="e">
        <v>#N/A</v>
      </c>
      <c r="J1101">
        <v>19.34</v>
      </c>
      <c r="K1101">
        <v>11.82</v>
      </c>
      <c r="L1101">
        <v>1.45</v>
      </c>
      <c r="M1101">
        <v>2.7949999999999999</v>
      </c>
      <c r="N1101">
        <v>0.23</v>
      </c>
      <c r="O1101">
        <v>2.42</v>
      </c>
      <c r="P1101">
        <v>0.87</v>
      </c>
      <c r="Q1101">
        <v>14</v>
      </c>
    </row>
    <row r="1102" spans="1:17" x14ac:dyDescent="0.25">
      <c r="A1102" s="1">
        <v>42790</v>
      </c>
      <c r="B1102">
        <v>7.9</v>
      </c>
      <c r="C1102">
        <v>167.79</v>
      </c>
      <c r="D1102">
        <v>3.754</v>
      </c>
      <c r="E1102">
        <v>12.7</v>
      </c>
      <c r="F1102">
        <v>6</v>
      </c>
      <c r="G1102">
        <v>1.82</v>
      </c>
      <c r="H1102" s="15">
        <v>2.173</v>
      </c>
      <c r="I1102">
        <v>32.6</v>
      </c>
      <c r="J1102">
        <v>19.399999999999999</v>
      </c>
      <c r="K1102">
        <v>11.8</v>
      </c>
      <c r="L1102">
        <v>1.4</v>
      </c>
      <c r="M1102">
        <v>2.7290000000000001</v>
      </c>
      <c r="N1102">
        <v>0.23</v>
      </c>
      <c r="O1102">
        <v>2.42</v>
      </c>
      <c r="P1102">
        <v>0.86</v>
      </c>
      <c r="Q1102">
        <v>15</v>
      </c>
    </row>
    <row r="1103" spans="1:17" x14ac:dyDescent="0.25">
      <c r="A1103" s="1">
        <v>42793</v>
      </c>
      <c r="B1103">
        <v>7.85</v>
      </c>
      <c r="C1103">
        <v>166.6</v>
      </c>
      <c r="D1103">
        <v>3.7709999999999999</v>
      </c>
      <c r="E1103">
        <v>12.21</v>
      </c>
      <c r="F1103">
        <v>6</v>
      </c>
      <c r="G1103">
        <v>1.8</v>
      </c>
      <c r="H1103" s="15">
        <v>1.61</v>
      </c>
      <c r="I1103">
        <v>32.6</v>
      </c>
      <c r="J1103">
        <v>19.399999999999999</v>
      </c>
      <c r="K1103">
        <v>11.7</v>
      </c>
      <c r="L1103">
        <v>1.38</v>
      </c>
      <c r="M1103">
        <v>2.7290000000000001</v>
      </c>
      <c r="N1103">
        <v>0.22500000000000001</v>
      </c>
      <c r="O1103">
        <v>2.4</v>
      </c>
      <c r="P1103">
        <v>0.85</v>
      </c>
      <c r="Q1103">
        <v>15</v>
      </c>
    </row>
    <row r="1104" spans="1:17" x14ac:dyDescent="0.25">
      <c r="A1104" s="1">
        <v>42794</v>
      </c>
      <c r="B1104">
        <v>7.69</v>
      </c>
      <c r="C1104">
        <v>164.5</v>
      </c>
      <c r="D1104">
        <v>3.7709999999999999</v>
      </c>
      <c r="E1104">
        <v>12.28</v>
      </c>
      <c r="F1104">
        <v>6</v>
      </c>
      <c r="G1104">
        <v>1.86</v>
      </c>
      <c r="H1104" s="15">
        <v>1.877</v>
      </c>
      <c r="I1104">
        <v>33</v>
      </c>
      <c r="J1104">
        <v>19.39</v>
      </c>
      <c r="K1104">
        <v>11.69</v>
      </c>
      <c r="L1104">
        <v>1.37</v>
      </c>
      <c r="M1104">
        <v>2.7290000000000001</v>
      </c>
      <c r="N1104">
        <v>0.23</v>
      </c>
      <c r="O1104">
        <v>2.31</v>
      </c>
      <c r="P1104">
        <v>0.84</v>
      </c>
      <c r="Q1104">
        <v>15</v>
      </c>
    </row>
    <row r="1105" spans="1:17" x14ac:dyDescent="0.25">
      <c r="A1105" s="1">
        <v>42795</v>
      </c>
      <c r="B1105">
        <v>7.75</v>
      </c>
      <c r="C1105">
        <v>167.9</v>
      </c>
      <c r="D1105">
        <v>3.78</v>
      </c>
      <c r="E1105">
        <v>12.65</v>
      </c>
      <c r="F1105">
        <v>6.6</v>
      </c>
      <c r="G1105">
        <v>1.86</v>
      </c>
      <c r="H1105" s="15">
        <v>1.897</v>
      </c>
      <c r="I1105">
        <v>33</v>
      </c>
      <c r="J1105">
        <v>19.149999999999999</v>
      </c>
      <c r="K1105">
        <v>11.69</v>
      </c>
      <c r="L1105" t="e">
        <v>#N/A</v>
      </c>
      <c r="M1105" t="e">
        <v>#N/A</v>
      </c>
      <c r="N1105">
        <v>0.22</v>
      </c>
      <c r="O1105">
        <v>2.34</v>
      </c>
      <c r="P1105">
        <v>0.85</v>
      </c>
      <c r="Q1105">
        <v>13</v>
      </c>
    </row>
    <row r="1106" spans="1:17" x14ac:dyDescent="0.25">
      <c r="A1106" s="1">
        <v>42796</v>
      </c>
      <c r="B1106">
        <v>7.73</v>
      </c>
      <c r="C1106">
        <v>165.55</v>
      </c>
      <c r="D1106">
        <v>3.8140000000000001</v>
      </c>
      <c r="E1106">
        <v>11.88</v>
      </c>
      <c r="F1106">
        <v>6.75</v>
      </c>
      <c r="G1106">
        <v>1.86</v>
      </c>
      <c r="H1106" s="15">
        <v>1.9159999999999999</v>
      </c>
      <c r="I1106">
        <v>33.4</v>
      </c>
      <c r="J1106">
        <v>19.100000000000001</v>
      </c>
      <c r="K1106">
        <v>11.65</v>
      </c>
      <c r="L1106">
        <v>1.37</v>
      </c>
      <c r="M1106">
        <v>2.7370000000000001</v>
      </c>
      <c r="N1106">
        <v>0.22</v>
      </c>
      <c r="O1106">
        <v>2.2799999999999998</v>
      </c>
      <c r="P1106">
        <v>0.81</v>
      </c>
      <c r="Q1106">
        <v>15</v>
      </c>
    </row>
    <row r="1107" spans="1:17" x14ac:dyDescent="0.25">
      <c r="A1107" s="1">
        <v>42797</v>
      </c>
      <c r="B1107">
        <v>7.73</v>
      </c>
      <c r="C1107">
        <v>167.8</v>
      </c>
      <c r="D1107">
        <v>3.8410000000000002</v>
      </c>
      <c r="E1107">
        <v>12.1</v>
      </c>
      <c r="F1107">
        <v>6.75</v>
      </c>
      <c r="G1107">
        <v>1.87</v>
      </c>
      <c r="H1107" s="15">
        <v>1.9159999999999999</v>
      </c>
      <c r="I1107">
        <v>33</v>
      </c>
      <c r="J1107">
        <v>19.100000000000001</v>
      </c>
      <c r="K1107">
        <v>11.65</v>
      </c>
      <c r="L1107">
        <v>1.37</v>
      </c>
      <c r="M1107">
        <v>2.8370000000000002</v>
      </c>
      <c r="N1107">
        <v>0.22</v>
      </c>
      <c r="O1107">
        <v>2.2799999999999998</v>
      </c>
      <c r="P1107">
        <v>0.83</v>
      </c>
      <c r="Q1107">
        <v>15</v>
      </c>
    </row>
    <row r="1108" spans="1:17" x14ac:dyDescent="0.25">
      <c r="A1108" s="1">
        <v>42800</v>
      </c>
      <c r="B1108">
        <v>7.52</v>
      </c>
      <c r="C1108">
        <v>165.6</v>
      </c>
      <c r="D1108">
        <v>3.6930000000000001</v>
      </c>
      <c r="E1108">
        <v>11.63</v>
      </c>
      <c r="F1108">
        <v>6.65</v>
      </c>
      <c r="G1108">
        <v>1.85</v>
      </c>
      <c r="H1108" s="15">
        <v>1.798</v>
      </c>
      <c r="I1108">
        <v>32.799999999999997</v>
      </c>
      <c r="J1108">
        <v>19</v>
      </c>
      <c r="K1108">
        <v>11.55</v>
      </c>
      <c r="L1108">
        <v>1.36</v>
      </c>
      <c r="M1108">
        <v>2.82</v>
      </c>
      <c r="N1108">
        <v>0.22</v>
      </c>
      <c r="O1108">
        <v>2.0699999999999998</v>
      </c>
      <c r="P1108">
        <v>0.8</v>
      </c>
      <c r="Q1108">
        <v>15</v>
      </c>
    </row>
    <row r="1109" spans="1:17" x14ac:dyDescent="0.25">
      <c r="A1109" s="1">
        <v>42801</v>
      </c>
      <c r="B1109">
        <v>7.48</v>
      </c>
      <c r="C1109">
        <v>163</v>
      </c>
      <c r="D1109">
        <v>3.6930000000000001</v>
      </c>
      <c r="E1109">
        <v>11.69</v>
      </c>
      <c r="F1109">
        <v>6.55</v>
      </c>
      <c r="G1109">
        <v>1.85</v>
      </c>
      <c r="H1109" s="15">
        <v>1.6990000000000001</v>
      </c>
      <c r="I1109">
        <v>32.5</v>
      </c>
      <c r="J1109">
        <v>19</v>
      </c>
      <c r="K1109">
        <v>11.54</v>
      </c>
      <c r="L1109">
        <v>1.35</v>
      </c>
      <c r="M1109">
        <v>2.7869999999999999</v>
      </c>
      <c r="N1109">
        <v>0.22500000000000001</v>
      </c>
      <c r="O1109">
        <v>2.1800000000000002</v>
      </c>
      <c r="P1109">
        <v>0.8</v>
      </c>
      <c r="Q1109">
        <v>15</v>
      </c>
    </row>
    <row r="1110" spans="1:17" x14ac:dyDescent="0.25">
      <c r="A1110" s="1">
        <v>42802</v>
      </c>
      <c r="B1110">
        <v>7.4</v>
      </c>
      <c r="C1110">
        <v>160.80000000000001</v>
      </c>
      <c r="D1110">
        <v>3.6930000000000001</v>
      </c>
      <c r="E1110">
        <v>11.47</v>
      </c>
      <c r="F1110">
        <v>6.55</v>
      </c>
      <c r="G1110">
        <v>1.85</v>
      </c>
      <c r="H1110" s="15">
        <v>1.748</v>
      </c>
      <c r="I1110">
        <v>32.299999999999997</v>
      </c>
      <c r="J1110">
        <v>19.010000000000002</v>
      </c>
      <c r="K1110">
        <v>11.54</v>
      </c>
      <c r="L1110">
        <v>1.36</v>
      </c>
      <c r="M1110">
        <v>2.7869999999999999</v>
      </c>
      <c r="N1110">
        <v>0.221</v>
      </c>
      <c r="O1110">
        <v>2.16</v>
      </c>
      <c r="P1110">
        <v>0.84</v>
      </c>
      <c r="Q1110">
        <v>15</v>
      </c>
    </row>
    <row r="1111" spans="1:17" x14ac:dyDescent="0.25">
      <c r="A1111" s="1">
        <v>42803</v>
      </c>
      <c r="B1111">
        <v>7.39</v>
      </c>
      <c r="C1111">
        <v>159.19999999999999</v>
      </c>
      <c r="D1111">
        <v>3.6930000000000001</v>
      </c>
      <c r="E1111">
        <v>11.36</v>
      </c>
      <c r="F1111">
        <v>6.5</v>
      </c>
      <c r="G1111">
        <v>1.86</v>
      </c>
      <c r="H1111" s="15">
        <v>1.7090000000000001</v>
      </c>
      <c r="I1111">
        <v>32.5</v>
      </c>
      <c r="J1111">
        <v>19.149999999999999</v>
      </c>
      <c r="K1111">
        <v>11.55</v>
      </c>
      <c r="L1111">
        <v>1.33</v>
      </c>
      <c r="M1111">
        <v>2.7869999999999999</v>
      </c>
      <c r="N1111">
        <v>0.22</v>
      </c>
      <c r="O1111">
        <v>2.19</v>
      </c>
      <c r="P1111">
        <v>0.84</v>
      </c>
      <c r="Q1111">
        <v>15</v>
      </c>
    </row>
    <row r="1112" spans="1:17" x14ac:dyDescent="0.25">
      <c r="A1112" s="1">
        <v>42804</v>
      </c>
      <c r="B1112">
        <v>7.18</v>
      </c>
      <c r="C1112">
        <v>157.9</v>
      </c>
      <c r="D1112">
        <v>3.6240000000000001</v>
      </c>
      <c r="E1112">
        <v>11.95</v>
      </c>
      <c r="F1112">
        <v>6.63</v>
      </c>
      <c r="G1112">
        <v>1.84</v>
      </c>
      <c r="H1112" s="15">
        <v>1.63</v>
      </c>
      <c r="I1112">
        <v>32.61</v>
      </c>
      <c r="J1112">
        <v>19.100000000000001</v>
      </c>
      <c r="K1112">
        <v>11.55</v>
      </c>
      <c r="L1112">
        <v>1.35</v>
      </c>
      <c r="M1112">
        <v>2.7869999999999999</v>
      </c>
      <c r="N1112">
        <v>0.22</v>
      </c>
      <c r="O1112">
        <v>2.2000000000000002</v>
      </c>
      <c r="P1112">
        <v>0.86</v>
      </c>
      <c r="Q1112">
        <v>15</v>
      </c>
    </row>
    <row r="1113" spans="1:17" x14ac:dyDescent="0.25">
      <c r="A1113" s="1">
        <v>42807</v>
      </c>
      <c r="B1113">
        <v>7.19</v>
      </c>
      <c r="C1113">
        <v>158.30000000000001</v>
      </c>
      <c r="D1113">
        <v>3.6240000000000001</v>
      </c>
      <c r="E1113">
        <v>11.99</v>
      </c>
      <c r="F1113">
        <v>6.4</v>
      </c>
      <c r="G1113">
        <v>1.87</v>
      </c>
      <c r="H1113" s="15">
        <v>1.63</v>
      </c>
      <c r="I1113">
        <v>32.6</v>
      </c>
      <c r="J1113">
        <v>19.05</v>
      </c>
      <c r="K1113" t="e">
        <v>#N/A</v>
      </c>
      <c r="L1113">
        <v>1.35</v>
      </c>
      <c r="M1113">
        <v>2.8290000000000002</v>
      </c>
      <c r="N1113">
        <v>0.221</v>
      </c>
      <c r="O1113">
        <v>2.15</v>
      </c>
      <c r="P1113">
        <v>0.86</v>
      </c>
      <c r="Q1113">
        <v>14</v>
      </c>
    </row>
    <row r="1114" spans="1:17" x14ac:dyDescent="0.25">
      <c r="A1114" s="1">
        <v>42808</v>
      </c>
      <c r="B1114">
        <v>7.05</v>
      </c>
      <c r="C1114">
        <v>157.5</v>
      </c>
      <c r="D1114">
        <v>3.4849999999999999</v>
      </c>
      <c r="E1114">
        <v>11.6</v>
      </c>
      <c r="F1114">
        <v>6.4</v>
      </c>
      <c r="G1114">
        <v>1.83</v>
      </c>
      <c r="H1114" s="15">
        <v>1.5309999999999999</v>
      </c>
      <c r="I1114">
        <v>32.299999999999997</v>
      </c>
      <c r="J1114">
        <v>19</v>
      </c>
      <c r="K1114">
        <v>11.3</v>
      </c>
      <c r="L1114">
        <v>1.35</v>
      </c>
      <c r="M1114">
        <v>2.8119999999999998</v>
      </c>
      <c r="N1114">
        <v>0.215</v>
      </c>
      <c r="O1114">
        <v>2.15</v>
      </c>
      <c r="P1114">
        <v>0.85</v>
      </c>
      <c r="Q1114">
        <v>15</v>
      </c>
    </row>
    <row r="1115" spans="1:17" x14ac:dyDescent="0.25">
      <c r="A1115" s="1">
        <v>42809</v>
      </c>
      <c r="B1115">
        <v>7.08</v>
      </c>
      <c r="C1115">
        <v>159.9</v>
      </c>
      <c r="D1115">
        <v>3.5539999999999998</v>
      </c>
      <c r="E1115">
        <v>12.82</v>
      </c>
      <c r="F1115">
        <v>6.7</v>
      </c>
      <c r="G1115">
        <v>1.83</v>
      </c>
      <c r="H1115" s="15">
        <v>1.452</v>
      </c>
      <c r="I1115">
        <v>32.5</v>
      </c>
      <c r="J1115">
        <v>19.05</v>
      </c>
      <c r="K1115" t="e">
        <v>#N/A</v>
      </c>
      <c r="L1115">
        <v>1.4</v>
      </c>
      <c r="M1115">
        <v>2.8290000000000002</v>
      </c>
      <c r="N1115">
        <v>0.222</v>
      </c>
      <c r="O1115">
        <v>2.15</v>
      </c>
      <c r="P1115">
        <v>0.9</v>
      </c>
      <c r="Q1115">
        <v>14</v>
      </c>
    </row>
    <row r="1116" spans="1:17" x14ac:dyDescent="0.25">
      <c r="A1116" s="1">
        <v>42810</v>
      </c>
      <c r="B1116">
        <v>7.2</v>
      </c>
      <c r="C1116">
        <v>163.49</v>
      </c>
      <c r="D1116">
        <v>3.5979999999999999</v>
      </c>
      <c r="E1116">
        <v>12.8</v>
      </c>
      <c r="F1116">
        <v>7</v>
      </c>
      <c r="G1116">
        <v>1.85</v>
      </c>
      <c r="H1116" s="15">
        <v>1.452</v>
      </c>
      <c r="I1116">
        <v>32.75</v>
      </c>
      <c r="J1116">
        <v>19.05</v>
      </c>
      <c r="K1116">
        <v>11.15</v>
      </c>
      <c r="L1116">
        <v>1.48</v>
      </c>
      <c r="M1116">
        <v>2.8530000000000002</v>
      </c>
      <c r="N1116">
        <v>0.223</v>
      </c>
      <c r="O1116">
        <v>2.21</v>
      </c>
      <c r="P1116">
        <v>0.94</v>
      </c>
      <c r="Q1116">
        <v>15</v>
      </c>
    </row>
    <row r="1117" spans="1:17" x14ac:dyDescent="0.25">
      <c r="A1117" s="1">
        <v>42811</v>
      </c>
      <c r="B1117">
        <v>7.45</v>
      </c>
      <c r="C1117">
        <v>164.1</v>
      </c>
      <c r="D1117">
        <v>3.5110000000000001</v>
      </c>
      <c r="E1117">
        <v>12.7</v>
      </c>
      <c r="F1117">
        <v>7</v>
      </c>
      <c r="G1117">
        <v>1.87</v>
      </c>
      <c r="H1117" s="15">
        <v>1.452</v>
      </c>
      <c r="I1117">
        <v>32.75</v>
      </c>
      <c r="J1117">
        <v>19.059999999999999</v>
      </c>
      <c r="K1117">
        <v>11.13</v>
      </c>
      <c r="L1117">
        <v>1.45</v>
      </c>
      <c r="M1117">
        <v>2.8530000000000002</v>
      </c>
      <c r="N1117">
        <v>0.223</v>
      </c>
      <c r="O1117">
        <v>2.2599999999999998</v>
      </c>
      <c r="P1117">
        <v>0.93</v>
      </c>
      <c r="Q1117">
        <v>15</v>
      </c>
    </row>
    <row r="1118" spans="1:17" x14ac:dyDescent="0.25">
      <c r="A1118" s="1">
        <v>42814</v>
      </c>
      <c r="B1118">
        <v>7.55</v>
      </c>
      <c r="C1118">
        <v>163.9</v>
      </c>
      <c r="D1118">
        <v>3.5539999999999998</v>
      </c>
      <c r="E1118">
        <v>12.63</v>
      </c>
      <c r="F1118">
        <v>7.06</v>
      </c>
      <c r="G1118">
        <v>1.94</v>
      </c>
      <c r="H1118" s="15">
        <v>1.452</v>
      </c>
      <c r="I1118">
        <v>32.75</v>
      </c>
      <c r="J1118">
        <v>19</v>
      </c>
      <c r="K1118">
        <v>11.17</v>
      </c>
      <c r="L1118" t="e">
        <v>#N/A</v>
      </c>
      <c r="M1118">
        <v>2.919</v>
      </c>
      <c r="N1118">
        <v>0.215</v>
      </c>
      <c r="O1118">
        <v>2.35</v>
      </c>
      <c r="P1118">
        <v>0.91</v>
      </c>
      <c r="Q1118">
        <v>14</v>
      </c>
    </row>
    <row r="1119" spans="1:17" x14ac:dyDescent="0.25">
      <c r="A1119" s="1">
        <v>42815</v>
      </c>
      <c r="B1119">
        <v>7.4</v>
      </c>
      <c r="C1119">
        <v>160</v>
      </c>
      <c r="D1119">
        <v>3.5369999999999999</v>
      </c>
      <c r="E1119">
        <v>12.84</v>
      </c>
      <c r="F1119">
        <v>7.32</v>
      </c>
      <c r="G1119">
        <v>1.95</v>
      </c>
      <c r="H1119" s="15">
        <v>1.452</v>
      </c>
      <c r="I1119">
        <v>32.75</v>
      </c>
      <c r="J1119">
        <v>19</v>
      </c>
      <c r="K1119">
        <v>11.18</v>
      </c>
      <c r="L1119">
        <v>1.45</v>
      </c>
      <c r="M1119">
        <v>3.06</v>
      </c>
      <c r="N1119">
        <v>0.21</v>
      </c>
      <c r="O1119">
        <v>2.4700000000000002</v>
      </c>
      <c r="P1119">
        <v>0.87</v>
      </c>
      <c r="Q1119">
        <v>15</v>
      </c>
    </row>
    <row r="1120" spans="1:17" x14ac:dyDescent="0.25">
      <c r="A1120" s="1">
        <v>42816</v>
      </c>
      <c r="B1120">
        <v>7.4</v>
      </c>
      <c r="C1120">
        <v>161.6</v>
      </c>
      <c r="D1120">
        <v>3.468</v>
      </c>
      <c r="E1120">
        <v>12.58</v>
      </c>
      <c r="F1120">
        <v>7.27</v>
      </c>
      <c r="G1120">
        <v>1.94</v>
      </c>
      <c r="H1120" s="15">
        <v>1.482</v>
      </c>
      <c r="I1120">
        <v>32.700000000000003</v>
      </c>
      <c r="J1120">
        <v>19.100000000000001</v>
      </c>
      <c r="K1120">
        <v>11.2</v>
      </c>
      <c r="L1120" t="e">
        <v>#N/A</v>
      </c>
      <c r="M1120">
        <v>3.0190000000000001</v>
      </c>
      <c r="N1120">
        <v>0.215</v>
      </c>
      <c r="O1120">
        <v>2.4700000000000002</v>
      </c>
      <c r="P1120">
        <v>0.83</v>
      </c>
      <c r="Q1120">
        <v>14</v>
      </c>
    </row>
    <row r="1121" spans="1:17" x14ac:dyDescent="0.25">
      <c r="A1121" s="1">
        <v>42817</v>
      </c>
      <c r="B1121">
        <v>7.5</v>
      </c>
      <c r="C1121">
        <v>164.3</v>
      </c>
      <c r="D1121">
        <v>3.476</v>
      </c>
      <c r="E1121">
        <v>12.45</v>
      </c>
      <c r="F1121">
        <v>7.27</v>
      </c>
      <c r="G1121">
        <v>1.94</v>
      </c>
      <c r="H1121" s="15">
        <v>1.502</v>
      </c>
      <c r="I1121">
        <v>32.6</v>
      </c>
      <c r="J1121">
        <v>19.05</v>
      </c>
      <c r="K1121">
        <v>11.21</v>
      </c>
      <c r="L1121" t="e">
        <v>#N/A</v>
      </c>
      <c r="M1121">
        <v>3.0190000000000001</v>
      </c>
      <c r="N1121">
        <v>0.21</v>
      </c>
      <c r="O1121">
        <v>2.54</v>
      </c>
      <c r="P1121">
        <v>0.84</v>
      </c>
      <c r="Q1121">
        <v>14</v>
      </c>
    </row>
    <row r="1122" spans="1:17" x14ac:dyDescent="0.25">
      <c r="A1122" s="1">
        <v>42818</v>
      </c>
      <c r="B1122">
        <v>7.66</v>
      </c>
      <c r="C1122">
        <v>164.36</v>
      </c>
      <c r="D1122">
        <v>3.52</v>
      </c>
      <c r="E1122">
        <v>12.45</v>
      </c>
      <c r="F1122">
        <v>7.4</v>
      </c>
      <c r="G1122">
        <v>1.9</v>
      </c>
      <c r="H1122" s="15">
        <v>1.6</v>
      </c>
      <c r="I1122">
        <v>32.5</v>
      </c>
      <c r="J1122">
        <v>19</v>
      </c>
      <c r="K1122">
        <v>11.21</v>
      </c>
      <c r="L1122">
        <v>1.38</v>
      </c>
      <c r="M1122">
        <v>3.1429999999999998</v>
      </c>
      <c r="N1122">
        <v>0.22</v>
      </c>
      <c r="O1122">
        <v>2.54</v>
      </c>
      <c r="P1122">
        <v>0.84</v>
      </c>
      <c r="Q1122">
        <v>15</v>
      </c>
    </row>
    <row r="1123" spans="1:17" x14ac:dyDescent="0.25">
      <c r="A1123" s="1">
        <v>42821</v>
      </c>
      <c r="B1123">
        <v>7.65</v>
      </c>
      <c r="C1123">
        <v>163.19999999999999</v>
      </c>
      <c r="D1123">
        <v>3.52</v>
      </c>
      <c r="E1123">
        <v>12.55</v>
      </c>
      <c r="F1123">
        <v>7.5</v>
      </c>
      <c r="G1123">
        <v>1.86</v>
      </c>
      <c r="H1123" s="15">
        <v>1.6990000000000001</v>
      </c>
      <c r="I1123">
        <v>32.1</v>
      </c>
      <c r="J1123">
        <v>18.7</v>
      </c>
      <c r="K1123">
        <v>11.21</v>
      </c>
      <c r="L1123">
        <v>1.37</v>
      </c>
      <c r="M1123">
        <v>3.1179999999999999</v>
      </c>
      <c r="N1123">
        <v>0.23100000000000001</v>
      </c>
      <c r="O1123">
        <v>2.54</v>
      </c>
      <c r="P1123">
        <v>0.84</v>
      </c>
      <c r="Q1123">
        <v>15</v>
      </c>
    </row>
    <row r="1124" spans="1:17" x14ac:dyDescent="0.25">
      <c r="A1124" s="1">
        <v>42822</v>
      </c>
      <c r="B1124">
        <v>7.5</v>
      </c>
      <c r="C1124">
        <v>166.2</v>
      </c>
      <c r="D1124">
        <v>3.528</v>
      </c>
      <c r="E1124">
        <v>12.46</v>
      </c>
      <c r="F1124">
        <v>7.34</v>
      </c>
      <c r="G1124">
        <v>1.94</v>
      </c>
      <c r="H1124" s="15">
        <v>1.9259999999999999</v>
      </c>
      <c r="I1124">
        <v>32.49</v>
      </c>
      <c r="J1124">
        <v>18.850000000000001</v>
      </c>
      <c r="K1124">
        <v>11.141</v>
      </c>
      <c r="L1124">
        <v>1.4</v>
      </c>
      <c r="M1124">
        <v>3.1179999999999999</v>
      </c>
      <c r="N1124">
        <v>0.23100000000000001</v>
      </c>
      <c r="O1124">
        <v>2.54</v>
      </c>
      <c r="P1124">
        <v>0.84</v>
      </c>
      <c r="Q1124">
        <v>15</v>
      </c>
    </row>
    <row r="1125" spans="1:17" x14ac:dyDescent="0.25">
      <c r="A1125" s="1">
        <v>42823</v>
      </c>
      <c r="B1125">
        <v>7.5</v>
      </c>
      <c r="C1125">
        <v>164</v>
      </c>
      <c r="D1125">
        <v>3.5979999999999999</v>
      </c>
      <c r="E1125">
        <v>12.42</v>
      </c>
      <c r="F1125">
        <v>7.35</v>
      </c>
      <c r="G1125">
        <v>1.94</v>
      </c>
      <c r="H1125" s="15">
        <v>1.986</v>
      </c>
      <c r="I1125">
        <v>32.5</v>
      </c>
      <c r="J1125">
        <v>19</v>
      </c>
      <c r="K1125">
        <v>11.141</v>
      </c>
      <c r="L1125">
        <v>1.4</v>
      </c>
      <c r="M1125">
        <v>3.06</v>
      </c>
      <c r="N1125">
        <v>0.23</v>
      </c>
      <c r="O1125">
        <v>2.5499999999999998</v>
      </c>
      <c r="P1125">
        <v>0.86</v>
      </c>
      <c r="Q1125">
        <v>15</v>
      </c>
    </row>
    <row r="1126" spans="1:17" x14ac:dyDescent="0.25">
      <c r="A1126" s="1">
        <v>42824</v>
      </c>
      <c r="B1126">
        <v>7.55</v>
      </c>
      <c r="C1126">
        <v>164.67</v>
      </c>
      <c r="D1126">
        <v>3.641</v>
      </c>
      <c r="E1126">
        <v>12.02</v>
      </c>
      <c r="F1126">
        <v>7.4</v>
      </c>
      <c r="G1126">
        <v>2.0299999999999998</v>
      </c>
      <c r="H1126" s="15">
        <v>1.986</v>
      </c>
      <c r="I1126">
        <v>32.6</v>
      </c>
      <c r="J1126">
        <v>19.010000000000002</v>
      </c>
      <c r="K1126">
        <v>11.141</v>
      </c>
      <c r="L1126">
        <v>1.4</v>
      </c>
      <c r="M1126">
        <v>3.1179999999999999</v>
      </c>
      <c r="N1126">
        <v>0.23499999999999999</v>
      </c>
      <c r="O1126">
        <v>2.56</v>
      </c>
      <c r="P1126">
        <v>0.88</v>
      </c>
      <c r="Q1126">
        <v>15</v>
      </c>
    </row>
    <row r="1127" spans="1:17" x14ac:dyDescent="0.25">
      <c r="A1127" s="1">
        <v>42825</v>
      </c>
      <c r="B1127">
        <v>7.7</v>
      </c>
      <c r="C1127">
        <v>150.71</v>
      </c>
      <c r="D1127">
        <v>3.7970000000000002</v>
      </c>
      <c r="E1127">
        <v>12.1</v>
      </c>
      <c r="F1127">
        <v>7.3</v>
      </c>
      <c r="G1127">
        <v>2.04</v>
      </c>
      <c r="H1127" s="15">
        <v>2.0739999999999998</v>
      </c>
      <c r="I1127">
        <v>33</v>
      </c>
      <c r="J1127">
        <v>19.02</v>
      </c>
      <c r="K1127">
        <v>11.141</v>
      </c>
      <c r="L1127" t="e">
        <v>#N/A</v>
      </c>
      <c r="M1127">
        <v>3.2250000000000001</v>
      </c>
      <c r="N1127">
        <v>0.23499999999999999</v>
      </c>
      <c r="O1127">
        <v>2.6</v>
      </c>
      <c r="P1127">
        <v>0.88</v>
      </c>
      <c r="Q1127">
        <v>14</v>
      </c>
    </row>
    <row r="1128" spans="1:17" x14ac:dyDescent="0.25">
      <c r="A1128" s="1">
        <v>42828</v>
      </c>
      <c r="B1128">
        <v>7.7</v>
      </c>
      <c r="C1128">
        <v>149.94999999999999</v>
      </c>
      <c r="D1128">
        <v>3.8140000000000001</v>
      </c>
      <c r="E1128">
        <v>12.2</v>
      </c>
      <c r="F1128">
        <v>7.3</v>
      </c>
      <c r="G1128">
        <v>2.04</v>
      </c>
      <c r="H1128" s="15">
        <v>2.262</v>
      </c>
      <c r="I1128">
        <v>33.4</v>
      </c>
      <c r="J1128">
        <v>19.010000000000002</v>
      </c>
      <c r="K1128">
        <v>11.151</v>
      </c>
      <c r="L1128">
        <v>1.4</v>
      </c>
      <c r="M1128">
        <v>3.2250000000000001</v>
      </c>
      <c r="N1128">
        <v>0.23</v>
      </c>
      <c r="O1128">
        <v>2.59</v>
      </c>
      <c r="P1128">
        <v>0.86</v>
      </c>
      <c r="Q1128">
        <v>15</v>
      </c>
    </row>
    <row r="1129" spans="1:17" x14ac:dyDescent="0.25">
      <c r="A1129" s="1">
        <v>42829</v>
      </c>
      <c r="B1129">
        <v>7.65</v>
      </c>
      <c r="C1129">
        <v>152.26</v>
      </c>
      <c r="D1129">
        <v>3.9009999999999998</v>
      </c>
      <c r="E1129">
        <v>12.44</v>
      </c>
      <c r="F1129">
        <v>7.4</v>
      </c>
      <c r="G1129">
        <v>2.0299999999999998</v>
      </c>
      <c r="H1129" s="15">
        <v>2.4</v>
      </c>
      <c r="I1129">
        <v>33.51</v>
      </c>
      <c r="J1129">
        <v>19.010000000000002</v>
      </c>
      <c r="K1129">
        <v>11.161</v>
      </c>
      <c r="L1129">
        <v>1.4</v>
      </c>
      <c r="M1129">
        <v>3.3079999999999998</v>
      </c>
      <c r="N1129">
        <v>0.23</v>
      </c>
      <c r="O1129">
        <v>2.62</v>
      </c>
      <c r="P1129">
        <v>0.89</v>
      </c>
      <c r="Q1129">
        <v>15</v>
      </c>
    </row>
    <row r="1130" spans="1:17" x14ac:dyDescent="0.25">
      <c r="A1130" s="1">
        <v>42830</v>
      </c>
      <c r="B1130">
        <v>7.65</v>
      </c>
      <c r="C1130">
        <v>151.44</v>
      </c>
      <c r="D1130">
        <v>3.9449999999999998</v>
      </c>
      <c r="E1130">
        <v>12.5</v>
      </c>
      <c r="F1130">
        <v>7.4</v>
      </c>
      <c r="G1130">
        <v>2.0499999999999998</v>
      </c>
      <c r="H1130" s="15">
        <v>2.41</v>
      </c>
      <c r="I1130">
        <v>33.799999999999997</v>
      </c>
      <c r="J1130">
        <v>19.2</v>
      </c>
      <c r="K1130">
        <v>11.24</v>
      </c>
      <c r="L1130">
        <v>1.42</v>
      </c>
      <c r="M1130">
        <v>3.3740000000000001</v>
      </c>
      <c r="N1130">
        <v>0.22900000000000001</v>
      </c>
      <c r="O1130">
        <v>2.62</v>
      </c>
      <c r="P1130">
        <v>0.91</v>
      </c>
      <c r="Q1130">
        <v>15</v>
      </c>
    </row>
    <row r="1131" spans="1:17" x14ac:dyDescent="0.25">
      <c r="A1131" s="1">
        <v>42831</v>
      </c>
      <c r="B1131">
        <v>7.65</v>
      </c>
      <c r="C1131">
        <v>148.96</v>
      </c>
      <c r="D1131">
        <v>3.9449999999999998</v>
      </c>
      <c r="E1131">
        <v>12.3</v>
      </c>
      <c r="F1131">
        <v>7.35</v>
      </c>
      <c r="G1131">
        <v>2.0499999999999998</v>
      </c>
      <c r="H1131" s="15">
        <v>2.766</v>
      </c>
      <c r="I1131" t="e">
        <v>#N/A</v>
      </c>
      <c r="J1131">
        <v>19.079999999999998</v>
      </c>
      <c r="K1131">
        <v>11.24</v>
      </c>
      <c r="L1131">
        <v>1.44</v>
      </c>
      <c r="M1131">
        <v>3.3079999999999998</v>
      </c>
      <c r="N1131">
        <v>0.23499999999999999</v>
      </c>
      <c r="O1131">
        <v>2.56</v>
      </c>
      <c r="P1131">
        <v>0.9</v>
      </c>
      <c r="Q1131">
        <v>14</v>
      </c>
    </row>
    <row r="1132" spans="1:17" x14ac:dyDescent="0.25">
      <c r="A1132" s="1">
        <v>42832</v>
      </c>
      <c r="B1132">
        <v>7.65</v>
      </c>
      <c r="C1132">
        <v>147.79</v>
      </c>
      <c r="D1132">
        <v>3.9449999999999998</v>
      </c>
      <c r="E1132">
        <v>12.1</v>
      </c>
      <c r="F1132">
        <v>7.3</v>
      </c>
      <c r="G1132">
        <v>2.0499999999999998</v>
      </c>
      <c r="H1132" s="15">
        <v>2.8650000000000002</v>
      </c>
      <c r="I1132">
        <v>33.5</v>
      </c>
      <c r="J1132">
        <v>19.079999999999998</v>
      </c>
      <c r="K1132">
        <v>11.24</v>
      </c>
      <c r="L1132">
        <v>1.46</v>
      </c>
      <c r="M1132">
        <v>3.3079999999999998</v>
      </c>
      <c r="N1132">
        <v>0.23499999999999999</v>
      </c>
      <c r="O1132">
        <v>2.5099999999999998</v>
      </c>
      <c r="P1132">
        <v>0.9</v>
      </c>
      <c r="Q1132">
        <v>15</v>
      </c>
    </row>
    <row r="1133" spans="1:17" x14ac:dyDescent="0.25">
      <c r="A1133" s="1">
        <v>42835</v>
      </c>
      <c r="B1133">
        <v>7.4640000000000004</v>
      </c>
      <c r="C1133">
        <v>147.66</v>
      </c>
      <c r="D1133">
        <v>3.7970000000000002</v>
      </c>
      <c r="E1133">
        <v>12.13</v>
      </c>
      <c r="F1133">
        <v>7.3</v>
      </c>
      <c r="G1133">
        <v>2.09</v>
      </c>
      <c r="H1133" s="15">
        <v>2.6179999999999999</v>
      </c>
      <c r="I1133">
        <v>33.61</v>
      </c>
      <c r="J1133">
        <v>18.27</v>
      </c>
      <c r="K1133">
        <v>11.25</v>
      </c>
      <c r="L1133">
        <v>1.46</v>
      </c>
      <c r="M1133">
        <v>3.4740000000000002</v>
      </c>
      <c r="N1133">
        <v>0.23400000000000001</v>
      </c>
      <c r="O1133" t="e">
        <v>#N/A</v>
      </c>
      <c r="P1133">
        <v>0.87</v>
      </c>
      <c r="Q1133">
        <v>14</v>
      </c>
    </row>
    <row r="1134" spans="1:17" x14ac:dyDescent="0.25">
      <c r="A1134" s="1">
        <v>42836</v>
      </c>
      <c r="B1134">
        <v>7.4640000000000004</v>
      </c>
      <c r="C1134">
        <v>147.08000000000001</v>
      </c>
      <c r="D1134">
        <v>3.7970000000000002</v>
      </c>
      <c r="E1134">
        <v>12</v>
      </c>
      <c r="F1134">
        <v>7.3</v>
      </c>
      <c r="G1134">
        <v>2.15</v>
      </c>
      <c r="H1134" s="15">
        <v>2.7160000000000002</v>
      </c>
      <c r="I1134">
        <v>34.4</v>
      </c>
      <c r="J1134">
        <v>18.367000000000001</v>
      </c>
      <c r="K1134">
        <v>11.37</v>
      </c>
      <c r="L1134">
        <v>1.45</v>
      </c>
      <c r="M1134">
        <v>4.1500000000000004</v>
      </c>
      <c r="N1134">
        <v>0.23</v>
      </c>
      <c r="O1134">
        <v>2.46</v>
      </c>
      <c r="P1134">
        <v>0.87</v>
      </c>
      <c r="Q1134">
        <v>15</v>
      </c>
    </row>
    <row r="1135" spans="1:17" x14ac:dyDescent="0.25">
      <c r="A1135" s="1">
        <v>42837</v>
      </c>
      <c r="B1135">
        <v>7.4640000000000004</v>
      </c>
      <c r="C1135">
        <v>158.79</v>
      </c>
      <c r="D1135">
        <v>3.7280000000000002</v>
      </c>
      <c r="E1135">
        <v>12.07</v>
      </c>
      <c r="F1135">
        <v>7.25</v>
      </c>
      <c r="G1135">
        <v>2.15</v>
      </c>
      <c r="H1135" s="15">
        <v>2.6669999999999998</v>
      </c>
      <c r="I1135">
        <v>34.630000000000003</v>
      </c>
      <c r="J1135">
        <v>18.367000000000001</v>
      </c>
      <c r="K1135">
        <v>11.38</v>
      </c>
      <c r="L1135">
        <v>1.45</v>
      </c>
      <c r="M1135">
        <v>3.4409999999999998</v>
      </c>
      <c r="N1135">
        <v>0.23</v>
      </c>
      <c r="O1135">
        <v>2.4500000000000002</v>
      </c>
      <c r="P1135">
        <v>0.87</v>
      </c>
      <c r="Q1135">
        <v>15</v>
      </c>
    </row>
    <row r="1136" spans="1:17" x14ac:dyDescent="0.25">
      <c r="A1136" s="1">
        <v>42842</v>
      </c>
      <c r="B1136">
        <v>7.5129999999999999</v>
      </c>
      <c r="C1136">
        <v>155.05000000000001</v>
      </c>
      <c r="D1136">
        <v>3.7280000000000002</v>
      </c>
      <c r="E1136">
        <v>12.3</v>
      </c>
      <c r="F1136">
        <v>7.32</v>
      </c>
      <c r="G1136">
        <v>2.0099999999999998</v>
      </c>
      <c r="H1136" s="15">
        <v>2.4500000000000002</v>
      </c>
      <c r="I1136" t="e">
        <v>#N/A</v>
      </c>
      <c r="J1136">
        <v>18.396000000000001</v>
      </c>
      <c r="K1136">
        <v>11.5</v>
      </c>
      <c r="L1136">
        <v>1.46</v>
      </c>
      <c r="M1136" t="e">
        <v>#N/A</v>
      </c>
      <c r="N1136">
        <v>0.22500000000000001</v>
      </c>
      <c r="O1136">
        <v>2.4500000000000002</v>
      </c>
      <c r="P1136">
        <v>0.87</v>
      </c>
      <c r="Q1136">
        <v>13</v>
      </c>
    </row>
    <row r="1137" spans="1:17" x14ac:dyDescent="0.25">
      <c r="A1137" s="1">
        <v>42843</v>
      </c>
      <c r="B1137">
        <v>7.5620000000000003</v>
      </c>
      <c r="C1137">
        <v>153.4</v>
      </c>
      <c r="D1137">
        <v>3.6320000000000001</v>
      </c>
      <c r="E1137">
        <v>12.65</v>
      </c>
      <c r="F1137">
        <v>7.38</v>
      </c>
      <c r="G1137">
        <v>1.9159999999999999</v>
      </c>
      <c r="H1137" s="15">
        <v>2.5680000000000001</v>
      </c>
      <c r="I1137">
        <v>29.318000000000001</v>
      </c>
      <c r="J1137">
        <v>18.347999999999999</v>
      </c>
      <c r="K1137">
        <v>11.51</v>
      </c>
      <c r="L1137">
        <v>1.45</v>
      </c>
      <c r="M1137">
        <v>3.391</v>
      </c>
      <c r="N1137">
        <v>0.22500000000000001</v>
      </c>
      <c r="O1137">
        <v>2.35</v>
      </c>
      <c r="P1137">
        <v>0.84</v>
      </c>
      <c r="Q1137">
        <v>15</v>
      </c>
    </row>
    <row r="1138" spans="1:17" x14ac:dyDescent="0.25">
      <c r="A1138" s="1">
        <v>42844</v>
      </c>
      <c r="B1138">
        <v>7.5620000000000003</v>
      </c>
      <c r="C1138">
        <v>152</v>
      </c>
      <c r="D1138">
        <v>3.65</v>
      </c>
      <c r="E1138">
        <v>12.25</v>
      </c>
      <c r="F1138">
        <v>7.32</v>
      </c>
      <c r="G1138">
        <v>1.9159999999999999</v>
      </c>
      <c r="H1138" s="15">
        <v>2.5779999999999998</v>
      </c>
      <c r="I1138">
        <v>29.640999999999998</v>
      </c>
      <c r="J1138" t="e">
        <v>#N/A</v>
      </c>
      <c r="K1138">
        <v>11.52</v>
      </c>
      <c r="L1138">
        <v>1.46</v>
      </c>
      <c r="M1138">
        <v>3.391</v>
      </c>
      <c r="N1138">
        <v>0.22800000000000001</v>
      </c>
      <c r="O1138">
        <v>2.4</v>
      </c>
      <c r="P1138">
        <v>0.85</v>
      </c>
      <c r="Q1138">
        <v>14</v>
      </c>
    </row>
    <row r="1139" spans="1:17" x14ac:dyDescent="0.25">
      <c r="A1139" s="1">
        <v>42845</v>
      </c>
      <c r="B1139">
        <v>7.69</v>
      </c>
      <c r="C1139">
        <v>154.9</v>
      </c>
      <c r="D1139">
        <v>3.7040000000000002</v>
      </c>
      <c r="E1139">
        <v>12.25</v>
      </c>
      <c r="F1139">
        <v>7.3</v>
      </c>
      <c r="G1139">
        <v>1.87</v>
      </c>
      <c r="H1139" s="15">
        <v>2.5190000000000001</v>
      </c>
      <c r="I1139">
        <v>29.640999999999998</v>
      </c>
      <c r="J1139">
        <v>18.79</v>
      </c>
      <c r="K1139">
        <v>11.8</v>
      </c>
      <c r="L1139">
        <v>1.46</v>
      </c>
      <c r="M1139">
        <v>3.391</v>
      </c>
      <c r="N1139">
        <v>0.22700000000000001</v>
      </c>
      <c r="O1139">
        <v>2.4</v>
      </c>
      <c r="P1139">
        <v>0.87</v>
      </c>
      <c r="Q1139">
        <v>15</v>
      </c>
    </row>
    <row r="1140" spans="1:17" x14ac:dyDescent="0.25">
      <c r="A1140" s="1">
        <v>42846</v>
      </c>
      <c r="B1140">
        <v>7.73</v>
      </c>
      <c r="C1140">
        <v>153.4</v>
      </c>
      <c r="D1140">
        <v>3.7040000000000002</v>
      </c>
      <c r="E1140">
        <v>12.28</v>
      </c>
      <c r="F1140">
        <v>7.3</v>
      </c>
      <c r="G1140">
        <v>1.87</v>
      </c>
      <c r="H1140" s="15">
        <v>2.4300000000000002</v>
      </c>
      <c r="I1140" t="e">
        <v>#N/A</v>
      </c>
      <c r="J1140">
        <v>18.600000000000001</v>
      </c>
      <c r="K1140">
        <v>12</v>
      </c>
      <c r="L1140">
        <v>1.46</v>
      </c>
      <c r="M1140">
        <v>3.391</v>
      </c>
      <c r="N1140">
        <v>0.22600000000000001</v>
      </c>
      <c r="O1140">
        <v>2.4</v>
      </c>
      <c r="P1140">
        <v>0.87</v>
      </c>
      <c r="Q1140">
        <v>14</v>
      </c>
    </row>
    <row r="1141" spans="1:17" x14ac:dyDescent="0.25">
      <c r="A1141" s="1">
        <v>42849</v>
      </c>
      <c r="B1141">
        <v>7.73</v>
      </c>
      <c r="C1141">
        <v>151.88</v>
      </c>
      <c r="D1141">
        <v>3.6960000000000002</v>
      </c>
      <c r="E1141">
        <v>12</v>
      </c>
      <c r="F1141">
        <v>7.2</v>
      </c>
      <c r="G1141">
        <v>1.823</v>
      </c>
      <c r="H1141" s="15">
        <v>2.4300000000000002</v>
      </c>
      <c r="I1141">
        <v>29.23</v>
      </c>
      <c r="J1141">
        <v>18.5</v>
      </c>
      <c r="K1141">
        <v>12</v>
      </c>
      <c r="L1141">
        <v>1.46</v>
      </c>
      <c r="M1141">
        <v>3.3079999999999998</v>
      </c>
      <c r="N1141">
        <v>0.22600000000000001</v>
      </c>
      <c r="O1141">
        <v>2.35</v>
      </c>
      <c r="P1141">
        <v>0.87</v>
      </c>
      <c r="Q1141">
        <v>15</v>
      </c>
    </row>
    <row r="1142" spans="1:17" x14ac:dyDescent="0.25">
      <c r="A1142" s="1">
        <v>42850</v>
      </c>
      <c r="B1142">
        <v>7.85</v>
      </c>
      <c r="C1142">
        <v>153.15</v>
      </c>
      <c r="D1142">
        <v>3.6960000000000002</v>
      </c>
      <c r="E1142">
        <v>11.8</v>
      </c>
      <c r="F1142">
        <v>7</v>
      </c>
      <c r="G1142">
        <v>1.8979999999999999</v>
      </c>
      <c r="H1142" s="15">
        <v>2.3210000000000002</v>
      </c>
      <c r="I1142">
        <v>28.881</v>
      </c>
      <c r="J1142">
        <v>18.350000000000001</v>
      </c>
      <c r="K1142">
        <v>11.55</v>
      </c>
      <c r="L1142">
        <v>1.46</v>
      </c>
      <c r="M1142">
        <v>3.3079999999999998</v>
      </c>
      <c r="N1142">
        <v>0.24</v>
      </c>
      <c r="O1142">
        <v>2.4</v>
      </c>
      <c r="P1142">
        <v>0.86</v>
      </c>
      <c r="Q1142">
        <v>15</v>
      </c>
    </row>
    <row r="1143" spans="1:17" x14ac:dyDescent="0.25">
      <c r="A1143" s="1">
        <v>42851</v>
      </c>
      <c r="B1143">
        <v>7.87</v>
      </c>
      <c r="C1143">
        <v>152.80000000000001</v>
      </c>
      <c r="D1143">
        <v>3.6960000000000002</v>
      </c>
      <c r="E1143">
        <v>12</v>
      </c>
      <c r="F1143">
        <v>6.98</v>
      </c>
      <c r="G1143">
        <v>1.907</v>
      </c>
      <c r="H1143" s="15">
        <v>2.2719999999999998</v>
      </c>
      <c r="I1143">
        <v>32.65</v>
      </c>
      <c r="J1143">
        <v>18.45</v>
      </c>
      <c r="K1143">
        <v>11.6</v>
      </c>
      <c r="L1143">
        <v>1.46</v>
      </c>
      <c r="M1143">
        <v>3.3079999999999998</v>
      </c>
      <c r="N1143">
        <v>0.23599999999999999</v>
      </c>
      <c r="O1143">
        <v>2.4700000000000002</v>
      </c>
      <c r="P1143">
        <v>0.88</v>
      </c>
      <c r="Q1143">
        <v>15</v>
      </c>
    </row>
    <row r="1144" spans="1:17" x14ac:dyDescent="0.25">
      <c r="A1144" s="1">
        <v>42852</v>
      </c>
      <c r="B1144">
        <v>7.75</v>
      </c>
      <c r="C1144">
        <v>152.1</v>
      </c>
      <c r="D1144">
        <v>3.6960000000000002</v>
      </c>
      <c r="E1144">
        <v>11.6</v>
      </c>
      <c r="F1144">
        <v>7</v>
      </c>
      <c r="G1144">
        <v>1.841</v>
      </c>
      <c r="H1144" s="15">
        <v>2.1139999999999999</v>
      </c>
      <c r="I1144">
        <v>32.5</v>
      </c>
      <c r="J1144">
        <v>18.45</v>
      </c>
      <c r="K1144">
        <v>11.65</v>
      </c>
      <c r="L1144">
        <v>1.45</v>
      </c>
      <c r="M1144">
        <v>3.3490000000000002</v>
      </c>
      <c r="N1144">
        <v>0.24</v>
      </c>
      <c r="O1144">
        <v>2.38</v>
      </c>
      <c r="P1144">
        <v>0.88</v>
      </c>
      <c r="Q1144">
        <v>15</v>
      </c>
    </row>
    <row r="1145" spans="1:17" x14ac:dyDescent="0.25">
      <c r="A1145" s="1">
        <v>42853</v>
      </c>
      <c r="B1145">
        <v>7.7</v>
      </c>
      <c r="C1145">
        <v>152.75</v>
      </c>
      <c r="D1145">
        <v>3.6960000000000002</v>
      </c>
      <c r="E1145">
        <v>12</v>
      </c>
      <c r="F1145">
        <v>7</v>
      </c>
      <c r="G1145">
        <v>1.87</v>
      </c>
      <c r="H1145" s="15">
        <v>2.1629999999999998</v>
      </c>
      <c r="I1145">
        <v>32.130000000000003</v>
      </c>
      <c r="J1145">
        <v>18.399999999999999</v>
      </c>
      <c r="K1145">
        <v>11.35</v>
      </c>
      <c r="L1145">
        <v>1.45</v>
      </c>
      <c r="M1145">
        <v>3.3490000000000002</v>
      </c>
      <c r="N1145">
        <v>0.23</v>
      </c>
      <c r="O1145">
        <v>2.35</v>
      </c>
      <c r="P1145">
        <v>0.86</v>
      </c>
      <c r="Q1145">
        <v>15</v>
      </c>
    </row>
    <row r="1146" spans="1:17" x14ac:dyDescent="0.25">
      <c r="A1146" s="1">
        <v>42857</v>
      </c>
      <c r="B1146">
        <v>7.89</v>
      </c>
      <c r="C1146">
        <v>157.15</v>
      </c>
      <c r="D1146">
        <v>3.6869999999999998</v>
      </c>
      <c r="E1146">
        <v>11.81</v>
      </c>
      <c r="F1146">
        <v>6.9</v>
      </c>
      <c r="G1146">
        <v>1.93</v>
      </c>
      <c r="H1146" s="15">
        <v>2.1339999999999999</v>
      </c>
      <c r="I1146">
        <v>32</v>
      </c>
      <c r="J1146">
        <v>17.850000000000001</v>
      </c>
      <c r="K1146">
        <v>11.4</v>
      </c>
      <c r="L1146">
        <v>1.46</v>
      </c>
      <c r="M1146">
        <v>3.556</v>
      </c>
      <c r="N1146">
        <v>0.24299999999999999</v>
      </c>
      <c r="O1146">
        <v>2.46</v>
      </c>
      <c r="P1146">
        <v>0.85</v>
      </c>
      <c r="Q1146">
        <v>15</v>
      </c>
    </row>
    <row r="1147" spans="1:17" x14ac:dyDescent="0.25">
      <c r="A1147" s="1">
        <v>42858</v>
      </c>
      <c r="B1147">
        <v>7.85</v>
      </c>
      <c r="C1147">
        <v>157.44999999999999</v>
      </c>
      <c r="D1147">
        <v>3.6960000000000002</v>
      </c>
      <c r="E1147">
        <v>11.95</v>
      </c>
      <c r="F1147">
        <v>6.9</v>
      </c>
      <c r="G1147">
        <v>1.92</v>
      </c>
      <c r="H1147" s="15">
        <v>2.0640000000000001</v>
      </c>
      <c r="I1147">
        <v>32</v>
      </c>
      <c r="J1147">
        <v>18</v>
      </c>
      <c r="K1147">
        <v>11.6</v>
      </c>
      <c r="L1147">
        <v>1.46</v>
      </c>
      <c r="M1147">
        <v>3.5979999999999999</v>
      </c>
      <c r="N1147">
        <v>0.24</v>
      </c>
      <c r="O1147">
        <v>2.4</v>
      </c>
      <c r="P1147">
        <v>0.86</v>
      </c>
      <c r="Q1147">
        <v>15</v>
      </c>
    </row>
    <row r="1148" spans="1:17" x14ac:dyDescent="0.25">
      <c r="A1148" s="1">
        <v>42859</v>
      </c>
      <c r="B1148">
        <v>7.85</v>
      </c>
      <c r="C1148">
        <v>157.6</v>
      </c>
      <c r="D1148">
        <v>3.831</v>
      </c>
      <c r="E1148">
        <v>11.79</v>
      </c>
      <c r="F1148">
        <v>7.05</v>
      </c>
      <c r="G1148">
        <v>1.9</v>
      </c>
      <c r="H1148" s="15">
        <v>2.0550000000000002</v>
      </c>
      <c r="I1148">
        <v>31.5</v>
      </c>
      <c r="J1148">
        <v>18</v>
      </c>
      <c r="K1148">
        <v>11.57</v>
      </c>
      <c r="L1148">
        <v>1.46</v>
      </c>
      <c r="M1148">
        <v>3.581</v>
      </c>
      <c r="N1148">
        <v>0.22500000000000001</v>
      </c>
      <c r="O1148">
        <v>2.36</v>
      </c>
      <c r="P1148">
        <v>0.85</v>
      </c>
      <c r="Q1148">
        <v>15</v>
      </c>
    </row>
    <row r="1149" spans="1:17" x14ac:dyDescent="0.25">
      <c r="A1149" s="1">
        <v>42860</v>
      </c>
      <c r="B1149">
        <v>7.82</v>
      </c>
      <c r="C1149">
        <v>157.26</v>
      </c>
      <c r="D1149">
        <v>3.831</v>
      </c>
      <c r="E1149">
        <v>12.45</v>
      </c>
      <c r="F1149">
        <v>7.05</v>
      </c>
      <c r="G1149">
        <v>1.88</v>
      </c>
      <c r="H1149" s="15">
        <v>2.0840000000000001</v>
      </c>
      <c r="I1149">
        <v>32</v>
      </c>
      <c r="J1149">
        <v>18.3</v>
      </c>
      <c r="K1149">
        <v>11.61</v>
      </c>
      <c r="L1149">
        <v>1.45</v>
      </c>
      <c r="M1149">
        <v>3.581</v>
      </c>
      <c r="N1149">
        <v>0.23499999999999999</v>
      </c>
      <c r="O1149">
        <v>2.3679999999999999</v>
      </c>
      <c r="P1149">
        <v>0.84</v>
      </c>
      <c r="Q1149">
        <v>15</v>
      </c>
    </row>
    <row r="1150" spans="1:17" x14ac:dyDescent="0.25">
      <c r="A1150" s="1">
        <v>42863</v>
      </c>
      <c r="B1150">
        <v>7.82</v>
      </c>
      <c r="C1150">
        <v>157.30000000000001</v>
      </c>
      <c r="D1150">
        <v>3.831</v>
      </c>
      <c r="E1150">
        <v>12.5</v>
      </c>
      <c r="F1150">
        <v>7</v>
      </c>
      <c r="G1150">
        <v>1.88</v>
      </c>
      <c r="H1150" s="15">
        <v>2.1440000000000001</v>
      </c>
      <c r="I1150">
        <v>32</v>
      </c>
      <c r="J1150">
        <v>18</v>
      </c>
      <c r="K1150">
        <v>11.7</v>
      </c>
      <c r="L1150">
        <v>1.45</v>
      </c>
      <c r="M1150">
        <v>3.581</v>
      </c>
      <c r="N1150">
        <v>0.23599999999999999</v>
      </c>
      <c r="O1150">
        <v>2.387</v>
      </c>
      <c r="P1150">
        <v>0.83</v>
      </c>
      <c r="Q1150">
        <v>15</v>
      </c>
    </row>
    <row r="1151" spans="1:17" x14ac:dyDescent="0.25">
      <c r="A1151" s="1">
        <v>42864</v>
      </c>
      <c r="B1151">
        <v>7.9</v>
      </c>
      <c r="C1151">
        <v>159.55000000000001</v>
      </c>
      <c r="D1151">
        <v>3.9209999999999998</v>
      </c>
      <c r="E1151">
        <v>12.16</v>
      </c>
      <c r="F1151">
        <v>7.08</v>
      </c>
      <c r="G1151">
        <v>1.9</v>
      </c>
      <c r="H1151" s="15">
        <v>2.1040000000000001</v>
      </c>
      <c r="I1151">
        <v>32</v>
      </c>
      <c r="J1151">
        <v>18.2</v>
      </c>
      <c r="K1151">
        <v>11.76</v>
      </c>
      <c r="L1151">
        <v>1.45</v>
      </c>
      <c r="M1151">
        <v>3.5979999999999999</v>
      </c>
      <c r="N1151">
        <v>0.24</v>
      </c>
      <c r="O1151">
        <v>2.4870000000000001</v>
      </c>
      <c r="P1151">
        <v>0.84</v>
      </c>
      <c r="Q1151">
        <v>15</v>
      </c>
    </row>
    <row r="1152" spans="1:17" x14ac:dyDescent="0.25">
      <c r="A1152" s="1">
        <v>42865</v>
      </c>
      <c r="B1152">
        <v>7.91</v>
      </c>
      <c r="C1152">
        <v>162.85</v>
      </c>
      <c r="D1152">
        <v>3.9660000000000002</v>
      </c>
      <c r="E1152" t="e">
        <v>#N/A</v>
      </c>
      <c r="F1152">
        <v>7.15</v>
      </c>
      <c r="G1152">
        <v>1.94</v>
      </c>
      <c r="H1152" s="15">
        <v>2.1040000000000001</v>
      </c>
      <c r="I1152">
        <v>32.049999999999997</v>
      </c>
      <c r="J1152">
        <v>18.2</v>
      </c>
      <c r="K1152">
        <v>12</v>
      </c>
      <c r="L1152">
        <v>1.47</v>
      </c>
      <c r="M1152">
        <v>3.68</v>
      </c>
      <c r="N1152">
        <v>0.25</v>
      </c>
      <c r="O1152">
        <v>2.5169999999999999</v>
      </c>
      <c r="P1152">
        <v>0.82</v>
      </c>
      <c r="Q1152">
        <v>14</v>
      </c>
    </row>
    <row r="1153" spans="1:17" x14ac:dyDescent="0.25">
      <c r="A1153" s="1">
        <v>42866</v>
      </c>
      <c r="B1153">
        <v>7.9</v>
      </c>
      <c r="C1153">
        <v>163.30000000000001</v>
      </c>
      <c r="D1153">
        <v>3.9660000000000002</v>
      </c>
      <c r="E1153">
        <v>12.5</v>
      </c>
      <c r="F1153">
        <v>7.35</v>
      </c>
      <c r="G1153">
        <v>1.99</v>
      </c>
      <c r="H1153" s="15">
        <v>2.2229999999999999</v>
      </c>
      <c r="I1153">
        <v>32.04</v>
      </c>
      <c r="J1153">
        <v>18.2</v>
      </c>
      <c r="K1153">
        <v>12.1</v>
      </c>
      <c r="L1153">
        <v>1.46</v>
      </c>
      <c r="M1153">
        <v>3.68</v>
      </c>
      <c r="N1153">
        <v>0.252</v>
      </c>
      <c r="O1153">
        <v>2.5169999999999999</v>
      </c>
      <c r="P1153">
        <v>0.82</v>
      </c>
      <c r="Q1153">
        <v>15</v>
      </c>
    </row>
    <row r="1154" spans="1:17" x14ac:dyDescent="0.25">
      <c r="A1154" s="1">
        <v>42867</v>
      </c>
      <c r="B1154">
        <v>7.91</v>
      </c>
      <c r="C1154">
        <v>167.2</v>
      </c>
      <c r="D1154">
        <v>3.9660000000000002</v>
      </c>
      <c r="E1154">
        <v>12.56</v>
      </c>
      <c r="F1154">
        <v>7.25</v>
      </c>
      <c r="G1154">
        <v>2</v>
      </c>
      <c r="H1154" s="15">
        <v>2.3410000000000002</v>
      </c>
      <c r="I1154">
        <v>31.76</v>
      </c>
      <c r="J1154">
        <v>18.2</v>
      </c>
      <c r="K1154">
        <v>12</v>
      </c>
      <c r="L1154">
        <v>1.46</v>
      </c>
      <c r="M1154">
        <v>3.7130000000000001</v>
      </c>
      <c r="N1154">
        <v>0.255</v>
      </c>
      <c r="O1154">
        <v>2.5070000000000001</v>
      </c>
      <c r="P1154">
        <v>0.82</v>
      </c>
      <c r="Q1154">
        <v>15</v>
      </c>
    </row>
    <row r="1155" spans="1:17" x14ac:dyDescent="0.25">
      <c r="A1155" s="1">
        <v>42870</v>
      </c>
      <c r="B1155">
        <v>7.91</v>
      </c>
      <c r="C1155">
        <v>171.4</v>
      </c>
      <c r="D1155">
        <v>3.9660000000000002</v>
      </c>
      <c r="E1155">
        <v>12.5</v>
      </c>
      <c r="F1155">
        <v>7.2</v>
      </c>
      <c r="G1155">
        <v>2.0299999999999998</v>
      </c>
      <c r="H1155" s="15">
        <v>2.371</v>
      </c>
      <c r="I1155">
        <v>32</v>
      </c>
      <c r="J1155">
        <v>18.2</v>
      </c>
      <c r="K1155">
        <v>12.1</v>
      </c>
      <c r="L1155">
        <v>1.46</v>
      </c>
      <c r="M1155">
        <v>3.722</v>
      </c>
      <c r="N1155">
        <v>0.25800000000000001</v>
      </c>
      <c r="O1155">
        <v>2.4569999999999999</v>
      </c>
      <c r="P1155">
        <v>0.82</v>
      </c>
      <c r="Q1155">
        <v>15</v>
      </c>
    </row>
    <row r="1156" spans="1:17" x14ac:dyDescent="0.25">
      <c r="A1156" s="1">
        <v>42871</v>
      </c>
      <c r="B1156">
        <v>7.8</v>
      </c>
      <c r="C1156">
        <v>170.5</v>
      </c>
      <c r="D1156">
        <v>3.8940000000000001</v>
      </c>
      <c r="E1156">
        <v>12.5</v>
      </c>
      <c r="F1156">
        <v>7.24</v>
      </c>
      <c r="G1156">
        <v>1.96</v>
      </c>
      <c r="H1156" s="15">
        <v>2.0739999999999998</v>
      </c>
      <c r="I1156">
        <v>32.049999999999997</v>
      </c>
      <c r="J1156">
        <v>18.100000000000001</v>
      </c>
      <c r="K1156">
        <v>11.62</v>
      </c>
      <c r="L1156">
        <v>1.45</v>
      </c>
      <c r="M1156">
        <v>3.722</v>
      </c>
      <c r="N1156">
        <v>0.255</v>
      </c>
      <c r="O1156">
        <v>2.41</v>
      </c>
      <c r="P1156">
        <v>0.85</v>
      </c>
      <c r="Q1156">
        <v>15</v>
      </c>
    </row>
    <row r="1157" spans="1:17" x14ac:dyDescent="0.25">
      <c r="A1157" s="1">
        <v>42872</v>
      </c>
      <c r="B1157">
        <v>7.83</v>
      </c>
      <c r="C1157">
        <v>171.8</v>
      </c>
      <c r="D1157">
        <v>3.7949999999999999</v>
      </c>
      <c r="E1157">
        <v>12.6</v>
      </c>
      <c r="F1157">
        <v>7.24</v>
      </c>
      <c r="G1157">
        <v>1.96</v>
      </c>
      <c r="H1157" s="15">
        <v>1.986</v>
      </c>
      <c r="I1157">
        <v>32.049999999999997</v>
      </c>
      <c r="J1157">
        <v>18.100000000000001</v>
      </c>
      <c r="K1157">
        <v>11.8</v>
      </c>
      <c r="L1157">
        <v>1.46</v>
      </c>
      <c r="M1157">
        <v>3.722</v>
      </c>
      <c r="N1157">
        <v>0.254</v>
      </c>
      <c r="O1157">
        <v>2.4300000000000002</v>
      </c>
      <c r="P1157">
        <v>0.86</v>
      </c>
      <c r="Q1157">
        <v>15</v>
      </c>
    </row>
    <row r="1158" spans="1:17" x14ac:dyDescent="0.25">
      <c r="A1158" s="1">
        <v>42873</v>
      </c>
      <c r="B1158">
        <v>7.7</v>
      </c>
      <c r="C1158">
        <v>171.08</v>
      </c>
      <c r="D1158">
        <v>3.7410000000000001</v>
      </c>
      <c r="E1158">
        <v>12.12</v>
      </c>
      <c r="F1158">
        <v>7.2</v>
      </c>
      <c r="G1158">
        <v>1.94</v>
      </c>
      <c r="H1158" s="15">
        <v>1.857</v>
      </c>
      <c r="I1158">
        <v>32.200000000000003</v>
      </c>
      <c r="J1158">
        <v>17.649999999999999</v>
      </c>
      <c r="K1158">
        <v>11.65</v>
      </c>
      <c r="L1158">
        <v>1.45</v>
      </c>
      <c r="M1158">
        <v>3.6389999999999998</v>
      </c>
      <c r="N1158">
        <v>0.25</v>
      </c>
      <c r="O1158">
        <v>2.42</v>
      </c>
      <c r="P1158">
        <v>0.82</v>
      </c>
      <c r="Q1158">
        <v>15</v>
      </c>
    </row>
    <row r="1159" spans="1:17" x14ac:dyDescent="0.25">
      <c r="A1159" s="1">
        <v>42874</v>
      </c>
      <c r="B1159">
        <v>7.8</v>
      </c>
      <c r="C1159">
        <v>172.23</v>
      </c>
      <c r="D1159">
        <v>3.7040000000000002</v>
      </c>
      <c r="E1159">
        <v>12.5</v>
      </c>
      <c r="F1159">
        <v>7.35</v>
      </c>
      <c r="G1159">
        <v>1.95</v>
      </c>
      <c r="H1159" s="15">
        <v>2.0449999999999999</v>
      </c>
      <c r="I1159">
        <v>32.200000000000003</v>
      </c>
      <c r="J1159">
        <v>17.600000000000001</v>
      </c>
      <c r="K1159">
        <v>11.65</v>
      </c>
      <c r="L1159">
        <v>1.46</v>
      </c>
      <c r="M1159">
        <v>3.8039999999999998</v>
      </c>
      <c r="N1159">
        <v>0.255</v>
      </c>
      <c r="O1159">
        <v>2.5</v>
      </c>
      <c r="P1159">
        <v>0.85</v>
      </c>
      <c r="Q1159">
        <v>15</v>
      </c>
    </row>
    <row r="1160" spans="1:17" x14ac:dyDescent="0.25">
      <c r="A1160" s="1">
        <v>42877</v>
      </c>
      <c r="B1160">
        <v>7.8</v>
      </c>
      <c r="C1160">
        <v>173.6</v>
      </c>
      <c r="D1160">
        <v>3.1629999999999998</v>
      </c>
      <c r="E1160">
        <v>12.42</v>
      </c>
      <c r="F1160">
        <v>7.4</v>
      </c>
      <c r="G1160">
        <v>1.95</v>
      </c>
      <c r="H1160" s="15">
        <v>2.0249999999999999</v>
      </c>
      <c r="I1160">
        <v>32.15</v>
      </c>
      <c r="J1160">
        <v>17.600000000000001</v>
      </c>
      <c r="K1160">
        <v>11.8</v>
      </c>
      <c r="L1160">
        <v>1.46</v>
      </c>
      <c r="M1160">
        <v>3.3490000000000002</v>
      </c>
      <c r="N1160">
        <v>0.255</v>
      </c>
      <c r="O1160">
        <v>2.46</v>
      </c>
      <c r="P1160">
        <v>0.84</v>
      </c>
      <c r="Q1160">
        <v>15</v>
      </c>
    </row>
    <row r="1161" spans="1:17" x14ac:dyDescent="0.25">
      <c r="A1161" s="1">
        <v>42878</v>
      </c>
      <c r="B1161">
        <v>7.75</v>
      </c>
      <c r="C1161">
        <v>173</v>
      </c>
      <c r="D1161">
        <v>3.1779999999999999</v>
      </c>
      <c r="E1161">
        <v>12.01</v>
      </c>
      <c r="F1161">
        <v>7.5</v>
      </c>
      <c r="G1161">
        <v>1.95</v>
      </c>
      <c r="H1161" s="15">
        <v>2.0350000000000001</v>
      </c>
      <c r="I1161">
        <v>32.159999999999997</v>
      </c>
      <c r="J1161">
        <v>17.600000000000001</v>
      </c>
      <c r="K1161">
        <v>11.8</v>
      </c>
      <c r="L1161">
        <v>1.46</v>
      </c>
      <c r="M1161" t="e">
        <v>#N/A</v>
      </c>
      <c r="N1161">
        <v>0.255</v>
      </c>
      <c r="O1161">
        <v>2.46</v>
      </c>
      <c r="P1161">
        <v>0.83</v>
      </c>
      <c r="Q1161">
        <v>14</v>
      </c>
    </row>
    <row r="1162" spans="1:17" x14ac:dyDescent="0.25">
      <c r="A1162" s="1">
        <v>42879</v>
      </c>
      <c r="B1162">
        <v>7.77</v>
      </c>
      <c r="C1162">
        <v>172</v>
      </c>
      <c r="D1162">
        <v>3.2160000000000002</v>
      </c>
      <c r="E1162">
        <v>11.95</v>
      </c>
      <c r="F1162">
        <v>7.5</v>
      </c>
      <c r="G1162">
        <v>1.97</v>
      </c>
      <c r="H1162" s="15">
        <v>2.0150000000000001</v>
      </c>
      <c r="I1162">
        <v>32.159999999999997</v>
      </c>
      <c r="J1162">
        <v>17.600000000000001</v>
      </c>
      <c r="K1162">
        <v>11.8</v>
      </c>
      <c r="L1162">
        <v>1.45</v>
      </c>
      <c r="M1162">
        <v>3.3330000000000002</v>
      </c>
      <c r="N1162">
        <v>0.255</v>
      </c>
      <c r="O1162">
        <v>2.46</v>
      </c>
      <c r="P1162">
        <v>0.83</v>
      </c>
      <c r="Q1162">
        <v>15</v>
      </c>
    </row>
    <row r="1163" spans="1:17" x14ac:dyDescent="0.25">
      <c r="A1163" s="1">
        <v>42880</v>
      </c>
      <c r="B1163">
        <v>7.77</v>
      </c>
      <c r="C1163">
        <v>169.5</v>
      </c>
      <c r="D1163">
        <v>3.2850000000000001</v>
      </c>
      <c r="E1163">
        <v>12.15</v>
      </c>
      <c r="F1163">
        <v>7.5</v>
      </c>
      <c r="G1163">
        <v>1.98</v>
      </c>
      <c r="H1163" s="15">
        <v>1.9950000000000001</v>
      </c>
      <c r="I1163">
        <v>32.15</v>
      </c>
      <c r="J1163">
        <v>17.5</v>
      </c>
      <c r="K1163">
        <v>11.79</v>
      </c>
      <c r="L1163">
        <v>1.44</v>
      </c>
      <c r="M1163">
        <v>3.3490000000000002</v>
      </c>
      <c r="N1163">
        <v>0.25700000000000001</v>
      </c>
      <c r="O1163">
        <v>2.5</v>
      </c>
      <c r="P1163">
        <v>0.84</v>
      </c>
      <c r="Q1163">
        <v>15</v>
      </c>
    </row>
    <row r="1164" spans="1:17" x14ac:dyDescent="0.25">
      <c r="A1164" s="1">
        <v>42881</v>
      </c>
      <c r="B1164">
        <v>7.84</v>
      </c>
      <c r="C1164">
        <v>168.75</v>
      </c>
      <c r="D1164">
        <v>3.2850000000000001</v>
      </c>
      <c r="E1164">
        <v>12.48</v>
      </c>
      <c r="F1164">
        <v>7.62</v>
      </c>
      <c r="G1164">
        <v>1.98</v>
      </c>
      <c r="H1164" s="15">
        <v>2.0550000000000002</v>
      </c>
      <c r="I1164">
        <v>32.15</v>
      </c>
      <c r="J1164">
        <v>17.25</v>
      </c>
      <c r="K1164">
        <v>11.8</v>
      </c>
      <c r="L1164" t="e">
        <v>#N/A</v>
      </c>
      <c r="M1164">
        <v>3.101</v>
      </c>
      <c r="N1164">
        <v>0.252</v>
      </c>
      <c r="O1164">
        <v>2.5</v>
      </c>
      <c r="P1164">
        <v>0.85</v>
      </c>
      <c r="Q1164">
        <v>14</v>
      </c>
    </row>
    <row r="1165" spans="1:17" x14ac:dyDescent="0.25">
      <c r="A1165" s="1">
        <v>42884</v>
      </c>
      <c r="B1165">
        <v>7.83</v>
      </c>
      <c r="C1165">
        <v>169.5</v>
      </c>
      <c r="D1165">
        <v>3.2850000000000001</v>
      </c>
      <c r="E1165" t="e">
        <v>#N/A</v>
      </c>
      <c r="F1165">
        <v>7.5</v>
      </c>
      <c r="G1165">
        <v>1.96</v>
      </c>
      <c r="H1165" s="15">
        <v>2.0550000000000002</v>
      </c>
      <c r="I1165">
        <v>32.15</v>
      </c>
      <c r="J1165">
        <v>17</v>
      </c>
      <c r="K1165">
        <v>11.8</v>
      </c>
      <c r="L1165">
        <v>1.45</v>
      </c>
      <c r="M1165">
        <v>3.101</v>
      </c>
      <c r="N1165">
        <v>0.255</v>
      </c>
      <c r="O1165">
        <v>2.5099999999999998</v>
      </c>
      <c r="P1165">
        <v>0.86</v>
      </c>
      <c r="Q1165">
        <v>14</v>
      </c>
    </row>
    <row r="1166" spans="1:17" x14ac:dyDescent="0.25">
      <c r="A1166" s="1">
        <v>42885</v>
      </c>
      <c r="B1166">
        <v>7.92</v>
      </c>
      <c r="C1166">
        <v>167.8</v>
      </c>
      <c r="D1166">
        <v>3.2770000000000001</v>
      </c>
      <c r="E1166">
        <v>12.4</v>
      </c>
      <c r="F1166">
        <v>7.45</v>
      </c>
      <c r="G1166">
        <v>1.96</v>
      </c>
      <c r="H1166" s="15">
        <v>2.0249999999999999</v>
      </c>
      <c r="I1166">
        <v>32.15</v>
      </c>
      <c r="J1166">
        <v>16.600000000000001</v>
      </c>
      <c r="K1166">
        <v>11.8</v>
      </c>
      <c r="L1166">
        <v>1.47</v>
      </c>
      <c r="M1166" t="e">
        <v>#N/A</v>
      </c>
      <c r="N1166">
        <v>0.255</v>
      </c>
      <c r="O1166">
        <v>2.5</v>
      </c>
      <c r="P1166">
        <v>0.85</v>
      </c>
      <c r="Q1166">
        <v>14</v>
      </c>
    </row>
    <row r="1167" spans="1:17" x14ac:dyDescent="0.25">
      <c r="A1167" s="1">
        <v>42886</v>
      </c>
      <c r="B1167">
        <v>7.92</v>
      </c>
      <c r="C1167">
        <v>168.3</v>
      </c>
      <c r="D1167">
        <v>3.2389999999999999</v>
      </c>
      <c r="E1167">
        <v>12.37</v>
      </c>
      <c r="F1167">
        <v>7.4</v>
      </c>
      <c r="G1167">
        <v>1.96</v>
      </c>
      <c r="H1167" s="15">
        <v>2.0449999999999999</v>
      </c>
      <c r="I1167">
        <v>32.700000000000003</v>
      </c>
      <c r="J1167">
        <v>17.010000000000002</v>
      </c>
      <c r="K1167">
        <v>11.9</v>
      </c>
      <c r="L1167">
        <v>1.47</v>
      </c>
      <c r="M1167">
        <v>2.9860000000000002</v>
      </c>
      <c r="N1167">
        <v>0.25</v>
      </c>
      <c r="O1167">
        <v>2.5</v>
      </c>
      <c r="P1167">
        <v>0.84</v>
      </c>
      <c r="Q1167">
        <v>15</v>
      </c>
    </row>
    <row r="1168" spans="1:17" x14ac:dyDescent="0.25">
      <c r="A1168" s="1">
        <v>42887</v>
      </c>
      <c r="B1168">
        <v>7.9</v>
      </c>
      <c r="C1168">
        <v>169.3</v>
      </c>
      <c r="D1168">
        <v>3.2010000000000001</v>
      </c>
      <c r="E1168">
        <v>12.38</v>
      </c>
      <c r="F1168">
        <v>7.33</v>
      </c>
      <c r="G1168">
        <v>1.93</v>
      </c>
      <c r="H1168" s="15">
        <v>2.0350000000000001</v>
      </c>
      <c r="I1168">
        <v>32.15</v>
      </c>
      <c r="J1168">
        <v>17.059999999999999</v>
      </c>
      <c r="K1168">
        <v>11.8</v>
      </c>
      <c r="L1168">
        <v>1.46</v>
      </c>
      <c r="M1168">
        <v>2.8119999999999998</v>
      </c>
      <c r="N1168">
        <v>0.25</v>
      </c>
      <c r="O1168">
        <v>2.46</v>
      </c>
      <c r="P1168">
        <v>0.84</v>
      </c>
      <c r="Q1168">
        <v>15</v>
      </c>
    </row>
    <row r="1169" spans="1:17" x14ac:dyDescent="0.25">
      <c r="A1169" s="1">
        <v>42888</v>
      </c>
      <c r="B1169">
        <v>7.89</v>
      </c>
      <c r="C1169">
        <v>167.3</v>
      </c>
      <c r="D1169">
        <v>3.2160000000000002</v>
      </c>
      <c r="E1169">
        <v>12.18</v>
      </c>
      <c r="F1169">
        <v>7.52</v>
      </c>
      <c r="G1169">
        <v>1.97</v>
      </c>
      <c r="H1169" s="15">
        <v>2.0249999999999999</v>
      </c>
      <c r="I1169">
        <v>32.5</v>
      </c>
      <c r="J1169" t="e">
        <v>#N/A</v>
      </c>
      <c r="K1169">
        <v>11.7</v>
      </c>
      <c r="L1169" t="e">
        <v>#N/A</v>
      </c>
      <c r="M1169" t="e">
        <v>#N/A</v>
      </c>
      <c r="N1169">
        <v>0.25</v>
      </c>
      <c r="O1169">
        <v>2.46</v>
      </c>
      <c r="P1169">
        <v>0.85</v>
      </c>
      <c r="Q1169">
        <v>12</v>
      </c>
    </row>
    <row r="1170" spans="1:17" x14ac:dyDescent="0.25">
      <c r="A1170" s="1">
        <v>42891</v>
      </c>
      <c r="B1170">
        <v>7.88</v>
      </c>
      <c r="C1170">
        <v>168.8</v>
      </c>
      <c r="D1170">
        <v>3.2080000000000002</v>
      </c>
      <c r="E1170">
        <v>12.5</v>
      </c>
      <c r="F1170">
        <v>7.52</v>
      </c>
      <c r="G1170">
        <v>1.95</v>
      </c>
      <c r="H1170" s="15">
        <v>2.0249999999999999</v>
      </c>
      <c r="I1170" t="e">
        <v>#N/A</v>
      </c>
      <c r="J1170">
        <v>17.7</v>
      </c>
      <c r="K1170">
        <v>11.553000000000001</v>
      </c>
      <c r="L1170" t="e">
        <v>#N/A</v>
      </c>
      <c r="M1170">
        <v>2.895</v>
      </c>
      <c r="N1170">
        <v>0.245</v>
      </c>
      <c r="O1170">
        <v>2.44</v>
      </c>
      <c r="P1170">
        <v>0.82</v>
      </c>
      <c r="Q1170">
        <v>13</v>
      </c>
    </row>
    <row r="1171" spans="1:17" x14ac:dyDescent="0.25">
      <c r="A1171" s="1">
        <v>42892</v>
      </c>
      <c r="B1171">
        <v>7.86</v>
      </c>
      <c r="C1171">
        <v>171.4</v>
      </c>
      <c r="D1171">
        <v>3.2160000000000002</v>
      </c>
      <c r="E1171">
        <v>12.75</v>
      </c>
      <c r="F1171">
        <v>7.52</v>
      </c>
      <c r="G1171">
        <v>1.95</v>
      </c>
      <c r="H1171" s="15">
        <v>2.0840000000000001</v>
      </c>
      <c r="I1171">
        <v>32.4</v>
      </c>
      <c r="J1171">
        <v>17.77</v>
      </c>
      <c r="K1171">
        <v>11.553000000000001</v>
      </c>
      <c r="L1171">
        <v>1.43</v>
      </c>
      <c r="M1171">
        <v>2.895</v>
      </c>
      <c r="N1171">
        <v>0.24199999999999999</v>
      </c>
      <c r="O1171">
        <v>2.44</v>
      </c>
      <c r="P1171">
        <v>0.81</v>
      </c>
      <c r="Q1171">
        <v>15</v>
      </c>
    </row>
    <row r="1172" spans="1:17" x14ac:dyDescent="0.25">
      <c r="A1172" s="1">
        <v>42893</v>
      </c>
      <c r="B1172">
        <v>7.88</v>
      </c>
      <c r="C1172">
        <v>173.5</v>
      </c>
      <c r="D1172">
        <v>2.92</v>
      </c>
      <c r="E1172">
        <v>12.6</v>
      </c>
      <c r="F1172">
        <v>7.5</v>
      </c>
      <c r="G1172">
        <v>1.92</v>
      </c>
      <c r="H1172" s="15">
        <v>2.153</v>
      </c>
      <c r="I1172">
        <v>32.380000000000003</v>
      </c>
      <c r="J1172">
        <v>17.8</v>
      </c>
      <c r="K1172">
        <v>11.691000000000001</v>
      </c>
      <c r="L1172">
        <v>1.4</v>
      </c>
      <c r="M1172">
        <v>2.8530000000000002</v>
      </c>
      <c r="N1172">
        <v>0.24099999999999999</v>
      </c>
      <c r="O1172">
        <v>2.44</v>
      </c>
      <c r="P1172">
        <v>0.8</v>
      </c>
      <c r="Q1172">
        <v>15</v>
      </c>
    </row>
    <row r="1173" spans="1:17" x14ac:dyDescent="0.25">
      <c r="A1173" s="1">
        <v>42894</v>
      </c>
      <c r="B1173">
        <v>7.85</v>
      </c>
      <c r="C1173">
        <v>172.34</v>
      </c>
      <c r="D1173">
        <v>2.9889999999999999</v>
      </c>
      <c r="E1173">
        <v>12.72</v>
      </c>
      <c r="F1173">
        <v>7.55</v>
      </c>
      <c r="G1173">
        <v>1.95</v>
      </c>
      <c r="H1173" s="15">
        <v>2.2229999999999999</v>
      </c>
      <c r="I1173">
        <v>32.5</v>
      </c>
      <c r="J1173">
        <v>18</v>
      </c>
      <c r="K1173">
        <v>11.829000000000001</v>
      </c>
      <c r="L1173">
        <v>1.38</v>
      </c>
      <c r="M1173">
        <v>2.895</v>
      </c>
      <c r="N1173">
        <v>0.245</v>
      </c>
      <c r="O1173">
        <v>2.44</v>
      </c>
      <c r="P1173">
        <v>0.81</v>
      </c>
      <c r="Q1173">
        <v>15</v>
      </c>
    </row>
    <row r="1174" spans="1:17" x14ac:dyDescent="0.25">
      <c r="A1174" s="1">
        <v>42895</v>
      </c>
      <c r="B1174">
        <v>7.85</v>
      </c>
      <c r="C1174">
        <v>173.1</v>
      </c>
      <c r="D1174">
        <v>2.927</v>
      </c>
      <c r="E1174">
        <v>12.7</v>
      </c>
      <c r="F1174">
        <v>7.5</v>
      </c>
      <c r="G1174">
        <v>1.95</v>
      </c>
      <c r="H1174" s="15">
        <v>2.2719999999999998</v>
      </c>
      <c r="I1174">
        <v>32.4</v>
      </c>
      <c r="J1174">
        <v>18</v>
      </c>
      <c r="K1174">
        <v>11.78</v>
      </c>
      <c r="L1174" t="e">
        <v>#N/A</v>
      </c>
      <c r="M1174">
        <v>2.895</v>
      </c>
      <c r="N1174">
        <v>0.245</v>
      </c>
      <c r="O1174">
        <v>2.44</v>
      </c>
      <c r="P1174">
        <v>0.82</v>
      </c>
      <c r="Q1174">
        <v>14</v>
      </c>
    </row>
    <row r="1175" spans="1:17" x14ac:dyDescent="0.25">
      <c r="A1175" s="1">
        <v>42898</v>
      </c>
      <c r="B1175">
        <v>7.87</v>
      </c>
      <c r="C1175">
        <v>172.6</v>
      </c>
      <c r="D1175">
        <v>2.927</v>
      </c>
      <c r="E1175">
        <v>11.55</v>
      </c>
      <c r="F1175">
        <v>7.53</v>
      </c>
      <c r="G1175">
        <v>1.94</v>
      </c>
      <c r="H1175" s="15">
        <v>2.242</v>
      </c>
      <c r="I1175">
        <v>32.25</v>
      </c>
      <c r="J1175">
        <v>18.5</v>
      </c>
      <c r="K1175">
        <v>11.78</v>
      </c>
      <c r="L1175" t="e">
        <v>#N/A</v>
      </c>
      <c r="M1175">
        <v>2.87</v>
      </c>
      <c r="N1175">
        <v>0.24</v>
      </c>
      <c r="O1175">
        <v>2.44</v>
      </c>
      <c r="P1175">
        <v>0.81</v>
      </c>
      <c r="Q1175">
        <v>14</v>
      </c>
    </row>
    <row r="1176" spans="1:17" x14ac:dyDescent="0.25">
      <c r="A1176" s="1">
        <v>42899</v>
      </c>
      <c r="B1176">
        <v>7.77</v>
      </c>
      <c r="C1176">
        <v>177.5</v>
      </c>
      <c r="D1176">
        <v>2.9889999999999999</v>
      </c>
      <c r="E1176">
        <v>11.64</v>
      </c>
      <c r="F1176">
        <v>7.52</v>
      </c>
      <c r="G1176">
        <v>1.93</v>
      </c>
      <c r="H1176" s="15">
        <v>2.173</v>
      </c>
      <c r="I1176">
        <v>32.200000000000003</v>
      </c>
      <c r="J1176">
        <v>18</v>
      </c>
      <c r="K1176">
        <v>11.553000000000001</v>
      </c>
      <c r="L1176">
        <v>1.4</v>
      </c>
      <c r="M1176">
        <v>2.8119999999999998</v>
      </c>
      <c r="N1176">
        <v>0.23699999999999999</v>
      </c>
      <c r="O1176">
        <v>2.35</v>
      </c>
      <c r="P1176">
        <v>0.8</v>
      </c>
      <c r="Q1176">
        <v>15</v>
      </c>
    </row>
    <row r="1177" spans="1:17" x14ac:dyDescent="0.25">
      <c r="A1177" s="1">
        <v>42900</v>
      </c>
      <c r="B1177">
        <v>7.75</v>
      </c>
      <c r="C1177">
        <v>180</v>
      </c>
      <c r="D1177">
        <v>2.9889999999999999</v>
      </c>
      <c r="E1177">
        <v>11.33</v>
      </c>
      <c r="F1177">
        <v>7.5</v>
      </c>
      <c r="G1177">
        <v>1.92</v>
      </c>
      <c r="H1177" s="15">
        <v>2.173</v>
      </c>
      <c r="I1177">
        <v>32.5</v>
      </c>
      <c r="J1177">
        <v>18</v>
      </c>
      <c r="K1177">
        <v>11.78</v>
      </c>
      <c r="L1177">
        <v>1.4</v>
      </c>
      <c r="M1177">
        <v>2.8530000000000002</v>
      </c>
      <c r="N1177">
        <v>0.23499999999999999</v>
      </c>
      <c r="O1177">
        <v>2.4</v>
      </c>
      <c r="P1177">
        <v>0.8</v>
      </c>
      <c r="Q1177">
        <v>15</v>
      </c>
    </row>
    <row r="1178" spans="1:17" x14ac:dyDescent="0.25">
      <c r="A1178" s="1">
        <v>42901</v>
      </c>
      <c r="B1178">
        <v>7.75</v>
      </c>
      <c r="C1178">
        <v>178.5</v>
      </c>
      <c r="D1178">
        <v>2.9889999999999999</v>
      </c>
      <c r="E1178">
        <v>11.16</v>
      </c>
      <c r="F1178">
        <v>7.47</v>
      </c>
      <c r="G1178">
        <v>1.88</v>
      </c>
      <c r="H1178" s="15">
        <v>2.1240000000000001</v>
      </c>
      <c r="I1178">
        <v>32.200000000000003</v>
      </c>
      <c r="J1178">
        <v>17.7</v>
      </c>
      <c r="K1178">
        <v>11.5</v>
      </c>
      <c r="L1178">
        <v>1.4</v>
      </c>
      <c r="M1178">
        <v>2.68</v>
      </c>
      <c r="N1178">
        <v>0.23</v>
      </c>
      <c r="O1178">
        <v>2.39</v>
      </c>
      <c r="P1178">
        <v>0.78</v>
      </c>
      <c r="Q1178">
        <v>15</v>
      </c>
    </row>
    <row r="1179" spans="1:17" x14ac:dyDescent="0.25">
      <c r="A1179" s="1">
        <v>42902</v>
      </c>
      <c r="B1179">
        <v>7.67</v>
      </c>
      <c r="C1179">
        <v>178.9</v>
      </c>
      <c r="D1179">
        <v>2.9550000000000001</v>
      </c>
      <c r="E1179">
        <v>11.2</v>
      </c>
      <c r="F1179">
        <v>7.45</v>
      </c>
      <c r="G1179">
        <v>1.83</v>
      </c>
      <c r="H1179" s="15">
        <v>2.1240000000000001</v>
      </c>
      <c r="I1179">
        <v>32.200000000000003</v>
      </c>
      <c r="J1179">
        <v>18</v>
      </c>
      <c r="K1179">
        <v>11.2</v>
      </c>
      <c r="L1179">
        <v>1.39</v>
      </c>
      <c r="M1179">
        <v>2.6880000000000002</v>
      </c>
      <c r="N1179">
        <v>0.22500000000000001</v>
      </c>
      <c r="O1179">
        <v>2.35</v>
      </c>
      <c r="P1179">
        <v>0.76</v>
      </c>
      <c r="Q1179">
        <v>15</v>
      </c>
    </row>
    <row r="1180" spans="1:17" x14ac:dyDescent="0.25">
      <c r="A1180" s="1">
        <v>42905</v>
      </c>
      <c r="B1180">
        <v>7.7</v>
      </c>
      <c r="C1180">
        <v>181.25</v>
      </c>
      <c r="D1180">
        <v>2.9889999999999999</v>
      </c>
      <c r="E1180">
        <v>11.3</v>
      </c>
      <c r="F1180">
        <v>7.45</v>
      </c>
      <c r="G1180">
        <v>1.83</v>
      </c>
      <c r="H1180" s="15">
        <v>2.0939999999999999</v>
      </c>
      <c r="I1180">
        <v>32.4</v>
      </c>
      <c r="J1180">
        <v>18</v>
      </c>
      <c r="K1180">
        <v>11.5</v>
      </c>
      <c r="L1180">
        <v>1.39</v>
      </c>
      <c r="M1180" t="e">
        <v>#N/A</v>
      </c>
      <c r="N1180">
        <v>0.23100000000000001</v>
      </c>
      <c r="O1180">
        <v>2.39</v>
      </c>
      <c r="P1180">
        <v>0.77</v>
      </c>
      <c r="Q1180">
        <v>14</v>
      </c>
    </row>
    <row r="1181" spans="1:17" x14ac:dyDescent="0.25">
      <c r="A1181" s="1">
        <v>42906</v>
      </c>
      <c r="B1181">
        <v>7.7</v>
      </c>
      <c r="C1181">
        <v>182.2</v>
      </c>
      <c r="D1181">
        <v>2.9889999999999999</v>
      </c>
      <c r="E1181">
        <v>11.3</v>
      </c>
      <c r="F1181">
        <v>7.48</v>
      </c>
      <c r="G1181">
        <v>1.8</v>
      </c>
      <c r="H1181" s="15">
        <v>1.976</v>
      </c>
      <c r="I1181">
        <v>32.200000000000003</v>
      </c>
      <c r="J1181">
        <v>17.510000000000002</v>
      </c>
      <c r="K1181">
        <v>11.25</v>
      </c>
      <c r="L1181">
        <v>1.39</v>
      </c>
      <c r="M1181">
        <v>2.7210000000000001</v>
      </c>
      <c r="N1181">
        <v>0.22</v>
      </c>
      <c r="O1181">
        <v>2.35</v>
      </c>
      <c r="P1181">
        <v>0.76</v>
      </c>
      <c r="Q1181">
        <v>15</v>
      </c>
    </row>
    <row r="1182" spans="1:17" x14ac:dyDescent="0.25">
      <c r="A1182" s="1">
        <v>42907</v>
      </c>
      <c r="B1182">
        <v>7.85</v>
      </c>
      <c r="C1182">
        <v>182.1</v>
      </c>
      <c r="D1182">
        <v>3.024</v>
      </c>
      <c r="E1182">
        <v>11.5</v>
      </c>
      <c r="F1182">
        <v>7.5</v>
      </c>
      <c r="G1182">
        <v>1.84</v>
      </c>
      <c r="H1182" s="15">
        <v>2.1240000000000001</v>
      </c>
      <c r="I1182">
        <v>33</v>
      </c>
      <c r="J1182">
        <v>17.5</v>
      </c>
      <c r="K1182">
        <v>11.35</v>
      </c>
      <c r="L1182">
        <v>1.39</v>
      </c>
      <c r="M1182">
        <v>2.7370000000000001</v>
      </c>
      <c r="N1182">
        <v>0.22</v>
      </c>
      <c r="O1182" t="e">
        <v>#N/A</v>
      </c>
      <c r="P1182">
        <v>0.79</v>
      </c>
      <c r="Q1182">
        <v>14</v>
      </c>
    </row>
    <row r="1183" spans="1:17" x14ac:dyDescent="0.25">
      <c r="A1183" s="1">
        <v>42908</v>
      </c>
      <c r="B1183">
        <v>8</v>
      </c>
      <c r="C1183">
        <v>181.8</v>
      </c>
      <c r="D1183">
        <v>3.0449999999999999</v>
      </c>
      <c r="E1183" t="e">
        <v>#N/A</v>
      </c>
      <c r="F1183">
        <v>7.45</v>
      </c>
      <c r="G1183">
        <v>1.82</v>
      </c>
      <c r="H1183" s="15">
        <v>2.0739999999999998</v>
      </c>
      <c r="I1183">
        <v>33.01</v>
      </c>
      <c r="J1183">
        <v>17.5</v>
      </c>
      <c r="K1183">
        <v>11.4</v>
      </c>
      <c r="L1183">
        <v>1.38</v>
      </c>
      <c r="M1183" t="e">
        <v>#N/A</v>
      </c>
      <c r="N1183">
        <v>0.222</v>
      </c>
      <c r="O1183">
        <v>2.4</v>
      </c>
      <c r="P1183">
        <v>0.78</v>
      </c>
      <c r="Q1183">
        <v>13</v>
      </c>
    </row>
    <row r="1184" spans="1:17" x14ac:dyDescent="0.25">
      <c r="A1184" s="1">
        <v>42909</v>
      </c>
      <c r="B1184">
        <v>8.1199999999999992</v>
      </c>
      <c r="C1184">
        <v>180.4</v>
      </c>
      <c r="D1184">
        <v>3.0590000000000002</v>
      </c>
      <c r="E1184">
        <v>11.6</v>
      </c>
      <c r="F1184">
        <v>7.42</v>
      </c>
      <c r="G1184">
        <v>1.82</v>
      </c>
      <c r="H1184" s="15">
        <v>2.0350000000000001</v>
      </c>
      <c r="I1184">
        <v>33.799999999999997</v>
      </c>
      <c r="J1184">
        <v>17.5</v>
      </c>
      <c r="K1184">
        <v>11.4</v>
      </c>
      <c r="L1184">
        <v>1.38</v>
      </c>
      <c r="M1184" t="e">
        <v>#N/A</v>
      </c>
      <c r="N1184">
        <v>0.22800000000000001</v>
      </c>
      <c r="O1184">
        <v>2.4</v>
      </c>
      <c r="P1184">
        <v>0.79</v>
      </c>
      <c r="Q1184">
        <v>14</v>
      </c>
    </row>
    <row r="1185" spans="1:17" x14ac:dyDescent="0.25">
      <c r="A1185" s="1">
        <v>42912</v>
      </c>
      <c r="B1185">
        <v>8.25</v>
      </c>
      <c r="C1185">
        <v>180.4</v>
      </c>
      <c r="D1185">
        <v>3.0659999999999998</v>
      </c>
      <c r="E1185">
        <v>11.46</v>
      </c>
      <c r="F1185">
        <v>7.45</v>
      </c>
      <c r="G1185">
        <v>1.84</v>
      </c>
      <c r="H1185" s="15">
        <v>2.0350000000000001</v>
      </c>
      <c r="I1185">
        <v>33.799999999999997</v>
      </c>
      <c r="J1185">
        <v>17.510000000000002</v>
      </c>
      <c r="K1185">
        <v>11.4</v>
      </c>
      <c r="L1185" t="e">
        <v>#N/A</v>
      </c>
      <c r="M1185" t="e">
        <v>#N/A</v>
      </c>
      <c r="N1185">
        <v>0.22800000000000001</v>
      </c>
      <c r="O1185">
        <v>2.4500000000000002</v>
      </c>
      <c r="P1185">
        <v>0.8</v>
      </c>
      <c r="Q1185">
        <v>13</v>
      </c>
    </row>
    <row r="1186" spans="1:17" x14ac:dyDescent="0.25">
      <c r="A1186" s="1">
        <v>42913</v>
      </c>
      <c r="B1186">
        <v>8.25</v>
      </c>
      <c r="C1186">
        <v>179.7</v>
      </c>
      <c r="D1186">
        <v>3.0939999999999999</v>
      </c>
      <c r="E1186">
        <v>11</v>
      </c>
      <c r="F1186">
        <v>7.5</v>
      </c>
      <c r="G1186">
        <v>1.83</v>
      </c>
      <c r="H1186" s="15">
        <v>2.0739999999999998</v>
      </c>
      <c r="I1186">
        <v>33.799999999999997</v>
      </c>
      <c r="J1186">
        <v>17.510000000000002</v>
      </c>
      <c r="K1186">
        <v>11.47</v>
      </c>
      <c r="L1186">
        <v>1.35</v>
      </c>
      <c r="M1186">
        <v>2.8039999999999998</v>
      </c>
      <c r="N1186">
        <v>0.23</v>
      </c>
      <c r="O1186">
        <v>2.4500000000000002</v>
      </c>
      <c r="P1186">
        <v>0.82</v>
      </c>
      <c r="Q1186">
        <v>15</v>
      </c>
    </row>
    <row r="1187" spans="1:17" x14ac:dyDescent="0.25">
      <c r="A1187" s="1">
        <v>42914</v>
      </c>
      <c r="B1187">
        <v>8.1999999999999993</v>
      </c>
      <c r="C1187">
        <v>179.8</v>
      </c>
      <c r="D1187">
        <v>3.1080000000000001</v>
      </c>
      <c r="E1187">
        <v>11.05</v>
      </c>
      <c r="F1187">
        <v>7.45</v>
      </c>
      <c r="G1187">
        <v>1.8</v>
      </c>
      <c r="H1187" s="15">
        <v>2.1240000000000001</v>
      </c>
      <c r="I1187">
        <v>33.5</v>
      </c>
      <c r="J1187">
        <v>17.5</v>
      </c>
      <c r="K1187">
        <v>11.5</v>
      </c>
      <c r="L1187">
        <v>1.36</v>
      </c>
      <c r="M1187">
        <v>2.8039999999999998</v>
      </c>
      <c r="N1187">
        <v>0.223</v>
      </c>
      <c r="O1187">
        <v>2.36</v>
      </c>
      <c r="P1187">
        <v>0.81</v>
      </c>
      <c r="Q1187">
        <v>15</v>
      </c>
    </row>
    <row r="1188" spans="1:17" x14ac:dyDescent="0.25">
      <c r="A1188" s="1">
        <v>42916</v>
      </c>
      <c r="B1188">
        <v>8.14</v>
      </c>
      <c r="C1188">
        <v>179.5</v>
      </c>
      <c r="D1188">
        <v>3.1080000000000001</v>
      </c>
      <c r="E1188">
        <v>11.63</v>
      </c>
      <c r="F1188">
        <v>7.5</v>
      </c>
      <c r="G1188">
        <v>1.81</v>
      </c>
      <c r="H1188" s="15">
        <v>2.1339999999999999</v>
      </c>
      <c r="I1188">
        <v>34</v>
      </c>
      <c r="J1188">
        <v>17.5</v>
      </c>
      <c r="K1188">
        <v>11.51</v>
      </c>
      <c r="L1188">
        <v>1.36</v>
      </c>
      <c r="M1188">
        <v>2.8039999999999998</v>
      </c>
      <c r="N1188">
        <v>0.22500000000000001</v>
      </c>
      <c r="O1188">
        <v>2.36</v>
      </c>
      <c r="P1188">
        <v>0.83</v>
      </c>
      <c r="Q1188">
        <v>15</v>
      </c>
    </row>
    <row r="1189" spans="1:17" x14ac:dyDescent="0.25">
      <c r="A1189" s="1">
        <v>42919</v>
      </c>
      <c r="B1189">
        <v>8.16</v>
      </c>
      <c r="C1189">
        <v>182.09</v>
      </c>
      <c r="D1189">
        <v>3.1080000000000001</v>
      </c>
      <c r="E1189">
        <v>11.2</v>
      </c>
      <c r="F1189">
        <v>7.45</v>
      </c>
      <c r="G1189">
        <v>1.81</v>
      </c>
      <c r="H1189" s="15">
        <v>2.1440000000000001</v>
      </c>
      <c r="I1189">
        <v>34</v>
      </c>
      <c r="J1189">
        <v>17.45</v>
      </c>
      <c r="K1189">
        <v>11.75</v>
      </c>
      <c r="L1189">
        <v>1.36</v>
      </c>
      <c r="M1189">
        <v>2.8370000000000002</v>
      </c>
      <c r="N1189">
        <v>0.23</v>
      </c>
      <c r="O1189">
        <v>2.36</v>
      </c>
      <c r="P1189">
        <v>0.83</v>
      </c>
      <c r="Q1189">
        <v>15</v>
      </c>
    </row>
    <row r="1190" spans="1:17" x14ac:dyDescent="0.25">
      <c r="A1190" s="1">
        <v>42920</v>
      </c>
      <c r="B1190">
        <v>8.15</v>
      </c>
      <c r="C1190" t="e">
        <v>#N/A</v>
      </c>
      <c r="D1190">
        <v>3.1280000000000001</v>
      </c>
      <c r="E1190">
        <v>11.52</v>
      </c>
      <c r="F1190">
        <v>7.51</v>
      </c>
      <c r="G1190">
        <v>1.82</v>
      </c>
      <c r="H1190" s="15">
        <v>2.1440000000000001</v>
      </c>
      <c r="I1190">
        <v>33.799999999999997</v>
      </c>
      <c r="J1190">
        <v>17.5</v>
      </c>
      <c r="K1190">
        <v>11.75</v>
      </c>
      <c r="L1190">
        <v>1.35</v>
      </c>
      <c r="M1190">
        <v>2.8370000000000002</v>
      </c>
      <c r="N1190">
        <v>0.23599999999999999</v>
      </c>
      <c r="O1190">
        <v>2.36</v>
      </c>
      <c r="P1190">
        <v>0.83</v>
      </c>
      <c r="Q1190">
        <v>14</v>
      </c>
    </row>
    <row r="1191" spans="1:17" x14ac:dyDescent="0.25">
      <c r="A1191" s="1">
        <v>42921</v>
      </c>
      <c r="B1191">
        <v>8.15</v>
      </c>
      <c r="C1191">
        <v>181.9</v>
      </c>
      <c r="D1191">
        <v>3.1280000000000001</v>
      </c>
      <c r="E1191">
        <v>11.65</v>
      </c>
      <c r="F1191">
        <v>7.45</v>
      </c>
      <c r="G1191">
        <v>1.81</v>
      </c>
      <c r="H1191" s="15">
        <v>2.1240000000000001</v>
      </c>
      <c r="I1191">
        <v>33.75</v>
      </c>
      <c r="J1191">
        <v>17</v>
      </c>
      <c r="K1191">
        <v>12</v>
      </c>
      <c r="L1191">
        <v>1.34</v>
      </c>
      <c r="M1191">
        <v>2.9359999999999999</v>
      </c>
      <c r="N1191">
        <v>0.23499999999999999</v>
      </c>
      <c r="O1191">
        <v>2.36</v>
      </c>
      <c r="P1191">
        <v>0.83</v>
      </c>
      <c r="Q1191">
        <v>15</v>
      </c>
    </row>
    <row r="1192" spans="1:17" x14ac:dyDescent="0.25">
      <c r="A1192" s="1">
        <v>42922</v>
      </c>
      <c r="B1192">
        <v>8.1300000000000008</v>
      </c>
      <c r="C1192">
        <v>181</v>
      </c>
      <c r="D1192">
        <v>3.1280000000000001</v>
      </c>
      <c r="E1192">
        <v>11.55</v>
      </c>
      <c r="F1192">
        <v>7.51</v>
      </c>
      <c r="G1192">
        <v>1.82</v>
      </c>
      <c r="H1192" s="15">
        <v>2.1240000000000001</v>
      </c>
      <c r="I1192">
        <v>33.75</v>
      </c>
      <c r="J1192">
        <v>17.3</v>
      </c>
      <c r="K1192">
        <v>11.95</v>
      </c>
      <c r="L1192">
        <v>1.34</v>
      </c>
      <c r="M1192">
        <v>2.919</v>
      </c>
      <c r="N1192">
        <v>0.23</v>
      </c>
      <c r="O1192">
        <v>2.36</v>
      </c>
      <c r="P1192">
        <v>0.81</v>
      </c>
      <c r="Q1192">
        <v>15</v>
      </c>
    </row>
    <row r="1193" spans="1:17" x14ac:dyDescent="0.25">
      <c r="A1193" s="1">
        <v>42923</v>
      </c>
      <c r="B1193">
        <v>8.14</v>
      </c>
      <c r="C1193">
        <v>182.2</v>
      </c>
      <c r="D1193">
        <v>3.1219999999999999</v>
      </c>
      <c r="E1193">
        <v>11.5</v>
      </c>
      <c r="F1193">
        <v>7.48</v>
      </c>
      <c r="G1193">
        <v>1.82</v>
      </c>
      <c r="H1193" s="15">
        <v>2.0550000000000002</v>
      </c>
      <c r="I1193">
        <v>33.75</v>
      </c>
      <c r="J1193">
        <v>17.32</v>
      </c>
      <c r="K1193">
        <v>11.9</v>
      </c>
      <c r="L1193">
        <v>1.33</v>
      </c>
      <c r="M1193" t="e">
        <v>#N/A</v>
      </c>
      <c r="N1193">
        <v>0.23</v>
      </c>
      <c r="O1193">
        <v>2.38</v>
      </c>
      <c r="P1193">
        <v>0.81</v>
      </c>
      <c r="Q1193">
        <v>14</v>
      </c>
    </row>
    <row r="1194" spans="1:17" x14ac:dyDescent="0.25">
      <c r="A1194" s="1">
        <v>42926</v>
      </c>
      <c r="B1194">
        <v>8.14</v>
      </c>
      <c r="C1194">
        <v>182.2</v>
      </c>
      <c r="D1194">
        <v>2.996</v>
      </c>
      <c r="E1194">
        <v>11.53</v>
      </c>
      <c r="F1194">
        <v>7.35</v>
      </c>
      <c r="G1194">
        <v>1.79</v>
      </c>
      <c r="H1194" s="15">
        <v>2.0550000000000002</v>
      </c>
      <c r="I1194">
        <v>33.799999999999997</v>
      </c>
      <c r="J1194">
        <v>17.32</v>
      </c>
      <c r="K1194">
        <v>11.9</v>
      </c>
      <c r="L1194">
        <v>1.33</v>
      </c>
      <c r="M1194">
        <v>2.919</v>
      </c>
      <c r="N1194">
        <v>0.23</v>
      </c>
      <c r="O1194" t="e">
        <v>#N/A</v>
      </c>
      <c r="P1194">
        <v>0.81</v>
      </c>
      <c r="Q1194">
        <v>14</v>
      </c>
    </row>
    <row r="1195" spans="1:17" x14ac:dyDescent="0.25">
      <c r="A1195" s="1">
        <v>42927</v>
      </c>
      <c r="B1195">
        <v>8.14</v>
      </c>
      <c r="C1195">
        <v>184.4</v>
      </c>
      <c r="D1195">
        <v>3.0870000000000002</v>
      </c>
      <c r="E1195">
        <v>11.64</v>
      </c>
      <c r="F1195">
        <v>7.37</v>
      </c>
      <c r="G1195">
        <v>1.8</v>
      </c>
      <c r="H1195" s="15">
        <v>2.0739999999999998</v>
      </c>
      <c r="I1195">
        <v>34</v>
      </c>
      <c r="J1195">
        <v>17.329999999999998</v>
      </c>
      <c r="K1195">
        <v>11.9</v>
      </c>
      <c r="L1195">
        <v>1.33</v>
      </c>
      <c r="M1195">
        <v>2.9359999999999999</v>
      </c>
      <c r="N1195">
        <v>0.223</v>
      </c>
      <c r="O1195">
        <v>2.38</v>
      </c>
      <c r="P1195">
        <v>0.83</v>
      </c>
      <c r="Q1195">
        <v>15</v>
      </c>
    </row>
    <row r="1196" spans="1:17" x14ac:dyDescent="0.25">
      <c r="A1196" s="1">
        <v>42928</v>
      </c>
      <c r="B1196">
        <v>8.1999999999999993</v>
      </c>
      <c r="C1196">
        <v>185.9</v>
      </c>
      <c r="D1196">
        <v>3.024</v>
      </c>
      <c r="E1196">
        <v>11.85</v>
      </c>
      <c r="F1196">
        <v>7.5</v>
      </c>
      <c r="G1196">
        <v>1.77</v>
      </c>
      <c r="H1196" s="15">
        <v>2.0939999999999999</v>
      </c>
      <c r="I1196">
        <v>33.99</v>
      </c>
      <c r="J1196">
        <v>17.399999999999999</v>
      </c>
      <c r="K1196">
        <v>11.9</v>
      </c>
      <c r="L1196">
        <v>1.33</v>
      </c>
      <c r="M1196">
        <v>2.919</v>
      </c>
      <c r="N1196">
        <v>0.223</v>
      </c>
      <c r="O1196">
        <v>2.4</v>
      </c>
      <c r="P1196">
        <v>0.83</v>
      </c>
      <c r="Q1196">
        <v>15</v>
      </c>
    </row>
    <row r="1197" spans="1:17" x14ac:dyDescent="0.25">
      <c r="A1197" s="1">
        <v>42929</v>
      </c>
      <c r="B1197">
        <v>8.31</v>
      </c>
      <c r="C1197">
        <v>185.19</v>
      </c>
      <c r="D1197">
        <v>3.0230000000000001</v>
      </c>
      <c r="E1197">
        <v>11.73</v>
      </c>
      <c r="F1197">
        <v>7.5</v>
      </c>
      <c r="G1197">
        <v>1.77</v>
      </c>
      <c r="H1197" s="15">
        <v>2.0739999999999998</v>
      </c>
      <c r="I1197">
        <v>33.979999999999997</v>
      </c>
      <c r="J1197">
        <v>17.399999999999999</v>
      </c>
      <c r="K1197">
        <v>11.9</v>
      </c>
      <c r="L1197" t="e">
        <v>#N/A</v>
      </c>
      <c r="M1197">
        <v>2.9279999999999999</v>
      </c>
      <c r="N1197">
        <v>0.23499999999999999</v>
      </c>
      <c r="O1197" t="e">
        <v>#N/A</v>
      </c>
      <c r="P1197">
        <v>0.84</v>
      </c>
      <c r="Q1197">
        <v>13</v>
      </c>
    </row>
    <row r="1198" spans="1:17" x14ac:dyDescent="0.25">
      <c r="A1198" s="1">
        <v>42930</v>
      </c>
      <c r="B1198">
        <v>8.4</v>
      </c>
      <c r="C1198">
        <v>186.7</v>
      </c>
      <c r="D1198">
        <v>3.0230000000000001</v>
      </c>
      <c r="E1198">
        <v>12</v>
      </c>
      <c r="F1198">
        <v>7.55</v>
      </c>
      <c r="G1198">
        <v>1.77</v>
      </c>
      <c r="H1198" s="15">
        <v>2.0840000000000001</v>
      </c>
      <c r="I1198">
        <v>29.335000000000001</v>
      </c>
      <c r="J1198">
        <v>17.399999999999999</v>
      </c>
      <c r="K1198">
        <v>11.9</v>
      </c>
      <c r="L1198">
        <v>1.34</v>
      </c>
      <c r="M1198" t="e">
        <v>#N/A</v>
      </c>
      <c r="N1198">
        <v>0.23</v>
      </c>
      <c r="O1198">
        <v>2.4</v>
      </c>
      <c r="P1198">
        <v>0.83</v>
      </c>
      <c r="Q1198">
        <v>14</v>
      </c>
    </row>
    <row r="1199" spans="1:17" x14ac:dyDescent="0.25">
      <c r="A1199" s="1">
        <v>42933</v>
      </c>
      <c r="B1199">
        <v>8.39</v>
      </c>
      <c r="C1199">
        <v>185.4</v>
      </c>
      <c r="D1199">
        <v>3.1619999999999999</v>
      </c>
      <c r="E1199">
        <v>12.1</v>
      </c>
      <c r="F1199">
        <v>7.55</v>
      </c>
      <c r="G1199">
        <v>1.79</v>
      </c>
      <c r="H1199" s="15">
        <v>2.0550000000000002</v>
      </c>
      <c r="I1199">
        <v>29.344000000000001</v>
      </c>
      <c r="J1199">
        <v>17.46</v>
      </c>
      <c r="K1199">
        <v>11.8</v>
      </c>
      <c r="L1199">
        <v>1.36</v>
      </c>
      <c r="M1199">
        <v>2.944</v>
      </c>
      <c r="N1199">
        <v>0.23</v>
      </c>
      <c r="O1199">
        <v>2.38</v>
      </c>
      <c r="P1199">
        <v>0.84</v>
      </c>
      <c r="Q1199">
        <v>15</v>
      </c>
    </row>
    <row r="1200" spans="1:17" x14ac:dyDescent="0.25">
      <c r="A1200" s="1">
        <v>42934</v>
      </c>
      <c r="B1200">
        <v>8.3000000000000007</v>
      </c>
      <c r="C1200">
        <v>185.4</v>
      </c>
      <c r="D1200">
        <v>3.085</v>
      </c>
      <c r="E1200">
        <v>12.1</v>
      </c>
      <c r="F1200">
        <v>7.62</v>
      </c>
      <c r="G1200">
        <v>1.78</v>
      </c>
      <c r="H1200" s="15">
        <v>2.0550000000000002</v>
      </c>
      <c r="I1200">
        <v>29.344000000000001</v>
      </c>
      <c r="J1200">
        <v>17.7</v>
      </c>
      <c r="K1200">
        <v>11.95</v>
      </c>
      <c r="L1200">
        <v>1.36</v>
      </c>
      <c r="M1200">
        <v>2.9769999999999999</v>
      </c>
      <c r="N1200">
        <v>0.23400000000000001</v>
      </c>
      <c r="O1200">
        <v>2.4</v>
      </c>
      <c r="P1200">
        <v>0.84</v>
      </c>
      <c r="Q1200">
        <v>15</v>
      </c>
    </row>
    <row r="1201" spans="1:17" x14ac:dyDescent="0.25">
      <c r="A1201" s="1">
        <v>42935</v>
      </c>
      <c r="B1201">
        <v>8.26</v>
      </c>
      <c r="C1201">
        <v>185.6</v>
      </c>
      <c r="D1201">
        <v>3.1619999999999999</v>
      </c>
      <c r="E1201">
        <v>12.1</v>
      </c>
      <c r="F1201">
        <v>7.62</v>
      </c>
      <c r="G1201">
        <v>1.79</v>
      </c>
      <c r="H1201" s="15">
        <v>2.0640000000000001</v>
      </c>
      <c r="I1201">
        <v>29.344000000000001</v>
      </c>
      <c r="J1201">
        <v>17.72</v>
      </c>
      <c r="K1201">
        <v>11.99</v>
      </c>
      <c r="L1201">
        <v>1.37</v>
      </c>
      <c r="M1201">
        <v>2.9769999999999999</v>
      </c>
      <c r="N1201">
        <v>0.23499999999999999</v>
      </c>
      <c r="O1201">
        <v>2.4</v>
      </c>
      <c r="P1201">
        <v>0.85</v>
      </c>
      <c r="Q1201">
        <v>15</v>
      </c>
    </row>
    <row r="1202" spans="1:17" x14ac:dyDescent="0.25">
      <c r="A1202" s="1">
        <v>42936</v>
      </c>
      <c r="B1202">
        <v>8.1999999999999993</v>
      </c>
      <c r="C1202">
        <v>185.2</v>
      </c>
      <c r="D1202" t="e">
        <v>#N/A</v>
      </c>
      <c r="E1202">
        <v>12.3</v>
      </c>
      <c r="F1202">
        <v>7.62</v>
      </c>
      <c r="G1202">
        <v>1.8</v>
      </c>
      <c r="H1202" s="15">
        <v>2.0739999999999998</v>
      </c>
      <c r="I1202">
        <v>29.128</v>
      </c>
      <c r="J1202">
        <v>18.05</v>
      </c>
      <c r="K1202">
        <v>11.99</v>
      </c>
      <c r="L1202">
        <v>1.38</v>
      </c>
      <c r="M1202">
        <v>2.9359999999999999</v>
      </c>
      <c r="N1202">
        <v>0.23200000000000001</v>
      </c>
      <c r="O1202">
        <v>2.4</v>
      </c>
      <c r="P1202">
        <v>0.87</v>
      </c>
      <c r="Q1202">
        <v>14</v>
      </c>
    </row>
    <row r="1203" spans="1:17" x14ac:dyDescent="0.25">
      <c r="A1203" s="1">
        <v>42937</v>
      </c>
      <c r="B1203">
        <v>8.19</v>
      </c>
      <c r="C1203">
        <v>185.6</v>
      </c>
      <c r="D1203">
        <v>3.1619999999999999</v>
      </c>
      <c r="E1203">
        <v>12.3</v>
      </c>
      <c r="F1203">
        <v>7.65</v>
      </c>
      <c r="G1203">
        <v>1.79</v>
      </c>
      <c r="H1203" s="15">
        <v>2.0550000000000002</v>
      </c>
      <c r="I1203">
        <v>29.128</v>
      </c>
      <c r="J1203">
        <v>18.3</v>
      </c>
      <c r="K1203">
        <v>12</v>
      </c>
      <c r="L1203">
        <v>1.39</v>
      </c>
      <c r="M1203" t="e">
        <v>#N/A</v>
      </c>
      <c r="N1203">
        <v>0.23200000000000001</v>
      </c>
      <c r="O1203">
        <v>2.4</v>
      </c>
      <c r="P1203">
        <v>0.88</v>
      </c>
      <c r="Q1203">
        <v>14</v>
      </c>
    </row>
    <row r="1204" spans="1:17" x14ac:dyDescent="0.25">
      <c r="A1204" s="1">
        <v>42940</v>
      </c>
      <c r="B1204">
        <v>8.19</v>
      </c>
      <c r="C1204">
        <v>184.2</v>
      </c>
      <c r="D1204">
        <v>3.1619999999999999</v>
      </c>
      <c r="E1204">
        <v>12.25</v>
      </c>
      <c r="F1204">
        <v>7.6</v>
      </c>
      <c r="G1204">
        <v>1.79</v>
      </c>
      <c r="H1204" s="15">
        <v>2.0939999999999999</v>
      </c>
      <c r="I1204">
        <v>29.128</v>
      </c>
      <c r="J1204">
        <v>18.3</v>
      </c>
      <c r="K1204">
        <v>11.95</v>
      </c>
      <c r="L1204" t="e">
        <v>#N/A</v>
      </c>
      <c r="M1204">
        <v>2.944</v>
      </c>
      <c r="N1204">
        <v>0.22500000000000001</v>
      </c>
      <c r="O1204">
        <v>2.4700000000000002</v>
      </c>
      <c r="P1204">
        <v>0.87</v>
      </c>
      <c r="Q1204">
        <v>14</v>
      </c>
    </row>
    <row r="1205" spans="1:17" x14ac:dyDescent="0.25">
      <c r="A1205" s="1">
        <v>42941</v>
      </c>
      <c r="B1205">
        <v>8.1</v>
      </c>
      <c r="C1205">
        <v>185</v>
      </c>
      <c r="D1205">
        <v>3.1619999999999999</v>
      </c>
      <c r="E1205">
        <v>12.39</v>
      </c>
      <c r="F1205">
        <v>7.66</v>
      </c>
      <c r="G1205">
        <v>1.8</v>
      </c>
      <c r="H1205" s="15">
        <v>2.0739999999999998</v>
      </c>
      <c r="I1205">
        <v>29.128</v>
      </c>
      <c r="J1205">
        <v>18.3</v>
      </c>
      <c r="K1205">
        <v>11.9</v>
      </c>
      <c r="L1205">
        <v>1.35</v>
      </c>
      <c r="M1205">
        <v>2.9769999999999999</v>
      </c>
      <c r="N1205">
        <v>0.22500000000000001</v>
      </c>
      <c r="O1205">
        <v>2.5070000000000001</v>
      </c>
      <c r="P1205">
        <v>0.87</v>
      </c>
      <c r="Q1205">
        <v>15</v>
      </c>
    </row>
    <row r="1206" spans="1:17" x14ac:dyDescent="0.25">
      <c r="A1206" s="1">
        <v>42942</v>
      </c>
      <c r="B1206">
        <v>8.02</v>
      </c>
      <c r="C1206">
        <v>187</v>
      </c>
      <c r="D1206">
        <v>3.1619999999999999</v>
      </c>
      <c r="E1206">
        <v>12.3</v>
      </c>
      <c r="F1206">
        <v>7.6</v>
      </c>
      <c r="G1206">
        <v>1.8</v>
      </c>
      <c r="H1206" s="15">
        <v>2.1139999999999999</v>
      </c>
      <c r="I1206" t="e">
        <v>#N/A</v>
      </c>
      <c r="J1206">
        <v>18.3</v>
      </c>
      <c r="K1206">
        <v>11.8</v>
      </c>
      <c r="L1206">
        <v>1.37</v>
      </c>
      <c r="M1206">
        <v>3.0190000000000001</v>
      </c>
      <c r="N1206">
        <v>0.22</v>
      </c>
      <c r="O1206">
        <v>2.4870000000000001</v>
      </c>
      <c r="P1206">
        <v>0.88</v>
      </c>
      <c r="Q1206">
        <v>14</v>
      </c>
    </row>
    <row r="1207" spans="1:17" x14ac:dyDescent="0.25">
      <c r="A1207" s="1">
        <v>42943</v>
      </c>
      <c r="B1207">
        <v>8.3000000000000007</v>
      </c>
      <c r="C1207">
        <v>187.41</v>
      </c>
      <c r="D1207" t="e">
        <v>#N/A</v>
      </c>
      <c r="E1207">
        <v>12.48</v>
      </c>
      <c r="F1207">
        <v>7.62</v>
      </c>
      <c r="G1207">
        <v>1.8</v>
      </c>
      <c r="H1207" s="15">
        <v>2.1139999999999999</v>
      </c>
      <c r="I1207">
        <v>29.128</v>
      </c>
      <c r="J1207">
        <v>18.3</v>
      </c>
      <c r="K1207">
        <v>11.7</v>
      </c>
      <c r="L1207">
        <v>1.37</v>
      </c>
      <c r="M1207">
        <v>3.077</v>
      </c>
      <c r="N1207">
        <v>0.22500000000000001</v>
      </c>
      <c r="O1207" t="e">
        <v>#N/A</v>
      </c>
      <c r="P1207">
        <v>0.89</v>
      </c>
      <c r="Q1207">
        <v>13</v>
      </c>
    </row>
    <row r="1208" spans="1:17" x14ac:dyDescent="0.25">
      <c r="A1208" s="1">
        <v>42947</v>
      </c>
      <c r="B1208">
        <v>8.31</v>
      </c>
      <c r="C1208">
        <v>185.3</v>
      </c>
      <c r="D1208">
        <v>3.0470000000000002</v>
      </c>
      <c r="E1208">
        <v>12.22</v>
      </c>
      <c r="F1208">
        <v>7.65</v>
      </c>
      <c r="G1208">
        <v>1.8</v>
      </c>
      <c r="H1208" s="15">
        <v>2.0939999999999999</v>
      </c>
      <c r="I1208">
        <v>29.774999999999999</v>
      </c>
      <c r="J1208">
        <v>18.5</v>
      </c>
      <c r="K1208">
        <v>11.7</v>
      </c>
      <c r="L1208">
        <v>1.37</v>
      </c>
      <c r="M1208">
        <v>3.093</v>
      </c>
      <c r="N1208">
        <v>0.21199999999999999</v>
      </c>
      <c r="O1208">
        <v>2.5369999999999999</v>
      </c>
      <c r="P1208">
        <v>0.85</v>
      </c>
      <c r="Q1208">
        <v>15</v>
      </c>
    </row>
    <row r="1209" spans="1:17" x14ac:dyDescent="0.25">
      <c r="A1209" s="1">
        <v>42948</v>
      </c>
      <c r="B1209">
        <v>8.41</v>
      </c>
      <c r="C1209">
        <v>188.7</v>
      </c>
      <c r="D1209">
        <v>3.085</v>
      </c>
      <c r="E1209">
        <v>12.25</v>
      </c>
      <c r="F1209">
        <v>7.6</v>
      </c>
      <c r="G1209">
        <v>1.85</v>
      </c>
      <c r="H1209" s="15">
        <v>2.1339999999999999</v>
      </c>
      <c r="I1209">
        <v>29.689</v>
      </c>
      <c r="J1209">
        <v>18.8</v>
      </c>
      <c r="K1209">
        <v>11.77</v>
      </c>
      <c r="L1209">
        <v>1.32</v>
      </c>
      <c r="M1209">
        <v>3.1429999999999998</v>
      </c>
      <c r="N1209">
        <v>0.215</v>
      </c>
      <c r="O1209">
        <v>2.4870000000000001</v>
      </c>
      <c r="P1209">
        <v>0.86</v>
      </c>
      <c r="Q1209">
        <v>15</v>
      </c>
    </row>
    <row r="1210" spans="1:17" x14ac:dyDescent="0.25">
      <c r="A1210" s="1">
        <v>42949</v>
      </c>
      <c r="B1210">
        <v>8.5</v>
      </c>
      <c r="C1210">
        <v>187.8</v>
      </c>
      <c r="D1210">
        <v>3.0230000000000001</v>
      </c>
      <c r="E1210">
        <v>12.25</v>
      </c>
      <c r="F1210">
        <v>7.76</v>
      </c>
      <c r="G1210">
        <v>1.87</v>
      </c>
      <c r="H1210" s="15">
        <v>2.153</v>
      </c>
      <c r="I1210" t="e">
        <v>#N/A</v>
      </c>
      <c r="J1210">
        <v>18.75</v>
      </c>
      <c r="K1210">
        <v>11.8</v>
      </c>
      <c r="L1210">
        <v>1.32</v>
      </c>
      <c r="M1210">
        <v>3.1429999999999998</v>
      </c>
      <c r="N1210">
        <v>0.22</v>
      </c>
      <c r="O1210">
        <v>2.4969999999999999</v>
      </c>
      <c r="P1210">
        <v>0.86</v>
      </c>
      <c r="Q1210">
        <v>14</v>
      </c>
    </row>
    <row r="1211" spans="1:17" x14ac:dyDescent="0.25">
      <c r="A1211" s="1">
        <v>42950</v>
      </c>
      <c r="B1211">
        <v>8.65</v>
      </c>
      <c r="C1211">
        <v>189.9</v>
      </c>
      <c r="D1211">
        <v>3.0230000000000001</v>
      </c>
      <c r="E1211">
        <v>12.25</v>
      </c>
      <c r="F1211">
        <v>7.61</v>
      </c>
      <c r="G1211">
        <v>1.88</v>
      </c>
      <c r="H1211" s="15">
        <v>2.1930000000000001</v>
      </c>
      <c r="I1211">
        <v>29.128</v>
      </c>
      <c r="J1211">
        <v>18.95</v>
      </c>
      <c r="K1211">
        <v>11.81</v>
      </c>
      <c r="L1211">
        <v>1.32</v>
      </c>
      <c r="M1211" t="e">
        <v>#N/A</v>
      </c>
      <c r="N1211">
        <v>0.218</v>
      </c>
      <c r="O1211">
        <v>2.5270000000000001</v>
      </c>
      <c r="P1211">
        <v>0.85</v>
      </c>
      <c r="Q1211">
        <v>14</v>
      </c>
    </row>
    <row r="1212" spans="1:17" x14ac:dyDescent="0.25">
      <c r="A1212" s="1">
        <v>42951</v>
      </c>
      <c r="B1212">
        <v>8.7100000000000009</v>
      </c>
      <c r="C1212">
        <v>189.01</v>
      </c>
      <c r="D1212">
        <v>3.0779999999999998</v>
      </c>
      <c r="E1212">
        <v>12.12</v>
      </c>
      <c r="F1212">
        <v>7.61</v>
      </c>
      <c r="G1212">
        <v>1.88</v>
      </c>
      <c r="H1212" s="15">
        <v>2.2130000000000001</v>
      </c>
      <c r="I1212">
        <v>29.128</v>
      </c>
      <c r="J1212">
        <v>18.95</v>
      </c>
      <c r="K1212">
        <v>11.81</v>
      </c>
      <c r="L1212">
        <v>1.32</v>
      </c>
      <c r="M1212" t="e">
        <v>#N/A</v>
      </c>
      <c r="N1212">
        <v>0.219</v>
      </c>
      <c r="O1212">
        <v>2.5070000000000001</v>
      </c>
      <c r="P1212">
        <v>0.84</v>
      </c>
      <c r="Q1212">
        <v>14</v>
      </c>
    </row>
    <row r="1213" spans="1:17" x14ac:dyDescent="0.25">
      <c r="A1213" s="1">
        <v>42954</v>
      </c>
      <c r="B1213">
        <v>8.74</v>
      </c>
      <c r="C1213">
        <v>187.8</v>
      </c>
      <c r="D1213">
        <v>3.0539999999999998</v>
      </c>
      <c r="E1213">
        <v>12</v>
      </c>
      <c r="F1213">
        <v>7.61</v>
      </c>
      <c r="G1213">
        <v>1.87</v>
      </c>
      <c r="H1213" s="15">
        <v>2.1930000000000001</v>
      </c>
      <c r="I1213">
        <v>29.257000000000001</v>
      </c>
      <c r="J1213">
        <v>18.95</v>
      </c>
      <c r="K1213">
        <v>11.84</v>
      </c>
      <c r="L1213">
        <v>1.32</v>
      </c>
      <c r="M1213" t="e">
        <v>#N/A</v>
      </c>
      <c r="N1213">
        <v>0.217</v>
      </c>
      <c r="O1213">
        <v>2.5070000000000001</v>
      </c>
      <c r="P1213">
        <v>0.83</v>
      </c>
      <c r="Q1213">
        <v>14</v>
      </c>
    </row>
    <row r="1214" spans="1:17" x14ac:dyDescent="0.25">
      <c r="A1214" s="1">
        <v>42955</v>
      </c>
      <c r="B1214">
        <v>8.75</v>
      </c>
      <c r="C1214">
        <v>195</v>
      </c>
      <c r="D1214">
        <v>3.0470000000000002</v>
      </c>
      <c r="E1214">
        <v>12.13</v>
      </c>
      <c r="F1214">
        <v>7.49</v>
      </c>
      <c r="G1214">
        <v>1.85</v>
      </c>
      <c r="H1214" s="15">
        <v>2.173</v>
      </c>
      <c r="I1214">
        <v>29.128</v>
      </c>
      <c r="J1214">
        <v>19.05</v>
      </c>
      <c r="K1214">
        <v>11.9</v>
      </c>
      <c r="L1214">
        <v>1.35</v>
      </c>
      <c r="M1214">
        <v>3.101</v>
      </c>
      <c r="N1214">
        <v>0.21</v>
      </c>
      <c r="O1214">
        <v>2.52</v>
      </c>
      <c r="P1214">
        <v>0.84</v>
      </c>
      <c r="Q1214">
        <v>15</v>
      </c>
    </row>
    <row r="1215" spans="1:17" x14ac:dyDescent="0.25">
      <c r="A1215" s="1">
        <v>42956</v>
      </c>
      <c r="B1215">
        <v>8.74</v>
      </c>
      <c r="C1215">
        <v>200.4</v>
      </c>
      <c r="D1215">
        <v>3.0619999999999998</v>
      </c>
      <c r="E1215">
        <v>12.32</v>
      </c>
      <c r="F1215">
        <v>7.5</v>
      </c>
      <c r="G1215">
        <v>1.83</v>
      </c>
      <c r="H1215" s="15">
        <v>2.1139999999999999</v>
      </c>
      <c r="I1215">
        <v>29.344000000000001</v>
      </c>
      <c r="J1215">
        <v>18.87</v>
      </c>
      <c r="K1215">
        <v>11.82</v>
      </c>
      <c r="L1215">
        <v>1.32</v>
      </c>
      <c r="M1215">
        <v>2.9769999999999999</v>
      </c>
      <c r="N1215">
        <v>0.21299999999999999</v>
      </c>
      <c r="O1215">
        <v>2.5</v>
      </c>
      <c r="P1215">
        <v>0.85</v>
      </c>
      <c r="Q1215">
        <v>15</v>
      </c>
    </row>
    <row r="1216" spans="1:17" x14ac:dyDescent="0.25">
      <c r="A1216" s="1">
        <v>42957</v>
      </c>
      <c r="B1216">
        <v>8.6</v>
      </c>
      <c r="C1216">
        <v>193.6</v>
      </c>
      <c r="D1216">
        <v>3.0310000000000001</v>
      </c>
      <c r="E1216">
        <v>12.37</v>
      </c>
      <c r="F1216">
        <v>7.5</v>
      </c>
      <c r="G1216">
        <v>1.81</v>
      </c>
      <c r="H1216" s="15">
        <v>2.0739999999999998</v>
      </c>
      <c r="I1216">
        <v>29.170999999999999</v>
      </c>
      <c r="J1216">
        <v>18.5</v>
      </c>
      <c r="K1216">
        <v>11.8</v>
      </c>
      <c r="L1216">
        <v>1.3</v>
      </c>
      <c r="M1216">
        <v>2.9359999999999999</v>
      </c>
      <c r="N1216">
        <v>0.21099999999999999</v>
      </c>
      <c r="O1216">
        <v>2.4900000000000002</v>
      </c>
      <c r="P1216">
        <v>0.83</v>
      </c>
      <c r="Q1216">
        <v>15</v>
      </c>
    </row>
    <row r="1217" spans="1:17" x14ac:dyDescent="0.25">
      <c r="A1217" s="1">
        <v>42958</v>
      </c>
      <c r="B1217">
        <v>8.6999999999999993</v>
      </c>
      <c r="C1217">
        <v>194.21</v>
      </c>
      <c r="D1217">
        <v>3.0619999999999998</v>
      </c>
      <c r="E1217">
        <v>12.35</v>
      </c>
      <c r="F1217">
        <v>7.5</v>
      </c>
      <c r="G1217">
        <v>1.81</v>
      </c>
      <c r="H1217" s="15">
        <v>1.9950000000000001</v>
      </c>
      <c r="I1217">
        <v>29.170999999999999</v>
      </c>
      <c r="J1217">
        <v>18.75</v>
      </c>
      <c r="K1217">
        <v>11.53</v>
      </c>
      <c r="L1217">
        <v>1.29</v>
      </c>
      <c r="M1217">
        <v>2.9769999999999999</v>
      </c>
      <c r="N1217">
        <v>0.21299999999999999</v>
      </c>
      <c r="O1217">
        <v>2.4900000000000002</v>
      </c>
      <c r="P1217">
        <v>0.85</v>
      </c>
      <c r="Q1217">
        <v>15</v>
      </c>
    </row>
    <row r="1218" spans="1:17" x14ac:dyDescent="0.25">
      <c r="A1218" s="1">
        <v>42961</v>
      </c>
      <c r="B1218">
        <v>8.7200000000000006</v>
      </c>
      <c r="C1218">
        <v>197.2</v>
      </c>
      <c r="D1218">
        <v>3.0619999999999998</v>
      </c>
      <c r="E1218">
        <v>12.25</v>
      </c>
      <c r="F1218">
        <v>7.45</v>
      </c>
      <c r="G1218">
        <v>1.81</v>
      </c>
      <c r="H1218" s="15">
        <v>1.956</v>
      </c>
      <c r="I1218" t="e">
        <v>#N/A</v>
      </c>
      <c r="J1218">
        <v>18.75</v>
      </c>
      <c r="K1218">
        <v>11.55</v>
      </c>
      <c r="L1218">
        <v>1.28</v>
      </c>
      <c r="M1218" t="e">
        <v>#N/A</v>
      </c>
      <c r="N1218">
        <v>0.21299999999999999</v>
      </c>
      <c r="O1218" t="e">
        <v>#N/A</v>
      </c>
      <c r="P1218">
        <v>0.84</v>
      </c>
      <c r="Q1218">
        <v>12</v>
      </c>
    </row>
    <row r="1219" spans="1:17" x14ac:dyDescent="0.25">
      <c r="A1219" s="1">
        <v>42962</v>
      </c>
      <c r="B1219">
        <v>8.6999999999999993</v>
      </c>
      <c r="C1219">
        <v>199.4</v>
      </c>
      <c r="D1219">
        <v>3.0230000000000001</v>
      </c>
      <c r="E1219">
        <v>11.91</v>
      </c>
      <c r="F1219">
        <v>7.4</v>
      </c>
      <c r="G1219">
        <v>1.81</v>
      </c>
      <c r="H1219" s="15">
        <v>2.0249999999999999</v>
      </c>
      <c r="I1219">
        <v>29.344000000000001</v>
      </c>
      <c r="J1219">
        <v>18.75</v>
      </c>
      <c r="K1219">
        <v>11.65</v>
      </c>
      <c r="L1219">
        <v>1.29</v>
      </c>
      <c r="M1219" t="e">
        <v>#N/A</v>
      </c>
      <c r="N1219">
        <v>0.20599999999999999</v>
      </c>
      <c r="O1219">
        <v>2.4500000000000002</v>
      </c>
      <c r="P1219">
        <v>0.84</v>
      </c>
      <c r="Q1219">
        <v>14</v>
      </c>
    </row>
    <row r="1220" spans="1:17" x14ac:dyDescent="0.25">
      <c r="A1220" s="1">
        <v>42963</v>
      </c>
      <c r="B1220">
        <v>8.64</v>
      </c>
      <c r="C1220">
        <v>200.6</v>
      </c>
      <c r="D1220">
        <v>3.0310000000000001</v>
      </c>
      <c r="E1220">
        <v>12.39</v>
      </c>
      <c r="F1220">
        <v>7.45</v>
      </c>
      <c r="G1220">
        <v>1.82</v>
      </c>
      <c r="H1220" s="15">
        <v>2.0049999999999999</v>
      </c>
      <c r="I1220">
        <v>29.344000000000001</v>
      </c>
      <c r="J1220">
        <v>18.649999999999999</v>
      </c>
      <c r="K1220">
        <v>11.9</v>
      </c>
      <c r="L1220">
        <v>1.32</v>
      </c>
      <c r="M1220">
        <v>3.077</v>
      </c>
      <c r="N1220">
        <v>0.20799999999999999</v>
      </c>
      <c r="O1220">
        <v>2.42</v>
      </c>
      <c r="P1220">
        <v>0.88</v>
      </c>
      <c r="Q1220">
        <v>15</v>
      </c>
    </row>
    <row r="1221" spans="1:17" x14ac:dyDescent="0.25">
      <c r="A1221" s="1">
        <v>42964</v>
      </c>
      <c r="B1221">
        <v>8.5500000000000007</v>
      </c>
      <c r="C1221">
        <v>199.4</v>
      </c>
      <c r="D1221">
        <v>3.0310000000000001</v>
      </c>
      <c r="E1221">
        <v>12.15</v>
      </c>
      <c r="F1221">
        <v>7.6</v>
      </c>
      <c r="G1221">
        <v>1.84</v>
      </c>
      <c r="H1221" s="15">
        <v>2.0739999999999998</v>
      </c>
      <c r="I1221">
        <v>29.257000000000001</v>
      </c>
      <c r="J1221">
        <v>18.5</v>
      </c>
      <c r="K1221">
        <v>11.99</v>
      </c>
      <c r="L1221">
        <v>1.33</v>
      </c>
      <c r="M1221">
        <v>3.101</v>
      </c>
      <c r="N1221">
        <v>0.20599999999999999</v>
      </c>
      <c r="O1221">
        <v>2.42</v>
      </c>
      <c r="P1221">
        <v>0.89</v>
      </c>
      <c r="Q1221">
        <v>15</v>
      </c>
    </row>
    <row r="1222" spans="1:17" x14ac:dyDescent="0.25">
      <c r="A1222" s="1">
        <v>42965</v>
      </c>
      <c r="B1222">
        <v>8.6199999999999992</v>
      </c>
      <c r="C1222">
        <v>202.21</v>
      </c>
      <c r="D1222">
        <v>3.0470000000000002</v>
      </c>
      <c r="E1222">
        <v>12.47</v>
      </c>
      <c r="F1222">
        <v>7.65</v>
      </c>
      <c r="G1222">
        <v>1.86</v>
      </c>
      <c r="H1222" s="15">
        <v>2.1240000000000001</v>
      </c>
      <c r="I1222" t="e">
        <v>#N/A</v>
      </c>
      <c r="J1222">
        <v>18.5</v>
      </c>
      <c r="K1222">
        <v>11.95</v>
      </c>
      <c r="L1222">
        <v>1.32</v>
      </c>
      <c r="M1222">
        <v>3.1840000000000002</v>
      </c>
      <c r="N1222">
        <v>0.20599999999999999</v>
      </c>
      <c r="O1222">
        <v>2.4300000000000002</v>
      </c>
      <c r="P1222">
        <v>0.9</v>
      </c>
      <c r="Q1222">
        <v>14</v>
      </c>
    </row>
    <row r="1223" spans="1:17" x14ac:dyDescent="0.25">
      <c r="A1223" s="1">
        <v>42968</v>
      </c>
      <c r="B1223">
        <v>8.64</v>
      </c>
      <c r="C1223">
        <v>204.3</v>
      </c>
      <c r="D1223">
        <v>3.0470000000000002</v>
      </c>
      <c r="E1223">
        <v>12.69</v>
      </c>
      <c r="F1223">
        <v>7.6</v>
      </c>
      <c r="G1223">
        <v>1.87</v>
      </c>
      <c r="H1223" s="15">
        <v>2.1240000000000001</v>
      </c>
      <c r="I1223">
        <v>29.257000000000001</v>
      </c>
      <c r="J1223">
        <v>18.5</v>
      </c>
      <c r="K1223">
        <v>11.94</v>
      </c>
      <c r="L1223">
        <v>1.32</v>
      </c>
      <c r="M1223">
        <v>3.1840000000000002</v>
      </c>
      <c r="N1223">
        <v>0.21</v>
      </c>
      <c r="O1223">
        <v>2.4300000000000002</v>
      </c>
      <c r="P1223">
        <v>0.91</v>
      </c>
      <c r="Q1223">
        <v>15</v>
      </c>
    </row>
    <row r="1224" spans="1:17" x14ac:dyDescent="0.25">
      <c r="A1224" s="1">
        <v>42969</v>
      </c>
      <c r="B1224">
        <v>8.6</v>
      </c>
      <c r="C1224">
        <v>203.27</v>
      </c>
      <c r="D1224">
        <v>3.085</v>
      </c>
      <c r="E1224">
        <v>12.82</v>
      </c>
      <c r="F1224">
        <v>7.75</v>
      </c>
      <c r="G1224">
        <v>1.89</v>
      </c>
      <c r="H1224" s="15">
        <v>2.1440000000000001</v>
      </c>
      <c r="I1224">
        <v>29.344000000000001</v>
      </c>
      <c r="J1224">
        <v>18.5</v>
      </c>
      <c r="K1224">
        <v>11.9</v>
      </c>
      <c r="L1224">
        <v>1.32</v>
      </c>
      <c r="M1224">
        <v>3.1349999999999998</v>
      </c>
      <c r="N1224">
        <v>0.21299999999999999</v>
      </c>
      <c r="O1224">
        <v>2.5</v>
      </c>
      <c r="P1224">
        <v>0.91</v>
      </c>
      <c r="Q1224">
        <v>15</v>
      </c>
    </row>
    <row r="1225" spans="1:17" x14ac:dyDescent="0.25">
      <c r="A1225" s="1">
        <v>42970</v>
      </c>
      <c r="B1225">
        <v>8.5</v>
      </c>
      <c r="C1225">
        <v>202</v>
      </c>
      <c r="D1225">
        <v>3.1619999999999999</v>
      </c>
      <c r="E1225">
        <v>12.9</v>
      </c>
      <c r="F1225">
        <v>7.85</v>
      </c>
      <c r="G1225">
        <v>1.89</v>
      </c>
      <c r="H1225" s="15">
        <v>2.1240000000000001</v>
      </c>
      <c r="I1225">
        <v>29.43</v>
      </c>
      <c r="J1225">
        <v>18.75</v>
      </c>
      <c r="K1225">
        <v>11.84</v>
      </c>
      <c r="L1225">
        <v>1.33</v>
      </c>
      <c r="M1225">
        <v>3.052</v>
      </c>
      <c r="N1225">
        <v>0.21099999999999999</v>
      </c>
      <c r="O1225">
        <v>2.5</v>
      </c>
      <c r="P1225">
        <v>0.88</v>
      </c>
      <c r="Q1225">
        <v>15</v>
      </c>
    </row>
    <row r="1226" spans="1:17" x14ac:dyDescent="0.25">
      <c r="A1226" s="1">
        <v>42971</v>
      </c>
      <c r="B1226">
        <v>8.6999999999999993</v>
      </c>
      <c r="C1226">
        <v>203.22</v>
      </c>
      <c r="D1226">
        <v>3.1469999999999998</v>
      </c>
      <c r="E1226">
        <v>13.02</v>
      </c>
      <c r="F1226">
        <v>7.84</v>
      </c>
      <c r="G1226">
        <v>1.89</v>
      </c>
      <c r="H1226" s="15">
        <v>2.1440000000000001</v>
      </c>
      <c r="I1226">
        <v>29.344000000000001</v>
      </c>
      <c r="J1226">
        <v>18.75</v>
      </c>
      <c r="K1226">
        <v>11.7</v>
      </c>
      <c r="L1226" t="e">
        <v>#N/A</v>
      </c>
      <c r="M1226">
        <v>3.052</v>
      </c>
      <c r="N1226">
        <v>0.21199999999999999</v>
      </c>
      <c r="O1226">
        <v>2.4900000000000002</v>
      </c>
      <c r="P1226">
        <v>0.91</v>
      </c>
      <c r="Q1226">
        <v>14</v>
      </c>
    </row>
    <row r="1227" spans="1:17" x14ac:dyDescent="0.25">
      <c r="A1227" s="1">
        <v>42972</v>
      </c>
      <c r="B1227">
        <v>8.6999999999999993</v>
      </c>
      <c r="C1227">
        <v>205.6</v>
      </c>
      <c r="D1227">
        <v>3.1080000000000001</v>
      </c>
      <c r="E1227">
        <v>13.13</v>
      </c>
      <c r="F1227">
        <v>7.73</v>
      </c>
      <c r="G1227">
        <v>1.88</v>
      </c>
      <c r="H1227" s="15">
        <v>2.153</v>
      </c>
      <c r="I1227">
        <v>29.344000000000001</v>
      </c>
      <c r="J1227">
        <v>18.75</v>
      </c>
      <c r="K1227">
        <v>11.6</v>
      </c>
      <c r="L1227">
        <v>1.35</v>
      </c>
      <c r="M1227" t="e">
        <v>#N/A</v>
      </c>
      <c r="N1227">
        <v>0.214</v>
      </c>
      <c r="O1227">
        <v>2.4900000000000002</v>
      </c>
      <c r="P1227">
        <v>0.89</v>
      </c>
      <c r="Q1227">
        <v>14</v>
      </c>
    </row>
    <row r="1228" spans="1:17" x14ac:dyDescent="0.25">
      <c r="A1228" s="1">
        <v>42975</v>
      </c>
      <c r="B1228">
        <v>8.75</v>
      </c>
      <c r="C1228">
        <v>202.35</v>
      </c>
      <c r="D1228">
        <v>3.085</v>
      </c>
      <c r="E1228">
        <v>13.68</v>
      </c>
      <c r="F1228">
        <v>7.74</v>
      </c>
      <c r="G1228">
        <v>1.88</v>
      </c>
      <c r="H1228" s="15">
        <v>2.173</v>
      </c>
      <c r="I1228">
        <v>29.603000000000002</v>
      </c>
      <c r="J1228">
        <v>18.510000000000002</v>
      </c>
      <c r="K1228">
        <v>11.52</v>
      </c>
      <c r="L1228">
        <v>1.35</v>
      </c>
      <c r="M1228">
        <v>3.052</v>
      </c>
      <c r="N1228">
        <v>0.22800000000000001</v>
      </c>
      <c r="O1228">
        <v>2.5</v>
      </c>
      <c r="P1228">
        <v>0.91</v>
      </c>
      <c r="Q1228">
        <v>15</v>
      </c>
    </row>
    <row r="1229" spans="1:17" x14ac:dyDescent="0.25">
      <c r="A1229" s="1">
        <v>42976</v>
      </c>
      <c r="B1229">
        <v>8.75</v>
      </c>
      <c r="C1229">
        <v>202.07</v>
      </c>
      <c r="D1229">
        <v>3.0539999999999998</v>
      </c>
      <c r="E1229">
        <v>13.7</v>
      </c>
      <c r="F1229">
        <v>7.77</v>
      </c>
      <c r="G1229">
        <v>1.88</v>
      </c>
      <c r="H1229" s="15">
        <v>2.2229999999999999</v>
      </c>
      <c r="I1229">
        <v>29.689</v>
      </c>
      <c r="J1229">
        <v>18.5</v>
      </c>
      <c r="K1229">
        <v>11.75</v>
      </c>
      <c r="L1229">
        <v>1.36</v>
      </c>
      <c r="M1229">
        <v>3.0270000000000001</v>
      </c>
      <c r="N1229">
        <v>0.23</v>
      </c>
      <c r="O1229">
        <v>2.5</v>
      </c>
      <c r="P1229">
        <v>0.9</v>
      </c>
      <c r="Q1229">
        <v>15</v>
      </c>
    </row>
    <row r="1230" spans="1:17" x14ac:dyDescent="0.25">
      <c r="A1230" s="1">
        <v>42978</v>
      </c>
      <c r="B1230">
        <v>8.75</v>
      </c>
      <c r="C1230">
        <v>202.83</v>
      </c>
      <c r="D1230">
        <v>3.0539999999999998</v>
      </c>
      <c r="E1230">
        <v>13.38</v>
      </c>
      <c r="F1230">
        <v>8</v>
      </c>
      <c r="G1230">
        <v>1.92</v>
      </c>
      <c r="H1230" s="15">
        <v>2.2519999999999998</v>
      </c>
      <c r="I1230">
        <v>30.207000000000001</v>
      </c>
      <c r="J1230">
        <v>18.3</v>
      </c>
      <c r="K1230">
        <v>11.75</v>
      </c>
      <c r="L1230">
        <v>1.33</v>
      </c>
      <c r="M1230">
        <v>3.093</v>
      </c>
      <c r="N1230">
        <v>0.23</v>
      </c>
      <c r="O1230">
        <v>2.5099999999999998</v>
      </c>
      <c r="P1230">
        <v>0.93</v>
      </c>
      <c r="Q1230">
        <v>15</v>
      </c>
    </row>
    <row r="1231" spans="1:17" x14ac:dyDescent="0.25">
      <c r="A1231" s="1">
        <v>42979</v>
      </c>
      <c r="B1231">
        <v>8.75</v>
      </c>
      <c r="C1231">
        <v>206.24</v>
      </c>
      <c r="D1231">
        <v>3.085</v>
      </c>
      <c r="E1231">
        <v>13.43</v>
      </c>
      <c r="F1231">
        <v>8.0500000000000007</v>
      </c>
      <c r="G1231">
        <v>1.94</v>
      </c>
      <c r="H1231" s="15">
        <v>2.44</v>
      </c>
      <c r="I1231">
        <v>30.422000000000001</v>
      </c>
      <c r="J1231">
        <v>18.399999999999999</v>
      </c>
      <c r="K1231">
        <v>11.75</v>
      </c>
      <c r="L1231">
        <v>1.34</v>
      </c>
      <c r="M1231">
        <v>3.06</v>
      </c>
      <c r="N1231">
        <v>0.23</v>
      </c>
      <c r="O1231">
        <v>2.5499999999999998</v>
      </c>
      <c r="P1231">
        <v>0.96</v>
      </c>
      <c r="Q1231">
        <v>15</v>
      </c>
    </row>
    <row r="1232" spans="1:17" x14ac:dyDescent="0.25">
      <c r="A1232" s="1">
        <v>42982</v>
      </c>
      <c r="B1232">
        <v>8.8000000000000007</v>
      </c>
      <c r="C1232">
        <v>204</v>
      </c>
      <c r="D1232">
        <v>3.1240000000000001</v>
      </c>
      <c r="E1232">
        <v>13.68</v>
      </c>
      <c r="F1232">
        <v>8</v>
      </c>
      <c r="G1232">
        <v>1.95</v>
      </c>
      <c r="H1232" s="15">
        <v>2.4700000000000002</v>
      </c>
      <c r="I1232">
        <v>31.07</v>
      </c>
      <c r="J1232">
        <v>18.41</v>
      </c>
      <c r="K1232">
        <v>11.9</v>
      </c>
      <c r="L1232">
        <v>1.36</v>
      </c>
      <c r="M1232">
        <v>3.1259999999999999</v>
      </c>
      <c r="N1232">
        <v>0.23</v>
      </c>
      <c r="O1232">
        <v>2.65</v>
      </c>
      <c r="P1232">
        <v>0.97</v>
      </c>
      <c r="Q1232">
        <v>15</v>
      </c>
    </row>
    <row r="1233" spans="1:17" x14ac:dyDescent="0.25">
      <c r="A1233" s="1">
        <v>42983</v>
      </c>
      <c r="B1233">
        <v>8.85</v>
      </c>
      <c r="C1233">
        <v>201.05</v>
      </c>
      <c r="D1233">
        <v>3.1240000000000001</v>
      </c>
      <c r="E1233">
        <v>14</v>
      </c>
      <c r="F1233">
        <v>8.1</v>
      </c>
      <c r="G1233">
        <v>1.94</v>
      </c>
      <c r="H1233" s="15">
        <v>2.5489999999999999</v>
      </c>
      <c r="I1233">
        <v>31.07</v>
      </c>
      <c r="J1233">
        <v>18.399999999999999</v>
      </c>
      <c r="K1233">
        <v>11.95</v>
      </c>
      <c r="L1233">
        <v>1.33</v>
      </c>
      <c r="M1233">
        <v>3.1179999999999999</v>
      </c>
      <c r="N1233">
        <v>0.24</v>
      </c>
      <c r="O1233">
        <v>2.65</v>
      </c>
      <c r="P1233">
        <v>0.96</v>
      </c>
      <c r="Q1233">
        <v>15</v>
      </c>
    </row>
    <row r="1234" spans="1:17" x14ac:dyDescent="0.25">
      <c r="A1234" s="1">
        <v>42984</v>
      </c>
      <c r="B1234">
        <v>8.8800000000000008</v>
      </c>
      <c r="C1234">
        <v>206.65</v>
      </c>
      <c r="D1234">
        <v>3.24</v>
      </c>
      <c r="E1234">
        <v>13.9</v>
      </c>
      <c r="F1234">
        <v>8.16</v>
      </c>
      <c r="G1234">
        <v>1.94</v>
      </c>
      <c r="H1234" s="15">
        <v>2.766</v>
      </c>
      <c r="I1234">
        <v>31.286000000000001</v>
      </c>
      <c r="J1234">
        <v>18.649999999999999</v>
      </c>
      <c r="K1234">
        <v>11.9</v>
      </c>
      <c r="L1234">
        <v>1.34</v>
      </c>
      <c r="M1234">
        <v>3.1259999999999999</v>
      </c>
      <c r="N1234">
        <v>0.24</v>
      </c>
      <c r="O1234">
        <v>2.66</v>
      </c>
      <c r="P1234">
        <v>0.96</v>
      </c>
      <c r="Q1234">
        <v>15</v>
      </c>
    </row>
    <row r="1235" spans="1:17" x14ac:dyDescent="0.25">
      <c r="A1235" s="1">
        <v>42985</v>
      </c>
      <c r="B1235">
        <v>8.86</v>
      </c>
      <c r="C1235">
        <v>203.4</v>
      </c>
      <c r="D1235">
        <v>3.2549999999999999</v>
      </c>
      <c r="E1235">
        <v>14</v>
      </c>
      <c r="F1235">
        <v>8.1999999999999993</v>
      </c>
      <c r="G1235">
        <v>1.95</v>
      </c>
      <c r="H1235" s="15">
        <v>2.8050000000000002</v>
      </c>
      <c r="I1235">
        <v>31.501000000000001</v>
      </c>
      <c r="J1235">
        <v>18.59</v>
      </c>
      <c r="K1235">
        <v>11.95</v>
      </c>
      <c r="L1235">
        <v>1.37</v>
      </c>
      <c r="M1235">
        <v>3.1840000000000002</v>
      </c>
      <c r="N1235">
        <v>0.24</v>
      </c>
      <c r="O1235">
        <v>2.68</v>
      </c>
      <c r="P1235">
        <v>0.98</v>
      </c>
      <c r="Q1235">
        <v>15</v>
      </c>
    </row>
    <row r="1236" spans="1:17" x14ac:dyDescent="0.25">
      <c r="A1236" s="1">
        <v>42986</v>
      </c>
      <c r="B1236">
        <v>9</v>
      </c>
      <c r="C1236">
        <v>202.76</v>
      </c>
      <c r="D1236">
        <v>3.2469999999999999</v>
      </c>
      <c r="E1236">
        <v>13.9</v>
      </c>
      <c r="F1236">
        <v>8.16</v>
      </c>
      <c r="G1236">
        <v>1.98</v>
      </c>
      <c r="H1236" s="15">
        <v>2.6379999999999999</v>
      </c>
      <c r="I1236">
        <v>31.501000000000001</v>
      </c>
      <c r="J1236">
        <v>18.59</v>
      </c>
      <c r="K1236" t="e">
        <v>#N/A</v>
      </c>
      <c r="L1236">
        <v>1.37</v>
      </c>
      <c r="M1236">
        <v>3.1179999999999999</v>
      </c>
      <c r="N1236">
        <v>0.24</v>
      </c>
      <c r="O1236">
        <v>2.68</v>
      </c>
      <c r="P1236">
        <v>0.97</v>
      </c>
      <c r="Q1236">
        <v>14</v>
      </c>
    </row>
    <row r="1237" spans="1:17" x14ac:dyDescent="0.25">
      <c r="A1237" s="1">
        <v>42989</v>
      </c>
      <c r="B1237">
        <v>9.01</v>
      </c>
      <c r="C1237">
        <v>208</v>
      </c>
      <c r="D1237">
        <v>3.24</v>
      </c>
      <c r="E1237">
        <v>13.26</v>
      </c>
      <c r="F1237">
        <v>8.1999999999999993</v>
      </c>
      <c r="G1237">
        <v>2.0499999999999998</v>
      </c>
      <c r="H1237" s="15">
        <v>2.6669999999999998</v>
      </c>
      <c r="I1237">
        <v>31.457999999999998</v>
      </c>
      <c r="J1237">
        <v>18.59</v>
      </c>
      <c r="K1237">
        <v>11.771000000000001</v>
      </c>
      <c r="L1237">
        <v>1.4</v>
      </c>
      <c r="M1237">
        <v>3.1259999999999999</v>
      </c>
      <c r="N1237">
        <v>0.24</v>
      </c>
      <c r="O1237">
        <v>2.68</v>
      </c>
      <c r="P1237">
        <v>0.97</v>
      </c>
      <c r="Q1237">
        <v>15</v>
      </c>
    </row>
    <row r="1238" spans="1:17" x14ac:dyDescent="0.25">
      <c r="A1238" s="1">
        <v>42990</v>
      </c>
      <c r="B1238">
        <v>9.1</v>
      </c>
      <c r="C1238">
        <v>207.82</v>
      </c>
      <c r="D1238">
        <v>3.2160000000000002</v>
      </c>
      <c r="E1238">
        <v>13.32</v>
      </c>
      <c r="F1238">
        <v>8.35</v>
      </c>
      <c r="G1238">
        <v>1.98</v>
      </c>
      <c r="H1238" s="15">
        <v>2.6469999999999998</v>
      </c>
      <c r="I1238">
        <v>31.286000000000001</v>
      </c>
      <c r="J1238">
        <v>18.7</v>
      </c>
      <c r="K1238">
        <v>11.731</v>
      </c>
      <c r="L1238">
        <v>1.41</v>
      </c>
      <c r="M1238">
        <v>3.1259999999999999</v>
      </c>
      <c r="N1238">
        <v>0.24</v>
      </c>
      <c r="O1238">
        <v>2.67</v>
      </c>
      <c r="P1238">
        <v>0.96</v>
      </c>
      <c r="Q1238">
        <v>15</v>
      </c>
    </row>
    <row r="1239" spans="1:17" x14ac:dyDescent="0.25">
      <c r="A1239" s="1">
        <v>42991</v>
      </c>
      <c r="B1239">
        <v>9.1</v>
      </c>
      <c r="C1239">
        <v>211.06</v>
      </c>
      <c r="D1239">
        <v>3.2010000000000001</v>
      </c>
      <c r="E1239">
        <v>13.08</v>
      </c>
      <c r="F1239">
        <v>8.41</v>
      </c>
      <c r="G1239">
        <v>1.99</v>
      </c>
      <c r="H1239" s="15">
        <v>2.726</v>
      </c>
      <c r="I1239">
        <v>31.07</v>
      </c>
      <c r="J1239">
        <v>18.71</v>
      </c>
      <c r="K1239">
        <v>11.83</v>
      </c>
      <c r="L1239">
        <v>1.4</v>
      </c>
      <c r="M1239">
        <v>3.1179999999999999</v>
      </c>
      <c r="N1239">
        <v>0.25</v>
      </c>
      <c r="O1239">
        <v>2.68</v>
      </c>
      <c r="P1239">
        <v>0.95</v>
      </c>
      <c r="Q1239">
        <v>15</v>
      </c>
    </row>
    <row r="1240" spans="1:17" x14ac:dyDescent="0.25">
      <c r="A1240" s="1">
        <v>42992</v>
      </c>
      <c r="B1240">
        <v>9.1199999999999992</v>
      </c>
      <c r="C1240">
        <v>211.23</v>
      </c>
      <c r="D1240">
        <v>3.2010000000000001</v>
      </c>
      <c r="E1240">
        <v>13.2</v>
      </c>
      <c r="F1240">
        <v>8.3699999999999992</v>
      </c>
      <c r="G1240">
        <v>2</v>
      </c>
      <c r="H1240" s="15">
        <v>2.7559999999999998</v>
      </c>
      <c r="I1240">
        <v>31.07</v>
      </c>
      <c r="J1240">
        <v>18.7</v>
      </c>
      <c r="K1240">
        <v>11.781000000000001</v>
      </c>
      <c r="L1240">
        <v>1.38</v>
      </c>
      <c r="M1240" t="e">
        <v>#N/A</v>
      </c>
      <c r="N1240">
        <v>0.245</v>
      </c>
      <c r="O1240">
        <v>2.66</v>
      </c>
      <c r="P1240">
        <v>0.94</v>
      </c>
      <c r="Q1240">
        <v>14</v>
      </c>
    </row>
    <row r="1241" spans="1:17" x14ac:dyDescent="0.25">
      <c r="A1241" s="1">
        <v>42993</v>
      </c>
      <c r="B1241">
        <v>9.15</v>
      </c>
      <c r="C1241">
        <v>212.62</v>
      </c>
      <c r="D1241">
        <v>3.2010000000000001</v>
      </c>
      <c r="E1241">
        <v>13.13</v>
      </c>
      <c r="F1241">
        <v>8.2899999999999991</v>
      </c>
      <c r="G1241">
        <v>1.99</v>
      </c>
      <c r="H1241" s="15">
        <v>2.8149999999999999</v>
      </c>
      <c r="I1241">
        <v>31.414999999999999</v>
      </c>
      <c r="J1241">
        <v>18.7</v>
      </c>
      <c r="K1241">
        <v>11.781000000000001</v>
      </c>
      <c r="L1241">
        <v>1.37</v>
      </c>
      <c r="M1241">
        <v>3.11</v>
      </c>
      <c r="N1241">
        <v>0.24399999999999999</v>
      </c>
      <c r="O1241">
        <v>2.64</v>
      </c>
      <c r="P1241">
        <v>0.94</v>
      </c>
      <c r="Q1241">
        <v>15</v>
      </c>
    </row>
    <row r="1242" spans="1:17" x14ac:dyDescent="0.25">
      <c r="A1242" s="1">
        <v>42996</v>
      </c>
      <c r="B1242">
        <v>9.25</v>
      </c>
      <c r="C1242">
        <v>211.44</v>
      </c>
      <c r="D1242">
        <v>3.2010000000000001</v>
      </c>
      <c r="E1242">
        <v>13.05</v>
      </c>
      <c r="F1242">
        <v>8.3000000000000007</v>
      </c>
      <c r="G1242">
        <v>2</v>
      </c>
      <c r="H1242" s="15">
        <v>2.944</v>
      </c>
      <c r="I1242">
        <v>31.457999999999998</v>
      </c>
      <c r="J1242">
        <v>18.7</v>
      </c>
      <c r="K1242">
        <v>11.781000000000001</v>
      </c>
      <c r="L1242" t="e">
        <v>#N/A</v>
      </c>
      <c r="M1242">
        <v>3.1179999999999999</v>
      </c>
      <c r="N1242">
        <v>0.25</v>
      </c>
      <c r="O1242">
        <v>2.62</v>
      </c>
      <c r="P1242">
        <v>0.94</v>
      </c>
      <c r="Q1242">
        <v>14</v>
      </c>
    </row>
    <row r="1243" spans="1:17" x14ac:dyDescent="0.25">
      <c r="A1243" s="1">
        <v>42997</v>
      </c>
      <c r="B1243">
        <v>9.35</v>
      </c>
      <c r="C1243">
        <v>203.87</v>
      </c>
      <c r="D1243">
        <v>3.24</v>
      </c>
      <c r="E1243">
        <v>13.05</v>
      </c>
      <c r="F1243">
        <v>8.2799999999999994</v>
      </c>
      <c r="G1243">
        <v>2.0099999999999998</v>
      </c>
      <c r="H1243" s="15">
        <v>2.9630000000000001</v>
      </c>
      <c r="I1243">
        <v>31.457999999999998</v>
      </c>
      <c r="J1243">
        <v>19.02</v>
      </c>
      <c r="K1243">
        <v>11.781000000000001</v>
      </c>
      <c r="L1243">
        <v>1.38</v>
      </c>
      <c r="M1243">
        <v>3.548</v>
      </c>
      <c r="N1243">
        <v>0.25</v>
      </c>
      <c r="O1243">
        <v>2.63</v>
      </c>
      <c r="P1243">
        <v>0.97</v>
      </c>
      <c r="Q1243">
        <v>15</v>
      </c>
    </row>
    <row r="1244" spans="1:17" x14ac:dyDescent="0.25">
      <c r="A1244" s="1">
        <v>42998</v>
      </c>
      <c r="B1244">
        <v>9.48</v>
      </c>
      <c r="C1244">
        <v>203.8</v>
      </c>
      <c r="D1244">
        <v>3.24</v>
      </c>
      <c r="E1244">
        <v>12.71</v>
      </c>
      <c r="F1244">
        <v>8.2799999999999994</v>
      </c>
      <c r="G1244">
        <v>2.04</v>
      </c>
      <c r="H1244" s="15">
        <v>2.9630000000000001</v>
      </c>
      <c r="I1244">
        <v>31.286000000000001</v>
      </c>
      <c r="J1244">
        <v>18.899999999999999</v>
      </c>
      <c r="K1244">
        <v>11.781000000000001</v>
      </c>
      <c r="L1244" t="e">
        <v>#N/A</v>
      </c>
      <c r="M1244">
        <v>3.6059999999999999</v>
      </c>
      <c r="N1244">
        <v>0.25</v>
      </c>
      <c r="O1244">
        <v>2.61</v>
      </c>
      <c r="P1244">
        <v>0.96</v>
      </c>
      <c r="Q1244">
        <v>14</v>
      </c>
    </row>
    <row r="1245" spans="1:17" x14ac:dyDescent="0.25">
      <c r="A1245" s="1">
        <v>42999</v>
      </c>
      <c r="B1245">
        <v>9.5299999999999994</v>
      </c>
      <c r="C1245">
        <v>204.59</v>
      </c>
      <c r="D1245">
        <v>3.2549999999999999</v>
      </c>
      <c r="E1245">
        <v>12.8</v>
      </c>
      <c r="F1245">
        <v>8.3000000000000007</v>
      </c>
      <c r="G1245">
        <v>2.0699999999999998</v>
      </c>
      <c r="H1245" s="15">
        <v>2.855</v>
      </c>
      <c r="I1245">
        <v>31.501000000000001</v>
      </c>
      <c r="J1245">
        <v>19.010000000000002</v>
      </c>
      <c r="K1245">
        <v>11.82</v>
      </c>
      <c r="L1245">
        <v>1.44</v>
      </c>
      <c r="M1245">
        <v>3.6890000000000001</v>
      </c>
      <c r="N1245">
        <v>0.252</v>
      </c>
      <c r="O1245">
        <v>2.65</v>
      </c>
      <c r="P1245">
        <v>0.96</v>
      </c>
      <c r="Q1245">
        <v>15</v>
      </c>
    </row>
    <row r="1246" spans="1:17" x14ac:dyDescent="0.25">
      <c r="A1246" s="1">
        <v>43000</v>
      </c>
      <c r="B1246">
        <v>9.52</v>
      </c>
      <c r="C1246">
        <v>202.04</v>
      </c>
      <c r="D1246">
        <v>3.2010000000000001</v>
      </c>
      <c r="E1246">
        <v>12.84</v>
      </c>
      <c r="F1246">
        <v>8.27</v>
      </c>
      <c r="G1246">
        <v>2.1</v>
      </c>
      <c r="H1246" s="15">
        <v>2.9140000000000001</v>
      </c>
      <c r="I1246">
        <v>31.501000000000001</v>
      </c>
      <c r="J1246">
        <v>19.010000000000002</v>
      </c>
      <c r="K1246">
        <v>11.82</v>
      </c>
      <c r="L1246">
        <v>1.5</v>
      </c>
      <c r="M1246">
        <v>3.722</v>
      </c>
      <c r="N1246">
        <v>0.255</v>
      </c>
      <c r="O1246">
        <v>2.7</v>
      </c>
      <c r="P1246">
        <v>0.97</v>
      </c>
      <c r="Q1246">
        <v>15</v>
      </c>
    </row>
    <row r="1247" spans="1:17" x14ac:dyDescent="0.25">
      <c r="A1247" s="1">
        <v>43003</v>
      </c>
      <c r="B1247">
        <v>9.4600000000000009</v>
      </c>
      <c r="C1247">
        <v>202.5</v>
      </c>
      <c r="D1247">
        <v>3.278</v>
      </c>
      <c r="E1247">
        <v>13.4</v>
      </c>
      <c r="F1247">
        <v>8.3000000000000007</v>
      </c>
      <c r="G1247">
        <v>2.1</v>
      </c>
      <c r="H1247" s="15">
        <v>2.9630000000000001</v>
      </c>
      <c r="I1247">
        <v>31.484000000000002</v>
      </c>
      <c r="J1247">
        <v>19.100000000000001</v>
      </c>
      <c r="K1247" t="e">
        <v>#N/A</v>
      </c>
      <c r="L1247">
        <v>1.57</v>
      </c>
      <c r="M1247">
        <v>3.8039999999999998</v>
      </c>
      <c r="N1247">
        <v>0.26</v>
      </c>
      <c r="O1247">
        <v>2.68</v>
      </c>
      <c r="P1247">
        <v>0.99</v>
      </c>
      <c r="Q1247">
        <v>14</v>
      </c>
    </row>
    <row r="1248" spans="1:17" x14ac:dyDescent="0.25">
      <c r="A1248" s="1">
        <v>43004</v>
      </c>
      <c r="B1248">
        <v>9.4</v>
      </c>
      <c r="C1248">
        <v>204.4</v>
      </c>
      <c r="D1248">
        <v>3.278</v>
      </c>
      <c r="E1248">
        <v>13.14</v>
      </c>
      <c r="F1248">
        <v>8.3000000000000007</v>
      </c>
      <c r="G1248">
        <v>2.08</v>
      </c>
      <c r="H1248" s="15">
        <v>3.0619999999999998</v>
      </c>
      <c r="I1248">
        <v>31.414999999999999</v>
      </c>
      <c r="J1248">
        <v>19</v>
      </c>
      <c r="K1248">
        <v>11.83</v>
      </c>
      <c r="L1248">
        <v>1.55</v>
      </c>
      <c r="M1248">
        <v>3.7629999999999999</v>
      </c>
      <c r="N1248">
        <v>0.255</v>
      </c>
      <c r="O1248">
        <v>2.71</v>
      </c>
      <c r="P1248">
        <v>1</v>
      </c>
      <c r="Q1248">
        <v>15</v>
      </c>
    </row>
    <row r="1249" spans="1:17" x14ac:dyDescent="0.25">
      <c r="A1249" s="1">
        <v>43005</v>
      </c>
      <c r="B1249">
        <v>9.31</v>
      </c>
      <c r="C1249">
        <v>204.2</v>
      </c>
      <c r="D1249">
        <v>3.278</v>
      </c>
      <c r="E1249">
        <v>13</v>
      </c>
      <c r="F1249">
        <v>8.3000000000000007</v>
      </c>
      <c r="G1249">
        <v>2.1</v>
      </c>
      <c r="H1249" s="15">
        <v>3.0129999999999999</v>
      </c>
      <c r="I1249">
        <v>31.423999999999999</v>
      </c>
      <c r="J1249">
        <v>19</v>
      </c>
      <c r="K1249">
        <v>11.9</v>
      </c>
      <c r="L1249">
        <v>1.55</v>
      </c>
      <c r="M1249">
        <v>3.8460000000000001</v>
      </c>
      <c r="N1249">
        <v>0.255</v>
      </c>
      <c r="O1249">
        <v>2.77</v>
      </c>
      <c r="P1249">
        <v>1.05</v>
      </c>
      <c r="Q1249">
        <v>15</v>
      </c>
    </row>
    <row r="1250" spans="1:17" x14ac:dyDescent="0.25">
      <c r="A1250" s="1">
        <v>43006</v>
      </c>
      <c r="B1250">
        <v>9.3000000000000007</v>
      </c>
      <c r="C1250">
        <v>204.12</v>
      </c>
      <c r="D1250">
        <v>3.3940000000000001</v>
      </c>
      <c r="E1250">
        <v>13.15</v>
      </c>
      <c r="F1250">
        <v>8.3699999999999992</v>
      </c>
      <c r="G1250">
        <v>2.12</v>
      </c>
      <c r="H1250" s="15">
        <v>3.0419999999999998</v>
      </c>
      <c r="I1250">
        <v>31.51</v>
      </c>
      <c r="J1250">
        <v>19.149999999999999</v>
      </c>
      <c r="K1250">
        <v>11.9</v>
      </c>
      <c r="L1250">
        <v>1.56</v>
      </c>
      <c r="M1250">
        <v>3.887</v>
      </c>
      <c r="N1250">
        <v>0.25</v>
      </c>
      <c r="O1250">
        <v>2.8</v>
      </c>
      <c r="P1250">
        <v>1.1200000000000001</v>
      </c>
      <c r="Q1250">
        <v>15</v>
      </c>
    </row>
    <row r="1251" spans="1:17" x14ac:dyDescent="0.25">
      <c r="A1251" s="1">
        <v>43007</v>
      </c>
      <c r="B1251">
        <v>9.27</v>
      </c>
      <c r="C1251">
        <v>205.9</v>
      </c>
      <c r="D1251">
        <v>3.3170000000000002</v>
      </c>
      <c r="E1251">
        <v>12.8</v>
      </c>
      <c r="F1251">
        <v>8.4</v>
      </c>
      <c r="G1251">
        <v>2.13</v>
      </c>
      <c r="H1251" s="15">
        <v>3.0419999999999998</v>
      </c>
      <c r="I1251">
        <v>31.942</v>
      </c>
      <c r="J1251">
        <v>19</v>
      </c>
      <c r="K1251">
        <v>12</v>
      </c>
      <c r="L1251">
        <v>1.407</v>
      </c>
      <c r="M1251">
        <v>3.887</v>
      </c>
      <c r="N1251">
        <v>0.25</v>
      </c>
      <c r="O1251">
        <v>2.85</v>
      </c>
      <c r="P1251">
        <v>1.17</v>
      </c>
      <c r="Q1251">
        <v>15</v>
      </c>
    </row>
    <row r="1252" spans="1:17" x14ac:dyDescent="0.25">
      <c r="A1252" s="1">
        <v>43010</v>
      </c>
      <c r="B1252">
        <v>9.3000000000000007</v>
      </c>
      <c r="C1252">
        <v>210.55</v>
      </c>
      <c r="D1252">
        <v>3.286</v>
      </c>
      <c r="E1252">
        <v>12.79</v>
      </c>
      <c r="F1252">
        <v>8.35</v>
      </c>
      <c r="G1252">
        <v>2.14</v>
      </c>
      <c r="H1252" s="15">
        <v>3.1509999999999998</v>
      </c>
      <c r="I1252">
        <v>31.942</v>
      </c>
      <c r="J1252">
        <v>19</v>
      </c>
      <c r="K1252">
        <v>12.03</v>
      </c>
      <c r="L1252">
        <v>1.4330000000000001</v>
      </c>
      <c r="M1252">
        <v>3.9860000000000002</v>
      </c>
      <c r="N1252">
        <v>0.25</v>
      </c>
      <c r="O1252">
        <v>2.95</v>
      </c>
      <c r="P1252">
        <v>1.23</v>
      </c>
      <c r="Q1252">
        <v>15</v>
      </c>
    </row>
    <row r="1253" spans="1:17" x14ac:dyDescent="0.25">
      <c r="A1253" s="1">
        <v>43011</v>
      </c>
      <c r="B1253">
        <v>9.3800000000000008</v>
      </c>
      <c r="C1253">
        <v>211.56</v>
      </c>
      <c r="D1253">
        <v>3.2469999999999999</v>
      </c>
      <c r="E1253">
        <v>13.18</v>
      </c>
      <c r="F1253">
        <v>8.4</v>
      </c>
      <c r="G1253">
        <v>2.27</v>
      </c>
      <c r="H1253" s="15">
        <v>3.24</v>
      </c>
      <c r="I1253">
        <v>31.942</v>
      </c>
      <c r="J1253" t="e">
        <v>#N/A</v>
      </c>
      <c r="K1253">
        <v>12.03</v>
      </c>
      <c r="L1253">
        <v>1.548</v>
      </c>
      <c r="M1253">
        <v>4.4249999999999998</v>
      </c>
      <c r="N1253">
        <v>0.26700000000000002</v>
      </c>
      <c r="O1253">
        <v>2.99</v>
      </c>
      <c r="P1253">
        <v>1.31</v>
      </c>
      <c r="Q1253">
        <v>14</v>
      </c>
    </row>
    <row r="1254" spans="1:17" x14ac:dyDescent="0.25">
      <c r="A1254" s="1">
        <v>43012</v>
      </c>
      <c r="B1254">
        <v>9.5</v>
      </c>
      <c r="C1254">
        <v>208.5</v>
      </c>
      <c r="D1254">
        <v>3.3239999999999998</v>
      </c>
      <c r="E1254">
        <v>13.5</v>
      </c>
      <c r="F1254">
        <v>8.4</v>
      </c>
      <c r="G1254">
        <v>2.33</v>
      </c>
      <c r="H1254" s="15">
        <v>3.26</v>
      </c>
      <c r="I1254">
        <v>31.942</v>
      </c>
      <c r="J1254">
        <v>19</v>
      </c>
      <c r="K1254">
        <v>12.15</v>
      </c>
      <c r="L1254">
        <v>1.609</v>
      </c>
      <c r="M1254">
        <v>4.3419999999999996</v>
      </c>
      <c r="N1254">
        <v>0.27500000000000002</v>
      </c>
      <c r="O1254">
        <v>2.95</v>
      </c>
      <c r="P1254">
        <v>1.35</v>
      </c>
      <c r="Q1254">
        <v>15</v>
      </c>
    </row>
    <row r="1255" spans="1:17" x14ac:dyDescent="0.25">
      <c r="A1255" s="1">
        <v>43013</v>
      </c>
      <c r="B1255">
        <v>9.6</v>
      </c>
      <c r="C1255">
        <v>209</v>
      </c>
      <c r="D1255">
        <v>3.3010000000000002</v>
      </c>
      <c r="E1255">
        <v>13.75</v>
      </c>
      <c r="F1255">
        <v>8.49</v>
      </c>
      <c r="G1255">
        <v>2.39</v>
      </c>
      <c r="H1255" s="15">
        <v>3.3490000000000002</v>
      </c>
      <c r="I1255">
        <v>32.149000000000001</v>
      </c>
      <c r="J1255">
        <v>19</v>
      </c>
      <c r="K1255">
        <v>12.12</v>
      </c>
      <c r="L1255">
        <v>1.6970000000000001</v>
      </c>
      <c r="M1255">
        <v>4.96</v>
      </c>
      <c r="N1255">
        <v>0.28399999999999997</v>
      </c>
      <c r="O1255">
        <v>2.95</v>
      </c>
      <c r="P1255">
        <v>1.48</v>
      </c>
      <c r="Q1255">
        <v>15</v>
      </c>
    </row>
    <row r="1256" spans="1:17" x14ac:dyDescent="0.25">
      <c r="A1256" s="1">
        <v>43014</v>
      </c>
      <c r="B1256">
        <v>9.6</v>
      </c>
      <c r="C1256">
        <v>206</v>
      </c>
      <c r="D1256">
        <v>3.278</v>
      </c>
      <c r="E1256">
        <v>13.87</v>
      </c>
      <c r="F1256">
        <v>8.5</v>
      </c>
      <c r="G1256">
        <v>2.39</v>
      </c>
      <c r="H1256" s="15">
        <v>3.1120000000000001</v>
      </c>
      <c r="I1256">
        <v>32.149000000000001</v>
      </c>
      <c r="J1256">
        <v>19</v>
      </c>
      <c r="K1256">
        <v>11.9</v>
      </c>
      <c r="L1256">
        <v>1.609</v>
      </c>
      <c r="M1256" t="e">
        <v>#N/A</v>
      </c>
      <c r="N1256">
        <v>0.28000000000000003</v>
      </c>
      <c r="O1256">
        <v>2.9</v>
      </c>
      <c r="P1256">
        <v>1.375</v>
      </c>
      <c r="Q1256">
        <v>14</v>
      </c>
    </row>
    <row r="1257" spans="1:17" x14ac:dyDescent="0.25">
      <c r="A1257" s="1">
        <v>43017</v>
      </c>
      <c r="B1257">
        <v>9.76</v>
      </c>
      <c r="C1257">
        <v>203.55</v>
      </c>
      <c r="D1257">
        <v>3.3090000000000002</v>
      </c>
      <c r="E1257">
        <v>13.8</v>
      </c>
      <c r="F1257">
        <v>8.5</v>
      </c>
      <c r="G1257">
        <v>2.38</v>
      </c>
      <c r="H1257" s="15">
        <v>2.9630000000000001</v>
      </c>
      <c r="I1257">
        <v>32.968000000000004</v>
      </c>
      <c r="J1257">
        <v>19.059999999999999</v>
      </c>
      <c r="K1257">
        <v>11.9</v>
      </c>
      <c r="L1257">
        <v>1.6439999999999999</v>
      </c>
      <c r="M1257">
        <v>4.8</v>
      </c>
      <c r="N1257">
        <v>0.27900000000000003</v>
      </c>
      <c r="O1257">
        <v>2.88</v>
      </c>
      <c r="P1257">
        <v>1.3560000000000001</v>
      </c>
      <c r="Q1257">
        <v>15</v>
      </c>
    </row>
    <row r="1258" spans="1:17" x14ac:dyDescent="0.25">
      <c r="A1258" s="1">
        <v>43018</v>
      </c>
      <c r="B1258">
        <v>9.8000000000000007</v>
      </c>
      <c r="C1258">
        <v>201.8</v>
      </c>
      <c r="D1258">
        <v>3.3170000000000002</v>
      </c>
      <c r="E1258">
        <v>13.62</v>
      </c>
      <c r="F1258">
        <v>8.4</v>
      </c>
      <c r="G1258">
        <v>2.35</v>
      </c>
      <c r="H1258" s="15">
        <v>2.9340000000000002</v>
      </c>
      <c r="I1258">
        <v>32.968000000000004</v>
      </c>
      <c r="J1258">
        <v>19.100000000000001</v>
      </c>
      <c r="K1258">
        <v>11.9</v>
      </c>
      <c r="L1258">
        <v>1.84</v>
      </c>
      <c r="M1258">
        <v>4.7</v>
      </c>
      <c r="N1258">
        <v>0.27500000000000002</v>
      </c>
      <c r="O1258">
        <v>2.84</v>
      </c>
      <c r="P1258">
        <v>1.3560000000000001</v>
      </c>
      <c r="Q1258">
        <v>15</v>
      </c>
    </row>
    <row r="1259" spans="1:17" x14ac:dyDescent="0.25">
      <c r="A1259" s="1">
        <v>43019</v>
      </c>
      <c r="B1259">
        <v>9.9</v>
      </c>
      <c r="C1259">
        <v>203.83</v>
      </c>
      <c r="D1259">
        <v>3.3010000000000002</v>
      </c>
      <c r="E1259">
        <v>13.65</v>
      </c>
      <c r="F1259">
        <v>8.4</v>
      </c>
      <c r="G1259">
        <v>2.3199999999999998</v>
      </c>
      <c r="H1259" s="15">
        <v>2.8650000000000002</v>
      </c>
      <c r="I1259">
        <v>32.795999999999999</v>
      </c>
      <c r="J1259">
        <v>19.149999999999999</v>
      </c>
      <c r="K1259">
        <v>11.9</v>
      </c>
      <c r="L1259">
        <v>1.84</v>
      </c>
      <c r="M1259">
        <v>4.6399999999999997</v>
      </c>
      <c r="N1259">
        <v>0.28499999999999998</v>
      </c>
      <c r="O1259">
        <v>2.82</v>
      </c>
      <c r="P1259">
        <v>1.375</v>
      </c>
      <c r="Q1259">
        <v>15</v>
      </c>
    </row>
    <row r="1260" spans="1:17" x14ac:dyDescent="0.25">
      <c r="A1260" s="1">
        <v>43020</v>
      </c>
      <c r="B1260">
        <v>10.029999999999999</v>
      </c>
      <c r="C1260">
        <v>204.9</v>
      </c>
      <c r="D1260">
        <v>3.3010000000000002</v>
      </c>
      <c r="E1260">
        <v>14</v>
      </c>
      <c r="F1260">
        <v>8.4</v>
      </c>
      <c r="G1260">
        <v>2.34</v>
      </c>
      <c r="H1260" s="15">
        <v>2.9140000000000001</v>
      </c>
      <c r="I1260">
        <v>33.226999999999997</v>
      </c>
      <c r="J1260">
        <v>19.25</v>
      </c>
      <c r="K1260">
        <v>11.93</v>
      </c>
      <c r="L1260">
        <v>1.84</v>
      </c>
      <c r="M1260">
        <v>4.4000000000000004</v>
      </c>
      <c r="N1260">
        <v>0.28399999999999997</v>
      </c>
      <c r="O1260">
        <v>2.83</v>
      </c>
      <c r="P1260">
        <v>1.385</v>
      </c>
      <c r="Q1260">
        <v>15</v>
      </c>
    </row>
    <row r="1261" spans="1:17" x14ac:dyDescent="0.25">
      <c r="A1261" s="1">
        <v>43021</v>
      </c>
      <c r="B1261">
        <v>10</v>
      </c>
      <c r="C1261">
        <v>208.57</v>
      </c>
      <c r="D1261">
        <v>3.3170000000000002</v>
      </c>
      <c r="E1261">
        <v>14.46</v>
      </c>
      <c r="F1261">
        <v>8.35</v>
      </c>
      <c r="G1261">
        <v>2.37</v>
      </c>
      <c r="H1261" s="15">
        <v>2.9630000000000001</v>
      </c>
      <c r="I1261">
        <v>32.838999999999999</v>
      </c>
      <c r="J1261">
        <v>19.25</v>
      </c>
      <c r="K1261">
        <v>11.93</v>
      </c>
      <c r="L1261">
        <v>1.8</v>
      </c>
      <c r="M1261">
        <v>4.32</v>
      </c>
      <c r="N1261">
        <v>0.28000000000000003</v>
      </c>
      <c r="O1261">
        <v>2.84</v>
      </c>
      <c r="P1261">
        <v>1.375</v>
      </c>
      <c r="Q1261">
        <v>15</v>
      </c>
    </row>
    <row r="1262" spans="1:17" x14ac:dyDescent="0.25">
      <c r="A1262" s="1">
        <v>43024</v>
      </c>
      <c r="B1262">
        <v>10.06</v>
      </c>
      <c r="C1262">
        <v>207.88</v>
      </c>
      <c r="D1262">
        <v>3.3170000000000002</v>
      </c>
      <c r="E1262">
        <v>14.77</v>
      </c>
      <c r="F1262">
        <v>8.35</v>
      </c>
      <c r="G1262">
        <v>2.39</v>
      </c>
      <c r="H1262" s="15">
        <v>2.9630000000000001</v>
      </c>
      <c r="I1262">
        <v>32.924999999999997</v>
      </c>
      <c r="J1262">
        <v>19.25</v>
      </c>
      <c r="K1262">
        <v>11.94</v>
      </c>
      <c r="L1262">
        <v>1.82</v>
      </c>
      <c r="M1262">
        <v>4.33</v>
      </c>
      <c r="N1262">
        <v>0.28000000000000003</v>
      </c>
      <c r="O1262">
        <v>2.95</v>
      </c>
      <c r="P1262">
        <v>1.4039999999999999</v>
      </c>
      <c r="Q1262">
        <v>15</v>
      </c>
    </row>
    <row r="1263" spans="1:17" x14ac:dyDescent="0.25">
      <c r="A1263" s="1">
        <v>43025</v>
      </c>
      <c r="B1263">
        <v>9.99</v>
      </c>
      <c r="C1263">
        <v>208</v>
      </c>
      <c r="D1263">
        <v>3.3170000000000002</v>
      </c>
      <c r="E1263">
        <v>14.85</v>
      </c>
      <c r="F1263">
        <v>8.4</v>
      </c>
      <c r="G1263">
        <v>2.37</v>
      </c>
      <c r="H1263" s="15">
        <v>3.0230000000000001</v>
      </c>
      <c r="I1263" t="e">
        <v>#N/A</v>
      </c>
      <c r="J1263">
        <v>19.25</v>
      </c>
      <c r="K1263">
        <v>11.95</v>
      </c>
      <c r="L1263" t="e">
        <v>#N/A</v>
      </c>
      <c r="M1263">
        <v>4.3099999999999996</v>
      </c>
      <c r="N1263">
        <v>0.27700000000000002</v>
      </c>
      <c r="O1263">
        <v>2.95</v>
      </c>
      <c r="P1263">
        <v>1.3660000000000001</v>
      </c>
      <c r="Q1263">
        <v>13</v>
      </c>
    </row>
    <row r="1264" spans="1:17" x14ac:dyDescent="0.25">
      <c r="A1264" s="1">
        <v>43026</v>
      </c>
      <c r="B1264">
        <v>9.9</v>
      </c>
      <c r="C1264">
        <v>207.8</v>
      </c>
      <c r="D1264">
        <v>3.286</v>
      </c>
      <c r="E1264">
        <v>14.74</v>
      </c>
      <c r="F1264">
        <v>8.39</v>
      </c>
      <c r="G1264">
        <v>2.35</v>
      </c>
      <c r="H1264" s="15">
        <v>2.9830000000000001</v>
      </c>
      <c r="I1264">
        <v>32.881999999999998</v>
      </c>
      <c r="J1264">
        <v>19.25</v>
      </c>
      <c r="K1264">
        <v>12</v>
      </c>
      <c r="L1264">
        <v>1.76</v>
      </c>
      <c r="M1264">
        <v>4.4000000000000004</v>
      </c>
      <c r="N1264">
        <v>0.28000000000000003</v>
      </c>
      <c r="O1264">
        <v>2.95</v>
      </c>
      <c r="P1264">
        <v>1.43</v>
      </c>
      <c r="Q1264">
        <v>15</v>
      </c>
    </row>
    <row r="1265" spans="1:17" x14ac:dyDescent="0.25">
      <c r="A1265" s="1">
        <v>43027</v>
      </c>
      <c r="B1265">
        <v>9.9499999999999993</v>
      </c>
      <c r="C1265">
        <v>206</v>
      </c>
      <c r="D1265">
        <v>3.278</v>
      </c>
      <c r="E1265">
        <v>14.4</v>
      </c>
      <c r="F1265">
        <v>8.35</v>
      </c>
      <c r="G1265">
        <v>2.33</v>
      </c>
      <c r="H1265" s="15">
        <v>2.9830000000000001</v>
      </c>
      <c r="I1265">
        <v>32.881999999999998</v>
      </c>
      <c r="J1265">
        <v>19.25</v>
      </c>
      <c r="K1265">
        <v>12.01</v>
      </c>
      <c r="L1265">
        <v>1.79</v>
      </c>
      <c r="M1265">
        <v>4.55</v>
      </c>
      <c r="N1265">
        <v>0.28399999999999997</v>
      </c>
      <c r="O1265">
        <v>2.95</v>
      </c>
      <c r="P1265">
        <v>1.48</v>
      </c>
      <c r="Q1265">
        <v>15</v>
      </c>
    </row>
    <row r="1266" spans="1:17" x14ac:dyDescent="0.25">
      <c r="A1266" s="1">
        <v>43028</v>
      </c>
      <c r="B1266">
        <v>9.9499999999999993</v>
      </c>
      <c r="C1266">
        <v>208.01</v>
      </c>
      <c r="D1266">
        <v>3.286</v>
      </c>
      <c r="E1266">
        <v>14.26</v>
      </c>
      <c r="F1266">
        <v>8.3699999999999992</v>
      </c>
      <c r="G1266">
        <v>2.33</v>
      </c>
      <c r="H1266" s="15">
        <v>2.9140000000000001</v>
      </c>
      <c r="I1266">
        <v>32.968000000000004</v>
      </c>
      <c r="J1266">
        <v>19.39</v>
      </c>
      <c r="K1266">
        <v>12.05</v>
      </c>
      <c r="L1266">
        <v>1.79</v>
      </c>
      <c r="M1266">
        <v>4.6399999999999997</v>
      </c>
      <c r="N1266">
        <v>0.3</v>
      </c>
      <c r="O1266">
        <v>2.97</v>
      </c>
      <c r="P1266">
        <v>1.57</v>
      </c>
      <c r="Q1266">
        <v>15</v>
      </c>
    </row>
    <row r="1267" spans="1:17" x14ac:dyDescent="0.25">
      <c r="A1267" s="1">
        <v>43031</v>
      </c>
      <c r="B1267">
        <v>9.98</v>
      </c>
      <c r="C1267">
        <v>207.77</v>
      </c>
      <c r="D1267">
        <v>3.286</v>
      </c>
      <c r="E1267">
        <v>14.23</v>
      </c>
      <c r="F1267">
        <v>8.4</v>
      </c>
      <c r="G1267">
        <v>2.4</v>
      </c>
      <c r="H1267" s="15">
        <v>2.766</v>
      </c>
      <c r="I1267">
        <v>32.968000000000004</v>
      </c>
      <c r="J1267">
        <v>19.399999999999999</v>
      </c>
      <c r="K1267">
        <v>12.06</v>
      </c>
      <c r="L1267">
        <v>1.87</v>
      </c>
      <c r="M1267">
        <v>4.72</v>
      </c>
      <c r="N1267">
        <v>0.31</v>
      </c>
      <c r="O1267">
        <v>3</v>
      </c>
      <c r="P1267">
        <v>1.66</v>
      </c>
      <c r="Q1267">
        <v>15</v>
      </c>
    </row>
    <row r="1268" spans="1:17" x14ac:dyDescent="0.25">
      <c r="A1268" s="1">
        <v>43032</v>
      </c>
      <c r="B1268">
        <v>9.99</v>
      </c>
      <c r="C1268">
        <v>208</v>
      </c>
      <c r="D1268">
        <v>3.2930000000000001</v>
      </c>
      <c r="E1268">
        <v>14.2</v>
      </c>
      <c r="F1268">
        <v>8.3699999999999992</v>
      </c>
      <c r="G1268">
        <v>2.4500000000000002</v>
      </c>
      <c r="H1268" s="15">
        <v>2.786</v>
      </c>
      <c r="I1268">
        <v>33.140999999999998</v>
      </c>
      <c r="J1268">
        <v>19.55</v>
      </c>
      <c r="K1268">
        <v>12.06</v>
      </c>
      <c r="L1268">
        <v>1.9</v>
      </c>
      <c r="M1268">
        <v>4.6500000000000004</v>
      </c>
      <c r="N1268">
        <v>0.31</v>
      </c>
      <c r="O1268">
        <v>3</v>
      </c>
      <c r="P1268">
        <v>1.65</v>
      </c>
      <c r="Q1268">
        <v>15</v>
      </c>
    </row>
    <row r="1269" spans="1:17" x14ac:dyDescent="0.25">
      <c r="A1269" s="1">
        <v>43033</v>
      </c>
      <c r="B1269">
        <v>10.16</v>
      </c>
      <c r="C1269">
        <v>207</v>
      </c>
      <c r="D1269">
        <v>3.2930000000000001</v>
      </c>
      <c r="E1269">
        <v>14.1</v>
      </c>
      <c r="F1269">
        <v>8.4</v>
      </c>
      <c r="G1269">
        <v>2.44</v>
      </c>
      <c r="H1269" s="15">
        <v>2.7959999999999998</v>
      </c>
      <c r="I1269">
        <v>33.658999999999999</v>
      </c>
      <c r="J1269">
        <v>19.850000000000001</v>
      </c>
      <c r="K1269">
        <v>12.5</v>
      </c>
      <c r="L1269">
        <v>2</v>
      </c>
      <c r="M1269">
        <v>5</v>
      </c>
      <c r="N1269">
        <v>0.32</v>
      </c>
      <c r="O1269">
        <v>3</v>
      </c>
      <c r="P1269">
        <v>1.64</v>
      </c>
      <c r="Q1269">
        <v>15</v>
      </c>
    </row>
    <row r="1270" spans="1:17" x14ac:dyDescent="0.25">
      <c r="A1270" s="1">
        <v>43034</v>
      </c>
      <c r="B1270">
        <v>10.36</v>
      </c>
      <c r="C1270">
        <v>207.3</v>
      </c>
      <c r="D1270">
        <v>3.278</v>
      </c>
      <c r="E1270">
        <v>13.9</v>
      </c>
      <c r="F1270">
        <v>8.41</v>
      </c>
      <c r="G1270">
        <v>2.52</v>
      </c>
      <c r="H1270" s="15">
        <v>2.8650000000000002</v>
      </c>
      <c r="I1270">
        <v>33.226999999999997</v>
      </c>
      <c r="J1270">
        <v>19.95</v>
      </c>
      <c r="K1270">
        <v>12.7</v>
      </c>
      <c r="L1270">
        <v>2.0499999999999998</v>
      </c>
      <c r="M1270">
        <v>5.25</v>
      </c>
      <c r="N1270">
        <v>0.32</v>
      </c>
      <c r="O1270">
        <v>3</v>
      </c>
      <c r="P1270">
        <v>1.62</v>
      </c>
      <c r="Q1270">
        <v>15</v>
      </c>
    </row>
    <row r="1271" spans="1:17" x14ac:dyDescent="0.25">
      <c r="A1271" s="1">
        <v>43035</v>
      </c>
      <c r="B1271">
        <v>10.3</v>
      </c>
      <c r="C1271">
        <v>210.3</v>
      </c>
      <c r="D1271">
        <v>3.278</v>
      </c>
      <c r="E1271">
        <v>13.93</v>
      </c>
      <c r="F1271">
        <v>8.4</v>
      </c>
      <c r="G1271">
        <v>2.56</v>
      </c>
      <c r="H1271" s="15">
        <v>2.9540000000000002</v>
      </c>
      <c r="I1271">
        <v>33.314</v>
      </c>
      <c r="J1271">
        <v>20</v>
      </c>
      <c r="K1271">
        <v>12.6</v>
      </c>
      <c r="L1271">
        <v>2</v>
      </c>
      <c r="M1271">
        <v>5.0999999999999996</v>
      </c>
      <c r="N1271">
        <v>0.31900000000000001</v>
      </c>
      <c r="O1271">
        <v>2.97</v>
      </c>
      <c r="P1271">
        <v>1.6</v>
      </c>
      <c r="Q1271">
        <v>15</v>
      </c>
    </row>
    <row r="1272" spans="1:17" x14ac:dyDescent="0.25">
      <c r="A1272" s="1">
        <v>43038</v>
      </c>
      <c r="B1272">
        <v>10.1</v>
      </c>
      <c r="C1272">
        <v>209.5</v>
      </c>
      <c r="D1272">
        <v>3.278</v>
      </c>
      <c r="E1272">
        <v>13.74</v>
      </c>
      <c r="F1272">
        <v>8.4499999999999993</v>
      </c>
      <c r="G1272">
        <v>2.61</v>
      </c>
      <c r="H1272" s="15">
        <v>2.9140000000000001</v>
      </c>
      <c r="I1272">
        <v>33.314</v>
      </c>
      <c r="J1272">
        <v>19.850000000000001</v>
      </c>
      <c r="K1272">
        <v>12.03</v>
      </c>
      <c r="L1272">
        <v>2.02</v>
      </c>
      <c r="M1272" t="e">
        <v>#N/A</v>
      </c>
      <c r="N1272">
        <v>0.316</v>
      </c>
      <c r="O1272">
        <v>2.9</v>
      </c>
      <c r="P1272">
        <v>1.6</v>
      </c>
      <c r="Q1272">
        <v>14</v>
      </c>
    </row>
    <row r="1273" spans="1:17" x14ac:dyDescent="0.25">
      <c r="A1273" s="1">
        <v>43039</v>
      </c>
      <c r="B1273">
        <v>10.15</v>
      </c>
      <c r="C1273">
        <v>193.92</v>
      </c>
      <c r="D1273">
        <v>3.3090000000000002</v>
      </c>
      <c r="E1273">
        <v>13.85</v>
      </c>
      <c r="F1273">
        <v>8.5</v>
      </c>
      <c r="G1273">
        <v>2.54</v>
      </c>
      <c r="H1273" s="15">
        <v>2.9039999999999999</v>
      </c>
      <c r="I1273">
        <v>33.658999999999999</v>
      </c>
      <c r="J1273">
        <v>19.850000000000001</v>
      </c>
      <c r="K1273">
        <v>12.05</v>
      </c>
      <c r="L1273">
        <v>2.02</v>
      </c>
      <c r="M1273">
        <v>4.95</v>
      </c>
      <c r="N1273">
        <v>0.32300000000000001</v>
      </c>
      <c r="O1273">
        <v>2.96</v>
      </c>
      <c r="P1273">
        <v>1.6</v>
      </c>
      <c r="Q1273">
        <v>15</v>
      </c>
    </row>
    <row r="1274" spans="1:17" x14ac:dyDescent="0.25">
      <c r="A1274" s="1">
        <v>43041</v>
      </c>
      <c r="B1274">
        <v>10.82</v>
      </c>
      <c r="C1274">
        <v>191.53</v>
      </c>
      <c r="D1274">
        <v>3.3170000000000002</v>
      </c>
      <c r="E1274">
        <v>14.5</v>
      </c>
      <c r="F1274">
        <v>8.59</v>
      </c>
      <c r="G1274">
        <v>2.67</v>
      </c>
      <c r="H1274" s="15">
        <v>3.0329999999999999</v>
      </c>
      <c r="I1274">
        <v>34.090000000000003</v>
      </c>
      <c r="J1274">
        <v>20</v>
      </c>
      <c r="K1274">
        <v>12.3</v>
      </c>
      <c r="L1274">
        <v>2</v>
      </c>
      <c r="M1274">
        <v>4.8099999999999996</v>
      </c>
      <c r="N1274">
        <v>0.35</v>
      </c>
      <c r="O1274">
        <v>3</v>
      </c>
      <c r="P1274">
        <v>1.61</v>
      </c>
      <c r="Q1274">
        <v>15</v>
      </c>
    </row>
    <row r="1275" spans="1:17" x14ac:dyDescent="0.25">
      <c r="A1275" s="1">
        <v>43042</v>
      </c>
      <c r="B1275">
        <v>10.75</v>
      </c>
      <c r="C1275">
        <v>190.75</v>
      </c>
      <c r="D1275">
        <v>3.3170000000000002</v>
      </c>
      <c r="E1275">
        <v>14.4</v>
      </c>
      <c r="F1275">
        <v>8.1389999999999993</v>
      </c>
      <c r="G1275">
        <v>2.66</v>
      </c>
      <c r="H1275" s="15">
        <v>3.2</v>
      </c>
      <c r="I1275">
        <v>34.262999999999998</v>
      </c>
      <c r="J1275">
        <v>20.010000000000002</v>
      </c>
      <c r="K1275">
        <v>12.3</v>
      </c>
      <c r="L1275">
        <v>2</v>
      </c>
      <c r="M1275">
        <v>4.76</v>
      </c>
      <c r="N1275">
        <v>0.35</v>
      </c>
      <c r="O1275">
        <v>3.02</v>
      </c>
      <c r="P1275">
        <v>1.55</v>
      </c>
      <c r="Q1275">
        <v>15</v>
      </c>
    </row>
    <row r="1276" spans="1:17" x14ac:dyDescent="0.25">
      <c r="A1276" s="1">
        <v>43045</v>
      </c>
      <c r="B1276">
        <v>10.5</v>
      </c>
      <c r="C1276">
        <v>194.08</v>
      </c>
      <c r="D1276">
        <v>3.3319999999999999</v>
      </c>
      <c r="E1276">
        <v>14.47</v>
      </c>
      <c r="F1276">
        <v>8.1110000000000007</v>
      </c>
      <c r="G1276">
        <v>2.61</v>
      </c>
      <c r="H1276" s="15">
        <v>3.161</v>
      </c>
      <c r="I1276">
        <v>33.996000000000002</v>
      </c>
      <c r="J1276">
        <v>20.399999999999999</v>
      </c>
      <c r="K1276">
        <v>12.15</v>
      </c>
      <c r="L1276">
        <v>2.16</v>
      </c>
      <c r="M1276">
        <v>4.7</v>
      </c>
      <c r="N1276">
        <v>0.34300000000000003</v>
      </c>
      <c r="O1276">
        <v>2.9969999999999999</v>
      </c>
      <c r="P1276">
        <v>1.48</v>
      </c>
      <c r="Q1276">
        <v>15</v>
      </c>
    </row>
    <row r="1277" spans="1:17" x14ac:dyDescent="0.25">
      <c r="A1277" s="1">
        <v>43046</v>
      </c>
      <c r="B1277">
        <v>10.4</v>
      </c>
      <c r="C1277">
        <v>190.38</v>
      </c>
      <c r="D1277">
        <v>3.3170000000000002</v>
      </c>
      <c r="E1277">
        <v>14.4</v>
      </c>
      <c r="F1277">
        <v>8.0909999999999993</v>
      </c>
      <c r="G1277">
        <v>2.57</v>
      </c>
      <c r="H1277" s="15">
        <v>3.1120000000000001</v>
      </c>
      <c r="I1277">
        <v>33.314</v>
      </c>
      <c r="J1277">
        <v>20.3</v>
      </c>
      <c r="K1277">
        <v>12.2</v>
      </c>
      <c r="L1277">
        <v>2.0299999999999998</v>
      </c>
      <c r="M1277">
        <v>4.55</v>
      </c>
      <c r="N1277">
        <v>0.32400000000000001</v>
      </c>
      <c r="O1277">
        <v>2.9670000000000001</v>
      </c>
      <c r="P1277">
        <v>1.48</v>
      </c>
      <c r="Q1277">
        <v>15</v>
      </c>
    </row>
    <row r="1278" spans="1:17" x14ac:dyDescent="0.25">
      <c r="A1278" s="1">
        <v>43047</v>
      </c>
      <c r="B1278">
        <v>10.4</v>
      </c>
      <c r="C1278">
        <v>190.66</v>
      </c>
      <c r="D1278">
        <v>3.3170000000000002</v>
      </c>
      <c r="E1278">
        <v>14.23</v>
      </c>
      <c r="F1278">
        <v>8.0440000000000005</v>
      </c>
      <c r="G1278">
        <v>2.56</v>
      </c>
      <c r="H1278" s="15">
        <v>3.0619999999999998</v>
      </c>
      <c r="I1278">
        <v>33.314</v>
      </c>
      <c r="J1278">
        <v>20.399999999999999</v>
      </c>
      <c r="K1278">
        <v>12.3</v>
      </c>
      <c r="L1278">
        <v>2.0499999999999998</v>
      </c>
      <c r="M1278">
        <v>4.53</v>
      </c>
      <c r="N1278">
        <v>0.32300000000000001</v>
      </c>
      <c r="O1278">
        <v>2.9169999999999998</v>
      </c>
      <c r="P1278">
        <v>1.47</v>
      </c>
      <c r="Q1278">
        <v>15</v>
      </c>
    </row>
    <row r="1279" spans="1:17" x14ac:dyDescent="0.25">
      <c r="A1279" s="1">
        <v>43048</v>
      </c>
      <c r="B1279">
        <v>10.3</v>
      </c>
      <c r="C1279">
        <v>192.23</v>
      </c>
      <c r="D1279">
        <v>3.4710000000000001</v>
      </c>
      <c r="E1279">
        <v>14.15</v>
      </c>
      <c r="F1279">
        <v>8.0630000000000006</v>
      </c>
      <c r="G1279">
        <v>2.56</v>
      </c>
      <c r="H1279" s="15">
        <v>3.0619999999999998</v>
      </c>
      <c r="I1279">
        <v>33.219000000000001</v>
      </c>
      <c r="J1279">
        <v>21</v>
      </c>
      <c r="K1279">
        <v>12.55</v>
      </c>
      <c r="L1279">
        <v>2.0499999999999998</v>
      </c>
      <c r="M1279">
        <v>4.54</v>
      </c>
      <c r="N1279">
        <v>0.315</v>
      </c>
      <c r="O1279">
        <v>2.9969999999999999</v>
      </c>
      <c r="P1279">
        <v>1.4</v>
      </c>
      <c r="Q1279">
        <v>15</v>
      </c>
    </row>
    <row r="1280" spans="1:17" x14ac:dyDescent="0.25">
      <c r="A1280" s="1">
        <v>43049</v>
      </c>
      <c r="B1280">
        <v>10.199999999999999</v>
      </c>
      <c r="C1280">
        <v>191.23</v>
      </c>
      <c r="D1280">
        <v>3.3940000000000001</v>
      </c>
      <c r="E1280">
        <v>13.82</v>
      </c>
      <c r="F1280">
        <v>7.9480000000000004</v>
      </c>
      <c r="G1280">
        <v>2.56</v>
      </c>
      <c r="H1280" s="15">
        <v>2.371</v>
      </c>
      <c r="I1280">
        <v>33.201999999999998</v>
      </c>
      <c r="J1280">
        <v>21.15</v>
      </c>
      <c r="K1280">
        <v>12.55</v>
      </c>
      <c r="L1280">
        <v>2</v>
      </c>
      <c r="M1280">
        <v>4.5</v>
      </c>
      <c r="N1280">
        <v>0.315</v>
      </c>
      <c r="O1280">
        <v>2.9870000000000001</v>
      </c>
      <c r="P1280">
        <v>1.35</v>
      </c>
      <c r="Q1280">
        <v>15</v>
      </c>
    </row>
    <row r="1281" spans="1:17" x14ac:dyDescent="0.25">
      <c r="A1281" s="1">
        <v>43052</v>
      </c>
      <c r="B1281">
        <v>10.199999999999999</v>
      </c>
      <c r="C1281">
        <v>200.22</v>
      </c>
      <c r="D1281">
        <v>3.3780000000000001</v>
      </c>
      <c r="E1281">
        <v>13.77</v>
      </c>
      <c r="F1281">
        <v>7.9</v>
      </c>
      <c r="G1281">
        <v>2.54</v>
      </c>
      <c r="H1281" s="15">
        <v>2.2719999999999998</v>
      </c>
      <c r="I1281">
        <v>32.795999999999999</v>
      </c>
      <c r="J1281">
        <v>21.5</v>
      </c>
      <c r="K1281">
        <v>12.6</v>
      </c>
      <c r="L1281">
        <v>2</v>
      </c>
      <c r="M1281">
        <v>4.7</v>
      </c>
      <c r="N1281">
        <v>0.316</v>
      </c>
      <c r="O1281">
        <v>2.9870000000000001</v>
      </c>
      <c r="P1281">
        <v>1.3</v>
      </c>
      <c r="Q1281">
        <v>15</v>
      </c>
    </row>
    <row r="1282" spans="1:17" x14ac:dyDescent="0.25">
      <c r="A1282" s="1">
        <v>43053</v>
      </c>
      <c r="B1282">
        <v>10</v>
      </c>
      <c r="C1282">
        <v>203.2</v>
      </c>
      <c r="D1282">
        <v>3.3319999999999999</v>
      </c>
      <c r="E1282">
        <v>13.88</v>
      </c>
      <c r="F1282">
        <v>7.95</v>
      </c>
      <c r="G1282">
        <v>2.5</v>
      </c>
      <c r="H1282" s="15">
        <v>2.2719999999999998</v>
      </c>
      <c r="I1282">
        <v>32.494</v>
      </c>
      <c r="J1282">
        <v>21.2</v>
      </c>
      <c r="K1282" t="e">
        <v>#N/A</v>
      </c>
      <c r="L1282">
        <v>1.97</v>
      </c>
      <c r="M1282">
        <v>4.5999999999999996</v>
      </c>
      <c r="N1282">
        <v>0.31</v>
      </c>
      <c r="O1282">
        <v>2.9870000000000001</v>
      </c>
      <c r="P1282">
        <v>1.29</v>
      </c>
      <c r="Q1282">
        <v>14</v>
      </c>
    </row>
    <row r="1283" spans="1:17" x14ac:dyDescent="0.25">
      <c r="A1283" s="1">
        <v>43054</v>
      </c>
      <c r="B1283">
        <v>9.85</v>
      </c>
      <c r="C1283">
        <v>202.84</v>
      </c>
      <c r="D1283">
        <v>3.3010000000000002</v>
      </c>
      <c r="E1283">
        <v>13.65</v>
      </c>
      <c r="F1283">
        <v>7.9</v>
      </c>
      <c r="G1283">
        <v>2.4300000000000002</v>
      </c>
      <c r="H1283" s="15">
        <v>2.173</v>
      </c>
      <c r="I1283">
        <v>32.494</v>
      </c>
      <c r="J1283">
        <v>21.2</v>
      </c>
      <c r="K1283">
        <v>12.3</v>
      </c>
      <c r="L1283">
        <v>1.97</v>
      </c>
      <c r="M1283">
        <v>4.49</v>
      </c>
      <c r="N1283">
        <v>0.31</v>
      </c>
      <c r="O1283">
        <v>2.99</v>
      </c>
      <c r="P1283">
        <v>1.3</v>
      </c>
      <c r="Q1283">
        <v>15</v>
      </c>
    </row>
    <row r="1284" spans="1:17" x14ac:dyDescent="0.25">
      <c r="A1284" s="1">
        <v>43055</v>
      </c>
      <c r="B1284">
        <v>9.8000000000000007</v>
      </c>
      <c r="C1284">
        <v>203.6</v>
      </c>
      <c r="D1284">
        <v>3.3010000000000002</v>
      </c>
      <c r="E1284">
        <v>13.44</v>
      </c>
      <c r="F1284">
        <v>7.9</v>
      </c>
      <c r="G1284">
        <v>2.4700000000000002</v>
      </c>
      <c r="H1284" s="15">
        <v>2.153</v>
      </c>
      <c r="I1284">
        <v>32.795999999999999</v>
      </c>
      <c r="J1284">
        <v>21</v>
      </c>
      <c r="K1284">
        <v>12.05</v>
      </c>
      <c r="L1284">
        <v>1.95</v>
      </c>
      <c r="M1284">
        <v>4.47</v>
      </c>
      <c r="N1284">
        <v>0.31</v>
      </c>
      <c r="O1284">
        <v>2.99</v>
      </c>
      <c r="P1284">
        <v>1.32</v>
      </c>
      <c r="Q1284">
        <v>15</v>
      </c>
    </row>
    <row r="1285" spans="1:17" x14ac:dyDescent="0.25">
      <c r="A1285" s="1">
        <v>43056</v>
      </c>
      <c r="B1285">
        <v>9.9499999999999993</v>
      </c>
      <c r="C1285">
        <v>208.45</v>
      </c>
      <c r="D1285">
        <v>3.3010000000000002</v>
      </c>
      <c r="E1285">
        <v>13.55</v>
      </c>
      <c r="F1285">
        <v>7.9</v>
      </c>
      <c r="G1285">
        <v>2.5499999999999998</v>
      </c>
      <c r="H1285" s="15">
        <v>1.986</v>
      </c>
      <c r="I1285" t="e">
        <v>#N/A</v>
      </c>
      <c r="J1285">
        <v>21</v>
      </c>
      <c r="K1285">
        <v>12.06</v>
      </c>
      <c r="L1285">
        <v>1.9</v>
      </c>
      <c r="M1285">
        <v>4.38</v>
      </c>
      <c r="N1285">
        <v>0.30499999999999999</v>
      </c>
      <c r="O1285">
        <v>2.99</v>
      </c>
      <c r="P1285">
        <v>1.33</v>
      </c>
      <c r="Q1285">
        <v>14</v>
      </c>
    </row>
    <row r="1286" spans="1:17" x14ac:dyDescent="0.25">
      <c r="A1286" s="1">
        <v>43059</v>
      </c>
      <c r="B1286">
        <v>10.210000000000001</v>
      </c>
      <c r="C1286">
        <v>210</v>
      </c>
      <c r="D1286">
        <v>3.3010000000000002</v>
      </c>
      <c r="E1286">
        <v>13.87</v>
      </c>
      <c r="F1286">
        <v>8</v>
      </c>
      <c r="G1286">
        <v>2.57</v>
      </c>
      <c r="H1286" s="15">
        <v>2.0049999999999999</v>
      </c>
      <c r="I1286">
        <v>32.795999999999999</v>
      </c>
      <c r="J1286">
        <v>21</v>
      </c>
      <c r="K1286">
        <v>12.05</v>
      </c>
      <c r="L1286">
        <v>1.9</v>
      </c>
      <c r="M1286">
        <v>4.3499999999999996</v>
      </c>
      <c r="N1286">
        <v>0.29099999999999998</v>
      </c>
      <c r="O1286">
        <v>2.95</v>
      </c>
      <c r="P1286">
        <v>1.31</v>
      </c>
      <c r="Q1286">
        <v>15</v>
      </c>
    </row>
    <row r="1287" spans="1:17" x14ac:dyDescent="0.25">
      <c r="A1287" s="1">
        <v>43060</v>
      </c>
      <c r="B1287">
        <v>10.27</v>
      </c>
      <c r="C1287">
        <v>211.55</v>
      </c>
      <c r="D1287">
        <v>3.278</v>
      </c>
      <c r="E1287">
        <v>14.32</v>
      </c>
      <c r="F1287">
        <v>8.0500000000000007</v>
      </c>
      <c r="G1287">
        <v>2.6</v>
      </c>
      <c r="H1287" s="15">
        <v>2.0550000000000002</v>
      </c>
      <c r="I1287">
        <v>32.795999999999999</v>
      </c>
      <c r="J1287">
        <v>21.2</v>
      </c>
      <c r="K1287">
        <v>12.05</v>
      </c>
      <c r="L1287">
        <v>1.95</v>
      </c>
      <c r="M1287">
        <v>4.3499999999999996</v>
      </c>
      <c r="N1287">
        <v>0.30499999999999999</v>
      </c>
      <c r="O1287">
        <v>3</v>
      </c>
      <c r="P1287">
        <v>1.33</v>
      </c>
      <c r="Q1287">
        <v>15</v>
      </c>
    </row>
    <row r="1288" spans="1:17" x14ac:dyDescent="0.25">
      <c r="A1288" s="1">
        <v>43061</v>
      </c>
      <c r="B1288">
        <v>10.3</v>
      </c>
      <c r="C1288">
        <v>212.02</v>
      </c>
      <c r="D1288">
        <v>3.3170000000000002</v>
      </c>
      <c r="E1288">
        <v>14.3</v>
      </c>
      <c r="F1288">
        <v>8.15</v>
      </c>
      <c r="G1288">
        <v>2.66</v>
      </c>
      <c r="H1288" s="15">
        <v>2.0150000000000001</v>
      </c>
      <c r="I1288">
        <v>32.976999999999997</v>
      </c>
      <c r="J1288">
        <v>20.85</v>
      </c>
      <c r="K1288">
        <v>12.2</v>
      </c>
      <c r="L1288">
        <v>1.95</v>
      </c>
      <c r="M1288">
        <v>4.53</v>
      </c>
      <c r="N1288">
        <v>0.313</v>
      </c>
      <c r="O1288">
        <v>3</v>
      </c>
      <c r="P1288">
        <v>1.36</v>
      </c>
      <c r="Q1288">
        <v>15</v>
      </c>
    </row>
    <row r="1289" spans="1:17" x14ac:dyDescent="0.25">
      <c r="A1289" s="1">
        <v>43062</v>
      </c>
      <c r="B1289">
        <v>10.3</v>
      </c>
      <c r="C1289" t="e">
        <v>#N/A</v>
      </c>
      <c r="D1289">
        <v>3.3239999999999998</v>
      </c>
      <c r="E1289">
        <v>14.32</v>
      </c>
      <c r="F1289">
        <v>8.2200000000000006</v>
      </c>
      <c r="G1289">
        <v>2.65</v>
      </c>
      <c r="H1289" s="15">
        <v>2.0150000000000001</v>
      </c>
      <c r="I1289">
        <v>32.881999999999998</v>
      </c>
      <c r="J1289">
        <v>20.7</v>
      </c>
      <c r="K1289">
        <v>12.3</v>
      </c>
      <c r="L1289" t="e">
        <v>#N/A</v>
      </c>
      <c r="M1289">
        <v>4.55</v>
      </c>
      <c r="N1289">
        <v>0.32</v>
      </c>
      <c r="O1289">
        <v>3</v>
      </c>
      <c r="P1289">
        <v>1.37</v>
      </c>
      <c r="Q1289">
        <v>13</v>
      </c>
    </row>
    <row r="1290" spans="1:17" x14ac:dyDescent="0.25">
      <c r="A1290" s="1">
        <v>43063</v>
      </c>
      <c r="B1290">
        <v>9.9169999999999998</v>
      </c>
      <c r="C1290">
        <v>213.25</v>
      </c>
      <c r="D1290">
        <v>3.355</v>
      </c>
      <c r="E1290">
        <v>14.4</v>
      </c>
      <c r="F1290">
        <v>7.42</v>
      </c>
      <c r="G1290">
        <v>2.2789999999999999</v>
      </c>
      <c r="H1290" s="15">
        <v>1.976</v>
      </c>
      <c r="I1290">
        <v>32.890999999999998</v>
      </c>
      <c r="J1290">
        <v>20.385999999999999</v>
      </c>
      <c r="K1290">
        <v>10.722</v>
      </c>
      <c r="L1290">
        <v>1.913</v>
      </c>
      <c r="M1290">
        <v>4.0629999999999997</v>
      </c>
      <c r="N1290">
        <v>0.315</v>
      </c>
      <c r="O1290">
        <v>2.8769999999999998</v>
      </c>
      <c r="P1290">
        <v>1.357</v>
      </c>
      <c r="Q1290">
        <v>15</v>
      </c>
    </row>
    <row r="1291" spans="1:17" x14ac:dyDescent="0.25">
      <c r="A1291" s="1">
        <v>43066</v>
      </c>
      <c r="B1291">
        <v>9.7929999999999993</v>
      </c>
      <c r="C1291">
        <v>213.2</v>
      </c>
      <c r="D1291">
        <v>3.3940000000000001</v>
      </c>
      <c r="E1291">
        <v>14.25</v>
      </c>
      <c r="F1291">
        <v>7.4740000000000002</v>
      </c>
      <c r="G1291">
        <v>2.27</v>
      </c>
      <c r="H1291" s="15">
        <v>1.9359999999999999</v>
      </c>
      <c r="I1291">
        <v>33.012</v>
      </c>
      <c r="J1291">
        <v>19.997</v>
      </c>
      <c r="K1291">
        <v>10.712999999999999</v>
      </c>
      <c r="L1291">
        <v>1.865</v>
      </c>
      <c r="M1291">
        <v>3.9750000000000001</v>
      </c>
      <c r="N1291">
        <v>0.31</v>
      </c>
      <c r="O1291">
        <v>2.8769999999999998</v>
      </c>
      <c r="P1291">
        <v>1.3169999999999999</v>
      </c>
      <c r="Q1291">
        <v>15</v>
      </c>
    </row>
    <row r="1292" spans="1:17" x14ac:dyDescent="0.25">
      <c r="A1292" s="1">
        <v>43067</v>
      </c>
      <c r="B1292">
        <v>9.7550000000000008</v>
      </c>
      <c r="C1292">
        <v>214.1</v>
      </c>
      <c r="D1292">
        <v>3.3940000000000001</v>
      </c>
      <c r="E1292">
        <v>14.1</v>
      </c>
      <c r="F1292">
        <v>7.42</v>
      </c>
      <c r="G1292">
        <v>2.2789999999999999</v>
      </c>
      <c r="H1292" s="15">
        <v>1.976</v>
      </c>
      <c r="I1292">
        <v>33.012</v>
      </c>
      <c r="J1292">
        <v>19.997</v>
      </c>
      <c r="K1292">
        <v>10.808999999999999</v>
      </c>
      <c r="L1292" t="e">
        <v>#N/A</v>
      </c>
      <c r="M1292">
        <v>4.0190000000000001</v>
      </c>
      <c r="N1292">
        <v>0.30199999999999999</v>
      </c>
      <c r="O1292">
        <v>2.8769999999999998</v>
      </c>
      <c r="P1292">
        <v>1.3069999999999999</v>
      </c>
      <c r="Q1292">
        <v>14</v>
      </c>
    </row>
    <row r="1293" spans="1:17" x14ac:dyDescent="0.25">
      <c r="A1293" s="1">
        <v>43068</v>
      </c>
      <c r="B1293">
        <v>9.8699999999999992</v>
      </c>
      <c r="C1293">
        <v>213.75</v>
      </c>
      <c r="D1293">
        <v>3.3940000000000001</v>
      </c>
      <c r="E1293">
        <v>14.09</v>
      </c>
      <c r="F1293">
        <v>7.4649999999999999</v>
      </c>
      <c r="G1293">
        <v>2.262</v>
      </c>
      <c r="H1293" s="15">
        <v>1.976</v>
      </c>
      <c r="I1293">
        <v>32.71</v>
      </c>
      <c r="J1293">
        <v>20.143000000000001</v>
      </c>
      <c r="K1293">
        <v>10.722</v>
      </c>
      <c r="L1293">
        <v>1.8560000000000001</v>
      </c>
      <c r="M1293">
        <v>4.1059999999999999</v>
      </c>
      <c r="N1293">
        <v>0.3</v>
      </c>
      <c r="O1293">
        <v>2.8769999999999998</v>
      </c>
      <c r="P1293">
        <v>1.3169999999999999</v>
      </c>
      <c r="Q1293">
        <v>15</v>
      </c>
    </row>
    <row r="1294" spans="1:17" x14ac:dyDescent="0.25">
      <c r="A1294" s="1">
        <v>43069</v>
      </c>
      <c r="B1294">
        <v>9.8219999999999992</v>
      </c>
      <c r="C1294">
        <v>211</v>
      </c>
      <c r="D1294">
        <v>3.355</v>
      </c>
      <c r="E1294">
        <v>13.94</v>
      </c>
      <c r="F1294">
        <v>7.4560000000000004</v>
      </c>
      <c r="G1294">
        <v>2.2360000000000002</v>
      </c>
      <c r="H1294" s="15">
        <v>1.9259999999999999</v>
      </c>
      <c r="I1294">
        <v>32.71</v>
      </c>
      <c r="J1294">
        <v>20.239999999999998</v>
      </c>
      <c r="K1294">
        <v>10.678000000000001</v>
      </c>
      <c r="L1294">
        <v>1.8560000000000001</v>
      </c>
      <c r="M1294">
        <v>4.2370000000000001</v>
      </c>
      <c r="N1294">
        <v>0.31900000000000001</v>
      </c>
      <c r="O1294">
        <v>2.8769999999999998</v>
      </c>
      <c r="P1294">
        <v>1.3660000000000001</v>
      </c>
      <c r="Q1294">
        <v>15</v>
      </c>
    </row>
    <row r="1295" spans="1:17" x14ac:dyDescent="0.25">
      <c r="A1295" s="1">
        <v>43070</v>
      </c>
      <c r="B1295">
        <v>9.8309999999999995</v>
      </c>
      <c r="C1295">
        <v>210.98</v>
      </c>
      <c r="D1295">
        <v>3.3170000000000002</v>
      </c>
      <c r="E1295">
        <v>13.95</v>
      </c>
      <c r="F1295">
        <v>7.3310000000000004</v>
      </c>
      <c r="G1295">
        <v>2.27</v>
      </c>
      <c r="H1295" s="15">
        <v>1.758</v>
      </c>
      <c r="I1295">
        <v>33.140999999999998</v>
      </c>
      <c r="J1295">
        <v>19.997</v>
      </c>
      <c r="K1295">
        <v>10.747999999999999</v>
      </c>
      <c r="L1295">
        <v>1.8169999999999999</v>
      </c>
      <c r="M1295">
        <v>4.194</v>
      </c>
      <c r="N1295">
        <v>0.32</v>
      </c>
      <c r="O1295">
        <v>2.8769999999999998</v>
      </c>
      <c r="P1295">
        <v>1.3759999999999999</v>
      </c>
      <c r="Q1295">
        <v>15</v>
      </c>
    </row>
    <row r="1296" spans="1:17" x14ac:dyDescent="0.25">
      <c r="A1296" s="1">
        <v>43073</v>
      </c>
      <c r="B1296">
        <v>9.8219999999999992</v>
      </c>
      <c r="C1296">
        <v>209.25</v>
      </c>
      <c r="D1296">
        <v>3.3010000000000002</v>
      </c>
      <c r="E1296">
        <v>13.68</v>
      </c>
      <c r="F1296">
        <v>7.3040000000000003</v>
      </c>
      <c r="G1296">
        <v>2.2360000000000002</v>
      </c>
      <c r="H1296" s="15">
        <v>1.679</v>
      </c>
      <c r="I1296">
        <v>33.140999999999998</v>
      </c>
      <c r="J1296">
        <v>19.997</v>
      </c>
      <c r="K1296">
        <v>10.756</v>
      </c>
      <c r="L1296">
        <v>1.837</v>
      </c>
      <c r="M1296">
        <v>4.194</v>
      </c>
      <c r="N1296">
        <v>0.307</v>
      </c>
      <c r="O1296">
        <v>2.8679999999999999</v>
      </c>
      <c r="P1296">
        <v>1.357</v>
      </c>
      <c r="Q1296">
        <v>15</v>
      </c>
    </row>
    <row r="1297" spans="1:17" x14ac:dyDescent="0.25">
      <c r="A1297" s="1">
        <v>43074</v>
      </c>
      <c r="B1297">
        <v>9.7550000000000008</v>
      </c>
      <c r="C1297">
        <v>207</v>
      </c>
      <c r="D1297">
        <v>3.24</v>
      </c>
      <c r="E1297">
        <v>13.44</v>
      </c>
      <c r="F1297">
        <v>7.3220000000000001</v>
      </c>
      <c r="G1297">
        <v>2.21</v>
      </c>
      <c r="H1297" s="15">
        <v>1.877</v>
      </c>
      <c r="I1297">
        <v>33.167000000000002</v>
      </c>
      <c r="J1297">
        <v>19.997</v>
      </c>
      <c r="K1297">
        <v>11.07</v>
      </c>
      <c r="L1297">
        <v>1.837</v>
      </c>
      <c r="M1297">
        <v>3.9929999999999999</v>
      </c>
      <c r="N1297">
        <v>0.29699999999999999</v>
      </c>
      <c r="O1297">
        <v>2.8580000000000001</v>
      </c>
      <c r="P1297">
        <v>1.3069999999999999</v>
      </c>
      <c r="Q1297">
        <v>15</v>
      </c>
    </row>
    <row r="1298" spans="1:17" x14ac:dyDescent="0.25">
      <c r="A1298" s="1">
        <v>43075</v>
      </c>
      <c r="B1298">
        <v>9.7829999999999995</v>
      </c>
      <c r="C1298">
        <v>205.7</v>
      </c>
      <c r="D1298">
        <v>3.1779999999999999</v>
      </c>
      <c r="E1298">
        <v>13.26</v>
      </c>
      <c r="F1298">
        <v>7.2409999999999997</v>
      </c>
      <c r="G1298">
        <v>2.133</v>
      </c>
      <c r="H1298" s="15">
        <v>1.837</v>
      </c>
      <c r="I1298">
        <v>32.640999999999998</v>
      </c>
      <c r="J1298">
        <v>19.997</v>
      </c>
      <c r="K1298">
        <v>10.704000000000001</v>
      </c>
      <c r="L1298">
        <v>1.7310000000000001</v>
      </c>
      <c r="M1298">
        <v>3.9929999999999999</v>
      </c>
      <c r="N1298">
        <v>0.28699999999999998</v>
      </c>
      <c r="O1298">
        <v>2.8479999999999999</v>
      </c>
      <c r="P1298">
        <v>1.268</v>
      </c>
      <c r="Q1298">
        <v>15</v>
      </c>
    </row>
    <row r="1299" spans="1:17" x14ac:dyDescent="0.25">
      <c r="A1299" s="1">
        <v>43076</v>
      </c>
      <c r="B1299">
        <v>9.7929999999999993</v>
      </c>
      <c r="C1299">
        <v>206.08</v>
      </c>
      <c r="D1299">
        <v>3.093</v>
      </c>
      <c r="E1299">
        <v>13.17</v>
      </c>
      <c r="F1299">
        <v>7.1970000000000001</v>
      </c>
      <c r="G1299">
        <v>2.15</v>
      </c>
      <c r="H1299" s="15">
        <v>1.9359999999999999</v>
      </c>
      <c r="I1299">
        <v>32.277999999999999</v>
      </c>
      <c r="J1299">
        <v>19.899999999999999</v>
      </c>
      <c r="K1299">
        <v>10.504</v>
      </c>
      <c r="L1299">
        <v>1.655</v>
      </c>
      <c r="M1299">
        <v>3.9929999999999999</v>
      </c>
      <c r="N1299">
        <v>0.28799999999999998</v>
      </c>
      <c r="O1299">
        <v>2.7909999999999999</v>
      </c>
      <c r="P1299">
        <v>1.3069999999999999</v>
      </c>
      <c r="Q1299">
        <v>15</v>
      </c>
    </row>
    <row r="1300" spans="1:17" x14ac:dyDescent="0.25">
      <c r="A1300" s="1">
        <v>43080</v>
      </c>
      <c r="B1300">
        <v>9.9849999999999994</v>
      </c>
      <c r="C1300">
        <v>207.49</v>
      </c>
      <c r="D1300">
        <v>3.1240000000000001</v>
      </c>
      <c r="E1300">
        <v>12.8</v>
      </c>
      <c r="F1300">
        <v>7.125</v>
      </c>
      <c r="G1300">
        <v>2.15</v>
      </c>
      <c r="H1300" s="15">
        <v>1.966</v>
      </c>
      <c r="I1300">
        <v>32.14</v>
      </c>
      <c r="J1300">
        <v>19.899999999999999</v>
      </c>
      <c r="K1300">
        <v>10.46</v>
      </c>
      <c r="L1300">
        <v>1.6359999999999999</v>
      </c>
      <c r="M1300">
        <v>3.8530000000000002</v>
      </c>
      <c r="N1300">
        <v>0.28999999999999998</v>
      </c>
      <c r="O1300">
        <v>2.839</v>
      </c>
      <c r="P1300">
        <v>1.3069999999999999</v>
      </c>
      <c r="Q1300">
        <v>15</v>
      </c>
    </row>
    <row r="1301" spans="1:17" x14ac:dyDescent="0.25">
      <c r="A1301" s="1">
        <v>43081</v>
      </c>
      <c r="B1301">
        <v>10.109</v>
      </c>
      <c r="C1301">
        <v>210.49</v>
      </c>
      <c r="D1301">
        <v>3.1240000000000001</v>
      </c>
      <c r="E1301">
        <v>13.05</v>
      </c>
      <c r="F1301">
        <v>7.3220000000000001</v>
      </c>
      <c r="G1301">
        <v>2.141</v>
      </c>
      <c r="H1301" s="15">
        <v>1.946</v>
      </c>
      <c r="I1301">
        <v>32.104999999999997</v>
      </c>
      <c r="J1301">
        <v>19.706</v>
      </c>
      <c r="K1301">
        <v>10.372999999999999</v>
      </c>
      <c r="L1301">
        <v>1.6359999999999999</v>
      </c>
      <c r="M1301">
        <v>3.8620000000000001</v>
      </c>
      <c r="N1301">
        <v>0.28999999999999998</v>
      </c>
      <c r="O1301">
        <v>2.82</v>
      </c>
      <c r="P1301">
        <v>1.288</v>
      </c>
      <c r="Q1301">
        <v>15</v>
      </c>
    </row>
    <row r="1302" spans="1:17" x14ac:dyDescent="0.25">
      <c r="A1302" s="1">
        <v>43082</v>
      </c>
      <c r="B1302">
        <v>10.195</v>
      </c>
      <c r="C1302">
        <v>207.95</v>
      </c>
      <c r="D1302">
        <v>3.085</v>
      </c>
      <c r="E1302">
        <v>13.21</v>
      </c>
      <c r="F1302">
        <v>7.1340000000000003</v>
      </c>
      <c r="G1302">
        <v>2.0979999999999999</v>
      </c>
      <c r="H1302" s="15">
        <v>1.9259999999999999</v>
      </c>
      <c r="I1302">
        <v>31.673999999999999</v>
      </c>
      <c r="J1302">
        <v>19.706</v>
      </c>
      <c r="K1302">
        <v>10.372999999999999</v>
      </c>
      <c r="L1302">
        <v>1.55</v>
      </c>
      <c r="M1302">
        <v>3.8</v>
      </c>
      <c r="N1302">
        <v>0.28999999999999998</v>
      </c>
      <c r="O1302">
        <v>2.7330000000000001</v>
      </c>
      <c r="P1302">
        <v>1.278</v>
      </c>
      <c r="Q1302">
        <v>15</v>
      </c>
    </row>
    <row r="1303" spans="1:17" x14ac:dyDescent="0.25">
      <c r="A1303" s="1">
        <v>43083</v>
      </c>
      <c r="B1303">
        <v>9.5340000000000007</v>
      </c>
      <c r="C1303">
        <v>196.5</v>
      </c>
      <c r="D1303">
        <v>3.008</v>
      </c>
      <c r="E1303">
        <v>12.92</v>
      </c>
      <c r="F1303">
        <v>6.9909999999999997</v>
      </c>
      <c r="G1303">
        <v>1.9950000000000001</v>
      </c>
      <c r="H1303" s="15">
        <v>1.837</v>
      </c>
      <c r="I1303">
        <v>31.061</v>
      </c>
      <c r="J1303">
        <v>19.123999999999999</v>
      </c>
      <c r="K1303">
        <v>10.198</v>
      </c>
      <c r="L1303">
        <v>1.5109999999999999</v>
      </c>
      <c r="M1303">
        <v>3.669</v>
      </c>
      <c r="N1303">
        <v>0.28000000000000003</v>
      </c>
      <c r="O1303">
        <v>2.6850000000000001</v>
      </c>
      <c r="P1303">
        <v>1.1990000000000001</v>
      </c>
      <c r="Q1303">
        <v>15</v>
      </c>
    </row>
    <row r="1304" spans="1:17" x14ac:dyDescent="0.25">
      <c r="A1304" s="1">
        <v>43084</v>
      </c>
      <c r="B1304">
        <v>9.4960000000000004</v>
      </c>
      <c r="C1304">
        <v>193.87</v>
      </c>
      <c r="D1304">
        <v>3.008</v>
      </c>
      <c r="E1304">
        <v>12.82</v>
      </c>
      <c r="F1304">
        <v>6.9279999999999999</v>
      </c>
      <c r="G1304">
        <v>1.952</v>
      </c>
      <c r="H1304" s="15">
        <v>1.778</v>
      </c>
      <c r="I1304">
        <v>30.198</v>
      </c>
      <c r="J1304">
        <v>18.783999999999999</v>
      </c>
      <c r="K1304">
        <v>10.111000000000001</v>
      </c>
      <c r="L1304">
        <v>1.4830000000000001</v>
      </c>
      <c r="M1304">
        <v>3.5470000000000002</v>
      </c>
      <c r="N1304">
        <v>0.26600000000000001</v>
      </c>
      <c r="O1304">
        <v>2.6850000000000001</v>
      </c>
      <c r="P1304">
        <v>1.17</v>
      </c>
      <c r="Q1304">
        <v>15</v>
      </c>
    </row>
    <row r="1305" spans="1:17" x14ac:dyDescent="0.25">
      <c r="A1305" s="1">
        <v>43087</v>
      </c>
      <c r="B1305">
        <v>9.6489999999999991</v>
      </c>
      <c r="C1305">
        <v>201.45</v>
      </c>
      <c r="D1305">
        <v>3.008</v>
      </c>
      <c r="E1305">
        <v>13.08</v>
      </c>
      <c r="F1305">
        <v>6.9279999999999999</v>
      </c>
      <c r="G1305">
        <v>2.012</v>
      </c>
      <c r="H1305" s="15">
        <v>1.867</v>
      </c>
      <c r="I1305">
        <v>30.129000000000001</v>
      </c>
      <c r="J1305">
        <v>18.765000000000001</v>
      </c>
      <c r="K1305">
        <v>10.023999999999999</v>
      </c>
      <c r="L1305">
        <v>1.5880000000000001</v>
      </c>
      <c r="M1305">
        <v>3.722</v>
      </c>
      <c r="N1305">
        <v>0.27900000000000003</v>
      </c>
      <c r="O1305">
        <v>2.81</v>
      </c>
      <c r="P1305">
        <v>1.2090000000000001</v>
      </c>
      <c r="Q1305">
        <v>15</v>
      </c>
    </row>
    <row r="1306" spans="1:17" x14ac:dyDescent="0.25">
      <c r="A1306" s="1">
        <v>43088</v>
      </c>
      <c r="B1306">
        <v>9.8699999999999992</v>
      </c>
      <c r="C1306">
        <v>204.56</v>
      </c>
      <c r="D1306">
        <v>3.0470000000000002</v>
      </c>
      <c r="E1306">
        <v>13.19</v>
      </c>
      <c r="F1306">
        <v>6.9729999999999999</v>
      </c>
      <c r="G1306">
        <v>1.978</v>
      </c>
      <c r="H1306" s="15">
        <v>1.798</v>
      </c>
      <c r="I1306">
        <v>30.215</v>
      </c>
      <c r="J1306">
        <v>18.579999999999998</v>
      </c>
      <c r="K1306">
        <v>10.068</v>
      </c>
      <c r="L1306">
        <v>1.55</v>
      </c>
      <c r="M1306">
        <v>3.5379999999999998</v>
      </c>
      <c r="N1306">
        <v>0.26600000000000001</v>
      </c>
      <c r="O1306">
        <v>2.8</v>
      </c>
      <c r="P1306">
        <v>1.1890000000000001</v>
      </c>
      <c r="Q1306">
        <v>15</v>
      </c>
    </row>
    <row r="1307" spans="1:17" x14ac:dyDescent="0.25">
      <c r="A1307" s="1">
        <v>43089</v>
      </c>
      <c r="B1307">
        <v>9.8699999999999992</v>
      </c>
      <c r="C1307">
        <v>205.06</v>
      </c>
      <c r="D1307">
        <v>3.085</v>
      </c>
      <c r="E1307">
        <v>13.6</v>
      </c>
      <c r="F1307">
        <v>7.0090000000000003</v>
      </c>
      <c r="G1307">
        <v>2.0379999999999998</v>
      </c>
      <c r="H1307" s="15">
        <v>1.8080000000000001</v>
      </c>
      <c r="I1307">
        <v>30.853999999999999</v>
      </c>
      <c r="J1307">
        <v>18.492999999999999</v>
      </c>
      <c r="K1307">
        <v>10.183</v>
      </c>
      <c r="L1307" t="e">
        <v>#N/A</v>
      </c>
      <c r="M1307">
        <v>3.6259999999999999</v>
      </c>
      <c r="N1307">
        <v>0.27500000000000002</v>
      </c>
      <c r="O1307">
        <v>2.7810000000000001</v>
      </c>
      <c r="P1307">
        <v>1.2090000000000001</v>
      </c>
      <c r="Q1307">
        <v>14</v>
      </c>
    </row>
    <row r="1308" spans="1:17" x14ac:dyDescent="0.25">
      <c r="A1308" s="1">
        <v>43090</v>
      </c>
      <c r="B1308">
        <v>9.8699999999999992</v>
      </c>
      <c r="C1308">
        <v>200.3</v>
      </c>
      <c r="D1308">
        <v>3.085</v>
      </c>
      <c r="E1308">
        <v>13.71</v>
      </c>
      <c r="F1308">
        <v>6.9550000000000001</v>
      </c>
      <c r="G1308">
        <v>2.1070000000000002</v>
      </c>
      <c r="H1308" s="15">
        <v>1.778</v>
      </c>
      <c r="I1308">
        <v>31.242000000000001</v>
      </c>
      <c r="J1308">
        <v>18.734999999999999</v>
      </c>
      <c r="K1308">
        <v>10.307</v>
      </c>
      <c r="L1308">
        <v>1.55</v>
      </c>
      <c r="M1308">
        <v>3.722</v>
      </c>
      <c r="N1308">
        <v>0.28199999999999997</v>
      </c>
      <c r="O1308">
        <v>2.7719999999999998</v>
      </c>
      <c r="P1308">
        <v>1.248</v>
      </c>
      <c r="Q1308">
        <v>15</v>
      </c>
    </row>
    <row r="1309" spans="1:17" x14ac:dyDescent="0.25">
      <c r="A1309" s="1">
        <v>43091</v>
      </c>
      <c r="B1309">
        <v>10.157</v>
      </c>
      <c r="C1309">
        <v>207.5</v>
      </c>
      <c r="D1309">
        <v>3.2010000000000001</v>
      </c>
      <c r="E1309">
        <v>13.7</v>
      </c>
      <c r="F1309">
        <v>7.2320000000000002</v>
      </c>
      <c r="G1309">
        <v>2.1760000000000002</v>
      </c>
      <c r="H1309" s="15">
        <v>1.887</v>
      </c>
      <c r="I1309">
        <v>32.104999999999997</v>
      </c>
      <c r="J1309">
        <v>19.512</v>
      </c>
      <c r="K1309">
        <v>10.528</v>
      </c>
      <c r="L1309">
        <v>1.712</v>
      </c>
      <c r="M1309">
        <v>4.0190000000000001</v>
      </c>
      <c r="N1309">
        <v>0.3</v>
      </c>
      <c r="O1309">
        <v>2.8290000000000002</v>
      </c>
      <c r="P1309">
        <v>1.3169999999999999</v>
      </c>
      <c r="Q1309">
        <v>15</v>
      </c>
    </row>
    <row r="1310" spans="1:17" x14ac:dyDescent="0.25">
      <c r="A1310" s="1">
        <v>43095</v>
      </c>
      <c r="B1310">
        <v>10.147</v>
      </c>
      <c r="C1310">
        <v>206.39</v>
      </c>
      <c r="D1310">
        <v>3.2010000000000001</v>
      </c>
      <c r="E1310">
        <v>14</v>
      </c>
      <c r="F1310">
        <v>7.0720000000000001</v>
      </c>
      <c r="G1310">
        <v>2.141</v>
      </c>
      <c r="H1310" s="15">
        <v>1.778</v>
      </c>
      <c r="I1310">
        <v>32.192</v>
      </c>
      <c r="J1310">
        <v>19.512</v>
      </c>
      <c r="K1310">
        <v>10.528</v>
      </c>
      <c r="L1310">
        <v>1.6259999999999999</v>
      </c>
      <c r="M1310">
        <v>4.0190000000000001</v>
      </c>
      <c r="N1310">
        <v>0.29899999999999999</v>
      </c>
      <c r="O1310">
        <v>2.8290000000000002</v>
      </c>
      <c r="P1310">
        <v>1.258</v>
      </c>
      <c r="Q1310">
        <v>15</v>
      </c>
    </row>
    <row r="1311" spans="1:17" x14ac:dyDescent="0.25">
      <c r="A1311" s="1">
        <v>43096</v>
      </c>
      <c r="B1311">
        <v>10.09</v>
      </c>
      <c r="C1311">
        <v>206.3</v>
      </c>
      <c r="D1311" t="e">
        <v>#N/A</v>
      </c>
      <c r="E1311">
        <v>13.98</v>
      </c>
      <c r="F1311">
        <v>7.0720000000000001</v>
      </c>
      <c r="G1311">
        <v>2.15</v>
      </c>
      <c r="H1311" s="15">
        <v>1.827</v>
      </c>
      <c r="I1311">
        <v>32.363999999999997</v>
      </c>
      <c r="J1311">
        <v>19.899999999999999</v>
      </c>
      <c r="K1311">
        <v>10.528</v>
      </c>
      <c r="L1311">
        <v>1.6259999999999999</v>
      </c>
      <c r="M1311">
        <v>4.0190000000000001</v>
      </c>
      <c r="N1311">
        <v>0.28999999999999998</v>
      </c>
      <c r="O1311" t="e">
        <v>#N/A</v>
      </c>
      <c r="P1311">
        <v>1.258</v>
      </c>
      <c r="Q1311">
        <v>13</v>
      </c>
    </row>
    <row r="1312" spans="1:17" x14ac:dyDescent="0.25">
      <c r="A1312" s="1">
        <v>43097</v>
      </c>
      <c r="B1312">
        <v>10.061</v>
      </c>
      <c r="C1312">
        <v>206.9</v>
      </c>
      <c r="D1312">
        <v>3.2010000000000001</v>
      </c>
      <c r="E1312">
        <v>14.07</v>
      </c>
      <c r="F1312">
        <v>7.1970000000000001</v>
      </c>
      <c r="G1312">
        <v>2.1930000000000001</v>
      </c>
      <c r="H1312" s="15">
        <v>1.778</v>
      </c>
      <c r="I1312">
        <v>33.226999999999997</v>
      </c>
      <c r="J1312">
        <v>20.385999999999999</v>
      </c>
      <c r="K1312">
        <v>10.616</v>
      </c>
      <c r="L1312">
        <v>1.7030000000000001</v>
      </c>
      <c r="M1312">
        <v>4.0190000000000001</v>
      </c>
      <c r="N1312">
        <v>0.31</v>
      </c>
      <c r="O1312">
        <v>2.8580000000000001</v>
      </c>
      <c r="P1312">
        <v>1.278</v>
      </c>
      <c r="Q1312">
        <v>15</v>
      </c>
    </row>
    <row r="1313" spans="1:17" x14ac:dyDescent="0.25">
      <c r="A1313" s="1">
        <v>43098</v>
      </c>
      <c r="B1313">
        <v>10.157</v>
      </c>
      <c r="C1313">
        <v>208</v>
      </c>
      <c r="D1313" t="e">
        <v>#N/A</v>
      </c>
      <c r="E1313">
        <v>14.12</v>
      </c>
      <c r="F1313">
        <v>7.2859999999999996</v>
      </c>
      <c r="G1313">
        <v>2.1930000000000001</v>
      </c>
      <c r="H1313" s="15">
        <v>1.847</v>
      </c>
      <c r="I1313" t="e">
        <v>#N/A</v>
      </c>
      <c r="J1313">
        <v>20.385999999999999</v>
      </c>
      <c r="K1313">
        <v>10.661</v>
      </c>
      <c r="L1313">
        <v>1.722</v>
      </c>
      <c r="M1313">
        <v>4.0190000000000001</v>
      </c>
      <c r="N1313">
        <v>0.31</v>
      </c>
      <c r="O1313">
        <v>2.8769999999999998</v>
      </c>
      <c r="P1313">
        <v>1.298</v>
      </c>
      <c r="Q1313">
        <v>13</v>
      </c>
    </row>
    <row r="1314" spans="1:17" x14ac:dyDescent="0.25">
      <c r="A1314" s="1">
        <v>43102</v>
      </c>
      <c r="B1314">
        <v>10.301</v>
      </c>
      <c r="C1314">
        <v>213.05</v>
      </c>
      <c r="D1314">
        <v>3.278</v>
      </c>
      <c r="E1314">
        <v>14.5</v>
      </c>
      <c r="F1314">
        <v>7.1970000000000001</v>
      </c>
      <c r="G1314">
        <v>2.2360000000000002</v>
      </c>
      <c r="H1314" s="15">
        <v>1.847</v>
      </c>
      <c r="I1314">
        <v>33.097999999999999</v>
      </c>
      <c r="J1314">
        <v>20.385999999999999</v>
      </c>
      <c r="K1314">
        <v>10.616</v>
      </c>
      <c r="L1314">
        <v>1.7410000000000001</v>
      </c>
      <c r="M1314">
        <v>4.1059999999999999</v>
      </c>
      <c r="N1314">
        <v>0.32</v>
      </c>
      <c r="O1314">
        <v>2.8769999999999998</v>
      </c>
      <c r="P1314">
        <v>1.337</v>
      </c>
      <c r="Q1314">
        <v>15</v>
      </c>
    </row>
    <row r="1315" spans="1:17" x14ac:dyDescent="0.25">
      <c r="A1315" s="1">
        <v>43103</v>
      </c>
      <c r="B1315">
        <v>10.253</v>
      </c>
      <c r="C1315">
        <v>218</v>
      </c>
      <c r="D1315">
        <v>3.286</v>
      </c>
      <c r="E1315">
        <v>14.6</v>
      </c>
      <c r="F1315">
        <v>7.2409999999999997</v>
      </c>
      <c r="G1315">
        <v>2.2269999999999999</v>
      </c>
      <c r="H1315" s="15">
        <v>1.827</v>
      </c>
      <c r="I1315">
        <v>33.115000000000002</v>
      </c>
      <c r="J1315">
        <v>20.289000000000001</v>
      </c>
      <c r="K1315">
        <v>10.705</v>
      </c>
      <c r="L1315">
        <v>1.798</v>
      </c>
      <c r="M1315">
        <v>4.1059999999999999</v>
      </c>
      <c r="N1315">
        <v>0.32200000000000001</v>
      </c>
      <c r="O1315">
        <v>2.8479999999999999</v>
      </c>
      <c r="P1315">
        <v>1.327</v>
      </c>
      <c r="Q1315">
        <v>15</v>
      </c>
    </row>
    <row r="1316" spans="1:17" x14ac:dyDescent="0.25">
      <c r="A1316" s="1">
        <v>43104</v>
      </c>
      <c r="B1316">
        <v>10.396000000000001</v>
      </c>
      <c r="C1316">
        <v>219.5</v>
      </c>
      <c r="D1316">
        <v>3.3239999999999998</v>
      </c>
      <c r="E1316">
        <v>15</v>
      </c>
      <c r="F1316">
        <v>7.1970000000000001</v>
      </c>
      <c r="G1316">
        <v>2.2269999999999999</v>
      </c>
      <c r="H1316" s="15" t="e">
        <v>#N/A</v>
      </c>
      <c r="I1316">
        <v>33.658999999999999</v>
      </c>
      <c r="J1316">
        <v>20.289000000000001</v>
      </c>
      <c r="K1316">
        <v>10.625</v>
      </c>
      <c r="L1316">
        <v>1.837</v>
      </c>
      <c r="M1316">
        <v>4.194</v>
      </c>
      <c r="N1316">
        <v>0.34300000000000003</v>
      </c>
      <c r="O1316">
        <v>2.8</v>
      </c>
      <c r="P1316">
        <v>1.347</v>
      </c>
      <c r="Q1316">
        <v>14</v>
      </c>
    </row>
    <row r="1317" spans="1:17" x14ac:dyDescent="0.25">
      <c r="A1317" s="1">
        <v>43105</v>
      </c>
      <c r="B1317">
        <v>10.683999999999999</v>
      </c>
      <c r="C1317">
        <v>223</v>
      </c>
      <c r="D1317">
        <v>3.3780000000000001</v>
      </c>
      <c r="E1317">
        <v>14.87</v>
      </c>
      <c r="F1317">
        <v>7.2409999999999997</v>
      </c>
      <c r="G1317">
        <v>2.2269999999999999</v>
      </c>
      <c r="H1317" s="15">
        <v>1.827</v>
      </c>
      <c r="I1317">
        <v>33.658999999999999</v>
      </c>
      <c r="J1317">
        <v>20.192</v>
      </c>
      <c r="K1317">
        <v>10.643000000000001</v>
      </c>
      <c r="L1317">
        <v>1.865</v>
      </c>
      <c r="M1317">
        <v>4.2460000000000004</v>
      </c>
      <c r="N1317">
        <v>0.34</v>
      </c>
      <c r="O1317">
        <v>2.82</v>
      </c>
      <c r="P1317">
        <v>1.337</v>
      </c>
      <c r="Q1317">
        <v>15</v>
      </c>
    </row>
    <row r="1318" spans="1:17" x14ac:dyDescent="0.25">
      <c r="A1318" s="1">
        <v>43108</v>
      </c>
      <c r="B1318">
        <v>10.731999999999999</v>
      </c>
      <c r="C1318">
        <v>220.3</v>
      </c>
      <c r="D1318">
        <v>3.355</v>
      </c>
      <c r="E1318">
        <v>14.31</v>
      </c>
      <c r="F1318">
        <v>7.1970000000000001</v>
      </c>
      <c r="G1318">
        <v>2.2189999999999999</v>
      </c>
      <c r="H1318" s="15">
        <v>1.837</v>
      </c>
      <c r="I1318">
        <v>34.090000000000003</v>
      </c>
      <c r="J1318">
        <v>20.385999999999999</v>
      </c>
      <c r="K1318">
        <v>10.705</v>
      </c>
      <c r="L1318">
        <v>1.875</v>
      </c>
      <c r="M1318">
        <v>4.2460000000000004</v>
      </c>
      <c r="N1318">
        <v>0.34499999999999997</v>
      </c>
      <c r="O1318">
        <v>2.82</v>
      </c>
      <c r="P1318">
        <v>1.3660000000000001</v>
      </c>
      <c r="Q1318">
        <v>15</v>
      </c>
    </row>
    <row r="1319" spans="1:17" x14ac:dyDescent="0.25">
      <c r="A1319" s="1">
        <v>43109</v>
      </c>
      <c r="B1319">
        <v>10.78</v>
      </c>
      <c r="C1319">
        <v>219.8</v>
      </c>
      <c r="D1319">
        <v>3.355</v>
      </c>
      <c r="E1319">
        <v>14.21</v>
      </c>
      <c r="F1319">
        <v>7.25</v>
      </c>
      <c r="G1319">
        <v>2.2269999999999999</v>
      </c>
      <c r="H1319" s="15">
        <v>1.857</v>
      </c>
      <c r="I1319">
        <v>34.262999999999998</v>
      </c>
      <c r="J1319">
        <v>20.221</v>
      </c>
      <c r="K1319">
        <v>10.616</v>
      </c>
      <c r="L1319">
        <v>1.875</v>
      </c>
      <c r="M1319">
        <v>4.2370000000000001</v>
      </c>
      <c r="N1319">
        <v>0.35699999999999998</v>
      </c>
      <c r="O1319">
        <v>2.7810000000000001</v>
      </c>
      <c r="P1319">
        <v>1.3959999999999999</v>
      </c>
      <c r="Q1319">
        <v>15</v>
      </c>
    </row>
    <row r="1320" spans="1:17" x14ac:dyDescent="0.25">
      <c r="A1320" s="1">
        <v>43110</v>
      </c>
      <c r="B1320">
        <v>10.731999999999999</v>
      </c>
      <c r="C1320">
        <v>219.1</v>
      </c>
      <c r="D1320">
        <v>3.363</v>
      </c>
      <c r="E1320">
        <v>14.2</v>
      </c>
      <c r="F1320">
        <v>7.25</v>
      </c>
      <c r="G1320">
        <v>2.2189999999999999</v>
      </c>
      <c r="H1320" s="15">
        <v>1.887</v>
      </c>
      <c r="I1320">
        <v>34.521999999999998</v>
      </c>
      <c r="J1320">
        <v>20.221</v>
      </c>
      <c r="K1320">
        <v>10.616</v>
      </c>
      <c r="L1320">
        <v>1.8939999999999999</v>
      </c>
      <c r="M1320">
        <v>4.3680000000000003</v>
      </c>
      <c r="N1320">
        <v>0.36399999999999999</v>
      </c>
      <c r="O1320">
        <v>2.81</v>
      </c>
      <c r="P1320">
        <v>1.3859999999999999</v>
      </c>
      <c r="Q1320">
        <v>15</v>
      </c>
    </row>
    <row r="1321" spans="1:17" x14ac:dyDescent="0.25">
      <c r="A1321" s="1">
        <v>43111</v>
      </c>
      <c r="B1321">
        <v>10.683999999999999</v>
      </c>
      <c r="C1321">
        <v>219.6</v>
      </c>
      <c r="D1321">
        <v>3.3860000000000001</v>
      </c>
      <c r="E1321">
        <v>14.26</v>
      </c>
      <c r="F1321">
        <v>7.2859999999999996</v>
      </c>
      <c r="G1321">
        <v>2.2269999999999999</v>
      </c>
      <c r="H1321" s="15">
        <v>1.9259999999999999</v>
      </c>
      <c r="I1321">
        <v>34.512999999999998</v>
      </c>
      <c r="J1321">
        <v>20.385999999999999</v>
      </c>
      <c r="K1321">
        <v>10.661</v>
      </c>
      <c r="L1321">
        <v>1.8939999999999999</v>
      </c>
      <c r="M1321">
        <v>4.3949999999999996</v>
      </c>
      <c r="N1321">
        <v>0.34799999999999998</v>
      </c>
      <c r="O1321">
        <v>2.8769999999999998</v>
      </c>
      <c r="P1321">
        <v>1.3759999999999999</v>
      </c>
      <c r="Q1321">
        <v>15</v>
      </c>
    </row>
    <row r="1322" spans="1:17" x14ac:dyDescent="0.25">
      <c r="A1322" s="1">
        <v>43112</v>
      </c>
      <c r="B1322">
        <v>10.827999999999999</v>
      </c>
      <c r="C1322">
        <v>222.8</v>
      </c>
      <c r="D1322">
        <v>3.3860000000000001</v>
      </c>
      <c r="E1322">
        <v>14.62</v>
      </c>
      <c r="F1322">
        <v>7.375</v>
      </c>
      <c r="G1322">
        <v>2.2189999999999999</v>
      </c>
      <c r="H1322" s="15">
        <v>1.966</v>
      </c>
      <c r="I1322">
        <v>34.695</v>
      </c>
      <c r="J1322">
        <v>20.239999999999998</v>
      </c>
      <c r="K1322">
        <v>10.661</v>
      </c>
      <c r="L1322">
        <v>1.913</v>
      </c>
      <c r="M1322">
        <v>4.4290000000000003</v>
      </c>
      <c r="N1322">
        <v>0.36</v>
      </c>
      <c r="O1322">
        <v>2.8769999999999998</v>
      </c>
      <c r="P1322">
        <v>1.3859999999999999</v>
      </c>
      <c r="Q1322">
        <v>15</v>
      </c>
    </row>
    <row r="1323" spans="1:17" x14ac:dyDescent="0.25">
      <c r="A1323" s="1">
        <v>43115</v>
      </c>
      <c r="B1323">
        <v>10.827999999999999</v>
      </c>
      <c r="C1323">
        <v>222.3</v>
      </c>
      <c r="D1323">
        <v>3.3239999999999998</v>
      </c>
      <c r="E1323">
        <v>14.7</v>
      </c>
      <c r="F1323">
        <v>7.4290000000000003</v>
      </c>
      <c r="G1323">
        <v>2.2269999999999999</v>
      </c>
      <c r="H1323" s="15">
        <v>1.966</v>
      </c>
      <c r="I1323">
        <v>34.695</v>
      </c>
      <c r="J1323">
        <v>20.192</v>
      </c>
      <c r="K1323" t="e">
        <v>#N/A</v>
      </c>
      <c r="L1323">
        <v>1.913</v>
      </c>
      <c r="M1323">
        <v>4.4640000000000004</v>
      </c>
      <c r="N1323">
        <v>0.35499999999999998</v>
      </c>
      <c r="O1323">
        <v>2.8769999999999998</v>
      </c>
      <c r="P1323">
        <v>1.3959999999999999</v>
      </c>
      <c r="Q1323">
        <v>14</v>
      </c>
    </row>
    <row r="1324" spans="1:17" x14ac:dyDescent="0.25">
      <c r="A1324" s="1">
        <v>43116</v>
      </c>
      <c r="B1324">
        <v>11.259</v>
      </c>
      <c r="C1324">
        <v>223.7</v>
      </c>
      <c r="D1324">
        <v>3.3780000000000001</v>
      </c>
      <c r="E1324">
        <v>14.83</v>
      </c>
      <c r="F1324">
        <v>7.4649999999999999</v>
      </c>
      <c r="G1324">
        <v>2.2360000000000002</v>
      </c>
      <c r="H1324" s="15">
        <v>1.976</v>
      </c>
      <c r="I1324">
        <v>34.686</v>
      </c>
      <c r="J1324" t="e">
        <v>#N/A</v>
      </c>
      <c r="K1324">
        <v>10.571999999999999</v>
      </c>
      <c r="L1324">
        <v>1.913</v>
      </c>
      <c r="M1324">
        <v>4.4989999999999997</v>
      </c>
      <c r="N1324">
        <v>0.35499999999999998</v>
      </c>
      <c r="O1324" t="e">
        <v>#N/A</v>
      </c>
      <c r="P1324">
        <v>1.3759999999999999</v>
      </c>
      <c r="Q1324">
        <v>13</v>
      </c>
    </row>
    <row r="1325" spans="1:17" x14ac:dyDescent="0.25">
      <c r="A1325" s="1">
        <v>43117</v>
      </c>
      <c r="B1325">
        <v>11.125</v>
      </c>
      <c r="C1325">
        <v>225.75</v>
      </c>
      <c r="D1325">
        <v>3.3780000000000001</v>
      </c>
      <c r="E1325">
        <v>14.68</v>
      </c>
      <c r="F1325">
        <v>7.51</v>
      </c>
      <c r="G1325">
        <v>2.2269999999999999</v>
      </c>
      <c r="H1325" s="15">
        <v>1.966</v>
      </c>
      <c r="I1325">
        <v>34.521999999999998</v>
      </c>
      <c r="J1325">
        <v>19.803000000000001</v>
      </c>
      <c r="K1325">
        <v>10.616</v>
      </c>
      <c r="L1325">
        <v>1.827</v>
      </c>
      <c r="M1325">
        <v>4.4820000000000002</v>
      </c>
      <c r="N1325">
        <v>0.35</v>
      </c>
      <c r="O1325">
        <v>2.8769999999999998</v>
      </c>
      <c r="P1325">
        <v>1.357</v>
      </c>
      <c r="Q1325">
        <v>15</v>
      </c>
    </row>
    <row r="1326" spans="1:17" x14ac:dyDescent="0.25">
      <c r="A1326" s="1">
        <v>43118</v>
      </c>
      <c r="B1326">
        <v>11.125</v>
      </c>
      <c r="C1326">
        <v>226.8</v>
      </c>
      <c r="D1326" t="e">
        <v>#N/A</v>
      </c>
      <c r="E1326">
        <v>14.79</v>
      </c>
      <c r="F1326">
        <v>7.51</v>
      </c>
      <c r="G1326">
        <v>2.2360000000000002</v>
      </c>
      <c r="H1326" s="15">
        <v>1.966</v>
      </c>
      <c r="I1326">
        <v>34.521999999999998</v>
      </c>
      <c r="J1326">
        <v>19.803000000000001</v>
      </c>
      <c r="K1326">
        <v>10.705</v>
      </c>
      <c r="L1326">
        <v>1.827</v>
      </c>
      <c r="M1326">
        <v>4.4989999999999997</v>
      </c>
      <c r="N1326">
        <v>0.35</v>
      </c>
      <c r="O1326">
        <v>2.8290000000000002</v>
      </c>
      <c r="P1326">
        <v>1.3759999999999999</v>
      </c>
      <c r="Q1326">
        <v>14</v>
      </c>
    </row>
    <row r="1327" spans="1:17" x14ac:dyDescent="0.25">
      <c r="A1327" s="1">
        <v>43119</v>
      </c>
      <c r="B1327">
        <v>10.923999999999999</v>
      </c>
      <c r="C1327">
        <v>229.43</v>
      </c>
      <c r="D1327">
        <v>3.3090000000000002</v>
      </c>
      <c r="E1327">
        <v>15.05</v>
      </c>
      <c r="F1327">
        <v>7.51</v>
      </c>
      <c r="G1327">
        <v>2.2269999999999999</v>
      </c>
      <c r="H1327" s="15">
        <v>1.966</v>
      </c>
      <c r="I1327">
        <v>34.436</v>
      </c>
      <c r="J1327">
        <v>19.803000000000001</v>
      </c>
      <c r="K1327">
        <v>10.705</v>
      </c>
      <c r="L1327" t="e">
        <v>#N/A</v>
      </c>
      <c r="M1327">
        <v>4.4989999999999997</v>
      </c>
      <c r="N1327">
        <v>0.34499999999999997</v>
      </c>
      <c r="O1327">
        <v>2.8580000000000001</v>
      </c>
      <c r="P1327">
        <v>1.3759999999999999</v>
      </c>
      <c r="Q1327">
        <v>14</v>
      </c>
    </row>
    <row r="1328" spans="1:17" x14ac:dyDescent="0.25">
      <c r="A1328" s="1">
        <v>43122</v>
      </c>
      <c r="B1328">
        <v>10.971</v>
      </c>
      <c r="C1328">
        <v>229.9</v>
      </c>
      <c r="D1328">
        <v>3.286</v>
      </c>
      <c r="E1328">
        <v>15.14</v>
      </c>
      <c r="F1328">
        <v>7.51</v>
      </c>
      <c r="G1328">
        <v>2.2189999999999999</v>
      </c>
      <c r="H1328" s="15">
        <v>1.9259999999999999</v>
      </c>
      <c r="I1328">
        <v>34.436</v>
      </c>
      <c r="J1328">
        <v>19.997</v>
      </c>
      <c r="K1328">
        <v>10.705</v>
      </c>
      <c r="L1328" t="e">
        <v>#N/A</v>
      </c>
      <c r="M1328">
        <v>4.4560000000000004</v>
      </c>
      <c r="N1328">
        <v>0.35099999999999998</v>
      </c>
      <c r="O1328">
        <v>2.8580000000000001</v>
      </c>
      <c r="P1328">
        <v>1.357</v>
      </c>
      <c r="Q1328">
        <v>14</v>
      </c>
    </row>
    <row r="1329" spans="1:17" x14ac:dyDescent="0.25">
      <c r="A1329" s="1">
        <v>43123</v>
      </c>
      <c r="B1329">
        <v>11</v>
      </c>
      <c r="C1329">
        <v>232.8</v>
      </c>
      <c r="D1329">
        <v>3.3319999999999999</v>
      </c>
      <c r="E1329">
        <v>15.15</v>
      </c>
      <c r="F1329">
        <v>7.4379999999999997</v>
      </c>
      <c r="G1329">
        <v>2.21</v>
      </c>
      <c r="H1329" s="15">
        <v>1.9259999999999999</v>
      </c>
      <c r="I1329">
        <v>34.530999999999999</v>
      </c>
      <c r="J1329">
        <v>19.988</v>
      </c>
      <c r="K1329">
        <v>10.705</v>
      </c>
      <c r="L1329">
        <v>1.827</v>
      </c>
      <c r="M1329">
        <v>4.4640000000000004</v>
      </c>
      <c r="N1329">
        <v>0.35099999999999998</v>
      </c>
      <c r="O1329">
        <v>2.82</v>
      </c>
      <c r="P1329">
        <v>1.347</v>
      </c>
      <c r="Q1329">
        <v>15</v>
      </c>
    </row>
    <row r="1330" spans="1:17" x14ac:dyDescent="0.25">
      <c r="A1330" s="1">
        <v>43124</v>
      </c>
      <c r="B1330">
        <v>11.125</v>
      </c>
      <c r="C1330">
        <v>236.35</v>
      </c>
      <c r="D1330">
        <v>3.371</v>
      </c>
      <c r="E1330">
        <v>15.81</v>
      </c>
      <c r="F1330">
        <v>7.4740000000000002</v>
      </c>
      <c r="G1330">
        <v>2.2189999999999999</v>
      </c>
      <c r="H1330" s="15">
        <v>1.9159999999999999</v>
      </c>
      <c r="I1330">
        <v>34.695</v>
      </c>
      <c r="J1330">
        <v>19.978000000000002</v>
      </c>
      <c r="K1330">
        <v>10.705</v>
      </c>
      <c r="L1330">
        <v>1.827</v>
      </c>
      <c r="M1330">
        <v>4.4820000000000002</v>
      </c>
      <c r="N1330">
        <v>0.36499999999999999</v>
      </c>
      <c r="O1330">
        <v>2.839</v>
      </c>
      <c r="P1330">
        <v>1.3660000000000001</v>
      </c>
      <c r="Q1330">
        <v>15</v>
      </c>
    </row>
    <row r="1331" spans="1:17" x14ac:dyDescent="0.25">
      <c r="A1331" s="1">
        <v>43125</v>
      </c>
      <c r="B1331">
        <v>11.125</v>
      </c>
      <c r="C1331">
        <v>234.7</v>
      </c>
      <c r="D1331">
        <v>3.3780000000000001</v>
      </c>
      <c r="E1331">
        <v>15.71</v>
      </c>
      <c r="F1331">
        <v>7.4020000000000001</v>
      </c>
      <c r="G1331">
        <v>2.21</v>
      </c>
      <c r="H1331" s="15">
        <v>1.9159999999999999</v>
      </c>
      <c r="I1331">
        <v>34.720999999999997</v>
      </c>
      <c r="J1331">
        <v>19.899999999999999</v>
      </c>
      <c r="K1331">
        <v>10.705</v>
      </c>
      <c r="L1331">
        <v>1.7789999999999999</v>
      </c>
      <c r="M1331">
        <v>4.5960000000000001</v>
      </c>
      <c r="N1331">
        <v>0.36499999999999999</v>
      </c>
      <c r="O1331">
        <v>2.9249999999999998</v>
      </c>
      <c r="P1331">
        <v>1.347</v>
      </c>
      <c r="Q1331">
        <v>15</v>
      </c>
    </row>
    <row r="1332" spans="1:17" x14ac:dyDescent="0.25">
      <c r="A1332" s="1">
        <v>43126</v>
      </c>
      <c r="B1332">
        <v>11.153</v>
      </c>
      <c r="C1332">
        <v>235.17</v>
      </c>
      <c r="D1332">
        <v>3.3780000000000001</v>
      </c>
      <c r="E1332">
        <v>16.2</v>
      </c>
      <c r="F1332">
        <v>7.375</v>
      </c>
      <c r="G1332">
        <v>2.3050000000000002</v>
      </c>
      <c r="H1332" s="15">
        <v>1.788</v>
      </c>
      <c r="I1332">
        <v>34.841000000000001</v>
      </c>
      <c r="J1332">
        <v>19.997</v>
      </c>
      <c r="K1332">
        <v>10.705</v>
      </c>
      <c r="L1332">
        <v>1.77</v>
      </c>
      <c r="M1332">
        <v>4.6740000000000004</v>
      </c>
      <c r="N1332">
        <v>0.36099999999999999</v>
      </c>
      <c r="O1332">
        <v>2.9249999999999998</v>
      </c>
      <c r="P1332">
        <v>1.347</v>
      </c>
      <c r="Q1332">
        <v>15</v>
      </c>
    </row>
    <row r="1333" spans="1:17" x14ac:dyDescent="0.25">
      <c r="A1333" s="1">
        <v>43129</v>
      </c>
      <c r="B1333">
        <v>11.134</v>
      </c>
      <c r="C1333">
        <v>236.79</v>
      </c>
      <c r="D1333">
        <v>3.363</v>
      </c>
      <c r="E1333">
        <v>15.78</v>
      </c>
      <c r="F1333">
        <v>7.375</v>
      </c>
      <c r="G1333">
        <v>2.2789999999999999</v>
      </c>
      <c r="H1333" s="15">
        <v>1.788</v>
      </c>
      <c r="I1333">
        <v>34.970999999999997</v>
      </c>
      <c r="J1333">
        <v>20.492000000000001</v>
      </c>
      <c r="K1333">
        <v>10.705</v>
      </c>
      <c r="L1333">
        <v>1.7889999999999999</v>
      </c>
      <c r="M1333">
        <v>4.8049999999999997</v>
      </c>
      <c r="N1333">
        <v>0.36</v>
      </c>
      <c r="O1333">
        <v>2.9060000000000001</v>
      </c>
      <c r="P1333">
        <v>1.3660000000000001</v>
      </c>
      <c r="Q1333">
        <v>15</v>
      </c>
    </row>
    <row r="1334" spans="1:17" x14ac:dyDescent="0.25">
      <c r="A1334" s="1">
        <v>43130</v>
      </c>
      <c r="B1334">
        <v>11.019</v>
      </c>
      <c r="C1334">
        <v>236</v>
      </c>
      <c r="D1334">
        <v>3.3239999999999998</v>
      </c>
      <c r="E1334">
        <v>15.3</v>
      </c>
      <c r="F1334">
        <v>7.3310000000000004</v>
      </c>
      <c r="G1334">
        <v>2.2269999999999999</v>
      </c>
      <c r="H1334" s="15">
        <v>1.788</v>
      </c>
      <c r="I1334">
        <v>34.978999999999999</v>
      </c>
      <c r="J1334">
        <v>20.870999999999999</v>
      </c>
      <c r="K1334">
        <v>10.712999999999999</v>
      </c>
      <c r="L1334">
        <v>1.77</v>
      </c>
      <c r="M1334">
        <v>4.8049999999999997</v>
      </c>
      <c r="N1334">
        <v>0.36</v>
      </c>
      <c r="O1334">
        <v>2.8769999999999998</v>
      </c>
      <c r="P1334">
        <v>1.347</v>
      </c>
      <c r="Q1334">
        <v>15</v>
      </c>
    </row>
    <row r="1335" spans="1:17" x14ac:dyDescent="0.25">
      <c r="A1335" s="1">
        <v>43131</v>
      </c>
      <c r="B1335">
        <v>10.694000000000001</v>
      </c>
      <c r="C1335">
        <v>233.1</v>
      </c>
      <c r="D1335">
        <v>3.363</v>
      </c>
      <c r="E1335">
        <v>15.45</v>
      </c>
      <c r="F1335">
        <v>7.4649999999999999</v>
      </c>
      <c r="G1335">
        <v>2.2269999999999999</v>
      </c>
      <c r="H1335" s="15">
        <v>1.827</v>
      </c>
      <c r="I1335">
        <v>34.780999999999999</v>
      </c>
      <c r="J1335">
        <v>21.356000000000002</v>
      </c>
      <c r="K1335">
        <v>10.616</v>
      </c>
      <c r="L1335">
        <v>1.8169999999999999</v>
      </c>
      <c r="M1335">
        <v>4.8490000000000002</v>
      </c>
      <c r="N1335">
        <v>0.35099999999999998</v>
      </c>
      <c r="O1335">
        <v>2.9249999999999998</v>
      </c>
      <c r="P1335">
        <v>1.347</v>
      </c>
      <c r="Q1335">
        <v>15</v>
      </c>
    </row>
    <row r="1336" spans="1:17" x14ac:dyDescent="0.25">
      <c r="A1336" s="1">
        <v>43132</v>
      </c>
      <c r="B1336">
        <v>10.789</v>
      </c>
      <c r="C1336">
        <v>231</v>
      </c>
      <c r="D1336">
        <v>3.3940000000000001</v>
      </c>
      <c r="E1336">
        <v>15.76</v>
      </c>
      <c r="F1336">
        <v>7.4470000000000001</v>
      </c>
      <c r="G1336">
        <v>2.2269999999999999</v>
      </c>
      <c r="H1336" s="15">
        <v>1.976</v>
      </c>
      <c r="I1336">
        <v>34.997</v>
      </c>
      <c r="J1336">
        <v>21.356000000000002</v>
      </c>
      <c r="K1336">
        <v>10.616</v>
      </c>
      <c r="L1336">
        <v>1.8169999999999999</v>
      </c>
      <c r="M1336">
        <v>4.8490000000000002</v>
      </c>
      <c r="N1336">
        <v>0.35499999999999998</v>
      </c>
      <c r="O1336">
        <v>2.8769999999999998</v>
      </c>
      <c r="P1336">
        <v>1.3169999999999999</v>
      </c>
      <c r="Q1336">
        <v>15</v>
      </c>
    </row>
    <row r="1337" spans="1:17" x14ac:dyDescent="0.25">
      <c r="A1337" s="1">
        <v>43133</v>
      </c>
      <c r="B1337">
        <v>10.731999999999999</v>
      </c>
      <c r="C1337">
        <v>224</v>
      </c>
      <c r="D1337">
        <v>3.371</v>
      </c>
      <c r="E1337">
        <v>15.2</v>
      </c>
      <c r="F1337">
        <v>7.4470000000000001</v>
      </c>
      <c r="G1337">
        <v>2.2269999999999999</v>
      </c>
      <c r="H1337" s="15">
        <v>1.907</v>
      </c>
      <c r="I1337">
        <v>35.427999999999997</v>
      </c>
      <c r="J1337">
        <v>21.259</v>
      </c>
      <c r="K1337">
        <v>10.829000000000001</v>
      </c>
      <c r="L1337">
        <v>1.77</v>
      </c>
      <c r="M1337">
        <v>4.7350000000000003</v>
      </c>
      <c r="N1337">
        <v>0.34</v>
      </c>
      <c r="O1337">
        <v>2.8769999999999998</v>
      </c>
      <c r="P1337">
        <v>1.258</v>
      </c>
      <c r="Q1337">
        <v>15</v>
      </c>
    </row>
    <row r="1338" spans="1:17" x14ac:dyDescent="0.25">
      <c r="A1338" s="1">
        <v>43136</v>
      </c>
      <c r="B1338">
        <v>10.731999999999999</v>
      </c>
      <c r="C1338">
        <v>217.49</v>
      </c>
      <c r="D1338">
        <v>3.278</v>
      </c>
      <c r="E1338">
        <v>15.25</v>
      </c>
      <c r="F1338">
        <v>7.375</v>
      </c>
      <c r="G1338">
        <v>2.2269999999999999</v>
      </c>
      <c r="H1338" s="15">
        <v>1.877</v>
      </c>
      <c r="I1338">
        <v>35.384999999999998</v>
      </c>
      <c r="J1338">
        <v>21.161999999999999</v>
      </c>
      <c r="K1338">
        <v>10.749000000000001</v>
      </c>
      <c r="L1338">
        <v>1.75</v>
      </c>
      <c r="M1338">
        <v>4.4560000000000004</v>
      </c>
      <c r="N1338">
        <v>0.34</v>
      </c>
      <c r="O1338">
        <v>2.8769999999999998</v>
      </c>
      <c r="P1338">
        <v>1.238</v>
      </c>
      <c r="Q1338">
        <v>15</v>
      </c>
    </row>
    <row r="1339" spans="1:17" x14ac:dyDescent="0.25">
      <c r="A1339" s="1">
        <v>43137</v>
      </c>
      <c r="B1339">
        <v>10.683999999999999</v>
      </c>
      <c r="C1339">
        <v>222.02</v>
      </c>
      <c r="D1339">
        <v>3.355</v>
      </c>
      <c r="E1339">
        <v>14.89</v>
      </c>
      <c r="F1339">
        <v>7.1520000000000001</v>
      </c>
      <c r="G1339">
        <v>2.1930000000000001</v>
      </c>
      <c r="H1339" s="15">
        <v>1.877</v>
      </c>
      <c r="I1339">
        <v>35.212000000000003</v>
      </c>
      <c r="J1339">
        <v>20.59</v>
      </c>
      <c r="K1339">
        <v>10.625</v>
      </c>
      <c r="L1339">
        <v>1.7030000000000001</v>
      </c>
      <c r="M1339">
        <v>4.5430000000000001</v>
      </c>
      <c r="N1339">
        <v>0.34</v>
      </c>
      <c r="O1339">
        <v>2.8290000000000002</v>
      </c>
      <c r="P1339">
        <v>1.248</v>
      </c>
      <c r="Q1339">
        <v>15</v>
      </c>
    </row>
    <row r="1340" spans="1:17" x14ac:dyDescent="0.25">
      <c r="A1340" s="1">
        <v>43138</v>
      </c>
      <c r="B1340">
        <v>10.683999999999999</v>
      </c>
      <c r="C1340">
        <v>221.08</v>
      </c>
      <c r="D1340" t="e">
        <v>#N/A</v>
      </c>
      <c r="E1340">
        <v>14.75</v>
      </c>
      <c r="F1340">
        <v>7.1520000000000001</v>
      </c>
      <c r="G1340">
        <v>2.21</v>
      </c>
      <c r="H1340" s="15">
        <v>1.9259999999999999</v>
      </c>
      <c r="I1340">
        <v>35.212000000000003</v>
      </c>
      <c r="J1340">
        <v>20.628</v>
      </c>
      <c r="K1340">
        <v>10.625</v>
      </c>
      <c r="L1340">
        <v>1.7030000000000001</v>
      </c>
      <c r="M1340">
        <v>4.5430000000000001</v>
      </c>
      <c r="N1340">
        <v>0.34</v>
      </c>
      <c r="O1340">
        <v>2.8580000000000001</v>
      </c>
      <c r="P1340">
        <v>1.238</v>
      </c>
      <c r="Q1340">
        <v>14</v>
      </c>
    </row>
    <row r="1341" spans="1:17" x14ac:dyDescent="0.25">
      <c r="A1341" s="1">
        <v>43139</v>
      </c>
      <c r="B1341">
        <v>10.683999999999999</v>
      </c>
      <c r="C1341">
        <v>210.9</v>
      </c>
      <c r="D1341">
        <v>3.355</v>
      </c>
      <c r="E1341">
        <v>14.6</v>
      </c>
      <c r="F1341">
        <v>7.1520000000000001</v>
      </c>
      <c r="G1341">
        <v>2.21</v>
      </c>
      <c r="H1341" s="15">
        <v>1.9259999999999999</v>
      </c>
      <c r="I1341">
        <v>34.384</v>
      </c>
      <c r="J1341">
        <v>20.628</v>
      </c>
      <c r="K1341">
        <v>10.625</v>
      </c>
      <c r="L1341" t="e">
        <v>#N/A</v>
      </c>
      <c r="M1341">
        <v>4.5430000000000001</v>
      </c>
      <c r="N1341">
        <v>0.33200000000000002</v>
      </c>
      <c r="O1341">
        <v>2.81</v>
      </c>
      <c r="P1341">
        <v>1.2090000000000001</v>
      </c>
      <c r="Q1341">
        <v>14</v>
      </c>
    </row>
    <row r="1342" spans="1:17" x14ac:dyDescent="0.25">
      <c r="A1342" s="1">
        <v>43140</v>
      </c>
      <c r="B1342">
        <v>10.664999999999999</v>
      </c>
      <c r="C1342">
        <v>211</v>
      </c>
      <c r="D1342">
        <v>3.3090000000000002</v>
      </c>
      <c r="E1342">
        <v>14.35</v>
      </c>
      <c r="F1342">
        <v>7.1520000000000001</v>
      </c>
      <c r="G1342">
        <v>2.2010000000000001</v>
      </c>
      <c r="H1342" s="15">
        <v>1.877</v>
      </c>
      <c r="I1342">
        <v>34.341000000000001</v>
      </c>
      <c r="J1342">
        <v>20.774000000000001</v>
      </c>
      <c r="K1342">
        <v>10.483000000000001</v>
      </c>
      <c r="L1342">
        <v>1.6259999999999999</v>
      </c>
      <c r="M1342">
        <v>4.3769999999999998</v>
      </c>
      <c r="N1342">
        <v>0.33500000000000002</v>
      </c>
      <c r="O1342">
        <v>2.8769999999999998</v>
      </c>
      <c r="P1342">
        <v>1.2190000000000001</v>
      </c>
      <c r="Q1342">
        <v>15</v>
      </c>
    </row>
    <row r="1343" spans="1:17" x14ac:dyDescent="0.25">
      <c r="A1343" s="1">
        <v>43143</v>
      </c>
      <c r="B1343">
        <v>10.54</v>
      </c>
      <c r="C1343">
        <v>215</v>
      </c>
      <c r="D1343">
        <v>3.3479999999999999</v>
      </c>
      <c r="E1343">
        <v>15.1</v>
      </c>
      <c r="F1343">
        <v>7.1520000000000001</v>
      </c>
      <c r="G1343">
        <v>2.2010000000000001</v>
      </c>
      <c r="H1343" s="15">
        <v>1.857</v>
      </c>
      <c r="I1343">
        <v>33.658999999999999</v>
      </c>
      <c r="J1343">
        <v>20.628</v>
      </c>
      <c r="K1343">
        <v>10.492000000000001</v>
      </c>
      <c r="L1343">
        <v>1.6259999999999999</v>
      </c>
      <c r="M1343">
        <v>4.5430000000000001</v>
      </c>
      <c r="N1343">
        <v>0.33200000000000002</v>
      </c>
      <c r="O1343">
        <v>2.8959999999999999</v>
      </c>
      <c r="P1343">
        <v>1.1990000000000001</v>
      </c>
      <c r="Q1343">
        <v>15</v>
      </c>
    </row>
    <row r="1344" spans="1:17" x14ac:dyDescent="0.25">
      <c r="A1344" s="1">
        <v>43144</v>
      </c>
      <c r="B1344">
        <v>10.531000000000001</v>
      </c>
      <c r="C1344">
        <v>216.2</v>
      </c>
      <c r="D1344">
        <v>3.3319999999999999</v>
      </c>
      <c r="E1344">
        <v>15.07</v>
      </c>
      <c r="F1344">
        <v>7.1520000000000001</v>
      </c>
      <c r="G1344">
        <v>2.1930000000000001</v>
      </c>
      <c r="H1344" s="15">
        <v>1.857</v>
      </c>
      <c r="I1344">
        <v>33.140999999999998</v>
      </c>
      <c r="J1344">
        <v>20.619</v>
      </c>
      <c r="K1344">
        <v>10.537000000000001</v>
      </c>
      <c r="L1344">
        <v>1.6259999999999999</v>
      </c>
      <c r="M1344">
        <v>4.4560000000000004</v>
      </c>
      <c r="N1344">
        <v>0.33500000000000002</v>
      </c>
      <c r="O1344">
        <v>2.9089999999999998</v>
      </c>
      <c r="P1344">
        <v>1.17</v>
      </c>
      <c r="Q1344">
        <v>15</v>
      </c>
    </row>
    <row r="1345" spans="1:17" x14ac:dyDescent="0.25">
      <c r="A1345" s="1">
        <v>43145</v>
      </c>
      <c r="B1345">
        <v>10.54</v>
      </c>
      <c r="C1345">
        <v>219.2</v>
      </c>
      <c r="D1345">
        <v>3.3170000000000002</v>
      </c>
      <c r="E1345">
        <v>16.03</v>
      </c>
      <c r="F1345">
        <v>7.1520000000000001</v>
      </c>
      <c r="G1345">
        <v>2.2269999999999999</v>
      </c>
      <c r="H1345" s="15">
        <v>1.827</v>
      </c>
      <c r="I1345">
        <v>34.090000000000003</v>
      </c>
      <c r="J1345">
        <v>20.385999999999999</v>
      </c>
      <c r="K1345">
        <v>10.616</v>
      </c>
      <c r="L1345">
        <v>1.6930000000000001</v>
      </c>
      <c r="M1345">
        <v>4.4560000000000004</v>
      </c>
      <c r="N1345">
        <v>0.33800000000000002</v>
      </c>
      <c r="O1345">
        <v>2.899</v>
      </c>
      <c r="P1345">
        <v>1.1990000000000001</v>
      </c>
      <c r="Q1345">
        <v>15</v>
      </c>
    </row>
    <row r="1346" spans="1:17" x14ac:dyDescent="0.25">
      <c r="A1346" s="1">
        <v>43146</v>
      </c>
      <c r="B1346">
        <v>10.54</v>
      </c>
      <c r="C1346">
        <v>223</v>
      </c>
      <c r="D1346">
        <v>3.3239999999999998</v>
      </c>
      <c r="E1346">
        <v>16.05</v>
      </c>
      <c r="F1346">
        <v>7.1520000000000001</v>
      </c>
      <c r="G1346">
        <v>2.2360000000000002</v>
      </c>
      <c r="H1346" s="15">
        <v>1.8180000000000001</v>
      </c>
      <c r="I1346">
        <v>34.090000000000003</v>
      </c>
      <c r="J1346">
        <v>20.385999999999999</v>
      </c>
      <c r="K1346">
        <v>10.634</v>
      </c>
      <c r="L1346">
        <v>1.7410000000000001</v>
      </c>
      <c r="M1346">
        <v>4.4560000000000004</v>
      </c>
      <c r="N1346">
        <v>0.315</v>
      </c>
      <c r="O1346" t="e">
        <v>#N/A</v>
      </c>
      <c r="P1346">
        <v>1.2090000000000001</v>
      </c>
      <c r="Q1346">
        <v>14</v>
      </c>
    </row>
    <row r="1347" spans="1:17" x14ac:dyDescent="0.25">
      <c r="A1347" s="1">
        <v>43147</v>
      </c>
      <c r="B1347">
        <v>10.54</v>
      </c>
      <c r="C1347">
        <v>218.95</v>
      </c>
      <c r="D1347">
        <v>3.3239999999999998</v>
      </c>
      <c r="E1347">
        <v>15.6</v>
      </c>
      <c r="F1347">
        <v>7.1429999999999998</v>
      </c>
      <c r="G1347">
        <v>2.2360000000000002</v>
      </c>
      <c r="H1347" s="15">
        <v>1.8080000000000001</v>
      </c>
      <c r="I1347">
        <v>34.090000000000003</v>
      </c>
      <c r="J1347">
        <v>20.385999999999999</v>
      </c>
      <c r="K1347">
        <v>10.651999999999999</v>
      </c>
      <c r="L1347">
        <v>1.6739999999999999</v>
      </c>
      <c r="M1347">
        <v>4.7530000000000001</v>
      </c>
      <c r="N1347">
        <v>0.32</v>
      </c>
      <c r="O1347">
        <v>2.8610000000000002</v>
      </c>
      <c r="P1347">
        <v>1.179</v>
      </c>
      <c r="Q1347">
        <v>15</v>
      </c>
    </row>
    <row r="1348" spans="1:17" x14ac:dyDescent="0.25">
      <c r="A1348" s="1">
        <v>43150</v>
      </c>
      <c r="B1348">
        <v>10.54</v>
      </c>
      <c r="C1348" t="e">
        <v>#N/A</v>
      </c>
      <c r="D1348">
        <v>3.3319999999999999</v>
      </c>
      <c r="E1348" t="e">
        <v>#N/A</v>
      </c>
      <c r="F1348">
        <v>7.1070000000000002</v>
      </c>
      <c r="G1348">
        <v>2.2269999999999999</v>
      </c>
      <c r="H1348" s="15">
        <v>1.8080000000000001</v>
      </c>
      <c r="I1348">
        <v>34.090000000000003</v>
      </c>
      <c r="J1348">
        <v>20.385999999999999</v>
      </c>
      <c r="K1348">
        <v>10.651999999999999</v>
      </c>
      <c r="L1348" t="e">
        <v>#N/A</v>
      </c>
      <c r="M1348">
        <v>4.7610000000000001</v>
      </c>
      <c r="N1348">
        <v>0.32</v>
      </c>
      <c r="O1348" t="e">
        <v>#N/A</v>
      </c>
      <c r="P1348">
        <v>1.1599999999999999</v>
      </c>
      <c r="Q1348">
        <v>11</v>
      </c>
    </row>
    <row r="1349" spans="1:17" x14ac:dyDescent="0.25">
      <c r="A1349" s="1">
        <v>43151</v>
      </c>
      <c r="B1349">
        <v>10.54</v>
      </c>
      <c r="C1349">
        <v>216.27</v>
      </c>
      <c r="D1349">
        <v>3.3239999999999998</v>
      </c>
      <c r="E1349">
        <v>15.5</v>
      </c>
      <c r="F1349">
        <v>7.0620000000000003</v>
      </c>
      <c r="G1349">
        <v>2.2189999999999999</v>
      </c>
      <c r="H1349" s="15">
        <v>1.966</v>
      </c>
      <c r="I1349">
        <v>34.090000000000003</v>
      </c>
      <c r="J1349">
        <v>20.385999999999999</v>
      </c>
      <c r="K1349">
        <v>10.669</v>
      </c>
      <c r="L1349">
        <v>1.6739999999999999</v>
      </c>
      <c r="M1349">
        <v>4.8049999999999997</v>
      </c>
      <c r="N1349">
        <v>0.32</v>
      </c>
      <c r="O1349">
        <v>2.89</v>
      </c>
      <c r="P1349">
        <v>1.179</v>
      </c>
      <c r="Q1349">
        <v>15</v>
      </c>
    </row>
    <row r="1350" spans="1:17" x14ac:dyDescent="0.25">
      <c r="A1350" s="1">
        <v>43152</v>
      </c>
      <c r="B1350">
        <v>10.683999999999999</v>
      </c>
      <c r="C1350">
        <v>217.6</v>
      </c>
      <c r="D1350">
        <v>3.3239999999999998</v>
      </c>
      <c r="E1350">
        <v>15.4</v>
      </c>
      <c r="F1350">
        <v>7.1070000000000002</v>
      </c>
      <c r="G1350">
        <v>2.21</v>
      </c>
      <c r="H1350" s="15">
        <v>1.837</v>
      </c>
      <c r="I1350">
        <v>35.384999999999998</v>
      </c>
      <c r="J1350">
        <v>20.483000000000001</v>
      </c>
      <c r="K1350">
        <v>10.669</v>
      </c>
      <c r="L1350" t="e">
        <v>#N/A</v>
      </c>
      <c r="M1350">
        <v>4.7439999999999998</v>
      </c>
      <c r="N1350">
        <v>0.31900000000000001</v>
      </c>
      <c r="O1350">
        <v>2.8410000000000002</v>
      </c>
      <c r="P1350">
        <v>1.1599999999999999</v>
      </c>
      <c r="Q1350">
        <v>14</v>
      </c>
    </row>
    <row r="1351" spans="1:17" x14ac:dyDescent="0.25">
      <c r="A1351" s="1">
        <v>43153</v>
      </c>
      <c r="B1351">
        <v>10.827999999999999</v>
      </c>
      <c r="C1351">
        <v>216</v>
      </c>
      <c r="D1351">
        <v>3.278</v>
      </c>
      <c r="E1351">
        <v>15.65</v>
      </c>
      <c r="F1351">
        <v>7.1070000000000002</v>
      </c>
      <c r="G1351">
        <v>2.1930000000000001</v>
      </c>
      <c r="H1351" s="15">
        <v>1.778</v>
      </c>
      <c r="I1351">
        <v>36.939</v>
      </c>
      <c r="J1351">
        <v>20.483000000000001</v>
      </c>
      <c r="K1351">
        <v>10.882</v>
      </c>
      <c r="L1351">
        <v>1.722</v>
      </c>
      <c r="M1351">
        <v>4.5869999999999997</v>
      </c>
      <c r="N1351">
        <v>0.31</v>
      </c>
      <c r="O1351">
        <v>2.8220000000000001</v>
      </c>
      <c r="P1351">
        <v>1.1599999999999999</v>
      </c>
      <c r="Q1351">
        <v>15</v>
      </c>
    </row>
    <row r="1352" spans="1:17" x14ac:dyDescent="0.25">
      <c r="A1352" s="1">
        <v>43154</v>
      </c>
      <c r="B1352">
        <v>10.731999999999999</v>
      </c>
      <c r="C1352">
        <v>218</v>
      </c>
      <c r="D1352">
        <v>3.2549999999999999</v>
      </c>
      <c r="E1352">
        <v>15.65</v>
      </c>
      <c r="F1352">
        <v>7.0620000000000003</v>
      </c>
      <c r="G1352">
        <v>2.1930000000000001</v>
      </c>
      <c r="H1352" s="15">
        <v>1.7190000000000001</v>
      </c>
      <c r="I1352">
        <v>36.247999999999998</v>
      </c>
      <c r="J1352">
        <v>20.483000000000001</v>
      </c>
      <c r="K1352">
        <v>10.872999999999999</v>
      </c>
      <c r="L1352" t="e">
        <v>#N/A</v>
      </c>
      <c r="M1352" t="e">
        <v>#N/A</v>
      </c>
      <c r="N1352">
        <v>0.315</v>
      </c>
      <c r="O1352">
        <v>2.8220000000000001</v>
      </c>
      <c r="P1352">
        <v>1.1499999999999999</v>
      </c>
      <c r="Q1352">
        <v>13</v>
      </c>
    </row>
    <row r="1353" spans="1:17" x14ac:dyDescent="0.25">
      <c r="A1353" s="1">
        <v>43157</v>
      </c>
      <c r="B1353">
        <v>10.731999999999999</v>
      </c>
      <c r="C1353">
        <v>216</v>
      </c>
      <c r="D1353">
        <v>3.2240000000000002</v>
      </c>
      <c r="E1353">
        <v>16.03</v>
      </c>
      <c r="F1353">
        <v>7.0620000000000003</v>
      </c>
      <c r="G1353">
        <v>2.1930000000000001</v>
      </c>
      <c r="H1353" s="15">
        <v>1.679</v>
      </c>
      <c r="I1353">
        <v>36.238999999999997</v>
      </c>
      <c r="J1353">
        <v>20.58</v>
      </c>
      <c r="K1353">
        <v>10.749000000000001</v>
      </c>
      <c r="L1353">
        <v>1.655</v>
      </c>
      <c r="M1353">
        <v>4.63</v>
      </c>
      <c r="N1353">
        <v>0.315</v>
      </c>
      <c r="O1353">
        <v>2.7450000000000001</v>
      </c>
      <c r="P1353">
        <v>1.1299999999999999</v>
      </c>
      <c r="Q1353">
        <v>15</v>
      </c>
    </row>
    <row r="1354" spans="1:17" x14ac:dyDescent="0.25">
      <c r="A1354" s="1">
        <v>43158</v>
      </c>
      <c r="B1354">
        <v>10.683999999999999</v>
      </c>
      <c r="C1354">
        <v>217</v>
      </c>
      <c r="D1354">
        <v>3.278</v>
      </c>
      <c r="E1354">
        <v>15.65</v>
      </c>
      <c r="F1354">
        <v>7.0620000000000003</v>
      </c>
      <c r="G1354">
        <v>2.1930000000000001</v>
      </c>
      <c r="H1354" s="15">
        <v>1.63</v>
      </c>
      <c r="I1354">
        <v>35.817</v>
      </c>
      <c r="J1354">
        <v>20.628</v>
      </c>
      <c r="K1354">
        <v>10.705</v>
      </c>
      <c r="L1354">
        <v>1.6359999999999999</v>
      </c>
      <c r="M1354">
        <v>4.63</v>
      </c>
      <c r="N1354">
        <v>0.32</v>
      </c>
      <c r="O1354">
        <v>2.7450000000000001</v>
      </c>
      <c r="P1354">
        <v>1.17</v>
      </c>
      <c r="Q1354">
        <v>15</v>
      </c>
    </row>
    <row r="1355" spans="1:17" x14ac:dyDescent="0.25">
      <c r="A1355" s="1">
        <v>43159</v>
      </c>
      <c r="B1355">
        <v>10.54</v>
      </c>
      <c r="C1355">
        <v>217</v>
      </c>
      <c r="D1355">
        <v>3.278</v>
      </c>
      <c r="E1355">
        <v>15.63</v>
      </c>
      <c r="F1355">
        <v>7.0620000000000003</v>
      </c>
      <c r="G1355">
        <v>2.1760000000000002</v>
      </c>
      <c r="H1355" s="15">
        <v>1.61</v>
      </c>
      <c r="I1355">
        <v>35.843000000000004</v>
      </c>
      <c r="J1355">
        <v>20.725000000000001</v>
      </c>
      <c r="K1355">
        <v>10.678000000000001</v>
      </c>
      <c r="L1355">
        <v>1.6739999999999999</v>
      </c>
      <c r="M1355">
        <v>4.5609999999999999</v>
      </c>
      <c r="N1355">
        <v>0.32</v>
      </c>
      <c r="O1355">
        <v>2.88</v>
      </c>
      <c r="P1355">
        <v>1.2090000000000001</v>
      </c>
      <c r="Q1355">
        <v>15</v>
      </c>
    </row>
    <row r="1356" spans="1:17" x14ac:dyDescent="0.25">
      <c r="A1356" s="1">
        <v>43160</v>
      </c>
      <c r="B1356">
        <v>10.635999999999999</v>
      </c>
      <c r="C1356">
        <v>216.31</v>
      </c>
      <c r="D1356">
        <v>3.278</v>
      </c>
      <c r="E1356">
        <v>15.54</v>
      </c>
      <c r="F1356">
        <v>7.0620000000000003</v>
      </c>
      <c r="G1356">
        <v>2.1589999999999998</v>
      </c>
      <c r="H1356" s="15">
        <v>1.581</v>
      </c>
      <c r="I1356">
        <v>35.729999999999997</v>
      </c>
      <c r="J1356">
        <v>20.870999999999999</v>
      </c>
      <c r="K1356">
        <v>10.678000000000001</v>
      </c>
      <c r="L1356">
        <v>1.6359999999999999</v>
      </c>
      <c r="M1356">
        <v>4.5780000000000003</v>
      </c>
      <c r="N1356">
        <v>0.315</v>
      </c>
      <c r="O1356">
        <v>2.8410000000000002</v>
      </c>
      <c r="P1356">
        <v>1.2190000000000001</v>
      </c>
      <c r="Q1356">
        <v>15</v>
      </c>
    </row>
    <row r="1357" spans="1:17" x14ac:dyDescent="0.25">
      <c r="A1357" s="1">
        <v>43161</v>
      </c>
      <c r="B1357">
        <v>10.587999999999999</v>
      </c>
      <c r="C1357">
        <v>217.21</v>
      </c>
      <c r="D1357">
        <v>3.355</v>
      </c>
      <c r="E1357">
        <v>15.95</v>
      </c>
      <c r="F1357" t="e">
        <v>#N/A</v>
      </c>
      <c r="G1357">
        <v>2.1669999999999998</v>
      </c>
      <c r="H1357" s="15">
        <v>1.5609999999999999</v>
      </c>
      <c r="I1357">
        <v>35.902999999999999</v>
      </c>
      <c r="J1357">
        <v>21.114000000000001</v>
      </c>
      <c r="K1357" t="e">
        <v>#N/A</v>
      </c>
      <c r="L1357">
        <v>1.6739999999999999</v>
      </c>
      <c r="M1357">
        <v>4.5960000000000001</v>
      </c>
      <c r="N1357">
        <v>0.32</v>
      </c>
      <c r="O1357">
        <v>2.8410000000000002</v>
      </c>
      <c r="P1357">
        <v>1.268</v>
      </c>
      <c r="Q1357">
        <v>13</v>
      </c>
    </row>
    <row r="1358" spans="1:17" x14ac:dyDescent="0.25">
      <c r="A1358" s="1">
        <v>43164</v>
      </c>
      <c r="B1358">
        <v>10.54</v>
      </c>
      <c r="C1358">
        <v>221.05</v>
      </c>
      <c r="D1358">
        <v>3.3170000000000002</v>
      </c>
      <c r="E1358">
        <v>15.7</v>
      </c>
      <c r="F1358">
        <v>6.9729999999999999</v>
      </c>
      <c r="G1358">
        <v>2.21</v>
      </c>
      <c r="H1358" s="15">
        <v>1.581</v>
      </c>
      <c r="I1358">
        <v>35.902999999999999</v>
      </c>
      <c r="J1358">
        <v>21.114000000000001</v>
      </c>
      <c r="K1358" t="e">
        <v>#N/A</v>
      </c>
      <c r="L1358">
        <v>1.6739999999999999</v>
      </c>
      <c r="M1358" t="e">
        <v>#N/A</v>
      </c>
      <c r="N1358">
        <v>0.32</v>
      </c>
      <c r="O1358">
        <v>2.7930000000000001</v>
      </c>
      <c r="P1358">
        <v>1.248</v>
      </c>
      <c r="Q1358">
        <v>13</v>
      </c>
    </row>
    <row r="1359" spans="1:17" x14ac:dyDescent="0.25">
      <c r="A1359" s="1">
        <v>43165</v>
      </c>
      <c r="B1359">
        <v>10.54</v>
      </c>
      <c r="C1359">
        <v>224.9</v>
      </c>
      <c r="D1359">
        <v>3.278</v>
      </c>
      <c r="E1359">
        <v>15.89</v>
      </c>
      <c r="F1359">
        <v>6.9729999999999999</v>
      </c>
      <c r="G1359">
        <v>2.21</v>
      </c>
      <c r="H1359" s="15">
        <v>1.5609999999999999</v>
      </c>
      <c r="I1359">
        <v>35.902999999999999</v>
      </c>
      <c r="J1359">
        <v>21.123000000000001</v>
      </c>
      <c r="K1359">
        <v>10.616</v>
      </c>
      <c r="L1359">
        <v>1.6930000000000001</v>
      </c>
      <c r="M1359">
        <v>4.665</v>
      </c>
      <c r="N1359">
        <v>0.32</v>
      </c>
      <c r="O1359">
        <v>2.7930000000000001</v>
      </c>
      <c r="P1359">
        <v>1.258</v>
      </c>
      <c r="Q1359">
        <v>15</v>
      </c>
    </row>
    <row r="1360" spans="1:17" x14ac:dyDescent="0.25">
      <c r="A1360" s="1">
        <v>43166</v>
      </c>
      <c r="B1360">
        <v>10.587999999999999</v>
      </c>
      <c r="C1360">
        <v>221.8</v>
      </c>
      <c r="D1360">
        <v>3.355</v>
      </c>
      <c r="E1360">
        <v>15.21</v>
      </c>
      <c r="F1360">
        <v>6.9279999999999999</v>
      </c>
      <c r="G1360">
        <v>2.2189999999999999</v>
      </c>
      <c r="H1360" s="15">
        <v>1.581</v>
      </c>
      <c r="I1360">
        <v>36.031999999999996</v>
      </c>
      <c r="J1360">
        <v>21.452999999999999</v>
      </c>
      <c r="K1360">
        <v>10.528</v>
      </c>
      <c r="L1360" t="e">
        <v>#N/A</v>
      </c>
      <c r="M1360">
        <v>4.6390000000000002</v>
      </c>
      <c r="N1360">
        <v>0.31900000000000001</v>
      </c>
      <c r="O1360">
        <v>2.7450000000000001</v>
      </c>
      <c r="P1360">
        <v>1.248</v>
      </c>
      <c r="Q1360">
        <v>14</v>
      </c>
    </row>
    <row r="1361" spans="1:17" x14ac:dyDescent="0.25">
      <c r="A1361" s="1">
        <v>43167</v>
      </c>
      <c r="B1361">
        <v>10.54</v>
      </c>
      <c r="C1361">
        <v>220.3</v>
      </c>
      <c r="D1361">
        <v>3.355</v>
      </c>
      <c r="E1361">
        <v>15.22</v>
      </c>
      <c r="F1361">
        <v>6.8840000000000003</v>
      </c>
      <c r="G1361">
        <v>2.2440000000000002</v>
      </c>
      <c r="H1361" s="15">
        <v>1.571</v>
      </c>
      <c r="I1361">
        <v>36.119</v>
      </c>
      <c r="J1361">
        <v>21.452999999999999</v>
      </c>
      <c r="K1361">
        <v>10.528</v>
      </c>
      <c r="L1361" t="e">
        <v>#N/A</v>
      </c>
      <c r="M1361" t="e">
        <v>#N/A</v>
      </c>
      <c r="N1361">
        <v>0.31</v>
      </c>
      <c r="O1361">
        <v>2.8029999999999999</v>
      </c>
      <c r="P1361">
        <v>1.2090000000000001</v>
      </c>
      <c r="Q1361">
        <v>13</v>
      </c>
    </row>
    <row r="1362" spans="1:17" x14ac:dyDescent="0.25">
      <c r="A1362" s="1">
        <v>43168</v>
      </c>
      <c r="B1362">
        <v>10.635999999999999</v>
      </c>
      <c r="C1362">
        <v>221.8</v>
      </c>
      <c r="D1362">
        <v>3.3860000000000001</v>
      </c>
      <c r="E1362">
        <v>15.35</v>
      </c>
      <c r="F1362">
        <v>6.9729999999999999</v>
      </c>
      <c r="G1362">
        <v>2.2440000000000002</v>
      </c>
      <c r="H1362" s="15">
        <v>1.5609999999999999</v>
      </c>
      <c r="I1362">
        <v>36.11</v>
      </c>
      <c r="J1362">
        <v>21.452999999999999</v>
      </c>
      <c r="K1362">
        <v>10.528</v>
      </c>
      <c r="L1362" t="e">
        <v>#N/A</v>
      </c>
      <c r="M1362">
        <v>4.6040000000000001</v>
      </c>
      <c r="N1362">
        <v>0.31</v>
      </c>
      <c r="O1362">
        <v>2.8410000000000002</v>
      </c>
      <c r="P1362">
        <v>1.1990000000000001</v>
      </c>
      <c r="Q1362">
        <v>14</v>
      </c>
    </row>
    <row r="1363" spans="1:17" x14ac:dyDescent="0.25">
      <c r="A1363" s="1">
        <v>43171</v>
      </c>
      <c r="B1363">
        <v>10.78</v>
      </c>
      <c r="C1363">
        <v>219.94</v>
      </c>
      <c r="D1363">
        <v>3.355</v>
      </c>
      <c r="E1363">
        <v>15.5</v>
      </c>
      <c r="F1363">
        <v>6.8840000000000003</v>
      </c>
      <c r="G1363">
        <v>2.2189999999999999</v>
      </c>
      <c r="H1363" s="15">
        <v>1.581</v>
      </c>
      <c r="I1363">
        <v>36.11</v>
      </c>
      <c r="J1363">
        <v>21.452999999999999</v>
      </c>
      <c r="K1363">
        <v>10.528</v>
      </c>
      <c r="L1363" t="e">
        <v>#N/A</v>
      </c>
      <c r="M1363" t="e">
        <v>#N/A</v>
      </c>
      <c r="N1363">
        <v>0.3</v>
      </c>
      <c r="O1363">
        <v>2.8130000000000002</v>
      </c>
      <c r="P1363">
        <v>1.179</v>
      </c>
      <c r="Q1363">
        <v>13</v>
      </c>
    </row>
    <row r="1364" spans="1:17" x14ac:dyDescent="0.25">
      <c r="A1364" s="1">
        <v>43172</v>
      </c>
      <c r="B1364">
        <v>10.923999999999999</v>
      </c>
      <c r="C1364">
        <v>219.91</v>
      </c>
      <c r="D1364">
        <v>3.355</v>
      </c>
      <c r="E1364">
        <v>15.1</v>
      </c>
      <c r="F1364">
        <v>6.8390000000000004</v>
      </c>
      <c r="G1364">
        <v>2.21</v>
      </c>
      <c r="H1364" s="15">
        <v>1.61</v>
      </c>
      <c r="I1364">
        <v>36.119</v>
      </c>
      <c r="J1364">
        <v>21.550999999999998</v>
      </c>
      <c r="K1364">
        <v>10.528</v>
      </c>
      <c r="L1364">
        <v>1.6930000000000001</v>
      </c>
      <c r="M1364">
        <v>4.4989999999999997</v>
      </c>
      <c r="N1364">
        <v>0.29499999999999998</v>
      </c>
      <c r="O1364">
        <v>2.7930000000000001</v>
      </c>
      <c r="P1364">
        <v>1.17</v>
      </c>
      <c r="Q1364">
        <v>15</v>
      </c>
    </row>
    <row r="1365" spans="1:17" x14ac:dyDescent="0.25">
      <c r="A1365" s="1">
        <v>43173</v>
      </c>
      <c r="B1365">
        <v>10.943</v>
      </c>
      <c r="C1365">
        <v>215.85</v>
      </c>
      <c r="D1365" t="e">
        <v>#N/A</v>
      </c>
      <c r="E1365">
        <v>15.02</v>
      </c>
      <c r="F1365">
        <v>6.8390000000000004</v>
      </c>
      <c r="G1365">
        <v>2.1840000000000002</v>
      </c>
      <c r="H1365" s="15">
        <v>1.581</v>
      </c>
      <c r="I1365">
        <v>36.119</v>
      </c>
      <c r="J1365">
        <v>21.696000000000002</v>
      </c>
      <c r="K1365">
        <v>10.528</v>
      </c>
      <c r="L1365" t="e">
        <v>#N/A</v>
      </c>
      <c r="M1365">
        <v>4.4470000000000001</v>
      </c>
      <c r="N1365">
        <v>0.29299999999999998</v>
      </c>
      <c r="O1365">
        <v>2.7930000000000001</v>
      </c>
      <c r="P1365">
        <v>1.17</v>
      </c>
      <c r="Q1365">
        <v>13</v>
      </c>
    </row>
    <row r="1366" spans="1:17" x14ac:dyDescent="0.25">
      <c r="A1366" s="1">
        <v>43174</v>
      </c>
      <c r="B1366">
        <v>11.019</v>
      </c>
      <c r="C1366">
        <v>216.15</v>
      </c>
      <c r="D1366">
        <v>3.2469999999999999</v>
      </c>
      <c r="E1366">
        <v>14.65</v>
      </c>
      <c r="F1366">
        <v>6.8840000000000003</v>
      </c>
      <c r="G1366">
        <v>2.1930000000000001</v>
      </c>
      <c r="H1366" s="15">
        <v>1.6</v>
      </c>
      <c r="I1366">
        <v>36.127000000000002</v>
      </c>
      <c r="J1366">
        <v>21.792999999999999</v>
      </c>
      <c r="K1366">
        <v>10.528</v>
      </c>
      <c r="L1366" t="e">
        <v>#N/A</v>
      </c>
      <c r="M1366">
        <v>4.4119999999999999</v>
      </c>
      <c r="N1366">
        <v>0.29099999999999998</v>
      </c>
      <c r="O1366" t="e">
        <v>#N/A</v>
      </c>
      <c r="P1366">
        <v>1.1499999999999999</v>
      </c>
      <c r="Q1366">
        <v>13</v>
      </c>
    </row>
    <row r="1367" spans="1:17" x14ac:dyDescent="0.25">
      <c r="A1367" s="1">
        <v>43175</v>
      </c>
      <c r="B1367">
        <v>11.067</v>
      </c>
      <c r="C1367">
        <v>216.2</v>
      </c>
      <c r="D1367">
        <v>3.24</v>
      </c>
      <c r="E1367">
        <v>14.4</v>
      </c>
      <c r="F1367" t="e">
        <v>#N/A</v>
      </c>
      <c r="G1367">
        <v>2.1840000000000002</v>
      </c>
      <c r="H1367" s="15">
        <v>1.581</v>
      </c>
      <c r="I1367">
        <v>36.290999999999997</v>
      </c>
      <c r="J1367">
        <v>21.792999999999999</v>
      </c>
      <c r="K1367">
        <v>10.528</v>
      </c>
      <c r="L1367">
        <v>1.607</v>
      </c>
      <c r="M1367">
        <v>4.4119999999999999</v>
      </c>
      <c r="N1367">
        <v>0.28599999999999998</v>
      </c>
      <c r="O1367" t="e">
        <v>#N/A</v>
      </c>
      <c r="P1367">
        <v>1.121</v>
      </c>
      <c r="Q1367">
        <v>13</v>
      </c>
    </row>
    <row r="1368" spans="1:17" x14ac:dyDescent="0.25">
      <c r="A1368" s="1">
        <v>43178</v>
      </c>
      <c r="B1368">
        <v>10.971</v>
      </c>
      <c r="C1368">
        <v>216.2</v>
      </c>
      <c r="D1368">
        <v>3.24</v>
      </c>
      <c r="E1368">
        <v>14.44</v>
      </c>
      <c r="F1368">
        <v>6.9279999999999999</v>
      </c>
      <c r="G1368">
        <v>2.1840000000000002</v>
      </c>
      <c r="H1368" s="15" t="e">
        <v>#N/A</v>
      </c>
      <c r="I1368">
        <v>35.384999999999998</v>
      </c>
      <c r="J1368">
        <v>21.792999999999999</v>
      </c>
      <c r="K1368">
        <v>10.528</v>
      </c>
      <c r="L1368">
        <v>1.607</v>
      </c>
      <c r="M1368">
        <v>4.4119999999999999</v>
      </c>
      <c r="N1368">
        <v>0.28999999999999998</v>
      </c>
      <c r="O1368">
        <v>2.7450000000000001</v>
      </c>
      <c r="P1368">
        <v>1.101</v>
      </c>
      <c r="Q1368">
        <v>14</v>
      </c>
    </row>
    <row r="1369" spans="1:17" x14ac:dyDescent="0.25">
      <c r="A1369" s="1">
        <v>43179</v>
      </c>
      <c r="B1369">
        <v>10.923999999999999</v>
      </c>
      <c r="C1369">
        <v>222</v>
      </c>
      <c r="D1369">
        <v>3.1779999999999999</v>
      </c>
      <c r="E1369">
        <v>14.58</v>
      </c>
      <c r="F1369">
        <v>6.8840000000000003</v>
      </c>
      <c r="G1369">
        <v>2.1669999999999998</v>
      </c>
      <c r="H1369" s="15">
        <v>1.482</v>
      </c>
      <c r="I1369">
        <v>34.962000000000003</v>
      </c>
      <c r="J1369">
        <v>21.550999999999998</v>
      </c>
      <c r="K1369">
        <v>10.537000000000001</v>
      </c>
      <c r="L1369">
        <v>1.569</v>
      </c>
      <c r="M1369">
        <v>4.3769999999999998</v>
      </c>
      <c r="N1369">
        <v>0.29299999999999998</v>
      </c>
      <c r="O1369">
        <v>2.726</v>
      </c>
      <c r="P1369">
        <v>1.1299999999999999</v>
      </c>
      <c r="Q1369">
        <v>15</v>
      </c>
    </row>
    <row r="1370" spans="1:17" x14ac:dyDescent="0.25">
      <c r="A1370" s="1">
        <v>43180</v>
      </c>
      <c r="B1370">
        <v>10.808999999999999</v>
      </c>
      <c r="C1370">
        <v>225</v>
      </c>
      <c r="D1370">
        <v>3.2010000000000001</v>
      </c>
      <c r="E1370">
        <v>14.99</v>
      </c>
      <c r="F1370">
        <v>6.7679999999999998</v>
      </c>
      <c r="G1370">
        <v>2.1760000000000002</v>
      </c>
      <c r="H1370" s="15">
        <v>1.5609999999999999</v>
      </c>
      <c r="I1370">
        <v>34.780999999999999</v>
      </c>
      <c r="J1370">
        <v>22.084</v>
      </c>
      <c r="K1370">
        <v>10.439</v>
      </c>
      <c r="L1370">
        <v>1.645</v>
      </c>
      <c r="M1370">
        <v>4.5869999999999997</v>
      </c>
      <c r="N1370">
        <v>0.314</v>
      </c>
      <c r="O1370">
        <v>2.7450000000000001</v>
      </c>
      <c r="P1370">
        <v>1.1890000000000001</v>
      </c>
      <c r="Q1370">
        <v>15</v>
      </c>
    </row>
    <row r="1371" spans="1:17" x14ac:dyDescent="0.25">
      <c r="A1371" s="1">
        <v>43181</v>
      </c>
      <c r="B1371">
        <v>10.78</v>
      </c>
      <c r="C1371">
        <v>217.5</v>
      </c>
      <c r="D1371">
        <v>3.278</v>
      </c>
      <c r="E1371">
        <v>14.74</v>
      </c>
      <c r="F1371">
        <v>6.9729999999999999</v>
      </c>
      <c r="G1371">
        <v>2.1840000000000002</v>
      </c>
      <c r="H1371" s="15">
        <v>1.5409999999999999</v>
      </c>
      <c r="I1371">
        <v>35.384999999999998</v>
      </c>
      <c r="J1371">
        <v>22.036000000000001</v>
      </c>
      <c r="K1371">
        <v>10.528</v>
      </c>
      <c r="L1371" t="e">
        <v>#N/A</v>
      </c>
      <c r="M1371">
        <v>4.5869999999999997</v>
      </c>
      <c r="N1371">
        <v>0.31</v>
      </c>
      <c r="O1371">
        <v>2.7549999999999999</v>
      </c>
      <c r="P1371">
        <v>1.179</v>
      </c>
      <c r="Q1371">
        <v>14</v>
      </c>
    </row>
    <row r="1372" spans="1:17" x14ac:dyDescent="0.25">
      <c r="A1372" s="1">
        <v>43182</v>
      </c>
      <c r="B1372">
        <v>10.78</v>
      </c>
      <c r="C1372">
        <v>219.5</v>
      </c>
      <c r="D1372">
        <v>3.286</v>
      </c>
      <c r="E1372">
        <v>14.94</v>
      </c>
      <c r="F1372">
        <v>7.1970000000000001</v>
      </c>
      <c r="G1372">
        <v>2.1930000000000001</v>
      </c>
      <c r="H1372" s="15">
        <v>1.62</v>
      </c>
      <c r="I1372">
        <v>35.298999999999999</v>
      </c>
      <c r="J1372">
        <v>22.036000000000001</v>
      </c>
      <c r="K1372">
        <v>10.528</v>
      </c>
      <c r="L1372">
        <v>1.645</v>
      </c>
      <c r="M1372">
        <v>4.5519999999999996</v>
      </c>
      <c r="N1372">
        <v>0.317</v>
      </c>
      <c r="O1372">
        <v>2.9279999999999999</v>
      </c>
      <c r="P1372">
        <v>1.1990000000000001</v>
      </c>
      <c r="Q1372">
        <v>15</v>
      </c>
    </row>
    <row r="1373" spans="1:17" x14ac:dyDescent="0.25">
      <c r="A1373" s="1">
        <v>43185</v>
      </c>
      <c r="B1373">
        <v>10.856</v>
      </c>
      <c r="C1373">
        <v>223.6</v>
      </c>
      <c r="D1373">
        <v>3.278</v>
      </c>
      <c r="E1373">
        <v>14.96</v>
      </c>
      <c r="F1373">
        <v>7.2859999999999996</v>
      </c>
      <c r="G1373">
        <v>2.1930000000000001</v>
      </c>
      <c r="H1373" s="15">
        <v>1.63</v>
      </c>
      <c r="I1373">
        <v>34.953000000000003</v>
      </c>
      <c r="J1373">
        <v>21.939</v>
      </c>
      <c r="K1373">
        <v>10.537000000000001</v>
      </c>
      <c r="L1373">
        <v>1.655</v>
      </c>
      <c r="M1373">
        <v>4.4729999999999999</v>
      </c>
      <c r="N1373">
        <v>0.313</v>
      </c>
      <c r="O1373" t="e">
        <v>#N/A</v>
      </c>
      <c r="P1373">
        <v>1.2190000000000001</v>
      </c>
      <c r="Q1373">
        <v>14</v>
      </c>
    </row>
    <row r="1374" spans="1:17" x14ac:dyDescent="0.25">
      <c r="A1374" s="1">
        <v>43186</v>
      </c>
      <c r="B1374">
        <v>10.827999999999999</v>
      </c>
      <c r="C1374">
        <v>222.2</v>
      </c>
      <c r="D1374">
        <v>3.3170000000000002</v>
      </c>
      <c r="E1374" t="e">
        <v>#N/A</v>
      </c>
      <c r="F1374">
        <v>7.2409999999999997</v>
      </c>
      <c r="G1374">
        <v>2.1840000000000002</v>
      </c>
      <c r="H1374" s="15">
        <v>1.788</v>
      </c>
      <c r="I1374">
        <v>34.953000000000003</v>
      </c>
      <c r="J1374">
        <v>21.648</v>
      </c>
      <c r="K1374">
        <v>10.528</v>
      </c>
      <c r="L1374" t="e">
        <v>#N/A</v>
      </c>
      <c r="M1374">
        <v>4.4909999999999997</v>
      </c>
      <c r="N1374">
        <v>0.29499999999999998</v>
      </c>
      <c r="O1374">
        <v>2.8410000000000002</v>
      </c>
      <c r="P1374">
        <v>1.1990000000000001</v>
      </c>
      <c r="Q1374">
        <v>13</v>
      </c>
    </row>
    <row r="1375" spans="1:17" x14ac:dyDescent="0.25">
      <c r="A1375" s="1">
        <v>43187</v>
      </c>
      <c r="B1375">
        <v>10.78</v>
      </c>
      <c r="C1375">
        <v>224.65</v>
      </c>
      <c r="D1375">
        <v>3.355</v>
      </c>
      <c r="E1375">
        <v>14.66</v>
      </c>
      <c r="F1375">
        <v>7.1970000000000001</v>
      </c>
      <c r="G1375">
        <v>2.1840000000000002</v>
      </c>
      <c r="H1375" s="15">
        <v>1.887</v>
      </c>
      <c r="I1375" t="e">
        <v>#N/A</v>
      </c>
      <c r="J1375">
        <v>21.599</v>
      </c>
      <c r="K1375">
        <v>10.483000000000001</v>
      </c>
      <c r="L1375" t="e">
        <v>#N/A</v>
      </c>
      <c r="M1375">
        <v>4.5430000000000001</v>
      </c>
      <c r="N1375">
        <v>0.28499999999999998</v>
      </c>
      <c r="O1375">
        <v>2.8410000000000002</v>
      </c>
      <c r="P1375">
        <v>1.179</v>
      </c>
      <c r="Q1375">
        <v>13</v>
      </c>
    </row>
    <row r="1376" spans="1:17" x14ac:dyDescent="0.25">
      <c r="A1376" s="1">
        <v>43192</v>
      </c>
      <c r="B1376">
        <v>10.683999999999999</v>
      </c>
      <c r="C1376">
        <v>213.95</v>
      </c>
      <c r="D1376">
        <v>3.3940000000000001</v>
      </c>
      <c r="E1376">
        <v>15.59</v>
      </c>
      <c r="F1376">
        <v>7.2409999999999997</v>
      </c>
      <c r="G1376">
        <v>2.1760000000000002</v>
      </c>
      <c r="H1376" s="15">
        <v>1.877</v>
      </c>
      <c r="I1376">
        <v>34.953000000000003</v>
      </c>
      <c r="J1376">
        <v>21.599</v>
      </c>
      <c r="K1376">
        <v>10.457000000000001</v>
      </c>
      <c r="L1376">
        <v>1.607</v>
      </c>
      <c r="M1376">
        <v>4.5430000000000001</v>
      </c>
      <c r="N1376">
        <v>0.28399999999999997</v>
      </c>
      <c r="O1376">
        <v>2.8130000000000002</v>
      </c>
      <c r="P1376">
        <v>1.1499999999999999</v>
      </c>
      <c r="Q1376">
        <v>15</v>
      </c>
    </row>
    <row r="1377" spans="1:17" x14ac:dyDescent="0.25">
      <c r="A1377" s="1">
        <v>43193</v>
      </c>
      <c r="B1377">
        <v>10.54</v>
      </c>
      <c r="C1377">
        <v>218.42</v>
      </c>
      <c r="D1377">
        <v>3.3940000000000001</v>
      </c>
      <c r="E1377">
        <v>15.56</v>
      </c>
      <c r="F1377">
        <v>7.1520000000000001</v>
      </c>
      <c r="G1377">
        <v>2.1669999999999998</v>
      </c>
      <c r="H1377" s="15">
        <v>1.877</v>
      </c>
      <c r="I1377">
        <v>34.953000000000003</v>
      </c>
      <c r="J1377">
        <v>21.599</v>
      </c>
      <c r="K1377">
        <v>10.616</v>
      </c>
      <c r="L1377">
        <v>1.5880000000000001</v>
      </c>
      <c r="M1377">
        <v>4.4560000000000004</v>
      </c>
      <c r="N1377">
        <v>0.28799999999999998</v>
      </c>
      <c r="O1377">
        <v>2.8130000000000002</v>
      </c>
      <c r="P1377">
        <v>1.179</v>
      </c>
      <c r="Q1377">
        <v>15</v>
      </c>
    </row>
    <row r="1378" spans="1:17" x14ac:dyDescent="0.25">
      <c r="A1378" s="1">
        <v>43194</v>
      </c>
      <c r="B1378">
        <v>10.54</v>
      </c>
      <c r="C1378">
        <v>219.83</v>
      </c>
      <c r="D1378">
        <v>3.4630000000000001</v>
      </c>
      <c r="E1378">
        <v>15.96</v>
      </c>
      <c r="F1378">
        <v>7.1970000000000001</v>
      </c>
      <c r="G1378">
        <v>2.1840000000000002</v>
      </c>
      <c r="H1378" s="15">
        <v>1.9159999999999999</v>
      </c>
      <c r="I1378">
        <v>34.521999999999998</v>
      </c>
      <c r="J1378">
        <v>21.599</v>
      </c>
      <c r="K1378">
        <v>10.616</v>
      </c>
      <c r="L1378">
        <v>1.5780000000000001</v>
      </c>
      <c r="M1378">
        <v>4.4560000000000004</v>
      </c>
      <c r="N1378">
        <v>0.29499999999999998</v>
      </c>
      <c r="O1378">
        <v>2.7639999999999998</v>
      </c>
      <c r="P1378">
        <v>1.17</v>
      </c>
      <c r="Q1378">
        <v>15</v>
      </c>
    </row>
    <row r="1379" spans="1:17" x14ac:dyDescent="0.25">
      <c r="A1379" s="1">
        <v>43195</v>
      </c>
      <c r="B1379">
        <v>10.606999999999999</v>
      </c>
      <c r="C1379">
        <v>222.65</v>
      </c>
      <c r="D1379">
        <v>3.4710000000000001</v>
      </c>
      <c r="E1379">
        <v>15.85</v>
      </c>
      <c r="F1379">
        <v>7.1970000000000001</v>
      </c>
      <c r="G1379">
        <v>2.1760000000000002</v>
      </c>
      <c r="H1379" s="15">
        <v>1.907</v>
      </c>
      <c r="I1379">
        <v>34.625999999999998</v>
      </c>
      <c r="J1379">
        <v>21.599</v>
      </c>
      <c r="K1379">
        <v>10.616</v>
      </c>
      <c r="L1379" t="e">
        <v>#N/A</v>
      </c>
      <c r="M1379" t="e">
        <v>#N/A</v>
      </c>
      <c r="N1379">
        <v>0.29499999999999998</v>
      </c>
      <c r="O1379">
        <v>2.7930000000000001</v>
      </c>
      <c r="P1379">
        <v>1.1599999999999999</v>
      </c>
      <c r="Q1379">
        <v>13</v>
      </c>
    </row>
    <row r="1380" spans="1:17" x14ac:dyDescent="0.25">
      <c r="A1380" s="1">
        <v>43196</v>
      </c>
      <c r="B1380">
        <v>10.683999999999999</v>
      </c>
      <c r="C1380">
        <v>219.55</v>
      </c>
      <c r="D1380">
        <v>3.4710000000000001</v>
      </c>
      <c r="E1380">
        <v>15.96</v>
      </c>
      <c r="F1380">
        <v>7.08</v>
      </c>
      <c r="G1380">
        <v>2.1930000000000001</v>
      </c>
      <c r="H1380" s="15">
        <v>1.946</v>
      </c>
      <c r="I1380">
        <v>34.607999999999997</v>
      </c>
      <c r="J1380">
        <v>21.792999999999999</v>
      </c>
      <c r="K1380">
        <v>10.616</v>
      </c>
      <c r="L1380" t="e">
        <v>#N/A</v>
      </c>
      <c r="M1380">
        <v>4.4560000000000004</v>
      </c>
      <c r="N1380">
        <v>0.28999999999999998</v>
      </c>
      <c r="O1380">
        <v>2.7450000000000001</v>
      </c>
      <c r="P1380">
        <v>1.1399999999999999</v>
      </c>
      <c r="Q1380">
        <v>14</v>
      </c>
    </row>
    <row r="1381" spans="1:17" x14ac:dyDescent="0.25">
      <c r="A1381" s="1">
        <v>43199</v>
      </c>
      <c r="B1381">
        <v>10.683999999999999</v>
      </c>
      <c r="C1381">
        <v>220.49</v>
      </c>
      <c r="D1381" t="e">
        <v>#N/A</v>
      </c>
      <c r="E1381">
        <v>15.95</v>
      </c>
      <c r="F1381">
        <v>7.0540000000000003</v>
      </c>
      <c r="G1381">
        <v>2.1760000000000002</v>
      </c>
      <c r="H1381" s="15">
        <v>2.0049999999999999</v>
      </c>
      <c r="I1381">
        <v>34.607999999999997</v>
      </c>
      <c r="J1381">
        <v>21.792999999999999</v>
      </c>
      <c r="K1381">
        <v>10.616</v>
      </c>
      <c r="L1381">
        <v>1.607</v>
      </c>
      <c r="M1381">
        <v>4.4560000000000004</v>
      </c>
      <c r="N1381">
        <v>0.28499999999999998</v>
      </c>
      <c r="O1381">
        <v>2.7069999999999999</v>
      </c>
      <c r="P1381">
        <v>1.111</v>
      </c>
      <c r="Q1381">
        <v>14</v>
      </c>
    </row>
    <row r="1382" spans="1:17" x14ac:dyDescent="0.25">
      <c r="A1382" s="1">
        <v>43200</v>
      </c>
      <c r="B1382">
        <v>10.722</v>
      </c>
      <c r="C1382">
        <v>222.55</v>
      </c>
      <c r="D1382">
        <v>3.4319999999999999</v>
      </c>
      <c r="E1382">
        <v>16.010000000000002</v>
      </c>
      <c r="F1382">
        <v>7.08</v>
      </c>
      <c r="G1382">
        <v>2.1840000000000002</v>
      </c>
      <c r="H1382" s="15">
        <v>2.0350000000000001</v>
      </c>
      <c r="I1382">
        <v>34.607999999999997</v>
      </c>
      <c r="J1382">
        <v>21.745000000000001</v>
      </c>
      <c r="K1382">
        <v>10.625</v>
      </c>
      <c r="L1382">
        <v>1.607</v>
      </c>
      <c r="M1382">
        <v>4.4989999999999997</v>
      </c>
      <c r="N1382">
        <v>0.29499999999999998</v>
      </c>
      <c r="O1382">
        <v>2.7549999999999999</v>
      </c>
      <c r="P1382">
        <v>1.111</v>
      </c>
      <c r="Q1382">
        <v>15</v>
      </c>
    </row>
    <row r="1383" spans="1:17" x14ac:dyDescent="0.25">
      <c r="A1383" s="1">
        <v>43201</v>
      </c>
      <c r="B1383">
        <v>10.722</v>
      </c>
      <c r="C1383">
        <v>221</v>
      </c>
      <c r="D1383">
        <v>3.4249999999999998</v>
      </c>
      <c r="E1383">
        <v>16.45</v>
      </c>
      <c r="F1383">
        <v>7.1070000000000002</v>
      </c>
      <c r="G1383">
        <v>2.1930000000000001</v>
      </c>
      <c r="H1383" s="15">
        <v>2.0550000000000002</v>
      </c>
      <c r="I1383">
        <v>35.384999999999998</v>
      </c>
      <c r="J1383">
        <v>21.841999999999999</v>
      </c>
      <c r="K1383">
        <v>10.705</v>
      </c>
      <c r="L1383">
        <v>1.607</v>
      </c>
      <c r="M1383">
        <v>4.4560000000000004</v>
      </c>
      <c r="N1383">
        <v>0.30499999999999999</v>
      </c>
      <c r="O1383">
        <v>2.7639999999999998</v>
      </c>
      <c r="P1383">
        <v>1.1499999999999999</v>
      </c>
      <c r="Q1383">
        <v>15</v>
      </c>
    </row>
    <row r="1384" spans="1:17" x14ac:dyDescent="0.25">
      <c r="A1384" s="1">
        <v>43202</v>
      </c>
      <c r="B1384">
        <v>10.808999999999999</v>
      </c>
      <c r="C1384">
        <v>219.27</v>
      </c>
      <c r="D1384">
        <v>3.4089999999999998</v>
      </c>
      <c r="E1384">
        <v>16.57</v>
      </c>
      <c r="F1384">
        <v>7.1070000000000002</v>
      </c>
      <c r="G1384">
        <v>2.1930000000000001</v>
      </c>
      <c r="H1384" s="15">
        <v>2.1339999999999999</v>
      </c>
      <c r="I1384">
        <v>35.393999999999998</v>
      </c>
      <c r="J1384">
        <v>21.841999999999999</v>
      </c>
      <c r="K1384">
        <v>10.705</v>
      </c>
      <c r="L1384" t="e">
        <v>#N/A</v>
      </c>
      <c r="M1384">
        <v>4.3680000000000003</v>
      </c>
      <c r="N1384">
        <v>0.30499999999999999</v>
      </c>
      <c r="O1384">
        <v>2.7930000000000001</v>
      </c>
      <c r="P1384">
        <v>1.1299999999999999</v>
      </c>
      <c r="Q1384">
        <v>14</v>
      </c>
    </row>
    <row r="1385" spans="1:17" x14ac:dyDescent="0.25">
      <c r="A1385" s="1">
        <v>43206</v>
      </c>
      <c r="B1385">
        <v>10.808999999999999</v>
      </c>
      <c r="C1385">
        <v>215.32</v>
      </c>
      <c r="D1385">
        <v>3.4089999999999998</v>
      </c>
      <c r="E1385">
        <v>16.45</v>
      </c>
      <c r="F1385">
        <v>7.0620000000000003</v>
      </c>
      <c r="G1385">
        <v>2.1930000000000001</v>
      </c>
      <c r="H1385" s="15">
        <v>2.39</v>
      </c>
      <c r="I1385">
        <v>35.825000000000003</v>
      </c>
      <c r="J1385">
        <v>22.327000000000002</v>
      </c>
      <c r="K1385">
        <v>10.625</v>
      </c>
      <c r="L1385">
        <v>1.607</v>
      </c>
      <c r="M1385">
        <v>4.3600000000000003</v>
      </c>
      <c r="N1385">
        <v>0.30499999999999999</v>
      </c>
      <c r="O1385">
        <v>2.774</v>
      </c>
      <c r="P1385">
        <v>1.121</v>
      </c>
      <c r="Q1385">
        <v>15</v>
      </c>
    </row>
    <row r="1386" spans="1:17" x14ac:dyDescent="0.25">
      <c r="A1386" s="1">
        <v>43207</v>
      </c>
      <c r="B1386">
        <v>10.952</v>
      </c>
      <c r="C1386">
        <v>228</v>
      </c>
      <c r="D1386">
        <v>3.4710000000000001</v>
      </c>
      <c r="E1386">
        <v>16.41</v>
      </c>
      <c r="F1386">
        <v>7.0620000000000003</v>
      </c>
      <c r="G1386">
        <v>2.2440000000000002</v>
      </c>
      <c r="H1386" s="15">
        <v>2.371</v>
      </c>
      <c r="I1386">
        <v>36.247999999999998</v>
      </c>
      <c r="J1386">
        <v>23.055</v>
      </c>
      <c r="K1386">
        <v>10.829000000000001</v>
      </c>
      <c r="L1386">
        <v>1.712</v>
      </c>
      <c r="M1386">
        <v>4.6740000000000004</v>
      </c>
      <c r="N1386">
        <v>0.311</v>
      </c>
      <c r="O1386">
        <v>2.7930000000000001</v>
      </c>
      <c r="P1386">
        <v>1.1399999999999999</v>
      </c>
      <c r="Q1386">
        <v>15</v>
      </c>
    </row>
    <row r="1387" spans="1:17" x14ac:dyDescent="0.25">
      <c r="A1387" s="1">
        <v>43208</v>
      </c>
      <c r="B1387">
        <v>11.096</v>
      </c>
      <c r="C1387">
        <v>228.57</v>
      </c>
      <c r="D1387">
        <v>3.468</v>
      </c>
      <c r="E1387">
        <v>16.440000000000001</v>
      </c>
      <c r="F1387">
        <v>7.1070000000000002</v>
      </c>
      <c r="G1387">
        <v>2.2879999999999998</v>
      </c>
      <c r="H1387" s="15">
        <v>2.2229999999999999</v>
      </c>
      <c r="I1387">
        <v>36.247999999999998</v>
      </c>
      <c r="J1387">
        <v>23.055</v>
      </c>
      <c r="K1387">
        <v>10.829000000000001</v>
      </c>
      <c r="L1387">
        <v>1.6259999999999999</v>
      </c>
      <c r="M1387">
        <v>4.63</v>
      </c>
      <c r="N1387">
        <v>0.314</v>
      </c>
      <c r="O1387">
        <v>2.7930000000000001</v>
      </c>
      <c r="P1387">
        <v>1.1399999999999999</v>
      </c>
      <c r="Q1387">
        <v>15</v>
      </c>
    </row>
    <row r="1388" spans="1:17" x14ac:dyDescent="0.25">
      <c r="A1388" s="1">
        <v>43209</v>
      </c>
      <c r="B1388">
        <v>11.259</v>
      </c>
      <c r="C1388">
        <v>229.4</v>
      </c>
      <c r="D1388">
        <v>3.476</v>
      </c>
      <c r="E1388">
        <v>16.71</v>
      </c>
      <c r="F1388">
        <v>7.0179999999999998</v>
      </c>
      <c r="G1388">
        <v>2.2959999999999998</v>
      </c>
      <c r="H1388" s="15">
        <v>2.262</v>
      </c>
      <c r="I1388">
        <v>36.661999999999999</v>
      </c>
      <c r="J1388">
        <v>23.297999999999998</v>
      </c>
      <c r="K1388">
        <v>10.855</v>
      </c>
      <c r="L1388">
        <v>1.722</v>
      </c>
      <c r="M1388">
        <v>4.63</v>
      </c>
      <c r="N1388">
        <v>0.318</v>
      </c>
      <c r="O1388">
        <v>2.8029999999999999</v>
      </c>
      <c r="P1388">
        <v>1.1399999999999999</v>
      </c>
      <c r="Q1388">
        <v>15</v>
      </c>
    </row>
    <row r="1389" spans="1:17" x14ac:dyDescent="0.25">
      <c r="A1389" s="1">
        <v>43210</v>
      </c>
      <c r="B1389">
        <v>11.298</v>
      </c>
      <c r="C1389">
        <v>230.6</v>
      </c>
      <c r="D1389">
        <v>3.476</v>
      </c>
      <c r="E1389">
        <v>16.5</v>
      </c>
      <c r="F1389">
        <v>7.0620000000000003</v>
      </c>
      <c r="G1389">
        <v>2.319</v>
      </c>
      <c r="H1389" s="15">
        <v>2.282</v>
      </c>
      <c r="I1389">
        <v>37.542999999999999</v>
      </c>
      <c r="J1389">
        <v>23.297999999999998</v>
      </c>
      <c r="K1389">
        <v>10.855</v>
      </c>
      <c r="L1389">
        <v>1.722</v>
      </c>
      <c r="M1389">
        <v>4.63</v>
      </c>
      <c r="N1389">
        <v>0.31</v>
      </c>
      <c r="O1389">
        <v>2.8319999999999999</v>
      </c>
      <c r="P1389">
        <v>1.1599999999999999</v>
      </c>
      <c r="Q1389">
        <v>15</v>
      </c>
    </row>
    <row r="1390" spans="1:17" x14ac:dyDescent="0.25">
      <c r="A1390" s="1">
        <v>43213</v>
      </c>
      <c r="B1390">
        <v>11.347</v>
      </c>
      <c r="C1390">
        <v>231.7</v>
      </c>
      <c r="D1390">
        <v>3.556</v>
      </c>
      <c r="E1390">
        <v>16.45</v>
      </c>
      <c r="F1390">
        <v>7.0620000000000003</v>
      </c>
      <c r="G1390">
        <v>2.31</v>
      </c>
      <c r="H1390" s="15">
        <v>2.2719999999999998</v>
      </c>
      <c r="I1390">
        <v>40.923999999999999</v>
      </c>
      <c r="J1390">
        <v>23.492000000000001</v>
      </c>
      <c r="K1390">
        <v>10.855</v>
      </c>
      <c r="L1390" t="e">
        <v>#N/A</v>
      </c>
      <c r="M1390">
        <v>4.63</v>
      </c>
      <c r="N1390">
        <v>0.3</v>
      </c>
      <c r="O1390">
        <v>2.7839999999999998</v>
      </c>
      <c r="P1390">
        <v>1.1399999999999999</v>
      </c>
      <c r="Q1390">
        <v>14</v>
      </c>
    </row>
    <row r="1391" spans="1:17" x14ac:dyDescent="0.25">
      <c r="A1391" s="1">
        <v>43214</v>
      </c>
      <c r="B1391">
        <v>11.308</v>
      </c>
      <c r="C1391">
        <v>234.55</v>
      </c>
      <c r="D1391">
        <v>3.508</v>
      </c>
      <c r="E1391">
        <v>16.399999999999999</v>
      </c>
      <c r="F1391">
        <v>7.1520000000000001</v>
      </c>
      <c r="G1391">
        <v>2.3279999999999998</v>
      </c>
      <c r="H1391" s="15">
        <v>2.282</v>
      </c>
      <c r="I1391">
        <v>41.213000000000001</v>
      </c>
      <c r="J1391">
        <v>23.541</v>
      </c>
      <c r="K1391">
        <v>10.945</v>
      </c>
      <c r="L1391">
        <v>1.76</v>
      </c>
      <c r="M1391" t="e">
        <v>#N/A</v>
      </c>
      <c r="N1391">
        <v>0.29499999999999998</v>
      </c>
      <c r="O1391">
        <v>2.7839999999999998</v>
      </c>
      <c r="P1391">
        <v>1.1399999999999999</v>
      </c>
      <c r="Q1391">
        <v>14</v>
      </c>
    </row>
    <row r="1392" spans="1:17" x14ac:dyDescent="0.25">
      <c r="A1392" s="1">
        <v>43215</v>
      </c>
      <c r="B1392">
        <v>11.414999999999999</v>
      </c>
      <c r="C1392">
        <v>231.96</v>
      </c>
      <c r="D1392">
        <v>3.58</v>
      </c>
      <c r="E1392">
        <v>16.149999999999999</v>
      </c>
      <c r="F1392">
        <v>7.1520000000000001</v>
      </c>
      <c r="G1392">
        <v>2.355</v>
      </c>
      <c r="H1392" s="15">
        <v>2.262</v>
      </c>
      <c r="I1392">
        <v>41.213000000000001</v>
      </c>
      <c r="J1392">
        <v>23.297999999999998</v>
      </c>
      <c r="K1392">
        <v>10.945</v>
      </c>
      <c r="L1392" t="e">
        <v>#N/A</v>
      </c>
      <c r="M1392">
        <v>4.4989999999999997</v>
      </c>
      <c r="N1392">
        <v>0.30499999999999999</v>
      </c>
      <c r="O1392">
        <v>2.8319999999999999</v>
      </c>
      <c r="P1392">
        <v>1.1299999999999999</v>
      </c>
      <c r="Q1392">
        <v>14</v>
      </c>
    </row>
    <row r="1393" spans="1:17" x14ac:dyDescent="0.25">
      <c r="A1393" s="1">
        <v>43216</v>
      </c>
      <c r="B1393">
        <v>11.542999999999999</v>
      </c>
      <c r="C1393">
        <v>234.05</v>
      </c>
      <c r="D1393">
        <v>3.5960000000000001</v>
      </c>
      <c r="E1393">
        <v>16.09</v>
      </c>
      <c r="F1393">
        <v>7.2409999999999997</v>
      </c>
      <c r="G1393">
        <v>2.3919999999999999</v>
      </c>
      <c r="H1393" s="15">
        <v>2.2719999999999998</v>
      </c>
      <c r="I1393">
        <v>41.213000000000001</v>
      </c>
      <c r="J1393">
        <v>23.297999999999998</v>
      </c>
      <c r="K1393">
        <v>10.945</v>
      </c>
      <c r="L1393">
        <v>1.77</v>
      </c>
      <c r="M1393">
        <v>4.5430000000000001</v>
      </c>
      <c r="N1393">
        <v>0.31</v>
      </c>
      <c r="O1393">
        <v>2.8319999999999999</v>
      </c>
      <c r="P1393">
        <v>1.121</v>
      </c>
      <c r="Q1393">
        <v>15</v>
      </c>
    </row>
    <row r="1394" spans="1:17" x14ac:dyDescent="0.25">
      <c r="A1394" s="1">
        <v>43217</v>
      </c>
      <c r="B1394">
        <v>11.552</v>
      </c>
      <c r="C1394">
        <v>234.15</v>
      </c>
      <c r="D1394">
        <v>3.5960000000000001</v>
      </c>
      <c r="E1394">
        <v>15.96</v>
      </c>
      <c r="F1394">
        <v>7.2050000000000001</v>
      </c>
      <c r="G1394">
        <v>2.383</v>
      </c>
      <c r="H1394" s="15">
        <v>2.1829999999999998</v>
      </c>
      <c r="I1394">
        <v>41.213000000000001</v>
      </c>
      <c r="J1394">
        <v>23.103999999999999</v>
      </c>
      <c r="K1394">
        <v>10.945</v>
      </c>
      <c r="L1394">
        <v>1.7310000000000001</v>
      </c>
      <c r="M1394">
        <v>4.5430000000000001</v>
      </c>
      <c r="N1394">
        <v>0.30599999999999999</v>
      </c>
      <c r="O1394">
        <v>2.8220000000000001</v>
      </c>
      <c r="P1394">
        <v>1.121</v>
      </c>
      <c r="Q1394">
        <v>15</v>
      </c>
    </row>
    <row r="1395" spans="1:17" x14ac:dyDescent="0.25">
      <c r="A1395" s="1">
        <v>43220</v>
      </c>
      <c r="B1395">
        <v>11.689</v>
      </c>
      <c r="C1395">
        <v>231</v>
      </c>
      <c r="D1395">
        <v>3.5960000000000001</v>
      </c>
      <c r="E1395">
        <v>15.87</v>
      </c>
      <c r="F1395">
        <v>7.2859999999999996</v>
      </c>
      <c r="G1395">
        <v>2.383</v>
      </c>
      <c r="H1395" s="15">
        <v>2.2229999999999999</v>
      </c>
      <c r="I1395">
        <v>41.203000000000003</v>
      </c>
      <c r="J1395">
        <v>23.201000000000001</v>
      </c>
      <c r="K1395">
        <v>10.945</v>
      </c>
      <c r="L1395">
        <v>1.7310000000000001</v>
      </c>
      <c r="M1395">
        <v>4.5430000000000001</v>
      </c>
      <c r="N1395">
        <v>0.30499999999999999</v>
      </c>
      <c r="O1395">
        <v>2.8130000000000002</v>
      </c>
      <c r="P1395">
        <v>1.1499999999999999</v>
      </c>
      <c r="Q1395">
        <v>15</v>
      </c>
    </row>
    <row r="1396" spans="1:17" x14ac:dyDescent="0.25">
      <c r="A1396" s="1">
        <v>43222</v>
      </c>
      <c r="B1396">
        <v>11.689</v>
      </c>
      <c r="C1396">
        <v>229.5</v>
      </c>
      <c r="D1396">
        <v>3.6280000000000001</v>
      </c>
      <c r="E1396">
        <v>15.45</v>
      </c>
      <c r="F1396">
        <v>7.3310000000000004</v>
      </c>
      <c r="G1396">
        <v>2.383</v>
      </c>
      <c r="H1396" s="15">
        <v>2.2519999999999998</v>
      </c>
      <c r="I1396">
        <v>40.731999999999999</v>
      </c>
      <c r="J1396">
        <v>23.201000000000001</v>
      </c>
      <c r="K1396">
        <v>10.945</v>
      </c>
      <c r="L1396">
        <v>1.7030000000000001</v>
      </c>
      <c r="M1396">
        <v>4.63</v>
      </c>
      <c r="N1396">
        <v>0.28000000000000003</v>
      </c>
      <c r="O1396">
        <v>2.8220000000000001</v>
      </c>
      <c r="P1396">
        <v>1.121</v>
      </c>
      <c r="Q1396">
        <v>15</v>
      </c>
    </row>
    <row r="1397" spans="1:17" x14ac:dyDescent="0.25">
      <c r="A1397" s="1">
        <v>43223</v>
      </c>
      <c r="B1397">
        <v>11.425000000000001</v>
      </c>
      <c r="C1397">
        <v>223.4</v>
      </c>
      <c r="D1397">
        <v>3.6280000000000001</v>
      </c>
      <c r="E1397">
        <v>15.51</v>
      </c>
      <c r="F1397">
        <v>7.375</v>
      </c>
      <c r="G1397">
        <v>2.3650000000000002</v>
      </c>
      <c r="H1397" s="15">
        <v>2.2719999999999998</v>
      </c>
      <c r="I1397">
        <v>40.154000000000003</v>
      </c>
      <c r="J1397">
        <v>22.957999999999998</v>
      </c>
      <c r="K1397">
        <v>10.9</v>
      </c>
      <c r="L1397" t="e">
        <v>#N/A</v>
      </c>
      <c r="M1397" t="e">
        <v>#N/A</v>
      </c>
      <c r="N1397">
        <v>0.28000000000000003</v>
      </c>
      <c r="O1397">
        <v>2.8220000000000001</v>
      </c>
      <c r="P1397">
        <v>1.121</v>
      </c>
      <c r="Q1397">
        <v>13</v>
      </c>
    </row>
    <row r="1398" spans="1:17" x14ac:dyDescent="0.25">
      <c r="A1398" s="1">
        <v>43224</v>
      </c>
      <c r="B1398">
        <v>11.151</v>
      </c>
      <c r="C1398">
        <v>227.59</v>
      </c>
      <c r="D1398">
        <v>3.5960000000000001</v>
      </c>
      <c r="E1398">
        <v>15.2</v>
      </c>
      <c r="F1398">
        <v>7.375</v>
      </c>
      <c r="G1398">
        <v>2.3370000000000002</v>
      </c>
      <c r="H1398" s="15">
        <v>2.2719999999999998</v>
      </c>
      <c r="I1398">
        <v>39.479999999999997</v>
      </c>
      <c r="J1398">
        <v>22.861000000000001</v>
      </c>
      <c r="K1398">
        <v>10.917999999999999</v>
      </c>
      <c r="L1398">
        <v>1.6259999999999999</v>
      </c>
      <c r="M1398" t="e">
        <v>#N/A</v>
      </c>
      <c r="N1398">
        <v>0.28000000000000003</v>
      </c>
      <c r="O1398">
        <v>2.8319999999999999</v>
      </c>
      <c r="P1398">
        <v>1.111</v>
      </c>
      <c r="Q1398">
        <v>14</v>
      </c>
    </row>
    <row r="1399" spans="1:17" x14ac:dyDescent="0.25">
      <c r="A1399" s="1">
        <v>43227</v>
      </c>
      <c r="B1399">
        <v>11.249000000000001</v>
      </c>
      <c r="C1399">
        <v>228.97</v>
      </c>
      <c r="D1399">
        <v>3.6440000000000001</v>
      </c>
      <c r="E1399">
        <v>15.19</v>
      </c>
      <c r="F1399">
        <v>7.34</v>
      </c>
      <c r="G1399">
        <v>2.3370000000000002</v>
      </c>
      <c r="H1399" s="15">
        <v>2.2229999999999999</v>
      </c>
      <c r="I1399">
        <v>39.47</v>
      </c>
      <c r="J1399">
        <v>22.861000000000001</v>
      </c>
      <c r="K1399">
        <v>10.927</v>
      </c>
      <c r="L1399">
        <v>1.5780000000000001</v>
      </c>
      <c r="M1399">
        <v>4.63</v>
      </c>
      <c r="N1399">
        <v>0.28499999999999998</v>
      </c>
      <c r="O1399">
        <v>2.88</v>
      </c>
      <c r="P1399">
        <v>1.081</v>
      </c>
      <c r="Q1399">
        <v>15</v>
      </c>
    </row>
    <row r="1400" spans="1:17" x14ac:dyDescent="0.25">
      <c r="A1400" s="1">
        <v>43228</v>
      </c>
      <c r="B1400">
        <v>11.396000000000001</v>
      </c>
      <c r="C1400">
        <v>229.4</v>
      </c>
      <c r="D1400">
        <v>3.6360000000000001</v>
      </c>
      <c r="E1400">
        <v>15.11</v>
      </c>
      <c r="F1400">
        <v>7.3490000000000002</v>
      </c>
      <c r="G1400">
        <v>2.3370000000000002</v>
      </c>
      <c r="H1400" s="15" t="e">
        <v>#N/A</v>
      </c>
      <c r="I1400">
        <v>39.47</v>
      </c>
      <c r="J1400">
        <v>22.919</v>
      </c>
      <c r="K1400">
        <v>10.98</v>
      </c>
      <c r="L1400">
        <v>1.5880000000000001</v>
      </c>
      <c r="M1400">
        <v>4.4119999999999999</v>
      </c>
      <c r="N1400">
        <v>0.28000000000000003</v>
      </c>
      <c r="O1400" t="e">
        <v>#N/A</v>
      </c>
      <c r="P1400">
        <v>1.0620000000000001</v>
      </c>
      <c r="Q1400">
        <v>13</v>
      </c>
    </row>
    <row r="1401" spans="1:17" x14ac:dyDescent="0.25">
      <c r="A1401" s="1">
        <v>43229</v>
      </c>
      <c r="B1401">
        <v>11.532999999999999</v>
      </c>
      <c r="C1401">
        <v>226</v>
      </c>
      <c r="D1401">
        <v>3.6520000000000001</v>
      </c>
      <c r="E1401">
        <v>15.34</v>
      </c>
      <c r="F1401">
        <v>7.3490000000000002</v>
      </c>
      <c r="G1401">
        <v>2.3279999999999998</v>
      </c>
      <c r="H1401" s="15">
        <v>2.2320000000000002</v>
      </c>
      <c r="I1401">
        <v>39.384</v>
      </c>
      <c r="J1401">
        <v>23.395</v>
      </c>
      <c r="K1401">
        <v>10.811</v>
      </c>
      <c r="L1401">
        <v>1.5880000000000001</v>
      </c>
      <c r="M1401">
        <v>4.4119999999999999</v>
      </c>
      <c r="N1401">
        <v>0.28000000000000003</v>
      </c>
      <c r="O1401">
        <v>2.8410000000000002</v>
      </c>
      <c r="P1401">
        <v>1.0620000000000001</v>
      </c>
      <c r="Q1401">
        <v>15</v>
      </c>
    </row>
    <row r="1402" spans="1:17" x14ac:dyDescent="0.25">
      <c r="A1402" s="1">
        <v>43230</v>
      </c>
      <c r="B1402">
        <v>11.689</v>
      </c>
      <c r="C1402">
        <v>227.4</v>
      </c>
      <c r="D1402">
        <v>3.6360000000000001</v>
      </c>
      <c r="E1402">
        <v>15.64</v>
      </c>
      <c r="F1402">
        <v>7.2770000000000001</v>
      </c>
      <c r="G1402">
        <v>2.3650000000000002</v>
      </c>
      <c r="H1402" s="15">
        <v>2.282</v>
      </c>
      <c r="I1402">
        <v>40.337000000000003</v>
      </c>
      <c r="J1402">
        <v>23.103999999999999</v>
      </c>
      <c r="K1402">
        <v>10.9</v>
      </c>
      <c r="L1402">
        <v>1.645</v>
      </c>
      <c r="M1402">
        <v>4.4560000000000004</v>
      </c>
      <c r="N1402">
        <v>0.28499999999999998</v>
      </c>
      <c r="O1402">
        <v>2.88</v>
      </c>
      <c r="P1402">
        <v>1.081</v>
      </c>
      <c r="Q1402">
        <v>15</v>
      </c>
    </row>
    <row r="1403" spans="1:17" x14ac:dyDescent="0.25">
      <c r="A1403" s="1">
        <v>43231</v>
      </c>
      <c r="B1403">
        <v>11.64</v>
      </c>
      <c r="C1403">
        <v>227.4</v>
      </c>
      <c r="D1403">
        <v>3.6440000000000001</v>
      </c>
      <c r="E1403">
        <v>15.63</v>
      </c>
      <c r="F1403">
        <v>7.2949999999999999</v>
      </c>
      <c r="G1403">
        <v>2.3730000000000002</v>
      </c>
      <c r="H1403" s="15">
        <v>2.3210000000000002</v>
      </c>
      <c r="I1403">
        <v>40.539000000000001</v>
      </c>
      <c r="J1403">
        <v>23.297999999999998</v>
      </c>
      <c r="K1403">
        <v>11.079000000000001</v>
      </c>
      <c r="L1403">
        <v>1.6259999999999999</v>
      </c>
      <c r="M1403">
        <v>4.4640000000000004</v>
      </c>
      <c r="N1403">
        <v>0.28000000000000003</v>
      </c>
      <c r="O1403">
        <v>2.851</v>
      </c>
      <c r="P1403">
        <v>1.091</v>
      </c>
      <c r="Q1403">
        <v>15</v>
      </c>
    </row>
    <row r="1404" spans="1:17" x14ac:dyDescent="0.25">
      <c r="A1404" s="1">
        <v>43234</v>
      </c>
      <c r="B1404">
        <v>11.347</v>
      </c>
      <c r="C1404">
        <v>225.95</v>
      </c>
      <c r="D1404">
        <v>3.6360000000000001</v>
      </c>
      <c r="E1404">
        <v>15.55</v>
      </c>
      <c r="F1404">
        <v>7.3129999999999997</v>
      </c>
      <c r="G1404">
        <v>2.319</v>
      </c>
      <c r="H1404" s="15">
        <v>2.3210000000000002</v>
      </c>
      <c r="I1404">
        <v>39.960999999999999</v>
      </c>
      <c r="J1404">
        <v>23.297999999999998</v>
      </c>
      <c r="K1404">
        <v>11.034000000000001</v>
      </c>
      <c r="L1404" t="e">
        <v>#N/A</v>
      </c>
      <c r="M1404">
        <v>4.4560000000000004</v>
      </c>
      <c r="N1404">
        <v>0.27400000000000002</v>
      </c>
      <c r="O1404">
        <v>2.851</v>
      </c>
      <c r="P1404">
        <v>1.071</v>
      </c>
      <c r="Q1404">
        <v>14</v>
      </c>
    </row>
    <row r="1405" spans="1:17" x14ac:dyDescent="0.25">
      <c r="A1405" s="1">
        <v>43235</v>
      </c>
      <c r="B1405">
        <v>11.396000000000001</v>
      </c>
      <c r="C1405">
        <v>225.75</v>
      </c>
      <c r="D1405">
        <v>3.6440000000000001</v>
      </c>
      <c r="E1405">
        <v>15.46</v>
      </c>
      <c r="F1405">
        <v>7.1970000000000001</v>
      </c>
      <c r="G1405">
        <v>2.31</v>
      </c>
      <c r="H1405" s="15" t="e">
        <v>#N/A</v>
      </c>
      <c r="I1405">
        <v>40.201999999999998</v>
      </c>
      <c r="J1405">
        <v>23.297999999999998</v>
      </c>
      <c r="K1405">
        <v>10.9</v>
      </c>
      <c r="L1405">
        <v>1.6259999999999999</v>
      </c>
      <c r="M1405">
        <v>4.4989999999999997</v>
      </c>
      <c r="N1405">
        <v>0.27400000000000002</v>
      </c>
      <c r="O1405" t="e">
        <v>#N/A</v>
      </c>
      <c r="P1405">
        <v>1.0620000000000001</v>
      </c>
      <c r="Q1405">
        <v>13</v>
      </c>
    </row>
    <row r="1406" spans="1:17" x14ac:dyDescent="0.25">
      <c r="A1406" s="1">
        <v>43236</v>
      </c>
      <c r="B1406">
        <v>11.347</v>
      </c>
      <c r="C1406">
        <v>221.81</v>
      </c>
      <c r="D1406">
        <v>3.6440000000000001</v>
      </c>
      <c r="E1406">
        <v>15.4</v>
      </c>
      <c r="F1406">
        <v>7.08</v>
      </c>
      <c r="G1406">
        <v>2.319</v>
      </c>
      <c r="H1406" s="15">
        <v>2.2719999999999998</v>
      </c>
      <c r="I1406">
        <v>40.442999999999998</v>
      </c>
      <c r="J1406">
        <v>23.297999999999998</v>
      </c>
      <c r="K1406">
        <v>10.721</v>
      </c>
      <c r="L1406">
        <v>1.569</v>
      </c>
      <c r="M1406">
        <v>4.4989999999999997</v>
      </c>
      <c r="N1406">
        <v>0.28000000000000003</v>
      </c>
      <c r="O1406">
        <v>2.806</v>
      </c>
      <c r="P1406">
        <v>1.0620000000000001</v>
      </c>
      <c r="Q1406">
        <v>15</v>
      </c>
    </row>
    <row r="1407" spans="1:17" x14ac:dyDescent="0.25">
      <c r="A1407" s="1">
        <v>43237</v>
      </c>
      <c r="B1407">
        <v>11.542999999999999</v>
      </c>
      <c r="C1407">
        <v>223.75</v>
      </c>
      <c r="D1407">
        <v>3.5960000000000001</v>
      </c>
      <c r="E1407">
        <v>15.23</v>
      </c>
      <c r="F1407">
        <v>7.1340000000000003</v>
      </c>
      <c r="G1407">
        <v>2.3730000000000002</v>
      </c>
      <c r="H1407" s="15">
        <v>2.2719999999999998</v>
      </c>
      <c r="I1407">
        <v>39.960999999999999</v>
      </c>
      <c r="J1407">
        <v>24.268999999999998</v>
      </c>
      <c r="K1407">
        <v>10.721</v>
      </c>
      <c r="L1407">
        <v>1.6259999999999999</v>
      </c>
      <c r="M1407">
        <v>4.4560000000000004</v>
      </c>
      <c r="N1407">
        <v>0.28000000000000003</v>
      </c>
      <c r="O1407">
        <v>2.806</v>
      </c>
      <c r="P1407">
        <v>1.052</v>
      </c>
      <c r="Q1407">
        <v>15</v>
      </c>
    </row>
    <row r="1408" spans="1:17" x14ac:dyDescent="0.25">
      <c r="A1408" s="1">
        <v>43238</v>
      </c>
      <c r="B1408">
        <v>11.728</v>
      </c>
      <c r="C1408">
        <v>222.25</v>
      </c>
      <c r="D1408">
        <v>3.556</v>
      </c>
      <c r="E1408">
        <v>15.48</v>
      </c>
      <c r="F1408">
        <v>7.17</v>
      </c>
      <c r="G1408">
        <v>2.3650000000000002</v>
      </c>
      <c r="H1408" s="15">
        <v>2.0249999999999999</v>
      </c>
      <c r="I1408">
        <v>39.479999999999997</v>
      </c>
      <c r="J1408">
        <v>24.026</v>
      </c>
      <c r="K1408">
        <v>10.837999999999999</v>
      </c>
      <c r="L1408">
        <v>1.6359999999999999</v>
      </c>
      <c r="M1408">
        <v>4.4989999999999997</v>
      </c>
      <c r="N1408">
        <v>0.28000000000000003</v>
      </c>
      <c r="O1408">
        <v>2.806</v>
      </c>
      <c r="P1408">
        <v>1.032</v>
      </c>
      <c r="Q1408">
        <v>15</v>
      </c>
    </row>
    <row r="1409" spans="1:17" x14ac:dyDescent="0.25">
      <c r="A1409" s="1">
        <v>43241</v>
      </c>
      <c r="B1409">
        <v>11.64</v>
      </c>
      <c r="C1409">
        <v>223.4</v>
      </c>
      <c r="D1409">
        <v>3.5960000000000001</v>
      </c>
      <c r="E1409">
        <v>15.39</v>
      </c>
      <c r="F1409">
        <v>7.1790000000000003</v>
      </c>
      <c r="G1409">
        <v>2.3730000000000002</v>
      </c>
      <c r="H1409" s="15">
        <v>1.877</v>
      </c>
      <c r="I1409" t="e">
        <v>#N/A</v>
      </c>
      <c r="J1409">
        <v>24.268999999999998</v>
      </c>
      <c r="K1409">
        <v>10.9</v>
      </c>
      <c r="L1409">
        <v>1.607</v>
      </c>
      <c r="M1409">
        <v>4.4989999999999997</v>
      </c>
      <c r="N1409">
        <v>0.28000000000000003</v>
      </c>
      <c r="O1409">
        <v>2.806</v>
      </c>
      <c r="P1409">
        <v>1.0620000000000001</v>
      </c>
      <c r="Q1409">
        <v>14</v>
      </c>
    </row>
    <row r="1410" spans="1:17" x14ac:dyDescent="0.25">
      <c r="A1410" s="1">
        <v>43242</v>
      </c>
      <c r="B1410">
        <v>11.621</v>
      </c>
      <c r="C1410">
        <v>223.3</v>
      </c>
      <c r="D1410">
        <v>3.5880000000000001</v>
      </c>
      <c r="E1410">
        <v>15.81</v>
      </c>
      <c r="F1410">
        <v>7.1520000000000001</v>
      </c>
      <c r="G1410">
        <v>2.41</v>
      </c>
      <c r="H1410" s="15">
        <v>1.897</v>
      </c>
      <c r="I1410">
        <v>39.286999999999999</v>
      </c>
      <c r="J1410">
        <v>24.026</v>
      </c>
      <c r="K1410">
        <v>10.989000000000001</v>
      </c>
      <c r="L1410">
        <v>1.6359999999999999</v>
      </c>
      <c r="M1410">
        <v>4.508</v>
      </c>
      <c r="N1410">
        <v>0.27500000000000002</v>
      </c>
      <c r="O1410">
        <v>2.7570000000000001</v>
      </c>
      <c r="P1410">
        <v>1.071</v>
      </c>
      <c r="Q1410">
        <v>15</v>
      </c>
    </row>
    <row r="1411" spans="1:17" x14ac:dyDescent="0.25">
      <c r="A1411" s="1">
        <v>43243</v>
      </c>
      <c r="B1411">
        <v>11.590999999999999</v>
      </c>
      <c r="C1411">
        <v>218.73</v>
      </c>
      <c r="D1411">
        <v>3.6120000000000001</v>
      </c>
      <c r="E1411">
        <v>15.6</v>
      </c>
      <c r="F1411">
        <v>7.1070000000000002</v>
      </c>
      <c r="G1411">
        <v>2.383</v>
      </c>
      <c r="H1411" s="15">
        <v>2.0049999999999999</v>
      </c>
      <c r="I1411">
        <v>39.286999999999999</v>
      </c>
      <c r="J1411">
        <v>24.026</v>
      </c>
      <c r="K1411">
        <v>11.167999999999999</v>
      </c>
      <c r="L1411">
        <v>1.617</v>
      </c>
      <c r="M1411">
        <v>4.5430000000000001</v>
      </c>
      <c r="N1411">
        <v>0.28000000000000003</v>
      </c>
      <c r="O1411">
        <v>2.806</v>
      </c>
      <c r="P1411">
        <v>1.052</v>
      </c>
      <c r="Q1411">
        <v>15</v>
      </c>
    </row>
    <row r="1412" spans="1:17" x14ac:dyDescent="0.25">
      <c r="A1412" s="1">
        <v>43244</v>
      </c>
      <c r="B1412">
        <v>11.68</v>
      </c>
      <c r="C1412">
        <v>219.05</v>
      </c>
      <c r="D1412">
        <v>3.6360000000000001</v>
      </c>
      <c r="E1412">
        <v>15.92</v>
      </c>
      <c r="F1412">
        <v>7.1520000000000001</v>
      </c>
      <c r="G1412">
        <v>2.3919999999999999</v>
      </c>
      <c r="H1412" s="15">
        <v>2.173</v>
      </c>
      <c r="I1412">
        <v>39.671999999999997</v>
      </c>
      <c r="J1412">
        <v>23.783000000000001</v>
      </c>
      <c r="K1412">
        <v>11.167999999999999</v>
      </c>
      <c r="L1412">
        <v>1.617</v>
      </c>
      <c r="M1412">
        <v>4.63</v>
      </c>
      <c r="N1412">
        <v>0.28000000000000003</v>
      </c>
      <c r="O1412">
        <v>2.806</v>
      </c>
      <c r="P1412">
        <v>1.032</v>
      </c>
      <c r="Q1412">
        <v>15</v>
      </c>
    </row>
    <row r="1413" spans="1:17" x14ac:dyDescent="0.25">
      <c r="A1413" s="1">
        <v>43245</v>
      </c>
      <c r="B1413">
        <v>11.542999999999999</v>
      </c>
      <c r="C1413">
        <v>224.15</v>
      </c>
      <c r="D1413">
        <v>3.5960000000000001</v>
      </c>
      <c r="E1413">
        <v>15.71</v>
      </c>
      <c r="F1413">
        <v>7.2050000000000001</v>
      </c>
      <c r="G1413">
        <v>2.3919999999999999</v>
      </c>
      <c r="H1413" s="15">
        <v>2.173</v>
      </c>
      <c r="I1413" t="e">
        <v>#N/A</v>
      </c>
      <c r="J1413">
        <v>23.588999999999999</v>
      </c>
      <c r="K1413">
        <v>11.167999999999999</v>
      </c>
      <c r="L1413">
        <v>1.617</v>
      </c>
      <c r="M1413" t="e">
        <v>#N/A</v>
      </c>
      <c r="N1413">
        <v>0.27800000000000002</v>
      </c>
      <c r="O1413">
        <v>2.806</v>
      </c>
      <c r="P1413">
        <v>1.0029999999999999</v>
      </c>
      <c r="Q1413">
        <v>13</v>
      </c>
    </row>
    <row r="1414" spans="1:17" x14ac:dyDescent="0.25">
      <c r="A1414" s="1">
        <v>43248</v>
      </c>
      <c r="B1414">
        <v>11.494</v>
      </c>
      <c r="C1414">
        <v>224</v>
      </c>
      <c r="D1414">
        <v>3.6280000000000001</v>
      </c>
      <c r="E1414">
        <v>15.55</v>
      </c>
      <c r="F1414">
        <v>7.2949999999999999</v>
      </c>
      <c r="G1414">
        <v>2.4009999999999998</v>
      </c>
      <c r="H1414" s="15">
        <v>2.1440000000000001</v>
      </c>
      <c r="I1414">
        <v>39.479999999999997</v>
      </c>
      <c r="J1414">
        <v>23.783000000000001</v>
      </c>
      <c r="K1414">
        <v>11.167999999999999</v>
      </c>
      <c r="L1414">
        <v>1.6739999999999999</v>
      </c>
      <c r="M1414" t="e">
        <v>#N/A</v>
      </c>
      <c r="N1414">
        <v>0.27300000000000002</v>
      </c>
      <c r="O1414">
        <v>2.835</v>
      </c>
      <c r="P1414">
        <v>1.0029999999999999</v>
      </c>
      <c r="Q1414">
        <v>14</v>
      </c>
    </row>
    <row r="1415" spans="1:17" x14ac:dyDescent="0.25">
      <c r="A1415" s="1">
        <v>43249</v>
      </c>
      <c r="B1415">
        <v>11.396000000000001</v>
      </c>
      <c r="C1415">
        <v>217.68</v>
      </c>
      <c r="D1415">
        <v>3.5960000000000001</v>
      </c>
      <c r="E1415">
        <v>15.5</v>
      </c>
      <c r="F1415">
        <v>7.1159999999999997</v>
      </c>
      <c r="G1415">
        <v>2.41</v>
      </c>
      <c r="H1415" s="15">
        <v>2.0739999999999998</v>
      </c>
      <c r="I1415">
        <v>38.997999999999998</v>
      </c>
      <c r="J1415">
        <v>23.686</v>
      </c>
      <c r="K1415">
        <v>11.167999999999999</v>
      </c>
      <c r="L1415">
        <v>1.645</v>
      </c>
      <c r="M1415">
        <v>4.5430000000000001</v>
      </c>
      <c r="N1415">
        <v>0.27</v>
      </c>
      <c r="O1415">
        <v>2.835</v>
      </c>
      <c r="P1415">
        <v>0.99299999999999999</v>
      </c>
      <c r="Q1415">
        <v>15</v>
      </c>
    </row>
    <row r="1416" spans="1:17" x14ac:dyDescent="0.25">
      <c r="A1416" s="1">
        <v>43250</v>
      </c>
      <c r="B1416">
        <v>11.494</v>
      </c>
      <c r="C1416">
        <v>219.85</v>
      </c>
      <c r="D1416">
        <v>3.556</v>
      </c>
      <c r="E1416" t="e">
        <v>#N/A</v>
      </c>
      <c r="F1416">
        <v>7.0179999999999998</v>
      </c>
      <c r="G1416">
        <v>2.41</v>
      </c>
      <c r="H1416" s="15">
        <v>1.9950000000000001</v>
      </c>
      <c r="I1416">
        <v>39.479999999999997</v>
      </c>
      <c r="J1416">
        <v>23.783000000000001</v>
      </c>
      <c r="K1416">
        <v>11.167999999999999</v>
      </c>
      <c r="L1416">
        <v>1.645</v>
      </c>
      <c r="M1416" t="e">
        <v>#N/A</v>
      </c>
      <c r="N1416">
        <v>0.26500000000000001</v>
      </c>
      <c r="O1416">
        <v>2.8250000000000002</v>
      </c>
      <c r="P1416">
        <v>0.96299999999999997</v>
      </c>
      <c r="Q1416">
        <v>13</v>
      </c>
    </row>
    <row r="1417" spans="1:17" x14ac:dyDescent="0.25">
      <c r="A1417" s="1">
        <v>43251</v>
      </c>
      <c r="B1417">
        <v>11.347</v>
      </c>
      <c r="C1417">
        <v>221.7</v>
      </c>
      <c r="D1417">
        <v>3.5640000000000001</v>
      </c>
      <c r="E1417">
        <v>15.32</v>
      </c>
      <c r="F1417">
        <v>7.0179999999999998</v>
      </c>
      <c r="G1417">
        <v>2.41</v>
      </c>
      <c r="H1417" s="15">
        <v>2.0150000000000001</v>
      </c>
      <c r="I1417">
        <v>39.960999999999999</v>
      </c>
      <c r="J1417">
        <v>24.56</v>
      </c>
      <c r="K1417">
        <v>11.167999999999999</v>
      </c>
      <c r="L1417">
        <v>1.6259999999999999</v>
      </c>
      <c r="M1417">
        <v>4.4989999999999997</v>
      </c>
      <c r="N1417">
        <v>0.26200000000000001</v>
      </c>
      <c r="O1417" t="e">
        <v>#N/A</v>
      </c>
      <c r="P1417">
        <v>0.97299999999999998</v>
      </c>
      <c r="Q1417">
        <v>14</v>
      </c>
    </row>
    <row r="1418" spans="1:17" x14ac:dyDescent="0.25">
      <c r="A1418" s="1">
        <v>43252</v>
      </c>
      <c r="B1418">
        <v>11.375999999999999</v>
      </c>
      <c r="C1418">
        <v>226.4</v>
      </c>
      <c r="D1418">
        <v>3.6360000000000001</v>
      </c>
      <c r="E1418">
        <v>15.62</v>
      </c>
      <c r="F1418">
        <v>7.17</v>
      </c>
      <c r="G1418">
        <v>2.3650000000000002</v>
      </c>
      <c r="H1418" s="15">
        <v>2.0350000000000001</v>
      </c>
      <c r="I1418">
        <v>39.970999999999997</v>
      </c>
      <c r="J1418">
        <v>24.617999999999999</v>
      </c>
      <c r="K1418">
        <v>11.159000000000001</v>
      </c>
      <c r="L1418">
        <v>1.597</v>
      </c>
      <c r="M1418">
        <v>4.4989999999999997</v>
      </c>
      <c r="N1418">
        <v>0.26500000000000001</v>
      </c>
      <c r="O1418">
        <v>2.8250000000000002</v>
      </c>
      <c r="P1418">
        <v>0.99299999999999999</v>
      </c>
      <c r="Q1418">
        <v>15</v>
      </c>
    </row>
    <row r="1419" spans="1:17" x14ac:dyDescent="0.25">
      <c r="A1419" s="1">
        <v>43255</v>
      </c>
      <c r="B1419">
        <v>11.347</v>
      </c>
      <c r="C1419">
        <v>228.1</v>
      </c>
      <c r="D1419">
        <v>3.7080000000000002</v>
      </c>
      <c r="E1419">
        <v>15.86</v>
      </c>
      <c r="F1419">
        <v>7.17</v>
      </c>
      <c r="G1419">
        <v>2.383</v>
      </c>
      <c r="H1419" s="15">
        <v>2.0550000000000002</v>
      </c>
      <c r="I1419">
        <v>40.442999999999998</v>
      </c>
      <c r="J1419">
        <v>24.997</v>
      </c>
      <c r="K1419">
        <v>11.159000000000001</v>
      </c>
      <c r="L1419">
        <v>1.597</v>
      </c>
      <c r="M1419">
        <v>4.4989999999999997</v>
      </c>
      <c r="N1419">
        <v>0.26300000000000001</v>
      </c>
      <c r="O1419">
        <v>2.806</v>
      </c>
      <c r="P1419">
        <v>0.99299999999999999</v>
      </c>
      <c r="Q1419">
        <v>15</v>
      </c>
    </row>
    <row r="1420" spans="1:17" x14ac:dyDescent="0.25">
      <c r="A1420" s="1">
        <v>43256</v>
      </c>
      <c r="B1420">
        <v>11.259</v>
      </c>
      <c r="C1420">
        <v>228.15</v>
      </c>
      <c r="D1420">
        <v>3.7160000000000002</v>
      </c>
      <c r="E1420">
        <v>16.03</v>
      </c>
      <c r="F1420">
        <v>7.1970000000000001</v>
      </c>
      <c r="G1420">
        <v>2.355</v>
      </c>
      <c r="H1420" s="15">
        <v>2.1040000000000001</v>
      </c>
      <c r="I1420">
        <v>39.191000000000003</v>
      </c>
      <c r="J1420">
        <v>24.986999999999998</v>
      </c>
      <c r="K1420">
        <v>11.167999999999999</v>
      </c>
      <c r="L1420">
        <v>1.597</v>
      </c>
      <c r="M1420">
        <v>4.4989999999999997</v>
      </c>
      <c r="N1420">
        <v>0.26300000000000001</v>
      </c>
      <c r="O1420" t="e">
        <v>#N/A</v>
      </c>
      <c r="P1420">
        <v>0.99299999999999999</v>
      </c>
      <c r="Q1420">
        <v>14</v>
      </c>
    </row>
    <row r="1421" spans="1:17" x14ac:dyDescent="0.25">
      <c r="A1421" s="1">
        <v>43257</v>
      </c>
      <c r="B1421">
        <v>11.298</v>
      </c>
      <c r="C1421">
        <v>232</v>
      </c>
      <c r="D1421">
        <v>3.6760000000000002</v>
      </c>
      <c r="E1421">
        <v>15.84</v>
      </c>
      <c r="F1421">
        <v>7.1970000000000001</v>
      </c>
      <c r="G1421">
        <v>2.383</v>
      </c>
      <c r="H1421" s="15">
        <v>2.0739999999999998</v>
      </c>
      <c r="I1421" t="e">
        <v>#N/A</v>
      </c>
      <c r="J1421">
        <v>25.094000000000001</v>
      </c>
      <c r="K1421">
        <v>10.945</v>
      </c>
      <c r="L1421">
        <v>1.6259999999999999</v>
      </c>
      <c r="M1421">
        <v>4.4989999999999997</v>
      </c>
      <c r="N1421">
        <v>0.26500000000000001</v>
      </c>
      <c r="O1421">
        <v>2.7770000000000001</v>
      </c>
      <c r="P1421">
        <v>1.012</v>
      </c>
      <c r="Q1421">
        <v>14</v>
      </c>
    </row>
    <row r="1422" spans="1:17" x14ac:dyDescent="0.25">
      <c r="A1422" s="1">
        <v>43258</v>
      </c>
      <c r="B1422">
        <v>11.631</v>
      </c>
      <c r="C1422">
        <v>228.25</v>
      </c>
      <c r="D1422">
        <v>3.6360000000000001</v>
      </c>
      <c r="E1422">
        <v>16.11</v>
      </c>
      <c r="F1422">
        <v>7.125</v>
      </c>
      <c r="G1422">
        <v>2.355</v>
      </c>
      <c r="H1422" s="15">
        <v>2.0739999999999998</v>
      </c>
      <c r="I1422">
        <v>39.479999999999997</v>
      </c>
      <c r="J1422">
        <v>25.239000000000001</v>
      </c>
      <c r="K1422">
        <v>10.945</v>
      </c>
      <c r="L1422">
        <v>1.597</v>
      </c>
      <c r="M1422">
        <v>4.4989999999999997</v>
      </c>
      <c r="N1422">
        <v>0.26300000000000001</v>
      </c>
      <c r="O1422">
        <v>2.7189999999999999</v>
      </c>
      <c r="P1422">
        <v>0.99299999999999999</v>
      </c>
      <c r="Q1422">
        <v>15</v>
      </c>
    </row>
    <row r="1423" spans="1:17" x14ac:dyDescent="0.25">
      <c r="A1423" s="1">
        <v>43259</v>
      </c>
      <c r="B1423">
        <v>11.542999999999999</v>
      </c>
      <c r="C1423">
        <v>229.65</v>
      </c>
      <c r="D1423">
        <v>3.6360000000000001</v>
      </c>
      <c r="E1423">
        <v>15.83</v>
      </c>
      <c r="F1423">
        <v>7.0979999999999999</v>
      </c>
      <c r="G1423">
        <v>2.3370000000000002</v>
      </c>
      <c r="H1423" s="15">
        <v>2.0739999999999998</v>
      </c>
      <c r="I1423">
        <v>39.479999999999997</v>
      </c>
      <c r="J1423">
        <v>25.239000000000001</v>
      </c>
      <c r="K1423">
        <v>10.945</v>
      </c>
      <c r="L1423">
        <v>1.597</v>
      </c>
      <c r="M1423">
        <v>4.4379999999999997</v>
      </c>
      <c r="N1423">
        <v>0.25</v>
      </c>
      <c r="O1423">
        <v>2.738</v>
      </c>
      <c r="P1423">
        <v>0.99299999999999999</v>
      </c>
      <c r="Q1423">
        <v>15</v>
      </c>
    </row>
    <row r="1424" spans="1:17" x14ac:dyDescent="0.25">
      <c r="A1424" s="1">
        <v>43262</v>
      </c>
      <c r="B1424">
        <v>11.542999999999999</v>
      </c>
      <c r="C1424">
        <v>228.7</v>
      </c>
      <c r="D1424">
        <v>3.6280000000000001</v>
      </c>
      <c r="E1424">
        <v>15.75</v>
      </c>
      <c r="F1424">
        <v>7.1520000000000001</v>
      </c>
      <c r="G1424">
        <v>2.2829999999999999</v>
      </c>
      <c r="H1424" s="15">
        <v>2.0550000000000002</v>
      </c>
      <c r="I1424">
        <v>39.960999999999999</v>
      </c>
      <c r="J1424">
        <v>25.23</v>
      </c>
      <c r="K1424">
        <v>11.122999999999999</v>
      </c>
      <c r="L1424">
        <v>1.5780000000000001</v>
      </c>
      <c r="M1424">
        <v>4.4820000000000002</v>
      </c>
      <c r="N1424">
        <v>0.255</v>
      </c>
      <c r="O1424">
        <v>2.7570000000000001</v>
      </c>
      <c r="P1424">
        <v>1.0029999999999999</v>
      </c>
      <c r="Q1424">
        <v>15</v>
      </c>
    </row>
    <row r="1425" spans="1:17" x14ac:dyDescent="0.25">
      <c r="A1425" s="1">
        <v>43263</v>
      </c>
      <c r="B1425">
        <v>11.64</v>
      </c>
      <c r="C1425">
        <v>231.55</v>
      </c>
      <c r="D1425">
        <v>3.6440000000000001</v>
      </c>
      <c r="E1425">
        <v>15.89</v>
      </c>
      <c r="F1425">
        <v>7.1970000000000001</v>
      </c>
      <c r="G1425">
        <v>2.2919999999999998</v>
      </c>
      <c r="H1425" s="15">
        <v>2.0249999999999999</v>
      </c>
      <c r="I1425">
        <v>39.479999999999997</v>
      </c>
      <c r="J1425">
        <v>25.22</v>
      </c>
      <c r="K1425">
        <v>11.122999999999999</v>
      </c>
      <c r="L1425">
        <v>1.5780000000000001</v>
      </c>
      <c r="M1425">
        <v>4.4379999999999997</v>
      </c>
      <c r="N1425">
        <v>0.254</v>
      </c>
      <c r="O1425">
        <v>2.738</v>
      </c>
      <c r="P1425">
        <v>1.022</v>
      </c>
      <c r="Q1425">
        <v>15</v>
      </c>
    </row>
    <row r="1426" spans="1:17" x14ac:dyDescent="0.25">
      <c r="A1426" s="1">
        <v>43264</v>
      </c>
      <c r="B1426">
        <v>11.64</v>
      </c>
      <c r="C1426">
        <v>230.6</v>
      </c>
      <c r="D1426">
        <v>3.6760000000000002</v>
      </c>
      <c r="E1426">
        <v>15.31</v>
      </c>
      <c r="F1426">
        <v>7.1070000000000002</v>
      </c>
      <c r="G1426">
        <v>2.2829999999999999</v>
      </c>
      <c r="H1426" s="15">
        <v>2.0249999999999999</v>
      </c>
      <c r="I1426">
        <v>39.865000000000002</v>
      </c>
      <c r="J1426">
        <v>25.239000000000001</v>
      </c>
      <c r="K1426">
        <v>10.989000000000001</v>
      </c>
      <c r="L1426">
        <v>1.5780000000000001</v>
      </c>
      <c r="M1426" t="e">
        <v>#N/A</v>
      </c>
      <c r="N1426">
        <v>0.25</v>
      </c>
      <c r="O1426">
        <v>2.738</v>
      </c>
      <c r="P1426">
        <v>1.0029999999999999</v>
      </c>
      <c r="Q1426">
        <v>14</v>
      </c>
    </row>
    <row r="1427" spans="1:17" x14ac:dyDescent="0.25">
      <c r="A1427" s="1">
        <v>43265</v>
      </c>
      <c r="B1427">
        <v>11.590999999999999</v>
      </c>
      <c r="C1427">
        <v>226.3</v>
      </c>
      <c r="D1427">
        <v>3.6440000000000001</v>
      </c>
      <c r="E1427">
        <v>15.49</v>
      </c>
      <c r="F1427">
        <v>7.0620000000000003</v>
      </c>
      <c r="G1427">
        <v>2.2829999999999999</v>
      </c>
      <c r="H1427" s="15">
        <v>2.0249999999999999</v>
      </c>
      <c r="I1427">
        <v>39.479999999999997</v>
      </c>
      <c r="J1427">
        <v>24.754000000000001</v>
      </c>
      <c r="K1427">
        <v>11.132</v>
      </c>
      <c r="L1427">
        <v>1.5780000000000001</v>
      </c>
      <c r="M1427">
        <v>4.3680000000000003</v>
      </c>
      <c r="N1427">
        <v>0.25</v>
      </c>
      <c r="O1427">
        <v>2.7189999999999999</v>
      </c>
      <c r="P1427">
        <v>0.99299999999999999</v>
      </c>
      <c r="Q1427">
        <v>15</v>
      </c>
    </row>
    <row r="1428" spans="1:17" x14ac:dyDescent="0.25">
      <c r="A1428" s="1">
        <v>43266</v>
      </c>
      <c r="B1428">
        <v>11.445</v>
      </c>
      <c r="C1428">
        <v>225</v>
      </c>
      <c r="D1428">
        <v>3.66</v>
      </c>
      <c r="E1428">
        <v>14.64</v>
      </c>
      <c r="F1428">
        <v>7.1070000000000002</v>
      </c>
      <c r="G1428">
        <v>2.2200000000000002</v>
      </c>
      <c r="H1428" s="15">
        <v>2.0249999999999999</v>
      </c>
      <c r="I1428">
        <v>38.902000000000001</v>
      </c>
      <c r="J1428">
        <v>25.239000000000001</v>
      </c>
      <c r="K1428">
        <v>11.007</v>
      </c>
      <c r="L1428">
        <v>1.5589999999999999</v>
      </c>
      <c r="M1428" t="e">
        <v>#N/A</v>
      </c>
      <c r="N1428">
        <v>0.24099999999999999</v>
      </c>
      <c r="O1428">
        <v>2.7189999999999999</v>
      </c>
      <c r="P1428">
        <v>0.98299999999999998</v>
      </c>
      <c r="Q1428">
        <v>14</v>
      </c>
    </row>
    <row r="1429" spans="1:17" x14ac:dyDescent="0.25">
      <c r="A1429" s="1">
        <v>43269</v>
      </c>
      <c r="B1429">
        <v>11.396000000000001</v>
      </c>
      <c r="C1429">
        <v>223.3</v>
      </c>
      <c r="D1429">
        <v>3.6920000000000002</v>
      </c>
      <c r="E1429">
        <v>14.75</v>
      </c>
      <c r="F1429">
        <v>7.08</v>
      </c>
      <c r="G1429">
        <v>2.2010000000000001</v>
      </c>
      <c r="H1429" s="15">
        <v>2.0249999999999999</v>
      </c>
      <c r="I1429" t="e">
        <v>#N/A</v>
      </c>
      <c r="J1429">
        <v>24.754000000000001</v>
      </c>
      <c r="K1429">
        <v>11.052</v>
      </c>
      <c r="L1429" t="e">
        <v>#N/A</v>
      </c>
      <c r="M1429" t="e">
        <v>#N/A</v>
      </c>
      <c r="N1429">
        <v>0.245</v>
      </c>
      <c r="O1429">
        <v>2.7090000000000001</v>
      </c>
      <c r="P1429">
        <v>0.97299999999999998</v>
      </c>
      <c r="Q1429">
        <v>12</v>
      </c>
    </row>
    <row r="1430" spans="1:17" x14ac:dyDescent="0.25">
      <c r="A1430" s="1">
        <v>43270</v>
      </c>
      <c r="B1430">
        <v>11.445</v>
      </c>
      <c r="C1430">
        <v>223.5</v>
      </c>
      <c r="D1430">
        <v>3.6760000000000002</v>
      </c>
      <c r="E1430">
        <v>14.65</v>
      </c>
      <c r="F1430">
        <v>7.0449999999999999</v>
      </c>
      <c r="G1430">
        <v>2.165</v>
      </c>
      <c r="H1430" s="15">
        <v>2.0249999999999999</v>
      </c>
      <c r="I1430">
        <v>40.25</v>
      </c>
      <c r="J1430">
        <v>24.268999999999998</v>
      </c>
      <c r="K1430">
        <v>10.989000000000001</v>
      </c>
      <c r="L1430">
        <v>1.53</v>
      </c>
      <c r="M1430">
        <v>4.2809999999999997</v>
      </c>
      <c r="N1430">
        <v>0.24399999999999999</v>
      </c>
      <c r="O1430">
        <v>2.69</v>
      </c>
      <c r="P1430">
        <v>0.97299999999999998</v>
      </c>
      <c r="Q1430">
        <v>15</v>
      </c>
    </row>
    <row r="1431" spans="1:17" x14ac:dyDescent="0.25">
      <c r="A1431" s="1">
        <v>43271</v>
      </c>
      <c r="B1431">
        <v>11.347</v>
      </c>
      <c r="C1431">
        <v>222.1</v>
      </c>
      <c r="D1431">
        <v>3.7160000000000002</v>
      </c>
      <c r="E1431">
        <v>14.5</v>
      </c>
      <c r="F1431">
        <v>6.9729999999999999</v>
      </c>
      <c r="G1431">
        <v>2.165</v>
      </c>
      <c r="H1431" s="15">
        <v>2.0249999999999999</v>
      </c>
      <c r="I1431">
        <v>40.25</v>
      </c>
      <c r="J1431">
        <v>24.074999999999999</v>
      </c>
      <c r="K1431">
        <v>10.853</v>
      </c>
      <c r="L1431">
        <v>1.53</v>
      </c>
      <c r="M1431">
        <v>4.194</v>
      </c>
      <c r="N1431">
        <v>0.23</v>
      </c>
      <c r="O1431">
        <v>2.69</v>
      </c>
      <c r="P1431">
        <v>0.98299999999999998</v>
      </c>
      <c r="Q1431">
        <v>15</v>
      </c>
    </row>
    <row r="1432" spans="1:17" x14ac:dyDescent="0.25">
      <c r="A1432" s="1">
        <v>43272</v>
      </c>
      <c r="B1432">
        <v>11.308</v>
      </c>
      <c r="C1432">
        <v>219.6</v>
      </c>
      <c r="D1432">
        <v>3.69</v>
      </c>
      <c r="E1432">
        <v>14.66</v>
      </c>
      <c r="F1432">
        <v>7.0179999999999998</v>
      </c>
      <c r="G1432">
        <v>2.1739999999999999</v>
      </c>
      <c r="H1432" s="15">
        <v>2.0249999999999999</v>
      </c>
      <c r="I1432">
        <v>40.058</v>
      </c>
      <c r="J1432">
        <v>24.268999999999998</v>
      </c>
      <c r="K1432">
        <v>10.853</v>
      </c>
      <c r="L1432">
        <v>1.5209999999999999</v>
      </c>
      <c r="M1432" t="e">
        <v>#N/A</v>
      </c>
      <c r="N1432">
        <v>0.23</v>
      </c>
      <c r="O1432">
        <v>2.7090000000000001</v>
      </c>
      <c r="P1432">
        <v>0.95299999999999996</v>
      </c>
      <c r="Q1432">
        <v>14</v>
      </c>
    </row>
    <row r="1433" spans="1:17" x14ac:dyDescent="0.25">
      <c r="A1433" s="1">
        <v>43273</v>
      </c>
      <c r="B1433">
        <v>11.474</v>
      </c>
      <c r="C1433">
        <v>220.55</v>
      </c>
      <c r="D1433">
        <v>3.7509999999999999</v>
      </c>
      <c r="E1433">
        <v>14.6</v>
      </c>
      <c r="F1433">
        <v>7.0179999999999998</v>
      </c>
      <c r="G1433">
        <v>2.1560000000000001</v>
      </c>
      <c r="H1433" s="15">
        <v>2.0249999999999999</v>
      </c>
      <c r="I1433">
        <v>39.47</v>
      </c>
      <c r="J1433">
        <v>24.084</v>
      </c>
      <c r="K1433">
        <v>10.88</v>
      </c>
      <c r="L1433">
        <v>1.5109999999999999</v>
      </c>
      <c r="M1433">
        <v>4.1500000000000004</v>
      </c>
      <c r="N1433">
        <v>0.22</v>
      </c>
      <c r="O1433">
        <v>2.7090000000000001</v>
      </c>
      <c r="P1433">
        <v>0.93400000000000005</v>
      </c>
      <c r="Q1433">
        <v>15</v>
      </c>
    </row>
    <row r="1434" spans="1:17" x14ac:dyDescent="0.25">
      <c r="A1434" s="1">
        <v>43276</v>
      </c>
      <c r="B1434">
        <v>11.298</v>
      </c>
      <c r="C1434">
        <v>219</v>
      </c>
      <c r="D1434">
        <v>3.637</v>
      </c>
      <c r="E1434">
        <v>14.79</v>
      </c>
      <c r="F1434">
        <v>7.1070000000000002</v>
      </c>
      <c r="G1434">
        <v>2.1469999999999998</v>
      </c>
      <c r="H1434" s="15">
        <v>2.0640000000000001</v>
      </c>
      <c r="I1434">
        <v>39.47</v>
      </c>
      <c r="J1434">
        <v>24.074999999999999</v>
      </c>
      <c r="K1434">
        <v>10.853</v>
      </c>
      <c r="L1434">
        <v>1.4830000000000001</v>
      </c>
      <c r="M1434">
        <v>3.8879999999999999</v>
      </c>
      <c r="N1434">
        <v>0.20499999999999999</v>
      </c>
      <c r="O1434">
        <v>2.7189999999999999</v>
      </c>
      <c r="P1434">
        <v>0.88500000000000001</v>
      </c>
      <c r="Q1434">
        <v>15</v>
      </c>
    </row>
    <row r="1435" spans="1:17" x14ac:dyDescent="0.25">
      <c r="A1435" s="1">
        <v>43277</v>
      </c>
      <c r="B1435">
        <v>11.151</v>
      </c>
      <c r="C1435">
        <v>221.5</v>
      </c>
      <c r="D1435">
        <v>3.69</v>
      </c>
      <c r="E1435">
        <v>13.85</v>
      </c>
      <c r="F1435">
        <v>7.1070000000000002</v>
      </c>
      <c r="G1435">
        <v>2.1920000000000002</v>
      </c>
      <c r="H1435" s="15">
        <v>2.0550000000000002</v>
      </c>
      <c r="I1435">
        <v>39.094999999999999</v>
      </c>
      <c r="J1435">
        <v>23.977</v>
      </c>
      <c r="K1435">
        <v>10.808</v>
      </c>
      <c r="L1435">
        <v>1.4830000000000001</v>
      </c>
      <c r="M1435">
        <v>3.827</v>
      </c>
      <c r="N1435">
        <v>0.21299999999999999</v>
      </c>
      <c r="O1435">
        <v>2.7570000000000001</v>
      </c>
      <c r="P1435">
        <v>0.875</v>
      </c>
      <c r="Q1435">
        <v>15</v>
      </c>
    </row>
    <row r="1436" spans="1:17" x14ac:dyDescent="0.25">
      <c r="A1436" s="1">
        <v>43278</v>
      </c>
      <c r="B1436">
        <v>10.975</v>
      </c>
      <c r="C1436">
        <v>222</v>
      </c>
      <c r="D1436">
        <v>3.734</v>
      </c>
      <c r="E1436">
        <v>13.83</v>
      </c>
      <c r="F1436">
        <v>6.9909999999999997</v>
      </c>
      <c r="G1436">
        <v>2.1920000000000002</v>
      </c>
      <c r="H1436" s="15">
        <v>2.0249999999999999</v>
      </c>
      <c r="I1436">
        <v>38.853999999999999</v>
      </c>
      <c r="J1436">
        <v>23.977</v>
      </c>
      <c r="K1436">
        <v>10.853</v>
      </c>
      <c r="L1436">
        <v>1.492</v>
      </c>
      <c r="M1436">
        <v>3.8879999999999999</v>
      </c>
      <c r="N1436">
        <v>0.22500000000000001</v>
      </c>
      <c r="O1436">
        <v>2.7570000000000001</v>
      </c>
      <c r="P1436">
        <v>0.86499999999999999</v>
      </c>
      <c r="Q1436">
        <v>15</v>
      </c>
    </row>
    <row r="1437" spans="1:17" x14ac:dyDescent="0.25">
      <c r="A1437" s="1">
        <v>43279</v>
      </c>
      <c r="B1437">
        <v>10.808999999999999</v>
      </c>
      <c r="C1437">
        <v>221</v>
      </c>
      <c r="D1437">
        <v>3.6629999999999998</v>
      </c>
      <c r="E1437">
        <v>13.7</v>
      </c>
      <c r="F1437">
        <v>6.9909999999999997</v>
      </c>
      <c r="G1437">
        <v>2.129</v>
      </c>
      <c r="H1437" s="15">
        <v>2.0550000000000002</v>
      </c>
      <c r="I1437">
        <v>38.469000000000001</v>
      </c>
      <c r="J1437">
        <v>24.268999999999998</v>
      </c>
      <c r="K1437">
        <v>10.88</v>
      </c>
      <c r="L1437">
        <v>1.4830000000000001</v>
      </c>
      <c r="M1437">
        <v>3.8090000000000002</v>
      </c>
      <c r="N1437">
        <v>0.21</v>
      </c>
      <c r="O1437">
        <v>2.7570000000000001</v>
      </c>
      <c r="P1437">
        <v>0.79600000000000004</v>
      </c>
      <c r="Q1437">
        <v>15</v>
      </c>
    </row>
    <row r="1438" spans="1:17" x14ac:dyDescent="0.25">
      <c r="A1438" s="1">
        <v>43283</v>
      </c>
      <c r="B1438">
        <v>10.956</v>
      </c>
      <c r="C1438">
        <v>224</v>
      </c>
      <c r="D1438">
        <v>3.69</v>
      </c>
      <c r="E1438">
        <v>13.62</v>
      </c>
      <c r="F1438">
        <v>6.9279999999999999</v>
      </c>
      <c r="G1438">
        <v>2.1379999999999999</v>
      </c>
      <c r="H1438" s="15">
        <v>1.976</v>
      </c>
      <c r="I1438">
        <v>38.131999999999998</v>
      </c>
      <c r="J1438" t="e">
        <v>#N/A</v>
      </c>
      <c r="K1438" t="e">
        <v>#N/A</v>
      </c>
      <c r="L1438">
        <v>1.397</v>
      </c>
      <c r="M1438">
        <v>3.7919999999999998</v>
      </c>
      <c r="N1438">
        <v>0.21</v>
      </c>
      <c r="O1438" t="e">
        <v>#N/A</v>
      </c>
      <c r="P1438">
        <v>0.76700000000000002</v>
      </c>
      <c r="Q1438">
        <v>12</v>
      </c>
    </row>
    <row r="1439" spans="1:17" x14ac:dyDescent="0.25">
      <c r="A1439" s="1">
        <v>43284</v>
      </c>
      <c r="B1439">
        <v>11.239000000000001</v>
      </c>
      <c r="C1439">
        <v>218.51</v>
      </c>
      <c r="D1439">
        <v>3.6989999999999998</v>
      </c>
      <c r="E1439">
        <v>13.45</v>
      </c>
      <c r="F1439">
        <v>6.9909999999999997</v>
      </c>
      <c r="G1439">
        <v>2.1739999999999999</v>
      </c>
      <c r="H1439" s="15">
        <v>1.986</v>
      </c>
      <c r="I1439">
        <v>37.65</v>
      </c>
      <c r="J1439">
        <v>24.754000000000001</v>
      </c>
      <c r="K1439">
        <v>10.808</v>
      </c>
      <c r="L1439">
        <v>1.3580000000000001</v>
      </c>
      <c r="M1439">
        <v>3.5379999999999998</v>
      </c>
      <c r="N1439">
        <v>0.20499999999999999</v>
      </c>
      <c r="O1439">
        <v>2.806</v>
      </c>
      <c r="P1439">
        <v>0.73699999999999999</v>
      </c>
      <c r="Q1439">
        <v>15</v>
      </c>
    </row>
    <row r="1440" spans="1:17" x14ac:dyDescent="0.25">
      <c r="A1440" s="1">
        <v>43285</v>
      </c>
      <c r="B1440">
        <v>11.151</v>
      </c>
      <c r="C1440" t="e">
        <v>#N/A</v>
      </c>
      <c r="D1440">
        <v>3.681</v>
      </c>
      <c r="E1440">
        <v>13.4</v>
      </c>
      <c r="F1440">
        <v>6.9640000000000004</v>
      </c>
      <c r="G1440">
        <v>2.1469999999999998</v>
      </c>
      <c r="H1440" s="15">
        <v>1.9950000000000001</v>
      </c>
      <c r="I1440">
        <v>37.65</v>
      </c>
      <c r="J1440">
        <v>24.754000000000001</v>
      </c>
      <c r="K1440">
        <v>10.808</v>
      </c>
      <c r="L1440">
        <v>1.33</v>
      </c>
      <c r="M1440">
        <v>3.4950000000000001</v>
      </c>
      <c r="N1440">
        <v>0.21</v>
      </c>
      <c r="O1440">
        <v>2.8540000000000001</v>
      </c>
      <c r="P1440">
        <v>0.77600000000000002</v>
      </c>
      <c r="Q1440">
        <v>14</v>
      </c>
    </row>
    <row r="1441" spans="1:17" x14ac:dyDescent="0.25">
      <c r="A1441" s="1">
        <v>43286</v>
      </c>
      <c r="B1441">
        <v>11.013999999999999</v>
      </c>
      <c r="C1441">
        <v>226.65</v>
      </c>
      <c r="D1441">
        <v>3.6190000000000002</v>
      </c>
      <c r="E1441">
        <v>13.53</v>
      </c>
      <c r="F1441">
        <v>6.9729999999999999</v>
      </c>
      <c r="G1441">
        <v>2.1379999999999999</v>
      </c>
      <c r="H1441" s="15">
        <v>2.0939999999999999</v>
      </c>
      <c r="I1441">
        <v>37.554000000000002</v>
      </c>
      <c r="J1441">
        <v>24.754000000000001</v>
      </c>
      <c r="K1441">
        <v>10.853</v>
      </c>
      <c r="L1441">
        <v>1.33</v>
      </c>
      <c r="M1441">
        <v>3.4950000000000001</v>
      </c>
      <c r="N1441">
        <v>0.21</v>
      </c>
      <c r="O1441">
        <v>2.806</v>
      </c>
      <c r="P1441">
        <v>0.76700000000000002</v>
      </c>
      <c r="Q1441">
        <v>15</v>
      </c>
    </row>
    <row r="1442" spans="1:17" x14ac:dyDescent="0.25">
      <c r="A1442" s="1">
        <v>43287</v>
      </c>
      <c r="B1442">
        <v>11.005000000000001</v>
      </c>
      <c r="C1442">
        <v>228.2</v>
      </c>
      <c r="D1442">
        <v>3.6019999999999999</v>
      </c>
      <c r="E1442">
        <v>13.5</v>
      </c>
      <c r="F1442">
        <v>6.9640000000000004</v>
      </c>
      <c r="G1442">
        <v>2.1379999999999999</v>
      </c>
      <c r="H1442" s="15">
        <v>2.173</v>
      </c>
      <c r="I1442">
        <v>37.65</v>
      </c>
      <c r="J1442">
        <v>24.754000000000001</v>
      </c>
      <c r="K1442">
        <v>10.826000000000001</v>
      </c>
      <c r="L1442">
        <v>1.32</v>
      </c>
      <c r="M1442">
        <v>3.5379999999999998</v>
      </c>
      <c r="N1442">
        <v>0.224</v>
      </c>
      <c r="O1442">
        <v>2.806</v>
      </c>
      <c r="P1442">
        <v>0.80600000000000005</v>
      </c>
      <c r="Q1442">
        <v>15</v>
      </c>
    </row>
    <row r="1443" spans="1:17" x14ac:dyDescent="0.25">
      <c r="A1443" s="1">
        <v>43290</v>
      </c>
      <c r="B1443">
        <v>11.023999999999999</v>
      </c>
      <c r="C1443">
        <v>230</v>
      </c>
      <c r="D1443">
        <v>3.6019999999999999</v>
      </c>
      <c r="E1443">
        <v>13.69</v>
      </c>
      <c r="F1443">
        <v>6.9729999999999999</v>
      </c>
      <c r="G1443">
        <v>2.129</v>
      </c>
      <c r="H1443" s="15">
        <v>2.242</v>
      </c>
      <c r="I1443">
        <v>37.65</v>
      </c>
      <c r="J1443">
        <v>24.754000000000001</v>
      </c>
      <c r="K1443">
        <v>10.808</v>
      </c>
      <c r="L1443">
        <v>1.3580000000000001</v>
      </c>
      <c r="M1443">
        <v>3.5910000000000002</v>
      </c>
      <c r="N1443">
        <v>0.221</v>
      </c>
      <c r="O1443">
        <v>2.806</v>
      </c>
      <c r="P1443">
        <v>0.85499999999999998</v>
      </c>
      <c r="Q1443">
        <v>15</v>
      </c>
    </row>
    <row r="1444" spans="1:17" x14ac:dyDescent="0.25">
      <c r="A1444" s="1">
        <v>43291</v>
      </c>
      <c r="B1444">
        <v>11.151</v>
      </c>
      <c r="C1444">
        <v>229.6</v>
      </c>
      <c r="D1444">
        <v>3.6019999999999999</v>
      </c>
      <c r="E1444">
        <v>13.26</v>
      </c>
      <c r="F1444">
        <v>6.9729999999999999</v>
      </c>
      <c r="G1444">
        <v>2.1560000000000001</v>
      </c>
      <c r="H1444" s="15">
        <v>2.282</v>
      </c>
      <c r="I1444">
        <v>38.238</v>
      </c>
      <c r="J1444">
        <v>24.510999999999999</v>
      </c>
      <c r="K1444">
        <v>10.79</v>
      </c>
      <c r="L1444">
        <v>1.3580000000000001</v>
      </c>
      <c r="M1444" t="e">
        <v>#N/A</v>
      </c>
      <c r="N1444">
        <v>0.219</v>
      </c>
      <c r="O1444">
        <v>2.7570000000000001</v>
      </c>
      <c r="P1444">
        <v>0.82599999999999996</v>
      </c>
      <c r="Q1444">
        <v>14</v>
      </c>
    </row>
    <row r="1445" spans="1:17" x14ac:dyDescent="0.25">
      <c r="A1445" s="1">
        <v>43292</v>
      </c>
      <c r="B1445">
        <v>11.044</v>
      </c>
      <c r="C1445">
        <v>228.4</v>
      </c>
      <c r="D1445">
        <v>3.6019999999999999</v>
      </c>
      <c r="E1445">
        <v>12.68</v>
      </c>
      <c r="F1445">
        <v>6.8840000000000003</v>
      </c>
      <c r="G1445">
        <v>2.0750000000000002</v>
      </c>
      <c r="H1445" s="15">
        <v>2.2719999999999998</v>
      </c>
      <c r="I1445">
        <v>38.238</v>
      </c>
      <c r="J1445">
        <v>24.268999999999998</v>
      </c>
      <c r="K1445">
        <v>10.762</v>
      </c>
      <c r="L1445">
        <v>1.33</v>
      </c>
      <c r="M1445">
        <v>3.4950000000000001</v>
      </c>
      <c r="N1445">
        <v>0.216</v>
      </c>
      <c r="O1445">
        <v>2.7090000000000001</v>
      </c>
      <c r="P1445">
        <v>0.76700000000000002</v>
      </c>
      <c r="Q1445">
        <v>15</v>
      </c>
    </row>
    <row r="1446" spans="1:17" x14ac:dyDescent="0.25">
      <c r="A1446" s="1">
        <v>43293</v>
      </c>
      <c r="B1446">
        <v>11.151</v>
      </c>
      <c r="C1446">
        <v>229</v>
      </c>
      <c r="D1446">
        <v>3.7250000000000001</v>
      </c>
      <c r="E1446">
        <v>12.63</v>
      </c>
      <c r="F1446">
        <v>6.92</v>
      </c>
      <c r="G1446">
        <v>2.0840000000000001</v>
      </c>
      <c r="H1446" s="15">
        <v>2.282</v>
      </c>
      <c r="I1446" t="e">
        <v>#N/A</v>
      </c>
      <c r="J1446">
        <v>24.754000000000001</v>
      </c>
      <c r="K1446">
        <v>10.808</v>
      </c>
      <c r="L1446">
        <v>1.2909999999999999</v>
      </c>
      <c r="M1446">
        <v>3.4769999999999999</v>
      </c>
      <c r="N1446">
        <v>0.21</v>
      </c>
      <c r="O1446" t="e">
        <v>#N/A</v>
      </c>
      <c r="P1446">
        <v>0.80600000000000005</v>
      </c>
      <c r="Q1446">
        <v>13</v>
      </c>
    </row>
    <row r="1447" spans="1:17" x14ac:dyDescent="0.25">
      <c r="A1447" s="1">
        <v>43294</v>
      </c>
      <c r="B1447">
        <v>11.102</v>
      </c>
      <c r="C1447">
        <v>227</v>
      </c>
      <c r="D1447">
        <v>3.7250000000000001</v>
      </c>
      <c r="E1447">
        <v>12.7</v>
      </c>
      <c r="F1447">
        <v>6.9370000000000003</v>
      </c>
      <c r="G1447">
        <v>2.0840000000000001</v>
      </c>
      <c r="H1447" s="15">
        <v>2.371</v>
      </c>
      <c r="I1447">
        <v>38.238</v>
      </c>
      <c r="J1447">
        <v>24.754000000000001</v>
      </c>
      <c r="K1447">
        <v>10.762</v>
      </c>
      <c r="L1447">
        <v>1.2909999999999999</v>
      </c>
      <c r="M1447" t="e">
        <v>#N/A</v>
      </c>
      <c r="N1447">
        <v>0.21</v>
      </c>
      <c r="O1447">
        <v>2.786</v>
      </c>
      <c r="P1447">
        <v>0.81599999999999995</v>
      </c>
      <c r="Q1447">
        <v>14</v>
      </c>
    </row>
    <row r="1448" spans="1:17" x14ac:dyDescent="0.25">
      <c r="A1448" s="1">
        <v>43297</v>
      </c>
      <c r="B1448">
        <v>11.161</v>
      </c>
      <c r="C1448">
        <v>227.9</v>
      </c>
      <c r="D1448">
        <v>3.7250000000000001</v>
      </c>
      <c r="E1448">
        <v>12.46</v>
      </c>
      <c r="F1448">
        <v>6.9729999999999999</v>
      </c>
      <c r="G1448">
        <v>2.0659999999999998</v>
      </c>
      <c r="H1448" s="15">
        <v>2.371</v>
      </c>
      <c r="I1448" t="e">
        <v>#N/A</v>
      </c>
      <c r="J1448">
        <v>24.754000000000001</v>
      </c>
      <c r="K1448">
        <v>10.762</v>
      </c>
      <c r="L1448">
        <v>1.2909999999999999</v>
      </c>
      <c r="M1448">
        <v>3.4950000000000001</v>
      </c>
      <c r="N1448">
        <v>0.20499999999999999</v>
      </c>
      <c r="O1448">
        <v>2.7570000000000001</v>
      </c>
      <c r="P1448">
        <v>0.79600000000000004</v>
      </c>
      <c r="Q1448">
        <v>14</v>
      </c>
    </row>
    <row r="1449" spans="1:17" x14ac:dyDescent="0.25">
      <c r="A1449" s="1">
        <v>43298</v>
      </c>
      <c r="B1449">
        <v>11.347</v>
      </c>
      <c r="C1449">
        <v>228.45</v>
      </c>
      <c r="D1449">
        <v>3.6459999999999999</v>
      </c>
      <c r="E1449">
        <v>13.3</v>
      </c>
      <c r="F1449">
        <v>7.0620000000000003</v>
      </c>
      <c r="G1449">
        <v>2.093</v>
      </c>
      <c r="H1449" s="15">
        <v>2.46</v>
      </c>
      <c r="I1449">
        <v>38.517000000000003</v>
      </c>
      <c r="J1449">
        <v>25.239000000000001</v>
      </c>
      <c r="K1449">
        <v>10.808</v>
      </c>
      <c r="L1449" t="e">
        <v>#N/A</v>
      </c>
      <c r="M1449" t="e">
        <v>#N/A</v>
      </c>
      <c r="N1449">
        <v>0.20799999999999999</v>
      </c>
      <c r="O1449">
        <v>2.7959999999999998</v>
      </c>
      <c r="P1449">
        <v>0.82599999999999996</v>
      </c>
      <c r="Q1449">
        <v>13</v>
      </c>
    </row>
    <row r="1450" spans="1:17" x14ac:dyDescent="0.25">
      <c r="A1450" s="1">
        <v>43299</v>
      </c>
      <c r="B1450">
        <v>11.249000000000001</v>
      </c>
      <c r="C1450">
        <v>228.56</v>
      </c>
      <c r="D1450">
        <v>3.6459999999999999</v>
      </c>
      <c r="E1450">
        <v>13.15</v>
      </c>
      <c r="F1450">
        <v>7.0179999999999998</v>
      </c>
      <c r="G1450">
        <v>2.1019999999999999</v>
      </c>
      <c r="H1450" s="15">
        <v>2.4889999999999999</v>
      </c>
      <c r="I1450" t="e">
        <v>#N/A</v>
      </c>
      <c r="J1450">
        <v>24.754000000000001</v>
      </c>
      <c r="K1450">
        <v>10.853</v>
      </c>
      <c r="L1450">
        <v>1.377</v>
      </c>
      <c r="M1450">
        <v>3.7389999999999999</v>
      </c>
      <c r="N1450">
        <v>0.21</v>
      </c>
      <c r="O1450">
        <v>2.7770000000000001</v>
      </c>
      <c r="P1450">
        <v>0.83599999999999997</v>
      </c>
      <c r="Q1450">
        <v>14</v>
      </c>
    </row>
    <row r="1451" spans="1:17" x14ac:dyDescent="0.25">
      <c r="A1451" s="1">
        <v>43300</v>
      </c>
      <c r="B1451">
        <v>11.2</v>
      </c>
      <c r="C1451">
        <v>226.9</v>
      </c>
      <c r="D1451">
        <v>3.6459999999999999</v>
      </c>
      <c r="E1451">
        <v>12.9</v>
      </c>
      <c r="F1451">
        <v>7.0179999999999998</v>
      </c>
      <c r="G1451">
        <v>2.1379999999999999</v>
      </c>
      <c r="H1451" s="15" t="e">
        <v>#N/A</v>
      </c>
      <c r="I1451">
        <v>38.892000000000003</v>
      </c>
      <c r="J1451">
        <v>24.754000000000001</v>
      </c>
      <c r="K1451">
        <v>10.853</v>
      </c>
      <c r="L1451">
        <v>1.33</v>
      </c>
      <c r="M1451" t="e">
        <v>#N/A</v>
      </c>
      <c r="N1451">
        <v>0.20799999999999999</v>
      </c>
      <c r="O1451" t="e">
        <v>#N/A</v>
      </c>
      <c r="P1451">
        <v>0.81599999999999995</v>
      </c>
      <c r="Q1451">
        <v>12</v>
      </c>
    </row>
    <row r="1452" spans="1:17" x14ac:dyDescent="0.25">
      <c r="A1452" s="1">
        <v>43301</v>
      </c>
      <c r="B1452">
        <v>11.151</v>
      </c>
      <c r="C1452">
        <v>229.7</v>
      </c>
      <c r="D1452">
        <v>3.6629999999999998</v>
      </c>
      <c r="E1452">
        <v>12.85</v>
      </c>
      <c r="F1452">
        <v>7.0179999999999998</v>
      </c>
      <c r="G1452">
        <v>2.1739999999999999</v>
      </c>
      <c r="H1452" s="15">
        <v>2.5680000000000001</v>
      </c>
      <c r="I1452">
        <v>38.805999999999997</v>
      </c>
      <c r="J1452">
        <v>24.754000000000001</v>
      </c>
      <c r="K1452">
        <v>10.853</v>
      </c>
      <c r="L1452" t="e">
        <v>#N/A</v>
      </c>
      <c r="M1452" t="e">
        <v>#N/A</v>
      </c>
      <c r="N1452">
        <v>0.20699999999999999</v>
      </c>
      <c r="O1452">
        <v>2.7669999999999999</v>
      </c>
      <c r="P1452">
        <v>0.84499999999999997</v>
      </c>
      <c r="Q1452">
        <v>13</v>
      </c>
    </row>
    <row r="1453" spans="1:17" x14ac:dyDescent="0.25">
      <c r="A1453" s="1">
        <v>43304</v>
      </c>
      <c r="B1453">
        <v>11.298</v>
      </c>
      <c r="C1453">
        <v>228</v>
      </c>
      <c r="D1453">
        <v>3.734</v>
      </c>
      <c r="E1453">
        <v>12.92</v>
      </c>
      <c r="F1453">
        <v>6.91</v>
      </c>
      <c r="G1453">
        <v>2.1920000000000002</v>
      </c>
      <c r="H1453" s="15">
        <v>2.6179999999999999</v>
      </c>
      <c r="I1453">
        <v>39.335000000000001</v>
      </c>
      <c r="J1453">
        <v>25.239000000000001</v>
      </c>
      <c r="K1453">
        <v>10.962</v>
      </c>
      <c r="L1453">
        <v>1.4350000000000001</v>
      </c>
      <c r="M1453">
        <v>4.01</v>
      </c>
      <c r="N1453">
        <v>0.21199999999999999</v>
      </c>
      <c r="O1453">
        <v>2.7669999999999999</v>
      </c>
      <c r="P1453">
        <v>0.83599999999999997</v>
      </c>
      <c r="Q1453">
        <v>15</v>
      </c>
    </row>
    <row r="1454" spans="1:17" x14ac:dyDescent="0.25">
      <c r="A1454" s="1">
        <v>43305</v>
      </c>
      <c r="B1454">
        <v>11.298</v>
      </c>
      <c r="C1454">
        <v>230.5</v>
      </c>
      <c r="D1454">
        <v>3.69</v>
      </c>
      <c r="E1454">
        <v>13.2</v>
      </c>
      <c r="F1454">
        <v>6.91</v>
      </c>
      <c r="G1454">
        <v>2.2290000000000001</v>
      </c>
      <c r="H1454" s="15">
        <v>2.5489999999999999</v>
      </c>
      <c r="I1454">
        <v>39.488999999999997</v>
      </c>
      <c r="J1454">
        <v>25.239000000000001</v>
      </c>
      <c r="K1454">
        <v>10.898999999999999</v>
      </c>
      <c r="L1454">
        <v>1.502</v>
      </c>
      <c r="M1454" t="e">
        <v>#N/A</v>
      </c>
      <c r="N1454">
        <v>0.214</v>
      </c>
      <c r="O1454">
        <v>2.7570000000000001</v>
      </c>
      <c r="P1454">
        <v>0.85499999999999998</v>
      </c>
      <c r="Q1454">
        <v>14</v>
      </c>
    </row>
    <row r="1455" spans="1:17" x14ac:dyDescent="0.25">
      <c r="A1455" s="1">
        <v>43306</v>
      </c>
      <c r="B1455">
        <v>11.347</v>
      </c>
      <c r="C1455">
        <v>232</v>
      </c>
      <c r="D1455">
        <v>3.69</v>
      </c>
      <c r="E1455">
        <v>13.4</v>
      </c>
      <c r="F1455">
        <v>6.8659999999999997</v>
      </c>
      <c r="G1455">
        <v>2.2200000000000002</v>
      </c>
      <c r="H1455" s="15">
        <v>2.4790000000000001</v>
      </c>
      <c r="I1455">
        <v>39.499000000000002</v>
      </c>
      <c r="J1455">
        <v>25.239000000000001</v>
      </c>
      <c r="K1455">
        <v>10.888999999999999</v>
      </c>
      <c r="L1455">
        <v>1.502</v>
      </c>
      <c r="M1455" t="e">
        <v>#N/A</v>
      </c>
      <c r="N1455">
        <v>0.20799999999999999</v>
      </c>
      <c r="O1455">
        <v>2.7570000000000001</v>
      </c>
      <c r="P1455">
        <v>0.81599999999999995</v>
      </c>
      <c r="Q1455">
        <v>14</v>
      </c>
    </row>
    <row r="1456" spans="1:17" x14ac:dyDescent="0.25">
      <c r="A1456" s="1">
        <v>43307</v>
      </c>
      <c r="B1456">
        <v>11.494</v>
      </c>
      <c r="C1456">
        <v>231</v>
      </c>
      <c r="D1456">
        <v>3.6019999999999999</v>
      </c>
      <c r="E1456">
        <v>13.59</v>
      </c>
      <c r="F1456">
        <v>6.7050000000000001</v>
      </c>
      <c r="G1456">
        <v>2.21</v>
      </c>
      <c r="H1456" s="15" t="e">
        <v>#N/A</v>
      </c>
      <c r="I1456">
        <v>39.499000000000002</v>
      </c>
      <c r="J1456">
        <v>24.754000000000001</v>
      </c>
      <c r="K1456">
        <v>10.898999999999999</v>
      </c>
      <c r="L1456" t="e">
        <v>#N/A</v>
      </c>
      <c r="M1456" t="e">
        <v>#N/A</v>
      </c>
      <c r="N1456">
        <v>0.20799999999999999</v>
      </c>
      <c r="O1456">
        <v>2.7669999999999999</v>
      </c>
      <c r="P1456">
        <v>0.82599999999999996</v>
      </c>
      <c r="Q1456">
        <v>12</v>
      </c>
    </row>
    <row r="1457" spans="1:17" x14ac:dyDescent="0.25">
      <c r="A1457" s="1">
        <v>43308</v>
      </c>
      <c r="B1457">
        <v>11.542999999999999</v>
      </c>
      <c r="C1457">
        <v>230.6</v>
      </c>
      <c r="D1457">
        <v>3.6019999999999999</v>
      </c>
      <c r="E1457">
        <v>13.55</v>
      </c>
      <c r="F1457">
        <v>6.7050000000000001</v>
      </c>
      <c r="G1457">
        <v>2.21</v>
      </c>
      <c r="H1457" s="15">
        <v>2.41</v>
      </c>
      <c r="I1457">
        <v>39.499000000000002</v>
      </c>
      <c r="J1457">
        <v>24.754000000000001</v>
      </c>
      <c r="K1457">
        <v>10.898999999999999</v>
      </c>
      <c r="L1457" t="e">
        <v>#N/A</v>
      </c>
      <c r="M1457">
        <v>4.01</v>
      </c>
      <c r="N1457">
        <v>0.20799999999999999</v>
      </c>
      <c r="O1457" t="e">
        <v>#N/A</v>
      </c>
      <c r="P1457">
        <v>0.82599999999999996</v>
      </c>
      <c r="Q1457">
        <v>13</v>
      </c>
    </row>
    <row r="1458" spans="1:17" x14ac:dyDescent="0.25">
      <c r="A1458" s="1">
        <v>43311</v>
      </c>
      <c r="B1458">
        <v>11.494</v>
      </c>
      <c r="C1458">
        <v>229.33</v>
      </c>
      <c r="D1458">
        <v>3.6459999999999999</v>
      </c>
      <c r="E1458">
        <v>13.7</v>
      </c>
      <c r="F1458">
        <v>6.6959999999999997</v>
      </c>
      <c r="G1458">
        <v>2.1920000000000002</v>
      </c>
      <c r="H1458" s="15">
        <v>2.371</v>
      </c>
      <c r="I1458">
        <v>39.576000000000001</v>
      </c>
      <c r="J1458">
        <v>24.754000000000001</v>
      </c>
      <c r="K1458">
        <v>10.898999999999999</v>
      </c>
      <c r="L1458">
        <v>1.502</v>
      </c>
      <c r="M1458">
        <v>4.01</v>
      </c>
      <c r="N1458">
        <v>0.2</v>
      </c>
      <c r="O1458">
        <v>2.7570000000000001</v>
      </c>
      <c r="P1458">
        <v>0.81599999999999995</v>
      </c>
      <c r="Q1458">
        <v>15</v>
      </c>
    </row>
    <row r="1459" spans="1:17" x14ac:dyDescent="0.25">
      <c r="A1459" s="1">
        <v>43312</v>
      </c>
      <c r="B1459">
        <v>11.484</v>
      </c>
      <c r="C1459">
        <v>228.43</v>
      </c>
      <c r="D1459">
        <v>3.6459999999999999</v>
      </c>
      <c r="E1459">
        <v>13.68</v>
      </c>
      <c r="F1459">
        <v>6.7939999999999996</v>
      </c>
      <c r="G1459">
        <v>2.1379999999999999</v>
      </c>
      <c r="H1459" s="15">
        <v>2.4700000000000002</v>
      </c>
      <c r="I1459">
        <v>40.78</v>
      </c>
      <c r="J1459">
        <v>25.045000000000002</v>
      </c>
      <c r="K1459">
        <v>11.08</v>
      </c>
      <c r="L1459">
        <v>1.569</v>
      </c>
      <c r="M1459">
        <v>4.29</v>
      </c>
      <c r="N1459">
        <v>0.19</v>
      </c>
      <c r="O1459">
        <v>2.7570000000000001</v>
      </c>
      <c r="P1459">
        <v>0.79600000000000004</v>
      </c>
      <c r="Q1459">
        <v>15</v>
      </c>
    </row>
    <row r="1460" spans="1:17" x14ac:dyDescent="0.25">
      <c r="A1460" s="1">
        <v>43313</v>
      </c>
      <c r="B1460">
        <v>11.396000000000001</v>
      </c>
      <c r="C1460">
        <v>228.2</v>
      </c>
      <c r="D1460">
        <v>3.6459999999999999</v>
      </c>
      <c r="E1460">
        <v>13.82</v>
      </c>
      <c r="F1460">
        <v>6.75</v>
      </c>
      <c r="G1460">
        <v>2.129</v>
      </c>
      <c r="H1460" s="15" t="e">
        <v>#N/A</v>
      </c>
      <c r="I1460" t="e">
        <v>#N/A</v>
      </c>
      <c r="J1460">
        <v>25.045000000000002</v>
      </c>
      <c r="K1460">
        <v>10.917</v>
      </c>
      <c r="L1460">
        <v>1.569</v>
      </c>
      <c r="M1460" t="e">
        <v>#N/A</v>
      </c>
      <c r="N1460">
        <v>0.189</v>
      </c>
      <c r="O1460">
        <v>2.6989999999999998</v>
      </c>
      <c r="P1460">
        <v>0.76700000000000002</v>
      </c>
      <c r="Q1460">
        <v>12</v>
      </c>
    </row>
    <row r="1461" spans="1:17" x14ac:dyDescent="0.25">
      <c r="A1461" s="1">
        <v>43314</v>
      </c>
      <c r="B1461">
        <v>11.337</v>
      </c>
      <c r="C1461">
        <v>226.13</v>
      </c>
      <c r="D1461">
        <v>3.6019999999999999</v>
      </c>
      <c r="E1461">
        <v>13.71</v>
      </c>
      <c r="F1461">
        <v>6.75</v>
      </c>
      <c r="G1461">
        <v>2.1379999999999999</v>
      </c>
      <c r="H1461" s="15" t="e">
        <v>#N/A</v>
      </c>
      <c r="I1461">
        <v>40.25</v>
      </c>
      <c r="J1461">
        <v>24.754000000000001</v>
      </c>
      <c r="K1461">
        <v>10.898999999999999</v>
      </c>
      <c r="L1461">
        <v>1.5209999999999999</v>
      </c>
      <c r="M1461">
        <v>4.194</v>
      </c>
      <c r="N1461">
        <v>0.19500000000000001</v>
      </c>
      <c r="O1461">
        <v>2.641</v>
      </c>
      <c r="P1461">
        <v>0.77600000000000002</v>
      </c>
      <c r="Q1461">
        <v>14</v>
      </c>
    </row>
    <row r="1462" spans="1:17" x14ac:dyDescent="0.25">
      <c r="A1462" s="1">
        <v>43315</v>
      </c>
      <c r="B1462">
        <v>11.337</v>
      </c>
      <c r="C1462">
        <v>230.15</v>
      </c>
      <c r="D1462">
        <v>3.6110000000000002</v>
      </c>
      <c r="E1462" t="e">
        <v>#N/A</v>
      </c>
      <c r="F1462">
        <v>6.7590000000000003</v>
      </c>
      <c r="G1462">
        <v>2.1739999999999999</v>
      </c>
      <c r="H1462" s="15">
        <v>2.4700000000000002</v>
      </c>
      <c r="I1462">
        <v>40.298000000000002</v>
      </c>
      <c r="J1462">
        <v>25.239000000000001</v>
      </c>
      <c r="K1462">
        <v>10.898999999999999</v>
      </c>
      <c r="L1462" t="e">
        <v>#N/A</v>
      </c>
      <c r="M1462">
        <v>4.194</v>
      </c>
      <c r="N1462">
        <v>0.19</v>
      </c>
      <c r="O1462" t="e">
        <v>#N/A</v>
      </c>
      <c r="P1462">
        <v>0.79600000000000004</v>
      </c>
      <c r="Q1462">
        <v>12</v>
      </c>
    </row>
    <row r="1463" spans="1:17" x14ac:dyDescent="0.25">
      <c r="A1463" s="1">
        <v>43318</v>
      </c>
      <c r="B1463">
        <v>11.2</v>
      </c>
      <c r="C1463">
        <v>229</v>
      </c>
      <c r="D1463" t="e">
        <v>#N/A</v>
      </c>
      <c r="E1463">
        <v>13.6</v>
      </c>
      <c r="F1463">
        <v>6.7409999999999997</v>
      </c>
      <c r="G1463">
        <v>2.1739999999999999</v>
      </c>
      <c r="H1463" s="15" t="e">
        <v>#N/A</v>
      </c>
      <c r="I1463" t="e">
        <v>#N/A</v>
      </c>
      <c r="J1463">
        <v>25.23</v>
      </c>
      <c r="K1463">
        <v>10.898999999999999</v>
      </c>
      <c r="L1463">
        <v>1.4350000000000001</v>
      </c>
      <c r="M1463">
        <v>4.0979999999999999</v>
      </c>
      <c r="N1463">
        <v>0.186</v>
      </c>
      <c r="O1463">
        <v>2.67</v>
      </c>
      <c r="P1463">
        <v>0.78600000000000003</v>
      </c>
      <c r="Q1463">
        <v>12</v>
      </c>
    </row>
    <row r="1464" spans="1:17" x14ac:dyDescent="0.25">
      <c r="A1464" s="1">
        <v>43319</v>
      </c>
      <c r="B1464">
        <v>11.2</v>
      </c>
      <c r="C1464">
        <v>231</v>
      </c>
      <c r="D1464">
        <v>3.6019999999999999</v>
      </c>
      <c r="E1464">
        <v>13.66</v>
      </c>
      <c r="F1464">
        <v>6.7050000000000001</v>
      </c>
      <c r="G1464">
        <v>2.1739999999999999</v>
      </c>
      <c r="H1464" s="15">
        <v>2.4500000000000002</v>
      </c>
      <c r="I1464">
        <v>40.298000000000002</v>
      </c>
      <c r="J1464">
        <v>25.141999999999999</v>
      </c>
      <c r="K1464">
        <v>10.88</v>
      </c>
      <c r="L1464" t="e">
        <v>#N/A</v>
      </c>
      <c r="M1464">
        <v>4.1059999999999999</v>
      </c>
      <c r="N1464">
        <v>0.184</v>
      </c>
      <c r="O1464">
        <v>2.6309999999999998</v>
      </c>
      <c r="P1464">
        <v>0.78600000000000003</v>
      </c>
      <c r="Q1464">
        <v>14</v>
      </c>
    </row>
    <row r="1465" spans="1:17" x14ac:dyDescent="0.25">
      <c r="A1465" s="1">
        <v>43320</v>
      </c>
      <c r="B1465">
        <v>11.2</v>
      </c>
      <c r="C1465">
        <v>230</v>
      </c>
      <c r="D1465">
        <v>3.6019999999999999</v>
      </c>
      <c r="E1465">
        <v>13.61</v>
      </c>
      <c r="F1465">
        <v>6.7050000000000001</v>
      </c>
      <c r="G1465">
        <v>2.1739999999999999</v>
      </c>
      <c r="H1465" s="15" t="e">
        <v>#N/A</v>
      </c>
      <c r="I1465">
        <v>40.298000000000002</v>
      </c>
      <c r="J1465">
        <v>25.239000000000001</v>
      </c>
      <c r="K1465">
        <v>10.88</v>
      </c>
      <c r="L1465">
        <v>1.4350000000000001</v>
      </c>
      <c r="M1465">
        <v>4.1059999999999999</v>
      </c>
      <c r="N1465">
        <v>0.184</v>
      </c>
      <c r="O1465">
        <v>2.6989999999999998</v>
      </c>
      <c r="P1465">
        <v>0.78600000000000003</v>
      </c>
      <c r="Q1465">
        <v>14</v>
      </c>
    </row>
    <row r="1466" spans="1:17" x14ac:dyDescent="0.25">
      <c r="A1466" s="1">
        <v>43321</v>
      </c>
      <c r="B1466">
        <v>11.2</v>
      </c>
      <c r="C1466">
        <v>230</v>
      </c>
      <c r="D1466">
        <v>3.5579999999999998</v>
      </c>
      <c r="E1466">
        <v>13.53</v>
      </c>
      <c r="F1466">
        <v>6.66</v>
      </c>
      <c r="G1466">
        <v>2.1739999999999999</v>
      </c>
      <c r="H1466" s="15">
        <v>2.3210000000000002</v>
      </c>
      <c r="I1466" t="e">
        <v>#N/A</v>
      </c>
      <c r="J1466">
        <v>25.239000000000001</v>
      </c>
      <c r="K1466">
        <v>10.898999999999999</v>
      </c>
      <c r="L1466">
        <v>1.4350000000000001</v>
      </c>
      <c r="M1466">
        <v>4.1059999999999999</v>
      </c>
      <c r="N1466">
        <v>0.185</v>
      </c>
      <c r="O1466">
        <v>2.6219999999999999</v>
      </c>
      <c r="P1466">
        <v>0.79</v>
      </c>
      <c r="Q1466">
        <v>14</v>
      </c>
    </row>
    <row r="1467" spans="1:17" x14ac:dyDescent="0.25">
      <c r="A1467" s="1">
        <v>43322</v>
      </c>
      <c r="B1467">
        <v>11.151</v>
      </c>
      <c r="C1467">
        <v>227</v>
      </c>
      <c r="D1467">
        <v>3.5579999999999998</v>
      </c>
      <c r="E1467">
        <v>13.64</v>
      </c>
      <c r="F1467">
        <v>6.7050000000000001</v>
      </c>
      <c r="G1467">
        <v>2.1739999999999999</v>
      </c>
      <c r="H1467" s="15">
        <v>2.3210000000000002</v>
      </c>
      <c r="I1467">
        <v>40.25</v>
      </c>
      <c r="J1467">
        <v>25.045000000000002</v>
      </c>
      <c r="K1467">
        <v>10.898999999999999</v>
      </c>
      <c r="L1467">
        <v>1.397</v>
      </c>
      <c r="M1467">
        <v>4.0979999999999999</v>
      </c>
      <c r="N1467">
        <v>0.185</v>
      </c>
      <c r="O1467">
        <v>2.68</v>
      </c>
      <c r="P1467">
        <v>0.79</v>
      </c>
      <c r="Q1467">
        <v>15</v>
      </c>
    </row>
    <row r="1468" spans="1:17" x14ac:dyDescent="0.25">
      <c r="A1468" s="1">
        <v>43325</v>
      </c>
      <c r="B1468">
        <v>11.053000000000001</v>
      </c>
      <c r="C1468">
        <v>224</v>
      </c>
      <c r="D1468">
        <v>3.54</v>
      </c>
      <c r="E1468">
        <v>13.33</v>
      </c>
      <c r="F1468">
        <v>6.7050000000000001</v>
      </c>
      <c r="G1468">
        <v>2.165</v>
      </c>
      <c r="H1468" s="15">
        <v>2.3210000000000002</v>
      </c>
      <c r="I1468">
        <v>40.25</v>
      </c>
      <c r="J1468">
        <v>24.948</v>
      </c>
      <c r="K1468">
        <v>10.898999999999999</v>
      </c>
      <c r="L1468">
        <v>1.3680000000000001</v>
      </c>
      <c r="M1468" t="e">
        <v>#N/A</v>
      </c>
      <c r="N1468">
        <v>0.18099999999999999</v>
      </c>
      <c r="O1468">
        <v>2.6629999999999998</v>
      </c>
      <c r="P1468">
        <v>0.75</v>
      </c>
      <c r="Q1468">
        <v>14</v>
      </c>
    </row>
    <row r="1469" spans="1:17" x14ac:dyDescent="0.25">
      <c r="A1469" s="1">
        <v>43326</v>
      </c>
      <c r="B1469">
        <v>11.005000000000001</v>
      </c>
      <c r="C1469">
        <v>224.4</v>
      </c>
      <c r="D1469">
        <v>3.5579999999999998</v>
      </c>
      <c r="E1469" t="e">
        <v>#N/A</v>
      </c>
      <c r="F1469">
        <v>6.7409999999999997</v>
      </c>
      <c r="G1469">
        <v>2.165</v>
      </c>
      <c r="H1469" s="15" t="e">
        <v>#N/A</v>
      </c>
      <c r="I1469">
        <v>40.25</v>
      </c>
      <c r="J1469">
        <v>24.939</v>
      </c>
      <c r="K1469">
        <v>10.888999999999999</v>
      </c>
      <c r="L1469">
        <v>1.349</v>
      </c>
      <c r="M1469">
        <v>4.0010000000000003</v>
      </c>
      <c r="N1469">
        <v>0.184</v>
      </c>
      <c r="O1469" t="e">
        <v>#N/A</v>
      </c>
      <c r="P1469">
        <v>0.77</v>
      </c>
      <c r="Q1469">
        <v>12</v>
      </c>
    </row>
    <row r="1470" spans="1:17" x14ac:dyDescent="0.25">
      <c r="A1470" s="1">
        <v>43327</v>
      </c>
      <c r="B1470">
        <v>11.005000000000001</v>
      </c>
      <c r="C1470">
        <v>222</v>
      </c>
      <c r="D1470">
        <v>3.54</v>
      </c>
      <c r="E1470">
        <v>12.15</v>
      </c>
      <c r="F1470">
        <v>6.66</v>
      </c>
      <c r="G1470">
        <v>2.1019999999999999</v>
      </c>
      <c r="H1470" s="15" t="e">
        <v>#N/A</v>
      </c>
      <c r="I1470">
        <v>40.25</v>
      </c>
      <c r="J1470">
        <v>25.045000000000002</v>
      </c>
      <c r="K1470">
        <v>10.898999999999999</v>
      </c>
      <c r="L1470">
        <v>1.3009999999999999</v>
      </c>
      <c r="M1470">
        <v>3.835</v>
      </c>
      <c r="N1470">
        <v>0.17</v>
      </c>
      <c r="O1470">
        <v>2.5760000000000001</v>
      </c>
      <c r="P1470">
        <v>0.71</v>
      </c>
      <c r="Q1470">
        <v>14</v>
      </c>
    </row>
    <row r="1471" spans="1:17" x14ac:dyDescent="0.25">
      <c r="A1471" s="1">
        <v>43328</v>
      </c>
      <c r="B1471">
        <v>10.907</v>
      </c>
      <c r="C1471">
        <v>222.5</v>
      </c>
      <c r="D1471">
        <v>3.5670000000000002</v>
      </c>
      <c r="E1471">
        <v>11.81</v>
      </c>
      <c r="F1471">
        <v>6.5890000000000004</v>
      </c>
      <c r="G1471">
        <v>2.0840000000000001</v>
      </c>
      <c r="H1471" s="15" t="e">
        <v>#N/A</v>
      </c>
      <c r="I1471">
        <v>40.154000000000003</v>
      </c>
      <c r="J1471">
        <v>24.803000000000001</v>
      </c>
      <c r="K1471">
        <v>10.888999999999999</v>
      </c>
      <c r="L1471" t="e">
        <v>#N/A</v>
      </c>
      <c r="M1471">
        <v>3.835</v>
      </c>
      <c r="N1471">
        <v>0.18</v>
      </c>
      <c r="O1471">
        <v>2.5470000000000002</v>
      </c>
      <c r="P1471">
        <v>0.73</v>
      </c>
      <c r="Q1471">
        <v>13</v>
      </c>
    </row>
    <row r="1472" spans="1:17" x14ac:dyDescent="0.25">
      <c r="A1472" s="1">
        <v>43329</v>
      </c>
      <c r="B1472">
        <v>10.907</v>
      </c>
      <c r="C1472">
        <v>220.9</v>
      </c>
      <c r="D1472">
        <v>3.593</v>
      </c>
      <c r="E1472">
        <v>12.17</v>
      </c>
      <c r="F1472">
        <v>6.4809999999999999</v>
      </c>
      <c r="G1472">
        <v>2.1019999999999999</v>
      </c>
      <c r="H1472" s="15">
        <v>2.3210000000000002</v>
      </c>
      <c r="I1472" t="e">
        <v>#N/A</v>
      </c>
      <c r="J1472">
        <v>24.754000000000001</v>
      </c>
      <c r="K1472">
        <v>10.898999999999999</v>
      </c>
      <c r="L1472" t="e">
        <v>#N/A</v>
      </c>
      <c r="M1472">
        <v>3.669</v>
      </c>
      <c r="N1472">
        <v>0.17599999999999999</v>
      </c>
      <c r="O1472">
        <v>2.5470000000000002</v>
      </c>
      <c r="P1472">
        <v>0.73</v>
      </c>
      <c r="Q1472">
        <v>13</v>
      </c>
    </row>
    <row r="1473" spans="1:17" x14ac:dyDescent="0.25">
      <c r="A1473" s="1">
        <v>43332</v>
      </c>
      <c r="B1473">
        <v>10.858000000000001</v>
      </c>
      <c r="C1473">
        <v>222.6</v>
      </c>
      <c r="D1473">
        <v>3.593</v>
      </c>
      <c r="E1473">
        <v>12.23</v>
      </c>
      <c r="F1473">
        <v>6.4370000000000003</v>
      </c>
      <c r="G1473">
        <v>2.0840000000000001</v>
      </c>
      <c r="H1473" s="15">
        <v>2.282</v>
      </c>
      <c r="I1473">
        <v>40.154000000000003</v>
      </c>
      <c r="J1473">
        <v>24.754000000000001</v>
      </c>
      <c r="K1473">
        <v>10.898999999999999</v>
      </c>
      <c r="L1473">
        <v>1.31</v>
      </c>
      <c r="M1473">
        <v>3.835</v>
      </c>
      <c r="N1473">
        <v>0.18</v>
      </c>
      <c r="O1473">
        <v>2.5470000000000002</v>
      </c>
      <c r="P1473">
        <v>0.73</v>
      </c>
      <c r="Q1473">
        <v>15</v>
      </c>
    </row>
    <row r="1474" spans="1:17" x14ac:dyDescent="0.25">
      <c r="A1474" s="1">
        <v>43333</v>
      </c>
      <c r="B1474">
        <v>10.007</v>
      </c>
      <c r="C1474">
        <v>220.3</v>
      </c>
      <c r="D1474">
        <v>3.6019999999999999</v>
      </c>
      <c r="E1474">
        <v>12.66</v>
      </c>
      <c r="F1474">
        <v>6.3470000000000004</v>
      </c>
      <c r="G1474">
        <v>2.0840000000000001</v>
      </c>
      <c r="H1474" s="15">
        <v>2.1240000000000001</v>
      </c>
      <c r="I1474">
        <v>39.384</v>
      </c>
      <c r="J1474">
        <v>24.366</v>
      </c>
      <c r="K1474">
        <v>10.898999999999999</v>
      </c>
      <c r="L1474">
        <v>1.31</v>
      </c>
      <c r="M1474">
        <v>3.7570000000000001</v>
      </c>
      <c r="N1474">
        <v>0.18</v>
      </c>
      <c r="O1474">
        <v>2.5179999999999998</v>
      </c>
      <c r="P1474">
        <v>0.74</v>
      </c>
      <c r="Q1474">
        <v>15</v>
      </c>
    </row>
    <row r="1475" spans="1:17" x14ac:dyDescent="0.25">
      <c r="A1475" s="1">
        <v>43334</v>
      </c>
      <c r="B1475">
        <v>10.76</v>
      </c>
      <c r="C1475">
        <v>220</v>
      </c>
      <c r="D1475">
        <v>3.6019999999999999</v>
      </c>
      <c r="E1475">
        <v>12.8</v>
      </c>
      <c r="F1475">
        <v>6.3559999999999999</v>
      </c>
      <c r="G1475">
        <v>2.0659999999999998</v>
      </c>
      <c r="H1475" s="15">
        <v>2.1240000000000001</v>
      </c>
      <c r="I1475">
        <v>40.154000000000003</v>
      </c>
      <c r="J1475">
        <v>24.706</v>
      </c>
      <c r="K1475">
        <v>10.907999999999999</v>
      </c>
      <c r="L1475">
        <v>1.349</v>
      </c>
      <c r="M1475" t="e">
        <v>#N/A</v>
      </c>
      <c r="N1475">
        <v>0.184</v>
      </c>
      <c r="O1475">
        <v>2.5179999999999998</v>
      </c>
      <c r="P1475">
        <v>0.75</v>
      </c>
      <c r="Q1475">
        <v>14</v>
      </c>
    </row>
    <row r="1476" spans="1:17" x14ac:dyDescent="0.25">
      <c r="A1476" s="1">
        <v>43335</v>
      </c>
      <c r="B1476">
        <v>10.76</v>
      </c>
      <c r="C1476">
        <v>222</v>
      </c>
      <c r="D1476">
        <v>3.6019999999999999</v>
      </c>
      <c r="E1476">
        <v>12.42</v>
      </c>
      <c r="F1476">
        <v>6.258</v>
      </c>
      <c r="G1476">
        <v>2.0659999999999998</v>
      </c>
      <c r="H1476" s="15">
        <v>2.1240000000000001</v>
      </c>
      <c r="I1476">
        <v>39.479999999999997</v>
      </c>
      <c r="J1476">
        <v>24.463000000000001</v>
      </c>
      <c r="K1476">
        <v>10.898999999999999</v>
      </c>
      <c r="L1476">
        <v>1.339</v>
      </c>
      <c r="M1476">
        <v>3.7570000000000001</v>
      </c>
      <c r="N1476">
        <v>0.184</v>
      </c>
      <c r="O1476">
        <v>2.5179999999999998</v>
      </c>
      <c r="P1476">
        <v>0.74</v>
      </c>
      <c r="Q1476">
        <v>15</v>
      </c>
    </row>
    <row r="1477" spans="1:17" x14ac:dyDescent="0.25">
      <c r="A1477" s="1">
        <v>43336</v>
      </c>
      <c r="B1477">
        <v>10.76</v>
      </c>
      <c r="C1477">
        <v>222</v>
      </c>
      <c r="D1477">
        <v>3.6110000000000002</v>
      </c>
      <c r="E1477">
        <v>13</v>
      </c>
      <c r="F1477">
        <v>6.3470000000000004</v>
      </c>
      <c r="G1477">
        <v>2.0840000000000001</v>
      </c>
      <c r="H1477" s="15" t="e">
        <v>#N/A</v>
      </c>
      <c r="I1477">
        <v>39.479999999999997</v>
      </c>
      <c r="J1477">
        <v>24.463000000000001</v>
      </c>
      <c r="K1477">
        <v>10.898999999999999</v>
      </c>
      <c r="L1477">
        <v>1.397</v>
      </c>
      <c r="M1477">
        <v>3.6349999999999998</v>
      </c>
      <c r="N1477">
        <v>0.19</v>
      </c>
      <c r="O1477">
        <v>2.508</v>
      </c>
      <c r="P1477">
        <v>0.8</v>
      </c>
      <c r="Q1477">
        <v>14</v>
      </c>
    </row>
    <row r="1478" spans="1:17" x14ac:dyDescent="0.25">
      <c r="A1478" s="1">
        <v>43339</v>
      </c>
      <c r="B1478">
        <v>10.858000000000001</v>
      </c>
      <c r="C1478">
        <v>223.5</v>
      </c>
      <c r="D1478">
        <v>3.6459999999999999</v>
      </c>
      <c r="E1478">
        <v>12.9</v>
      </c>
      <c r="F1478">
        <v>6.3739999999999997</v>
      </c>
      <c r="G1478">
        <v>2.093</v>
      </c>
      <c r="H1478" s="15">
        <v>2.1240000000000001</v>
      </c>
      <c r="I1478">
        <v>39.479999999999997</v>
      </c>
      <c r="J1478">
        <v>24.754000000000001</v>
      </c>
      <c r="K1478">
        <v>10.898999999999999</v>
      </c>
      <c r="L1478">
        <v>1.4159999999999999</v>
      </c>
      <c r="M1478" t="e">
        <v>#N/A</v>
      </c>
      <c r="N1478">
        <v>0.19</v>
      </c>
      <c r="O1478">
        <v>2.5179999999999998</v>
      </c>
      <c r="P1478">
        <v>0.8</v>
      </c>
      <c r="Q1478">
        <v>14</v>
      </c>
    </row>
    <row r="1479" spans="1:17" x14ac:dyDescent="0.25">
      <c r="A1479" s="1">
        <v>43340</v>
      </c>
      <c r="B1479">
        <v>10.858000000000001</v>
      </c>
      <c r="C1479">
        <v>221.7</v>
      </c>
      <c r="D1479">
        <v>3.5750000000000002</v>
      </c>
      <c r="E1479">
        <v>12.7</v>
      </c>
      <c r="F1479">
        <v>6.4370000000000003</v>
      </c>
      <c r="G1479">
        <v>2.093</v>
      </c>
      <c r="H1479" s="15">
        <v>2.0739999999999998</v>
      </c>
      <c r="I1479">
        <v>39.479999999999997</v>
      </c>
      <c r="J1479">
        <v>25.141999999999999</v>
      </c>
      <c r="K1479">
        <v>10.898999999999999</v>
      </c>
      <c r="L1479">
        <v>1.4350000000000001</v>
      </c>
      <c r="M1479" t="e">
        <v>#N/A</v>
      </c>
      <c r="N1479">
        <v>0.19</v>
      </c>
      <c r="O1479">
        <v>2.4300000000000002</v>
      </c>
      <c r="P1479">
        <v>0.78</v>
      </c>
      <c r="Q1479">
        <v>14</v>
      </c>
    </row>
    <row r="1480" spans="1:17" x14ac:dyDescent="0.25">
      <c r="A1480" s="1">
        <v>43341</v>
      </c>
      <c r="B1480">
        <v>10.808999999999999</v>
      </c>
      <c r="C1480">
        <v>221.1</v>
      </c>
      <c r="D1480">
        <v>3.6019999999999999</v>
      </c>
      <c r="E1480">
        <v>12.8</v>
      </c>
      <c r="F1480">
        <v>6.4809999999999999</v>
      </c>
      <c r="G1480">
        <v>2.0659999999999998</v>
      </c>
      <c r="H1480" s="15">
        <v>2.0739999999999998</v>
      </c>
      <c r="I1480">
        <v>39.479999999999997</v>
      </c>
      <c r="J1480">
        <v>25.239000000000001</v>
      </c>
      <c r="K1480">
        <v>10.898999999999999</v>
      </c>
      <c r="L1480">
        <v>1.492</v>
      </c>
      <c r="M1480" t="e">
        <v>#N/A</v>
      </c>
      <c r="N1480">
        <v>0.19</v>
      </c>
      <c r="O1480">
        <v>2.4300000000000002</v>
      </c>
      <c r="P1480">
        <v>0.79</v>
      </c>
      <c r="Q1480">
        <v>14</v>
      </c>
    </row>
    <row r="1481" spans="1:17" x14ac:dyDescent="0.25">
      <c r="A1481" s="1">
        <v>43343</v>
      </c>
      <c r="B1481">
        <v>10.662000000000001</v>
      </c>
      <c r="C1481">
        <v>216.86</v>
      </c>
      <c r="D1481">
        <v>3.69</v>
      </c>
      <c r="E1481">
        <v>12.5</v>
      </c>
      <c r="F1481">
        <v>6.258</v>
      </c>
      <c r="G1481">
        <v>2.0840000000000001</v>
      </c>
      <c r="H1481" s="15" t="e">
        <v>#N/A</v>
      </c>
      <c r="I1481">
        <v>38.323999999999998</v>
      </c>
      <c r="J1481">
        <v>25.337</v>
      </c>
      <c r="K1481" t="e">
        <v>#N/A</v>
      </c>
      <c r="L1481">
        <v>1.464</v>
      </c>
      <c r="M1481" t="e">
        <v>#N/A</v>
      </c>
      <c r="N1481">
        <v>0.187</v>
      </c>
      <c r="O1481">
        <v>2.4300000000000002</v>
      </c>
      <c r="P1481">
        <v>0.82</v>
      </c>
      <c r="Q1481">
        <v>12</v>
      </c>
    </row>
    <row r="1482" spans="1:17" x14ac:dyDescent="0.25">
      <c r="A1482" s="1">
        <v>43346</v>
      </c>
      <c r="B1482">
        <v>10.662000000000001</v>
      </c>
      <c r="C1482">
        <v>218</v>
      </c>
      <c r="D1482">
        <v>3.7250000000000001</v>
      </c>
      <c r="E1482">
        <v>12.5</v>
      </c>
      <c r="F1482">
        <v>6.2220000000000004</v>
      </c>
      <c r="G1482">
        <v>2.0840000000000001</v>
      </c>
      <c r="H1482" s="15" t="e">
        <v>#N/A</v>
      </c>
      <c r="I1482" t="e">
        <v>#N/A</v>
      </c>
      <c r="J1482" t="e">
        <v>#N/A</v>
      </c>
      <c r="K1482">
        <v>10.898999999999999</v>
      </c>
      <c r="L1482">
        <v>1.4830000000000001</v>
      </c>
      <c r="M1482">
        <v>3.7570000000000001</v>
      </c>
      <c r="N1482">
        <v>0.19</v>
      </c>
      <c r="O1482">
        <v>2.4300000000000002</v>
      </c>
      <c r="P1482">
        <v>0.81</v>
      </c>
      <c r="Q1482">
        <v>12</v>
      </c>
    </row>
    <row r="1483" spans="1:17" x14ac:dyDescent="0.25">
      <c r="A1483" s="1">
        <v>43347</v>
      </c>
      <c r="B1483">
        <v>10.465999999999999</v>
      </c>
      <c r="C1483">
        <v>212</v>
      </c>
      <c r="D1483">
        <v>3.6019999999999999</v>
      </c>
      <c r="E1483">
        <v>12.33</v>
      </c>
      <c r="F1483">
        <v>6.0970000000000004</v>
      </c>
      <c r="G1483">
        <v>2.0840000000000001</v>
      </c>
      <c r="H1483" s="15">
        <v>1.976</v>
      </c>
      <c r="I1483">
        <v>38.323999999999998</v>
      </c>
      <c r="J1483">
        <v>25.337</v>
      </c>
      <c r="K1483">
        <v>10.808</v>
      </c>
      <c r="L1483">
        <v>1.425</v>
      </c>
      <c r="M1483">
        <v>3.6259999999999999</v>
      </c>
      <c r="N1483">
        <v>0.17799999999999999</v>
      </c>
      <c r="O1483">
        <v>2.4300000000000002</v>
      </c>
      <c r="P1483">
        <v>0.79</v>
      </c>
      <c r="Q1483">
        <v>15</v>
      </c>
    </row>
    <row r="1484" spans="1:17" x14ac:dyDescent="0.25">
      <c r="A1484" s="1">
        <v>43348</v>
      </c>
      <c r="B1484">
        <v>10.271000000000001</v>
      </c>
      <c r="C1484">
        <v>210</v>
      </c>
      <c r="D1484">
        <v>3.6549999999999998</v>
      </c>
      <c r="E1484">
        <v>12.25</v>
      </c>
      <c r="F1484">
        <v>5.9180000000000001</v>
      </c>
      <c r="G1484">
        <v>2.0289999999999999</v>
      </c>
      <c r="H1484" s="15">
        <v>1.887</v>
      </c>
      <c r="I1484">
        <v>37.168999999999997</v>
      </c>
      <c r="J1484">
        <v>24.754000000000001</v>
      </c>
      <c r="K1484">
        <v>10.898999999999999</v>
      </c>
      <c r="L1484">
        <v>1.425</v>
      </c>
      <c r="M1484">
        <v>3.5379999999999998</v>
      </c>
      <c r="N1484">
        <v>0.16900000000000001</v>
      </c>
      <c r="O1484">
        <v>2.4300000000000002</v>
      </c>
      <c r="P1484">
        <v>0.77</v>
      </c>
      <c r="Q1484">
        <v>15</v>
      </c>
    </row>
    <row r="1485" spans="1:17" x14ac:dyDescent="0.25">
      <c r="A1485" s="1">
        <v>43349</v>
      </c>
      <c r="B1485">
        <v>10.271000000000001</v>
      </c>
      <c r="C1485">
        <v>210.31</v>
      </c>
      <c r="D1485">
        <v>3.637</v>
      </c>
      <c r="E1485">
        <v>12.1</v>
      </c>
      <c r="F1485">
        <v>5.9180000000000001</v>
      </c>
      <c r="G1485">
        <v>1.9930000000000001</v>
      </c>
      <c r="H1485" s="15">
        <v>1.778</v>
      </c>
      <c r="I1485">
        <v>37.360999999999997</v>
      </c>
      <c r="J1485">
        <v>24.754000000000001</v>
      </c>
      <c r="K1485">
        <v>10.808</v>
      </c>
      <c r="L1485">
        <v>1.425</v>
      </c>
      <c r="M1485">
        <v>3.4769999999999999</v>
      </c>
      <c r="N1485">
        <v>0.16700000000000001</v>
      </c>
      <c r="O1485">
        <v>2.4300000000000002</v>
      </c>
      <c r="P1485">
        <v>0.75</v>
      </c>
      <c r="Q1485">
        <v>15</v>
      </c>
    </row>
    <row r="1486" spans="1:17" x14ac:dyDescent="0.25">
      <c r="A1486" s="1">
        <v>43350</v>
      </c>
      <c r="B1486">
        <v>10.271000000000001</v>
      </c>
      <c r="C1486">
        <v>209.9</v>
      </c>
      <c r="D1486">
        <v>3.6549999999999998</v>
      </c>
      <c r="E1486">
        <v>12.4</v>
      </c>
      <c r="F1486">
        <v>5.9450000000000003</v>
      </c>
      <c r="G1486">
        <v>1.966</v>
      </c>
      <c r="H1486" s="15">
        <v>1.778</v>
      </c>
      <c r="I1486">
        <v>37.360999999999997</v>
      </c>
      <c r="J1486">
        <v>24.754000000000001</v>
      </c>
      <c r="K1486">
        <v>10.853</v>
      </c>
      <c r="L1486">
        <v>1.3580000000000001</v>
      </c>
      <c r="M1486" t="e">
        <v>#N/A</v>
      </c>
      <c r="N1486">
        <v>0.17</v>
      </c>
      <c r="O1486">
        <v>2.4300000000000002</v>
      </c>
      <c r="P1486">
        <v>0.75</v>
      </c>
      <c r="Q1486">
        <v>14</v>
      </c>
    </row>
    <row r="1487" spans="1:17" x14ac:dyDescent="0.25">
      <c r="A1487" s="1">
        <v>43353</v>
      </c>
      <c r="B1487">
        <v>10.124000000000001</v>
      </c>
      <c r="C1487">
        <v>209.86</v>
      </c>
      <c r="D1487">
        <v>3.6549999999999998</v>
      </c>
      <c r="E1487">
        <v>12.3</v>
      </c>
      <c r="F1487">
        <v>5.9450000000000003</v>
      </c>
      <c r="G1487">
        <v>1.9390000000000001</v>
      </c>
      <c r="H1487" s="15">
        <v>1.877</v>
      </c>
      <c r="I1487" t="e">
        <v>#N/A</v>
      </c>
      <c r="J1487">
        <v>24.657</v>
      </c>
      <c r="K1487">
        <v>10.853</v>
      </c>
      <c r="L1487" t="e">
        <v>#N/A</v>
      </c>
      <c r="M1487">
        <v>3.0670000000000002</v>
      </c>
      <c r="N1487">
        <v>0.17299999999999999</v>
      </c>
      <c r="O1487">
        <v>2.4300000000000002</v>
      </c>
      <c r="P1487">
        <v>0.76</v>
      </c>
      <c r="Q1487">
        <v>13</v>
      </c>
    </row>
    <row r="1488" spans="1:17" x14ac:dyDescent="0.25">
      <c r="A1488" s="1">
        <v>43354</v>
      </c>
      <c r="B1488">
        <v>9.8309999999999995</v>
      </c>
      <c r="C1488">
        <v>208.5</v>
      </c>
      <c r="D1488" t="e">
        <v>#N/A</v>
      </c>
      <c r="E1488">
        <v>12.3</v>
      </c>
      <c r="F1488">
        <v>5.9180000000000001</v>
      </c>
      <c r="G1488">
        <v>1.911</v>
      </c>
      <c r="H1488" s="15">
        <v>1.867</v>
      </c>
      <c r="I1488">
        <v>37.360999999999997</v>
      </c>
      <c r="J1488">
        <v>24.172000000000001</v>
      </c>
      <c r="K1488">
        <v>10.88</v>
      </c>
      <c r="L1488">
        <v>1.387</v>
      </c>
      <c r="M1488">
        <v>3.407</v>
      </c>
      <c r="N1488">
        <v>0.17</v>
      </c>
      <c r="O1488" t="e">
        <v>#N/A</v>
      </c>
      <c r="P1488">
        <v>0.76</v>
      </c>
      <c r="Q1488">
        <v>13</v>
      </c>
    </row>
    <row r="1489" spans="1:17" x14ac:dyDescent="0.25">
      <c r="A1489" s="1">
        <v>43355</v>
      </c>
      <c r="B1489">
        <v>9.8800000000000008</v>
      </c>
      <c r="C1489">
        <v>213.2</v>
      </c>
      <c r="D1489">
        <v>3.6190000000000002</v>
      </c>
      <c r="E1489">
        <v>13.1</v>
      </c>
      <c r="F1489">
        <v>5.9</v>
      </c>
      <c r="G1489">
        <v>1.911</v>
      </c>
      <c r="H1489" s="15">
        <v>1.778</v>
      </c>
      <c r="I1489">
        <v>35.628</v>
      </c>
      <c r="J1489">
        <v>24.56</v>
      </c>
      <c r="K1489">
        <v>10.817</v>
      </c>
      <c r="L1489">
        <v>1.387</v>
      </c>
      <c r="M1489">
        <v>3.3290000000000002</v>
      </c>
      <c r="N1489">
        <v>0.17499999999999999</v>
      </c>
      <c r="O1489" t="e">
        <v>#N/A</v>
      </c>
      <c r="P1489">
        <v>0.76</v>
      </c>
      <c r="Q1489">
        <v>14</v>
      </c>
    </row>
    <row r="1490" spans="1:17" x14ac:dyDescent="0.25">
      <c r="A1490" s="1">
        <v>43356</v>
      </c>
      <c r="B1490">
        <v>9.9770000000000003</v>
      </c>
      <c r="C1490">
        <v>213</v>
      </c>
      <c r="D1490">
        <v>3.593</v>
      </c>
      <c r="E1490" t="e">
        <v>#N/A</v>
      </c>
      <c r="F1490">
        <v>5.8559999999999999</v>
      </c>
      <c r="G1490">
        <v>1.966</v>
      </c>
      <c r="H1490" s="15">
        <v>1.6990000000000001</v>
      </c>
      <c r="I1490">
        <v>37.360999999999997</v>
      </c>
      <c r="J1490">
        <v>24.56</v>
      </c>
      <c r="K1490">
        <v>10.717000000000001</v>
      </c>
      <c r="L1490">
        <v>1.339</v>
      </c>
      <c r="M1490">
        <v>3.32</v>
      </c>
      <c r="N1490">
        <v>0.16200000000000001</v>
      </c>
      <c r="O1490">
        <v>2.44</v>
      </c>
      <c r="P1490">
        <v>0.77</v>
      </c>
      <c r="Q1490">
        <v>14</v>
      </c>
    </row>
    <row r="1491" spans="1:17" x14ac:dyDescent="0.25">
      <c r="A1491" s="1">
        <v>43357</v>
      </c>
      <c r="B1491">
        <v>9.9280000000000008</v>
      </c>
      <c r="C1491">
        <v>213.95</v>
      </c>
      <c r="D1491">
        <v>3.5579999999999998</v>
      </c>
      <c r="E1491">
        <v>12.9</v>
      </c>
      <c r="F1491">
        <v>5.8380000000000001</v>
      </c>
      <c r="G1491">
        <v>1.984</v>
      </c>
      <c r="H1491" s="15" t="e">
        <v>#N/A</v>
      </c>
      <c r="I1491">
        <v>37.360999999999997</v>
      </c>
      <c r="J1491" t="e">
        <v>#N/A</v>
      </c>
      <c r="K1491">
        <v>10.717000000000001</v>
      </c>
      <c r="L1491">
        <v>1.339</v>
      </c>
      <c r="M1491">
        <v>3.3290000000000002</v>
      </c>
      <c r="N1491">
        <v>0.16400000000000001</v>
      </c>
      <c r="O1491" t="e">
        <v>#N/A</v>
      </c>
      <c r="P1491">
        <v>0.75</v>
      </c>
      <c r="Q1491">
        <v>12</v>
      </c>
    </row>
    <row r="1492" spans="1:17" x14ac:dyDescent="0.25">
      <c r="A1492" s="1">
        <v>43360</v>
      </c>
      <c r="B1492">
        <v>9.8889999999999993</v>
      </c>
      <c r="C1492">
        <v>214.5</v>
      </c>
      <c r="D1492">
        <v>3.5139999999999998</v>
      </c>
      <c r="E1492">
        <v>12.2</v>
      </c>
      <c r="F1492">
        <v>5.7750000000000004</v>
      </c>
      <c r="G1492">
        <v>1.984</v>
      </c>
      <c r="H1492" s="15">
        <v>1.7190000000000001</v>
      </c>
      <c r="I1492">
        <v>37.360999999999997</v>
      </c>
      <c r="J1492">
        <v>24.56</v>
      </c>
      <c r="K1492">
        <v>10.624000000000001</v>
      </c>
      <c r="L1492">
        <v>1.339</v>
      </c>
      <c r="M1492" t="e">
        <v>#N/A</v>
      </c>
      <c r="N1492">
        <v>0.158</v>
      </c>
      <c r="O1492">
        <v>2.2650000000000001</v>
      </c>
      <c r="P1492">
        <v>0.72</v>
      </c>
      <c r="Q1492">
        <v>14</v>
      </c>
    </row>
    <row r="1493" spans="1:17" x14ac:dyDescent="0.25">
      <c r="A1493" s="1">
        <v>43361</v>
      </c>
      <c r="B1493">
        <v>9.8800000000000008</v>
      </c>
      <c r="C1493">
        <v>216.6</v>
      </c>
      <c r="D1493">
        <v>3.5139999999999998</v>
      </c>
      <c r="E1493">
        <v>12.25</v>
      </c>
      <c r="F1493">
        <v>5.9</v>
      </c>
      <c r="G1493">
        <v>2.0289999999999999</v>
      </c>
      <c r="H1493" s="15">
        <v>1.7190000000000001</v>
      </c>
      <c r="I1493">
        <v>37.601999999999997</v>
      </c>
      <c r="J1493">
        <v>24.56</v>
      </c>
      <c r="K1493">
        <v>10.624000000000001</v>
      </c>
      <c r="L1493">
        <v>1.387</v>
      </c>
      <c r="M1493">
        <v>3.3370000000000002</v>
      </c>
      <c r="N1493">
        <v>0.154</v>
      </c>
      <c r="O1493">
        <v>2.3719999999999999</v>
      </c>
      <c r="P1493">
        <v>0.74</v>
      </c>
      <c r="Q1493">
        <v>15</v>
      </c>
    </row>
    <row r="1494" spans="1:17" x14ac:dyDescent="0.25">
      <c r="A1494" s="1">
        <v>43362</v>
      </c>
      <c r="B1494">
        <v>9.9280000000000008</v>
      </c>
      <c r="C1494">
        <v>220.45</v>
      </c>
      <c r="D1494">
        <v>3.5139999999999998</v>
      </c>
      <c r="E1494">
        <v>13.04</v>
      </c>
      <c r="F1494" t="e">
        <v>#N/A</v>
      </c>
      <c r="G1494">
        <v>2.1110000000000002</v>
      </c>
      <c r="H1494" s="15">
        <v>1.748</v>
      </c>
      <c r="I1494">
        <v>37.659999999999997</v>
      </c>
      <c r="J1494">
        <v>24.754000000000001</v>
      </c>
      <c r="K1494">
        <v>10.624000000000001</v>
      </c>
      <c r="L1494">
        <v>1.387</v>
      </c>
      <c r="M1494" t="e">
        <v>#N/A</v>
      </c>
      <c r="N1494">
        <v>0.154</v>
      </c>
      <c r="O1494" t="e">
        <v>#N/A</v>
      </c>
      <c r="P1494">
        <v>0.77</v>
      </c>
      <c r="Q1494">
        <v>12</v>
      </c>
    </row>
    <row r="1495" spans="1:17" x14ac:dyDescent="0.25">
      <c r="A1495" s="1">
        <v>43363</v>
      </c>
      <c r="B1495">
        <v>9.8800000000000008</v>
      </c>
      <c r="C1495">
        <v>226.4</v>
      </c>
      <c r="D1495">
        <v>3.5579999999999998</v>
      </c>
      <c r="E1495">
        <v>13.42</v>
      </c>
      <c r="F1495">
        <v>6.0609999999999999</v>
      </c>
      <c r="G1495">
        <v>2.129</v>
      </c>
      <c r="H1495" s="15">
        <v>1.778</v>
      </c>
      <c r="I1495">
        <v>37.843000000000004</v>
      </c>
      <c r="J1495">
        <v>24.997</v>
      </c>
      <c r="K1495">
        <v>10.754</v>
      </c>
      <c r="L1495">
        <v>1.4350000000000001</v>
      </c>
      <c r="M1495">
        <v>3.4769999999999999</v>
      </c>
      <c r="N1495">
        <v>0.15</v>
      </c>
      <c r="O1495">
        <v>2.3130000000000002</v>
      </c>
      <c r="P1495">
        <v>0.76</v>
      </c>
      <c r="Q1495">
        <v>15</v>
      </c>
    </row>
    <row r="1496" spans="1:17" x14ac:dyDescent="0.25">
      <c r="A1496" s="1">
        <v>43364</v>
      </c>
      <c r="B1496">
        <v>9.9870000000000001</v>
      </c>
      <c r="C1496">
        <v>226.7</v>
      </c>
      <c r="D1496" t="e">
        <v>#N/A</v>
      </c>
      <c r="E1496">
        <v>13.38</v>
      </c>
      <c r="F1496">
        <v>6.1059999999999999</v>
      </c>
      <c r="G1496">
        <v>2.2200000000000002</v>
      </c>
      <c r="H1496" s="15">
        <v>1.669</v>
      </c>
      <c r="I1496">
        <v>37.843000000000004</v>
      </c>
      <c r="J1496">
        <v>25.385000000000002</v>
      </c>
      <c r="K1496">
        <v>10.763</v>
      </c>
      <c r="L1496">
        <v>1.4350000000000001</v>
      </c>
      <c r="M1496" t="e">
        <v>#N/A</v>
      </c>
      <c r="N1496">
        <v>0.16200000000000001</v>
      </c>
      <c r="O1496" t="e">
        <v>#N/A</v>
      </c>
      <c r="P1496">
        <v>0.78</v>
      </c>
      <c r="Q1496">
        <v>12</v>
      </c>
    </row>
    <row r="1497" spans="1:17" x14ac:dyDescent="0.25">
      <c r="A1497" s="1">
        <v>43367</v>
      </c>
      <c r="B1497">
        <v>10.036</v>
      </c>
      <c r="C1497">
        <v>224.5</v>
      </c>
      <c r="D1497">
        <v>3.5139999999999998</v>
      </c>
      <c r="E1497">
        <v>13.45</v>
      </c>
      <c r="F1497">
        <v>6.1779999999999999</v>
      </c>
      <c r="G1497">
        <v>2.1829999999999998</v>
      </c>
      <c r="H1497" s="15">
        <v>1.669</v>
      </c>
      <c r="I1497">
        <v>37.843000000000004</v>
      </c>
      <c r="J1497">
        <v>25.385000000000002</v>
      </c>
      <c r="K1497">
        <v>10.763</v>
      </c>
      <c r="L1497" t="e">
        <v>#N/A</v>
      </c>
      <c r="M1497">
        <v>3.4950000000000001</v>
      </c>
      <c r="N1497">
        <v>0.159</v>
      </c>
      <c r="O1497" t="e">
        <v>#N/A</v>
      </c>
      <c r="P1497">
        <v>0.77</v>
      </c>
      <c r="Q1497">
        <v>13</v>
      </c>
    </row>
    <row r="1498" spans="1:17" x14ac:dyDescent="0.25">
      <c r="A1498" s="1">
        <v>43368</v>
      </c>
      <c r="B1498">
        <v>10.183</v>
      </c>
      <c r="C1498">
        <v>226.94</v>
      </c>
      <c r="D1498">
        <v>3.488</v>
      </c>
      <c r="E1498">
        <v>13.46</v>
      </c>
      <c r="F1498">
        <v>6.3650000000000002</v>
      </c>
      <c r="G1498">
        <v>2.1739999999999999</v>
      </c>
      <c r="H1498" s="15">
        <v>1.669</v>
      </c>
      <c r="I1498">
        <v>37.698999999999998</v>
      </c>
      <c r="J1498">
        <v>25.337</v>
      </c>
      <c r="K1498">
        <v>10.763</v>
      </c>
      <c r="L1498">
        <v>1.4350000000000001</v>
      </c>
      <c r="M1498">
        <v>3.4510000000000001</v>
      </c>
      <c r="N1498">
        <v>0.158</v>
      </c>
      <c r="O1498">
        <v>2.2360000000000002</v>
      </c>
      <c r="P1498">
        <v>0.74</v>
      </c>
      <c r="Q1498">
        <v>15</v>
      </c>
    </row>
    <row r="1499" spans="1:17" x14ac:dyDescent="0.25">
      <c r="A1499" s="1">
        <v>43369</v>
      </c>
      <c r="B1499">
        <v>10.222</v>
      </c>
      <c r="C1499">
        <v>226.6</v>
      </c>
      <c r="D1499" t="e">
        <v>#N/A</v>
      </c>
      <c r="E1499">
        <v>13.46</v>
      </c>
      <c r="F1499">
        <v>6.41</v>
      </c>
      <c r="G1499">
        <v>2.1469999999999998</v>
      </c>
      <c r="H1499" s="15">
        <v>1.7390000000000001</v>
      </c>
      <c r="I1499">
        <v>37.843000000000004</v>
      </c>
      <c r="J1499">
        <v>25.337</v>
      </c>
      <c r="K1499">
        <v>10.791</v>
      </c>
      <c r="L1499">
        <v>1.4350000000000001</v>
      </c>
      <c r="M1499">
        <v>3.4510000000000001</v>
      </c>
      <c r="N1499">
        <v>0.158</v>
      </c>
      <c r="O1499">
        <v>2.2360000000000002</v>
      </c>
      <c r="P1499">
        <v>0.74</v>
      </c>
      <c r="Q1499">
        <v>14</v>
      </c>
    </row>
    <row r="1500" spans="1:17" x14ac:dyDescent="0.25">
      <c r="A1500" s="1">
        <v>43370</v>
      </c>
      <c r="B1500">
        <v>10.271000000000001</v>
      </c>
      <c r="C1500">
        <v>227</v>
      </c>
      <c r="D1500">
        <v>3.496</v>
      </c>
      <c r="E1500">
        <v>13.3</v>
      </c>
      <c r="F1500">
        <v>6.3920000000000003</v>
      </c>
      <c r="G1500">
        <v>2.1110000000000002</v>
      </c>
      <c r="H1500" s="15">
        <v>1.8080000000000001</v>
      </c>
      <c r="I1500">
        <v>38.034999999999997</v>
      </c>
      <c r="J1500">
        <v>25.337</v>
      </c>
      <c r="K1500">
        <v>10.791</v>
      </c>
      <c r="L1500">
        <v>1.387</v>
      </c>
      <c r="M1500" t="e">
        <v>#N/A</v>
      </c>
      <c r="N1500">
        <v>0.151</v>
      </c>
      <c r="O1500" t="e">
        <v>#N/A</v>
      </c>
      <c r="P1500">
        <v>0.74</v>
      </c>
      <c r="Q1500">
        <v>13</v>
      </c>
    </row>
    <row r="1501" spans="1:17" x14ac:dyDescent="0.25">
      <c r="A1501" s="1">
        <v>43371</v>
      </c>
      <c r="B1501">
        <v>10.32</v>
      </c>
      <c r="C1501">
        <v>223</v>
      </c>
      <c r="D1501">
        <v>3.496</v>
      </c>
      <c r="E1501">
        <v>13.3</v>
      </c>
      <c r="F1501">
        <v>6.4809999999999999</v>
      </c>
      <c r="G1501">
        <v>2.129</v>
      </c>
      <c r="H1501" s="15">
        <v>1.8080000000000001</v>
      </c>
      <c r="I1501">
        <v>38.517000000000003</v>
      </c>
      <c r="J1501" t="e">
        <v>#N/A</v>
      </c>
      <c r="K1501">
        <v>10.948</v>
      </c>
      <c r="L1501" t="e">
        <v>#N/A</v>
      </c>
      <c r="M1501">
        <v>3.399</v>
      </c>
      <c r="N1501">
        <v>0.155</v>
      </c>
      <c r="O1501">
        <v>2.2360000000000002</v>
      </c>
      <c r="P1501">
        <v>0.77</v>
      </c>
      <c r="Q1501">
        <v>13</v>
      </c>
    </row>
    <row r="1502" spans="1:17" x14ac:dyDescent="0.25">
      <c r="A1502" s="1">
        <v>43374</v>
      </c>
      <c r="B1502">
        <v>10.32</v>
      </c>
      <c r="C1502">
        <v>226.51</v>
      </c>
      <c r="D1502">
        <v>3.496</v>
      </c>
      <c r="E1502">
        <v>13.44</v>
      </c>
      <c r="F1502">
        <v>6.4809999999999999</v>
      </c>
      <c r="G1502">
        <v>2.1469999999999998</v>
      </c>
      <c r="H1502" s="15">
        <v>1.8080000000000001</v>
      </c>
      <c r="I1502">
        <v>38.517000000000003</v>
      </c>
      <c r="J1502">
        <v>25.337</v>
      </c>
      <c r="K1502">
        <v>10.939</v>
      </c>
      <c r="L1502">
        <v>1.387</v>
      </c>
      <c r="M1502">
        <v>3.4329999999999998</v>
      </c>
      <c r="N1502">
        <v>0.16</v>
      </c>
      <c r="O1502">
        <v>2.1190000000000002</v>
      </c>
      <c r="P1502">
        <v>0.75</v>
      </c>
      <c r="Q1502">
        <v>15</v>
      </c>
    </row>
    <row r="1503" spans="1:17" x14ac:dyDescent="0.25">
      <c r="A1503" s="1">
        <v>43375</v>
      </c>
      <c r="B1503">
        <v>10.369</v>
      </c>
      <c r="C1503">
        <v>226.25</v>
      </c>
      <c r="D1503">
        <v>3.5049999999999999</v>
      </c>
      <c r="E1503">
        <v>13.49</v>
      </c>
      <c r="F1503">
        <v>6.5439999999999996</v>
      </c>
      <c r="G1503">
        <v>2.1469999999999998</v>
      </c>
      <c r="H1503" s="15">
        <v>1.907</v>
      </c>
      <c r="I1503">
        <v>38.517000000000003</v>
      </c>
      <c r="J1503" t="e">
        <v>#N/A</v>
      </c>
      <c r="K1503">
        <v>11.086</v>
      </c>
      <c r="L1503">
        <v>1.387</v>
      </c>
      <c r="M1503">
        <v>3.4510000000000001</v>
      </c>
      <c r="N1503">
        <v>0.16300000000000001</v>
      </c>
      <c r="O1503">
        <v>2.2360000000000002</v>
      </c>
      <c r="P1503">
        <v>0.75</v>
      </c>
      <c r="Q1503">
        <v>14</v>
      </c>
    </row>
    <row r="1504" spans="1:17" x14ac:dyDescent="0.25">
      <c r="A1504" s="1">
        <v>43376</v>
      </c>
      <c r="B1504">
        <v>10.32</v>
      </c>
      <c r="C1504">
        <v>227.2</v>
      </c>
      <c r="D1504">
        <v>3.496</v>
      </c>
      <c r="E1504">
        <v>13.62</v>
      </c>
      <c r="F1504">
        <v>6.633</v>
      </c>
      <c r="G1504">
        <v>2.129</v>
      </c>
      <c r="H1504" s="15">
        <v>2.0249999999999999</v>
      </c>
      <c r="I1504" t="e">
        <v>#N/A</v>
      </c>
      <c r="J1504">
        <v>25.628</v>
      </c>
      <c r="K1504">
        <v>11.068</v>
      </c>
      <c r="L1504">
        <v>1.387</v>
      </c>
      <c r="M1504">
        <v>3.4950000000000001</v>
      </c>
      <c r="N1504">
        <v>0.16</v>
      </c>
      <c r="O1504">
        <v>2.2549999999999999</v>
      </c>
      <c r="P1504">
        <v>0.77</v>
      </c>
      <c r="Q1504">
        <v>14</v>
      </c>
    </row>
    <row r="1505" spans="1:17" x14ac:dyDescent="0.25">
      <c r="A1505" s="1">
        <v>43377</v>
      </c>
      <c r="B1505">
        <v>10.271000000000001</v>
      </c>
      <c r="C1505">
        <v>222.8</v>
      </c>
      <c r="D1505" t="e">
        <v>#N/A</v>
      </c>
      <c r="E1505">
        <v>13.35</v>
      </c>
      <c r="F1505">
        <v>6.6150000000000002</v>
      </c>
      <c r="G1505">
        <v>2.129</v>
      </c>
      <c r="H1505" s="15">
        <v>1.877</v>
      </c>
      <c r="I1505">
        <v>38.420999999999999</v>
      </c>
      <c r="J1505">
        <v>25.337</v>
      </c>
      <c r="K1505">
        <v>10.901999999999999</v>
      </c>
      <c r="L1505">
        <v>1.387</v>
      </c>
      <c r="M1505" t="e">
        <v>#N/A</v>
      </c>
      <c r="N1505">
        <v>0.16600000000000001</v>
      </c>
      <c r="O1505">
        <v>2.2160000000000002</v>
      </c>
      <c r="P1505">
        <v>0.77</v>
      </c>
      <c r="Q1505">
        <v>13</v>
      </c>
    </row>
    <row r="1506" spans="1:17" x14ac:dyDescent="0.25">
      <c r="A1506" s="1">
        <v>43378</v>
      </c>
      <c r="B1506">
        <v>10.173</v>
      </c>
      <c r="C1506">
        <v>221</v>
      </c>
      <c r="D1506">
        <v>3.496</v>
      </c>
      <c r="E1506">
        <v>13.23</v>
      </c>
      <c r="F1506">
        <v>6.5979999999999999</v>
      </c>
      <c r="G1506">
        <v>2.1110000000000002</v>
      </c>
      <c r="H1506" s="15">
        <v>1.827</v>
      </c>
      <c r="I1506">
        <v>38.18</v>
      </c>
      <c r="J1506">
        <v>25.337</v>
      </c>
      <c r="K1506">
        <v>10.763</v>
      </c>
      <c r="L1506">
        <v>1.387</v>
      </c>
      <c r="M1506">
        <v>3.4510000000000001</v>
      </c>
      <c r="N1506">
        <v>0.161</v>
      </c>
      <c r="O1506">
        <v>2.129</v>
      </c>
      <c r="P1506">
        <v>0.75</v>
      </c>
      <c r="Q1506">
        <v>15</v>
      </c>
    </row>
    <row r="1507" spans="1:17" x14ac:dyDescent="0.25">
      <c r="A1507" s="1">
        <v>43382</v>
      </c>
      <c r="B1507">
        <v>10.124000000000001</v>
      </c>
      <c r="C1507">
        <v>222.52</v>
      </c>
      <c r="D1507">
        <v>3.4529999999999998</v>
      </c>
      <c r="E1507">
        <v>13.11</v>
      </c>
      <c r="F1507">
        <v>6.5890000000000004</v>
      </c>
      <c r="G1507">
        <v>2.1110000000000002</v>
      </c>
      <c r="H1507" s="15">
        <v>1.827</v>
      </c>
      <c r="I1507" t="e">
        <v>#N/A</v>
      </c>
      <c r="J1507">
        <v>25.434000000000001</v>
      </c>
      <c r="K1507">
        <v>10.763</v>
      </c>
      <c r="L1507">
        <v>1.4059999999999999</v>
      </c>
      <c r="M1507">
        <v>3.3639999999999999</v>
      </c>
      <c r="N1507">
        <v>0.16300000000000001</v>
      </c>
      <c r="O1507">
        <v>2.09</v>
      </c>
      <c r="P1507">
        <v>0.76</v>
      </c>
      <c r="Q1507">
        <v>14</v>
      </c>
    </row>
    <row r="1508" spans="1:17" x14ac:dyDescent="0.25">
      <c r="A1508" s="1">
        <v>43383</v>
      </c>
      <c r="B1508">
        <v>10.026</v>
      </c>
      <c r="C1508">
        <v>219.5</v>
      </c>
      <c r="D1508">
        <v>3.47</v>
      </c>
      <c r="E1508">
        <v>13.2</v>
      </c>
      <c r="F1508">
        <v>6.58</v>
      </c>
      <c r="G1508">
        <v>2.1110000000000002</v>
      </c>
      <c r="H1508" s="15">
        <v>1.748</v>
      </c>
      <c r="I1508" t="e">
        <v>#N/A</v>
      </c>
      <c r="J1508">
        <v>25.239000000000001</v>
      </c>
      <c r="K1508">
        <v>10.957000000000001</v>
      </c>
      <c r="L1508">
        <v>1.3680000000000001</v>
      </c>
      <c r="M1508">
        <v>3.2759999999999998</v>
      </c>
      <c r="N1508">
        <v>0.157</v>
      </c>
      <c r="O1508">
        <v>2.129</v>
      </c>
      <c r="P1508">
        <v>0.7</v>
      </c>
      <c r="Q1508">
        <v>14</v>
      </c>
    </row>
    <row r="1509" spans="1:17" x14ac:dyDescent="0.25">
      <c r="A1509" s="1">
        <v>43384</v>
      </c>
      <c r="B1509">
        <v>9.8800000000000008</v>
      </c>
      <c r="C1509">
        <v>214.35</v>
      </c>
      <c r="D1509">
        <v>3.47</v>
      </c>
      <c r="E1509">
        <v>14</v>
      </c>
      <c r="F1509">
        <v>6.5890000000000004</v>
      </c>
      <c r="G1509">
        <v>2.093</v>
      </c>
      <c r="H1509" s="15">
        <v>1.867</v>
      </c>
      <c r="I1509">
        <v>37.168999999999997</v>
      </c>
      <c r="J1509">
        <v>24.754000000000001</v>
      </c>
      <c r="K1509">
        <v>11.04</v>
      </c>
      <c r="L1509">
        <v>1.3680000000000001</v>
      </c>
      <c r="M1509">
        <v>3.2759999999999998</v>
      </c>
      <c r="N1509">
        <v>0.157</v>
      </c>
      <c r="O1509">
        <v>2.109</v>
      </c>
      <c r="P1509">
        <v>0.72</v>
      </c>
      <c r="Q1509">
        <v>15</v>
      </c>
    </row>
    <row r="1510" spans="1:17" x14ac:dyDescent="0.25">
      <c r="A1510" s="1">
        <v>43385</v>
      </c>
      <c r="B1510">
        <v>9.8309999999999995</v>
      </c>
      <c r="C1510">
        <v>216</v>
      </c>
      <c r="D1510">
        <v>3.47</v>
      </c>
      <c r="E1510">
        <v>13.77</v>
      </c>
      <c r="F1510">
        <v>6.5529999999999999</v>
      </c>
      <c r="G1510">
        <v>2.0840000000000001</v>
      </c>
      <c r="H1510" s="15">
        <v>1.867</v>
      </c>
      <c r="I1510">
        <v>37.747</v>
      </c>
      <c r="J1510">
        <v>24.754000000000001</v>
      </c>
      <c r="K1510">
        <v>11.04</v>
      </c>
      <c r="L1510">
        <v>1.339</v>
      </c>
      <c r="M1510">
        <v>3.206</v>
      </c>
      <c r="N1510">
        <v>0.16</v>
      </c>
      <c r="O1510">
        <v>2.1480000000000001</v>
      </c>
      <c r="P1510">
        <v>0.71</v>
      </c>
      <c r="Q1510">
        <v>15</v>
      </c>
    </row>
    <row r="1511" spans="1:17" x14ac:dyDescent="0.25">
      <c r="A1511" s="1">
        <v>43388</v>
      </c>
      <c r="B1511">
        <v>9.8309999999999995</v>
      </c>
      <c r="C1511">
        <v>218.47</v>
      </c>
      <c r="D1511">
        <v>3.496</v>
      </c>
      <c r="E1511">
        <v>14.33</v>
      </c>
      <c r="F1511">
        <v>6.5529999999999999</v>
      </c>
      <c r="G1511">
        <v>2.0840000000000001</v>
      </c>
      <c r="H1511" s="15">
        <v>1.837</v>
      </c>
      <c r="I1511">
        <v>37.177999999999997</v>
      </c>
      <c r="J1511">
        <v>24.754000000000001</v>
      </c>
      <c r="K1511">
        <v>10.726000000000001</v>
      </c>
      <c r="L1511">
        <v>1.339</v>
      </c>
      <c r="M1511" t="e">
        <v>#N/A</v>
      </c>
      <c r="N1511">
        <v>0.154</v>
      </c>
      <c r="O1511">
        <v>2.1480000000000001</v>
      </c>
      <c r="P1511">
        <v>0.7</v>
      </c>
      <c r="Q1511">
        <v>14</v>
      </c>
    </row>
    <row r="1512" spans="1:17" x14ac:dyDescent="0.25">
      <c r="A1512" s="1">
        <v>43389</v>
      </c>
      <c r="B1512">
        <v>9.8309999999999995</v>
      </c>
      <c r="C1512">
        <v>224</v>
      </c>
      <c r="D1512">
        <v>3.496</v>
      </c>
      <c r="E1512">
        <v>14.15</v>
      </c>
      <c r="F1512">
        <v>6.4989999999999997</v>
      </c>
      <c r="G1512">
        <v>2.02</v>
      </c>
      <c r="H1512" s="15">
        <v>1.8080000000000001</v>
      </c>
      <c r="I1512">
        <v>38.131999999999998</v>
      </c>
      <c r="J1512">
        <v>24.948</v>
      </c>
      <c r="K1512">
        <v>11.04</v>
      </c>
      <c r="L1512">
        <v>1.31</v>
      </c>
      <c r="M1512">
        <v>3.206</v>
      </c>
      <c r="N1512">
        <v>0.154</v>
      </c>
      <c r="O1512" t="e">
        <v>#N/A</v>
      </c>
      <c r="P1512">
        <v>0.68</v>
      </c>
      <c r="Q1512">
        <v>14</v>
      </c>
    </row>
    <row r="1513" spans="1:17" x14ac:dyDescent="0.25">
      <c r="A1513" s="1">
        <v>43390</v>
      </c>
      <c r="B1513">
        <v>9.782</v>
      </c>
      <c r="C1513">
        <v>223.15</v>
      </c>
      <c r="D1513">
        <v>3.496</v>
      </c>
      <c r="E1513">
        <v>14.02</v>
      </c>
      <c r="F1513">
        <v>6.4989999999999997</v>
      </c>
      <c r="G1513">
        <v>1.9930000000000001</v>
      </c>
      <c r="H1513" s="15">
        <v>1.798</v>
      </c>
      <c r="I1513">
        <v>38.131999999999998</v>
      </c>
      <c r="J1513" t="e">
        <v>#N/A</v>
      </c>
      <c r="K1513">
        <v>10.726000000000001</v>
      </c>
      <c r="L1513">
        <v>1.32</v>
      </c>
      <c r="M1513">
        <v>3.206</v>
      </c>
      <c r="N1513">
        <v>0.15</v>
      </c>
      <c r="O1513">
        <v>2.0510000000000002</v>
      </c>
      <c r="P1513">
        <v>0.67</v>
      </c>
      <c r="Q1513">
        <v>14</v>
      </c>
    </row>
    <row r="1514" spans="1:17" x14ac:dyDescent="0.25">
      <c r="A1514" s="1">
        <v>43391</v>
      </c>
      <c r="B1514">
        <v>9.7330000000000005</v>
      </c>
      <c r="C1514">
        <v>219.27</v>
      </c>
      <c r="D1514">
        <v>3.496</v>
      </c>
      <c r="E1514">
        <v>14.2</v>
      </c>
      <c r="F1514">
        <v>6.3289999999999997</v>
      </c>
      <c r="G1514">
        <v>1.9750000000000001</v>
      </c>
      <c r="H1514" s="15">
        <v>1.9259999999999999</v>
      </c>
      <c r="I1514">
        <v>38.131999999999998</v>
      </c>
      <c r="J1514">
        <v>24.948</v>
      </c>
      <c r="K1514">
        <v>10.532</v>
      </c>
      <c r="L1514" t="e">
        <v>#N/A</v>
      </c>
      <c r="M1514">
        <v>3.145</v>
      </c>
      <c r="N1514">
        <v>0.14499999999999999</v>
      </c>
      <c r="O1514">
        <v>2.0510000000000002</v>
      </c>
      <c r="P1514">
        <v>0.63</v>
      </c>
      <c r="Q1514">
        <v>14</v>
      </c>
    </row>
    <row r="1515" spans="1:17" x14ac:dyDescent="0.25">
      <c r="A1515" s="1">
        <v>43392</v>
      </c>
      <c r="B1515">
        <v>9.8010000000000002</v>
      </c>
      <c r="C1515">
        <v>220.5</v>
      </c>
      <c r="D1515">
        <v>3.5049999999999999</v>
      </c>
      <c r="E1515">
        <v>14.13</v>
      </c>
      <c r="F1515">
        <v>6.1680000000000001</v>
      </c>
      <c r="G1515">
        <v>1.9750000000000001</v>
      </c>
      <c r="H1515" s="15">
        <v>1.976</v>
      </c>
      <c r="I1515">
        <v>37.987000000000002</v>
      </c>
      <c r="J1515">
        <v>24.850999999999999</v>
      </c>
      <c r="K1515">
        <v>10.532</v>
      </c>
      <c r="L1515">
        <v>1.32</v>
      </c>
      <c r="M1515">
        <v>3.11</v>
      </c>
      <c r="N1515">
        <v>0.14299999999999999</v>
      </c>
      <c r="O1515">
        <v>2.1869999999999998</v>
      </c>
      <c r="P1515">
        <v>0.65</v>
      </c>
      <c r="Q1515">
        <v>15</v>
      </c>
    </row>
    <row r="1516" spans="1:17" x14ac:dyDescent="0.25">
      <c r="A1516" s="1">
        <v>43395</v>
      </c>
      <c r="B1516">
        <v>9.7330000000000005</v>
      </c>
      <c r="C1516">
        <v>218.06</v>
      </c>
      <c r="D1516">
        <v>3.5489999999999999</v>
      </c>
      <c r="E1516">
        <v>14.15</v>
      </c>
      <c r="F1516">
        <v>6.1239999999999997</v>
      </c>
      <c r="G1516">
        <v>1.9750000000000001</v>
      </c>
      <c r="H1516" s="15">
        <v>2.0150000000000001</v>
      </c>
      <c r="I1516">
        <v>37.457999999999998</v>
      </c>
      <c r="J1516">
        <v>24.754000000000001</v>
      </c>
      <c r="K1516">
        <v>10.44</v>
      </c>
      <c r="L1516">
        <v>1.3009999999999999</v>
      </c>
      <c r="M1516" t="e">
        <v>#N/A</v>
      </c>
      <c r="N1516">
        <v>0.14199999999999999</v>
      </c>
      <c r="O1516">
        <v>2.1480000000000001</v>
      </c>
      <c r="P1516">
        <v>0.63</v>
      </c>
      <c r="Q1516">
        <v>14</v>
      </c>
    </row>
    <row r="1517" spans="1:17" x14ac:dyDescent="0.25">
      <c r="A1517" s="1">
        <v>43396</v>
      </c>
      <c r="B1517">
        <v>9.7330000000000005</v>
      </c>
      <c r="C1517">
        <v>216.05</v>
      </c>
      <c r="D1517">
        <v>3.5579999999999998</v>
      </c>
      <c r="E1517">
        <v>14.3</v>
      </c>
      <c r="F1517">
        <v>6.0339999999999998</v>
      </c>
      <c r="G1517">
        <v>1.921</v>
      </c>
      <c r="H1517" s="15">
        <v>2.0150000000000001</v>
      </c>
      <c r="I1517">
        <v>37.073</v>
      </c>
      <c r="J1517">
        <v>24.850999999999999</v>
      </c>
      <c r="K1517">
        <v>10.44</v>
      </c>
      <c r="L1517">
        <v>1.282</v>
      </c>
      <c r="M1517">
        <v>3.1019999999999999</v>
      </c>
      <c r="N1517">
        <v>0.13600000000000001</v>
      </c>
      <c r="O1517">
        <v>2.1</v>
      </c>
      <c r="P1517">
        <v>0.57999999999999996</v>
      </c>
      <c r="Q1517">
        <v>15</v>
      </c>
    </row>
    <row r="1518" spans="1:17" x14ac:dyDescent="0.25">
      <c r="A1518" s="1">
        <v>43397</v>
      </c>
      <c r="B1518">
        <v>9.7430000000000003</v>
      </c>
      <c r="C1518">
        <v>214.85</v>
      </c>
      <c r="D1518">
        <v>3.5750000000000002</v>
      </c>
      <c r="E1518">
        <v>14.25</v>
      </c>
      <c r="F1518">
        <v>5.99</v>
      </c>
      <c r="G1518">
        <v>1.921</v>
      </c>
      <c r="H1518" s="15">
        <v>2.0640000000000001</v>
      </c>
      <c r="I1518">
        <v>36.398000000000003</v>
      </c>
      <c r="J1518">
        <v>24.850999999999999</v>
      </c>
      <c r="K1518">
        <v>10.44</v>
      </c>
      <c r="L1518">
        <v>1.244</v>
      </c>
      <c r="M1518" t="e">
        <v>#N/A</v>
      </c>
      <c r="N1518">
        <v>0.13500000000000001</v>
      </c>
      <c r="O1518">
        <v>2.09</v>
      </c>
      <c r="P1518">
        <v>0.61</v>
      </c>
      <c r="Q1518">
        <v>14</v>
      </c>
    </row>
    <row r="1519" spans="1:17" x14ac:dyDescent="0.25">
      <c r="A1519" s="1">
        <v>43398</v>
      </c>
      <c r="B1519">
        <v>9.7430000000000003</v>
      </c>
      <c r="C1519">
        <v>215.18</v>
      </c>
      <c r="D1519">
        <v>3.5139999999999998</v>
      </c>
      <c r="E1519">
        <v>14.19</v>
      </c>
      <c r="F1519">
        <v>6.0339999999999998</v>
      </c>
      <c r="G1519">
        <v>1.9019999999999999</v>
      </c>
      <c r="H1519" s="15">
        <v>2.0249999999999999</v>
      </c>
      <c r="I1519">
        <v>36.398000000000003</v>
      </c>
      <c r="J1519">
        <v>24.366</v>
      </c>
      <c r="K1519">
        <v>10.44</v>
      </c>
      <c r="L1519">
        <v>1.224</v>
      </c>
      <c r="M1519">
        <v>3.145</v>
      </c>
      <c r="N1519">
        <v>0.13500000000000001</v>
      </c>
      <c r="O1519" t="e">
        <v>#N/A</v>
      </c>
      <c r="P1519">
        <v>0.62</v>
      </c>
      <c r="Q1519">
        <v>14</v>
      </c>
    </row>
    <row r="1520" spans="1:17" x14ac:dyDescent="0.25">
      <c r="A1520" s="1">
        <v>43399</v>
      </c>
      <c r="B1520">
        <v>9.6839999999999993</v>
      </c>
      <c r="C1520">
        <v>214.7</v>
      </c>
      <c r="D1520">
        <v>3.5049999999999999</v>
      </c>
      <c r="E1520">
        <v>13.84</v>
      </c>
      <c r="F1520">
        <v>5.99</v>
      </c>
      <c r="G1520">
        <v>1.857</v>
      </c>
      <c r="H1520" s="15">
        <v>2.0739999999999998</v>
      </c>
      <c r="I1520">
        <v>35.917000000000002</v>
      </c>
      <c r="J1520">
        <v>24.268999999999998</v>
      </c>
      <c r="K1520">
        <v>10.458</v>
      </c>
      <c r="L1520">
        <v>1.224</v>
      </c>
      <c r="M1520">
        <v>3.206</v>
      </c>
      <c r="N1520">
        <v>0.13500000000000001</v>
      </c>
      <c r="O1520">
        <v>2.0609999999999999</v>
      </c>
      <c r="P1520">
        <v>0.62</v>
      </c>
      <c r="Q1520">
        <v>15</v>
      </c>
    </row>
    <row r="1521" spans="1:17" x14ac:dyDescent="0.25">
      <c r="A1521" s="1">
        <v>43402</v>
      </c>
      <c r="B1521">
        <v>9.6349999999999998</v>
      </c>
      <c r="C1521">
        <v>214.5</v>
      </c>
      <c r="D1521">
        <v>3.5049999999999999</v>
      </c>
      <c r="E1521">
        <v>14</v>
      </c>
      <c r="F1521">
        <v>5.99</v>
      </c>
      <c r="G1521">
        <v>1.875</v>
      </c>
      <c r="H1521" s="15">
        <v>2.0739999999999998</v>
      </c>
      <c r="I1521">
        <v>35.917000000000002</v>
      </c>
      <c r="J1521">
        <v>24.997</v>
      </c>
      <c r="K1521">
        <v>10.458</v>
      </c>
      <c r="L1521">
        <v>1.224</v>
      </c>
      <c r="M1521">
        <v>3.206</v>
      </c>
      <c r="N1521">
        <v>0.13700000000000001</v>
      </c>
      <c r="O1521">
        <v>2.0510000000000002</v>
      </c>
      <c r="P1521">
        <v>0.62</v>
      </c>
      <c r="Q1521">
        <v>15</v>
      </c>
    </row>
    <row r="1522" spans="1:17" x14ac:dyDescent="0.25">
      <c r="A1522" s="1">
        <v>43403</v>
      </c>
      <c r="B1522">
        <v>9.6349999999999998</v>
      </c>
      <c r="C1522">
        <v>219</v>
      </c>
      <c r="D1522">
        <v>3.496</v>
      </c>
      <c r="E1522">
        <v>13.9</v>
      </c>
      <c r="F1522">
        <v>6.0789999999999997</v>
      </c>
      <c r="G1522">
        <v>1.875</v>
      </c>
      <c r="H1522" s="15" t="e">
        <v>#N/A</v>
      </c>
      <c r="I1522">
        <v>35.917000000000002</v>
      </c>
      <c r="J1522">
        <v>24.948</v>
      </c>
      <c r="K1522">
        <v>10.458</v>
      </c>
      <c r="L1522">
        <v>1.234</v>
      </c>
      <c r="M1522">
        <v>3.1539999999999999</v>
      </c>
      <c r="N1522">
        <v>0.13500000000000001</v>
      </c>
      <c r="O1522">
        <v>2.0510000000000002</v>
      </c>
      <c r="P1522">
        <v>0.6</v>
      </c>
      <c r="Q1522">
        <v>14</v>
      </c>
    </row>
    <row r="1523" spans="1:17" x14ac:dyDescent="0.25">
      <c r="A1523" s="1">
        <v>43404</v>
      </c>
      <c r="B1523">
        <v>9.5370000000000008</v>
      </c>
      <c r="C1523">
        <v>225</v>
      </c>
      <c r="D1523">
        <v>3.4790000000000001</v>
      </c>
      <c r="E1523" t="e">
        <v>#N/A</v>
      </c>
      <c r="F1523">
        <v>6.1239999999999997</v>
      </c>
      <c r="G1523">
        <v>1.911</v>
      </c>
      <c r="H1523" s="15">
        <v>2.0739999999999998</v>
      </c>
      <c r="I1523">
        <v>35.917000000000002</v>
      </c>
      <c r="J1523">
        <v>25.045000000000002</v>
      </c>
      <c r="K1523">
        <v>10.458</v>
      </c>
      <c r="L1523">
        <v>1.2909999999999999</v>
      </c>
      <c r="M1523">
        <v>3.1539999999999999</v>
      </c>
      <c r="N1523" t="e">
        <v>#N/A</v>
      </c>
      <c r="O1523">
        <v>2.0510000000000002</v>
      </c>
      <c r="P1523">
        <v>0.62</v>
      </c>
      <c r="Q1523">
        <v>13</v>
      </c>
    </row>
    <row r="1524" spans="1:17" x14ac:dyDescent="0.25">
      <c r="A1524" s="1">
        <v>43406</v>
      </c>
      <c r="B1524">
        <v>9.5570000000000004</v>
      </c>
      <c r="C1524">
        <v>228.77</v>
      </c>
      <c r="D1524">
        <v>3.496</v>
      </c>
      <c r="E1524">
        <v>14.15</v>
      </c>
      <c r="F1524">
        <v>6.1239999999999997</v>
      </c>
      <c r="G1524">
        <v>2.056</v>
      </c>
      <c r="H1524" s="15">
        <v>2.0449999999999999</v>
      </c>
      <c r="I1524" t="e">
        <v>#N/A</v>
      </c>
      <c r="J1524">
        <v>24.850999999999999</v>
      </c>
      <c r="K1524">
        <v>10.458</v>
      </c>
      <c r="L1524">
        <v>1.272</v>
      </c>
      <c r="M1524">
        <v>3.1539999999999999</v>
      </c>
      <c r="N1524">
        <v>0.123</v>
      </c>
      <c r="O1524">
        <v>2.0409999999999999</v>
      </c>
      <c r="P1524">
        <v>0.61</v>
      </c>
      <c r="Q1524">
        <v>14</v>
      </c>
    </row>
    <row r="1525" spans="1:17" x14ac:dyDescent="0.25">
      <c r="A1525" s="1">
        <v>43409</v>
      </c>
      <c r="B1525">
        <v>9.7330000000000005</v>
      </c>
      <c r="C1525">
        <v>229.05</v>
      </c>
      <c r="D1525">
        <v>3.47</v>
      </c>
      <c r="E1525">
        <v>14.15</v>
      </c>
      <c r="F1525">
        <v>6.3920000000000003</v>
      </c>
      <c r="G1525">
        <v>2.1019999999999999</v>
      </c>
      <c r="H1525" s="15">
        <v>2.0449999999999999</v>
      </c>
      <c r="I1525">
        <v>35.628</v>
      </c>
      <c r="J1525">
        <v>24.850999999999999</v>
      </c>
      <c r="K1525">
        <v>10.44</v>
      </c>
      <c r="L1525">
        <v>1.272</v>
      </c>
      <c r="M1525">
        <v>3.1539999999999999</v>
      </c>
      <c r="N1525">
        <v>0.125</v>
      </c>
      <c r="O1525">
        <v>2.1579999999999999</v>
      </c>
      <c r="P1525">
        <v>0.65</v>
      </c>
      <c r="Q1525">
        <v>15</v>
      </c>
    </row>
    <row r="1526" spans="1:17" x14ac:dyDescent="0.25">
      <c r="A1526" s="1">
        <v>43410</v>
      </c>
      <c r="B1526">
        <v>9.7520000000000007</v>
      </c>
      <c r="C1526">
        <v>227.54</v>
      </c>
      <c r="D1526">
        <v>3.4089999999999998</v>
      </c>
      <c r="E1526" t="e">
        <v>#N/A</v>
      </c>
      <c r="F1526">
        <v>6.4370000000000003</v>
      </c>
      <c r="G1526">
        <v>2.129</v>
      </c>
      <c r="H1526" s="15">
        <v>2.0550000000000002</v>
      </c>
      <c r="I1526">
        <v>35.927</v>
      </c>
      <c r="J1526">
        <v>24.850999999999999</v>
      </c>
      <c r="K1526">
        <v>10.163</v>
      </c>
      <c r="L1526">
        <v>1.2909999999999999</v>
      </c>
      <c r="M1526" t="e">
        <v>#N/A</v>
      </c>
      <c r="N1526">
        <v>0.13</v>
      </c>
      <c r="O1526">
        <v>2.1389999999999998</v>
      </c>
      <c r="P1526">
        <v>0.66</v>
      </c>
      <c r="Q1526">
        <v>13</v>
      </c>
    </row>
    <row r="1527" spans="1:17" x14ac:dyDescent="0.25">
      <c r="A1527" s="1">
        <v>43411</v>
      </c>
      <c r="B1527">
        <v>9.7620000000000005</v>
      </c>
      <c r="C1527">
        <v>228.82</v>
      </c>
      <c r="D1527">
        <v>3.391</v>
      </c>
      <c r="E1527">
        <v>14</v>
      </c>
      <c r="F1527">
        <v>6.3920000000000003</v>
      </c>
      <c r="G1527">
        <v>2.165</v>
      </c>
      <c r="H1527" s="15">
        <v>2.0739999999999998</v>
      </c>
      <c r="I1527">
        <v>35.965000000000003</v>
      </c>
      <c r="J1527">
        <v>24.997</v>
      </c>
      <c r="K1527">
        <v>9.9779999999999998</v>
      </c>
      <c r="L1527">
        <v>1.2909999999999999</v>
      </c>
      <c r="M1527">
        <v>3.206</v>
      </c>
      <c r="N1527">
        <v>0.13400000000000001</v>
      </c>
      <c r="O1527">
        <v>2.1190000000000002</v>
      </c>
      <c r="P1527">
        <v>0.71</v>
      </c>
      <c r="Q1527">
        <v>15</v>
      </c>
    </row>
    <row r="1528" spans="1:17" x14ac:dyDescent="0.25">
      <c r="A1528" s="1">
        <v>43412</v>
      </c>
      <c r="B1528">
        <v>9.782</v>
      </c>
      <c r="C1528">
        <v>226.8</v>
      </c>
      <c r="D1528">
        <v>3.3820000000000001</v>
      </c>
      <c r="E1528">
        <v>14.05</v>
      </c>
      <c r="F1528">
        <v>6.38</v>
      </c>
      <c r="G1528">
        <v>2.1739999999999999</v>
      </c>
      <c r="H1528" s="15">
        <v>2.1339999999999999</v>
      </c>
      <c r="I1528">
        <v>35.965000000000003</v>
      </c>
      <c r="J1528">
        <v>25.385000000000002</v>
      </c>
      <c r="K1528">
        <v>9.9779999999999998</v>
      </c>
      <c r="L1528">
        <v>1.31</v>
      </c>
      <c r="M1528">
        <v>3.2330000000000001</v>
      </c>
      <c r="N1528">
        <v>0.13300000000000001</v>
      </c>
      <c r="O1528">
        <v>2.0510000000000002</v>
      </c>
      <c r="P1528">
        <v>0.77</v>
      </c>
      <c r="Q1528">
        <v>15</v>
      </c>
    </row>
    <row r="1529" spans="1:17" x14ac:dyDescent="0.25">
      <c r="A1529" s="1">
        <v>43413</v>
      </c>
      <c r="B1529">
        <v>9.7520000000000007</v>
      </c>
      <c r="C1529">
        <v>222.8</v>
      </c>
      <c r="D1529">
        <v>3.3380000000000001</v>
      </c>
      <c r="E1529">
        <v>13.85</v>
      </c>
      <c r="F1529">
        <v>6.2759999999999998</v>
      </c>
      <c r="G1529">
        <v>2.1379999999999999</v>
      </c>
      <c r="H1529" s="15">
        <v>2.0739999999999998</v>
      </c>
      <c r="I1529">
        <v>36.686999999999998</v>
      </c>
      <c r="J1529">
        <v>25.395</v>
      </c>
      <c r="K1529">
        <v>9.9779999999999998</v>
      </c>
      <c r="L1529">
        <v>1.3009999999999999</v>
      </c>
      <c r="M1529">
        <v>3.2330000000000001</v>
      </c>
      <c r="N1529">
        <v>0.125</v>
      </c>
      <c r="O1529">
        <v>2.1389999999999998</v>
      </c>
      <c r="P1529">
        <v>0.74</v>
      </c>
      <c r="Q1529">
        <v>15</v>
      </c>
    </row>
    <row r="1530" spans="1:17" x14ac:dyDescent="0.25">
      <c r="A1530" s="1">
        <v>43416</v>
      </c>
      <c r="B1530">
        <v>9.5860000000000003</v>
      </c>
      <c r="C1530">
        <v>222</v>
      </c>
      <c r="D1530">
        <v>3.294</v>
      </c>
      <c r="E1530">
        <v>13.72</v>
      </c>
      <c r="F1530">
        <v>6.1820000000000004</v>
      </c>
      <c r="G1530">
        <v>2.0840000000000001</v>
      </c>
      <c r="H1530" s="15">
        <v>2.0739999999999998</v>
      </c>
      <c r="I1530">
        <v>36.697000000000003</v>
      </c>
      <c r="J1530">
        <v>25.395</v>
      </c>
      <c r="K1530">
        <v>9.7010000000000005</v>
      </c>
      <c r="L1530">
        <v>1.2909999999999999</v>
      </c>
      <c r="M1530">
        <v>3.2149999999999999</v>
      </c>
      <c r="N1530">
        <v>0.126</v>
      </c>
      <c r="O1530" t="e">
        <v>#N/A</v>
      </c>
      <c r="P1530">
        <v>0.72</v>
      </c>
      <c r="Q1530">
        <v>14</v>
      </c>
    </row>
    <row r="1531" spans="1:17" x14ac:dyDescent="0.25">
      <c r="A1531" s="1">
        <v>43417</v>
      </c>
      <c r="B1531">
        <v>9.5960000000000001</v>
      </c>
      <c r="C1531">
        <v>223.8</v>
      </c>
      <c r="D1531">
        <v>3.2330000000000001</v>
      </c>
      <c r="E1531">
        <v>13.75</v>
      </c>
      <c r="F1531">
        <v>6.1820000000000004</v>
      </c>
      <c r="G1531">
        <v>2.0840000000000001</v>
      </c>
      <c r="H1531" s="15">
        <v>2.0840000000000001</v>
      </c>
      <c r="I1531">
        <v>36.927999999999997</v>
      </c>
      <c r="J1531">
        <v>25.434000000000001</v>
      </c>
      <c r="K1531" t="e">
        <v>#N/A</v>
      </c>
      <c r="L1531" t="e">
        <v>#N/A</v>
      </c>
      <c r="M1531">
        <v>3.2240000000000002</v>
      </c>
      <c r="N1531">
        <v>0.125</v>
      </c>
      <c r="O1531">
        <v>2.09</v>
      </c>
      <c r="P1531">
        <v>0.72</v>
      </c>
      <c r="Q1531">
        <v>13</v>
      </c>
    </row>
    <row r="1532" spans="1:17" x14ac:dyDescent="0.25">
      <c r="A1532" s="1">
        <v>43418</v>
      </c>
      <c r="B1532">
        <v>9.5960000000000001</v>
      </c>
      <c r="C1532">
        <v>220.5</v>
      </c>
      <c r="D1532">
        <v>3.2240000000000002</v>
      </c>
      <c r="E1532">
        <v>14.04</v>
      </c>
      <c r="F1532">
        <v>6.1340000000000003</v>
      </c>
      <c r="G1532">
        <v>2.0750000000000002</v>
      </c>
      <c r="H1532" s="15">
        <v>2.0249999999999999</v>
      </c>
      <c r="I1532">
        <v>36.938000000000002</v>
      </c>
      <c r="J1532">
        <v>26.21</v>
      </c>
      <c r="K1532">
        <v>9.6080000000000005</v>
      </c>
      <c r="L1532">
        <v>1.3009999999999999</v>
      </c>
      <c r="M1532">
        <v>3.2330000000000001</v>
      </c>
      <c r="N1532">
        <v>0.122</v>
      </c>
      <c r="O1532">
        <v>2.08</v>
      </c>
      <c r="P1532">
        <v>0.72</v>
      </c>
      <c r="Q1532">
        <v>15</v>
      </c>
    </row>
    <row r="1533" spans="1:17" x14ac:dyDescent="0.25">
      <c r="A1533" s="1">
        <v>43419</v>
      </c>
      <c r="B1533">
        <v>9.5960000000000001</v>
      </c>
      <c r="C1533">
        <v>224.6</v>
      </c>
      <c r="D1533">
        <v>3.47</v>
      </c>
      <c r="E1533">
        <v>14.34</v>
      </c>
      <c r="F1533">
        <v>6.1340000000000003</v>
      </c>
      <c r="G1533">
        <v>2.0750000000000002</v>
      </c>
      <c r="H1533" s="15" t="e">
        <v>#N/A</v>
      </c>
      <c r="I1533">
        <v>37.216999999999999</v>
      </c>
      <c r="J1533">
        <v>26.21</v>
      </c>
      <c r="K1533">
        <v>9.7010000000000005</v>
      </c>
      <c r="L1533">
        <v>1.339</v>
      </c>
      <c r="M1533">
        <v>3.2850000000000001</v>
      </c>
      <c r="N1533">
        <v>0.122</v>
      </c>
      <c r="O1533">
        <v>2.0539999999999998</v>
      </c>
      <c r="P1533">
        <v>0.72</v>
      </c>
      <c r="Q1533">
        <v>14</v>
      </c>
    </row>
    <row r="1534" spans="1:17" x14ac:dyDescent="0.25">
      <c r="A1534" s="1">
        <v>43420</v>
      </c>
      <c r="B1534">
        <v>9.6940000000000008</v>
      </c>
      <c r="C1534">
        <v>226.57</v>
      </c>
      <c r="D1534">
        <v>3.4169999999999998</v>
      </c>
      <c r="E1534">
        <v>14.9</v>
      </c>
      <c r="F1534">
        <v>6.1529999999999996</v>
      </c>
      <c r="G1534">
        <v>2.1469999999999998</v>
      </c>
      <c r="H1534" s="15">
        <v>2.0249999999999999</v>
      </c>
      <c r="I1534">
        <v>37.795000000000002</v>
      </c>
      <c r="J1534">
        <v>27.472000000000001</v>
      </c>
      <c r="K1534">
        <v>9.7010000000000005</v>
      </c>
      <c r="L1534">
        <v>1.387</v>
      </c>
      <c r="M1534">
        <v>3.32</v>
      </c>
      <c r="N1534">
        <v>0.123</v>
      </c>
      <c r="O1534">
        <v>2.0539999999999998</v>
      </c>
      <c r="P1534">
        <v>0.73</v>
      </c>
      <c r="Q1534">
        <v>15</v>
      </c>
    </row>
    <row r="1535" spans="1:17" x14ac:dyDescent="0.25">
      <c r="A1535" s="1">
        <v>43423</v>
      </c>
      <c r="B1535">
        <v>9.7330000000000005</v>
      </c>
      <c r="C1535">
        <v>225.02</v>
      </c>
      <c r="D1535">
        <v>3.3820000000000001</v>
      </c>
      <c r="E1535">
        <v>14.79</v>
      </c>
      <c r="F1535">
        <v>6.1529999999999996</v>
      </c>
      <c r="G1535">
        <v>2.129</v>
      </c>
      <c r="H1535" s="15">
        <v>2.0249999999999999</v>
      </c>
      <c r="I1535">
        <v>38.034999999999997</v>
      </c>
      <c r="J1535">
        <v>27.908999999999999</v>
      </c>
      <c r="K1535">
        <v>9.7010000000000005</v>
      </c>
      <c r="L1535">
        <v>1.387</v>
      </c>
      <c r="M1535" t="e">
        <v>#N/A</v>
      </c>
      <c r="N1535">
        <v>0.123</v>
      </c>
      <c r="O1535">
        <v>2.0539999999999998</v>
      </c>
      <c r="P1535">
        <v>0.7</v>
      </c>
      <c r="Q1535">
        <v>14</v>
      </c>
    </row>
    <row r="1536" spans="1:17" x14ac:dyDescent="0.25">
      <c r="A1536" s="1">
        <v>43424</v>
      </c>
      <c r="B1536">
        <v>9.6449999999999996</v>
      </c>
      <c r="C1536">
        <v>218</v>
      </c>
      <c r="D1536">
        <v>3.25</v>
      </c>
      <c r="E1536">
        <v>14.4</v>
      </c>
      <c r="F1536">
        <v>6.1340000000000003</v>
      </c>
      <c r="G1536">
        <v>2.1560000000000001</v>
      </c>
      <c r="H1536" s="15">
        <v>2.153</v>
      </c>
      <c r="I1536">
        <v>37.554000000000002</v>
      </c>
      <c r="J1536">
        <v>27.666</v>
      </c>
      <c r="K1536">
        <v>9.7010000000000005</v>
      </c>
      <c r="L1536">
        <v>1.3580000000000001</v>
      </c>
      <c r="M1536">
        <v>3.3290000000000002</v>
      </c>
      <c r="N1536">
        <v>0.123</v>
      </c>
      <c r="O1536">
        <v>2.0539999999999998</v>
      </c>
      <c r="P1536">
        <v>0.68</v>
      </c>
      <c r="Q1536">
        <v>15</v>
      </c>
    </row>
    <row r="1537" spans="1:17" x14ac:dyDescent="0.25">
      <c r="A1537" s="1">
        <v>43425</v>
      </c>
      <c r="B1537">
        <v>9.6449999999999996</v>
      </c>
      <c r="C1537">
        <v>223.5</v>
      </c>
      <c r="D1537">
        <v>3.25</v>
      </c>
      <c r="E1537">
        <v>14.14</v>
      </c>
      <c r="F1537">
        <v>6.1340000000000003</v>
      </c>
      <c r="G1537">
        <v>2.1469999999999998</v>
      </c>
      <c r="H1537" s="15">
        <v>2.153</v>
      </c>
      <c r="I1537">
        <v>37.747</v>
      </c>
      <c r="J1537">
        <v>27.472000000000001</v>
      </c>
      <c r="K1537">
        <v>9.6910000000000007</v>
      </c>
      <c r="L1537" t="e">
        <v>#N/A</v>
      </c>
      <c r="M1537" t="e">
        <v>#N/A</v>
      </c>
      <c r="N1537">
        <v>0.121</v>
      </c>
      <c r="O1537">
        <v>2.0539999999999998</v>
      </c>
      <c r="P1537">
        <v>0.7</v>
      </c>
      <c r="Q1537">
        <v>13</v>
      </c>
    </row>
    <row r="1538" spans="1:17" x14ac:dyDescent="0.25">
      <c r="A1538" s="1">
        <v>43426</v>
      </c>
      <c r="B1538">
        <v>9.6159999999999997</v>
      </c>
      <c r="C1538">
        <v>223</v>
      </c>
      <c r="D1538">
        <v>3.3380000000000001</v>
      </c>
      <c r="E1538">
        <v>14.14</v>
      </c>
      <c r="F1538">
        <v>6.1820000000000004</v>
      </c>
      <c r="G1538">
        <v>2.1560000000000001</v>
      </c>
      <c r="H1538" s="15">
        <v>2.13</v>
      </c>
      <c r="I1538">
        <v>37.554000000000002</v>
      </c>
      <c r="J1538">
        <v>27.492000000000001</v>
      </c>
      <c r="K1538">
        <v>9.7010000000000005</v>
      </c>
      <c r="L1538">
        <v>1.3580000000000001</v>
      </c>
      <c r="M1538">
        <v>3.3639999999999999</v>
      </c>
      <c r="N1538">
        <v>0.12</v>
      </c>
      <c r="O1538">
        <v>2.0539999999999998</v>
      </c>
      <c r="P1538">
        <v>0.7</v>
      </c>
      <c r="Q1538">
        <v>15</v>
      </c>
    </row>
    <row r="1539" spans="1:17" x14ac:dyDescent="0.25">
      <c r="A1539" s="1">
        <v>43427</v>
      </c>
      <c r="B1539">
        <v>9.6449999999999996</v>
      </c>
      <c r="C1539">
        <v>218</v>
      </c>
      <c r="D1539">
        <v>3.3650000000000002</v>
      </c>
      <c r="E1539">
        <v>14.14</v>
      </c>
      <c r="F1539">
        <v>6.1820000000000004</v>
      </c>
      <c r="G1539">
        <v>2.1469999999999998</v>
      </c>
      <c r="H1539" s="15">
        <v>2.06</v>
      </c>
      <c r="I1539">
        <v>37.65</v>
      </c>
      <c r="J1539">
        <v>27.481999999999999</v>
      </c>
      <c r="K1539">
        <v>9.6539999999999999</v>
      </c>
      <c r="L1539">
        <v>1.349</v>
      </c>
      <c r="M1539" t="e">
        <v>#N/A</v>
      </c>
      <c r="N1539">
        <v>0.12</v>
      </c>
      <c r="O1539">
        <v>2.073</v>
      </c>
      <c r="P1539">
        <v>0.68</v>
      </c>
      <c r="Q1539">
        <v>14</v>
      </c>
    </row>
    <row r="1540" spans="1:17" x14ac:dyDescent="0.25">
      <c r="A1540" s="1">
        <v>43430</v>
      </c>
      <c r="B1540">
        <v>9.6839999999999993</v>
      </c>
      <c r="C1540">
        <v>221.8</v>
      </c>
      <c r="D1540">
        <v>3.3820000000000001</v>
      </c>
      <c r="E1540">
        <v>14.1</v>
      </c>
      <c r="F1540">
        <v>6.1529999999999996</v>
      </c>
      <c r="G1540">
        <v>2.1560000000000001</v>
      </c>
      <c r="H1540" s="15">
        <v>2.06</v>
      </c>
      <c r="I1540">
        <v>37.890999999999998</v>
      </c>
      <c r="J1540">
        <v>27.666</v>
      </c>
      <c r="K1540">
        <v>9.6539999999999999</v>
      </c>
      <c r="L1540">
        <v>1.349</v>
      </c>
      <c r="M1540">
        <v>3.3809999999999998</v>
      </c>
      <c r="N1540">
        <v>0.121</v>
      </c>
      <c r="O1540">
        <v>2.1709999999999998</v>
      </c>
      <c r="P1540">
        <v>0.68</v>
      </c>
      <c r="Q1540">
        <v>15</v>
      </c>
    </row>
    <row r="1541" spans="1:17" x14ac:dyDescent="0.25">
      <c r="A1541" s="1">
        <v>43431</v>
      </c>
      <c r="B1541">
        <v>9.782</v>
      </c>
      <c r="C1541">
        <v>221.5</v>
      </c>
      <c r="D1541">
        <v>3.3730000000000002</v>
      </c>
      <c r="E1541">
        <v>13.6</v>
      </c>
      <c r="F1541">
        <v>6.1340000000000003</v>
      </c>
      <c r="G1541">
        <v>2.129</v>
      </c>
      <c r="H1541" s="15">
        <v>2.06</v>
      </c>
      <c r="I1541">
        <v>38.334000000000003</v>
      </c>
      <c r="J1541">
        <v>27.783000000000001</v>
      </c>
      <c r="K1541">
        <v>9.6539999999999999</v>
      </c>
      <c r="L1541" t="e">
        <v>#N/A</v>
      </c>
      <c r="M1541">
        <v>3.3809999999999998</v>
      </c>
      <c r="N1541">
        <v>0.122</v>
      </c>
      <c r="O1541">
        <v>2.2000000000000002</v>
      </c>
      <c r="P1541">
        <v>0.7</v>
      </c>
      <c r="Q1541">
        <v>14</v>
      </c>
    </row>
    <row r="1542" spans="1:17" x14ac:dyDescent="0.25">
      <c r="A1542" s="1">
        <v>43432</v>
      </c>
      <c r="B1542">
        <v>9.9770000000000003</v>
      </c>
      <c r="C1542">
        <v>225.05</v>
      </c>
      <c r="D1542">
        <v>3.4260000000000002</v>
      </c>
      <c r="E1542">
        <v>13.9</v>
      </c>
      <c r="F1542">
        <v>6.1150000000000002</v>
      </c>
      <c r="G1542">
        <v>2.1110000000000002</v>
      </c>
      <c r="H1542" s="15">
        <v>2.08</v>
      </c>
      <c r="I1542" t="e">
        <v>#N/A</v>
      </c>
      <c r="J1542">
        <v>28.443000000000001</v>
      </c>
      <c r="K1542">
        <v>9.7010000000000005</v>
      </c>
      <c r="L1542">
        <v>1.387</v>
      </c>
      <c r="M1542">
        <v>3.399</v>
      </c>
      <c r="N1542">
        <v>0.124</v>
      </c>
      <c r="O1542">
        <v>2.2490000000000001</v>
      </c>
      <c r="P1542">
        <v>0.71</v>
      </c>
      <c r="Q1542">
        <v>14</v>
      </c>
    </row>
    <row r="1543" spans="1:17" x14ac:dyDescent="0.25">
      <c r="A1543" s="1">
        <v>43433</v>
      </c>
      <c r="B1543">
        <v>10.074999999999999</v>
      </c>
      <c r="C1543">
        <v>225.25</v>
      </c>
      <c r="D1543">
        <v>3.4350000000000001</v>
      </c>
      <c r="E1543">
        <v>14</v>
      </c>
      <c r="F1543">
        <v>6.1150000000000002</v>
      </c>
      <c r="G1543">
        <v>2.129</v>
      </c>
      <c r="H1543" s="15">
        <v>2.08</v>
      </c>
      <c r="I1543">
        <v>38.420999999999999</v>
      </c>
      <c r="J1543">
        <v>28.54</v>
      </c>
      <c r="K1543">
        <v>9.7010000000000005</v>
      </c>
      <c r="L1543">
        <v>1.3580000000000001</v>
      </c>
      <c r="M1543" t="e">
        <v>#N/A</v>
      </c>
      <c r="N1543">
        <v>0.123</v>
      </c>
      <c r="O1543">
        <v>2.347</v>
      </c>
      <c r="P1543">
        <v>0.72</v>
      </c>
      <c r="Q1543">
        <v>14</v>
      </c>
    </row>
    <row r="1544" spans="1:17" x14ac:dyDescent="0.25">
      <c r="A1544" s="1">
        <v>43434</v>
      </c>
      <c r="B1544">
        <v>10.074999999999999</v>
      </c>
      <c r="C1544">
        <v>219.2</v>
      </c>
      <c r="D1544">
        <v>3.4350000000000001</v>
      </c>
      <c r="E1544">
        <v>14.04</v>
      </c>
      <c r="F1544">
        <v>6.1340000000000003</v>
      </c>
      <c r="G1544">
        <v>2.12</v>
      </c>
      <c r="H1544" s="15">
        <v>2.08</v>
      </c>
      <c r="I1544">
        <v>38.997999999999998</v>
      </c>
      <c r="J1544">
        <v>28.346</v>
      </c>
      <c r="K1544">
        <v>9.7010000000000005</v>
      </c>
      <c r="L1544">
        <v>1.3580000000000001</v>
      </c>
      <c r="M1544">
        <v>3.4249999999999998</v>
      </c>
      <c r="N1544">
        <v>0.13600000000000001</v>
      </c>
      <c r="O1544">
        <v>2.347</v>
      </c>
      <c r="P1544">
        <v>0.75</v>
      </c>
      <c r="Q1544">
        <v>15</v>
      </c>
    </row>
    <row r="1545" spans="1:17" x14ac:dyDescent="0.25">
      <c r="A1545" s="1">
        <v>43437</v>
      </c>
      <c r="B1545">
        <v>10.026</v>
      </c>
      <c r="C1545">
        <v>223.7</v>
      </c>
      <c r="D1545">
        <v>3.4260000000000002</v>
      </c>
      <c r="E1545">
        <v>14.05</v>
      </c>
      <c r="F1545">
        <v>6.1820000000000004</v>
      </c>
      <c r="G1545">
        <v>2.1379999999999999</v>
      </c>
      <c r="H1545" s="15">
        <v>2.16</v>
      </c>
      <c r="I1545">
        <v>39.479999999999997</v>
      </c>
      <c r="J1545">
        <v>28.346</v>
      </c>
      <c r="K1545">
        <v>9.7010000000000005</v>
      </c>
      <c r="L1545">
        <v>1.3680000000000001</v>
      </c>
      <c r="M1545">
        <v>3.4510000000000001</v>
      </c>
      <c r="N1545">
        <v>0.13500000000000001</v>
      </c>
      <c r="O1545">
        <v>2.5920000000000001</v>
      </c>
      <c r="P1545">
        <v>0.76</v>
      </c>
      <c r="Q1545">
        <v>15</v>
      </c>
    </row>
    <row r="1546" spans="1:17" x14ac:dyDescent="0.25">
      <c r="A1546" s="1">
        <v>43438</v>
      </c>
      <c r="B1546">
        <v>10.222</v>
      </c>
      <c r="C1546">
        <v>222.2</v>
      </c>
      <c r="D1546">
        <v>3.4260000000000002</v>
      </c>
      <c r="E1546">
        <v>14.72</v>
      </c>
      <c r="F1546">
        <v>6.2290000000000001</v>
      </c>
      <c r="G1546">
        <v>2.1920000000000002</v>
      </c>
      <c r="H1546" s="15">
        <v>2.1</v>
      </c>
      <c r="I1546">
        <v>39.960999999999999</v>
      </c>
      <c r="J1546">
        <v>28.346</v>
      </c>
      <c r="K1546">
        <v>9.7010000000000005</v>
      </c>
      <c r="L1546">
        <v>1.387</v>
      </c>
      <c r="M1546">
        <v>3.46</v>
      </c>
      <c r="N1546">
        <v>0.13200000000000001</v>
      </c>
      <c r="O1546">
        <v>2.601</v>
      </c>
      <c r="P1546">
        <v>0.76</v>
      </c>
      <c r="Q1546">
        <v>15</v>
      </c>
    </row>
    <row r="1547" spans="1:17" x14ac:dyDescent="0.25">
      <c r="A1547" s="1">
        <v>43439</v>
      </c>
      <c r="B1547">
        <v>10.222</v>
      </c>
      <c r="C1547">
        <v>225</v>
      </c>
      <c r="D1547" t="e">
        <v>#N/A</v>
      </c>
      <c r="E1547" t="e">
        <v>#N/A</v>
      </c>
      <c r="F1547">
        <v>6.2190000000000003</v>
      </c>
      <c r="G1547">
        <v>2.1560000000000001</v>
      </c>
      <c r="H1547" s="15">
        <v>2.1800000000000002</v>
      </c>
      <c r="I1547">
        <v>39.970999999999997</v>
      </c>
      <c r="J1547">
        <v>28.346</v>
      </c>
      <c r="K1547">
        <v>9.6170000000000009</v>
      </c>
      <c r="L1547">
        <v>1.349</v>
      </c>
      <c r="M1547" t="e">
        <v>#N/A</v>
      </c>
      <c r="N1547">
        <v>0.13200000000000001</v>
      </c>
      <c r="O1547">
        <v>2.6989999999999998</v>
      </c>
      <c r="P1547">
        <v>0.75</v>
      </c>
      <c r="Q1547">
        <v>12</v>
      </c>
    </row>
    <row r="1548" spans="1:17" x14ac:dyDescent="0.25">
      <c r="A1548" s="1">
        <v>43440</v>
      </c>
      <c r="B1548">
        <v>10.026</v>
      </c>
      <c r="C1548">
        <v>221.6</v>
      </c>
      <c r="D1548">
        <v>3.4260000000000002</v>
      </c>
      <c r="E1548">
        <v>14.65</v>
      </c>
      <c r="F1548">
        <v>6.1340000000000003</v>
      </c>
      <c r="G1548">
        <v>2.12</v>
      </c>
      <c r="H1548" s="15">
        <v>2.0699999999999998</v>
      </c>
      <c r="I1548">
        <v>39.970999999999997</v>
      </c>
      <c r="J1548">
        <v>28.055</v>
      </c>
      <c r="K1548">
        <v>9.7010000000000005</v>
      </c>
      <c r="L1548">
        <v>1.3009999999999999</v>
      </c>
      <c r="M1548">
        <v>3.46</v>
      </c>
      <c r="N1548">
        <v>0.13</v>
      </c>
      <c r="O1548">
        <v>2.6890000000000001</v>
      </c>
      <c r="P1548">
        <v>0.73</v>
      </c>
      <c r="Q1548">
        <v>15</v>
      </c>
    </row>
    <row r="1549" spans="1:17" x14ac:dyDescent="0.25">
      <c r="A1549" s="1">
        <v>43441</v>
      </c>
      <c r="B1549">
        <v>9.9280000000000008</v>
      </c>
      <c r="C1549">
        <v>222.29</v>
      </c>
      <c r="D1549">
        <v>3.47</v>
      </c>
      <c r="E1549">
        <v>15.09</v>
      </c>
      <c r="F1549">
        <v>6.1340000000000003</v>
      </c>
      <c r="G1549">
        <v>2.093</v>
      </c>
      <c r="H1549" s="15">
        <v>2.0499999999999998</v>
      </c>
      <c r="I1549">
        <v>39.865000000000002</v>
      </c>
      <c r="J1549">
        <v>28.248999999999999</v>
      </c>
      <c r="K1549">
        <v>9.7010000000000005</v>
      </c>
      <c r="L1549">
        <v>1.3009999999999999</v>
      </c>
      <c r="M1549">
        <v>3.46</v>
      </c>
      <c r="N1549">
        <v>0.13</v>
      </c>
      <c r="O1549">
        <v>2.64</v>
      </c>
      <c r="P1549">
        <v>0.73</v>
      </c>
      <c r="Q1549">
        <v>15</v>
      </c>
    </row>
    <row r="1550" spans="1:17" x14ac:dyDescent="0.25">
      <c r="A1550" s="1">
        <v>43444</v>
      </c>
      <c r="B1550">
        <v>9.9090000000000007</v>
      </c>
      <c r="C1550">
        <v>216.1</v>
      </c>
      <c r="D1550">
        <v>3.4350000000000001</v>
      </c>
      <c r="E1550">
        <v>15.14</v>
      </c>
      <c r="F1550">
        <v>6.0869999999999997</v>
      </c>
      <c r="G1550">
        <v>2.1019999999999999</v>
      </c>
      <c r="H1550" s="15">
        <v>2.0499999999999998</v>
      </c>
      <c r="I1550">
        <v>39.865000000000002</v>
      </c>
      <c r="J1550">
        <v>28.152000000000001</v>
      </c>
      <c r="K1550">
        <v>9.7010000000000005</v>
      </c>
      <c r="L1550">
        <v>1.3009999999999999</v>
      </c>
      <c r="M1550">
        <v>3.46</v>
      </c>
      <c r="N1550">
        <v>0.128</v>
      </c>
      <c r="O1550">
        <v>2.5920000000000001</v>
      </c>
      <c r="P1550">
        <v>0.72</v>
      </c>
      <c r="Q1550">
        <v>15</v>
      </c>
    </row>
    <row r="1551" spans="1:17" x14ac:dyDescent="0.25">
      <c r="A1551" s="1">
        <v>43445</v>
      </c>
      <c r="B1551">
        <v>9.9090000000000007</v>
      </c>
      <c r="C1551">
        <v>221.35</v>
      </c>
      <c r="D1551">
        <v>3.4260000000000002</v>
      </c>
      <c r="E1551">
        <v>15</v>
      </c>
      <c r="F1551">
        <v>5.9930000000000003</v>
      </c>
      <c r="G1551">
        <v>2.0840000000000001</v>
      </c>
      <c r="H1551" s="15">
        <v>2.08</v>
      </c>
      <c r="I1551">
        <v>39.854999999999997</v>
      </c>
      <c r="J1551">
        <v>28.152000000000001</v>
      </c>
      <c r="K1551">
        <v>9.7010000000000005</v>
      </c>
      <c r="L1551">
        <v>1.31</v>
      </c>
      <c r="M1551" t="e">
        <v>#N/A</v>
      </c>
      <c r="N1551">
        <v>0.129</v>
      </c>
      <c r="O1551">
        <v>2.5819999999999999</v>
      </c>
      <c r="P1551">
        <v>0.73</v>
      </c>
      <c r="Q1551">
        <v>14</v>
      </c>
    </row>
    <row r="1552" spans="1:17" x14ac:dyDescent="0.25">
      <c r="A1552" s="1">
        <v>43446</v>
      </c>
      <c r="B1552">
        <v>9.9380000000000006</v>
      </c>
      <c r="C1552">
        <v>217.8</v>
      </c>
      <c r="D1552">
        <v>3.47</v>
      </c>
      <c r="E1552">
        <v>15.2</v>
      </c>
      <c r="F1552">
        <v>6.04</v>
      </c>
      <c r="G1552">
        <v>2.1110000000000002</v>
      </c>
      <c r="H1552" s="15">
        <v>2.08</v>
      </c>
      <c r="I1552">
        <v>39.826999999999998</v>
      </c>
      <c r="J1552">
        <v>28.152000000000001</v>
      </c>
      <c r="K1552">
        <v>9.7010000000000005</v>
      </c>
      <c r="L1552">
        <v>1.33</v>
      </c>
      <c r="M1552">
        <v>3.4769999999999999</v>
      </c>
      <c r="N1552">
        <v>0.129</v>
      </c>
      <c r="O1552">
        <v>2.64</v>
      </c>
      <c r="P1552">
        <v>0.76</v>
      </c>
      <c r="Q1552">
        <v>15</v>
      </c>
    </row>
    <row r="1553" spans="1:17" x14ac:dyDescent="0.25">
      <c r="A1553" s="1">
        <v>43447</v>
      </c>
      <c r="B1553">
        <v>9.9380000000000006</v>
      </c>
      <c r="C1553">
        <v>218.3</v>
      </c>
      <c r="D1553">
        <v>3.47</v>
      </c>
      <c r="E1553">
        <v>15.05</v>
      </c>
      <c r="F1553">
        <v>6.04</v>
      </c>
      <c r="G1553">
        <v>2.0840000000000001</v>
      </c>
      <c r="H1553" s="15">
        <v>2.08</v>
      </c>
      <c r="I1553">
        <v>39.826999999999998</v>
      </c>
      <c r="J1553">
        <v>28.055</v>
      </c>
      <c r="K1553">
        <v>9.7469999999999999</v>
      </c>
      <c r="L1553">
        <v>1.339</v>
      </c>
      <c r="M1553">
        <v>3.4950000000000001</v>
      </c>
      <c r="N1553">
        <v>0.129</v>
      </c>
      <c r="O1553">
        <v>2.5920000000000001</v>
      </c>
      <c r="P1553">
        <v>0.77</v>
      </c>
      <c r="Q1553">
        <v>15</v>
      </c>
    </row>
    <row r="1554" spans="1:17" x14ac:dyDescent="0.25">
      <c r="A1554" s="1">
        <v>43448</v>
      </c>
      <c r="B1554">
        <v>9.8800000000000008</v>
      </c>
      <c r="C1554">
        <v>218.2</v>
      </c>
      <c r="D1554">
        <v>3.47</v>
      </c>
      <c r="E1554">
        <v>14.75</v>
      </c>
      <c r="F1554">
        <v>6.0869999999999997</v>
      </c>
      <c r="G1554">
        <v>2.129</v>
      </c>
      <c r="H1554" s="15">
        <v>2.09</v>
      </c>
      <c r="I1554">
        <v>39.460999999999999</v>
      </c>
      <c r="J1554">
        <v>27.666</v>
      </c>
      <c r="K1554" t="e">
        <v>#N/A</v>
      </c>
      <c r="L1554">
        <v>1.339</v>
      </c>
      <c r="M1554">
        <v>3.6259999999999999</v>
      </c>
      <c r="N1554">
        <v>0.125</v>
      </c>
      <c r="O1554">
        <v>2.5920000000000001</v>
      </c>
      <c r="P1554">
        <v>0.74</v>
      </c>
      <c r="Q1554">
        <v>14</v>
      </c>
    </row>
    <row r="1555" spans="1:17" x14ac:dyDescent="0.25">
      <c r="A1555" s="1">
        <v>43451</v>
      </c>
      <c r="B1555">
        <v>10.026</v>
      </c>
      <c r="C1555">
        <v>216.35</v>
      </c>
      <c r="D1555">
        <v>3.47</v>
      </c>
      <c r="E1555">
        <v>15.85</v>
      </c>
      <c r="F1555">
        <v>6.0869999999999997</v>
      </c>
      <c r="G1555">
        <v>2.129</v>
      </c>
      <c r="H1555" s="15">
        <v>2.09</v>
      </c>
      <c r="I1555">
        <v>38.680999999999997</v>
      </c>
      <c r="J1555">
        <v>27.666</v>
      </c>
      <c r="K1555">
        <v>10.285</v>
      </c>
      <c r="L1555">
        <v>1.32</v>
      </c>
      <c r="M1555">
        <v>3.5819999999999999</v>
      </c>
      <c r="N1555">
        <v>0.13</v>
      </c>
      <c r="O1555">
        <v>2.5920000000000001</v>
      </c>
      <c r="P1555">
        <v>0.73</v>
      </c>
      <c r="Q1555">
        <v>15</v>
      </c>
    </row>
    <row r="1556" spans="1:17" x14ac:dyDescent="0.25">
      <c r="A1556" s="1">
        <v>43452</v>
      </c>
      <c r="B1556">
        <v>9.8800000000000008</v>
      </c>
      <c r="C1556">
        <v>215.68</v>
      </c>
      <c r="D1556">
        <v>3.47</v>
      </c>
      <c r="E1556">
        <v>15.9</v>
      </c>
      <c r="F1556">
        <v>6.0869999999999997</v>
      </c>
      <c r="G1556">
        <v>2.2200000000000002</v>
      </c>
      <c r="H1556" s="15">
        <v>2.08</v>
      </c>
      <c r="I1556">
        <v>38.517000000000003</v>
      </c>
      <c r="J1556">
        <v>27.617999999999999</v>
      </c>
      <c r="K1556">
        <v>10.285</v>
      </c>
      <c r="L1556">
        <v>1.339</v>
      </c>
      <c r="M1556" t="e">
        <v>#N/A</v>
      </c>
      <c r="N1556">
        <v>0.128</v>
      </c>
      <c r="O1556">
        <v>2.6309999999999998</v>
      </c>
      <c r="P1556">
        <v>0.74</v>
      </c>
      <c r="Q1556">
        <v>14</v>
      </c>
    </row>
    <row r="1557" spans="1:17" x14ac:dyDescent="0.25">
      <c r="A1557" s="1">
        <v>43453</v>
      </c>
      <c r="B1557">
        <v>9.8800000000000008</v>
      </c>
      <c r="C1557">
        <v>216.4</v>
      </c>
      <c r="D1557">
        <v>3.47</v>
      </c>
      <c r="E1557">
        <v>15.8</v>
      </c>
      <c r="F1557">
        <v>6.0780000000000003</v>
      </c>
      <c r="G1557">
        <v>2.2469999999999999</v>
      </c>
      <c r="H1557" s="15">
        <v>2.04</v>
      </c>
      <c r="I1557">
        <v>38.517000000000003</v>
      </c>
      <c r="J1557">
        <v>27.666</v>
      </c>
      <c r="K1557">
        <v>10.285</v>
      </c>
      <c r="L1557">
        <v>1.339</v>
      </c>
      <c r="M1557">
        <v>3.4950000000000001</v>
      </c>
      <c r="N1557">
        <v>0.128</v>
      </c>
      <c r="O1557">
        <v>2.5430000000000001</v>
      </c>
      <c r="P1557">
        <v>0.7</v>
      </c>
      <c r="Q1557">
        <v>15</v>
      </c>
    </row>
    <row r="1558" spans="1:17" x14ac:dyDescent="0.25">
      <c r="A1558" s="1">
        <v>43454</v>
      </c>
      <c r="B1558">
        <v>9.8800000000000008</v>
      </c>
      <c r="C1558">
        <v>215.9</v>
      </c>
      <c r="D1558">
        <v>3.47</v>
      </c>
      <c r="E1558">
        <v>16.350000000000001</v>
      </c>
      <c r="F1558">
        <v>6.0780000000000003</v>
      </c>
      <c r="G1558">
        <v>2.2200000000000002</v>
      </c>
      <c r="H1558" s="15">
        <v>2.04</v>
      </c>
      <c r="I1558">
        <v>38.323999999999998</v>
      </c>
      <c r="J1558">
        <v>27.666</v>
      </c>
      <c r="K1558">
        <v>10.285</v>
      </c>
      <c r="L1558">
        <v>1.33</v>
      </c>
      <c r="M1558" t="e">
        <v>#N/A</v>
      </c>
      <c r="N1558">
        <v>0.126</v>
      </c>
      <c r="O1558">
        <v>2.5430000000000001</v>
      </c>
      <c r="P1558">
        <v>0.73</v>
      </c>
      <c r="Q1558">
        <v>14</v>
      </c>
    </row>
    <row r="1559" spans="1:17" x14ac:dyDescent="0.25">
      <c r="A1559" s="1">
        <v>43455</v>
      </c>
      <c r="B1559">
        <v>9.782</v>
      </c>
      <c r="C1559">
        <v>214</v>
      </c>
      <c r="D1559">
        <v>3.4</v>
      </c>
      <c r="E1559">
        <v>16.14</v>
      </c>
      <c r="F1559">
        <v>6.1150000000000002</v>
      </c>
      <c r="G1559">
        <v>2.2200000000000002</v>
      </c>
      <c r="H1559" s="15" t="e">
        <v>#N/A</v>
      </c>
      <c r="I1559">
        <v>38.084000000000003</v>
      </c>
      <c r="J1559">
        <v>27.472000000000001</v>
      </c>
      <c r="K1559">
        <v>10.332000000000001</v>
      </c>
      <c r="L1559">
        <v>1.32</v>
      </c>
      <c r="M1559">
        <v>3.512</v>
      </c>
      <c r="N1559">
        <v>0.126</v>
      </c>
      <c r="O1559">
        <v>2.5430000000000001</v>
      </c>
      <c r="P1559">
        <v>0.71</v>
      </c>
      <c r="Q1559">
        <v>14</v>
      </c>
    </row>
    <row r="1560" spans="1:17" x14ac:dyDescent="0.25">
      <c r="A1560" s="1">
        <v>43458</v>
      </c>
      <c r="B1560">
        <v>9.782</v>
      </c>
      <c r="C1560">
        <v>213</v>
      </c>
      <c r="D1560" t="e">
        <v>#N/A</v>
      </c>
      <c r="E1560">
        <v>16.440000000000001</v>
      </c>
      <c r="F1560">
        <v>6.1340000000000003</v>
      </c>
      <c r="G1560">
        <v>2.2200000000000002</v>
      </c>
      <c r="H1560" s="15">
        <v>2.0299999999999998</v>
      </c>
      <c r="I1560">
        <v>38.228000000000002</v>
      </c>
      <c r="J1560">
        <v>27.472000000000001</v>
      </c>
      <c r="K1560">
        <v>10.332000000000001</v>
      </c>
      <c r="L1560" t="e">
        <v>#N/A</v>
      </c>
      <c r="M1560" t="e">
        <v>#N/A</v>
      </c>
      <c r="N1560">
        <v>0.128</v>
      </c>
      <c r="O1560" t="e">
        <v>#N/A</v>
      </c>
      <c r="P1560">
        <v>0.72</v>
      </c>
      <c r="Q1560">
        <v>11</v>
      </c>
    </row>
    <row r="1561" spans="1:17" x14ac:dyDescent="0.25">
      <c r="A1561" s="1">
        <v>43460</v>
      </c>
      <c r="B1561">
        <v>9.7620000000000005</v>
      </c>
      <c r="C1561">
        <v>217</v>
      </c>
      <c r="D1561">
        <v>3.4</v>
      </c>
      <c r="E1561">
        <v>15.93</v>
      </c>
      <c r="F1561">
        <v>6.1340000000000003</v>
      </c>
      <c r="G1561">
        <v>2.2010000000000001</v>
      </c>
      <c r="H1561" s="15">
        <v>2.02</v>
      </c>
      <c r="I1561" t="e">
        <v>#N/A</v>
      </c>
      <c r="J1561">
        <v>27.326000000000001</v>
      </c>
      <c r="K1561">
        <v>10.332000000000001</v>
      </c>
      <c r="L1561">
        <v>1.32</v>
      </c>
      <c r="M1561">
        <v>3.5379999999999998</v>
      </c>
      <c r="N1561">
        <v>0.128</v>
      </c>
      <c r="O1561" t="e">
        <v>#N/A</v>
      </c>
      <c r="P1561">
        <v>0.71</v>
      </c>
      <c r="Q1561">
        <v>13</v>
      </c>
    </row>
    <row r="1562" spans="1:17" x14ac:dyDescent="0.25">
      <c r="A1562" s="1">
        <v>43461</v>
      </c>
      <c r="B1562">
        <v>9.7330000000000005</v>
      </c>
      <c r="C1562">
        <v>218.64</v>
      </c>
      <c r="D1562">
        <v>3.4260000000000002</v>
      </c>
      <c r="E1562">
        <v>16</v>
      </c>
      <c r="F1562">
        <v>6.1440000000000001</v>
      </c>
      <c r="G1562">
        <v>2.2200000000000002</v>
      </c>
      <c r="H1562" s="15">
        <v>1.99</v>
      </c>
      <c r="I1562">
        <v>38.997999999999998</v>
      </c>
      <c r="J1562">
        <v>27.472000000000001</v>
      </c>
      <c r="K1562">
        <v>10.332000000000001</v>
      </c>
      <c r="L1562" t="e">
        <v>#N/A</v>
      </c>
      <c r="M1562" t="e">
        <v>#N/A</v>
      </c>
      <c r="N1562">
        <v>0.127</v>
      </c>
      <c r="O1562" t="e">
        <v>#N/A</v>
      </c>
      <c r="P1562">
        <v>0.71</v>
      </c>
      <c r="Q1562">
        <v>12</v>
      </c>
    </row>
    <row r="1563" spans="1:17" x14ac:dyDescent="0.25">
      <c r="A1563" s="1">
        <v>43462</v>
      </c>
      <c r="B1563">
        <v>9.7330000000000005</v>
      </c>
      <c r="C1563">
        <v>221.1</v>
      </c>
      <c r="D1563">
        <v>3.47</v>
      </c>
      <c r="E1563">
        <v>16.079999999999998</v>
      </c>
      <c r="F1563">
        <v>6.1340000000000003</v>
      </c>
      <c r="G1563">
        <v>2.1920000000000002</v>
      </c>
      <c r="H1563" s="15" t="e">
        <v>#N/A</v>
      </c>
      <c r="I1563">
        <v>39.479999999999997</v>
      </c>
      <c r="J1563">
        <v>27.472000000000001</v>
      </c>
      <c r="K1563" t="e">
        <v>#N/A</v>
      </c>
      <c r="L1563">
        <v>1.32</v>
      </c>
      <c r="M1563">
        <v>3.669</v>
      </c>
      <c r="N1563">
        <v>0.126</v>
      </c>
      <c r="O1563">
        <v>2.5430000000000001</v>
      </c>
      <c r="P1563">
        <v>0.71</v>
      </c>
      <c r="Q1563">
        <v>13</v>
      </c>
    </row>
    <row r="1564" spans="1:17" x14ac:dyDescent="0.25">
      <c r="A1564" s="1">
        <v>43465</v>
      </c>
      <c r="B1564">
        <v>9.7330000000000005</v>
      </c>
      <c r="C1564">
        <v>221.3</v>
      </c>
      <c r="D1564">
        <v>3.47</v>
      </c>
      <c r="E1564">
        <v>16.100000000000001</v>
      </c>
      <c r="F1564">
        <v>6.0869999999999997</v>
      </c>
      <c r="G1564">
        <v>2.3010000000000002</v>
      </c>
      <c r="H1564" s="15" t="e">
        <v>#N/A</v>
      </c>
      <c r="I1564">
        <v>40.442999999999998</v>
      </c>
      <c r="J1564">
        <v>27.472000000000001</v>
      </c>
      <c r="K1564">
        <v>10.332000000000001</v>
      </c>
      <c r="L1564">
        <v>1.32</v>
      </c>
      <c r="M1564">
        <v>3.669</v>
      </c>
      <c r="N1564">
        <v>0.126</v>
      </c>
      <c r="O1564">
        <v>2.5430000000000001</v>
      </c>
      <c r="P1564">
        <v>0.71</v>
      </c>
      <c r="Q1564">
        <v>14</v>
      </c>
    </row>
    <row r="1565" spans="1:17" x14ac:dyDescent="0.25">
      <c r="A1565" s="1">
        <v>43467</v>
      </c>
      <c r="B1565">
        <v>9.6839999999999993</v>
      </c>
      <c r="C1565">
        <v>226</v>
      </c>
      <c r="D1565">
        <v>3.4260000000000002</v>
      </c>
      <c r="E1565">
        <v>16.2</v>
      </c>
      <c r="F1565">
        <v>6.0869999999999997</v>
      </c>
      <c r="G1565">
        <v>2.2200000000000002</v>
      </c>
      <c r="H1565" s="15">
        <v>1.91</v>
      </c>
      <c r="I1565" t="e">
        <v>#N/A</v>
      </c>
      <c r="J1565">
        <v>27.957000000000001</v>
      </c>
      <c r="K1565">
        <v>10.332000000000001</v>
      </c>
      <c r="L1565">
        <v>1.32</v>
      </c>
      <c r="M1565" t="e">
        <v>#N/A</v>
      </c>
      <c r="N1565">
        <v>0.125</v>
      </c>
      <c r="O1565">
        <v>2.5230000000000001</v>
      </c>
      <c r="P1565">
        <v>0.68</v>
      </c>
      <c r="Q1565">
        <v>13</v>
      </c>
    </row>
    <row r="1566" spans="1:17" x14ac:dyDescent="0.25">
      <c r="A1566" s="1">
        <v>43468</v>
      </c>
      <c r="B1566">
        <v>9.6839999999999993</v>
      </c>
      <c r="C1566">
        <v>222.42</v>
      </c>
      <c r="D1566">
        <v>3.3820000000000001</v>
      </c>
      <c r="E1566">
        <v>16.72</v>
      </c>
      <c r="F1566">
        <v>6.0679999999999996</v>
      </c>
      <c r="G1566">
        <v>2.1739999999999999</v>
      </c>
      <c r="H1566" s="15">
        <v>1.91</v>
      </c>
      <c r="I1566">
        <v>39.960999999999999</v>
      </c>
      <c r="J1566">
        <v>28.346</v>
      </c>
      <c r="K1566">
        <v>10.332000000000001</v>
      </c>
      <c r="L1566">
        <v>1.32</v>
      </c>
      <c r="M1566" t="e">
        <v>#N/A</v>
      </c>
      <c r="N1566">
        <v>0.125</v>
      </c>
      <c r="O1566">
        <v>2.4940000000000002</v>
      </c>
      <c r="P1566">
        <v>0.65</v>
      </c>
      <c r="Q1566">
        <v>14</v>
      </c>
    </row>
    <row r="1567" spans="1:17" x14ac:dyDescent="0.25">
      <c r="A1567" s="1">
        <v>43469</v>
      </c>
      <c r="B1567">
        <v>9.782</v>
      </c>
      <c r="C1567">
        <v>228</v>
      </c>
      <c r="D1567">
        <v>3.3820000000000001</v>
      </c>
      <c r="E1567">
        <v>16.600000000000001</v>
      </c>
      <c r="F1567">
        <v>6.0590000000000002</v>
      </c>
      <c r="G1567">
        <v>2.1739999999999999</v>
      </c>
      <c r="H1567" s="15">
        <v>1.8</v>
      </c>
      <c r="I1567">
        <v>40.345999999999997</v>
      </c>
      <c r="J1567">
        <v>29.52</v>
      </c>
      <c r="K1567">
        <v>10.321999999999999</v>
      </c>
      <c r="L1567">
        <v>1.31</v>
      </c>
      <c r="M1567">
        <v>3.6259999999999999</v>
      </c>
      <c r="N1567">
        <v>0.124</v>
      </c>
      <c r="O1567">
        <v>2.5230000000000001</v>
      </c>
      <c r="P1567">
        <v>0.69</v>
      </c>
      <c r="Q1567">
        <v>15</v>
      </c>
    </row>
    <row r="1568" spans="1:17" x14ac:dyDescent="0.25">
      <c r="A1568" s="1">
        <v>43472</v>
      </c>
      <c r="B1568">
        <v>9.782</v>
      </c>
      <c r="C1568">
        <v>227.05</v>
      </c>
      <c r="D1568">
        <v>3.294</v>
      </c>
      <c r="E1568">
        <v>16.399999999999999</v>
      </c>
      <c r="F1568">
        <v>6.0309999999999997</v>
      </c>
      <c r="G1568">
        <v>2.21</v>
      </c>
      <c r="H1568" s="15">
        <v>1.78</v>
      </c>
      <c r="I1568">
        <v>40.345999999999997</v>
      </c>
      <c r="J1568">
        <v>29.948</v>
      </c>
      <c r="K1568">
        <v>10.321999999999999</v>
      </c>
      <c r="L1568">
        <v>1.31</v>
      </c>
      <c r="M1568" t="e">
        <v>#N/A</v>
      </c>
      <c r="N1568">
        <v>0.124</v>
      </c>
      <c r="O1568">
        <v>2.5230000000000001</v>
      </c>
      <c r="P1568">
        <v>0.67</v>
      </c>
      <c r="Q1568">
        <v>14</v>
      </c>
    </row>
    <row r="1569" spans="1:17" x14ac:dyDescent="0.25">
      <c r="A1569" s="1">
        <v>43473</v>
      </c>
      <c r="B1569">
        <v>9.782</v>
      </c>
      <c r="C1569">
        <v>226.49</v>
      </c>
      <c r="D1569">
        <v>3.25</v>
      </c>
      <c r="E1569">
        <v>16.07</v>
      </c>
      <c r="F1569">
        <v>6.0309999999999997</v>
      </c>
      <c r="G1569">
        <v>2.3010000000000002</v>
      </c>
      <c r="H1569" s="15">
        <v>1.8</v>
      </c>
      <c r="I1569">
        <v>40.356000000000002</v>
      </c>
      <c r="J1569">
        <v>30.577999999999999</v>
      </c>
      <c r="K1569">
        <v>10.048999999999999</v>
      </c>
      <c r="L1569">
        <v>1.31</v>
      </c>
      <c r="M1569" t="e">
        <v>#N/A</v>
      </c>
      <c r="N1569">
        <v>0.123</v>
      </c>
      <c r="O1569">
        <v>2.484</v>
      </c>
      <c r="P1569">
        <v>0.67</v>
      </c>
      <c r="Q1569">
        <v>14</v>
      </c>
    </row>
    <row r="1570" spans="1:17" x14ac:dyDescent="0.25">
      <c r="A1570" s="1">
        <v>43474</v>
      </c>
      <c r="B1570">
        <v>9.8800000000000008</v>
      </c>
      <c r="C1570">
        <v>227.2</v>
      </c>
      <c r="D1570">
        <v>3.3380000000000001</v>
      </c>
      <c r="E1570">
        <v>16.23</v>
      </c>
      <c r="F1570">
        <v>6.1340000000000003</v>
      </c>
      <c r="G1570">
        <v>2.2919999999999998</v>
      </c>
      <c r="H1570" s="15">
        <v>1.8</v>
      </c>
      <c r="I1570">
        <v>40.442999999999998</v>
      </c>
      <c r="J1570">
        <v>30.87</v>
      </c>
      <c r="K1570">
        <v>10.199999999999999</v>
      </c>
      <c r="L1570">
        <v>1.4159999999999999</v>
      </c>
      <c r="M1570" t="e">
        <v>#N/A</v>
      </c>
      <c r="N1570">
        <v>0.13</v>
      </c>
      <c r="O1570">
        <v>2.5430000000000001</v>
      </c>
      <c r="P1570">
        <v>0.7</v>
      </c>
      <c r="Q1570">
        <v>14</v>
      </c>
    </row>
    <row r="1571" spans="1:17" x14ac:dyDescent="0.25">
      <c r="A1571" s="1">
        <v>43475</v>
      </c>
      <c r="B1571">
        <v>9.9280000000000008</v>
      </c>
      <c r="C1571">
        <v>230.5</v>
      </c>
      <c r="D1571">
        <v>3.3820000000000001</v>
      </c>
      <c r="E1571">
        <v>16.600000000000001</v>
      </c>
      <c r="F1571">
        <v>6.1820000000000004</v>
      </c>
      <c r="G1571">
        <v>2.31</v>
      </c>
      <c r="H1571" s="15">
        <v>1.95</v>
      </c>
      <c r="I1571">
        <v>40.451999999999998</v>
      </c>
      <c r="J1571">
        <v>31.064</v>
      </c>
      <c r="K1571">
        <v>10.285</v>
      </c>
      <c r="L1571">
        <v>1.349</v>
      </c>
      <c r="M1571" t="e">
        <v>#N/A</v>
      </c>
      <c r="N1571">
        <v>0.13</v>
      </c>
      <c r="O1571" t="e">
        <v>#N/A</v>
      </c>
      <c r="P1571">
        <v>0.67</v>
      </c>
      <c r="Q1571">
        <v>13</v>
      </c>
    </row>
    <row r="1572" spans="1:17" x14ac:dyDescent="0.25">
      <c r="A1572" s="1">
        <v>43476</v>
      </c>
      <c r="B1572">
        <v>9.8989999999999991</v>
      </c>
      <c r="C1572">
        <v>228.65</v>
      </c>
      <c r="D1572">
        <v>3.3380000000000001</v>
      </c>
      <c r="E1572">
        <v>15.9</v>
      </c>
      <c r="F1572">
        <v>6.2380000000000004</v>
      </c>
      <c r="G1572">
        <v>2.3010000000000002</v>
      </c>
      <c r="H1572" s="15">
        <v>2.0499999999999998</v>
      </c>
      <c r="I1572">
        <v>40.597000000000001</v>
      </c>
      <c r="J1572">
        <v>31.064</v>
      </c>
      <c r="K1572">
        <v>10.285</v>
      </c>
      <c r="L1572">
        <v>1.339</v>
      </c>
      <c r="M1572" t="e">
        <v>#N/A</v>
      </c>
      <c r="N1572">
        <v>0.13200000000000001</v>
      </c>
      <c r="O1572" t="e">
        <v>#N/A</v>
      </c>
      <c r="P1572">
        <v>0.7</v>
      </c>
      <c r="Q1572">
        <v>13</v>
      </c>
    </row>
    <row r="1573" spans="1:17" x14ac:dyDescent="0.25">
      <c r="A1573" s="1">
        <v>43479</v>
      </c>
      <c r="B1573">
        <v>9.9770000000000003</v>
      </c>
      <c r="C1573">
        <v>230.49</v>
      </c>
      <c r="D1573">
        <v>3.3380000000000001</v>
      </c>
      <c r="E1573">
        <v>15.86</v>
      </c>
      <c r="F1573">
        <v>6.2850000000000001</v>
      </c>
      <c r="G1573">
        <v>2.3010000000000002</v>
      </c>
      <c r="H1573" s="15">
        <v>2</v>
      </c>
      <c r="I1573" t="e">
        <v>#N/A</v>
      </c>
      <c r="J1573" t="e">
        <v>#N/A</v>
      </c>
      <c r="K1573">
        <v>10.294</v>
      </c>
      <c r="L1573">
        <v>1.349</v>
      </c>
      <c r="M1573" t="e">
        <v>#N/A</v>
      </c>
      <c r="N1573">
        <v>0.13</v>
      </c>
      <c r="O1573" t="e">
        <v>#N/A</v>
      </c>
      <c r="P1573">
        <v>0.7</v>
      </c>
      <c r="Q1573">
        <v>11</v>
      </c>
    </row>
    <row r="1574" spans="1:17" x14ac:dyDescent="0.25">
      <c r="A1574" s="1">
        <v>43480</v>
      </c>
      <c r="B1574">
        <v>9.9770000000000003</v>
      </c>
      <c r="C1574">
        <v>231.3</v>
      </c>
      <c r="D1574">
        <v>3.3559999999999999</v>
      </c>
      <c r="E1574">
        <v>15</v>
      </c>
      <c r="F1574">
        <v>6.2850000000000001</v>
      </c>
      <c r="G1574">
        <v>2.2650000000000001</v>
      </c>
      <c r="H1574" s="15">
        <v>2.0499999999999998</v>
      </c>
      <c r="I1574">
        <v>41.887</v>
      </c>
      <c r="J1574">
        <v>31.84</v>
      </c>
      <c r="K1574">
        <v>10.19</v>
      </c>
      <c r="L1574">
        <v>1.387</v>
      </c>
      <c r="M1574" t="e">
        <v>#N/A</v>
      </c>
      <c r="N1574">
        <v>0.13300000000000001</v>
      </c>
      <c r="O1574">
        <v>2.5430000000000001</v>
      </c>
      <c r="P1574">
        <v>0.71</v>
      </c>
      <c r="Q1574">
        <v>14</v>
      </c>
    </row>
    <row r="1575" spans="1:17" x14ac:dyDescent="0.25">
      <c r="A1575" s="1">
        <v>43481</v>
      </c>
      <c r="B1575">
        <v>9.9770000000000003</v>
      </c>
      <c r="C1575">
        <v>231.76</v>
      </c>
      <c r="D1575">
        <v>3.3559999999999999</v>
      </c>
      <c r="E1575">
        <v>15.26</v>
      </c>
      <c r="F1575">
        <v>6.2380000000000004</v>
      </c>
      <c r="G1575">
        <v>2.2559999999999998</v>
      </c>
      <c r="H1575" s="15">
        <v>2</v>
      </c>
      <c r="I1575">
        <v>41.502000000000002</v>
      </c>
      <c r="J1575">
        <v>31.937999999999999</v>
      </c>
      <c r="K1575">
        <v>10.19</v>
      </c>
      <c r="L1575">
        <v>1.4059999999999999</v>
      </c>
      <c r="M1575" t="e">
        <v>#N/A</v>
      </c>
      <c r="N1575">
        <v>0.13500000000000001</v>
      </c>
      <c r="O1575" t="e">
        <v>#N/A</v>
      </c>
      <c r="P1575">
        <v>0.74</v>
      </c>
      <c r="Q1575">
        <v>13</v>
      </c>
    </row>
    <row r="1576" spans="1:17" x14ac:dyDescent="0.25">
      <c r="A1576" s="1">
        <v>43482</v>
      </c>
      <c r="B1576">
        <v>9.9770000000000003</v>
      </c>
      <c r="C1576">
        <v>233.45</v>
      </c>
      <c r="D1576">
        <v>3.3820000000000001</v>
      </c>
      <c r="E1576">
        <v>15.43</v>
      </c>
      <c r="F1576">
        <v>6.266</v>
      </c>
      <c r="G1576">
        <v>2.2469999999999999</v>
      </c>
      <c r="H1576" s="15">
        <v>2.02</v>
      </c>
      <c r="I1576">
        <v>42.369</v>
      </c>
      <c r="J1576">
        <v>32.034999999999997</v>
      </c>
      <c r="K1576">
        <v>10.19</v>
      </c>
      <c r="L1576">
        <v>1.4159999999999999</v>
      </c>
      <c r="M1576" t="e">
        <v>#N/A</v>
      </c>
      <c r="N1576">
        <v>0.13300000000000001</v>
      </c>
      <c r="O1576">
        <v>2.3959999999999999</v>
      </c>
      <c r="P1576">
        <v>0.73</v>
      </c>
      <c r="Q1576">
        <v>14</v>
      </c>
    </row>
    <row r="1577" spans="1:17" x14ac:dyDescent="0.25">
      <c r="A1577" s="1">
        <v>43483</v>
      </c>
      <c r="B1577">
        <v>9.9380000000000006</v>
      </c>
      <c r="C1577">
        <v>231</v>
      </c>
      <c r="D1577">
        <v>3.3380000000000001</v>
      </c>
      <c r="E1577">
        <v>15.05</v>
      </c>
      <c r="F1577">
        <v>6.2850000000000001</v>
      </c>
      <c r="G1577">
        <v>2.2650000000000001</v>
      </c>
      <c r="H1577" s="15">
        <v>2</v>
      </c>
      <c r="I1577">
        <v>43.332000000000001</v>
      </c>
      <c r="J1577">
        <v>32.034999999999997</v>
      </c>
      <c r="K1577">
        <v>10.19</v>
      </c>
      <c r="L1577" t="e">
        <v>#N/A</v>
      </c>
      <c r="M1577">
        <v>3.4950000000000001</v>
      </c>
      <c r="N1577">
        <v>0.13300000000000001</v>
      </c>
      <c r="O1577" t="e">
        <v>#N/A</v>
      </c>
      <c r="P1577">
        <v>0.74</v>
      </c>
      <c r="Q1577">
        <v>13</v>
      </c>
    </row>
    <row r="1578" spans="1:17" x14ac:dyDescent="0.25">
      <c r="A1578" s="1">
        <v>43486</v>
      </c>
      <c r="B1578">
        <v>9.9280000000000008</v>
      </c>
      <c r="C1578">
        <v>233</v>
      </c>
      <c r="D1578">
        <v>3.3380000000000001</v>
      </c>
      <c r="E1578" t="e">
        <v>#N/A</v>
      </c>
      <c r="F1578">
        <v>6.2480000000000002</v>
      </c>
      <c r="G1578">
        <v>2.2650000000000001</v>
      </c>
      <c r="H1578" s="15">
        <v>1.82</v>
      </c>
      <c r="I1578">
        <v>43.234999999999999</v>
      </c>
      <c r="J1578">
        <v>31.84</v>
      </c>
      <c r="K1578">
        <v>10.19</v>
      </c>
      <c r="L1578">
        <v>1.387</v>
      </c>
      <c r="M1578" t="e">
        <v>#N/A</v>
      </c>
      <c r="N1578">
        <v>0.13700000000000001</v>
      </c>
      <c r="O1578" t="e">
        <v>#N/A</v>
      </c>
      <c r="P1578">
        <v>0.71</v>
      </c>
      <c r="Q1578">
        <v>12</v>
      </c>
    </row>
    <row r="1579" spans="1:17" x14ac:dyDescent="0.25">
      <c r="A1579" s="1">
        <v>43487</v>
      </c>
      <c r="B1579">
        <v>9.9280000000000008</v>
      </c>
      <c r="C1579">
        <v>230.12</v>
      </c>
      <c r="D1579">
        <v>3.3380000000000001</v>
      </c>
      <c r="E1579">
        <v>15.41</v>
      </c>
      <c r="F1579">
        <v>6.1340000000000003</v>
      </c>
      <c r="G1579">
        <v>2.2559999999999998</v>
      </c>
      <c r="H1579" s="15">
        <v>1.99</v>
      </c>
      <c r="I1579">
        <v>42.176000000000002</v>
      </c>
      <c r="J1579">
        <v>31.559000000000001</v>
      </c>
      <c r="K1579">
        <v>10.19</v>
      </c>
      <c r="L1579">
        <v>1.387</v>
      </c>
      <c r="M1579">
        <v>3.4860000000000002</v>
      </c>
      <c r="N1579">
        <v>0.13500000000000001</v>
      </c>
      <c r="O1579">
        <v>2.4449999999999998</v>
      </c>
      <c r="P1579">
        <v>0.71</v>
      </c>
      <c r="Q1579">
        <v>15</v>
      </c>
    </row>
    <row r="1580" spans="1:17" x14ac:dyDescent="0.25">
      <c r="A1580" s="1">
        <v>43488</v>
      </c>
      <c r="B1580">
        <v>9.9770000000000003</v>
      </c>
      <c r="C1580">
        <v>234.3</v>
      </c>
      <c r="D1580">
        <v>3.3380000000000001</v>
      </c>
      <c r="E1580">
        <v>15.2</v>
      </c>
      <c r="F1580">
        <v>6.1340000000000003</v>
      </c>
      <c r="G1580">
        <v>2.238</v>
      </c>
      <c r="H1580" s="15">
        <v>1.96</v>
      </c>
      <c r="I1580">
        <v>41.887</v>
      </c>
      <c r="J1580">
        <v>31.548999999999999</v>
      </c>
      <c r="K1580">
        <v>10.19</v>
      </c>
      <c r="L1580" t="e">
        <v>#N/A</v>
      </c>
      <c r="M1580" t="e">
        <v>#N/A</v>
      </c>
      <c r="N1580">
        <v>0.13500000000000001</v>
      </c>
      <c r="O1580">
        <v>2.3959999999999999</v>
      </c>
      <c r="P1580">
        <v>0.74</v>
      </c>
      <c r="Q1580">
        <v>13</v>
      </c>
    </row>
    <row r="1581" spans="1:17" x14ac:dyDescent="0.25">
      <c r="A1581" s="1">
        <v>43489</v>
      </c>
      <c r="B1581">
        <v>10.055999999999999</v>
      </c>
      <c r="C1581">
        <v>235.1</v>
      </c>
      <c r="D1581">
        <v>3.3559999999999999</v>
      </c>
      <c r="E1581">
        <v>15.17</v>
      </c>
      <c r="F1581">
        <v>6.1340000000000003</v>
      </c>
      <c r="G1581">
        <v>2.238</v>
      </c>
      <c r="H1581" s="15">
        <v>2.0099999999999998</v>
      </c>
      <c r="I1581">
        <v>41.868000000000002</v>
      </c>
      <c r="J1581">
        <v>31.548999999999999</v>
      </c>
      <c r="K1581">
        <v>10.285</v>
      </c>
      <c r="L1581">
        <v>1.4059999999999999</v>
      </c>
      <c r="M1581" t="e">
        <v>#N/A</v>
      </c>
      <c r="N1581">
        <v>0.13300000000000001</v>
      </c>
      <c r="O1581">
        <v>2.5430000000000001</v>
      </c>
      <c r="P1581">
        <v>0.76</v>
      </c>
      <c r="Q1581">
        <v>14</v>
      </c>
    </row>
    <row r="1582" spans="1:17" x14ac:dyDescent="0.25">
      <c r="A1582" s="1">
        <v>43490</v>
      </c>
      <c r="B1582">
        <v>10.32</v>
      </c>
      <c r="C1582">
        <v>236.1</v>
      </c>
      <c r="D1582">
        <v>3.3559999999999999</v>
      </c>
      <c r="E1582">
        <v>15.5</v>
      </c>
      <c r="F1582">
        <v>6.1820000000000004</v>
      </c>
      <c r="G1582">
        <v>2.3010000000000002</v>
      </c>
      <c r="H1582" s="15" t="e">
        <v>#N/A</v>
      </c>
      <c r="I1582">
        <v>42.08</v>
      </c>
      <c r="J1582">
        <v>32.034999999999997</v>
      </c>
      <c r="K1582">
        <v>10.19</v>
      </c>
      <c r="L1582">
        <v>1.4159999999999999</v>
      </c>
      <c r="M1582">
        <v>3.3639999999999999</v>
      </c>
      <c r="N1582">
        <v>0.13</v>
      </c>
      <c r="O1582" t="e">
        <v>#N/A</v>
      </c>
      <c r="P1582">
        <v>0.75</v>
      </c>
      <c r="Q1582">
        <v>13</v>
      </c>
    </row>
    <row r="1583" spans="1:17" x14ac:dyDescent="0.25">
      <c r="A1583" s="1">
        <v>43493</v>
      </c>
      <c r="B1583">
        <v>10.222</v>
      </c>
      <c r="C1583">
        <v>235.51</v>
      </c>
      <c r="D1583">
        <v>3.3380000000000001</v>
      </c>
      <c r="E1583">
        <v>15.55</v>
      </c>
      <c r="F1583">
        <v>6.1630000000000003</v>
      </c>
      <c r="G1583">
        <v>2.3010000000000002</v>
      </c>
      <c r="H1583" s="15" t="e">
        <v>#N/A</v>
      </c>
      <c r="I1583">
        <v>42.08</v>
      </c>
      <c r="J1583">
        <v>32.034999999999997</v>
      </c>
      <c r="K1583" t="e">
        <v>#N/A</v>
      </c>
      <c r="L1583" t="e">
        <v>#N/A</v>
      </c>
      <c r="M1583">
        <v>3.3639999999999999</v>
      </c>
      <c r="N1583">
        <v>0.13300000000000001</v>
      </c>
      <c r="O1583" t="e">
        <v>#N/A</v>
      </c>
      <c r="P1583">
        <v>0.74</v>
      </c>
      <c r="Q1583">
        <v>11</v>
      </c>
    </row>
    <row r="1584" spans="1:17" x14ac:dyDescent="0.25">
      <c r="A1584" s="1">
        <v>43494</v>
      </c>
      <c r="B1584">
        <v>10.222</v>
      </c>
      <c r="C1584">
        <v>239</v>
      </c>
      <c r="D1584">
        <v>3.3380000000000001</v>
      </c>
      <c r="E1584">
        <v>15.76</v>
      </c>
      <c r="F1584">
        <v>6.1820000000000004</v>
      </c>
      <c r="G1584">
        <v>2.3010000000000002</v>
      </c>
      <c r="H1584" s="15">
        <v>2</v>
      </c>
      <c r="I1584">
        <v>42.561</v>
      </c>
      <c r="J1584">
        <v>32.616999999999997</v>
      </c>
      <c r="K1584">
        <v>10.247</v>
      </c>
      <c r="L1584">
        <v>1.387</v>
      </c>
      <c r="M1584" t="e">
        <v>#N/A</v>
      </c>
      <c r="N1584">
        <v>0.13300000000000001</v>
      </c>
      <c r="O1584" t="e">
        <v>#N/A</v>
      </c>
      <c r="P1584">
        <v>0.73</v>
      </c>
      <c r="Q1584">
        <v>13</v>
      </c>
    </row>
    <row r="1585" spans="1:17" x14ac:dyDescent="0.25">
      <c r="A1585" s="1">
        <v>43495</v>
      </c>
      <c r="B1585">
        <v>10.242000000000001</v>
      </c>
      <c r="C1585">
        <v>238</v>
      </c>
      <c r="D1585">
        <v>3.3380000000000001</v>
      </c>
      <c r="E1585">
        <v>15.34</v>
      </c>
      <c r="F1585">
        <v>6.2190000000000003</v>
      </c>
      <c r="G1585">
        <v>2.2829999999999999</v>
      </c>
      <c r="H1585" s="15">
        <v>2</v>
      </c>
      <c r="I1585">
        <v>43.332000000000001</v>
      </c>
      <c r="J1585">
        <v>33.151000000000003</v>
      </c>
      <c r="K1585">
        <v>10.247</v>
      </c>
      <c r="L1585">
        <v>1.387</v>
      </c>
      <c r="M1585" t="e">
        <v>#N/A</v>
      </c>
      <c r="N1585">
        <v>0.13300000000000001</v>
      </c>
      <c r="O1585">
        <v>2.5230000000000001</v>
      </c>
      <c r="P1585">
        <v>0.75</v>
      </c>
      <c r="Q1585">
        <v>14</v>
      </c>
    </row>
    <row r="1586" spans="1:17" x14ac:dyDescent="0.25">
      <c r="A1586" s="1">
        <v>43496</v>
      </c>
      <c r="B1586">
        <v>10.33</v>
      </c>
      <c r="C1586">
        <v>242.96</v>
      </c>
      <c r="D1586">
        <v>3.3820000000000001</v>
      </c>
      <c r="E1586">
        <v>15.4</v>
      </c>
      <c r="F1586">
        <v>6.37</v>
      </c>
      <c r="G1586">
        <v>2.2829999999999999</v>
      </c>
      <c r="H1586" s="15">
        <v>2</v>
      </c>
      <c r="I1586">
        <v>44.293999999999997</v>
      </c>
      <c r="J1586">
        <v>33.151000000000003</v>
      </c>
      <c r="K1586">
        <v>10.19</v>
      </c>
      <c r="L1586">
        <v>1.4159999999999999</v>
      </c>
      <c r="M1586">
        <v>3.4510000000000001</v>
      </c>
      <c r="N1586">
        <v>0.13300000000000001</v>
      </c>
      <c r="O1586">
        <v>2.5430000000000001</v>
      </c>
      <c r="P1586">
        <v>0.75</v>
      </c>
      <c r="Q1586">
        <v>15</v>
      </c>
    </row>
    <row r="1587" spans="1:17" x14ac:dyDescent="0.25">
      <c r="A1587" s="1">
        <v>43497</v>
      </c>
      <c r="B1587">
        <v>11.053000000000001</v>
      </c>
      <c r="C1587">
        <v>242.5</v>
      </c>
      <c r="D1587">
        <v>3.4260000000000002</v>
      </c>
      <c r="E1587">
        <v>15.44</v>
      </c>
      <c r="F1587">
        <v>6.3419999999999996</v>
      </c>
      <c r="G1587">
        <v>2.3370000000000002</v>
      </c>
      <c r="H1587" s="15" t="e">
        <v>#N/A</v>
      </c>
      <c r="I1587">
        <v>44.439</v>
      </c>
      <c r="J1587">
        <v>33.200000000000003</v>
      </c>
      <c r="K1587">
        <v>10.19</v>
      </c>
      <c r="L1587">
        <v>1.4159999999999999</v>
      </c>
      <c r="M1587">
        <v>3.4510000000000001</v>
      </c>
      <c r="N1587">
        <v>0.13</v>
      </c>
      <c r="O1587">
        <v>2.64</v>
      </c>
      <c r="P1587">
        <v>0.75</v>
      </c>
      <c r="Q1587">
        <v>14</v>
      </c>
    </row>
    <row r="1588" spans="1:17" x14ac:dyDescent="0.25">
      <c r="A1588" s="1">
        <v>43500</v>
      </c>
      <c r="B1588">
        <v>11.298</v>
      </c>
      <c r="C1588">
        <v>245.65</v>
      </c>
      <c r="D1588">
        <v>3.4089999999999998</v>
      </c>
      <c r="E1588">
        <v>15.66</v>
      </c>
      <c r="F1588">
        <v>6.3230000000000004</v>
      </c>
      <c r="G1588">
        <v>2.355</v>
      </c>
      <c r="H1588" s="15">
        <v>1.98</v>
      </c>
      <c r="I1588">
        <v>44.439</v>
      </c>
      <c r="J1588">
        <v>33.247999999999998</v>
      </c>
      <c r="K1588">
        <v>10.199999999999999</v>
      </c>
      <c r="L1588">
        <v>1.4159999999999999</v>
      </c>
      <c r="M1588">
        <v>3.407</v>
      </c>
      <c r="N1588">
        <v>0.13100000000000001</v>
      </c>
      <c r="O1588">
        <v>2.6309999999999998</v>
      </c>
      <c r="P1588">
        <v>0.74</v>
      </c>
      <c r="Q1588">
        <v>15</v>
      </c>
    </row>
    <row r="1589" spans="1:17" x14ac:dyDescent="0.25">
      <c r="A1589" s="1">
        <v>43501</v>
      </c>
      <c r="B1589">
        <v>11.102</v>
      </c>
      <c r="C1589">
        <v>248.85</v>
      </c>
      <c r="D1589">
        <v>3.4089999999999998</v>
      </c>
      <c r="E1589">
        <v>15.8</v>
      </c>
      <c r="F1589">
        <v>6.3230000000000004</v>
      </c>
      <c r="G1589">
        <v>2.355</v>
      </c>
      <c r="H1589" s="15">
        <v>1.93</v>
      </c>
      <c r="I1589">
        <v>44.439</v>
      </c>
      <c r="J1589">
        <v>33.005000000000003</v>
      </c>
      <c r="K1589">
        <v>10.19</v>
      </c>
      <c r="L1589">
        <v>1.4159999999999999</v>
      </c>
      <c r="M1589" t="e">
        <v>#N/A</v>
      </c>
      <c r="N1589">
        <v>0.13</v>
      </c>
      <c r="O1589">
        <v>2.621</v>
      </c>
      <c r="P1589">
        <v>0.72</v>
      </c>
      <c r="Q1589">
        <v>14</v>
      </c>
    </row>
    <row r="1590" spans="1:17" x14ac:dyDescent="0.25">
      <c r="A1590" s="1">
        <v>43502</v>
      </c>
      <c r="B1590">
        <v>11.053000000000001</v>
      </c>
      <c r="C1590">
        <v>246.7</v>
      </c>
      <c r="D1590">
        <v>3.4260000000000002</v>
      </c>
      <c r="E1590">
        <v>15.95</v>
      </c>
      <c r="F1590">
        <v>6.2949999999999999</v>
      </c>
      <c r="G1590">
        <v>2.3460000000000001</v>
      </c>
      <c r="H1590" s="15">
        <v>1.9</v>
      </c>
      <c r="I1590">
        <v>44.293999999999997</v>
      </c>
      <c r="J1590">
        <v>33.005000000000003</v>
      </c>
      <c r="K1590">
        <v>10.19</v>
      </c>
      <c r="L1590">
        <v>1.4059999999999999</v>
      </c>
      <c r="M1590" t="e">
        <v>#N/A</v>
      </c>
      <c r="N1590">
        <v>0.13100000000000001</v>
      </c>
      <c r="O1590">
        <v>2.6309999999999998</v>
      </c>
      <c r="P1590">
        <v>0.73</v>
      </c>
      <c r="Q1590">
        <v>14</v>
      </c>
    </row>
    <row r="1591" spans="1:17" x14ac:dyDescent="0.25">
      <c r="A1591" s="1">
        <v>43503</v>
      </c>
      <c r="B1591">
        <v>11.21</v>
      </c>
      <c r="C1591">
        <v>237.1</v>
      </c>
      <c r="D1591">
        <v>3.47</v>
      </c>
      <c r="E1591">
        <v>15.97</v>
      </c>
      <c r="F1591">
        <v>6.4459999999999997</v>
      </c>
      <c r="G1591">
        <v>2.355</v>
      </c>
      <c r="H1591" s="15">
        <v>1.92</v>
      </c>
      <c r="I1591">
        <v>44.293999999999997</v>
      </c>
      <c r="J1591">
        <v>32.520000000000003</v>
      </c>
      <c r="K1591">
        <v>10.379</v>
      </c>
      <c r="L1591">
        <v>1.425</v>
      </c>
      <c r="M1591">
        <v>3.4510000000000001</v>
      </c>
      <c r="N1591">
        <v>0.13400000000000001</v>
      </c>
      <c r="O1591">
        <v>2.65</v>
      </c>
      <c r="P1591">
        <v>0.74</v>
      </c>
      <c r="Q1591">
        <v>15</v>
      </c>
    </row>
    <row r="1592" spans="1:17" x14ac:dyDescent="0.25">
      <c r="A1592" s="1">
        <v>43504</v>
      </c>
      <c r="B1592">
        <v>11.21</v>
      </c>
      <c r="C1592">
        <v>241.03</v>
      </c>
      <c r="D1592">
        <v>3.4260000000000002</v>
      </c>
      <c r="E1592">
        <v>16.2</v>
      </c>
      <c r="F1592">
        <v>6.37</v>
      </c>
      <c r="G1592">
        <v>2.3460000000000001</v>
      </c>
      <c r="H1592" s="15">
        <v>1.9</v>
      </c>
      <c r="I1592">
        <v>44.293999999999997</v>
      </c>
      <c r="J1592">
        <v>31.792000000000002</v>
      </c>
      <c r="K1592">
        <v>10.379</v>
      </c>
      <c r="L1592">
        <v>1.425</v>
      </c>
      <c r="M1592" t="e">
        <v>#N/A</v>
      </c>
      <c r="N1592">
        <v>0.13300000000000001</v>
      </c>
      <c r="O1592">
        <v>2.67</v>
      </c>
      <c r="P1592">
        <v>0.73</v>
      </c>
      <c r="Q1592">
        <v>14</v>
      </c>
    </row>
    <row r="1593" spans="1:17" x14ac:dyDescent="0.25">
      <c r="A1593" s="1">
        <v>43507</v>
      </c>
      <c r="B1593">
        <v>11.151</v>
      </c>
      <c r="C1593">
        <v>236</v>
      </c>
      <c r="D1593">
        <v>3.4169999999999998</v>
      </c>
      <c r="E1593">
        <v>16.100000000000001</v>
      </c>
      <c r="F1593">
        <v>6.2759999999999998</v>
      </c>
      <c r="G1593">
        <v>2.3279999999999998</v>
      </c>
      <c r="H1593" s="15">
        <v>1.9</v>
      </c>
      <c r="I1593">
        <v>44.293999999999997</v>
      </c>
      <c r="J1593">
        <v>32.034999999999997</v>
      </c>
      <c r="K1593">
        <v>10.379</v>
      </c>
      <c r="L1593">
        <v>1.425</v>
      </c>
      <c r="M1593" t="e">
        <v>#N/A</v>
      </c>
      <c r="N1593">
        <v>0.13</v>
      </c>
      <c r="O1593">
        <v>2.64</v>
      </c>
      <c r="P1593">
        <v>0.73</v>
      </c>
      <c r="Q1593">
        <v>14</v>
      </c>
    </row>
    <row r="1594" spans="1:17" x14ac:dyDescent="0.25">
      <c r="A1594" s="1">
        <v>43508</v>
      </c>
      <c r="B1594">
        <v>11.063000000000001</v>
      </c>
      <c r="C1594">
        <v>239.3</v>
      </c>
      <c r="D1594">
        <v>3.4169999999999998</v>
      </c>
      <c r="E1594">
        <v>16.100000000000001</v>
      </c>
      <c r="F1594">
        <v>6.21</v>
      </c>
      <c r="G1594">
        <v>2.3460000000000001</v>
      </c>
      <c r="H1594" s="15" t="e">
        <v>#N/A</v>
      </c>
      <c r="I1594">
        <v>44.293999999999997</v>
      </c>
      <c r="J1594">
        <v>32.034999999999997</v>
      </c>
      <c r="K1594">
        <v>10.454000000000001</v>
      </c>
      <c r="L1594">
        <v>1.4730000000000001</v>
      </c>
      <c r="M1594" t="e">
        <v>#N/A</v>
      </c>
      <c r="N1594">
        <v>0.13</v>
      </c>
      <c r="O1594">
        <v>2.6429999999999998</v>
      </c>
      <c r="P1594">
        <v>0.73</v>
      </c>
      <c r="Q1594">
        <v>13</v>
      </c>
    </row>
    <row r="1595" spans="1:17" x14ac:dyDescent="0.25">
      <c r="A1595" s="1">
        <v>43509</v>
      </c>
      <c r="B1595">
        <v>11.112</v>
      </c>
      <c r="C1595">
        <v>238.05</v>
      </c>
      <c r="D1595">
        <v>3.4169999999999998</v>
      </c>
      <c r="E1595">
        <v>16.100000000000001</v>
      </c>
      <c r="F1595">
        <v>6.2</v>
      </c>
      <c r="G1595">
        <v>2.3370000000000002</v>
      </c>
      <c r="H1595" s="15">
        <v>1.9</v>
      </c>
      <c r="I1595">
        <v>45.256999999999998</v>
      </c>
      <c r="J1595">
        <v>32.034999999999997</v>
      </c>
      <c r="K1595">
        <v>10.615</v>
      </c>
      <c r="L1595">
        <v>1.53</v>
      </c>
      <c r="M1595">
        <v>3.407</v>
      </c>
      <c r="N1595">
        <v>0.15</v>
      </c>
      <c r="O1595">
        <v>2.5840000000000001</v>
      </c>
      <c r="P1595">
        <v>0.73</v>
      </c>
      <c r="Q1595">
        <v>15</v>
      </c>
    </row>
    <row r="1596" spans="1:17" x14ac:dyDescent="0.25">
      <c r="A1596" s="1">
        <v>43510</v>
      </c>
      <c r="B1596">
        <v>11.151</v>
      </c>
      <c r="C1596">
        <v>236</v>
      </c>
      <c r="D1596">
        <v>3.3380000000000001</v>
      </c>
      <c r="E1596">
        <v>16.5</v>
      </c>
      <c r="F1596">
        <v>6.1340000000000003</v>
      </c>
      <c r="G1596">
        <v>2.3650000000000002</v>
      </c>
      <c r="H1596" s="15">
        <v>1.86</v>
      </c>
      <c r="I1596">
        <v>45.267000000000003</v>
      </c>
      <c r="J1596">
        <v>32.326000000000001</v>
      </c>
      <c r="K1596">
        <v>10.851000000000001</v>
      </c>
      <c r="L1596" t="e">
        <v>#N/A</v>
      </c>
      <c r="M1596" t="e">
        <v>#N/A</v>
      </c>
      <c r="N1596">
        <v>0.14899999999999999</v>
      </c>
      <c r="O1596">
        <v>2.6240000000000001</v>
      </c>
      <c r="P1596">
        <v>0.73</v>
      </c>
      <c r="Q1596">
        <v>13</v>
      </c>
    </row>
    <row r="1597" spans="1:17" x14ac:dyDescent="0.25">
      <c r="A1597" s="1">
        <v>43511</v>
      </c>
      <c r="B1597">
        <v>11.102</v>
      </c>
      <c r="C1597">
        <v>239</v>
      </c>
      <c r="D1597">
        <v>3.347</v>
      </c>
      <c r="E1597">
        <v>16.510000000000002</v>
      </c>
      <c r="F1597">
        <v>6.1909999999999998</v>
      </c>
      <c r="G1597">
        <v>2.41</v>
      </c>
      <c r="H1597" s="15">
        <v>1.86</v>
      </c>
      <c r="I1597">
        <v>45.256999999999998</v>
      </c>
      <c r="J1597">
        <v>32.520000000000003</v>
      </c>
      <c r="K1597">
        <v>10.615</v>
      </c>
      <c r="L1597">
        <v>1.5109999999999999</v>
      </c>
      <c r="M1597" t="e">
        <v>#N/A</v>
      </c>
      <c r="N1597">
        <v>0.14099999999999999</v>
      </c>
      <c r="O1597">
        <v>2.6339999999999999</v>
      </c>
      <c r="P1597">
        <v>0.72</v>
      </c>
      <c r="Q1597">
        <v>14</v>
      </c>
    </row>
    <row r="1598" spans="1:17" x14ac:dyDescent="0.25">
      <c r="A1598" s="1">
        <v>43514</v>
      </c>
      <c r="B1598">
        <v>10.956</v>
      </c>
      <c r="C1598" t="e">
        <v>#N/A</v>
      </c>
      <c r="D1598">
        <v>3.3380000000000001</v>
      </c>
      <c r="E1598">
        <v>16.55</v>
      </c>
      <c r="F1598">
        <v>6.1340000000000003</v>
      </c>
      <c r="G1598">
        <v>2.41</v>
      </c>
      <c r="H1598" s="15">
        <v>1.83</v>
      </c>
      <c r="I1598">
        <v>45.256999999999998</v>
      </c>
      <c r="J1598">
        <v>33.005000000000003</v>
      </c>
      <c r="K1598">
        <v>10.473000000000001</v>
      </c>
      <c r="L1598" t="e">
        <v>#N/A</v>
      </c>
      <c r="M1598" t="e">
        <v>#N/A</v>
      </c>
      <c r="N1598" t="e">
        <v>#N/A</v>
      </c>
      <c r="O1598">
        <v>2.6139999999999999</v>
      </c>
      <c r="P1598">
        <v>0.69</v>
      </c>
      <c r="Q1598">
        <v>11</v>
      </c>
    </row>
    <row r="1599" spans="1:17" x14ac:dyDescent="0.25">
      <c r="A1599" s="1">
        <v>43515</v>
      </c>
      <c r="B1599">
        <v>11.013999999999999</v>
      </c>
      <c r="C1599">
        <v>239.5</v>
      </c>
      <c r="D1599">
        <v>3.3380000000000001</v>
      </c>
      <c r="E1599">
        <v>16.600000000000001</v>
      </c>
      <c r="F1599">
        <v>6.0869999999999997</v>
      </c>
      <c r="G1599">
        <v>2.41</v>
      </c>
      <c r="H1599" s="15">
        <v>1.83</v>
      </c>
      <c r="I1599">
        <v>45.256999999999998</v>
      </c>
      <c r="J1599">
        <v>33.005000000000003</v>
      </c>
      <c r="K1599">
        <v>10.568</v>
      </c>
      <c r="L1599">
        <v>1.53</v>
      </c>
      <c r="M1599" t="e">
        <v>#N/A</v>
      </c>
      <c r="N1599">
        <v>0.14199999999999999</v>
      </c>
      <c r="O1599" t="e">
        <v>#N/A</v>
      </c>
      <c r="P1599">
        <v>0.69</v>
      </c>
      <c r="Q1599">
        <v>13</v>
      </c>
    </row>
    <row r="1600" spans="1:17" x14ac:dyDescent="0.25">
      <c r="A1600" s="1">
        <v>43516</v>
      </c>
      <c r="B1600">
        <v>10.956</v>
      </c>
      <c r="C1600">
        <v>240.6</v>
      </c>
      <c r="D1600">
        <v>3.3380000000000001</v>
      </c>
      <c r="E1600">
        <v>16.8</v>
      </c>
      <c r="F1600">
        <v>6.0869999999999997</v>
      </c>
      <c r="G1600">
        <v>2.41</v>
      </c>
      <c r="H1600" s="15">
        <v>1.83</v>
      </c>
      <c r="I1600" t="e">
        <v>#N/A</v>
      </c>
      <c r="J1600">
        <v>33.005000000000003</v>
      </c>
      <c r="K1600">
        <v>10.568</v>
      </c>
      <c r="L1600">
        <v>1.5780000000000001</v>
      </c>
      <c r="M1600">
        <v>3.407</v>
      </c>
      <c r="N1600">
        <v>0.14399999999999999</v>
      </c>
      <c r="O1600" t="e">
        <v>#N/A</v>
      </c>
      <c r="P1600">
        <v>0.69</v>
      </c>
      <c r="Q1600">
        <v>13</v>
      </c>
    </row>
    <row r="1601" spans="1:17" x14ac:dyDescent="0.25">
      <c r="A1601" s="1">
        <v>43517</v>
      </c>
      <c r="B1601">
        <v>10.956</v>
      </c>
      <c r="C1601">
        <v>238.8</v>
      </c>
      <c r="D1601">
        <v>3.3380000000000001</v>
      </c>
      <c r="E1601">
        <v>16.55</v>
      </c>
      <c r="F1601">
        <v>6.0869999999999997</v>
      </c>
      <c r="G1601">
        <v>2.3279999999999998</v>
      </c>
      <c r="H1601" s="15">
        <v>1.78</v>
      </c>
      <c r="I1601">
        <v>44.293999999999997</v>
      </c>
      <c r="J1601">
        <v>33.005000000000003</v>
      </c>
      <c r="K1601">
        <v>10.568</v>
      </c>
      <c r="L1601">
        <v>1.6259999999999999</v>
      </c>
      <c r="M1601" t="e">
        <v>#N/A</v>
      </c>
      <c r="N1601">
        <v>0.14499999999999999</v>
      </c>
      <c r="O1601">
        <v>2.5550000000000002</v>
      </c>
      <c r="P1601">
        <v>0.66</v>
      </c>
      <c r="Q1601">
        <v>14</v>
      </c>
    </row>
    <row r="1602" spans="1:17" x14ac:dyDescent="0.25">
      <c r="A1602" s="1">
        <v>43518</v>
      </c>
      <c r="B1602">
        <v>11.013999999999999</v>
      </c>
      <c r="C1602">
        <v>242.1</v>
      </c>
      <c r="D1602">
        <v>3.3380000000000001</v>
      </c>
      <c r="E1602">
        <v>16.95</v>
      </c>
      <c r="F1602">
        <v>6.0869999999999997</v>
      </c>
      <c r="G1602">
        <v>2.319</v>
      </c>
      <c r="H1602" s="15">
        <v>1.85</v>
      </c>
      <c r="I1602">
        <v>44.054000000000002</v>
      </c>
      <c r="J1602">
        <v>33.005000000000003</v>
      </c>
      <c r="K1602">
        <v>10.473000000000001</v>
      </c>
      <c r="L1602">
        <v>1.6830000000000001</v>
      </c>
      <c r="M1602">
        <v>3.4249999999999998</v>
      </c>
      <c r="N1602">
        <v>0.14699999999999999</v>
      </c>
      <c r="O1602">
        <v>2.6139999999999999</v>
      </c>
      <c r="P1602">
        <v>0.66</v>
      </c>
      <c r="Q1602">
        <v>15</v>
      </c>
    </row>
    <row r="1603" spans="1:17" x14ac:dyDescent="0.25">
      <c r="A1603" s="1">
        <v>43521</v>
      </c>
      <c r="B1603">
        <v>11.053000000000001</v>
      </c>
      <c r="C1603">
        <v>241.6</v>
      </c>
      <c r="D1603">
        <v>3.2679999999999998</v>
      </c>
      <c r="E1603">
        <v>16.55</v>
      </c>
      <c r="F1603">
        <v>6.0869999999999997</v>
      </c>
      <c r="G1603">
        <v>2.31</v>
      </c>
      <c r="H1603" s="15">
        <v>1.87</v>
      </c>
      <c r="I1603">
        <v>44.293999999999997</v>
      </c>
      <c r="J1603">
        <v>33.491</v>
      </c>
      <c r="K1603">
        <v>10.473000000000001</v>
      </c>
      <c r="L1603">
        <v>1.6739999999999999</v>
      </c>
      <c r="M1603">
        <v>3.4249999999999998</v>
      </c>
      <c r="N1603">
        <v>0.14799999999999999</v>
      </c>
      <c r="O1603">
        <v>2.6139999999999999</v>
      </c>
      <c r="P1603">
        <v>0.66</v>
      </c>
      <c r="Q1603">
        <v>15</v>
      </c>
    </row>
    <row r="1604" spans="1:17" x14ac:dyDescent="0.25">
      <c r="A1604" s="1">
        <v>43522</v>
      </c>
      <c r="B1604">
        <v>11.044</v>
      </c>
      <c r="C1604">
        <v>242.2</v>
      </c>
      <c r="D1604">
        <v>3.2679999999999998</v>
      </c>
      <c r="E1604">
        <v>16.32</v>
      </c>
      <c r="F1604">
        <v>6.0590000000000002</v>
      </c>
      <c r="G1604">
        <v>2.274</v>
      </c>
      <c r="H1604" s="15">
        <v>1.75</v>
      </c>
      <c r="I1604">
        <v>43.707000000000001</v>
      </c>
      <c r="J1604">
        <v>33.393999999999998</v>
      </c>
      <c r="K1604">
        <v>10.756</v>
      </c>
      <c r="L1604" t="e">
        <v>#N/A</v>
      </c>
      <c r="M1604">
        <v>3.4159999999999999</v>
      </c>
      <c r="N1604">
        <v>0.14899999999999999</v>
      </c>
      <c r="O1604">
        <v>2.653</v>
      </c>
      <c r="P1604">
        <v>0.66</v>
      </c>
      <c r="Q1604">
        <v>14</v>
      </c>
    </row>
    <row r="1605" spans="1:17" x14ac:dyDescent="0.25">
      <c r="A1605" s="1">
        <v>43523</v>
      </c>
      <c r="B1605">
        <v>11.005000000000001</v>
      </c>
      <c r="C1605">
        <v>243.35</v>
      </c>
      <c r="D1605">
        <v>3.286</v>
      </c>
      <c r="E1605">
        <v>16.28</v>
      </c>
      <c r="F1605">
        <v>6.04</v>
      </c>
      <c r="G1605">
        <v>2.2469999999999999</v>
      </c>
      <c r="H1605" s="15" t="e">
        <v>#N/A</v>
      </c>
      <c r="I1605">
        <v>43.332000000000001</v>
      </c>
      <c r="J1605">
        <v>34.462000000000003</v>
      </c>
      <c r="K1605">
        <v>11.04</v>
      </c>
      <c r="L1605" t="e">
        <v>#N/A</v>
      </c>
      <c r="M1605">
        <v>3.5819999999999999</v>
      </c>
      <c r="N1605">
        <v>0.15</v>
      </c>
      <c r="O1605" t="e">
        <v>#N/A</v>
      </c>
      <c r="P1605">
        <v>0.66</v>
      </c>
      <c r="Q1605">
        <v>12</v>
      </c>
    </row>
    <row r="1606" spans="1:17" x14ac:dyDescent="0.25">
      <c r="A1606" s="1">
        <v>43524</v>
      </c>
      <c r="B1606">
        <v>11.005000000000001</v>
      </c>
      <c r="C1606">
        <v>243.4</v>
      </c>
      <c r="D1606">
        <v>3.4089999999999998</v>
      </c>
      <c r="E1606">
        <v>16.600000000000001</v>
      </c>
      <c r="F1606">
        <v>6.1630000000000003</v>
      </c>
      <c r="G1606">
        <v>2.2290000000000001</v>
      </c>
      <c r="H1606" s="15">
        <v>1.87</v>
      </c>
      <c r="I1606">
        <v>42.945999999999998</v>
      </c>
      <c r="J1606">
        <v>33.771999999999998</v>
      </c>
      <c r="K1606">
        <v>11.483000000000001</v>
      </c>
      <c r="L1606">
        <v>1.722</v>
      </c>
      <c r="M1606">
        <v>3.407</v>
      </c>
      <c r="N1606">
        <v>0.153</v>
      </c>
      <c r="O1606">
        <v>2.6040000000000001</v>
      </c>
      <c r="P1606">
        <v>0.68</v>
      </c>
      <c r="Q1606">
        <v>15</v>
      </c>
    </row>
    <row r="1607" spans="1:17" x14ac:dyDescent="0.25">
      <c r="A1607" s="1">
        <v>43525</v>
      </c>
      <c r="B1607">
        <v>11.053000000000001</v>
      </c>
      <c r="C1607">
        <v>239.3</v>
      </c>
      <c r="D1607">
        <v>3.4260000000000002</v>
      </c>
      <c r="E1607">
        <v>16.5</v>
      </c>
      <c r="F1607">
        <v>6.1820000000000004</v>
      </c>
      <c r="G1607">
        <v>2.2469999999999999</v>
      </c>
      <c r="H1607" s="15">
        <v>1.93</v>
      </c>
      <c r="I1607">
        <v>43.042999999999999</v>
      </c>
      <c r="J1607">
        <v>34.947000000000003</v>
      </c>
      <c r="K1607">
        <v>11.417</v>
      </c>
      <c r="L1607" t="e">
        <v>#N/A</v>
      </c>
      <c r="M1607">
        <v>3.5470000000000002</v>
      </c>
      <c r="N1607">
        <v>0.156</v>
      </c>
      <c r="O1607">
        <v>2.653</v>
      </c>
      <c r="P1607">
        <v>0.67</v>
      </c>
      <c r="Q1607">
        <v>14</v>
      </c>
    </row>
    <row r="1608" spans="1:17" x14ac:dyDescent="0.25">
      <c r="A1608" s="1">
        <v>43528</v>
      </c>
      <c r="B1608">
        <v>11.005000000000001</v>
      </c>
      <c r="C1608">
        <v>241.3</v>
      </c>
      <c r="D1608">
        <v>3.4260000000000002</v>
      </c>
      <c r="E1608">
        <v>16.5</v>
      </c>
      <c r="F1608" t="e">
        <v>#N/A</v>
      </c>
      <c r="G1608">
        <v>2.2469999999999999</v>
      </c>
      <c r="H1608" s="15">
        <v>1.93</v>
      </c>
      <c r="I1608">
        <v>42.85</v>
      </c>
      <c r="J1608">
        <v>34.947000000000003</v>
      </c>
      <c r="K1608">
        <v>11.888999999999999</v>
      </c>
      <c r="L1608">
        <v>1.655</v>
      </c>
      <c r="M1608">
        <v>3.53</v>
      </c>
      <c r="N1608">
        <v>0.157</v>
      </c>
      <c r="O1608">
        <v>2.702</v>
      </c>
      <c r="P1608">
        <v>0.67</v>
      </c>
      <c r="Q1608">
        <v>14</v>
      </c>
    </row>
    <row r="1609" spans="1:17" x14ac:dyDescent="0.25">
      <c r="A1609" s="1">
        <v>43529</v>
      </c>
      <c r="B1609">
        <v>10.75</v>
      </c>
      <c r="C1609">
        <v>239</v>
      </c>
      <c r="D1609">
        <v>3.47</v>
      </c>
      <c r="E1609">
        <v>16.62</v>
      </c>
      <c r="F1609">
        <v>6.0869999999999997</v>
      </c>
      <c r="G1609">
        <v>2.238</v>
      </c>
      <c r="H1609" s="15">
        <v>1.95</v>
      </c>
      <c r="I1609">
        <v>42.656999999999996</v>
      </c>
      <c r="J1609">
        <v>34.947000000000003</v>
      </c>
      <c r="K1609">
        <v>11.417</v>
      </c>
      <c r="L1609">
        <v>1.645</v>
      </c>
      <c r="M1609">
        <v>3.4950000000000001</v>
      </c>
      <c r="N1609">
        <v>0.158</v>
      </c>
      <c r="O1609">
        <v>2.702</v>
      </c>
      <c r="P1609">
        <v>0.67</v>
      </c>
      <c r="Q1609">
        <v>15</v>
      </c>
    </row>
    <row r="1610" spans="1:17" x14ac:dyDescent="0.25">
      <c r="A1610" s="1">
        <v>43530</v>
      </c>
      <c r="B1610">
        <v>10.808999999999999</v>
      </c>
      <c r="C1610">
        <v>241</v>
      </c>
      <c r="D1610">
        <v>3.4260000000000002</v>
      </c>
      <c r="E1610">
        <v>16.420000000000002</v>
      </c>
      <c r="F1610">
        <v>6.1150000000000002</v>
      </c>
      <c r="G1610">
        <v>2.2469999999999999</v>
      </c>
      <c r="H1610" s="15">
        <v>2.0299999999999998</v>
      </c>
      <c r="I1610">
        <v>42.369</v>
      </c>
      <c r="J1610">
        <v>34.462000000000003</v>
      </c>
      <c r="K1610">
        <v>11.7</v>
      </c>
      <c r="L1610">
        <v>1.6639999999999999</v>
      </c>
      <c r="M1610">
        <v>3.4950000000000001</v>
      </c>
      <c r="N1610">
        <v>0.16300000000000001</v>
      </c>
      <c r="O1610">
        <v>2.7120000000000002</v>
      </c>
      <c r="P1610">
        <v>0.66</v>
      </c>
      <c r="Q1610">
        <v>15</v>
      </c>
    </row>
    <row r="1611" spans="1:17" x14ac:dyDescent="0.25">
      <c r="A1611" s="1">
        <v>43531</v>
      </c>
      <c r="B1611">
        <v>10.907</v>
      </c>
      <c r="C1611">
        <v>236</v>
      </c>
      <c r="D1611">
        <v>3.4609999999999999</v>
      </c>
      <c r="E1611">
        <v>16.61</v>
      </c>
      <c r="F1611">
        <v>6.1719999999999997</v>
      </c>
      <c r="G1611">
        <v>2.238</v>
      </c>
      <c r="H1611" s="15">
        <v>2.06</v>
      </c>
      <c r="I1611">
        <v>42.369</v>
      </c>
      <c r="J1611">
        <v>34.462000000000003</v>
      </c>
      <c r="K1611">
        <v>11.653</v>
      </c>
      <c r="L1611">
        <v>1.6830000000000001</v>
      </c>
      <c r="M1611">
        <v>3.5030000000000001</v>
      </c>
      <c r="N1611">
        <v>0.17</v>
      </c>
      <c r="O1611">
        <v>2.7320000000000002</v>
      </c>
      <c r="P1611">
        <v>0.66</v>
      </c>
      <c r="Q1611">
        <v>15</v>
      </c>
    </row>
    <row r="1612" spans="1:17" x14ac:dyDescent="0.25">
      <c r="A1612" s="1">
        <v>43532</v>
      </c>
      <c r="B1612">
        <v>10.956</v>
      </c>
      <c r="C1612">
        <v>235.65</v>
      </c>
      <c r="D1612">
        <v>3.4260000000000002</v>
      </c>
      <c r="E1612">
        <v>16.600000000000001</v>
      </c>
      <c r="F1612">
        <v>6.1340000000000003</v>
      </c>
      <c r="G1612">
        <v>2.21</v>
      </c>
      <c r="H1612" s="15">
        <v>2.06</v>
      </c>
      <c r="I1612">
        <v>42.465000000000003</v>
      </c>
      <c r="J1612">
        <v>33.975999999999999</v>
      </c>
      <c r="K1612">
        <v>11.606</v>
      </c>
      <c r="L1612">
        <v>1.6739999999999999</v>
      </c>
      <c r="M1612">
        <v>3.5819999999999999</v>
      </c>
      <c r="N1612">
        <v>0.16700000000000001</v>
      </c>
      <c r="O1612">
        <v>2.7320000000000002</v>
      </c>
      <c r="P1612">
        <v>0.65</v>
      </c>
      <c r="Q1612">
        <v>15</v>
      </c>
    </row>
    <row r="1613" spans="1:17" x14ac:dyDescent="0.25">
      <c r="A1613" s="1">
        <v>43535</v>
      </c>
      <c r="B1613">
        <v>10.956</v>
      </c>
      <c r="C1613">
        <v>240.5</v>
      </c>
      <c r="D1613">
        <v>3.391</v>
      </c>
      <c r="E1613">
        <v>16.28</v>
      </c>
      <c r="F1613">
        <v>6.125</v>
      </c>
      <c r="G1613">
        <v>2.2200000000000002</v>
      </c>
      <c r="H1613" s="15">
        <v>2.0499999999999998</v>
      </c>
      <c r="I1613">
        <v>43.332000000000001</v>
      </c>
      <c r="J1613">
        <v>34.462000000000003</v>
      </c>
      <c r="K1613">
        <v>11.653</v>
      </c>
      <c r="L1613">
        <v>1.7</v>
      </c>
      <c r="M1613">
        <v>3.617</v>
      </c>
      <c r="N1613">
        <v>0.16500000000000001</v>
      </c>
      <c r="O1613">
        <v>2.7519999999999998</v>
      </c>
      <c r="P1613">
        <v>0.62</v>
      </c>
      <c r="Q1613">
        <v>15</v>
      </c>
    </row>
    <row r="1614" spans="1:17" x14ac:dyDescent="0.25">
      <c r="A1614" s="1">
        <v>43536</v>
      </c>
      <c r="B1614">
        <v>10.956</v>
      </c>
      <c r="C1614">
        <v>239.9</v>
      </c>
      <c r="D1614">
        <v>3.4169999999999998</v>
      </c>
      <c r="E1614">
        <v>16.809999999999999</v>
      </c>
      <c r="F1614">
        <v>6.125</v>
      </c>
      <c r="G1614">
        <v>2.238</v>
      </c>
      <c r="H1614" s="15">
        <v>2.04</v>
      </c>
      <c r="I1614">
        <v>43.802999999999997</v>
      </c>
      <c r="J1614">
        <v>34.219000000000001</v>
      </c>
      <c r="K1614">
        <v>11.653</v>
      </c>
      <c r="L1614">
        <v>1.75</v>
      </c>
      <c r="M1614">
        <v>3.6259999999999999</v>
      </c>
      <c r="N1614">
        <v>0.16700000000000001</v>
      </c>
      <c r="O1614">
        <v>2.7709999999999999</v>
      </c>
      <c r="P1614">
        <v>0.63</v>
      </c>
      <c r="Q1614">
        <v>15</v>
      </c>
    </row>
    <row r="1615" spans="1:17" x14ac:dyDescent="0.25">
      <c r="A1615" s="1">
        <v>43537</v>
      </c>
      <c r="B1615">
        <v>10.946</v>
      </c>
      <c r="C1615">
        <v>243</v>
      </c>
      <c r="D1615">
        <v>3.4260000000000002</v>
      </c>
      <c r="E1615">
        <v>17.13</v>
      </c>
      <c r="F1615">
        <v>6.0970000000000004</v>
      </c>
      <c r="G1615">
        <v>2.2559999999999998</v>
      </c>
      <c r="H1615" s="15">
        <v>2.04</v>
      </c>
      <c r="I1615">
        <v>43.802999999999997</v>
      </c>
      <c r="J1615">
        <v>34.219000000000001</v>
      </c>
      <c r="K1615">
        <v>11.653</v>
      </c>
      <c r="L1615">
        <v>1.75</v>
      </c>
      <c r="M1615">
        <v>3.5910000000000002</v>
      </c>
      <c r="N1615">
        <v>0.16700000000000001</v>
      </c>
      <c r="O1615">
        <v>2.8109999999999999</v>
      </c>
      <c r="P1615">
        <v>0.63</v>
      </c>
      <c r="Q1615">
        <v>15</v>
      </c>
    </row>
    <row r="1616" spans="1:17" x14ac:dyDescent="0.25">
      <c r="A1616" s="1">
        <v>43538</v>
      </c>
      <c r="B1616">
        <v>10.897</v>
      </c>
      <c r="C1616">
        <v>246</v>
      </c>
      <c r="D1616">
        <v>3.4260000000000002</v>
      </c>
      <c r="E1616">
        <v>17</v>
      </c>
      <c r="F1616">
        <v>6.0970000000000004</v>
      </c>
      <c r="G1616">
        <v>2.2559999999999998</v>
      </c>
      <c r="H1616" s="15" t="e">
        <v>#N/A</v>
      </c>
      <c r="I1616">
        <v>43.802999999999997</v>
      </c>
      <c r="J1616">
        <v>33.781999999999996</v>
      </c>
      <c r="K1616">
        <v>11.417</v>
      </c>
      <c r="L1616">
        <v>1.69</v>
      </c>
      <c r="M1616">
        <v>3.48</v>
      </c>
      <c r="N1616">
        <v>0.16</v>
      </c>
      <c r="O1616">
        <v>2.7810000000000001</v>
      </c>
      <c r="P1616">
        <v>0.63</v>
      </c>
      <c r="Q1616">
        <v>14</v>
      </c>
    </row>
    <row r="1617" spans="1:17" x14ac:dyDescent="0.25">
      <c r="A1617" s="1">
        <v>43539</v>
      </c>
      <c r="B1617">
        <v>10.946</v>
      </c>
      <c r="C1617">
        <v>248.35</v>
      </c>
      <c r="D1617">
        <v>3.4609999999999999</v>
      </c>
      <c r="E1617">
        <v>17.04</v>
      </c>
      <c r="F1617">
        <v>6.0490000000000004</v>
      </c>
      <c r="G1617">
        <v>2.2200000000000002</v>
      </c>
      <c r="H1617" s="15">
        <v>2.02</v>
      </c>
      <c r="I1617">
        <v>43.802999999999997</v>
      </c>
      <c r="J1617">
        <v>34.267000000000003</v>
      </c>
      <c r="K1617">
        <v>11.407999999999999</v>
      </c>
      <c r="L1617">
        <v>1.73</v>
      </c>
      <c r="M1617">
        <v>3.49</v>
      </c>
      <c r="N1617">
        <v>0.16500000000000001</v>
      </c>
      <c r="O1617">
        <v>2.7519999999999998</v>
      </c>
      <c r="P1617">
        <v>0.63</v>
      </c>
      <c r="Q1617">
        <v>15</v>
      </c>
    </row>
    <row r="1618" spans="1:17" x14ac:dyDescent="0.25">
      <c r="A1618" s="1">
        <v>43542</v>
      </c>
      <c r="B1618">
        <v>11.005000000000001</v>
      </c>
      <c r="C1618">
        <v>250.5</v>
      </c>
      <c r="D1618">
        <v>3.5139999999999998</v>
      </c>
      <c r="E1618">
        <v>16.75</v>
      </c>
      <c r="F1618">
        <v>6.1340000000000003</v>
      </c>
      <c r="G1618">
        <v>2.238</v>
      </c>
      <c r="H1618" s="15">
        <v>2</v>
      </c>
      <c r="I1618">
        <v>43.860999999999997</v>
      </c>
      <c r="J1618">
        <v>34.947000000000003</v>
      </c>
      <c r="K1618">
        <v>11.417</v>
      </c>
      <c r="L1618">
        <v>1.73</v>
      </c>
      <c r="M1618" t="e">
        <v>#N/A</v>
      </c>
      <c r="N1618">
        <v>0.16500000000000001</v>
      </c>
      <c r="O1618">
        <v>2.7519999999999998</v>
      </c>
      <c r="P1618">
        <v>0.65</v>
      </c>
      <c r="Q1618">
        <v>14</v>
      </c>
    </row>
    <row r="1619" spans="1:17" x14ac:dyDescent="0.25">
      <c r="A1619" s="1">
        <v>43543</v>
      </c>
      <c r="B1619">
        <v>10.994999999999999</v>
      </c>
      <c r="C1619">
        <v>250.4</v>
      </c>
      <c r="D1619">
        <v>3.5489999999999999</v>
      </c>
      <c r="E1619">
        <v>16.89</v>
      </c>
      <c r="F1619">
        <v>6.1340000000000003</v>
      </c>
      <c r="G1619">
        <v>2.238</v>
      </c>
      <c r="H1619" s="15">
        <v>2.0299999999999998</v>
      </c>
      <c r="I1619">
        <v>44.776000000000003</v>
      </c>
      <c r="J1619">
        <v>34.85</v>
      </c>
      <c r="K1619">
        <v>11.558</v>
      </c>
      <c r="L1619">
        <v>1.76</v>
      </c>
      <c r="M1619">
        <v>3.52</v>
      </c>
      <c r="N1619">
        <v>0.16700000000000001</v>
      </c>
      <c r="O1619">
        <v>2.6829999999999998</v>
      </c>
      <c r="P1619">
        <v>0.65</v>
      </c>
      <c r="Q1619">
        <v>15</v>
      </c>
    </row>
    <row r="1620" spans="1:17" x14ac:dyDescent="0.25">
      <c r="A1620" s="1">
        <v>43544</v>
      </c>
      <c r="B1620">
        <v>10.956</v>
      </c>
      <c r="C1620">
        <v>248.15</v>
      </c>
      <c r="D1620">
        <v>3.496</v>
      </c>
      <c r="E1620">
        <v>17.38</v>
      </c>
      <c r="F1620">
        <v>6.1719999999999997</v>
      </c>
      <c r="G1620">
        <v>2.2559999999999998</v>
      </c>
      <c r="H1620" s="15">
        <v>2.13</v>
      </c>
      <c r="I1620">
        <v>45.45</v>
      </c>
      <c r="J1620">
        <v>34.792000000000002</v>
      </c>
      <c r="K1620">
        <v>11.558</v>
      </c>
      <c r="L1620">
        <v>1.76</v>
      </c>
      <c r="M1620">
        <v>3.58</v>
      </c>
      <c r="N1620">
        <v>0.16700000000000001</v>
      </c>
      <c r="O1620">
        <v>2.6339999999999999</v>
      </c>
      <c r="P1620">
        <v>0.65</v>
      </c>
      <c r="Q1620">
        <v>15</v>
      </c>
    </row>
    <row r="1621" spans="1:17" x14ac:dyDescent="0.25">
      <c r="A1621" s="1">
        <v>43545</v>
      </c>
      <c r="B1621">
        <v>10.936</v>
      </c>
      <c r="C1621">
        <v>244.5</v>
      </c>
      <c r="D1621">
        <v>3.5049999999999999</v>
      </c>
      <c r="E1621">
        <v>17.28</v>
      </c>
      <c r="F1621">
        <v>6.2190000000000003</v>
      </c>
      <c r="G1621">
        <v>2.2559999999999998</v>
      </c>
      <c r="H1621" s="15">
        <v>2.08</v>
      </c>
      <c r="I1621">
        <v>45.256999999999998</v>
      </c>
      <c r="J1621">
        <v>34.947000000000003</v>
      </c>
      <c r="K1621">
        <v>11.548999999999999</v>
      </c>
      <c r="L1621" t="e">
        <v>#N/A</v>
      </c>
      <c r="M1621">
        <v>3.58</v>
      </c>
      <c r="N1621">
        <v>0.16700000000000001</v>
      </c>
      <c r="O1621">
        <v>2.653</v>
      </c>
      <c r="P1621">
        <v>0.66</v>
      </c>
      <c r="Q1621">
        <v>14</v>
      </c>
    </row>
    <row r="1622" spans="1:17" x14ac:dyDescent="0.25">
      <c r="A1622" s="1">
        <v>43546</v>
      </c>
      <c r="B1622">
        <v>10.907</v>
      </c>
      <c r="C1622">
        <v>241</v>
      </c>
      <c r="D1622">
        <v>3.496</v>
      </c>
      <c r="E1622">
        <v>17.399999999999999</v>
      </c>
      <c r="F1622">
        <v>6.21</v>
      </c>
      <c r="G1622">
        <v>2.2469999999999999</v>
      </c>
      <c r="H1622" s="15">
        <v>2.12</v>
      </c>
      <c r="I1622">
        <v>44.631999999999998</v>
      </c>
      <c r="J1622">
        <v>34.947000000000003</v>
      </c>
      <c r="K1622">
        <v>11.548999999999999</v>
      </c>
      <c r="L1622">
        <v>1.7</v>
      </c>
      <c r="M1622">
        <v>3.58</v>
      </c>
      <c r="N1622">
        <v>0.16700000000000001</v>
      </c>
      <c r="O1622">
        <v>2.702</v>
      </c>
      <c r="P1622">
        <v>0.66</v>
      </c>
      <c r="Q1622">
        <v>15</v>
      </c>
    </row>
    <row r="1623" spans="1:17" x14ac:dyDescent="0.25">
      <c r="A1623" s="1">
        <v>43549</v>
      </c>
      <c r="B1623">
        <v>10.808999999999999</v>
      </c>
      <c r="C1623">
        <v>240</v>
      </c>
      <c r="D1623">
        <v>3.5049999999999999</v>
      </c>
      <c r="E1623">
        <v>17.7</v>
      </c>
      <c r="F1623">
        <v>6.1719999999999997</v>
      </c>
      <c r="G1623">
        <v>2.2200000000000002</v>
      </c>
      <c r="H1623" s="15">
        <v>2.12</v>
      </c>
      <c r="I1623">
        <v>44.293999999999997</v>
      </c>
      <c r="J1623">
        <v>34.374000000000002</v>
      </c>
      <c r="K1623" t="e">
        <v>#N/A</v>
      </c>
      <c r="L1623">
        <v>1.71</v>
      </c>
      <c r="M1623">
        <v>3.51</v>
      </c>
      <c r="N1623">
        <v>0.16500000000000001</v>
      </c>
      <c r="O1623">
        <v>2.6930000000000001</v>
      </c>
      <c r="P1623">
        <v>0.64</v>
      </c>
      <c r="Q1623">
        <v>14</v>
      </c>
    </row>
    <row r="1624" spans="1:17" x14ac:dyDescent="0.25">
      <c r="A1624" s="1">
        <v>43550</v>
      </c>
      <c r="B1624">
        <v>10.76</v>
      </c>
      <c r="C1624">
        <v>240.25</v>
      </c>
      <c r="D1624">
        <v>3.5139999999999998</v>
      </c>
      <c r="E1624">
        <v>17.63</v>
      </c>
      <c r="F1624">
        <v>6.1719999999999997</v>
      </c>
      <c r="G1624">
        <v>2.238</v>
      </c>
      <c r="H1624" s="15">
        <v>2.09</v>
      </c>
      <c r="I1624" t="e">
        <v>#N/A</v>
      </c>
      <c r="J1624">
        <v>34.704000000000001</v>
      </c>
      <c r="K1624">
        <v>11.332000000000001</v>
      </c>
      <c r="L1624">
        <v>1.71</v>
      </c>
      <c r="M1624">
        <v>3.5</v>
      </c>
      <c r="N1624">
        <v>0.16400000000000001</v>
      </c>
      <c r="O1624" t="e">
        <v>#N/A</v>
      </c>
      <c r="P1624">
        <v>0.63</v>
      </c>
      <c r="Q1624">
        <v>13</v>
      </c>
    </row>
    <row r="1625" spans="1:17" x14ac:dyDescent="0.25">
      <c r="A1625" s="1">
        <v>43551</v>
      </c>
      <c r="B1625">
        <v>10.662000000000001</v>
      </c>
      <c r="C1625">
        <v>239.3</v>
      </c>
      <c r="D1625">
        <v>3.5049999999999999</v>
      </c>
      <c r="E1625">
        <v>17.34</v>
      </c>
      <c r="F1625">
        <v>6.1630000000000003</v>
      </c>
      <c r="G1625">
        <v>2.2559999999999998</v>
      </c>
      <c r="H1625" s="15">
        <v>2.04</v>
      </c>
      <c r="I1625">
        <v>44.293999999999997</v>
      </c>
      <c r="J1625">
        <v>34.470999999999997</v>
      </c>
      <c r="K1625">
        <v>11.275</v>
      </c>
      <c r="L1625">
        <v>1.79</v>
      </c>
      <c r="M1625">
        <v>3.43</v>
      </c>
      <c r="N1625">
        <v>0.16400000000000001</v>
      </c>
      <c r="O1625">
        <v>2.6829999999999998</v>
      </c>
      <c r="P1625">
        <v>0.63</v>
      </c>
      <c r="Q1625">
        <v>15</v>
      </c>
    </row>
    <row r="1626" spans="1:17" x14ac:dyDescent="0.25">
      <c r="A1626" s="1">
        <v>43552</v>
      </c>
      <c r="B1626">
        <v>10.613</v>
      </c>
      <c r="C1626">
        <v>239.7</v>
      </c>
      <c r="D1626">
        <v>3.5049999999999999</v>
      </c>
      <c r="E1626">
        <v>17.100000000000001</v>
      </c>
      <c r="F1626">
        <v>6.1820000000000004</v>
      </c>
      <c r="G1626">
        <v>2.238</v>
      </c>
      <c r="H1626" s="15">
        <v>2.06</v>
      </c>
      <c r="I1626">
        <v>44.293999999999997</v>
      </c>
      <c r="J1626">
        <v>34.753</v>
      </c>
      <c r="K1626">
        <v>11.275</v>
      </c>
      <c r="L1626">
        <v>1.75</v>
      </c>
      <c r="M1626">
        <v>3.55</v>
      </c>
      <c r="N1626">
        <v>0.16400000000000001</v>
      </c>
      <c r="O1626" t="e">
        <v>#N/A</v>
      </c>
      <c r="P1626">
        <v>0.64</v>
      </c>
      <c r="Q1626">
        <v>14</v>
      </c>
    </row>
    <row r="1627" spans="1:17" x14ac:dyDescent="0.25">
      <c r="A1627" s="1">
        <v>43553</v>
      </c>
      <c r="B1627">
        <v>10.613</v>
      </c>
      <c r="C1627">
        <v>239.52</v>
      </c>
      <c r="D1627">
        <v>3.5049999999999999</v>
      </c>
      <c r="E1627">
        <v>17.22</v>
      </c>
      <c r="F1627">
        <v>6.1820000000000004</v>
      </c>
      <c r="G1627">
        <v>2.238</v>
      </c>
      <c r="H1627" s="15">
        <v>2.25</v>
      </c>
      <c r="I1627">
        <v>43.813000000000002</v>
      </c>
      <c r="J1627">
        <v>34.655999999999999</v>
      </c>
      <c r="K1627">
        <v>11.228</v>
      </c>
      <c r="L1627">
        <v>1.73</v>
      </c>
      <c r="M1627">
        <v>3.62</v>
      </c>
      <c r="N1627">
        <v>0.16700000000000001</v>
      </c>
      <c r="O1627" t="e">
        <v>#N/A</v>
      </c>
      <c r="P1627">
        <v>0.62</v>
      </c>
      <c r="Q1627">
        <v>14</v>
      </c>
    </row>
    <row r="1628" spans="1:17" x14ac:dyDescent="0.25">
      <c r="A1628" s="1">
        <v>43556</v>
      </c>
      <c r="B1628">
        <v>10.613</v>
      </c>
      <c r="C1628">
        <v>242.15</v>
      </c>
      <c r="D1628">
        <v>3.47</v>
      </c>
      <c r="E1628">
        <v>16.649999999999999</v>
      </c>
      <c r="F1628">
        <v>6.1529999999999996</v>
      </c>
      <c r="G1628">
        <v>2.21</v>
      </c>
      <c r="H1628" s="15">
        <v>2.3199999999999998</v>
      </c>
      <c r="I1628">
        <v>43.813000000000002</v>
      </c>
      <c r="J1628">
        <v>34.655999999999999</v>
      </c>
      <c r="K1628">
        <v>11.464</v>
      </c>
      <c r="L1628">
        <v>1.75</v>
      </c>
      <c r="M1628">
        <v>3.62</v>
      </c>
      <c r="N1628">
        <v>0.16700000000000001</v>
      </c>
      <c r="O1628">
        <v>2.673</v>
      </c>
      <c r="P1628">
        <v>0.63</v>
      </c>
      <c r="Q1628">
        <v>15</v>
      </c>
    </row>
    <row r="1629" spans="1:17" x14ac:dyDescent="0.25">
      <c r="A1629" s="1">
        <v>43557</v>
      </c>
      <c r="B1629">
        <v>10.808999999999999</v>
      </c>
      <c r="C1629">
        <v>243</v>
      </c>
      <c r="D1629">
        <v>3.3820000000000001</v>
      </c>
      <c r="E1629" t="e">
        <v>#N/A</v>
      </c>
      <c r="F1629">
        <v>6.1340000000000003</v>
      </c>
      <c r="G1629">
        <v>2.2290000000000001</v>
      </c>
      <c r="H1629" s="15">
        <v>2.35</v>
      </c>
      <c r="I1629">
        <v>43.813000000000002</v>
      </c>
      <c r="J1629">
        <v>34.655999999999999</v>
      </c>
      <c r="K1629">
        <v>11.606</v>
      </c>
      <c r="L1629">
        <v>1.76</v>
      </c>
      <c r="M1629">
        <v>3.62</v>
      </c>
      <c r="N1629">
        <v>0.16800000000000001</v>
      </c>
      <c r="O1629">
        <v>2.6829999999999998</v>
      </c>
      <c r="P1629">
        <v>0.61</v>
      </c>
      <c r="Q1629">
        <v>14</v>
      </c>
    </row>
    <row r="1630" spans="1:17" x14ac:dyDescent="0.25">
      <c r="A1630" s="1">
        <v>43558</v>
      </c>
      <c r="B1630">
        <v>10.907</v>
      </c>
      <c r="C1630">
        <v>243.39</v>
      </c>
      <c r="D1630">
        <v>3.4260000000000002</v>
      </c>
      <c r="E1630">
        <v>16.649999999999999</v>
      </c>
      <c r="F1630">
        <v>6.1529999999999996</v>
      </c>
      <c r="G1630">
        <v>2.2559999999999998</v>
      </c>
      <c r="H1630" s="15">
        <v>2.35</v>
      </c>
      <c r="I1630">
        <v>43.823</v>
      </c>
      <c r="J1630">
        <v>34.704000000000001</v>
      </c>
      <c r="K1630">
        <v>11.510999999999999</v>
      </c>
      <c r="L1630">
        <v>1.76</v>
      </c>
      <c r="M1630">
        <v>3.68</v>
      </c>
      <c r="N1630">
        <v>0.16700000000000001</v>
      </c>
      <c r="O1630">
        <v>2.6829999999999998</v>
      </c>
      <c r="P1630">
        <v>0.63</v>
      </c>
      <c r="Q1630">
        <v>15</v>
      </c>
    </row>
    <row r="1631" spans="1:17" x14ac:dyDescent="0.25">
      <c r="A1631" s="1">
        <v>43559</v>
      </c>
      <c r="B1631">
        <v>10.956</v>
      </c>
      <c r="C1631">
        <v>243.73</v>
      </c>
      <c r="D1631">
        <v>3.5139999999999998</v>
      </c>
      <c r="E1631">
        <v>17.16</v>
      </c>
      <c r="F1631">
        <v>6.1909999999999998</v>
      </c>
      <c r="G1631">
        <v>2.274</v>
      </c>
      <c r="H1631" s="15">
        <v>2.2999999999999998</v>
      </c>
      <c r="I1631">
        <v>44.293999999999997</v>
      </c>
      <c r="J1631">
        <v>34.704000000000001</v>
      </c>
      <c r="K1631">
        <v>11.510999999999999</v>
      </c>
      <c r="L1631">
        <v>1.76</v>
      </c>
      <c r="M1631">
        <v>3.75</v>
      </c>
      <c r="N1631">
        <v>0.16300000000000001</v>
      </c>
      <c r="O1631">
        <v>2.653</v>
      </c>
      <c r="P1631">
        <v>0.62</v>
      </c>
      <c r="Q1631">
        <v>15</v>
      </c>
    </row>
    <row r="1632" spans="1:17" x14ac:dyDescent="0.25">
      <c r="A1632" s="1">
        <v>43560</v>
      </c>
      <c r="B1632">
        <v>10.907</v>
      </c>
      <c r="C1632">
        <v>239.09</v>
      </c>
      <c r="D1632">
        <v>3.6019999999999999</v>
      </c>
      <c r="E1632">
        <v>17.16</v>
      </c>
      <c r="F1632">
        <v>6.3230000000000004</v>
      </c>
      <c r="G1632">
        <v>2.2829999999999999</v>
      </c>
      <c r="H1632" s="15">
        <v>2.38</v>
      </c>
      <c r="I1632">
        <v>44.054000000000002</v>
      </c>
      <c r="J1632">
        <v>34.558999999999997</v>
      </c>
      <c r="K1632">
        <v>11.510999999999999</v>
      </c>
      <c r="L1632">
        <v>1.79</v>
      </c>
      <c r="M1632">
        <v>3.72</v>
      </c>
      <c r="N1632">
        <v>0.16500000000000001</v>
      </c>
      <c r="O1632">
        <v>2.653</v>
      </c>
      <c r="P1632">
        <v>0.62</v>
      </c>
      <c r="Q1632">
        <v>15</v>
      </c>
    </row>
    <row r="1633" spans="1:17" x14ac:dyDescent="0.25">
      <c r="A1633" s="1">
        <v>43563</v>
      </c>
      <c r="B1633">
        <v>10.858000000000001</v>
      </c>
      <c r="C1633">
        <v>238.95</v>
      </c>
      <c r="D1633">
        <v>3.6280000000000001</v>
      </c>
      <c r="E1633">
        <v>17.45</v>
      </c>
      <c r="F1633">
        <v>6.2</v>
      </c>
      <c r="G1633">
        <v>2.2650000000000001</v>
      </c>
      <c r="H1633" s="15">
        <v>2.4</v>
      </c>
      <c r="I1633">
        <v>44.293999999999997</v>
      </c>
      <c r="J1633">
        <v>34.743000000000002</v>
      </c>
      <c r="K1633">
        <v>11.510999999999999</v>
      </c>
      <c r="L1633" t="e">
        <v>#N/A</v>
      </c>
      <c r="M1633">
        <v>3.72</v>
      </c>
      <c r="N1633">
        <v>0.16800000000000001</v>
      </c>
      <c r="O1633">
        <v>2.653</v>
      </c>
      <c r="P1633">
        <v>0.61</v>
      </c>
      <c r="Q1633">
        <v>14</v>
      </c>
    </row>
    <row r="1634" spans="1:17" x14ac:dyDescent="0.25">
      <c r="A1634" s="1">
        <v>43564</v>
      </c>
      <c r="B1634">
        <v>10.808999999999999</v>
      </c>
      <c r="C1634">
        <v>234.25</v>
      </c>
      <c r="D1634">
        <v>3.6019999999999999</v>
      </c>
      <c r="E1634">
        <v>17.41</v>
      </c>
      <c r="F1634">
        <v>6.2190000000000003</v>
      </c>
      <c r="G1634">
        <v>2.2469999999999999</v>
      </c>
      <c r="H1634" s="15">
        <v>2.4</v>
      </c>
      <c r="I1634">
        <v>44.054000000000002</v>
      </c>
      <c r="J1634">
        <v>34.743000000000002</v>
      </c>
      <c r="K1634">
        <v>11.323</v>
      </c>
      <c r="L1634">
        <v>1.79</v>
      </c>
      <c r="M1634">
        <v>3.7</v>
      </c>
      <c r="N1634">
        <v>0.16700000000000001</v>
      </c>
      <c r="O1634" t="e">
        <v>#N/A</v>
      </c>
      <c r="P1634">
        <v>0.61</v>
      </c>
      <c r="Q1634">
        <v>14</v>
      </c>
    </row>
    <row r="1635" spans="1:17" x14ac:dyDescent="0.25">
      <c r="A1635" s="1">
        <v>43565</v>
      </c>
      <c r="B1635">
        <v>10.808999999999999</v>
      </c>
      <c r="C1635">
        <v>235.71</v>
      </c>
      <c r="D1635">
        <v>3.6019999999999999</v>
      </c>
      <c r="E1635">
        <v>17.45</v>
      </c>
      <c r="F1635">
        <v>6.1630000000000003</v>
      </c>
      <c r="G1635">
        <v>2.2469999999999999</v>
      </c>
      <c r="H1635" s="15">
        <v>2.34</v>
      </c>
      <c r="I1635">
        <v>44.054000000000002</v>
      </c>
      <c r="J1635">
        <v>34.947000000000003</v>
      </c>
      <c r="K1635">
        <v>11.323</v>
      </c>
      <c r="L1635">
        <v>1.75</v>
      </c>
      <c r="M1635">
        <v>3.73</v>
      </c>
      <c r="N1635">
        <v>0.16400000000000001</v>
      </c>
      <c r="O1635">
        <v>2.6339999999999999</v>
      </c>
      <c r="P1635">
        <v>0.6</v>
      </c>
      <c r="Q1635">
        <v>15</v>
      </c>
    </row>
    <row r="1636" spans="1:17" x14ac:dyDescent="0.25">
      <c r="A1636" s="1">
        <v>43566</v>
      </c>
      <c r="B1636">
        <v>10.808999999999999</v>
      </c>
      <c r="C1636">
        <v>234.59</v>
      </c>
      <c r="D1636">
        <v>3.593</v>
      </c>
      <c r="E1636">
        <v>16.5</v>
      </c>
      <c r="F1636">
        <v>6.1340000000000003</v>
      </c>
      <c r="G1636">
        <v>2.2650000000000001</v>
      </c>
      <c r="H1636" s="15">
        <v>2.2999999999999998</v>
      </c>
      <c r="I1636">
        <v>44.293999999999997</v>
      </c>
      <c r="J1636">
        <v>34.947000000000003</v>
      </c>
      <c r="K1636">
        <v>11.323</v>
      </c>
      <c r="L1636">
        <v>1.73</v>
      </c>
      <c r="M1636">
        <v>3.72</v>
      </c>
      <c r="N1636">
        <v>0.16400000000000001</v>
      </c>
      <c r="O1636">
        <v>2.6139999999999999</v>
      </c>
      <c r="P1636">
        <v>0.6</v>
      </c>
      <c r="Q1636">
        <v>15</v>
      </c>
    </row>
    <row r="1637" spans="1:17" x14ac:dyDescent="0.25">
      <c r="A1637" s="1">
        <v>43567</v>
      </c>
      <c r="B1637">
        <v>10.858000000000001</v>
      </c>
      <c r="C1637">
        <v>235.26</v>
      </c>
      <c r="D1637">
        <v>3.585</v>
      </c>
      <c r="E1637">
        <v>16.399999999999999</v>
      </c>
      <c r="F1637">
        <v>6.1340000000000003</v>
      </c>
      <c r="G1637">
        <v>2.274</v>
      </c>
      <c r="H1637" s="15">
        <v>2.2000000000000002</v>
      </c>
      <c r="I1637">
        <v>44.293999999999997</v>
      </c>
      <c r="J1637">
        <v>35.228000000000002</v>
      </c>
      <c r="K1637">
        <v>11.323</v>
      </c>
      <c r="L1637">
        <v>1.79</v>
      </c>
      <c r="M1637">
        <v>3.72</v>
      </c>
      <c r="N1637">
        <v>0.16</v>
      </c>
      <c r="O1637" t="e">
        <v>#N/A</v>
      </c>
      <c r="P1637">
        <v>0.6</v>
      </c>
      <c r="Q1637">
        <v>14</v>
      </c>
    </row>
    <row r="1638" spans="1:17" x14ac:dyDescent="0.25">
      <c r="A1638" s="1">
        <v>43570</v>
      </c>
      <c r="B1638">
        <v>10.808999999999999</v>
      </c>
      <c r="C1638">
        <v>233.15</v>
      </c>
      <c r="D1638">
        <v>3.5579999999999998</v>
      </c>
      <c r="E1638">
        <v>16.48</v>
      </c>
      <c r="F1638">
        <v>6.1059999999999999</v>
      </c>
      <c r="G1638">
        <v>2.2970000000000002</v>
      </c>
      <c r="H1638" s="15" t="e">
        <v>#N/A</v>
      </c>
      <c r="I1638">
        <v>44.293999999999997</v>
      </c>
      <c r="J1638">
        <v>34.947000000000003</v>
      </c>
      <c r="K1638">
        <v>11.323</v>
      </c>
      <c r="L1638" t="e">
        <v>#N/A</v>
      </c>
      <c r="M1638">
        <v>3.75</v>
      </c>
      <c r="N1638">
        <v>0.159</v>
      </c>
      <c r="O1638">
        <v>2.5840000000000001</v>
      </c>
      <c r="P1638">
        <v>0.6</v>
      </c>
      <c r="Q1638">
        <v>13</v>
      </c>
    </row>
    <row r="1639" spans="1:17" x14ac:dyDescent="0.25">
      <c r="A1639" s="1">
        <v>43571</v>
      </c>
      <c r="B1639">
        <v>10.808999999999999</v>
      </c>
      <c r="C1639">
        <v>234.45</v>
      </c>
      <c r="D1639">
        <v>3.5209999999999999</v>
      </c>
      <c r="E1639">
        <v>16.73</v>
      </c>
      <c r="F1639">
        <v>6.1340000000000003</v>
      </c>
      <c r="G1639">
        <v>2.3069999999999999</v>
      </c>
      <c r="H1639" s="15">
        <v>2.2599999999999998</v>
      </c>
      <c r="I1639">
        <v>44.293999999999997</v>
      </c>
      <c r="J1639">
        <v>35.432000000000002</v>
      </c>
      <c r="K1639">
        <v>11.323</v>
      </c>
      <c r="L1639">
        <v>1.75</v>
      </c>
      <c r="M1639">
        <v>3.72</v>
      </c>
      <c r="N1639">
        <v>0.159</v>
      </c>
      <c r="O1639" t="e">
        <v>#N/A</v>
      </c>
      <c r="P1639">
        <v>0.59</v>
      </c>
      <c r="Q1639">
        <v>14</v>
      </c>
    </row>
    <row r="1640" spans="1:17" x14ac:dyDescent="0.25">
      <c r="A1640" s="1">
        <v>43572</v>
      </c>
      <c r="B1640">
        <v>10.76</v>
      </c>
      <c r="C1640">
        <v>231.73</v>
      </c>
      <c r="D1640">
        <v>3.5579999999999998</v>
      </c>
      <c r="E1640">
        <v>15.93</v>
      </c>
      <c r="F1640">
        <v>6.1529999999999996</v>
      </c>
      <c r="G1640">
        <v>2.2970000000000002</v>
      </c>
      <c r="H1640" s="15">
        <v>2.2000000000000002</v>
      </c>
      <c r="I1640">
        <v>44.284999999999997</v>
      </c>
      <c r="J1640">
        <v>35.432000000000002</v>
      </c>
      <c r="K1640">
        <v>11.342000000000001</v>
      </c>
      <c r="L1640">
        <v>1.74</v>
      </c>
      <c r="M1640">
        <v>3.7</v>
      </c>
      <c r="N1640">
        <v>0.155</v>
      </c>
      <c r="O1640" t="e">
        <v>#N/A</v>
      </c>
      <c r="P1640">
        <v>0.57999999999999996</v>
      </c>
      <c r="Q1640">
        <v>14</v>
      </c>
    </row>
    <row r="1641" spans="1:17" x14ac:dyDescent="0.25">
      <c r="A1641" s="1">
        <v>43577</v>
      </c>
      <c r="B1641">
        <v>10.808999999999999</v>
      </c>
      <c r="C1641">
        <v>232.2</v>
      </c>
      <c r="D1641">
        <v>3.5579999999999998</v>
      </c>
      <c r="E1641">
        <v>15.61</v>
      </c>
      <c r="F1641" t="e">
        <v>#N/A</v>
      </c>
      <c r="G1641">
        <v>2.278</v>
      </c>
      <c r="H1641" s="15">
        <v>2.2400000000000002</v>
      </c>
      <c r="I1641">
        <v>45.45</v>
      </c>
      <c r="J1641">
        <v>35.723999999999997</v>
      </c>
      <c r="K1641">
        <v>11.342000000000001</v>
      </c>
      <c r="L1641" t="e">
        <v>#N/A</v>
      </c>
      <c r="M1641">
        <v>3.68</v>
      </c>
      <c r="N1641">
        <v>0.155</v>
      </c>
      <c r="O1641" t="e">
        <v>#N/A</v>
      </c>
      <c r="P1641">
        <v>0.57999999999999996</v>
      </c>
      <c r="Q1641">
        <v>12</v>
      </c>
    </row>
    <row r="1642" spans="1:17" x14ac:dyDescent="0.25">
      <c r="A1642" s="1">
        <v>43578</v>
      </c>
      <c r="B1642">
        <v>10.76</v>
      </c>
      <c r="C1642">
        <v>235</v>
      </c>
      <c r="D1642">
        <v>3.5390000000000001</v>
      </c>
      <c r="E1642">
        <v>15.37</v>
      </c>
      <c r="F1642">
        <v>6.1529999999999996</v>
      </c>
      <c r="G1642">
        <v>2.2690000000000001</v>
      </c>
      <c r="H1642" s="15">
        <v>2.2999999999999998</v>
      </c>
      <c r="I1642">
        <v>46</v>
      </c>
      <c r="J1642">
        <v>35.432000000000002</v>
      </c>
      <c r="K1642">
        <v>11.342000000000001</v>
      </c>
      <c r="L1642">
        <v>1.7</v>
      </c>
      <c r="M1642">
        <v>3.67</v>
      </c>
      <c r="N1642">
        <v>0.157</v>
      </c>
      <c r="O1642">
        <v>2.5059999999999998</v>
      </c>
      <c r="P1642">
        <v>0.56999999999999995</v>
      </c>
      <c r="Q1642">
        <v>15</v>
      </c>
    </row>
    <row r="1643" spans="1:17" x14ac:dyDescent="0.25">
      <c r="A1643" s="1">
        <v>43579</v>
      </c>
      <c r="B1643">
        <v>10.71</v>
      </c>
      <c r="C1643">
        <v>233</v>
      </c>
      <c r="D1643">
        <v>3.4660000000000002</v>
      </c>
      <c r="E1643">
        <v>15.5</v>
      </c>
      <c r="F1643">
        <v>6.1340000000000003</v>
      </c>
      <c r="G1643">
        <v>2.2589999999999999</v>
      </c>
      <c r="H1643" s="15">
        <v>2.2000000000000002</v>
      </c>
      <c r="I1643">
        <v>44.1</v>
      </c>
      <c r="J1643">
        <v>36.015000000000001</v>
      </c>
      <c r="K1643">
        <v>11.342000000000001</v>
      </c>
      <c r="L1643">
        <v>1.69</v>
      </c>
      <c r="M1643">
        <v>3.66</v>
      </c>
      <c r="N1643">
        <v>0.153</v>
      </c>
      <c r="O1643">
        <v>2.4569999999999999</v>
      </c>
      <c r="P1643">
        <v>0.55000000000000004</v>
      </c>
      <c r="Q1643">
        <v>15</v>
      </c>
    </row>
    <row r="1644" spans="1:17" x14ac:dyDescent="0.25">
      <c r="A1644" s="1">
        <v>43580</v>
      </c>
      <c r="B1644">
        <v>10.7</v>
      </c>
      <c r="C1644">
        <v>234</v>
      </c>
      <c r="D1644">
        <v>3.5209999999999999</v>
      </c>
      <c r="E1644">
        <v>15.4</v>
      </c>
      <c r="F1644">
        <v>6.1340000000000003</v>
      </c>
      <c r="G1644">
        <v>2.2589999999999999</v>
      </c>
      <c r="H1644" s="15">
        <v>2.2000000000000002</v>
      </c>
      <c r="I1644">
        <v>44.25</v>
      </c>
      <c r="J1644">
        <v>36.694000000000003</v>
      </c>
      <c r="K1644">
        <v>11.532</v>
      </c>
      <c r="L1644">
        <v>1.65</v>
      </c>
      <c r="M1644">
        <v>3.63</v>
      </c>
      <c r="N1644">
        <v>0.152</v>
      </c>
      <c r="O1644">
        <v>2.4670000000000001</v>
      </c>
      <c r="P1644">
        <v>0.53</v>
      </c>
      <c r="Q1644">
        <v>15</v>
      </c>
    </row>
    <row r="1645" spans="1:17" x14ac:dyDescent="0.25">
      <c r="A1645" s="1">
        <v>43581</v>
      </c>
      <c r="B1645">
        <v>10.7</v>
      </c>
      <c r="C1645">
        <v>236</v>
      </c>
      <c r="D1645">
        <v>3.5579999999999998</v>
      </c>
      <c r="E1645">
        <v>15.88</v>
      </c>
      <c r="F1645">
        <v>6.0869999999999997</v>
      </c>
      <c r="G1645">
        <v>2.278</v>
      </c>
      <c r="H1645" s="15">
        <v>2.2000000000000002</v>
      </c>
      <c r="I1645">
        <v>45.45</v>
      </c>
      <c r="J1645">
        <v>37.082999999999998</v>
      </c>
      <c r="K1645">
        <v>11.436999999999999</v>
      </c>
      <c r="L1645">
        <v>1.7</v>
      </c>
      <c r="M1645">
        <v>3.58</v>
      </c>
      <c r="N1645">
        <v>0.155</v>
      </c>
      <c r="O1645">
        <v>2.4079999999999999</v>
      </c>
      <c r="P1645">
        <v>0.55000000000000004</v>
      </c>
      <c r="Q1645">
        <v>15</v>
      </c>
    </row>
    <row r="1646" spans="1:17" x14ac:dyDescent="0.25">
      <c r="A1646" s="1">
        <v>43584</v>
      </c>
      <c r="B1646">
        <v>10.65</v>
      </c>
      <c r="C1646">
        <v>236.38</v>
      </c>
      <c r="D1646">
        <v>3.5579999999999998</v>
      </c>
      <c r="E1646">
        <v>15.68</v>
      </c>
      <c r="F1646">
        <v>6.1150000000000002</v>
      </c>
      <c r="G1646">
        <v>2.278</v>
      </c>
      <c r="H1646" s="15">
        <v>2.2000000000000002</v>
      </c>
      <c r="I1646" t="e">
        <v>#N/A</v>
      </c>
      <c r="J1646">
        <v>37.616</v>
      </c>
      <c r="K1646">
        <v>11.436999999999999</v>
      </c>
      <c r="L1646">
        <v>1.66</v>
      </c>
      <c r="M1646">
        <v>3.61</v>
      </c>
      <c r="N1646">
        <v>0.157</v>
      </c>
      <c r="O1646">
        <v>2.4079999999999999</v>
      </c>
      <c r="P1646">
        <v>0.55000000000000004</v>
      </c>
      <c r="Q1646">
        <v>14</v>
      </c>
    </row>
    <row r="1647" spans="1:17" x14ac:dyDescent="0.25">
      <c r="A1647" s="1">
        <v>43585</v>
      </c>
      <c r="B1647">
        <v>10.7</v>
      </c>
      <c r="C1647">
        <v>237.15</v>
      </c>
      <c r="D1647">
        <v>3.4849999999999999</v>
      </c>
      <c r="E1647">
        <v>16.190000000000001</v>
      </c>
      <c r="F1647">
        <v>6.04</v>
      </c>
      <c r="G1647">
        <v>2.335</v>
      </c>
      <c r="H1647" s="15">
        <v>2.2000000000000002</v>
      </c>
      <c r="I1647">
        <v>44.1</v>
      </c>
      <c r="J1647">
        <v>37.859000000000002</v>
      </c>
      <c r="K1647">
        <v>11.294</v>
      </c>
      <c r="L1647">
        <v>1.66</v>
      </c>
      <c r="M1647">
        <v>3.61</v>
      </c>
      <c r="N1647">
        <v>0.154</v>
      </c>
      <c r="O1647">
        <v>2.4569999999999999</v>
      </c>
      <c r="P1647">
        <v>0.55000000000000004</v>
      </c>
      <c r="Q1647">
        <v>15</v>
      </c>
    </row>
    <row r="1648" spans="1:17" x14ac:dyDescent="0.25">
      <c r="A1648" s="1">
        <v>43587</v>
      </c>
      <c r="B1648">
        <v>10.7</v>
      </c>
      <c r="C1648">
        <v>237.05</v>
      </c>
      <c r="D1648">
        <v>3.4940000000000002</v>
      </c>
      <c r="E1648">
        <v>15.3</v>
      </c>
      <c r="F1648">
        <v>5.8979999999999997</v>
      </c>
      <c r="G1648">
        <v>2.3260000000000001</v>
      </c>
      <c r="H1648" s="15">
        <v>2.2599999999999998</v>
      </c>
      <c r="I1648">
        <v>44</v>
      </c>
      <c r="J1648">
        <v>37.859000000000002</v>
      </c>
      <c r="K1648">
        <v>11.332000000000001</v>
      </c>
      <c r="L1648">
        <v>1.65</v>
      </c>
      <c r="M1648">
        <v>3.58</v>
      </c>
      <c r="N1648">
        <v>0.151</v>
      </c>
      <c r="O1648">
        <v>2.4569999999999999</v>
      </c>
      <c r="P1648">
        <v>0.54</v>
      </c>
      <c r="Q1648">
        <v>15</v>
      </c>
    </row>
    <row r="1649" spans="1:17" x14ac:dyDescent="0.25">
      <c r="A1649" s="1">
        <v>43588</v>
      </c>
      <c r="B1649">
        <v>10.71</v>
      </c>
      <c r="C1649">
        <v>237.5</v>
      </c>
      <c r="D1649">
        <v>3.5209999999999999</v>
      </c>
      <c r="E1649">
        <v>15.55</v>
      </c>
      <c r="F1649">
        <v>5.7569999999999997</v>
      </c>
      <c r="G1649">
        <v>2.335</v>
      </c>
      <c r="H1649" s="15">
        <v>2.2999999999999998</v>
      </c>
      <c r="I1649">
        <v>44</v>
      </c>
      <c r="J1649">
        <v>37.83</v>
      </c>
      <c r="K1649">
        <v>11.332000000000001</v>
      </c>
      <c r="L1649">
        <v>1.65</v>
      </c>
      <c r="M1649" t="e">
        <v>#N/A</v>
      </c>
      <c r="N1649">
        <v>0.152</v>
      </c>
      <c r="O1649">
        <v>2.5550000000000002</v>
      </c>
      <c r="P1649">
        <v>0.54</v>
      </c>
      <c r="Q1649">
        <v>14</v>
      </c>
    </row>
    <row r="1650" spans="1:17" x14ac:dyDescent="0.25">
      <c r="A1650" s="1">
        <v>43591</v>
      </c>
      <c r="B1650">
        <v>10.71</v>
      </c>
      <c r="C1650">
        <v>237.8</v>
      </c>
      <c r="D1650">
        <v>3.5579999999999998</v>
      </c>
      <c r="E1650">
        <v>15.6</v>
      </c>
      <c r="F1650">
        <v>5.766</v>
      </c>
      <c r="G1650">
        <v>2.3540000000000001</v>
      </c>
      <c r="H1650" s="15" t="e">
        <v>#N/A</v>
      </c>
      <c r="I1650">
        <v>44.12</v>
      </c>
      <c r="J1650">
        <v>37.470999999999997</v>
      </c>
      <c r="K1650">
        <v>11.351000000000001</v>
      </c>
      <c r="L1650">
        <v>1.64</v>
      </c>
      <c r="M1650" t="e">
        <v>#N/A</v>
      </c>
      <c r="N1650">
        <v>0.15</v>
      </c>
      <c r="O1650">
        <v>2.5550000000000002</v>
      </c>
      <c r="P1650">
        <v>0.54</v>
      </c>
      <c r="Q1650">
        <v>13</v>
      </c>
    </row>
    <row r="1651" spans="1:17" x14ac:dyDescent="0.25">
      <c r="A1651" s="1">
        <v>43592</v>
      </c>
      <c r="B1651">
        <v>10.75</v>
      </c>
      <c r="C1651">
        <v>233.85</v>
      </c>
      <c r="D1651">
        <v>3.5209999999999999</v>
      </c>
      <c r="E1651">
        <v>15.92</v>
      </c>
      <c r="F1651">
        <v>5.71</v>
      </c>
      <c r="G1651">
        <v>2.3450000000000002</v>
      </c>
      <c r="H1651" s="15">
        <v>2.2799999999999998</v>
      </c>
      <c r="I1651">
        <v>44.15</v>
      </c>
      <c r="J1651">
        <v>37.5</v>
      </c>
      <c r="K1651">
        <v>11.532</v>
      </c>
      <c r="L1651">
        <v>1.64</v>
      </c>
      <c r="M1651" t="e">
        <v>#N/A</v>
      </c>
      <c r="N1651">
        <v>0.14799999999999999</v>
      </c>
      <c r="O1651" t="e">
        <v>#N/A</v>
      </c>
      <c r="P1651">
        <v>0.55000000000000004</v>
      </c>
      <c r="Q1651">
        <v>13</v>
      </c>
    </row>
    <row r="1652" spans="1:17" x14ac:dyDescent="0.25">
      <c r="A1652" s="1">
        <v>43593</v>
      </c>
      <c r="B1652">
        <v>10.75</v>
      </c>
      <c r="C1652">
        <v>226.7</v>
      </c>
      <c r="D1652">
        <v>3.5209999999999999</v>
      </c>
      <c r="E1652">
        <v>15.45</v>
      </c>
      <c r="F1652">
        <v>5.6909999999999998</v>
      </c>
      <c r="G1652">
        <v>2.383</v>
      </c>
      <c r="H1652" s="15">
        <v>2.2799999999999998</v>
      </c>
      <c r="I1652">
        <v>45</v>
      </c>
      <c r="J1652">
        <v>37.1</v>
      </c>
      <c r="K1652">
        <v>11.532</v>
      </c>
      <c r="L1652">
        <v>1.6</v>
      </c>
      <c r="M1652">
        <v>3.55</v>
      </c>
      <c r="N1652">
        <v>0.14599999999999999</v>
      </c>
      <c r="O1652">
        <v>2.5550000000000002</v>
      </c>
      <c r="P1652">
        <v>0.54</v>
      </c>
      <c r="Q1652">
        <v>15</v>
      </c>
    </row>
    <row r="1653" spans="1:17" x14ac:dyDescent="0.25">
      <c r="A1653" s="1">
        <v>43594</v>
      </c>
      <c r="B1653">
        <v>10.75</v>
      </c>
      <c r="C1653">
        <v>224.65</v>
      </c>
      <c r="D1653">
        <v>3.4660000000000002</v>
      </c>
      <c r="E1653">
        <v>15.22</v>
      </c>
      <c r="F1653">
        <v>5.7380000000000004</v>
      </c>
      <c r="G1653">
        <v>2.3540000000000001</v>
      </c>
      <c r="H1653" s="15">
        <v>2.1</v>
      </c>
      <c r="I1653">
        <v>44.75</v>
      </c>
      <c r="J1653">
        <v>37.1</v>
      </c>
      <c r="K1653">
        <v>11.436999999999999</v>
      </c>
      <c r="L1653" t="e">
        <v>#N/A</v>
      </c>
      <c r="M1653">
        <v>3.55</v>
      </c>
      <c r="N1653">
        <v>0.14499999999999999</v>
      </c>
      <c r="O1653">
        <v>2.5550000000000002</v>
      </c>
      <c r="P1653">
        <v>0.53</v>
      </c>
      <c r="Q1653">
        <v>14</v>
      </c>
    </row>
    <row r="1654" spans="1:17" x14ac:dyDescent="0.25">
      <c r="A1654" s="1">
        <v>43595</v>
      </c>
      <c r="B1654">
        <v>10.85</v>
      </c>
      <c r="C1654">
        <v>223.1</v>
      </c>
      <c r="D1654">
        <v>3.4660000000000002</v>
      </c>
      <c r="E1654">
        <v>15.05</v>
      </c>
      <c r="F1654">
        <v>5.7</v>
      </c>
      <c r="G1654">
        <v>2.3639999999999999</v>
      </c>
      <c r="H1654" s="15">
        <v>2.1</v>
      </c>
      <c r="I1654">
        <v>44.12</v>
      </c>
      <c r="J1654">
        <v>37.1</v>
      </c>
      <c r="K1654" t="e">
        <v>#N/A</v>
      </c>
      <c r="L1654">
        <v>1.6</v>
      </c>
      <c r="M1654" t="e">
        <v>#N/A</v>
      </c>
      <c r="N1654">
        <v>0.14399999999999999</v>
      </c>
      <c r="O1654" t="e">
        <v>#N/A</v>
      </c>
      <c r="P1654">
        <v>0.51</v>
      </c>
      <c r="Q1654">
        <v>12</v>
      </c>
    </row>
    <row r="1655" spans="1:17" x14ac:dyDescent="0.25">
      <c r="A1655" s="1">
        <v>43598</v>
      </c>
      <c r="B1655">
        <v>10.8</v>
      </c>
      <c r="C1655">
        <v>216.11</v>
      </c>
      <c r="D1655">
        <v>3.4569999999999999</v>
      </c>
      <c r="E1655">
        <v>15.4</v>
      </c>
      <c r="F1655">
        <v>5.6340000000000003</v>
      </c>
      <c r="G1655">
        <v>2.3450000000000002</v>
      </c>
      <c r="H1655" s="15">
        <v>2.1</v>
      </c>
      <c r="I1655">
        <v>44</v>
      </c>
      <c r="J1655">
        <v>37</v>
      </c>
      <c r="K1655">
        <v>11.436999999999999</v>
      </c>
      <c r="L1655">
        <v>1.57</v>
      </c>
      <c r="M1655" t="e">
        <v>#N/A</v>
      </c>
      <c r="N1655">
        <v>0.14399999999999999</v>
      </c>
      <c r="O1655">
        <v>2.5550000000000002</v>
      </c>
      <c r="P1655">
        <v>0.49</v>
      </c>
      <c r="Q1655">
        <v>14</v>
      </c>
    </row>
    <row r="1656" spans="1:17" x14ac:dyDescent="0.25">
      <c r="A1656" s="1">
        <v>43599</v>
      </c>
      <c r="B1656">
        <v>10.8</v>
      </c>
      <c r="C1656">
        <v>219</v>
      </c>
      <c r="D1656">
        <v>3.375</v>
      </c>
      <c r="E1656">
        <v>15.5</v>
      </c>
      <c r="F1656">
        <v>5.6150000000000002</v>
      </c>
      <c r="G1656">
        <v>2.2970000000000002</v>
      </c>
      <c r="H1656" s="15">
        <v>2.0499999999999998</v>
      </c>
      <c r="I1656">
        <v>44.5</v>
      </c>
      <c r="J1656">
        <v>36.65</v>
      </c>
      <c r="K1656">
        <v>11.436999999999999</v>
      </c>
      <c r="L1656">
        <v>1.6</v>
      </c>
      <c r="M1656" t="e">
        <v>#N/A</v>
      </c>
      <c r="N1656">
        <v>0.13500000000000001</v>
      </c>
      <c r="O1656" t="e">
        <v>#N/A</v>
      </c>
      <c r="P1656">
        <v>0.48399999999999999</v>
      </c>
      <c r="Q1656">
        <v>13</v>
      </c>
    </row>
    <row r="1657" spans="1:17" x14ac:dyDescent="0.25">
      <c r="A1657" s="1">
        <v>43600</v>
      </c>
      <c r="B1657">
        <v>10.75</v>
      </c>
      <c r="C1657">
        <v>216.4</v>
      </c>
      <c r="D1657">
        <v>3.4209999999999998</v>
      </c>
      <c r="E1657">
        <v>15.73</v>
      </c>
      <c r="F1657">
        <v>5.6150000000000002</v>
      </c>
      <c r="G1657">
        <v>2.2690000000000001</v>
      </c>
      <c r="H1657" s="15">
        <v>2.04</v>
      </c>
      <c r="I1657">
        <v>44.85</v>
      </c>
      <c r="J1657">
        <v>37</v>
      </c>
      <c r="K1657">
        <v>11.436999999999999</v>
      </c>
      <c r="L1657">
        <v>1.6</v>
      </c>
      <c r="M1657">
        <v>3.53</v>
      </c>
      <c r="N1657">
        <v>0.13500000000000001</v>
      </c>
      <c r="O1657">
        <v>2.5350000000000001</v>
      </c>
      <c r="P1657">
        <v>0.51</v>
      </c>
      <c r="Q1657">
        <v>15</v>
      </c>
    </row>
    <row r="1658" spans="1:17" x14ac:dyDescent="0.25">
      <c r="A1658" s="1">
        <v>43601</v>
      </c>
      <c r="B1658">
        <v>10.7</v>
      </c>
      <c r="C1658">
        <v>217.5</v>
      </c>
      <c r="D1658">
        <v>3.375</v>
      </c>
      <c r="E1658">
        <v>15.18</v>
      </c>
      <c r="F1658">
        <v>5.6150000000000002</v>
      </c>
      <c r="G1658">
        <v>2.2879999999999998</v>
      </c>
      <c r="H1658" s="15">
        <v>2</v>
      </c>
      <c r="I1658">
        <v>46.01</v>
      </c>
      <c r="J1658">
        <v>36.950000000000003</v>
      </c>
      <c r="K1658">
        <v>11.436999999999999</v>
      </c>
      <c r="L1658">
        <v>1.65</v>
      </c>
      <c r="M1658">
        <v>3.53</v>
      </c>
      <c r="N1658">
        <v>0.13</v>
      </c>
      <c r="O1658">
        <v>2.5059999999999998</v>
      </c>
      <c r="P1658">
        <v>0.49</v>
      </c>
      <c r="Q1658">
        <v>15</v>
      </c>
    </row>
    <row r="1659" spans="1:17" x14ac:dyDescent="0.25">
      <c r="A1659" s="1">
        <v>43602</v>
      </c>
      <c r="B1659">
        <v>10.5</v>
      </c>
      <c r="C1659">
        <v>218.1</v>
      </c>
      <c r="D1659">
        <v>3.33</v>
      </c>
      <c r="E1659">
        <v>15.14</v>
      </c>
      <c r="F1659">
        <v>5.5209999999999999</v>
      </c>
      <c r="G1659">
        <v>2.2690000000000001</v>
      </c>
      <c r="H1659" s="15">
        <v>1.95</v>
      </c>
      <c r="I1659">
        <v>46.5</v>
      </c>
      <c r="J1659">
        <v>37</v>
      </c>
      <c r="K1659">
        <v>11.551</v>
      </c>
      <c r="L1659">
        <v>1.75</v>
      </c>
      <c r="M1659" t="e">
        <v>#N/A</v>
      </c>
      <c r="N1659">
        <v>0.13</v>
      </c>
      <c r="O1659">
        <v>2.4079999999999999</v>
      </c>
      <c r="P1659">
        <v>0.47499999999999998</v>
      </c>
      <c r="Q1659">
        <v>14</v>
      </c>
    </row>
    <row r="1660" spans="1:17" x14ac:dyDescent="0.25">
      <c r="A1660" s="1">
        <v>43605</v>
      </c>
      <c r="B1660">
        <v>10.54</v>
      </c>
      <c r="C1660">
        <v>219.84</v>
      </c>
      <c r="D1660">
        <v>3.2839999999999998</v>
      </c>
      <c r="E1660">
        <v>15.24</v>
      </c>
      <c r="F1660">
        <v>5.37</v>
      </c>
      <c r="G1660">
        <v>2.2400000000000002</v>
      </c>
      <c r="H1660" s="15">
        <v>1.95</v>
      </c>
      <c r="I1660">
        <v>46.4</v>
      </c>
      <c r="J1660">
        <v>37.01</v>
      </c>
      <c r="K1660">
        <v>11.504</v>
      </c>
      <c r="L1660">
        <v>1.73</v>
      </c>
      <c r="M1660" t="e">
        <v>#N/A</v>
      </c>
      <c r="N1660">
        <v>0.13</v>
      </c>
      <c r="O1660">
        <v>2.4700000000000002</v>
      </c>
      <c r="P1660">
        <v>0.45200000000000001</v>
      </c>
      <c r="Q1660">
        <v>14</v>
      </c>
    </row>
    <row r="1661" spans="1:17" x14ac:dyDescent="0.25">
      <c r="A1661" s="1">
        <v>43606</v>
      </c>
      <c r="B1661">
        <v>10.55</v>
      </c>
      <c r="C1661">
        <v>223.31</v>
      </c>
      <c r="D1661">
        <v>3.3660000000000001</v>
      </c>
      <c r="E1661">
        <v>15.32</v>
      </c>
      <c r="F1661">
        <v>5.3319999999999999</v>
      </c>
      <c r="G1661">
        <v>2.2309999999999999</v>
      </c>
      <c r="H1661" s="15" t="e">
        <v>#N/A</v>
      </c>
      <c r="I1661">
        <v>46.4</v>
      </c>
      <c r="J1661">
        <v>37.5</v>
      </c>
      <c r="K1661">
        <v>11.551</v>
      </c>
      <c r="L1661">
        <v>1.73</v>
      </c>
      <c r="M1661">
        <v>3.4</v>
      </c>
      <c r="N1661">
        <v>0.128</v>
      </c>
      <c r="O1661" t="e">
        <v>#N/A</v>
      </c>
      <c r="P1661">
        <v>0.44500000000000001</v>
      </c>
      <c r="Q1661">
        <v>13</v>
      </c>
    </row>
    <row r="1662" spans="1:17" x14ac:dyDescent="0.25">
      <c r="A1662" s="1">
        <v>43607</v>
      </c>
      <c r="B1662">
        <v>10.5</v>
      </c>
      <c r="C1662">
        <v>225.9</v>
      </c>
      <c r="D1662">
        <v>3.3210000000000002</v>
      </c>
      <c r="E1662">
        <v>15</v>
      </c>
      <c r="F1662">
        <v>5.1429999999999998</v>
      </c>
      <c r="G1662">
        <v>2.2210000000000001</v>
      </c>
      <c r="H1662" s="15">
        <v>1.95</v>
      </c>
      <c r="I1662">
        <v>46.4</v>
      </c>
      <c r="J1662">
        <v>37</v>
      </c>
      <c r="K1662">
        <v>11.504</v>
      </c>
      <c r="L1662">
        <v>1.68</v>
      </c>
      <c r="M1662">
        <v>3.39</v>
      </c>
      <c r="N1662">
        <v>0.12</v>
      </c>
      <c r="O1662">
        <v>2.46</v>
      </c>
      <c r="P1662">
        <v>0.42</v>
      </c>
      <c r="Q1662">
        <v>15</v>
      </c>
    </row>
    <row r="1663" spans="1:17" x14ac:dyDescent="0.25">
      <c r="A1663" s="1">
        <v>43608</v>
      </c>
      <c r="B1663">
        <v>10.45</v>
      </c>
      <c r="C1663">
        <v>223.35</v>
      </c>
      <c r="D1663">
        <v>3.3570000000000002</v>
      </c>
      <c r="E1663">
        <v>14.33</v>
      </c>
      <c r="F1663">
        <v>5.1429999999999998</v>
      </c>
      <c r="G1663">
        <v>2.173</v>
      </c>
      <c r="H1663" s="15">
        <v>1.9</v>
      </c>
      <c r="I1663" t="e">
        <v>#N/A</v>
      </c>
      <c r="J1663">
        <v>37</v>
      </c>
      <c r="K1663">
        <v>11.504</v>
      </c>
      <c r="L1663" t="e">
        <v>#N/A</v>
      </c>
      <c r="M1663">
        <v>3.39</v>
      </c>
      <c r="N1663">
        <v>0.122</v>
      </c>
      <c r="O1663" t="e">
        <v>#N/A</v>
      </c>
      <c r="P1663">
        <v>0.41</v>
      </c>
      <c r="Q1663">
        <v>12</v>
      </c>
    </row>
    <row r="1664" spans="1:17" x14ac:dyDescent="0.25">
      <c r="A1664" s="1">
        <v>43609</v>
      </c>
      <c r="B1664">
        <v>10.45</v>
      </c>
      <c r="C1664">
        <v>221.3</v>
      </c>
      <c r="D1664">
        <v>3.339</v>
      </c>
      <c r="E1664">
        <v>14.65</v>
      </c>
      <c r="F1664">
        <v>5.1909999999999998</v>
      </c>
      <c r="G1664">
        <v>2.145</v>
      </c>
      <c r="H1664" s="15">
        <v>1.95</v>
      </c>
      <c r="I1664" t="e">
        <v>#N/A</v>
      </c>
      <c r="J1664">
        <v>37</v>
      </c>
      <c r="K1664">
        <v>11.504</v>
      </c>
      <c r="L1664">
        <v>1.66</v>
      </c>
      <c r="M1664" t="e">
        <v>#N/A</v>
      </c>
      <c r="N1664">
        <v>0.123</v>
      </c>
      <c r="O1664" t="e">
        <v>#N/A</v>
      </c>
      <c r="P1664">
        <v>0.44800000000000001</v>
      </c>
      <c r="Q1664">
        <v>12</v>
      </c>
    </row>
    <row r="1665" spans="1:17" x14ac:dyDescent="0.25">
      <c r="A1665" s="1">
        <v>43612</v>
      </c>
      <c r="B1665">
        <v>10.5</v>
      </c>
      <c r="C1665">
        <v>221</v>
      </c>
      <c r="D1665">
        <v>3.339</v>
      </c>
      <c r="E1665">
        <v>14.5</v>
      </c>
      <c r="F1665">
        <v>5.266</v>
      </c>
      <c r="G1665">
        <v>2.1070000000000002</v>
      </c>
      <c r="H1665" s="15">
        <v>1.95</v>
      </c>
      <c r="I1665" t="e">
        <v>#N/A</v>
      </c>
      <c r="J1665">
        <v>36.6</v>
      </c>
      <c r="K1665">
        <v>11.504</v>
      </c>
      <c r="L1665">
        <v>1.64</v>
      </c>
      <c r="M1665" t="e">
        <v>#N/A</v>
      </c>
      <c r="N1665">
        <v>0.123</v>
      </c>
      <c r="O1665">
        <v>2.4209999999999998</v>
      </c>
      <c r="P1665">
        <v>0.47</v>
      </c>
      <c r="Q1665">
        <v>13</v>
      </c>
    </row>
    <row r="1666" spans="1:17" x14ac:dyDescent="0.25">
      <c r="A1666" s="1">
        <v>43613</v>
      </c>
      <c r="B1666">
        <v>10.55</v>
      </c>
      <c r="C1666">
        <v>219.65</v>
      </c>
      <c r="D1666">
        <v>3.339</v>
      </c>
      <c r="E1666">
        <v>14.49</v>
      </c>
      <c r="F1666">
        <v>5.5679999999999996</v>
      </c>
      <c r="G1666">
        <v>2.1539999999999999</v>
      </c>
      <c r="H1666" s="15">
        <v>1.95</v>
      </c>
      <c r="I1666">
        <v>44.2</v>
      </c>
      <c r="J1666">
        <v>36.5</v>
      </c>
      <c r="K1666">
        <v>11.723000000000001</v>
      </c>
      <c r="L1666">
        <v>1.64</v>
      </c>
      <c r="M1666">
        <v>3.34</v>
      </c>
      <c r="N1666">
        <v>0.122</v>
      </c>
      <c r="O1666">
        <v>2.371</v>
      </c>
      <c r="P1666">
        <v>0.46500000000000002</v>
      </c>
      <c r="Q1666">
        <v>15</v>
      </c>
    </row>
    <row r="1667" spans="1:17" x14ac:dyDescent="0.25">
      <c r="A1667" s="1">
        <v>43614</v>
      </c>
      <c r="B1667">
        <v>10.61</v>
      </c>
      <c r="C1667">
        <v>219.28</v>
      </c>
      <c r="D1667">
        <v>3.339</v>
      </c>
      <c r="E1667">
        <v>14.26</v>
      </c>
      <c r="F1667">
        <v>5.5679999999999996</v>
      </c>
      <c r="G1667">
        <v>2.1070000000000002</v>
      </c>
      <c r="H1667" s="15">
        <v>2</v>
      </c>
      <c r="I1667">
        <v>44.2</v>
      </c>
      <c r="J1667">
        <v>36.5</v>
      </c>
      <c r="K1667">
        <v>11.723000000000001</v>
      </c>
      <c r="L1667">
        <v>1.64</v>
      </c>
      <c r="M1667" t="e">
        <v>#N/A</v>
      </c>
      <c r="N1667">
        <v>0.11899999999999999</v>
      </c>
      <c r="O1667">
        <v>2.4209999999999998</v>
      </c>
      <c r="P1667">
        <v>0.48199999999999998</v>
      </c>
      <c r="Q1667">
        <v>14</v>
      </c>
    </row>
    <row r="1668" spans="1:17" x14ac:dyDescent="0.25">
      <c r="A1668" s="1">
        <v>43615</v>
      </c>
      <c r="B1668">
        <v>10.61</v>
      </c>
      <c r="C1668">
        <v>221.8</v>
      </c>
      <c r="D1668">
        <v>3.3210000000000002</v>
      </c>
      <c r="E1668">
        <v>14.5</v>
      </c>
      <c r="F1668" t="e">
        <v>#N/A</v>
      </c>
      <c r="G1668">
        <v>2.0870000000000002</v>
      </c>
      <c r="H1668" s="15" t="e">
        <v>#N/A</v>
      </c>
      <c r="I1668">
        <v>44.2</v>
      </c>
      <c r="J1668">
        <v>36.700000000000003</v>
      </c>
      <c r="K1668">
        <v>11.771000000000001</v>
      </c>
      <c r="L1668">
        <v>1.55</v>
      </c>
      <c r="M1668" t="e">
        <v>#N/A</v>
      </c>
      <c r="N1668">
        <v>0.12</v>
      </c>
      <c r="O1668">
        <v>2.4500000000000002</v>
      </c>
      <c r="P1668">
        <v>0.498</v>
      </c>
      <c r="Q1668">
        <v>12</v>
      </c>
    </row>
    <row r="1669" spans="1:17" x14ac:dyDescent="0.25">
      <c r="A1669" s="1">
        <v>43616</v>
      </c>
      <c r="B1669">
        <v>10.64</v>
      </c>
      <c r="C1669">
        <v>224.25</v>
      </c>
      <c r="D1669">
        <v>3.3210000000000002</v>
      </c>
      <c r="E1669">
        <v>15.11</v>
      </c>
      <c r="F1669">
        <v>5.4930000000000003</v>
      </c>
      <c r="G1669">
        <v>2.0680000000000001</v>
      </c>
      <c r="H1669" s="15">
        <v>2</v>
      </c>
      <c r="I1669">
        <v>43.86</v>
      </c>
      <c r="J1669">
        <v>36.15</v>
      </c>
      <c r="K1669">
        <v>11.818</v>
      </c>
      <c r="L1669">
        <v>1.58</v>
      </c>
      <c r="M1669" t="e">
        <v>#N/A</v>
      </c>
      <c r="N1669">
        <v>0.115</v>
      </c>
      <c r="O1669">
        <v>2.4209999999999998</v>
      </c>
      <c r="P1669">
        <v>0.48</v>
      </c>
      <c r="Q1669">
        <v>14</v>
      </c>
    </row>
    <row r="1670" spans="1:17" x14ac:dyDescent="0.25">
      <c r="A1670" s="1">
        <v>43619</v>
      </c>
      <c r="B1670">
        <v>10.65</v>
      </c>
      <c r="C1670">
        <v>221.6</v>
      </c>
      <c r="D1670">
        <v>3.375</v>
      </c>
      <c r="E1670">
        <v>15.68</v>
      </c>
      <c r="F1670">
        <v>5.4740000000000002</v>
      </c>
      <c r="G1670">
        <v>2.0590000000000002</v>
      </c>
      <c r="H1670" s="15">
        <v>2.08</v>
      </c>
      <c r="I1670">
        <v>43.51</v>
      </c>
      <c r="J1670">
        <v>36.4</v>
      </c>
      <c r="K1670">
        <v>11.771000000000001</v>
      </c>
      <c r="L1670">
        <v>1.55</v>
      </c>
      <c r="M1670">
        <v>3.34</v>
      </c>
      <c r="N1670">
        <v>0.115</v>
      </c>
      <c r="O1670">
        <v>2.4500000000000002</v>
      </c>
      <c r="P1670">
        <v>0.46500000000000002</v>
      </c>
      <c r="Q1670">
        <v>15</v>
      </c>
    </row>
    <row r="1671" spans="1:17" x14ac:dyDescent="0.25">
      <c r="A1671" s="1">
        <v>43620</v>
      </c>
      <c r="B1671">
        <v>10.65</v>
      </c>
      <c r="C1671">
        <v>223.5</v>
      </c>
      <c r="D1671">
        <v>3.375</v>
      </c>
      <c r="E1671">
        <v>15.58</v>
      </c>
      <c r="F1671">
        <v>5.5209999999999999</v>
      </c>
      <c r="G1671">
        <v>2.109</v>
      </c>
      <c r="H1671" s="15">
        <v>2.15</v>
      </c>
      <c r="I1671" t="e">
        <v>#N/A</v>
      </c>
      <c r="J1671">
        <v>36.5</v>
      </c>
      <c r="K1671">
        <v>11.771000000000001</v>
      </c>
      <c r="L1671">
        <v>1.58</v>
      </c>
      <c r="M1671" t="e">
        <v>#N/A</v>
      </c>
      <c r="N1671">
        <v>0.11700000000000001</v>
      </c>
      <c r="O1671" t="e">
        <v>#N/A</v>
      </c>
      <c r="P1671">
        <v>0.46500000000000002</v>
      </c>
      <c r="Q1671">
        <v>12</v>
      </c>
    </row>
    <row r="1672" spans="1:17" x14ac:dyDescent="0.25">
      <c r="A1672" s="1">
        <v>43621</v>
      </c>
      <c r="B1672">
        <v>10.6</v>
      </c>
      <c r="C1672" t="e">
        <v>#N/A</v>
      </c>
      <c r="D1672">
        <v>3.375</v>
      </c>
      <c r="E1672">
        <v>15.84</v>
      </c>
      <c r="F1672" t="e">
        <v>#N/A</v>
      </c>
      <c r="G1672">
        <v>2.1280000000000001</v>
      </c>
      <c r="H1672" s="15" t="e">
        <v>#N/A</v>
      </c>
      <c r="I1672">
        <v>43.51</v>
      </c>
      <c r="J1672">
        <v>36.5</v>
      </c>
      <c r="K1672">
        <v>11.771000000000001</v>
      </c>
      <c r="L1672" t="e">
        <v>#N/A</v>
      </c>
      <c r="M1672" t="e">
        <v>#N/A</v>
      </c>
      <c r="N1672">
        <v>0.11700000000000001</v>
      </c>
      <c r="O1672">
        <v>2.4209999999999998</v>
      </c>
      <c r="P1672">
        <v>0.49299999999999999</v>
      </c>
      <c r="Q1672">
        <v>10</v>
      </c>
    </row>
    <row r="1673" spans="1:17" x14ac:dyDescent="0.25">
      <c r="A1673" s="1">
        <v>43622</v>
      </c>
      <c r="B1673">
        <v>10.55</v>
      </c>
      <c r="C1673">
        <v>224.6</v>
      </c>
      <c r="D1673">
        <v>3.375</v>
      </c>
      <c r="E1673">
        <v>15.85</v>
      </c>
      <c r="F1673">
        <v>5.4740000000000002</v>
      </c>
      <c r="G1673">
        <v>2.1480000000000001</v>
      </c>
      <c r="H1673" s="15">
        <v>2.2000000000000002</v>
      </c>
      <c r="I1673">
        <v>43.52</v>
      </c>
      <c r="J1673" t="e">
        <v>#N/A</v>
      </c>
      <c r="K1673">
        <v>11.79</v>
      </c>
      <c r="L1673" t="e">
        <v>#N/A</v>
      </c>
      <c r="M1673" t="e">
        <v>#N/A</v>
      </c>
      <c r="N1673">
        <v>0.11700000000000001</v>
      </c>
      <c r="O1673">
        <v>2.4009999999999998</v>
      </c>
      <c r="P1673">
        <v>0.52</v>
      </c>
      <c r="Q1673">
        <v>12</v>
      </c>
    </row>
    <row r="1674" spans="1:17" x14ac:dyDescent="0.25">
      <c r="A1674" s="1">
        <v>43623</v>
      </c>
      <c r="B1674">
        <v>10.55</v>
      </c>
      <c r="C1674">
        <v>228.7</v>
      </c>
      <c r="D1674">
        <v>3.375</v>
      </c>
      <c r="E1674">
        <v>15.8</v>
      </c>
      <c r="F1674">
        <v>5.4740000000000002</v>
      </c>
      <c r="G1674">
        <v>2.1480000000000001</v>
      </c>
      <c r="H1674" s="15">
        <v>2.15</v>
      </c>
      <c r="I1674">
        <v>43.87</v>
      </c>
      <c r="J1674">
        <v>37</v>
      </c>
      <c r="K1674">
        <v>11.79</v>
      </c>
      <c r="L1674">
        <v>1.65</v>
      </c>
      <c r="M1674">
        <v>3.3</v>
      </c>
      <c r="N1674">
        <v>0.122</v>
      </c>
      <c r="O1674" t="e">
        <v>#N/A</v>
      </c>
      <c r="P1674">
        <v>0.55000000000000004</v>
      </c>
      <c r="Q1674">
        <v>14</v>
      </c>
    </row>
    <row r="1675" spans="1:17" x14ac:dyDescent="0.25">
      <c r="A1675" s="1">
        <v>43626</v>
      </c>
      <c r="B1675">
        <v>10.58</v>
      </c>
      <c r="C1675">
        <v>228.85</v>
      </c>
      <c r="D1675">
        <v>3.375</v>
      </c>
      <c r="E1675">
        <v>15.33</v>
      </c>
      <c r="F1675">
        <v>5.4269999999999996</v>
      </c>
      <c r="G1675">
        <v>2.1480000000000001</v>
      </c>
      <c r="H1675" s="15">
        <v>2.1</v>
      </c>
      <c r="I1675">
        <v>43.88</v>
      </c>
      <c r="J1675">
        <v>37.799999999999997</v>
      </c>
      <c r="K1675" t="e">
        <v>#N/A</v>
      </c>
      <c r="L1675">
        <v>1.68</v>
      </c>
      <c r="M1675" t="e">
        <v>#N/A</v>
      </c>
      <c r="N1675">
        <v>0.127</v>
      </c>
      <c r="O1675">
        <v>2.371</v>
      </c>
      <c r="P1675">
        <v>0.59</v>
      </c>
      <c r="Q1675">
        <v>13</v>
      </c>
    </row>
    <row r="1676" spans="1:17" x14ac:dyDescent="0.25">
      <c r="A1676" s="1">
        <v>43627</v>
      </c>
      <c r="B1676">
        <v>10.58</v>
      </c>
      <c r="C1676">
        <v>228</v>
      </c>
      <c r="D1676">
        <v>3.33</v>
      </c>
      <c r="E1676">
        <v>15.72</v>
      </c>
      <c r="F1676">
        <v>5.4269999999999996</v>
      </c>
      <c r="G1676">
        <v>2.1579999999999999</v>
      </c>
      <c r="H1676" s="15">
        <v>2.1</v>
      </c>
      <c r="I1676">
        <v>43.92</v>
      </c>
      <c r="J1676">
        <v>38</v>
      </c>
      <c r="K1676">
        <v>11.904</v>
      </c>
      <c r="L1676">
        <v>1.68</v>
      </c>
      <c r="M1676" t="e">
        <v>#N/A</v>
      </c>
      <c r="N1676">
        <v>0.127</v>
      </c>
      <c r="O1676">
        <v>2.3809999999999998</v>
      </c>
      <c r="P1676">
        <v>0.56999999999999995</v>
      </c>
      <c r="Q1676">
        <v>14</v>
      </c>
    </row>
    <row r="1677" spans="1:17" x14ac:dyDescent="0.25">
      <c r="A1677" s="1">
        <v>43628</v>
      </c>
      <c r="B1677">
        <v>10.57</v>
      </c>
      <c r="C1677">
        <v>226.99</v>
      </c>
      <c r="D1677">
        <v>3.375</v>
      </c>
      <c r="E1677">
        <v>15.72</v>
      </c>
      <c r="F1677">
        <v>5.3979999999999997</v>
      </c>
      <c r="G1677">
        <v>2.1480000000000001</v>
      </c>
      <c r="H1677" s="15">
        <v>2.16</v>
      </c>
      <c r="I1677">
        <v>45.1</v>
      </c>
      <c r="J1677">
        <v>37.799999999999997</v>
      </c>
      <c r="K1677">
        <v>11.914</v>
      </c>
      <c r="L1677" t="e">
        <v>#N/A</v>
      </c>
      <c r="M1677">
        <v>3.3</v>
      </c>
      <c r="N1677">
        <v>0.123</v>
      </c>
      <c r="O1677">
        <v>2.4209999999999998</v>
      </c>
      <c r="P1677">
        <v>0.56000000000000005</v>
      </c>
      <c r="Q1677">
        <v>14</v>
      </c>
    </row>
    <row r="1678" spans="1:17" x14ac:dyDescent="0.25">
      <c r="A1678" s="1">
        <v>43629</v>
      </c>
      <c r="B1678">
        <v>10.58</v>
      </c>
      <c r="C1678">
        <v>221.1</v>
      </c>
      <c r="D1678">
        <v>3.3929999999999998</v>
      </c>
      <c r="E1678">
        <v>15.7</v>
      </c>
      <c r="F1678" t="e">
        <v>#N/A</v>
      </c>
      <c r="G1678">
        <v>2.1480000000000001</v>
      </c>
      <c r="H1678" s="15">
        <v>2.0499999999999998</v>
      </c>
      <c r="I1678">
        <v>45.31</v>
      </c>
      <c r="J1678">
        <v>37.799999999999997</v>
      </c>
      <c r="K1678">
        <v>11.923</v>
      </c>
      <c r="L1678" t="e">
        <v>#N/A</v>
      </c>
      <c r="M1678" t="e">
        <v>#N/A</v>
      </c>
      <c r="N1678">
        <v>0.122</v>
      </c>
      <c r="O1678">
        <v>2.4209999999999998</v>
      </c>
      <c r="P1678">
        <v>0.56999999999999995</v>
      </c>
      <c r="Q1678">
        <v>12</v>
      </c>
    </row>
    <row r="1679" spans="1:17" x14ac:dyDescent="0.25">
      <c r="A1679" s="1">
        <v>43630</v>
      </c>
      <c r="B1679">
        <v>10.59</v>
      </c>
      <c r="C1679">
        <v>220.8</v>
      </c>
      <c r="D1679">
        <v>3.375</v>
      </c>
      <c r="E1679">
        <v>15.5</v>
      </c>
      <c r="F1679">
        <v>5.3979999999999997</v>
      </c>
      <c r="G1679">
        <v>2.1680000000000001</v>
      </c>
      <c r="H1679" s="15">
        <v>2.14</v>
      </c>
      <c r="I1679">
        <v>45.51</v>
      </c>
      <c r="J1679">
        <v>37.799999999999997</v>
      </c>
      <c r="K1679">
        <v>11.923</v>
      </c>
      <c r="L1679">
        <v>1.7</v>
      </c>
      <c r="M1679" t="e">
        <v>#N/A</v>
      </c>
      <c r="N1679">
        <v>0.12</v>
      </c>
      <c r="O1679">
        <v>2.4209999999999998</v>
      </c>
      <c r="P1679">
        <v>0.56000000000000005</v>
      </c>
      <c r="Q1679">
        <v>14</v>
      </c>
    </row>
    <row r="1680" spans="1:17" x14ac:dyDescent="0.25">
      <c r="A1680" s="1">
        <v>43633</v>
      </c>
      <c r="B1680">
        <v>10.55</v>
      </c>
      <c r="C1680">
        <v>219.15</v>
      </c>
      <c r="D1680" t="e">
        <v>#N/A</v>
      </c>
      <c r="E1680">
        <v>15.29</v>
      </c>
      <c r="F1680">
        <v>5.3609999999999998</v>
      </c>
      <c r="G1680">
        <v>2.1480000000000001</v>
      </c>
      <c r="H1680" s="15">
        <v>2.15</v>
      </c>
      <c r="I1680">
        <v>45.52</v>
      </c>
      <c r="J1680">
        <v>37.799999999999997</v>
      </c>
      <c r="K1680">
        <v>11.914</v>
      </c>
      <c r="L1680">
        <v>1.67</v>
      </c>
      <c r="M1680" t="e">
        <v>#N/A</v>
      </c>
      <c r="N1680">
        <v>0.122</v>
      </c>
      <c r="O1680">
        <v>2.4700000000000002</v>
      </c>
      <c r="P1680">
        <v>0.54</v>
      </c>
      <c r="Q1680">
        <v>13</v>
      </c>
    </row>
    <row r="1681" spans="1:17" x14ac:dyDescent="0.25">
      <c r="A1681" s="1">
        <v>43634</v>
      </c>
      <c r="B1681">
        <v>10.6</v>
      </c>
      <c r="C1681">
        <v>220.4</v>
      </c>
      <c r="D1681">
        <v>3.375</v>
      </c>
      <c r="E1681">
        <v>15.62</v>
      </c>
      <c r="F1681">
        <v>5.3789999999999996</v>
      </c>
      <c r="G1681">
        <v>2.1970000000000001</v>
      </c>
      <c r="H1681" s="15">
        <v>2.1</v>
      </c>
      <c r="I1681">
        <v>45.52</v>
      </c>
      <c r="J1681">
        <v>37.799999999999997</v>
      </c>
      <c r="K1681">
        <v>11.914</v>
      </c>
      <c r="L1681">
        <v>1.65</v>
      </c>
      <c r="M1681" t="e">
        <v>#N/A</v>
      </c>
      <c r="N1681">
        <v>0.122</v>
      </c>
      <c r="O1681" t="e">
        <v>#N/A</v>
      </c>
      <c r="P1681">
        <v>0.54</v>
      </c>
      <c r="Q1681">
        <v>13</v>
      </c>
    </row>
    <row r="1682" spans="1:17" x14ac:dyDescent="0.25">
      <c r="A1682" s="1">
        <v>43635</v>
      </c>
      <c r="B1682">
        <v>10.49</v>
      </c>
      <c r="C1682">
        <v>219.82</v>
      </c>
      <c r="D1682">
        <v>3.375</v>
      </c>
      <c r="E1682">
        <v>15.65</v>
      </c>
      <c r="F1682">
        <v>5.3609999999999998</v>
      </c>
      <c r="G1682">
        <v>2.1970000000000001</v>
      </c>
      <c r="H1682" s="15">
        <v>2.1</v>
      </c>
      <c r="I1682" t="e">
        <v>#N/A</v>
      </c>
      <c r="J1682">
        <v>37.799999999999997</v>
      </c>
      <c r="K1682">
        <v>12.147</v>
      </c>
      <c r="L1682">
        <v>1.65</v>
      </c>
      <c r="M1682">
        <v>3.25</v>
      </c>
      <c r="N1682">
        <v>0.121</v>
      </c>
      <c r="O1682" t="e">
        <v>#N/A</v>
      </c>
      <c r="P1682">
        <v>0.53</v>
      </c>
      <c r="Q1682">
        <v>13</v>
      </c>
    </row>
    <row r="1683" spans="1:17" x14ac:dyDescent="0.25">
      <c r="A1683" s="1">
        <v>43636</v>
      </c>
      <c r="B1683">
        <v>10.49</v>
      </c>
      <c r="C1683">
        <v>222.5</v>
      </c>
      <c r="D1683">
        <v>3.4209999999999998</v>
      </c>
      <c r="E1683">
        <v>16.670000000000002</v>
      </c>
      <c r="F1683">
        <v>5.2850000000000001</v>
      </c>
      <c r="G1683">
        <v>2.1970000000000001</v>
      </c>
      <c r="H1683" s="15">
        <v>2.15</v>
      </c>
      <c r="I1683">
        <v>46</v>
      </c>
      <c r="J1683">
        <v>38.75</v>
      </c>
      <c r="K1683">
        <v>12.147</v>
      </c>
      <c r="L1683">
        <v>1.65</v>
      </c>
      <c r="M1683">
        <v>3.3</v>
      </c>
      <c r="N1683">
        <v>0.121</v>
      </c>
      <c r="O1683">
        <v>2.4500000000000002</v>
      </c>
      <c r="P1683">
        <v>0.55000000000000004</v>
      </c>
      <c r="Q1683">
        <v>15</v>
      </c>
    </row>
    <row r="1684" spans="1:17" x14ac:dyDescent="0.25">
      <c r="A1684" s="1">
        <v>43637</v>
      </c>
      <c r="B1684">
        <v>10.44</v>
      </c>
      <c r="C1684">
        <v>222</v>
      </c>
      <c r="D1684">
        <v>3.4660000000000002</v>
      </c>
      <c r="E1684">
        <v>16.48</v>
      </c>
      <c r="F1684">
        <v>5.3230000000000004</v>
      </c>
      <c r="G1684">
        <v>2.1480000000000001</v>
      </c>
      <c r="H1684" s="15" t="e">
        <v>#N/A</v>
      </c>
      <c r="I1684" t="e">
        <v>#N/A</v>
      </c>
      <c r="J1684">
        <v>39</v>
      </c>
      <c r="K1684">
        <v>12.808</v>
      </c>
      <c r="L1684">
        <v>1.66</v>
      </c>
      <c r="M1684" t="e">
        <v>#N/A</v>
      </c>
      <c r="N1684">
        <v>0.12</v>
      </c>
      <c r="O1684">
        <v>2.4209999999999998</v>
      </c>
      <c r="P1684">
        <v>0.52</v>
      </c>
      <c r="Q1684">
        <v>12</v>
      </c>
    </row>
    <row r="1685" spans="1:17" x14ac:dyDescent="0.25">
      <c r="A1685" s="1">
        <v>43640</v>
      </c>
      <c r="B1685">
        <v>10.4</v>
      </c>
      <c r="C1685">
        <v>227</v>
      </c>
      <c r="D1685">
        <v>3.4660000000000002</v>
      </c>
      <c r="E1685">
        <v>17.03</v>
      </c>
      <c r="F1685">
        <v>5.2939999999999996</v>
      </c>
      <c r="G1685">
        <v>2.1970000000000001</v>
      </c>
      <c r="H1685" s="15">
        <v>2.0499999999999998</v>
      </c>
      <c r="I1685">
        <v>45.9</v>
      </c>
      <c r="J1685">
        <v>39</v>
      </c>
      <c r="K1685">
        <v>12.856999999999999</v>
      </c>
      <c r="L1685">
        <v>1.67</v>
      </c>
      <c r="M1685" t="e">
        <v>#N/A</v>
      </c>
      <c r="N1685">
        <v>0.12</v>
      </c>
      <c r="O1685">
        <v>2.4209999999999998</v>
      </c>
      <c r="P1685">
        <v>0.52</v>
      </c>
      <c r="Q1685">
        <v>14</v>
      </c>
    </row>
    <row r="1686" spans="1:17" x14ac:dyDescent="0.25">
      <c r="A1686" s="1">
        <v>43641</v>
      </c>
      <c r="B1686">
        <v>10.28</v>
      </c>
      <c r="C1686">
        <v>226.68</v>
      </c>
      <c r="D1686">
        <v>3.448</v>
      </c>
      <c r="E1686">
        <v>16.75</v>
      </c>
      <c r="F1686">
        <v>5.266</v>
      </c>
      <c r="G1686">
        <v>2.1680000000000001</v>
      </c>
      <c r="H1686" s="15">
        <v>2.0499999999999998</v>
      </c>
      <c r="I1686">
        <v>44.9</v>
      </c>
      <c r="J1686">
        <v>39</v>
      </c>
      <c r="K1686">
        <v>13.032</v>
      </c>
      <c r="L1686">
        <v>1.68</v>
      </c>
      <c r="M1686">
        <v>3.35</v>
      </c>
      <c r="N1686">
        <v>0.12</v>
      </c>
      <c r="O1686">
        <v>2.371</v>
      </c>
      <c r="P1686">
        <v>0.51</v>
      </c>
      <c r="Q1686">
        <v>15</v>
      </c>
    </row>
    <row r="1687" spans="1:17" x14ac:dyDescent="0.25">
      <c r="A1687" s="1">
        <v>43642</v>
      </c>
      <c r="B1687">
        <v>10.28</v>
      </c>
      <c r="C1687">
        <v>228.5</v>
      </c>
      <c r="D1687">
        <v>3.3929999999999998</v>
      </c>
      <c r="E1687">
        <v>16.510000000000002</v>
      </c>
      <c r="F1687">
        <v>5.2939999999999996</v>
      </c>
      <c r="G1687">
        <v>2.1970000000000001</v>
      </c>
      <c r="H1687" s="15" t="e">
        <v>#N/A</v>
      </c>
      <c r="I1687">
        <v>44.75</v>
      </c>
      <c r="J1687">
        <v>39</v>
      </c>
      <c r="K1687">
        <v>13.129</v>
      </c>
      <c r="L1687">
        <v>1.68</v>
      </c>
      <c r="M1687" t="e">
        <v>#N/A</v>
      </c>
      <c r="N1687">
        <v>0.11799999999999999</v>
      </c>
      <c r="O1687">
        <v>2.4209999999999998</v>
      </c>
      <c r="P1687">
        <v>0.53</v>
      </c>
      <c r="Q1687">
        <v>13</v>
      </c>
    </row>
    <row r="1688" spans="1:17" x14ac:dyDescent="0.25">
      <c r="A1688" s="1">
        <v>43643</v>
      </c>
      <c r="B1688">
        <v>10.32</v>
      </c>
      <c r="C1688">
        <v>230.95</v>
      </c>
      <c r="D1688">
        <v>3.448</v>
      </c>
      <c r="E1688">
        <v>16.57</v>
      </c>
      <c r="F1688">
        <v>5.2939999999999996</v>
      </c>
      <c r="G1688">
        <v>2.1869999999999998</v>
      </c>
      <c r="H1688" s="15">
        <v>2</v>
      </c>
      <c r="I1688">
        <v>45.1</v>
      </c>
      <c r="J1688" t="e">
        <v>#N/A</v>
      </c>
      <c r="K1688">
        <v>13.226000000000001</v>
      </c>
      <c r="L1688">
        <v>1.72</v>
      </c>
      <c r="M1688" t="e">
        <v>#N/A</v>
      </c>
      <c r="N1688">
        <v>0.11899999999999999</v>
      </c>
      <c r="O1688" t="e">
        <v>#N/A</v>
      </c>
      <c r="P1688">
        <v>0.53</v>
      </c>
      <c r="Q1688">
        <v>12</v>
      </c>
    </row>
    <row r="1689" spans="1:17" x14ac:dyDescent="0.25">
      <c r="A1689" s="1">
        <v>43644</v>
      </c>
      <c r="B1689">
        <v>10.33</v>
      </c>
      <c r="C1689">
        <v>228.3</v>
      </c>
      <c r="D1689">
        <v>3.4119999999999999</v>
      </c>
      <c r="E1689">
        <v>16.71</v>
      </c>
      <c r="F1689">
        <v>5.3789999999999996</v>
      </c>
      <c r="G1689">
        <v>2.2069999999999999</v>
      </c>
      <c r="H1689" s="15">
        <v>2</v>
      </c>
      <c r="I1689">
        <v>45.5</v>
      </c>
      <c r="J1689">
        <v>39.020000000000003</v>
      </c>
      <c r="K1689">
        <v>13.391999999999999</v>
      </c>
      <c r="L1689">
        <v>1.7</v>
      </c>
      <c r="M1689" t="e">
        <v>#N/A</v>
      </c>
      <c r="N1689">
        <v>0.12</v>
      </c>
      <c r="O1689">
        <v>2.411</v>
      </c>
      <c r="P1689">
        <v>0.52</v>
      </c>
      <c r="Q1689">
        <v>14</v>
      </c>
    </row>
    <row r="1690" spans="1:17" x14ac:dyDescent="0.25">
      <c r="A1690" s="1">
        <v>43647</v>
      </c>
      <c r="B1690">
        <v>10.33</v>
      </c>
      <c r="C1690">
        <v>230.28</v>
      </c>
      <c r="D1690">
        <v>3.4119999999999999</v>
      </c>
      <c r="E1690">
        <v>16.52</v>
      </c>
      <c r="F1690">
        <v>5.4169999999999998</v>
      </c>
      <c r="G1690">
        <v>2.2650000000000001</v>
      </c>
      <c r="H1690" s="15">
        <v>1.95</v>
      </c>
      <c r="I1690">
        <v>45.8</v>
      </c>
      <c r="J1690">
        <v>39.299999999999997</v>
      </c>
      <c r="K1690">
        <v>13.79</v>
      </c>
      <c r="L1690">
        <v>1.7</v>
      </c>
      <c r="M1690">
        <v>3.35</v>
      </c>
      <c r="N1690">
        <v>0.121</v>
      </c>
      <c r="O1690">
        <v>2.411</v>
      </c>
      <c r="P1690">
        <v>0.55000000000000004</v>
      </c>
      <c r="Q1690">
        <v>15</v>
      </c>
    </row>
    <row r="1691" spans="1:17" x14ac:dyDescent="0.25">
      <c r="A1691" s="1">
        <v>43648</v>
      </c>
      <c r="B1691">
        <v>10.35</v>
      </c>
      <c r="C1691">
        <v>232.55</v>
      </c>
      <c r="D1691">
        <v>3.403</v>
      </c>
      <c r="E1691">
        <v>16.63</v>
      </c>
      <c r="F1691">
        <v>5.37</v>
      </c>
      <c r="G1691">
        <v>2.2850000000000001</v>
      </c>
      <c r="H1691" s="15">
        <v>1.95</v>
      </c>
      <c r="I1691">
        <v>46.01</v>
      </c>
      <c r="J1691">
        <v>39</v>
      </c>
      <c r="K1691" t="e">
        <v>#N/A</v>
      </c>
      <c r="L1691">
        <v>1.67</v>
      </c>
      <c r="M1691">
        <v>3.35</v>
      </c>
      <c r="N1691">
        <v>0.121</v>
      </c>
      <c r="O1691">
        <v>2.391</v>
      </c>
      <c r="P1691">
        <v>0.55000000000000004</v>
      </c>
      <c r="Q1691">
        <v>14</v>
      </c>
    </row>
    <row r="1692" spans="1:17" x14ac:dyDescent="0.25">
      <c r="A1692" s="1">
        <v>43649</v>
      </c>
      <c r="B1692">
        <v>10.34</v>
      </c>
      <c r="C1692">
        <v>234.2</v>
      </c>
      <c r="D1692">
        <v>3.4209999999999998</v>
      </c>
      <c r="E1692">
        <v>16.579999999999998</v>
      </c>
      <c r="F1692">
        <v>5.4640000000000004</v>
      </c>
      <c r="G1692">
        <v>2.246</v>
      </c>
      <c r="H1692" s="15">
        <v>1.94</v>
      </c>
      <c r="I1692">
        <v>46.3</v>
      </c>
      <c r="J1692">
        <v>39</v>
      </c>
      <c r="K1692">
        <v>13.878</v>
      </c>
      <c r="L1692">
        <v>1.68</v>
      </c>
      <c r="M1692" t="e">
        <v>#N/A</v>
      </c>
      <c r="N1692">
        <v>0.121</v>
      </c>
      <c r="O1692">
        <v>2.371</v>
      </c>
      <c r="P1692">
        <v>0.55000000000000004</v>
      </c>
      <c r="Q1692">
        <v>14</v>
      </c>
    </row>
    <row r="1693" spans="1:17" x14ac:dyDescent="0.25">
      <c r="A1693" s="1">
        <v>43650</v>
      </c>
      <c r="B1693">
        <v>10.35</v>
      </c>
      <c r="C1693" t="e">
        <v>#N/A</v>
      </c>
      <c r="D1693">
        <v>3.42</v>
      </c>
      <c r="E1693" t="e">
        <v>#N/A</v>
      </c>
      <c r="F1693">
        <v>5.4169999999999998</v>
      </c>
      <c r="G1693">
        <v>2.246</v>
      </c>
      <c r="H1693" s="15" t="e">
        <v>#N/A</v>
      </c>
      <c r="I1693">
        <v>50</v>
      </c>
      <c r="J1693">
        <v>39</v>
      </c>
      <c r="K1693">
        <v>13.878</v>
      </c>
      <c r="L1693">
        <v>1.65</v>
      </c>
      <c r="M1693">
        <v>3.35</v>
      </c>
      <c r="N1693">
        <v>0.12</v>
      </c>
      <c r="O1693">
        <v>2.371</v>
      </c>
      <c r="P1693">
        <v>0.55000000000000004</v>
      </c>
      <c r="Q1693">
        <v>12</v>
      </c>
    </row>
    <row r="1694" spans="1:17" x14ac:dyDescent="0.25">
      <c r="A1694" s="1">
        <v>43651</v>
      </c>
      <c r="B1694">
        <v>10.28</v>
      </c>
      <c r="C1694">
        <v>238.4</v>
      </c>
      <c r="D1694">
        <v>3.42</v>
      </c>
      <c r="E1694">
        <v>16.559999999999999</v>
      </c>
      <c r="F1694">
        <v>5.3789999999999996</v>
      </c>
      <c r="G1694">
        <v>2.2160000000000002</v>
      </c>
      <c r="H1694" s="15">
        <v>1.98</v>
      </c>
      <c r="I1694">
        <v>49</v>
      </c>
      <c r="J1694">
        <v>38.9</v>
      </c>
      <c r="K1694">
        <v>13.683999999999999</v>
      </c>
      <c r="L1694">
        <v>1.65</v>
      </c>
      <c r="M1694">
        <v>3.35</v>
      </c>
      <c r="N1694">
        <v>0.11899999999999999</v>
      </c>
      <c r="O1694">
        <v>2.371</v>
      </c>
      <c r="P1694">
        <v>0.55000000000000004</v>
      </c>
      <c r="Q1694">
        <v>15</v>
      </c>
    </row>
    <row r="1695" spans="1:17" x14ac:dyDescent="0.25">
      <c r="A1695" s="1">
        <v>43654</v>
      </c>
      <c r="B1695">
        <v>10.15</v>
      </c>
      <c r="C1695">
        <v>238.7</v>
      </c>
      <c r="D1695">
        <v>3.4</v>
      </c>
      <c r="E1695" t="e">
        <v>#N/A</v>
      </c>
      <c r="F1695">
        <v>5.3789999999999996</v>
      </c>
      <c r="G1695">
        <v>2.2360000000000002</v>
      </c>
      <c r="H1695" s="15">
        <v>1.98</v>
      </c>
      <c r="I1695">
        <v>49</v>
      </c>
      <c r="J1695">
        <v>38.5</v>
      </c>
      <c r="K1695">
        <v>13.615</v>
      </c>
      <c r="L1695">
        <v>1.64</v>
      </c>
      <c r="M1695">
        <v>3.34</v>
      </c>
      <c r="N1695">
        <v>0.11899999999999999</v>
      </c>
      <c r="O1695">
        <v>2.371</v>
      </c>
      <c r="P1695">
        <v>0.54</v>
      </c>
      <c r="Q1695">
        <v>14</v>
      </c>
    </row>
    <row r="1696" spans="1:17" x14ac:dyDescent="0.25">
      <c r="A1696" s="1">
        <v>43655</v>
      </c>
      <c r="B1696">
        <v>10.25</v>
      </c>
      <c r="C1696">
        <v>238</v>
      </c>
      <c r="D1696">
        <v>3.35</v>
      </c>
      <c r="E1696">
        <v>16.2</v>
      </c>
      <c r="F1696">
        <v>5.4080000000000004</v>
      </c>
      <c r="G1696">
        <v>2.2360000000000002</v>
      </c>
      <c r="H1696" s="15">
        <v>1.95</v>
      </c>
      <c r="I1696" t="e">
        <v>#N/A</v>
      </c>
      <c r="J1696">
        <v>38.049999999999997</v>
      </c>
      <c r="K1696">
        <v>13.615</v>
      </c>
      <c r="L1696">
        <v>1.65</v>
      </c>
      <c r="M1696">
        <v>3.25</v>
      </c>
      <c r="N1696">
        <v>0.11899999999999999</v>
      </c>
      <c r="O1696" t="e">
        <v>#N/A</v>
      </c>
      <c r="P1696">
        <v>0.52</v>
      </c>
      <c r="Q1696">
        <v>13</v>
      </c>
    </row>
    <row r="1697" spans="1:17" x14ac:dyDescent="0.25">
      <c r="A1697" s="1">
        <v>43656</v>
      </c>
      <c r="B1697">
        <v>10.25</v>
      </c>
      <c r="C1697">
        <v>237.28</v>
      </c>
      <c r="D1697">
        <v>3.38</v>
      </c>
      <c r="E1697">
        <v>16.47</v>
      </c>
      <c r="F1697">
        <v>5.2380000000000004</v>
      </c>
      <c r="G1697">
        <v>2.2160000000000002</v>
      </c>
      <c r="H1697" s="15">
        <v>1.98</v>
      </c>
      <c r="I1697">
        <v>48.9</v>
      </c>
      <c r="J1697">
        <v>39</v>
      </c>
      <c r="K1697">
        <v>13.615</v>
      </c>
      <c r="L1697">
        <v>1.6</v>
      </c>
      <c r="M1697">
        <v>3.25</v>
      </c>
      <c r="N1697">
        <v>0.11799999999999999</v>
      </c>
      <c r="O1697">
        <v>2.411</v>
      </c>
      <c r="P1697">
        <v>0.53</v>
      </c>
      <c r="Q1697">
        <v>15</v>
      </c>
    </row>
    <row r="1698" spans="1:17" x14ac:dyDescent="0.25">
      <c r="A1698" s="1">
        <v>43657</v>
      </c>
      <c r="B1698">
        <v>10.55</v>
      </c>
      <c r="C1698">
        <v>235.8</v>
      </c>
      <c r="D1698">
        <v>3.31</v>
      </c>
      <c r="E1698" t="e">
        <v>#N/A</v>
      </c>
      <c r="F1698">
        <v>5.2569999999999997</v>
      </c>
      <c r="G1698">
        <v>2.2069999999999999</v>
      </c>
      <c r="H1698" s="15">
        <v>1.95</v>
      </c>
      <c r="I1698">
        <v>48</v>
      </c>
      <c r="J1698">
        <v>39.5</v>
      </c>
      <c r="K1698">
        <v>13.907</v>
      </c>
      <c r="L1698">
        <v>1.59</v>
      </c>
      <c r="M1698" t="e">
        <v>#N/A</v>
      </c>
      <c r="N1698">
        <v>0.11799999999999999</v>
      </c>
      <c r="O1698">
        <v>2.3809999999999998</v>
      </c>
      <c r="P1698">
        <v>0.53</v>
      </c>
      <c r="Q1698">
        <v>13</v>
      </c>
    </row>
    <row r="1699" spans="1:17" x14ac:dyDescent="0.25">
      <c r="A1699" s="1">
        <v>43658</v>
      </c>
      <c r="B1699">
        <v>10.7</v>
      </c>
      <c r="C1699">
        <v>236</v>
      </c>
      <c r="D1699">
        <v>3.42</v>
      </c>
      <c r="E1699">
        <v>16.25</v>
      </c>
      <c r="F1699">
        <v>5.3040000000000003</v>
      </c>
      <c r="G1699">
        <v>2.2160000000000002</v>
      </c>
      <c r="H1699" s="15">
        <v>1.95</v>
      </c>
      <c r="I1699">
        <v>48</v>
      </c>
      <c r="J1699">
        <v>39.75</v>
      </c>
      <c r="K1699">
        <v>13.956</v>
      </c>
      <c r="L1699">
        <v>1.59</v>
      </c>
      <c r="M1699" t="e">
        <v>#N/A</v>
      </c>
      <c r="N1699">
        <v>0.11600000000000001</v>
      </c>
      <c r="O1699">
        <v>2.391</v>
      </c>
      <c r="P1699">
        <v>0.53</v>
      </c>
      <c r="Q1699">
        <v>14</v>
      </c>
    </row>
    <row r="1700" spans="1:17" x14ac:dyDescent="0.25">
      <c r="A1700" s="1">
        <v>43661</v>
      </c>
      <c r="B1700">
        <v>10.55</v>
      </c>
      <c r="C1700">
        <v>233.2</v>
      </c>
      <c r="D1700">
        <v>3.4</v>
      </c>
      <c r="E1700">
        <v>16.21</v>
      </c>
      <c r="F1700">
        <v>5.3040000000000003</v>
      </c>
      <c r="G1700">
        <v>2.1480000000000001</v>
      </c>
      <c r="H1700" s="15">
        <v>1.95</v>
      </c>
      <c r="I1700">
        <v>48.95</v>
      </c>
      <c r="J1700">
        <v>39.75</v>
      </c>
      <c r="K1700">
        <v>13.615</v>
      </c>
      <c r="L1700">
        <v>1.61</v>
      </c>
      <c r="M1700">
        <v>3.37</v>
      </c>
      <c r="N1700">
        <v>0.11799999999999999</v>
      </c>
      <c r="O1700">
        <v>2.371</v>
      </c>
      <c r="P1700">
        <v>0.52</v>
      </c>
      <c r="Q1700">
        <v>15</v>
      </c>
    </row>
    <row r="1701" spans="1:17" x14ac:dyDescent="0.25">
      <c r="A1701" s="1">
        <v>43662</v>
      </c>
      <c r="B1701">
        <v>10.65</v>
      </c>
      <c r="C1701">
        <v>236</v>
      </c>
      <c r="D1701">
        <v>3.49</v>
      </c>
      <c r="E1701">
        <v>16.2</v>
      </c>
      <c r="F1701">
        <v>5.3319999999999999</v>
      </c>
      <c r="G1701">
        <v>2.1579999999999999</v>
      </c>
      <c r="H1701" s="15">
        <v>1.95</v>
      </c>
      <c r="I1701">
        <v>48.5</v>
      </c>
      <c r="J1701">
        <v>40</v>
      </c>
      <c r="K1701">
        <v>13.615</v>
      </c>
      <c r="L1701">
        <v>1.6</v>
      </c>
      <c r="M1701" t="e">
        <v>#N/A</v>
      </c>
      <c r="N1701">
        <v>0.11700000000000001</v>
      </c>
      <c r="O1701">
        <v>2.391</v>
      </c>
      <c r="P1701">
        <v>0.53</v>
      </c>
      <c r="Q1701">
        <v>14</v>
      </c>
    </row>
    <row r="1702" spans="1:17" x14ac:dyDescent="0.25">
      <c r="A1702" s="1">
        <v>43663</v>
      </c>
      <c r="B1702">
        <v>10.65</v>
      </c>
      <c r="C1702">
        <v>237.28</v>
      </c>
      <c r="D1702">
        <v>3.44</v>
      </c>
      <c r="E1702">
        <v>16.63</v>
      </c>
      <c r="F1702">
        <v>5.3040000000000003</v>
      </c>
      <c r="G1702">
        <v>2.1280000000000001</v>
      </c>
      <c r="H1702" s="15">
        <v>1.91</v>
      </c>
      <c r="I1702">
        <v>48.5</v>
      </c>
      <c r="J1702">
        <v>40</v>
      </c>
      <c r="K1702">
        <v>13.615</v>
      </c>
      <c r="L1702">
        <v>1.6</v>
      </c>
      <c r="M1702">
        <v>3.37</v>
      </c>
      <c r="N1702">
        <v>0.11799999999999999</v>
      </c>
      <c r="O1702">
        <v>2.391</v>
      </c>
      <c r="P1702">
        <v>0.53</v>
      </c>
      <c r="Q1702">
        <v>15</v>
      </c>
    </row>
    <row r="1703" spans="1:17" x14ac:dyDescent="0.25">
      <c r="A1703" s="1">
        <v>43664</v>
      </c>
      <c r="B1703">
        <v>10.65</v>
      </c>
      <c r="C1703">
        <v>235.56</v>
      </c>
      <c r="D1703">
        <v>3.4</v>
      </c>
      <c r="E1703">
        <v>17.54</v>
      </c>
      <c r="F1703">
        <v>5.3979999999999997</v>
      </c>
      <c r="G1703">
        <v>2.1280000000000001</v>
      </c>
      <c r="H1703" s="15">
        <v>1.95</v>
      </c>
      <c r="I1703">
        <v>48</v>
      </c>
      <c r="J1703">
        <v>40</v>
      </c>
      <c r="K1703">
        <v>13.625</v>
      </c>
      <c r="L1703">
        <v>1.6</v>
      </c>
      <c r="M1703">
        <v>3.3</v>
      </c>
      <c r="N1703">
        <v>0.11700000000000001</v>
      </c>
      <c r="O1703">
        <v>2.371</v>
      </c>
      <c r="P1703">
        <v>0.52</v>
      </c>
      <c r="Q1703">
        <v>15</v>
      </c>
    </row>
    <row r="1704" spans="1:17" x14ac:dyDescent="0.25">
      <c r="A1704" s="1">
        <v>43665</v>
      </c>
      <c r="B1704">
        <v>10.75</v>
      </c>
      <c r="C1704">
        <v>230.83</v>
      </c>
      <c r="D1704">
        <v>3.41</v>
      </c>
      <c r="E1704">
        <v>17.38</v>
      </c>
      <c r="F1704">
        <v>5.5679999999999996</v>
      </c>
      <c r="G1704">
        <v>2.109</v>
      </c>
      <c r="H1704" s="15">
        <v>1.9</v>
      </c>
      <c r="I1704">
        <v>46.7</v>
      </c>
      <c r="J1704">
        <v>40.299999999999997</v>
      </c>
      <c r="K1704">
        <v>13.760999999999999</v>
      </c>
      <c r="L1704">
        <v>1.65</v>
      </c>
      <c r="M1704">
        <v>3.3</v>
      </c>
      <c r="N1704">
        <v>0.114</v>
      </c>
      <c r="O1704">
        <v>2.371</v>
      </c>
      <c r="P1704">
        <v>0.53</v>
      </c>
      <c r="Q1704">
        <v>15</v>
      </c>
    </row>
    <row r="1705" spans="1:17" x14ac:dyDescent="0.25">
      <c r="A1705" s="1">
        <v>43668</v>
      </c>
      <c r="B1705">
        <v>10.7</v>
      </c>
      <c r="C1705">
        <v>228</v>
      </c>
      <c r="D1705">
        <v>3.42</v>
      </c>
      <c r="E1705">
        <v>17.3</v>
      </c>
      <c r="F1705">
        <v>5.5679999999999996</v>
      </c>
      <c r="G1705">
        <v>2.0699999999999998</v>
      </c>
      <c r="H1705" s="15">
        <v>1.88</v>
      </c>
      <c r="I1705">
        <v>46.69</v>
      </c>
      <c r="J1705">
        <v>40.200000000000003</v>
      </c>
      <c r="K1705">
        <v>13.907</v>
      </c>
      <c r="L1705">
        <v>1.7</v>
      </c>
      <c r="M1705">
        <v>3.3</v>
      </c>
      <c r="N1705">
        <v>0.12</v>
      </c>
      <c r="O1705">
        <v>2.371</v>
      </c>
      <c r="P1705">
        <v>0.52</v>
      </c>
      <c r="Q1705">
        <v>15</v>
      </c>
    </row>
    <row r="1706" spans="1:17" x14ac:dyDescent="0.25">
      <c r="A1706" s="1">
        <v>43669</v>
      </c>
      <c r="B1706">
        <v>10.85</v>
      </c>
      <c r="C1706">
        <v>226.11</v>
      </c>
      <c r="D1706">
        <v>3.41</v>
      </c>
      <c r="E1706">
        <v>17.45</v>
      </c>
      <c r="F1706">
        <v>5.7569999999999997</v>
      </c>
      <c r="G1706">
        <v>2.06</v>
      </c>
      <c r="H1706" s="15">
        <v>1.89</v>
      </c>
      <c r="I1706">
        <v>45.8</v>
      </c>
      <c r="J1706">
        <v>39.5</v>
      </c>
      <c r="K1706">
        <v>13.8</v>
      </c>
      <c r="L1706" t="e">
        <v>#N/A</v>
      </c>
      <c r="M1706">
        <v>3.35</v>
      </c>
      <c r="N1706">
        <v>0.11799999999999999</v>
      </c>
      <c r="O1706">
        <v>2.3610000000000002</v>
      </c>
      <c r="P1706">
        <v>0.51</v>
      </c>
      <c r="Q1706">
        <v>14</v>
      </c>
    </row>
    <row r="1707" spans="1:17" x14ac:dyDescent="0.25">
      <c r="A1707" s="1">
        <v>43670</v>
      </c>
      <c r="B1707">
        <v>10.9</v>
      </c>
      <c r="C1707">
        <v>227</v>
      </c>
      <c r="D1707">
        <v>3.4</v>
      </c>
      <c r="E1707">
        <v>17.649999999999999</v>
      </c>
      <c r="F1707">
        <v>5.8040000000000003</v>
      </c>
      <c r="G1707">
        <v>2.06</v>
      </c>
      <c r="H1707" s="15">
        <v>1.9</v>
      </c>
      <c r="I1707">
        <v>44</v>
      </c>
      <c r="J1707">
        <v>39.5</v>
      </c>
      <c r="K1707">
        <v>13.81</v>
      </c>
      <c r="L1707" t="e">
        <v>#N/A</v>
      </c>
      <c r="M1707">
        <v>3.35</v>
      </c>
      <c r="N1707">
        <v>0.11899999999999999</v>
      </c>
      <c r="O1707">
        <v>2.3610000000000002</v>
      </c>
      <c r="P1707">
        <v>0.52</v>
      </c>
      <c r="Q1707">
        <v>14</v>
      </c>
    </row>
    <row r="1708" spans="1:17" x14ac:dyDescent="0.25">
      <c r="A1708" s="1">
        <v>43671</v>
      </c>
      <c r="B1708">
        <v>10.9</v>
      </c>
      <c r="C1708">
        <v>227.84</v>
      </c>
      <c r="D1708">
        <v>3.4</v>
      </c>
      <c r="E1708">
        <v>17.440000000000001</v>
      </c>
      <c r="F1708">
        <v>5.9459999999999997</v>
      </c>
      <c r="G1708">
        <v>2.1579999999999999</v>
      </c>
      <c r="H1708" s="15">
        <v>1.85</v>
      </c>
      <c r="I1708">
        <v>44</v>
      </c>
      <c r="J1708">
        <v>39.5</v>
      </c>
      <c r="K1708">
        <v>13.907</v>
      </c>
      <c r="L1708">
        <v>1.69</v>
      </c>
      <c r="M1708" t="e">
        <v>#N/A</v>
      </c>
      <c r="N1708">
        <v>0.11899999999999999</v>
      </c>
      <c r="O1708">
        <v>2.371</v>
      </c>
      <c r="P1708">
        <v>0.54</v>
      </c>
      <c r="Q1708">
        <v>14</v>
      </c>
    </row>
    <row r="1709" spans="1:17" x14ac:dyDescent="0.25">
      <c r="A1709" s="1">
        <v>43672</v>
      </c>
      <c r="B1709">
        <v>10.9</v>
      </c>
      <c r="C1709">
        <v>229.95</v>
      </c>
      <c r="D1709">
        <v>3.4</v>
      </c>
      <c r="E1709">
        <v>16.8</v>
      </c>
      <c r="F1709">
        <v>5.8040000000000003</v>
      </c>
      <c r="G1709">
        <v>2.177</v>
      </c>
      <c r="H1709" s="15" t="e">
        <v>#N/A</v>
      </c>
      <c r="I1709">
        <v>43.1</v>
      </c>
      <c r="J1709">
        <v>39.4</v>
      </c>
      <c r="K1709">
        <v>13.907</v>
      </c>
      <c r="L1709" t="e">
        <v>#N/A</v>
      </c>
      <c r="M1709">
        <v>3.35</v>
      </c>
      <c r="N1709">
        <v>0.11799999999999999</v>
      </c>
      <c r="O1709">
        <v>2.371</v>
      </c>
      <c r="P1709">
        <v>0.53</v>
      </c>
      <c r="Q1709">
        <v>13</v>
      </c>
    </row>
    <row r="1710" spans="1:17" x14ac:dyDescent="0.25">
      <c r="A1710" s="1">
        <v>43676</v>
      </c>
      <c r="B1710">
        <v>10.69</v>
      </c>
      <c r="C1710">
        <v>219</v>
      </c>
      <c r="D1710">
        <v>3.4</v>
      </c>
      <c r="E1710">
        <v>16.309999999999999</v>
      </c>
      <c r="F1710">
        <v>5.6619999999999999</v>
      </c>
      <c r="G1710">
        <v>2.109</v>
      </c>
      <c r="H1710" s="15">
        <v>1.87</v>
      </c>
      <c r="I1710">
        <v>42.2</v>
      </c>
      <c r="J1710">
        <v>39</v>
      </c>
      <c r="K1710">
        <v>13.907</v>
      </c>
      <c r="L1710">
        <v>1.62</v>
      </c>
      <c r="M1710">
        <v>3.35</v>
      </c>
      <c r="N1710">
        <v>0.11799999999999999</v>
      </c>
      <c r="O1710" t="e">
        <v>#N/A</v>
      </c>
      <c r="P1710">
        <v>0.49</v>
      </c>
      <c r="Q1710">
        <v>14</v>
      </c>
    </row>
    <row r="1711" spans="1:17" x14ac:dyDescent="0.25">
      <c r="A1711" s="1">
        <v>43677</v>
      </c>
      <c r="B1711">
        <v>10.6</v>
      </c>
      <c r="C1711">
        <v>218.7</v>
      </c>
      <c r="D1711">
        <v>3.33</v>
      </c>
      <c r="E1711">
        <v>15.3</v>
      </c>
      <c r="F1711">
        <v>5.6619999999999999</v>
      </c>
      <c r="G1711">
        <v>2.109</v>
      </c>
      <c r="H1711" s="15">
        <v>1.9</v>
      </c>
      <c r="I1711">
        <v>42</v>
      </c>
      <c r="J1711">
        <v>38.1</v>
      </c>
      <c r="K1711">
        <v>13.81</v>
      </c>
      <c r="L1711" t="e">
        <v>#N/A</v>
      </c>
      <c r="M1711">
        <v>3.35</v>
      </c>
      <c r="N1711">
        <v>0.11</v>
      </c>
      <c r="O1711">
        <v>2.3319999999999999</v>
      </c>
      <c r="P1711">
        <v>0.48</v>
      </c>
      <c r="Q1711">
        <v>14</v>
      </c>
    </row>
    <row r="1712" spans="1:17" x14ac:dyDescent="0.25">
      <c r="A1712" s="1">
        <v>43678</v>
      </c>
      <c r="B1712">
        <v>10.01</v>
      </c>
      <c r="C1712">
        <v>216.55</v>
      </c>
      <c r="D1712">
        <v>3.27</v>
      </c>
      <c r="E1712">
        <v>15.85</v>
      </c>
      <c r="F1712">
        <v>5.5679999999999996</v>
      </c>
      <c r="G1712">
        <v>2.0990000000000002</v>
      </c>
      <c r="H1712" s="15">
        <v>1.89</v>
      </c>
      <c r="I1712">
        <v>41.95</v>
      </c>
      <c r="J1712">
        <v>38</v>
      </c>
      <c r="K1712">
        <v>14.102</v>
      </c>
      <c r="L1712">
        <v>1.55</v>
      </c>
      <c r="M1712">
        <v>3.35</v>
      </c>
      <c r="N1712">
        <v>0.114</v>
      </c>
      <c r="O1712">
        <v>2.3220000000000001</v>
      </c>
      <c r="P1712">
        <v>0.45500000000000002</v>
      </c>
      <c r="Q1712">
        <v>15</v>
      </c>
    </row>
    <row r="1713" spans="1:17" x14ac:dyDescent="0.25">
      <c r="A1713" s="1">
        <v>43679</v>
      </c>
      <c r="B1713">
        <v>10.15</v>
      </c>
      <c r="C1713">
        <v>213.51</v>
      </c>
      <c r="D1713">
        <v>3.23</v>
      </c>
      <c r="E1713">
        <v>15.81</v>
      </c>
      <c r="F1713">
        <v>5.5679999999999996</v>
      </c>
      <c r="G1713">
        <v>2.0990000000000002</v>
      </c>
      <c r="H1713" s="15">
        <v>1.86</v>
      </c>
      <c r="I1713">
        <v>40.22</v>
      </c>
      <c r="J1713">
        <v>37.299999999999997</v>
      </c>
      <c r="K1713">
        <v>13.927</v>
      </c>
      <c r="L1713">
        <v>1.55</v>
      </c>
      <c r="M1713">
        <v>3.2</v>
      </c>
      <c r="N1713">
        <v>0.114</v>
      </c>
      <c r="O1713">
        <v>2.3220000000000001</v>
      </c>
      <c r="P1713">
        <v>0.47499999999999998</v>
      </c>
      <c r="Q1713">
        <v>15</v>
      </c>
    </row>
    <row r="1714" spans="1:17" x14ac:dyDescent="0.25">
      <c r="A1714" s="1">
        <v>43682</v>
      </c>
      <c r="B1714">
        <v>9.9499999999999993</v>
      </c>
      <c r="C1714">
        <v>209.56</v>
      </c>
      <c r="D1714">
        <v>3.22</v>
      </c>
      <c r="E1714">
        <v>15.3</v>
      </c>
      <c r="F1714">
        <v>5.4269999999999996</v>
      </c>
      <c r="G1714">
        <v>2.06</v>
      </c>
      <c r="H1714" s="15">
        <v>1.86</v>
      </c>
      <c r="I1714">
        <v>38.6</v>
      </c>
      <c r="J1714">
        <v>35.99</v>
      </c>
      <c r="K1714" t="e">
        <v>#N/A</v>
      </c>
      <c r="L1714">
        <v>1.55</v>
      </c>
      <c r="M1714">
        <v>3.13</v>
      </c>
      <c r="N1714">
        <v>0.11</v>
      </c>
      <c r="O1714">
        <v>2.2719999999999998</v>
      </c>
      <c r="P1714">
        <v>0.45900000000000002</v>
      </c>
      <c r="Q1714">
        <v>14</v>
      </c>
    </row>
    <row r="1715" spans="1:17" x14ac:dyDescent="0.25">
      <c r="A1715" s="1">
        <v>43683</v>
      </c>
      <c r="B1715">
        <v>9.8000000000000007</v>
      </c>
      <c r="C1715">
        <v>210.29</v>
      </c>
      <c r="D1715">
        <v>3.3</v>
      </c>
      <c r="E1715">
        <v>15.41</v>
      </c>
      <c r="F1715">
        <v>5.3789999999999996</v>
      </c>
      <c r="G1715">
        <v>2.0699999999999998</v>
      </c>
      <c r="H1715" s="15">
        <v>1.86</v>
      </c>
      <c r="I1715">
        <v>38.96</v>
      </c>
      <c r="J1715" t="e">
        <v>#N/A</v>
      </c>
      <c r="K1715">
        <v>13.760999999999999</v>
      </c>
      <c r="L1715">
        <v>1.5</v>
      </c>
      <c r="M1715">
        <v>3.13</v>
      </c>
      <c r="N1715">
        <v>0.108</v>
      </c>
      <c r="O1715">
        <v>2.2719999999999998</v>
      </c>
      <c r="P1715">
        <v>0.47</v>
      </c>
      <c r="Q1715">
        <v>14</v>
      </c>
    </row>
    <row r="1716" spans="1:17" x14ac:dyDescent="0.25">
      <c r="A1716" s="1">
        <v>43684</v>
      </c>
      <c r="B1716">
        <v>9.75</v>
      </c>
      <c r="C1716">
        <v>214</v>
      </c>
      <c r="D1716">
        <v>3.3</v>
      </c>
      <c r="E1716">
        <v>15.59</v>
      </c>
      <c r="F1716">
        <v>5.3789999999999996</v>
      </c>
      <c r="G1716">
        <v>2.08</v>
      </c>
      <c r="H1716" s="15">
        <v>1.86</v>
      </c>
      <c r="I1716">
        <v>39.93</v>
      </c>
      <c r="J1716">
        <v>36</v>
      </c>
      <c r="K1716">
        <v>13.927</v>
      </c>
      <c r="L1716">
        <v>1.5</v>
      </c>
      <c r="M1716">
        <v>3.09</v>
      </c>
      <c r="N1716">
        <v>0.107</v>
      </c>
      <c r="O1716">
        <v>2.2719999999999998</v>
      </c>
      <c r="P1716">
        <v>0.46899999999999997</v>
      </c>
      <c r="Q1716">
        <v>15</v>
      </c>
    </row>
    <row r="1717" spans="1:17" x14ac:dyDescent="0.25">
      <c r="A1717" s="1">
        <v>43685</v>
      </c>
      <c r="B1717">
        <v>9.85</v>
      </c>
      <c r="C1717">
        <v>215.2</v>
      </c>
      <c r="D1717">
        <v>3.27</v>
      </c>
      <c r="E1717">
        <v>15.34</v>
      </c>
      <c r="F1717">
        <v>5.5209999999999999</v>
      </c>
      <c r="G1717">
        <v>2.09</v>
      </c>
      <c r="H1717" s="15">
        <v>1.84</v>
      </c>
      <c r="I1717">
        <v>41.05</v>
      </c>
      <c r="J1717">
        <v>35.5</v>
      </c>
      <c r="K1717">
        <v>13.927</v>
      </c>
      <c r="L1717">
        <v>1.55</v>
      </c>
      <c r="M1717">
        <v>3.11</v>
      </c>
      <c r="N1717">
        <v>0.109</v>
      </c>
      <c r="O1717">
        <v>2.2719999999999998</v>
      </c>
      <c r="P1717">
        <v>0.47799999999999998</v>
      </c>
      <c r="Q1717">
        <v>15</v>
      </c>
    </row>
    <row r="1718" spans="1:17" x14ac:dyDescent="0.25">
      <c r="A1718" s="1">
        <v>43686</v>
      </c>
      <c r="B1718">
        <v>9.6999999999999993</v>
      </c>
      <c r="C1718">
        <v>207.3</v>
      </c>
      <c r="D1718">
        <v>3.26</v>
      </c>
      <c r="E1718">
        <v>15.8</v>
      </c>
      <c r="F1718">
        <v>5.5209999999999999</v>
      </c>
      <c r="G1718">
        <v>2.0990000000000002</v>
      </c>
      <c r="H1718" s="15">
        <v>1.82</v>
      </c>
      <c r="I1718">
        <v>41.45</v>
      </c>
      <c r="J1718">
        <v>35.5</v>
      </c>
      <c r="K1718" t="e">
        <v>#N/A</v>
      </c>
      <c r="L1718">
        <v>1.55</v>
      </c>
      <c r="M1718">
        <v>3.09</v>
      </c>
      <c r="N1718">
        <v>0.112</v>
      </c>
      <c r="O1718" t="e">
        <v>#N/A</v>
      </c>
      <c r="P1718">
        <v>0.48</v>
      </c>
      <c r="Q1718">
        <v>13</v>
      </c>
    </row>
    <row r="1719" spans="1:17" x14ac:dyDescent="0.25">
      <c r="A1719" s="1">
        <v>43689</v>
      </c>
      <c r="B1719">
        <v>9.6</v>
      </c>
      <c r="C1719">
        <v>202.15</v>
      </c>
      <c r="D1719">
        <v>3.26</v>
      </c>
      <c r="E1719">
        <v>15.25</v>
      </c>
      <c r="F1719">
        <v>5.4269999999999996</v>
      </c>
      <c r="G1719">
        <v>2.09</v>
      </c>
      <c r="H1719" s="15">
        <v>1.84</v>
      </c>
      <c r="I1719">
        <v>40</v>
      </c>
      <c r="J1719">
        <v>35.5</v>
      </c>
      <c r="K1719">
        <v>13.927</v>
      </c>
      <c r="L1719">
        <v>1.55</v>
      </c>
      <c r="M1719" t="e">
        <v>#N/A</v>
      </c>
      <c r="N1719">
        <v>0.112</v>
      </c>
      <c r="O1719">
        <v>2.2429999999999999</v>
      </c>
      <c r="P1719">
        <v>0.48</v>
      </c>
      <c r="Q1719">
        <v>14</v>
      </c>
    </row>
    <row r="1720" spans="1:17" x14ac:dyDescent="0.25">
      <c r="A1720" s="1">
        <v>43690</v>
      </c>
      <c r="B1720">
        <v>9.65</v>
      </c>
      <c r="C1720">
        <v>208.1</v>
      </c>
      <c r="D1720">
        <v>3.26</v>
      </c>
      <c r="E1720">
        <v>14.55</v>
      </c>
      <c r="F1720">
        <v>5.4740000000000002</v>
      </c>
      <c r="G1720">
        <v>2.0990000000000002</v>
      </c>
      <c r="H1720" s="15">
        <v>1.8</v>
      </c>
      <c r="I1720">
        <v>39</v>
      </c>
      <c r="J1720">
        <v>36.35</v>
      </c>
      <c r="K1720" t="e">
        <v>#N/A</v>
      </c>
      <c r="L1720">
        <v>1.54</v>
      </c>
      <c r="M1720" t="e">
        <v>#N/A</v>
      </c>
      <c r="N1720">
        <v>0.11</v>
      </c>
      <c r="O1720">
        <v>2.2130000000000001</v>
      </c>
      <c r="P1720">
        <v>0.49</v>
      </c>
      <c r="Q1720">
        <v>13</v>
      </c>
    </row>
    <row r="1721" spans="1:17" x14ac:dyDescent="0.25">
      <c r="A1721" s="1">
        <v>43691</v>
      </c>
      <c r="B1721">
        <v>9.6999999999999993</v>
      </c>
      <c r="C1721">
        <v>201.64</v>
      </c>
      <c r="D1721">
        <v>3.22</v>
      </c>
      <c r="E1721">
        <v>14.51</v>
      </c>
      <c r="F1721">
        <v>5.3789999999999996</v>
      </c>
      <c r="G1721">
        <v>2.0310000000000001</v>
      </c>
      <c r="H1721" s="15">
        <v>1.62</v>
      </c>
      <c r="I1721">
        <v>39.15</v>
      </c>
      <c r="J1721">
        <v>36</v>
      </c>
      <c r="K1721">
        <v>14.102</v>
      </c>
      <c r="L1721">
        <v>1.54</v>
      </c>
      <c r="M1721" t="e">
        <v>#N/A</v>
      </c>
      <c r="N1721">
        <v>0.11</v>
      </c>
      <c r="O1721">
        <v>2.2330000000000001</v>
      </c>
      <c r="P1721">
        <v>0.48299999999999998</v>
      </c>
      <c r="Q1721">
        <v>14</v>
      </c>
    </row>
    <row r="1722" spans="1:17" x14ac:dyDescent="0.25">
      <c r="A1722" s="1">
        <v>43692</v>
      </c>
      <c r="B1722">
        <v>9.6999999999999993</v>
      </c>
      <c r="C1722">
        <v>202.15</v>
      </c>
      <c r="D1722">
        <v>3.23</v>
      </c>
      <c r="E1722">
        <v>14.23</v>
      </c>
      <c r="F1722">
        <v>5.3319999999999999</v>
      </c>
      <c r="G1722">
        <v>2.0209999999999999</v>
      </c>
      <c r="H1722" s="15">
        <v>1.69</v>
      </c>
      <c r="I1722">
        <v>40</v>
      </c>
      <c r="J1722">
        <v>37</v>
      </c>
      <c r="K1722">
        <v>14.102</v>
      </c>
      <c r="L1722" t="e">
        <v>#N/A</v>
      </c>
      <c r="M1722" t="e">
        <v>#N/A</v>
      </c>
      <c r="N1722">
        <v>0.108</v>
      </c>
      <c r="O1722" t="e">
        <v>#N/A</v>
      </c>
      <c r="P1722">
        <v>0.47299999999999998</v>
      </c>
      <c r="Q1722">
        <v>12</v>
      </c>
    </row>
    <row r="1723" spans="1:17" x14ac:dyDescent="0.25">
      <c r="A1723" s="1">
        <v>43693</v>
      </c>
      <c r="B1723">
        <v>9.65</v>
      </c>
      <c r="C1723">
        <v>206.44</v>
      </c>
      <c r="D1723">
        <v>3.23</v>
      </c>
      <c r="E1723">
        <v>14</v>
      </c>
      <c r="F1723">
        <v>5.4269999999999996</v>
      </c>
      <c r="G1723">
        <v>2.0310000000000001</v>
      </c>
      <c r="H1723" s="15">
        <v>1.76</v>
      </c>
      <c r="I1723" t="e">
        <v>#N/A</v>
      </c>
      <c r="J1723">
        <v>38</v>
      </c>
      <c r="K1723">
        <v>14.102</v>
      </c>
      <c r="L1723">
        <v>1.53</v>
      </c>
      <c r="M1723">
        <v>3.07</v>
      </c>
      <c r="N1723">
        <v>0.106</v>
      </c>
      <c r="O1723">
        <v>2.335</v>
      </c>
      <c r="P1723">
        <v>0.46100000000000002</v>
      </c>
      <c r="Q1723">
        <v>14</v>
      </c>
    </row>
    <row r="1724" spans="1:17" x14ac:dyDescent="0.25">
      <c r="A1724" s="1">
        <v>43696</v>
      </c>
      <c r="B1724">
        <v>9.65</v>
      </c>
      <c r="C1724">
        <v>206.8</v>
      </c>
      <c r="D1724">
        <v>3.25</v>
      </c>
      <c r="E1724">
        <v>14.6</v>
      </c>
      <c r="F1724">
        <v>5.4269999999999996</v>
      </c>
      <c r="G1724">
        <v>2.0310000000000001</v>
      </c>
      <c r="H1724" s="15">
        <v>1.78</v>
      </c>
      <c r="I1724">
        <v>40.5</v>
      </c>
      <c r="J1724">
        <v>38.5</v>
      </c>
      <c r="K1724">
        <v>14.587999999999999</v>
      </c>
      <c r="L1724" t="e">
        <v>#N/A</v>
      </c>
      <c r="M1724">
        <v>3.1</v>
      </c>
      <c r="N1724">
        <v>0.105</v>
      </c>
      <c r="O1724">
        <v>2.335</v>
      </c>
      <c r="P1724">
        <v>0.44500000000000001</v>
      </c>
      <c r="Q1724">
        <v>14</v>
      </c>
    </row>
    <row r="1725" spans="1:17" x14ac:dyDescent="0.25">
      <c r="A1725" s="1">
        <v>43697</v>
      </c>
      <c r="B1725">
        <v>9.6999999999999993</v>
      </c>
      <c r="C1725">
        <v>205.45</v>
      </c>
      <c r="D1725">
        <v>3.22</v>
      </c>
      <c r="E1725">
        <v>15</v>
      </c>
      <c r="F1725">
        <v>5.3789999999999996</v>
      </c>
      <c r="G1725">
        <v>2.0310000000000001</v>
      </c>
      <c r="H1725" s="15">
        <v>1.8</v>
      </c>
      <c r="I1725">
        <v>39.840000000000003</v>
      </c>
      <c r="J1725">
        <v>38</v>
      </c>
      <c r="K1725">
        <v>14.734</v>
      </c>
      <c r="L1725" t="e">
        <v>#N/A</v>
      </c>
      <c r="M1725">
        <v>3.1</v>
      </c>
      <c r="N1725">
        <v>0.104</v>
      </c>
      <c r="O1725">
        <v>2.3250000000000002</v>
      </c>
      <c r="P1725">
        <v>0.43</v>
      </c>
      <c r="Q1725">
        <v>14</v>
      </c>
    </row>
    <row r="1726" spans="1:17" x14ac:dyDescent="0.25">
      <c r="A1726" s="1">
        <v>43698</v>
      </c>
      <c r="B1726">
        <v>9.56</v>
      </c>
      <c r="C1726">
        <v>206</v>
      </c>
      <c r="D1726">
        <v>3.22</v>
      </c>
      <c r="E1726">
        <v>14.59</v>
      </c>
      <c r="F1726">
        <v>5.2380000000000004</v>
      </c>
      <c r="G1726">
        <v>2.0209999999999999</v>
      </c>
      <c r="H1726" s="15" t="e">
        <v>#N/A</v>
      </c>
      <c r="I1726" t="e">
        <v>#N/A</v>
      </c>
      <c r="J1726">
        <v>38</v>
      </c>
      <c r="K1726">
        <v>14.587999999999999</v>
      </c>
      <c r="L1726" t="e">
        <v>#N/A</v>
      </c>
      <c r="M1726" t="e">
        <v>#N/A</v>
      </c>
      <c r="N1726">
        <v>0.104</v>
      </c>
      <c r="O1726">
        <v>2.335</v>
      </c>
      <c r="P1726">
        <v>0.439</v>
      </c>
      <c r="Q1726">
        <v>11</v>
      </c>
    </row>
    <row r="1727" spans="1:17" x14ac:dyDescent="0.25">
      <c r="A1727" s="1">
        <v>43699</v>
      </c>
      <c r="B1727">
        <v>9.56</v>
      </c>
      <c r="C1727">
        <v>203.4</v>
      </c>
      <c r="D1727">
        <v>3.22</v>
      </c>
      <c r="E1727">
        <v>14.47</v>
      </c>
      <c r="F1727">
        <v>5.2850000000000001</v>
      </c>
      <c r="G1727">
        <v>2.0310000000000001</v>
      </c>
      <c r="H1727" s="15">
        <v>1.78</v>
      </c>
      <c r="I1727">
        <v>39.4</v>
      </c>
      <c r="J1727">
        <v>37.5</v>
      </c>
      <c r="K1727">
        <v>14.587999999999999</v>
      </c>
      <c r="L1727" t="e">
        <v>#N/A</v>
      </c>
      <c r="M1727" t="e">
        <v>#N/A</v>
      </c>
      <c r="N1727">
        <v>0.104</v>
      </c>
      <c r="O1727">
        <v>2.2759999999999998</v>
      </c>
      <c r="P1727">
        <v>0.43099999999999999</v>
      </c>
      <c r="Q1727">
        <v>13</v>
      </c>
    </row>
    <row r="1728" spans="1:17" x14ac:dyDescent="0.25">
      <c r="A1728" s="1">
        <v>43700</v>
      </c>
      <c r="B1728">
        <v>9.4499999999999993</v>
      </c>
      <c r="C1728">
        <v>201.33</v>
      </c>
      <c r="D1728">
        <v>3.22</v>
      </c>
      <c r="E1728">
        <v>14.94</v>
      </c>
      <c r="F1728" t="e">
        <v>#N/A</v>
      </c>
      <c r="G1728">
        <v>1.982</v>
      </c>
      <c r="H1728" s="15">
        <v>1.7</v>
      </c>
      <c r="I1728">
        <v>39</v>
      </c>
      <c r="J1728">
        <v>38.1</v>
      </c>
      <c r="K1728">
        <v>14.587999999999999</v>
      </c>
      <c r="L1728">
        <v>1.47</v>
      </c>
      <c r="M1728" t="e">
        <v>#N/A</v>
      </c>
      <c r="N1728">
        <v>0.104</v>
      </c>
      <c r="O1728">
        <v>2.2759999999999998</v>
      </c>
      <c r="P1728">
        <v>0.41</v>
      </c>
      <c r="Q1728">
        <v>13</v>
      </c>
    </row>
    <row r="1729" spans="1:17" x14ac:dyDescent="0.25">
      <c r="A1729" s="1">
        <v>43703</v>
      </c>
      <c r="B1729">
        <v>9.4</v>
      </c>
      <c r="C1729">
        <v>201.1</v>
      </c>
      <c r="D1729">
        <v>3.25</v>
      </c>
      <c r="E1729">
        <v>14.55</v>
      </c>
      <c r="F1729" t="e">
        <v>#N/A</v>
      </c>
      <c r="G1729">
        <v>1.972</v>
      </c>
      <c r="H1729" s="15">
        <v>1.61</v>
      </c>
      <c r="I1729">
        <v>39.1</v>
      </c>
      <c r="J1729">
        <v>38.1</v>
      </c>
      <c r="K1729">
        <v>14.577999999999999</v>
      </c>
      <c r="L1729">
        <v>1.45</v>
      </c>
      <c r="M1729" t="e">
        <v>#N/A</v>
      </c>
      <c r="N1729">
        <v>0.104</v>
      </c>
      <c r="O1729" t="e">
        <v>#N/A</v>
      </c>
      <c r="P1729">
        <v>0.40500000000000003</v>
      </c>
      <c r="Q1729">
        <v>12</v>
      </c>
    </row>
    <row r="1730" spans="1:17" x14ac:dyDescent="0.25">
      <c r="A1730" s="1">
        <v>43704</v>
      </c>
      <c r="B1730">
        <v>9.4</v>
      </c>
      <c r="C1730">
        <v>201.1</v>
      </c>
      <c r="D1730">
        <v>3.25</v>
      </c>
      <c r="E1730">
        <v>14.89</v>
      </c>
      <c r="F1730">
        <v>5.2569999999999997</v>
      </c>
      <c r="G1730">
        <v>1.992</v>
      </c>
      <c r="H1730" s="15">
        <v>1.65</v>
      </c>
      <c r="I1730">
        <v>40.049999999999997</v>
      </c>
      <c r="J1730">
        <v>38</v>
      </c>
      <c r="K1730">
        <v>14.276999999999999</v>
      </c>
      <c r="L1730">
        <v>1.43</v>
      </c>
      <c r="M1730" t="e">
        <v>#N/A</v>
      </c>
      <c r="N1730">
        <v>0.105</v>
      </c>
      <c r="O1730">
        <v>2.3050000000000002</v>
      </c>
      <c r="P1730">
        <v>0.439</v>
      </c>
      <c r="Q1730">
        <v>14</v>
      </c>
    </row>
    <row r="1731" spans="1:17" x14ac:dyDescent="0.25">
      <c r="A1731" s="1">
        <v>43705</v>
      </c>
      <c r="B1731">
        <v>9.4499999999999993</v>
      </c>
      <c r="C1731">
        <v>201.6</v>
      </c>
      <c r="D1731">
        <v>3.24</v>
      </c>
      <c r="E1731">
        <v>15.22</v>
      </c>
      <c r="F1731">
        <v>5.2850000000000001</v>
      </c>
      <c r="G1731">
        <v>2.0019999999999998</v>
      </c>
      <c r="H1731" s="15">
        <v>1.65</v>
      </c>
      <c r="I1731" t="e">
        <v>#N/A</v>
      </c>
      <c r="J1731">
        <v>37.5</v>
      </c>
      <c r="K1731">
        <v>14.587999999999999</v>
      </c>
      <c r="L1731">
        <v>1.45</v>
      </c>
      <c r="M1731" t="e">
        <v>#N/A</v>
      </c>
      <c r="N1731">
        <v>0.105</v>
      </c>
      <c r="O1731">
        <v>2.3050000000000002</v>
      </c>
      <c r="P1731">
        <v>0.43</v>
      </c>
      <c r="Q1731">
        <v>13</v>
      </c>
    </row>
    <row r="1732" spans="1:17" x14ac:dyDescent="0.25">
      <c r="A1732" s="1">
        <v>43706</v>
      </c>
      <c r="B1732">
        <v>9.5</v>
      </c>
      <c r="C1732">
        <v>203.35</v>
      </c>
      <c r="D1732">
        <v>3.25</v>
      </c>
      <c r="E1732" t="e">
        <v>#N/A</v>
      </c>
      <c r="F1732">
        <v>5.4269999999999996</v>
      </c>
      <c r="G1732">
        <v>2.0019999999999998</v>
      </c>
      <c r="H1732" s="15">
        <v>1.67</v>
      </c>
      <c r="I1732">
        <v>39</v>
      </c>
      <c r="J1732">
        <v>37.85</v>
      </c>
      <c r="K1732">
        <v>14.587999999999999</v>
      </c>
      <c r="L1732" t="e">
        <v>#N/A</v>
      </c>
      <c r="M1732" t="e">
        <v>#N/A</v>
      </c>
      <c r="N1732">
        <v>0.108</v>
      </c>
      <c r="O1732" t="e">
        <v>#N/A</v>
      </c>
      <c r="P1732">
        <v>0.44900000000000001</v>
      </c>
      <c r="Q1732">
        <v>11</v>
      </c>
    </row>
    <row r="1733" spans="1:17" x14ac:dyDescent="0.25">
      <c r="A1733" s="1">
        <v>43710</v>
      </c>
      <c r="B1733">
        <v>9.5</v>
      </c>
      <c r="C1733">
        <v>209</v>
      </c>
      <c r="D1733">
        <v>3.23</v>
      </c>
      <c r="E1733" t="e">
        <v>#N/A</v>
      </c>
      <c r="F1733">
        <v>5.4269999999999996</v>
      </c>
      <c r="G1733">
        <v>2.0019999999999998</v>
      </c>
      <c r="H1733" s="15" t="e">
        <v>#N/A</v>
      </c>
      <c r="I1733" t="e">
        <v>#N/A</v>
      </c>
      <c r="J1733">
        <v>37.840000000000003</v>
      </c>
      <c r="K1733">
        <v>15.56</v>
      </c>
      <c r="L1733">
        <v>1.44</v>
      </c>
      <c r="M1733" t="e">
        <v>#N/A</v>
      </c>
      <c r="N1733">
        <v>0.108</v>
      </c>
      <c r="O1733">
        <v>2.3050000000000002</v>
      </c>
      <c r="P1733">
        <v>0.44600000000000001</v>
      </c>
      <c r="Q1733">
        <v>11</v>
      </c>
    </row>
    <row r="1734" spans="1:17" x14ac:dyDescent="0.25">
      <c r="A1734" s="1">
        <v>43711</v>
      </c>
      <c r="B1734">
        <v>9.5</v>
      </c>
      <c r="C1734">
        <v>205</v>
      </c>
      <c r="D1734">
        <v>3.23</v>
      </c>
      <c r="E1734">
        <v>15.28</v>
      </c>
      <c r="F1734">
        <v>5.4080000000000004</v>
      </c>
      <c r="G1734">
        <v>2.0019999999999998</v>
      </c>
      <c r="H1734" s="15">
        <v>1.65</v>
      </c>
      <c r="I1734">
        <v>41.4</v>
      </c>
      <c r="J1734">
        <v>37.26</v>
      </c>
      <c r="K1734">
        <v>15.56</v>
      </c>
      <c r="L1734">
        <v>1.45</v>
      </c>
      <c r="M1734" t="e">
        <v>#N/A</v>
      </c>
      <c r="N1734">
        <v>0.106</v>
      </c>
      <c r="O1734">
        <v>2.3050000000000002</v>
      </c>
      <c r="P1734">
        <v>0.435</v>
      </c>
      <c r="Q1734">
        <v>14</v>
      </c>
    </row>
    <row r="1735" spans="1:17" x14ac:dyDescent="0.25">
      <c r="A1735" s="1">
        <v>43712</v>
      </c>
      <c r="B1735">
        <v>9.4</v>
      </c>
      <c r="C1735">
        <v>205</v>
      </c>
      <c r="D1735">
        <v>3.23</v>
      </c>
      <c r="E1735">
        <v>15.31</v>
      </c>
      <c r="F1735">
        <v>5.4740000000000002</v>
      </c>
      <c r="G1735">
        <v>2.0209999999999999</v>
      </c>
      <c r="H1735" s="15">
        <v>1.65</v>
      </c>
      <c r="I1735" t="e">
        <v>#N/A</v>
      </c>
      <c r="J1735">
        <v>37.49</v>
      </c>
      <c r="K1735">
        <v>15.804</v>
      </c>
      <c r="L1735">
        <v>1.45</v>
      </c>
      <c r="M1735" t="e">
        <v>#N/A</v>
      </c>
      <c r="N1735">
        <v>0.107</v>
      </c>
      <c r="O1735">
        <v>2.3050000000000002</v>
      </c>
      <c r="P1735">
        <v>0.46</v>
      </c>
      <c r="Q1735">
        <v>13</v>
      </c>
    </row>
    <row r="1736" spans="1:17" x14ac:dyDescent="0.25">
      <c r="A1736" s="1">
        <v>43713</v>
      </c>
      <c r="B1736">
        <v>9.35</v>
      </c>
      <c r="C1736">
        <v>211.4</v>
      </c>
      <c r="D1736">
        <v>3.25</v>
      </c>
      <c r="E1736" t="e">
        <v>#N/A</v>
      </c>
      <c r="F1736">
        <v>5.3789999999999996</v>
      </c>
      <c r="G1736">
        <v>2.0409999999999999</v>
      </c>
      <c r="H1736" s="15">
        <v>1.68</v>
      </c>
      <c r="I1736">
        <v>41.72</v>
      </c>
      <c r="J1736">
        <v>37.4</v>
      </c>
      <c r="K1736">
        <v>16.338000000000001</v>
      </c>
      <c r="L1736">
        <v>1.48</v>
      </c>
      <c r="M1736">
        <v>3.35</v>
      </c>
      <c r="N1736">
        <v>0.11</v>
      </c>
      <c r="O1736">
        <v>2.3149999999999999</v>
      </c>
      <c r="P1736">
        <v>0.47499999999999998</v>
      </c>
      <c r="Q1736">
        <v>14</v>
      </c>
    </row>
    <row r="1737" spans="1:17" x14ac:dyDescent="0.25">
      <c r="A1737" s="1">
        <v>43714</v>
      </c>
      <c r="B1737">
        <v>9.4</v>
      </c>
      <c r="C1737">
        <v>212.3</v>
      </c>
      <c r="D1737">
        <v>3.3</v>
      </c>
      <c r="E1737">
        <v>14.88</v>
      </c>
      <c r="F1737">
        <v>5.3789999999999996</v>
      </c>
      <c r="G1737">
        <v>2.0499999999999998</v>
      </c>
      <c r="H1737" s="15">
        <v>1.67</v>
      </c>
      <c r="I1737">
        <v>40.94</v>
      </c>
      <c r="J1737">
        <v>37.299999999999997</v>
      </c>
      <c r="K1737">
        <v>16.338000000000001</v>
      </c>
      <c r="L1737">
        <v>1.48</v>
      </c>
      <c r="M1737">
        <v>3.35</v>
      </c>
      <c r="N1737">
        <v>0.105</v>
      </c>
      <c r="O1737">
        <v>2.2559999999999998</v>
      </c>
      <c r="P1737">
        <v>0.46500000000000002</v>
      </c>
      <c r="Q1737">
        <v>15</v>
      </c>
    </row>
    <row r="1738" spans="1:17" x14ac:dyDescent="0.25">
      <c r="A1738" s="1">
        <v>43717</v>
      </c>
      <c r="B1738">
        <v>9.36</v>
      </c>
      <c r="C1738">
        <v>211.5</v>
      </c>
      <c r="D1738">
        <v>3.28</v>
      </c>
      <c r="E1738">
        <v>14.19</v>
      </c>
      <c r="F1738">
        <v>5.3789999999999996</v>
      </c>
      <c r="G1738">
        <v>2.0499999999999998</v>
      </c>
      <c r="H1738" s="15">
        <v>1.68</v>
      </c>
      <c r="I1738">
        <v>40.200000000000003</v>
      </c>
      <c r="J1738">
        <v>37.1</v>
      </c>
      <c r="K1738">
        <v>15.56</v>
      </c>
      <c r="L1738">
        <v>1.48</v>
      </c>
      <c r="M1738" t="e">
        <v>#N/A</v>
      </c>
      <c r="N1738">
        <v>0.104</v>
      </c>
      <c r="O1738">
        <v>2.2360000000000002</v>
      </c>
      <c r="P1738">
        <v>0.45</v>
      </c>
      <c r="Q1738">
        <v>14</v>
      </c>
    </row>
    <row r="1739" spans="1:17" x14ac:dyDescent="0.25">
      <c r="A1739" s="1">
        <v>43718</v>
      </c>
      <c r="B1739">
        <v>9.4</v>
      </c>
      <c r="C1739">
        <v>212</v>
      </c>
      <c r="D1739">
        <v>3.28</v>
      </c>
      <c r="E1739">
        <v>14.09</v>
      </c>
      <c r="F1739">
        <v>5.3789999999999996</v>
      </c>
      <c r="G1739">
        <v>2.0499999999999998</v>
      </c>
      <c r="H1739" s="15">
        <v>1.69</v>
      </c>
      <c r="I1739">
        <v>39.6</v>
      </c>
      <c r="J1739">
        <v>37.25</v>
      </c>
      <c r="K1739">
        <v>15.56</v>
      </c>
      <c r="L1739">
        <v>1.48</v>
      </c>
      <c r="M1739" t="e">
        <v>#N/A</v>
      </c>
      <c r="N1739">
        <v>0.104</v>
      </c>
      <c r="O1739" t="e">
        <v>#N/A</v>
      </c>
      <c r="P1739">
        <v>0.45500000000000002</v>
      </c>
      <c r="Q1739">
        <v>13</v>
      </c>
    </row>
    <row r="1740" spans="1:17" x14ac:dyDescent="0.25">
      <c r="A1740" s="1">
        <v>43719</v>
      </c>
      <c r="B1740">
        <v>9.4</v>
      </c>
      <c r="C1740">
        <v>213.6</v>
      </c>
      <c r="D1740">
        <v>3.25</v>
      </c>
      <c r="E1740">
        <v>14.49</v>
      </c>
      <c r="F1740">
        <v>5.3789999999999996</v>
      </c>
      <c r="G1740">
        <v>2.0499999999999998</v>
      </c>
      <c r="H1740" s="15">
        <v>1.7</v>
      </c>
      <c r="I1740">
        <v>39.75</v>
      </c>
      <c r="J1740">
        <v>37.299999999999997</v>
      </c>
      <c r="K1740">
        <v>15.56</v>
      </c>
      <c r="L1740">
        <v>1.48</v>
      </c>
      <c r="M1740">
        <v>3.31</v>
      </c>
      <c r="N1740">
        <v>0.106</v>
      </c>
      <c r="O1740">
        <v>2.1859999999999999</v>
      </c>
      <c r="P1740">
        <v>0.46</v>
      </c>
      <c r="Q1740">
        <v>15</v>
      </c>
    </row>
    <row r="1741" spans="1:17" x14ac:dyDescent="0.25">
      <c r="A1741" s="1">
        <v>43720</v>
      </c>
      <c r="B1741">
        <v>9.4</v>
      </c>
      <c r="C1741">
        <v>215</v>
      </c>
      <c r="D1741">
        <v>3.3</v>
      </c>
      <c r="E1741">
        <v>14.5</v>
      </c>
      <c r="F1741">
        <v>5.3789999999999996</v>
      </c>
      <c r="G1741">
        <v>2.0499999999999998</v>
      </c>
      <c r="H1741" s="15">
        <v>1.69</v>
      </c>
      <c r="I1741">
        <v>41.14</v>
      </c>
      <c r="J1741">
        <v>37.299999999999997</v>
      </c>
      <c r="K1741">
        <v>16.047000000000001</v>
      </c>
      <c r="L1741">
        <v>1.48</v>
      </c>
      <c r="M1741">
        <v>3.35</v>
      </c>
      <c r="N1741">
        <v>0.106</v>
      </c>
      <c r="O1741">
        <v>2.1659999999999999</v>
      </c>
      <c r="P1741">
        <v>0.46100000000000002</v>
      </c>
      <c r="Q1741">
        <v>15</v>
      </c>
    </row>
    <row r="1742" spans="1:17" x14ac:dyDescent="0.25">
      <c r="A1742" s="1">
        <v>43721</v>
      </c>
      <c r="B1742">
        <v>9.4</v>
      </c>
      <c r="C1742">
        <v>215.33</v>
      </c>
      <c r="D1742">
        <v>3.37</v>
      </c>
      <c r="E1742">
        <v>14.05</v>
      </c>
      <c r="F1742">
        <v>5.3789999999999996</v>
      </c>
      <c r="G1742">
        <v>2.06</v>
      </c>
      <c r="H1742" s="15" t="e">
        <v>#N/A</v>
      </c>
      <c r="I1742">
        <v>42.18</v>
      </c>
      <c r="J1742">
        <v>37.1</v>
      </c>
      <c r="K1742">
        <v>16.047000000000001</v>
      </c>
      <c r="L1742">
        <v>1.48</v>
      </c>
      <c r="M1742">
        <v>3.3</v>
      </c>
      <c r="N1742">
        <v>0.11</v>
      </c>
      <c r="O1742">
        <v>2.1859999999999999</v>
      </c>
      <c r="P1742">
        <v>0.47499999999999998</v>
      </c>
      <c r="Q1742">
        <v>14</v>
      </c>
    </row>
    <row r="1743" spans="1:17" x14ac:dyDescent="0.25">
      <c r="A1743" s="1">
        <v>43724</v>
      </c>
      <c r="B1743">
        <v>9.39</v>
      </c>
      <c r="C1743">
        <v>215.8</v>
      </c>
      <c r="D1743">
        <v>3.37</v>
      </c>
      <c r="E1743">
        <v>14.29</v>
      </c>
      <c r="F1743">
        <v>5.3789999999999996</v>
      </c>
      <c r="G1743">
        <v>2.06</v>
      </c>
      <c r="H1743" s="15" t="e">
        <v>#N/A</v>
      </c>
      <c r="I1743">
        <v>41.8</v>
      </c>
      <c r="J1743">
        <v>37.1</v>
      </c>
      <c r="K1743">
        <v>16.047000000000001</v>
      </c>
      <c r="L1743">
        <v>1.48</v>
      </c>
      <c r="M1743" t="e">
        <v>#N/A</v>
      </c>
      <c r="N1743">
        <v>0.112</v>
      </c>
      <c r="O1743" t="e">
        <v>#N/A</v>
      </c>
      <c r="P1743">
        <v>0.47</v>
      </c>
      <c r="Q1743">
        <v>12</v>
      </c>
    </row>
    <row r="1744" spans="1:17" x14ac:dyDescent="0.25">
      <c r="A1744" s="1">
        <v>43725</v>
      </c>
      <c r="B1744">
        <v>9.39</v>
      </c>
      <c r="C1744">
        <v>213.1</v>
      </c>
      <c r="D1744">
        <v>3.36</v>
      </c>
      <c r="E1744">
        <v>14.7</v>
      </c>
      <c r="F1744">
        <v>5.3789999999999996</v>
      </c>
      <c r="G1744">
        <v>2.06</v>
      </c>
      <c r="H1744" s="15">
        <v>1.63</v>
      </c>
      <c r="I1744">
        <v>41.5</v>
      </c>
      <c r="J1744">
        <v>37.1</v>
      </c>
      <c r="K1744">
        <v>15.948</v>
      </c>
      <c r="L1744">
        <v>1.48</v>
      </c>
      <c r="M1744" t="e">
        <v>#N/A</v>
      </c>
      <c r="N1744">
        <v>0.114</v>
      </c>
      <c r="O1744">
        <v>2.1859999999999999</v>
      </c>
      <c r="P1744">
        <v>0.48</v>
      </c>
      <c r="Q1744">
        <v>14</v>
      </c>
    </row>
    <row r="1745" spans="1:17" x14ac:dyDescent="0.25">
      <c r="A1745" s="1">
        <v>43726</v>
      </c>
      <c r="B1745">
        <v>9.4</v>
      </c>
      <c r="C1745">
        <v>213.1</v>
      </c>
      <c r="D1745">
        <v>3.3</v>
      </c>
      <c r="E1745">
        <v>14.7</v>
      </c>
      <c r="F1745">
        <v>5.4269999999999996</v>
      </c>
      <c r="G1745">
        <v>2.0499999999999998</v>
      </c>
      <c r="H1745" s="15">
        <v>1.63</v>
      </c>
      <c r="I1745">
        <v>41.5</v>
      </c>
      <c r="J1745">
        <v>36.9</v>
      </c>
      <c r="K1745">
        <v>15.948</v>
      </c>
      <c r="L1745">
        <v>1.48</v>
      </c>
      <c r="M1745">
        <v>3.28</v>
      </c>
      <c r="N1745">
        <v>0.114</v>
      </c>
      <c r="O1745">
        <v>2.1859999999999999</v>
      </c>
      <c r="P1745">
        <v>0.48</v>
      </c>
      <c r="Q1745">
        <v>15</v>
      </c>
    </row>
    <row r="1746" spans="1:17" x14ac:dyDescent="0.25">
      <c r="A1746" s="1">
        <v>43727</v>
      </c>
      <c r="B1746">
        <v>9.25</v>
      </c>
      <c r="C1746">
        <v>212.64</v>
      </c>
      <c r="D1746">
        <v>3.28</v>
      </c>
      <c r="E1746">
        <v>14.7</v>
      </c>
      <c r="F1746">
        <v>5.5209999999999999</v>
      </c>
      <c r="G1746">
        <v>2.06</v>
      </c>
      <c r="H1746" s="15">
        <v>1.63</v>
      </c>
      <c r="I1746">
        <v>41.5</v>
      </c>
      <c r="J1746">
        <v>36.9</v>
      </c>
      <c r="K1746">
        <v>15.8</v>
      </c>
      <c r="L1746">
        <v>1.45</v>
      </c>
      <c r="M1746">
        <v>3.28</v>
      </c>
      <c r="N1746">
        <v>0.114</v>
      </c>
      <c r="O1746">
        <v>2.1859999999999999</v>
      </c>
      <c r="P1746">
        <v>0.48</v>
      </c>
      <c r="Q1746">
        <v>15</v>
      </c>
    </row>
    <row r="1747" spans="1:17" x14ac:dyDescent="0.25">
      <c r="A1747" s="1">
        <v>43728</v>
      </c>
      <c r="B1747">
        <v>9.3000000000000007</v>
      </c>
      <c r="C1747">
        <v>210</v>
      </c>
      <c r="D1747">
        <v>3.26</v>
      </c>
      <c r="E1747">
        <v>14.82</v>
      </c>
      <c r="F1747">
        <v>5.4740000000000002</v>
      </c>
      <c r="G1747">
        <v>2.06</v>
      </c>
      <c r="H1747" s="15" t="e">
        <v>#N/A</v>
      </c>
      <c r="I1747">
        <v>42.1</v>
      </c>
      <c r="J1747">
        <v>36.700000000000003</v>
      </c>
      <c r="K1747">
        <v>16.047000000000001</v>
      </c>
      <c r="L1747" t="e">
        <v>#N/A</v>
      </c>
      <c r="M1747">
        <v>3.28</v>
      </c>
      <c r="N1747">
        <v>0.114</v>
      </c>
      <c r="O1747" t="e">
        <v>#N/A</v>
      </c>
      <c r="P1747">
        <v>0.44800000000000001</v>
      </c>
      <c r="Q1747">
        <v>12</v>
      </c>
    </row>
    <row r="1748" spans="1:17" x14ac:dyDescent="0.25">
      <c r="A1748" s="1">
        <v>43731</v>
      </c>
      <c r="B1748">
        <v>9.35</v>
      </c>
      <c r="C1748">
        <v>207.4</v>
      </c>
      <c r="D1748">
        <v>3.3</v>
      </c>
      <c r="E1748">
        <v>15</v>
      </c>
      <c r="F1748">
        <v>5.5209999999999999</v>
      </c>
      <c r="G1748">
        <v>2.0409999999999999</v>
      </c>
      <c r="H1748" s="15" t="e">
        <v>#N/A</v>
      </c>
      <c r="I1748">
        <v>40.99</v>
      </c>
      <c r="J1748">
        <v>37.1</v>
      </c>
      <c r="K1748">
        <v>16.047000000000001</v>
      </c>
      <c r="L1748" t="e">
        <v>#N/A</v>
      </c>
      <c r="M1748" t="e">
        <v>#N/A</v>
      </c>
      <c r="N1748">
        <v>0.108</v>
      </c>
      <c r="O1748" t="e">
        <v>#N/A</v>
      </c>
      <c r="P1748">
        <v>0.45</v>
      </c>
      <c r="Q1748">
        <v>11</v>
      </c>
    </row>
    <row r="1749" spans="1:17" x14ac:dyDescent="0.25">
      <c r="A1749" s="1">
        <v>43732</v>
      </c>
      <c r="B1749">
        <v>9.3000000000000007</v>
      </c>
      <c r="C1749">
        <v>206.5</v>
      </c>
      <c r="D1749">
        <v>3.28</v>
      </c>
      <c r="E1749">
        <v>15.5</v>
      </c>
      <c r="F1749">
        <v>5.5209999999999999</v>
      </c>
      <c r="G1749">
        <v>2.0310000000000001</v>
      </c>
      <c r="H1749" s="15" t="e">
        <v>#N/A</v>
      </c>
      <c r="I1749">
        <v>41.8</v>
      </c>
      <c r="J1749">
        <v>37.049999999999997</v>
      </c>
      <c r="K1749">
        <v>15.8</v>
      </c>
      <c r="L1749">
        <v>1.45</v>
      </c>
      <c r="M1749">
        <v>3.28</v>
      </c>
      <c r="N1749">
        <v>0.105</v>
      </c>
      <c r="O1749" t="e">
        <v>#N/A</v>
      </c>
      <c r="P1749">
        <v>0.44500000000000001</v>
      </c>
      <c r="Q1749">
        <v>13</v>
      </c>
    </row>
    <row r="1750" spans="1:17" x14ac:dyDescent="0.25">
      <c r="A1750" s="1">
        <v>43733</v>
      </c>
      <c r="B1750">
        <v>9.26</v>
      </c>
      <c r="C1750">
        <v>209.6</v>
      </c>
      <c r="D1750">
        <v>3.27</v>
      </c>
      <c r="E1750">
        <v>15.17</v>
      </c>
      <c r="F1750">
        <v>5.4740000000000002</v>
      </c>
      <c r="G1750">
        <v>2.0110000000000001</v>
      </c>
      <c r="H1750" s="15" t="e">
        <v>#N/A</v>
      </c>
      <c r="I1750" t="e">
        <v>#N/A</v>
      </c>
      <c r="J1750">
        <v>36.75</v>
      </c>
      <c r="K1750" t="e">
        <v>#N/A</v>
      </c>
      <c r="L1750">
        <v>1.4</v>
      </c>
      <c r="M1750" t="e">
        <v>#N/A</v>
      </c>
      <c r="N1750">
        <v>0.105</v>
      </c>
      <c r="O1750" t="e">
        <v>#N/A</v>
      </c>
      <c r="P1750">
        <v>0.46</v>
      </c>
      <c r="Q1750">
        <v>10</v>
      </c>
    </row>
    <row r="1751" spans="1:17" x14ac:dyDescent="0.25">
      <c r="A1751" s="1">
        <v>43734</v>
      </c>
      <c r="B1751">
        <v>9.25</v>
      </c>
      <c r="C1751">
        <v>211.6</v>
      </c>
      <c r="D1751">
        <v>3.25</v>
      </c>
      <c r="E1751">
        <v>15.54</v>
      </c>
      <c r="F1751">
        <v>5.4740000000000002</v>
      </c>
      <c r="G1751">
        <v>2.0699999999999998</v>
      </c>
      <c r="H1751" s="15">
        <v>1.65</v>
      </c>
      <c r="I1751">
        <v>41.5</v>
      </c>
      <c r="J1751">
        <v>36.75</v>
      </c>
      <c r="K1751">
        <v>15.948</v>
      </c>
      <c r="L1751">
        <v>1.42</v>
      </c>
      <c r="M1751">
        <v>3.28</v>
      </c>
      <c r="N1751">
        <v>0.105</v>
      </c>
      <c r="O1751">
        <v>2.1360000000000001</v>
      </c>
      <c r="P1751">
        <v>0.45900000000000002</v>
      </c>
      <c r="Q1751">
        <v>15</v>
      </c>
    </row>
    <row r="1752" spans="1:17" x14ac:dyDescent="0.25">
      <c r="A1752" s="1">
        <v>43735</v>
      </c>
      <c r="B1752">
        <v>9.3000000000000007</v>
      </c>
      <c r="C1752">
        <v>212.8</v>
      </c>
      <c r="D1752">
        <v>3.24</v>
      </c>
      <c r="E1752">
        <v>15.75</v>
      </c>
      <c r="F1752">
        <v>5.5490000000000004</v>
      </c>
      <c r="G1752">
        <v>2.08</v>
      </c>
      <c r="H1752" s="15">
        <v>1.65</v>
      </c>
      <c r="I1752">
        <v>42.49</v>
      </c>
      <c r="J1752">
        <v>36.75</v>
      </c>
      <c r="K1752">
        <v>16.096</v>
      </c>
      <c r="L1752">
        <v>1.48</v>
      </c>
      <c r="M1752">
        <v>3.28</v>
      </c>
      <c r="N1752">
        <v>0.11</v>
      </c>
      <c r="O1752">
        <v>2.1160000000000001</v>
      </c>
      <c r="P1752">
        <v>0.46500000000000002</v>
      </c>
      <c r="Q1752">
        <v>15</v>
      </c>
    </row>
    <row r="1753" spans="1:17" x14ac:dyDescent="0.25">
      <c r="A1753" s="1">
        <v>43738</v>
      </c>
      <c r="B1753" t="e">
        <v>#N/A</v>
      </c>
      <c r="C1753">
        <v>209</v>
      </c>
      <c r="D1753" t="e">
        <v>#N/A</v>
      </c>
      <c r="E1753">
        <v>15.21</v>
      </c>
      <c r="F1753">
        <v>5.5960000000000001</v>
      </c>
      <c r="G1753">
        <v>2.06</v>
      </c>
      <c r="H1753" s="15">
        <v>1.64</v>
      </c>
      <c r="I1753">
        <v>41</v>
      </c>
      <c r="J1753">
        <v>36.4</v>
      </c>
      <c r="K1753">
        <v>22.712</v>
      </c>
      <c r="L1753">
        <v>1.45</v>
      </c>
      <c r="M1753" t="e">
        <v>#N/A</v>
      </c>
      <c r="N1753">
        <v>0.11</v>
      </c>
      <c r="O1753" t="e">
        <v>#N/A</v>
      </c>
      <c r="P1753">
        <v>0.47499999999999998</v>
      </c>
      <c r="Q1753">
        <v>11</v>
      </c>
    </row>
    <row r="1754" spans="1:17" x14ac:dyDescent="0.25">
      <c r="A1754" s="1">
        <v>43739</v>
      </c>
      <c r="B1754">
        <v>9.08</v>
      </c>
      <c r="C1754">
        <v>204.5</v>
      </c>
      <c r="D1754">
        <v>3.24</v>
      </c>
      <c r="E1754">
        <v>14.92</v>
      </c>
      <c r="F1754">
        <v>5.5679999999999996</v>
      </c>
      <c r="G1754">
        <v>2.0310000000000001</v>
      </c>
      <c r="H1754" s="15">
        <v>1.6</v>
      </c>
      <c r="I1754">
        <v>40</v>
      </c>
      <c r="J1754">
        <v>35.4</v>
      </c>
      <c r="K1754">
        <v>20.045999999999999</v>
      </c>
      <c r="L1754" t="e">
        <v>#N/A</v>
      </c>
      <c r="M1754" t="e">
        <v>#N/A</v>
      </c>
      <c r="N1754">
        <v>0.104</v>
      </c>
      <c r="O1754">
        <v>1.9870000000000001</v>
      </c>
      <c r="P1754">
        <v>0.45400000000000001</v>
      </c>
      <c r="Q1754">
        <v>13</v>
      </c>
    </row>
    <row r="1755" spans="1:17" x14ac:dyDescent="0.25">
      <c r="A1755" s="1">
        <v>43740</v>
      </c>
      <c r="B1755">
        <v>9.0500000000000007</v>
      </c>
      <c r="C1755">
        <v>201.79</v>
      </c>
      <c r="D1755" t="e">
        <v>#N/A</v>
      </c>
      <c r="E1755">
        <v>14.6</v>
      </c>
      <c r="F1755">
        <v>5.4640000000000004</v>
      </c>
      <c r="G1755">
        <v>1.992</v>
      </c>
      <c r="H1755" s="15">
        <v>1.57</v>
      </c>
      <c r="I1755">
        <v>39.590000000000003</v>
      </c>
      <c r="J1755">
        <v>35</v>
      </c>
      <c r="K1755">
        <v>20.835999999999999</v>
      </c>
      <c r="L1755">
        <v>1.42</v>
      </c>
      <c r="M1755" t="e">
        <v>#N/A</v>
      </c>
      <c r="N1755">
        <v>0.104</v>
      </c>
      <c r="O1755">
        <v>2.0169999999999999</v>
      </c>
      <c r="P1755">
        <v>0.44</v>
      </c>
      <c r="Q1755">
        <v>13</v>
      </c>
    </row>
    <row r="1756" spans="1:17" x14ac:dyDescent="0.25">
      <c r="A1756" s="1">
        <v>43741</v>
      </c>
      <c r="B1756">
        <v>9</v>
      </c>
      <c r="C1756">
        <v>203.29</v>
      </c>
      <c r="D1756">
        <v>3.25</v>
      </c>
      <c r="E1756">
        <v>14.62</v>
      </c>
      <c r="F1756">
        <v>5.4269999999999996</v>
      </c>
      <c r="G1756">
        <v>1.992</v>
      </c>
      <c r="H1756" s="15">
        <v>1.5</v>
      </c>
      <c r="I1756">
        <v>38.9</v>
      </c>
      <c r="J1756">
        <v>35.700000000000003</v>
      </c>
      <c r="K1756">
        <v>21.231000000000002</v>
      </c>
      <c r="L1756" t="e">
        <v>#N/A</v>
      </c>
      <c r="M1756" t="e">
        <v>#N/A</v>
      </c>
      <c r="N1756">
        <v>0.105</v>
      </c>
      <c r="O1756">
        <v>2.0270000000000001</v>
      </c>
      <c r="P1756">
        <v>0.43</v>
      </c>
      <c r="Q1756">
        <v>13</v>
      </c>
    </row>
    <row r="1757" spans="1:17" x14ac:dyDescent="0.25">
      <c r="A1757" s="1">
        <v>43742</v>
      </c>
      <c r="B1757">
        <v>9.01</v>
      </c>
      <c r="C1757">
        <v>207.6</v>
      </c>
      <c r="D1757">
        <v>3.25</v>
      </c>
      <c r="E1757">
        <v>14.98</v>
      </c>
      <c r="F1757">
        <v>5.4269999999999996</v>
      </c>
      <c r="G1757">
        <v>1.9530000000000001</v>
      </c>
      <c r="H1757" s="15">
        <v>1.53</v>
      </c>
      <c r="I1757">
        <v>38.950000000000003</v>
      </c>
      <c r="J1757">
        <v>36.1</v>
      </c>
      <c r="K1757">
        <v>23.7</v>
      </c>
      <c r="L1757">
        <v>1.46</v>
      </c>
      <c r="M1757" t="e">
        <v>#N/A</v>
      </c>
      <c r="N1757">
        <v>0.105</v>
      </c>
      <c r="O1757">
        <v>2.0070000000000001</v>
      </c>
      <c r="P1757">
        <v>0.45</v>
      </c>
      <c r="Q1757">
        <v>14</v>
      </c>
    </row>
    <row r="1758" spans="1:17" x14ac:dyDescent="0.25">
      <c r="A1758" s="1">
        <v>43745</v>
      </c>
      <c r="B1758">
        <v>9.02</v>
      </c>
      <c r="C1758">
        <v>207.45</v>
      </c>
      <c r="D1758">
        <v>3.25</v>
      </c>
      <c r="E1758">
        <v>14.53</v>
      </c>
      <c r="F1758">
        <v>5.5679999999999996</v>
      </c>
      <c r="G1758">
        <v>1.9330000000000001</v>
      </c>
      <c r="H1758" s="15">
        <v>1.64</v>
      </c>
      <c r="I1758">
        <v>39.049999999999997</v>
      </c>
      <c r="J1758">
        <v>36.25</v>
      </c>
      <c r="K1758">
        <v>23.68</v>
      </c>
      <c r="L1758">
        <v>1.45</v>
      </c>
      <c r="M1758">
        <v>3.28</v>
      </c>
      <c r="N1758">
        <v>0.108</v>
      </c>
      <c r="O1758">
        <v>2.0070000000000001</v>
      </c>
      <c r="P1758">
        <v>0.44500000000000001</v>
      </c>
      <c r="Q1758">
        <v>15</v>
      </c>
    </row>
    <row r="1759" spans="1:17" x14ac:dyDescent="0.25">
      <c r="A1759" s="1">
        <v>43747</v>
      </c>
      <c r="B1759">
        <v>9</v>
      </c>
      <c r="C1759">
        <v>178.79</v>
      </c>
      <c r="D1759">
        <v>3.22</v>
      </c>
      <c r="E1759">
        <v>14.42</v>
      </c>
      <c r="F1759">
        <v>5.4740000000000002</v>
      </c>
      <c r="G1759">
        <v>1.923</v>
      </c>
      <c r="H1759" s="15">
        <v>1.6</v>
      </c>
      <c r="I1759">
        <v>39.450000000000003</v>
      </c>
      <c r="J1759">
        <v>36.25</v>
      </c>
      <c r="K1759">
        <v>23.591000000000001</v>
      </c>
      <c r="L1759">
        <v>1.4</v>
      </c>
      <c r="M1759" t="e">
        <v>#N/A</v>
      </c>
      <c r="N1759">
        <v>0.11</v>
      </c>
      <c r="O1759">
        <v>2.0070000000000001</v>
      </c>
      <c r="P1759">
        <v>0.43099999999999999</v>
      </c>
      <c r="Q1759">
        <v>14</v>
      </c>
    </row>
    <row r="1760" spans="1:17" x14ac:dyDescent="0.25">
      <c r="A1760" s="1">
        <v>43748</v>
      </c>
      <c r="B1760">
        <v>9</v>
      </c>
      <c r="C1760">
        <v>177.43</v>
      </c>
      <c r="D1760">
        <v>3.21</v>
      </c>
      <c r="E1760">
        <v>14.5</v>
      </c>
      <c r="F1760">
        <v>5.5679999999999996</v>
      </c>
      <c r="G1760">
        <v>1.9139999999999999</v>
      </c>
      <c r="H1760" s="15">
        <v>1.6</v>
      </c>
      <c r="I1760">
        <v>39.049999999999997</v>
      </c>
      <c r="J1760">
        <v>35.75</v>
      </c>
      <c r="K1760">
        <v>23.206</v>
      </c>
      <c r="L1760">
        <v>1.45</v>
      </c>
      <c r="M1760" t="e">
        <v>#N/A</v>
      </c>
      <c r="N1760">
        <v>0.108</v>
      </c>
      <c r="O1760">
        <v>2.0070000000000001</v>
      </c>
      <c r="P1760">
        <v>0.435</v>
      </c>
      <c r="Q1760">
        <v>14</v>
      </c>
    </row>
    <row r="1761" spans="1:17" x14ac:dyDescent="0.25">
      <c r="A1761" s="1">
        <v>43749</v>
      </c>
      <c r="B1761">
        <v>9.1999999999999993</v>
      </c>
      <c r="C1761">
        <v>181.54</v>
      </c>
      <c r="D1761">
        <v>3.3</v>
      </c>
      <c r="E1761">
        <v>14.25</v>
      </c>
      <c r="F1761">
        <v>5.6150000000000002</v>
      </c>
      <c r="G1761">
        <v>1.9530000000000001</v>
      </c>
      <c r="H1761" s="15">
        <v>1.63</v>
      </c>
      <c r="I1761">
        <v>39.15</v>
      </c>
      <c r="J1761">
        <v>36.5</v>
      </c>
      <c r="K1761">
        <v>22.731999999999999</v>
      </c>
      <c r="L1761">
        <v>1.44</v>
      </c>
      <c r="M1761">
        <v>3.28</v>
      </c>
      <c r="N1761">
        <v>0.107</v>
      </c>
      <c r="O1761">
        <v>1.9870000000000001</v>
      </c>
      <c r="P1761">
        <v>0.45</v>
      </c>
      <c r="Q1761">
        <v>15</v>
      </c>
    </row>
    <row r="1762" spans="1:17" x14ac:dyDescent="0.25">
      <c r="A1762" s="1">
        <v>43752</v>
      </c>
      <c r="B1762">
        <v>9.3000000000000007</v>
      </c>
      <c r="C1762">
        <v>205.99</v>
      </c>
      <c r="D1762">
        <v>3.25</v>
      </c>
      <c r="E1762">
        <v>14.37</v>
      </c>
      <c r="F1762">
        <v>6.0590000000000002</v>
      </c>
      <c r="G1762">
        <v>1.972</v>
      </c>
      <c r="H1762" s="15">
        <v>1.64</v>
      </c>
      <c r="I1762">
        <v>39.15</v>
      </c>
      <c r="J1762">
        <v>36.49</v>
      </c>
      <c r="K1762">
        <v>22.347000000000001</v>
      </c>
      <c r="L1762" t="e">
        <v>#N/A</v>
      </c>
      <c r="M1762">
        <v>3.4</v>
      </c>
      <c r="N1762">
        <v>0.108</v>
      </c>
      <c r="O1762">
        <v>2.0870000000000002</v>
      </c>
      <c r="P1762">
        <v>0.442</v>
      </c>
      <c r="Q1762">
        <v>14</v>
      </c>
    </row>
    <row r="1763" spans="1:17" x14ac:dyDescent="0.25">
      <c r="A1763" s="1">
        <v>43753</v>
      </c>
      <c r="B1763">
        <v>9.3000000000000007</v>
      </c>
      <c r="C1763">
        <v>207.59</v>
      </c>
      <c r="D1763">
        <v>3.28</v>
      </c>
      <c r="E1763">
        <v>14.18</v>
      </c>
      <c r="F1763">
        <v>6.04</v>
      </c>
      <c r="G1763">
        <v>2.0209999999999999</v>
      </c>
      <c r="H1763" s="15">
        <v>1.61</v>
      </c>
      <c r="I1763">
        <v>39.200000000000003</v>
      </c>
      <c r="J1763">
        <v>36.5</v>
      </c>
      <c r="K1763">
        <v>21.922000000000001</v>
      </c>
      <c r="L1763">
        <v>1.4</v>
      </c>
      <c r="M1763" t="e">
        <v>#N/A</v>
      </c>
      <c r="N1763">
        <v>0.108</v>
      </c>
      <c r="O1763">
        <v>2.0870000000000002</v>
      </c>
      <c r="P1763">
        <v>0.437</v>
      </c>
      <c r="Q1763">
        <v>14</v>
      </c>
    </row>
    <row r="1764" spans="1:17" x14ac:dyDescent="0.25">
      <c r="A1764" s="1">
        <v>43754</v>
      </c>
      <c r="B1764">
        <v>9.26</v>
      </c>
      <c r="C1764">
        <v>206.6</v>
      </c>
      <c r="D1764">
        <v>3.28</v>
      </c>
      <c r="E1764">
        <v>14.2</v>
      </c>
      <c r="F1764">
        <v>6.04</v>
      </c>
      <c r="G1764">
        <v>2.0110000000000001</v>
      </c>
      <c r="H1764" s="15">
        <v>1.61</v>
      </c>
      <c r="I1764">
        <v>39.549999999999997</v>
      </c>
      <c r="J1764">
        <v>36.479999999999997</v>
      </c>
      <c r="K1764">
        <v>21.725000000000001</v>
      </c>
      <c r="L1764">
        <v>1.39</v>
      </c>
      <c r="M1764" t="e">
        <v>#N/A</v>
      </c>
      <c r="N1764">
        <v>0.108</v>
      </c>
      <c r="O1764">
        <v>2.097</v>
      </c>
      <c r="P1764">
        <v>0.43</v>
      </c>
      <c r="Q1764">
        <v>14</v>
      </c>
    </row>
    <row r="1765" spans="1:17" x14ac:dyDescent="0.25">
      <c r="A1765" s="1">
        <v>43755</v>
      </c>
      <c r="B1765">
        <v>9.31</v>
      </c>
      <c r="C1765">
        <v>207.1</v>
      </c>
      <c r="D1765">
        <v>3.25</v>
      </c>
      <c r="E1765" t="e">
        <v>#N/A</v>
      </c>
      <c r="F1765">
        <v>6.04</v>
      </c>
      <c r="G1765">
        <v>2.0209999999999999</v>
      </c>
      <c r="H1765" s="15">
        <v>1.57</v>
      </c>
      <c r="I1765">
        <v>39.9</v>
      </c>
      <c r="J1765">
        <v>36.29</v>
      </c>
      <c r="K1765">
        <v>21.725000000000001</v>
      </c>
      <c r="L1765" t="e">
        <v>#N/A</v>
      </c>
      <c r="M1765" t="e">
        <v>#N/A</v>
      </c>
      <c r="N1765">
        <v>0.108</v>
      </c>
      <c r="O1765">
        <v>2.1560000000000001</v>
      </c>
      <c r="P1765">
        <v>0.434</v>
      </c>
      <c r="Q1765">
        <v>12</v>
      </c>
    </row>
    <row r="1766" spans="1:17" x14ac:dyDescent="0.25">
      <c r="A1766" s="1">
        <v>43756</v>
      </c>
      <c r="B1766">
        <v>9.41</v>
      </c>
      <c r="C1766">
        <v>207.89</v>
      </c>
      <c r="D1766">
        <v>3.3</v>
      </c>
      <c r="E1766">
        <v>14.69</v>
      </c>
      <c r="F1766">
        <v>6.04</v>
      </c>
      <c r="G1766">
        <v>2.0310000000000001</v>
      </c>
      <c r="H1766" s="15">
        <v>1.58</v>
      </c>
      <c r="I1766">
        <v>40.4</v>
      </c>
      <c r="J1766">
        <v>36.020000000000003</v>
      </c>
      <c r="K1766">
        <v>21.734999999999999</v>
      </c>
      <c r="L1766" t="e">
        <v>#N/A</v>
      </c>
      <c r="M1766" t="e">
        <v>#N/A</v>
      </c>
      <c r="N1766">
        <v>0.11</v>
      </c>
      <c r="O1766">
        <v>2.1859999999999999</v>
      </c>
      <c r="P1766">
        <v>0.43099999999999999</v>
      </c>
      <c r="Q1766">
        <v>13</v>
      </c>
    </row>
    <row r="1767" spans="1:17" x14ac:dyDescent="0.25">
      <c r="A1767" s="1">
        <v>43759</v>
      </c>
      <c r="B1767">
        <v>9.4</v>
      </c>
      <c r="C1767">
        <v>206.6</v>
      </c>
      <c r="D1767">
        <v>3.32</v>
      </c>
      <c r="E1767">
        <v>14.22</v>
      </c>
      <c r="F1767">
        <v>6.04</v>
      </c>
      <c r="G1767">
        <v>2.0110000000000001</v>
      </c>
      <c r="H1767" s="15">
        <v>1.57</v>
      </c>
      <c r="I1767">
        <v>40.6</v>
      </c>
      <c r="J1767">
        <v>36.03</v>
      </c>
      <c r="K1767">
        <v>22.218</v>
      </c>
      <c r="L1767">
        <v>1.44</v>
      </c>
      <c r="M1767">
        <v>3.5</v>
      </c>
      <c r="N1767">
        <v>0.10299999999999999</v>
      </c>
      <c r="O1767">
        <v>2.1160000000000001</v>
      </c>
      <c r="P1767">
        <v>0.43</v>
      </c>
      <c r="Q1767">
        <v>15</v>
      </c>
    </row>
    <row r="1768" spans="1:17" x14ac:dyDescent="0.25">
      <c r="A1768" s="1">
        <v>43760</v>
      </c>
      <c r="B1768">
        <v>9.32</v>
      </c>
      <c r="C1768">
        <v>207.53</v>
      </c>
      <c r="D1768">
        <v>3.33</v>
      </c>
      <c r="E1768">
        <v>14.1</v>
      </c>
      <c r="F1768">
        <v>6.0679999999999996</v>
      </c>
      <c r="G1768">
        <v>2.0209999999999999</v>
      </c>
      <c r="H1768" s="15">
        <v>1.62</v>
      </c>
      <c r="I1768">
        <v>40.81</v>
      </c>
      <c r="J1768">
        <v>36.03</v>
      </c>
      <c r="K1768">
        <v>22.317</v>
      </c>
      <c r="L1768">
        <v>1.44</v>
      </c>
      <c r="M1768">
        <v>3.5</v>
      </c>
      <c r="N1768">
        <v>0.105</v>
      </c>
      <c r="O1768">
        <v>2.0070000000000001</v>
      </c>
      <c r="P1768">
        <v>0.42499999999999999</v>
      </c>
      <c r="Q1768">
        <v>15</v>
      </c>
    </row>
    <row r="1769" spans="1:17" x14ac:dyDescent="0.25">
      <c r="A1769" s="1">
        <v>43761</v>
      </c>
      <c r="B1769">
        <v>9.23</v>
      </c>
      <c r="C1769">
        <v>212</v>
      </c>
      <c r="D1769">
        <v>3.34</v>
      </c>
      <c r="E1769">
        <v>13.9</v>
      </c>
      <c r="F1769">
        <v>6.0869999999999997</v>
      </c>
      <c r="G1769">
        <v>2.0310000000000001</v>
      </c>
      <c r="H1769" s="15">
        <v>1.61</v>
      </c>
      <c r="I1769">
        <v>40.5</v>
      </c>
      <c r="J1769">
        <v>35.15</v>
      </c>
      <c r="K1769">
        <v>22.722000000000001</v>
      </c>
      <c r="L1769">
        <v>1.44</v>
      </c>
      <c r="M1769" t="e">
        <v>#N/A</v>
      </c>
      <c r="N1769">
        <v>0.10299999999999999</v>
      </c>
      <c r="O1769">
        <v>2.1259999999999999</v>
      </c>
      <c r="P1769">
        <v>0.42499999999999999</v>
      </c>
      <c r="Q1769">
        <v>14</v>
      </c>
    </row>
    <row r="1770" spans="1:17" x14ac:dyDescent="0.25">
      <c r="A1770" s="1">
        <v>43762</v>
      </c>
      <c r="B1770">
        <v>9.23</v>
      </c>
      <c r="C1770">
        <v>214.3</v>
      </c>
      <c r="D1770">
        <v>3.36</v>
      </c>
      <c r="E1770">
        <v>13.84</v>
      </c>
      <c r="F1770">
        <v>6.0869999999999997</v>
      </c>
      <c r="G1770">
        <v>2.0209999999999999</v>
      </c>
      <c r="H1770" s="15">
        <v>1.57</v>
      </c>
      <c r="I1770">
        <v>40.950000000000003</v>
      </c>
      <c r="J1770">
        <v>35</v>
      </c>
      <c r="K1770">
        <v>23.472999999999999</v>
      </c>
      <c r="L1770">
        <v>1.44</v>
      </c>
      <c r="M1770">
        <v>3.58</v>
      </c>
      <c r="N1770">
        <v>0.10100000000000001</v>
      </c>
      <c r="O1770">
        <v>2.0870000000000002</v>
      </c>
      <c r="P1770">
        <v>0.42</v>
      </c>
      <c r="Q1770">
        <v>15</v>
      </c>
    </row>
    <row r="1771" spans="1:17" x14ac:dyDescent="0.25">
      <c r="A1771" s="1">
        <v>43763</v>
      </c>
      <c r="B1771">
        <v>9.1999999999999993</v>
      </c>
      <c r="C1771">
        <v>212.2</v>
      </c>
      <c r="D1771">
        <v>3.4</v>
      </c>
      <c r="E1771">
        <v>14</v>
      </c>
      <c r="F1771">
        <v>6.0869999999999997</v>
      </c>
      <c r="G1771">
        <v>2.0310000000000001</v>
      </c>
      <c r="H1771" s="15">
        <v>1.66</v>
      </c>
      <c r="I1771">
        <v>41</v>
      </c>
      <c r="J1771">
        <v>35.5</v>
      </c>
      <c r="K1771">
        <v>23.7</v>
      </c>
      <c r="L1771">
        <v>1.44</v>
      </c>
      <c r="M1771" t="e">
        <v>#N/A</v>
      </c>
      <c r="N1771">
        <v>0.1</v>
      </c>
      <c r="O1771">
        <v>2.1360000000000001</v>
      </c>
      <c r="P1771">
        <v>0.41099999999999998</v>
      </c>
      <c r="Q1771">
        <v>14</v>
      </c>
    </row>
    <row r="1772" spans="1:17" x14ac:dyDescent="0.25">
      <c r="A1772" s="1">
        <v>43766</v>
      </c>
      <c r="B1772">
        <v>9.23</v>
      </c>
      <c r="C1772">
        <v>213.7</v>
      </c>
      <c r="D1772">
        <v>3.45</v>
      </c>
      <c r="E1772">
        <v>14.05</v>
      </c>
      <c r="F1772">
        <v>6.2380000000000004</v>
      </c>
      <c r="G1772">
        <v>2.0209999999999999</v>
      </c>
      <c r="H1772" s="15">
        <v>1.6</v>
      </c>
      <c r="I1772">
        <v>41.03</v>
      </c>
      <c r="J1772">
        <v>35.200000000000003</v>
      </c>
      <c r="K1772">
        <v>23.7</v>
      </c>
      <c r="L1772">
        <v>1.48</v>
      </c>
      <c r="M1772" t="e">
        <v>#N/A</v>
      </c>
      <c r="N1772">
        <v>0.1</v>
      </c>
      <c r="O1772">
        <v>2.0870000000000002</v>
      </c>
      <c r="P1772">
        <v>0.42</v>
      </c>
      <c r="Q1772">
        <v>14</v>
      </c>
    </row>
    <row r="1773" spans="1:17" x14ac:dyDescent="0.25">
      <c r="A1773" s="1">
        <v>43767</v>
      </c>
      <c r="B1773">
        <v>9.1999999999999993</v>
      </c>
      <c r="C1773">
        <v>213</v>
      </c>
      <c r="D1773">
        <v>3.5</v>
      </c>
      <c r="E1773">
        <v>14.56</v>
      </c>
      <c r="F1773">
        <v>6.351</v>
      </c>
      <c r="G1773">
        <v>2.0209999999999999</v>
      </c>
      <c r="H1773" s="15">
        <v>1.58</v>
      </c>
      <c r="I1773">
        <v>41.25</v>
      </c>
      <c r="J1773">
        <v>35.5</v>
      </c>
      <c r="K1773">
        <v>23.65</v>
      </c>
      <c r="L1773">
        <v>1.45</v>
      </c>
      <c r="M1773">
        <v>3.58</v>
      </c>
      <c r="N1773">
        <v>0.1</v>
      </c>
      <c r="O1773">
        <v>2.0870000000000002</v>
      </c>
      <c r="P1773">
        <v>0.42</v>
      </c>
      <c r="Q1773">
        <v>15</v>
      </c>
    </row>
    <row r="1774" spans="1:17" x14ac:dyDescent="0.25">
      <c r="A1774" s="1">
        <v>43768</v>
      </c>
      <c r="B1774">
        <v>9.16</v>
      </c>
      <c r="C1774">
        <v>211.2</v>
      </c>
      <c r="D1774">
        <v>3.5</v>
      </c>
      <c r="E1774">
        <v>14.6</v>
      </c>
      <c r="F1774">
        <v>6.38</v>
      </c>
      <c r="G1774">
        <v>2.0110000000000001</v>
      </c>
      <c r="H1774" s="15">
        <v>1.59</v>
      </c>
      <c r="I1774">
        <v>41.45</v>
      </c>
      <c r="J1774">
        <v>35.29</v>
      </c>
      <c r="K1774">
        <v>23.552</v>
      </c>
      <c r="L1774">
        <v>1.44</v>
      </c>
      <c r="M1774">
        <v>3.55</v>
      </c>
      <c r="N1774">
        <v>9.5000000000000001E-2</v>
      </c>
      <c r="O1774">
        <v>2.1360000000000001</v>
      </c>
      <c r="P1774">
        <v>0.40500000000000003</v>
      </c>
      <c r="Q1774">
        <v>15</v>
      </c>
    </row>
    <row r="1775" spans="1:17" x14ac:dyDescent="0.25">
      <c r="A1775" s="1">
        <v>43769</v>
      </c>
      <c r="B1775">
        <v>9.17</v>
      </c>
      <c r="C1775">
        <v>214.15</v>
      </c>
      <c r="D1775">
        <v>3.5</v>
      </c>
      <c r="E1775">
        <v>15.5</v>
      </c>
      <c r="F1775">
        <v>6.38</v>
      </c>
      <c r="G1775">
        <v>2.1190000000000002</v>
      </c>
      <c r="H1775" s="15">
        <v>1.64</v>
      </c>
      <c r="I1775">
        <v>41.7</v>
      </c>
      <c r="J1775">
        <v>35</v>
      </c>
      <c r="K1775">
        <v>23.501999999999999</v>
      </c>
      <c r="L1775" t="e">
        <v>#N/A</v>
      </c>
      <c r="M1775" t="e">
        <v>#N/A</v>
      </c>
      <c r="N1775">
        <v>9.8000000000000004E-2</v>
      </c>
      <c r="O1775">
        <v>2.1160000000000001</v>
      </c>
      <c r="P1775">
        <v>0.38700000000000001</v>
      </c>
      <c r="Q1775">
        <v>13</v>
      </c>
    </row>
    <row r="1776" spans="1:17" x14ac:dyDescent="0.25">
      <c r="A1776" s="1">
        <v>43773</v>
      </c>
      <c r="B1776">
        <v>9.1999999999999993</v>
      </c>
      <c r="C1776">
        <v>214.07</v>
      </c>
      <c r="D1776" t="e">
        <v>#N/A</v>
      </c>
      <c r="E1776">
        <v>15.73</v>
      </c>
      <c r="F1776" t="e">
        <v>#N/A</v>
      </c>
      <c r="G1776">
        <v>2.1579999999999999</v>
      </c>
      <c r="H1776" s="15">
        <v>1.58</v>
      </c>
      <c r="I1776">
        <v>41.5</v>
      </c>
      <c r="J1776">
        <v>34.799999999999997</v>
      </c>
      <c r="K1776">
        <v>23.196000000000002</v>
      </c>
      <c r="L1776">
        <v>1.49</v>
      </c>
      <c r="M1776">
        <v>3.5</v>
      </c>
      <c r="N1776">
        <v>0.1</v>
      </c>
      <c r="O1776">
        <v>2.1160000000000001</v>
      </c>
      <c r="P1776">
        <v>0.39500000000000002</v>
      </c>
      <c r="Q1776">
        <v>13</v>
      </c>
    </row>
    <row r="1777" spans="1:17" x14ac:dyDescent="0.25">
      <c r="A1777" s="1">
        <v>43774</v>
      </c>
      <c r="B1777">
        <v>9.1999999999999993</v>
      </c>
      <c r="C1777">
        <v>212.45</v>
      </c>
      <c r="D1777">
        <v>3.48</v>
      </c>
      <c r="E1777">
        <v>15.74</v>
      </c>
      <c r="F1777">
        <v>6.2759999999999998</v>
      </c>
      <c r="G1777">
        <v>2.1280000000000001</v>
      </c>
      <c r="H1777" s="15">
        <v>1.58</v>
      </c>
      <c r="I1777">
        <v>41.5</v>
      </c>
      <c r="J1777">
        <v>34.6</v>
      </c>
      <c r="K1777">
        <v>23.196000000000002</v>
      </c>
      <c r="L1777">
        <v>1.53</v>
      </c>
      <c r="M1777">
        <v>3.42</v>
      </c>
      <c r="N1777">
        <v>0.1</v>
      </c>
      <c r="O1777">
        <v>2.0870000000000002</v>
      </c>
      <c r="P1777">
        <v>0.39600000000000002</v>
      </c>
      <c r="Q1777">
        <v>15</v>
      </c>
    </row>
    <row r="1778" spans="1:17" x14ac:dyDescent="0.25">
      <c r="A1778" s="1">
        <v>43775</v>
      </c>
      <c r="B1778">
        <v>9.1999999999999993</v>
      </c>
      <c r="C1778">
        <v>212.5</v>
      </c>
      <c r="D1778">
        <v>3.48</v>
      </c>
      <c r="E1778" t="e">
        <v>#N/A</v>
      </c>
      <c r="F1778">
        <v>6.2759999999999998</v>
      </c>
      <c r="G1778">
        <v>2.109</v>
      </c>
      <c r="H1778" s="15">
        <v>1.51</v>
      </c>
      <c r="I1778">
        <v>41.18</v>
      </c>
      <c r="J1778">
        <v>34.299999999999997</v>
      </c>
      <c r="K1778">
        <v>22.712</v>
      </c>
      <c r="L1778">
        <v>1.53</v>
      </c>
      <c r="M1778">
        <v>3.45</v>
      </c>
      <c r="N1778">
        <v>0.1</v>
      </c>
      <c r="O1778">
        <v>2.1070000000000002</v>
      </c>
      <c r="P1778">
        <v>0.39</v>
      </c>
      <c r="Q1778">
        <v>14</v>
      </c>
    </row>
    <row r="1779" spans="1:17" x14ac:dyDescent="0.25">
      <c r="A1779" s="1">
        <v>43776</v>
      </c>
      <c r="B1779">
        <v>9.1999999999999993</v>
      </c>
      <c r="C1779">
        <v>216.1</v>
      </c>
      <c r="D1779">
        <v>3.45</v>
      </c>
      <c r="E1779">
        <v>15.5</v>
      </c>
      <c r="F1779">
        <v>6.2290000000000001</v>
      </c>
      <c r="G1779">
        <v>2.0990000000000002</v>
      </c>
      <c r="H1779" s="15">
        <v>1.44</v>
      </c>
      <c r="I1779">
        <v>41.5</v>
      </c>
      <c r="J1779">
        <v>33.9</v>
      </c>
      <c r="K1779">
        <v>22.831</v>
      </c>
      <c r="L1779">
        <v>1.53</v>
      </c>
      <c r="M1779">
        <v>3.45</v>
      </c>
      <c r="N1779">
        <v>0.10100000000000001</v>
      </c>
      <c r="O1779">
        <v>2.1070000000000002</v>
      </c>
      <c r="P1779">
        <v>0.4</v>
      </c>
      <c r="Q1779">
        <v>15</v>
      </c>
    </row>
    <row r="1780" spans="1:17" x14ac:dyDescent="0.25">
      <c r="A1780" s="1">
        <v>43777</v>
      </c>
      <c r="B1780">
        <v>9</v>
      </c>
      <c r="C1780">
        <v>206.5</v>
      </c>
      <c r="D1780">
        <v>3.44</v>
      </c>
      <c r="E1780">
        <v>15.58</v>
      </c>
      <c r="F1780">
        <v>6.1820000000000004</v>
      </c>
      <c r="G1780">
        <v>2.0699999999999998</v>
      </c>
      <c r="H1780" s="15">
        <v>1.45</v>
      </c>
      <c r="I1780">
        <v>40.6</v>
      </c>
      <c r="J1780">
        <v>33.75</v>
      </c>
      <c r="K1780">
        <v>22.218</v>
      </c>
      <c r="L1780">
        <v>1.49</v>
      </c>
      <c r="M1780">
        <v>3.4</v>
      </c>
      <c r="N1780">
        <v>0.1</v>
      </c>
      <c r="O1780">
        <v>2.077</v>
      </c>
      <c r="P1780">
        <v>0.39</v>
      </c>
      <c r="Q1780">
        <v>15</v>
      </c>
    </row>
    <row r="1781" spans="1:17" x14ac:dyDescent="0.25">
      <c r="A1781" s="1">
        <v>43780</v>
      </c>
      <c r="B1781">
        <v>9</v>
      </c>
      <c r="C1781">
        <v>205.25</v>
      </c>
      <c r="D1781">
        <v>3.5</v>
      </c>
      <c r="E1781">
        <v>15.39</v>
      </c>
      <c r="F1781">
        <v>6.1340000000000003</v>
      </c>
      <c r="G1781">
        <v>2.0499999999999998</v>
      </c>
      <c r="H1781" s="15">
        <v>1.38</v>
      </c>
      <c r="I1781">
        <v>40.75</v>
      </c>
      <c r="J1781">
        <v>33.200000000000003</v>
      </c>
      <c r="K1781">
        <v>22.218</v>
      </c>
      <c r="L1781">
        <v>1.48</v>
      </c>
      <c r="M1781" t="e">
        <v>#N/A</v>
      </c>
      <c r="N1781">
        <v>9.6000000000000002E-2</v>
      </c>
      <c r="O1781">
        <v>2.0369999999999999</v>
      </c>
      <c r="P1781">
        <v>0.39200000000000002</v>
      </c>
      <c r="Q1781">
        <v>14</v>
      </c>
    </row>
    <row r="1782" spans="1:17" x14ac:dyDescent="0.25">
      <c r="A1782" s="1">
        <v>43781</v>
      </c>
      <c r="B1782">
        <v>9</v>
      </c>
      <c r="C1782">
        <v>203.92</v>
      </c>
      <c r="D1782">
        <v>3.45</v>
      </c>
      <c r="E1782">
        <v>15.22</v>
      </c>
      <c r="F1782">
        <v>6.1340000000000003</v>
      </c>
      <c r="G1782">
        <v>2.0499999999999998</v>
      </c>
      <c r="H1782" s="15">
        <v>1.43</v>
      </c>
      <c r="I1782">
        <v>40.5</v>
      </c>
      <c r="J1782">
        <v>33.4</v>
      </c>
      <c r="K1782">
        <v>22.238</v>
      </c>
      <c r="L1782">
        <v>1.48</v>
      </c>
      <c r="M1782">
        <v>3.4</v>
      </c>
      <c r="N1782">
        <v>9.2999999999999999E-2</v>
      </c>
      <c r="O1782">
        <v>2</v>
      </c>
      <c r="P1782">
        <v>0.38</v>
      </c>
      <c r="Q1782">
        <v>15</v>
      </c>
    </row>
    <row r="1783" spans="1:17" x14ac:dyDescent="0.25">
      <c r="A1783" s="1">
        <v>43782</v>
      </c>
      <c r="B1783">
        <v>9</v>
      </c>
      <c r="C1783">
        <v>203.7</v>
      </c>
      <c r="D1783">
        <v>3.44</v>
      </c>
      <c r="E1783">
        <v>15.1</v>
      </c>
      <c r="F1783">
        <v>6.1340000000000003</v>
      </c>
      <c r="G1783">
        <v>2.0499999999999998</v>
      </c>
      <c r="H1783" s="15">
        <v>1.41</v>
      </c>
      <c r="I1783">
        <v>40.450000000000003</v>
      </c>
      <c r="J1783">
        <v>33.4</v>
      </c>
      <c r="K1783">
        <v>22.712</v>
      </c>
      <c r="L1783" t="e">
        <v>#N/A</v>
      </c>
      <c r="M1783" t="e">
        <v>#N/A</v>
      </c>
      <c r="N1783">
        <v>9.6000000000000002E-2</v>
      </c>
      <c r="O1783">
        <v>2</v>
      </c>
      <c r="P1783">
        <v>0.38</v>
      </c>
      <c r="Q1783">
        <v>13</v>
      </c>
    </row>
    <row r="1784" spans="1:17" x14ac:dyDescent="0.25">
      <c r="A1784" s="1">
        <v>43783</v>
      </c>
      <c r="B1784">
        <v>9</v>
      </c>
      <c r="C1784">
        <v>203.8</v>
      </c>
      <c r="D1784">
        <v>3.44</v>
      </c>
      <c r="E1784">
        <v>14.77</v>
      </c>
      <c r="F1784">
        <v>6.1340000000000003</v>
      </c>
      <c r="G1784">
        <v>2.0499999999999998</v>
      </c>
      <c r="H1784" s="15">
        <v>1.36</v>
      </c>
      <c r="I1784">
        <v>39.979999999999997</v>
      </c>
      <c r="J1784">
        <v>33.4</v>
      </c>
      <c r="K1784">
        <v>22.712</v>
      </c>
      <c r="L1784">
        <v>1.48</v>
      </c>
      <c r="M1784" t="e">
        <v>#N/A</v>
      </c>
      <c r="N1784">
        <v>9.6000000000000002E-2</v>
      </c>
      <c r="O1784">
        <v>1.98</v>
      </c>
      <c r="P1784">
        <v>0.36499999999999999</v>
      </c>
      <c r="Q1784">
        <v>14</v>
      </c>
    </row>
    <row r="1785" spans="1:17" x14ac:dyDescent="0.25">
      <c r="A1785" s="1">
        <v>43784</v>
      </c>
      <c r="B1785">
        <v>9</v>
      </c>
      <c r="C1785">
        <v>209.4</v>
      </c>
      <c r="D1785">
        <v>3.44</v>
      </c>
      <c r="E1785" t="e">
        <v>#N/A</v>
      </c>
      <c r="F1785">
        <v>6.0869999999999997</v>
      </c>
      <c r="G1785">
        <v>2.09</v>
      </c>
      <c r="H1785" s="15">
        <v>1.39</v>
      </c>
      <c r="I1785">
        <v>39.729999999999997</v>
      </c>
      <c r="J1785">
        <v>33.4</v>
      </c>
      <c r="K1785">
        <v>22.712</v>
      </c>
      <c r="L1785">
        <v>1.48</v>
      </c>
      <c r="M1785" t="e">
        <v>#N/A</v>
      </c>
      <c r="N1785">
        <v>9.7000000000000003E-2</v>
      </c>
      <c r="O1785">
        <v>2.02</v>
      </c>
      <c r="P1785">
        <v>0.36899999999999999</v>
      </c>
      <c r="Q1785">
        <v>13</v>
      </c>
    </row>
    <row r="1786" spans="1:17" x14ac:dyDescent="0.25">
      <c r="A1786" s="1">
        <v>43787</v>
      </c>
      <c r="B1786">
        <v>8.93</v>
      </c>
      <c r="C1786">
        <v>210</v>
      </c>
      <c r="D1786">
        <v>3.44</v>
      </c>
      <c r="E1786" t="e">
        <v>#N/A</v>
      </c>
      <c r="F1786">
        <v>6.04</v>
      </c>
      <c r="G1786">
        <v>2.1680000000000001</v>
      </c>
      <c r="H1786" s="15">
        <v>1.32</v>
      </c>
      <c r="I1786">
        <v>39.950000000000003</v>
      </c>
      <c r="J1786">
        <v>34.01</v>
      </c>
      <c r="K1786">
        <v>23.206</v>
      </c>
      <c r="L1786" t="e">
        <v>#N/A</v>
      </c>
      <c r="M1786" t="e">
        <v>#N/A</v>
      </c>
      <c r="N1786">
        <v>9.9000000000000005E-2</v>
      </c>
      <c r="O1786" t="e">
        <v>#N/A</v>
      </c>
      <c r="P1786">
        <v>0.372</v>
      </c>
      <c r="Q1786">
        <v>11</v>
      </c>
    </row>
    <row r="1787" spans="1:17" x14ac:dyDescent="0.25">
      <c r="A1787" s="1">
        <v>43788</v>
      </c>
      <c r="B1787">
        <v>8.85</v>
      </c>
      <c r="C1787">
        <v>206.62</v>
      </c>
      <c r="D1787">
        <v>3.4</v>
      </c>
      <c r="E1787">
        <v>14.95</v>
      </c>
      <c r="F1787">
        <v>6.04</v>
      </c>
      <c r="G1787">
        <v>2.1190000000000002</v>
      </c>
      <c r="H1787" s="15">
        <v>1.31</v>
      </c>
      <c r="I1787">
        <v>41.1</v>
      </c>
      <c r="J1787">
        <v>35</v>
      </c>
      <c r="K1787">
        <v>23.7</v>
      </c>
      <c r="L1787">
        <v>1.48</v>
      </c>
      <c r="M1787">
        <v>3.3</v>
      </c>
      <c r="N1787">
        <v>0.10199999999999999</v>
      </c>
      <c r="O1787">
        <v>2.02</v>
      </c>
      <c r="P1787">
        <v>0.377</v>
      </c>
      <c r="Q1787">
        <v>15</v>
      </c>
    </row>
    <row r="1788" spans="1:17" x14ac:dyDescent="0.25">
      <c r="A1788" s="1">
        <v>43789</v>
      </c>
      <c r="B1788">
        <v>8.89</v>
      </c>
      <c r="C1788">
        <v>206.1</v>
      </c>
      <c r="D1788">
        <v>3.4</v>
      </c>
      <c r="E1788">
        <v>14.79</v>
      </c>
      <c r="F1788">
        <v>6.1340000000000003</v>
      </c>
      <c r="G1788">
        <v>2.14</v>
      </c>
      <c r="H1788" s="15">
        <v>1.34</v>
      </c>
      <c r="I1788">
        <v>39.35</v>
      </c>
      <c r="J1788">
        <v>35</v>
      </c>
      <c r="K1788">
        <v>23.72</v>
      </c>
      <c r="L1788">
        <v>1.5</v>
      </c>
      <c r="M1788">
        <v>3.3</v>
      </c>
      <c r="N1788">
        <v>0.1</v>
      </c>
      <c r="O1788">
        <v>2.0099999999999998</v>
      </c>
      <c r="P1788">
        <v>0.37</v>
      </c>
      <c r="Q1788">
        <v>15</v>
      </c>
    </row>
    <row r="1789" spans="1:17" x14ac:dyDescent="0.25">
      <c r="A1789" s="1">
        <v>43790</v>
      </c>
      <c r="B1789">
        <v>8.9</v>
      </c>
      <c r="C1789">
        <v>208.1</v>
      </c>
      <c r="D1789">
        <v>3.4</v>
      </c>
      <c r="E1789">
        <v>14.85</v>
      </c>
      <c r="F1789">
        <v>6.2290000000000001</v>
      </c>
      <c r="G1789">
        <v>2.15</v>
      </c>
      <c r="H1789" s="15">
        <v>1.33</v>
      </c>
      <c r="I1789">
        <v>39.6</v>
      </c>
      <c r="J1789">
        <v>36</v>
      </c>
      <c r="K1789">
        <v>23.7</v>
      </c>
      <c r="L1789">
        <v>1.5</v>
      </c>
      <c r="M1789">
        <v>3.26</v>
      </c>
      <c r="N1789">
        <v>0.1</v>
      </c>
      <c r="O1789">
        <v>1.99</v>
      </c>
      <c r="P1789">
        <v>0.35</v>
      </c>
      <c r="Q1789">
        <v>15</v>
      </c>
    </row>
    <row r="1790" spans="1:17" x14ac:dyDescent="0.25">
      <c r="A1790" s="1">
        <v>43791</v>
      </c>
      <c r="B1790">
        <v>8.9</v>
      </c>
      <c r="C1790">
        <v>206.8</v>
      </c>
      <c r="D1790">
        <v>3.36</v>
      </c>
      <c r="E1790">
        <v>15</v>
      </c>
      <c r="F1790">
        <v>6.2290000000000001</v>
      </c>
      <c r="G1790">
        <v>2.1800000000000002</v>
      </c>
      <c r="H1790" s="15">
        <v>1.29</v>
      </c>
      <c r="I1790">
        <v>39.299999999999997</v>
      </c>
      <c r="J1790">
        <v>35.49</v>
      </c>
      <c r="K1790">
        <v>23.7</v>
      </c>
      <c r="L1790">
        <v>1.48</v>
      </c>
      <c r="M1790" t="e">
        <v>#N/A</v>
      </c>
      <c r="N1790">
        <v>9.8000000000000004E-2</v>
      </c>
      <c r="O1790">
        <v>2</v>
      </c>
      <c r="P1790">
        <v>0.35299999999999998</v>
      </c>
      <c r="Q1790">
        <v>14</v>
      </c>
    </row>
    <row r="1791" spans="1:17" x14ac:dyDescent="0.25">
      <c r="A1791" s="1">
        <v>43794</v>
      </c>
      <c r="B1791">
        <v>8.9</v>
      </c>
      <c r="C1791">
        <v>210.1</v>
      </c>
      <c r="D1791">
        <v>3.35</v>
      </c>
      <c r="E1791">
        <v>15</v>
      </c>
      <c r="F1791">
        <v>6.0869999999999997</v>
      </c>
      <c r="G1791">
        <v>2.19</v>
      </c>
      <c r="H1791" s="15">
        <v>1.3</v>
      </c>
      <c r="I1791">
        <v>39.700000000000003</v>
      </c>
      <c r="J1791">
        <v>36</v>
      </c>
      <c r="K1791">
        <v>23.7</v>
      </c>
      <c r="L1791">
        <v>1.48</v>
      </c>
      <c r="M1791">
        <v>3.26</v>
      </c>
      <c r="N1791">
        <v>9.8000000000000004E-2</v>
      </c>
      <c r="O1791">
        <v>2</v>
      </c>
      <c r="P1791">
        <v>0.35199999999999998</v>
      </c>
      <c r="Q1791">
        <v>15</v>
      </c>
    </row>
    <row r="1792" spans="1:17" x14ac:dyDescent="0.25">
      <c r="A1792" s="1">
        <v>43795</v>
      </c>
      <c r="B1792">
        <v>8.9</v>
      </c>
      <c r="C1792">
        <v>207.41</v>
      </c>
      <c r="D1792">
        <v>3.35</v>
      </c>
      <c r="E1792">
        <v>15.39</v>
      </c>
      <c r="F1792">
        <v>6.04</v>
      </c>
      <c r="G1792">
        <v>2.14</v>
      </c>
      <c r="H1792" s="15">
        <v>1.3</v>
      </c>
      <c r="I1792">
        <v>39.65</v>
      </c>
      <c r="J1792">
        <v>36.520000000000003</v>
      </c>
      <c r="K1792">
        <v>23.7</v>
      </c>
      <c r="L1792">
        <v>1.48</v>
      </c>
      <c r="M1792">
        <v>3.25</v>
      </c>
      <c r="N1792">
        <v>9.1999999999999998E-2</v>
      </c>
      <c r="O1792">
        <v>1.97</v>
      </c>
      <c r="P1792">
        <v>0.33700000000000002</v>
      </c>
      <c r="Q1792">
        <v>15</v>
      </c>
    </row>
    <row r="1793" spans="1:17" x14ac:dyDescent="0.25">
      <c r="A1793" s="1">
        <v>43796</v>
      </c>
      <c r="B1793">
        <v>8.8000000000000007</v>
      </c>
      <c r="C1793">
        <v>210</v>
      </c>
      <c r="D1793">
        <v>3.35</v>
      </c>
      <c r="E1793">
        <v>15</v>
      </c>
      <c r="F1793">
        <v>6.04</v>
      </c>
      <c r="G1793">
        <v>2.14</v>
      </c>
      <c r="H1793" s="15">
        <v>1.29</v>
      </c>
      <c r="I1793">
        <v>39</v>
      </c>
      <c r="J1793">
        <v>36</v>
      </c>
      <c r="K1793">
        <v>23.7</v>
      </c>
      <c r="L1793">
        <v>1.48</v>
      </c>
      <c r="M1793">
        <v>3.22</v>
      </c>
      <c r="N1793">
        <v>9.5000000000000001E-2</v>
      </c>
      <c r="O1793">
        <v>2</v>
      </c>
      <c r="P1793">
        <v>0.33700000000000002</v>
      </c>
      <c r="Q1793">
        <v>15</v>
      </c>
    </row>
    <row r="1794" spans="1:17" x14ac:dyDescent="0.25">
      <c r="A1794" s="1">
        <v>43797</v>
      </c>
      <c r="B1794">
        <v>8.75</v>
      </c>
      <c r="C1794">
        <v>212</v>
      </c>
      <c r="D1794">
        <v>3.35</v>
      </c>
      <c r="E1794" t="e">
        <v>#N/A</v>
      </c>
      <c r="F1794">
        <v>6.0209999999999999</v>
      </c>
      <c r="G1794">
        <v>2.15</v>
      </c>
      <c r="H1794" s="15">
        <v>1.53</v>
      </c>
      <c r="I1794">
        <v>39.5</v>
      </c>
      <c r="J1794">
        <v>35.200000000000003</v>
      </c>
      <c r="K1794">
        <v>23.216000000000001</v>
      </c>
      <c r="L1794">
        <v>1.45</v>
      </c>
      <c r="M1794" t="e">
        <v>#N/A</v>
      </c>
      <c r="N1794">
        <v>9.5000000000000001E-2</v>
      </c>
      <c r="O1794">
        <v>2</v>
      </c>
      <c r="P1794">
        <v>0.33900000000000002</v>
      </c>
      <c r="Q1794">
        <v>13</v>
      </c>
    </row>
    <row r="1795" spans="1:17" x14ac:dyDescent="0.25">
      <c r="A1795" s="1">
        <v>43798</v>
      </c>
      <c r="B1795">
        <v>8.8000000000000007</v>
      </c>
      <c r="C1795">
        <v>210.09</v>
      </c>
      <c r="D1795">
        <v>3.36</v>
      </c>
      <c r="E1795">
        <v>15.3</v>
      </c>
      <c r="F1795">
        <v>5.9930000000000003</v>
      </c>
      <c r="G1795">
        <v>2.14</v>
      </c>
      <c r="H1795" s="15">
        <v>1.44</v>
      </c>
      <c r="I1795">
        <v>39.950000000000003</v>
      </c>
      <c r="J1795">
        <v>35.200000000000003</v>
      </c>
      <c r="K1795">
        <v>23.69</v>
      </c>
      <c r="L1795" t="e">
        <v>#N/A</v>
      </c>
      <c r="M1795" t="e">
        <v>#N/A</v>
      </c>
      <c r="N1795">
        <v>9.5000000000000001E-2</v>
      </c>
      <c r="O1795">
        <v>2</v>
      </c>
      <c r="P1795">
        <v>0.34300000000000003</v>
      </c>
      <c r="Q1795">
        <v>13</v>
      </c>
    </row>
    <row r="1796" spans="1:17" x14ac:dyDescent="0.25">
      <c r="A1796" s="1">
        <v>43801</v>
      </c>
      <c r="B1796">
        <v>8.8000000000000007</v>
      </c>
      <c r="C1796">
        <v>212</v>
      </c>
      <c r="D1796">
        <v>3.36</v>
      </c>
      <c r="E1796">
        <v>15.16</v>
      </c>
      <c r="F1796">
        <v>6.0869999999999997</v>
      </c>
      <c r="G1796">
        <v>2.15</v>
      </c>
      <c r="H1796" s="15">
        <v>1.48</v>
      </c>
      <c r="I1796">
        <v>40.450000000000003</v>
      </c>
      <c r="J1796">
        <v>34.700000000000003</v>
      </c>
      <c r="K1796">
        <v>23.7</v>
      </c>
      <c r="L1796">
        <v>1.48</v>
      </c>
      <c r="M1796">
        <v>3.22</v>
      </c>
      <c r="N1796">
        <v>9.5000000000000001E-2</v>
      </c>
      <c r="O1796">
        <v>2</v>
      </c>
      <c r="P1796">
        <v>0.33</v>
      </c>
      <c r="Q1796">
        <v>15</v>
      </c>
    </row>
    <row r="1797" spans="1:17" x14ac:dyDescent="0.25">
      <c r="A1797" s="1">
        <v>43802</v>
      </c>
      <c r="B1797">
        <v>8.65</v>
      </c>
      <c r="C1797">
        <v>207.07</v>
      </c>
      <c r="D1797">
        <v>3.37</v>
      </c>
      <c r="E1797">
        <v>15.04</v>
      </c>
      <c r="F1797">
        <v>6.04</v>
      </c>
      <c r="G1797">
        <v>2.12</v>
      </c>
      <c r="H1797" s="15">
        <v>1.47</v>
      </c>
      <c r="I1797">
        <v>40.450000000000003</v>
      </c>
      <c r="J1797">
        <v>34.909999999999997</v>
      </c>
      <c r="K1797">
        <v>23.7</v>
      </c>
      <c r="L1797">
        <v>1.42</v>
      </c>
      <c r="M1797">
        <v>3.15</v>
      </c>
      <c r="N1797">
        <v>9.4E-2</v>
      </c>
      <c r="O1797">
        <v>1.95</v>
      </c>
      <c r="P1797">
        <v>0.313</v>
      </c>
      <c r="Q1797">
        <v>15</v>
      </c>
    </row>
    <row r="1798" spans="1:17" x14ac:dyDescent="0.25">
      <c r="A1798" s="1">
        <v>43803</v>
      </c>
      <c r="B1798">
        <v>8.5</v>
      </c>
      <c r="C1798">
        <v>207.78</v>
      </c>
      <c r="D1798">
        <v>3.36</v>
      </c>
      <c r="E1798">
        <v>15.12</v>
      </c>
      <c r="F1798">
        <v>5.9930000000000003</v>
      </c>
      <c r="G1798">
        <v>2.1</v>
      </c>
      <c r="H1798" s="15">
        <v>1.45</v>
      </c>
      <c r="I1798">
        <v>39.54</v>
      </c>
      <c r="J1798">
        <v>34.909999999999997</v>
      </c>
      <c r="K1798">
        <v>23.452999999999999</v>
      </c>
      <c r="L1798">
        <v>1.41</v>
      </c>
      <c r="M1798">
        <v>3.15</v>
      </c>
      <c r="N1798">
        <v>9.2999999999999999E-2</v>
      </c>
      <c r="O1798">
        <v>1.93</v>
      </c>
      <c r="P1798">
        <v>0.33500000000000002</v>
      </c>
      <c r="Q1798">
        <v>15</v>
      </c>
    </row>
    <row r="1799" spans="1:17" x14ac:dyDescent="0.25">
      <c r="A1799" s="1">
        <v>43804</v>
      </c>
      <c r="B1799">
        <v>8.5</v>
      </c>
      <c r="C1799">
        <v>205</v>
      </c>
      <c r="D1799">
        <v>3.37</v>
      </c>
      <c r="E1799">
        <v>15.15</v>
      </c>
      <c r="F1799">
        <v>6.04</v>
      </c>
      <c r="G1799">
        <v>2.12</v>
      </c>
      <c r="H1799" s="15">
        <v>1.42</v>
      </c>
      <c r="I1799">
        <v>39.4</v>
      </c>
      <c r="J1799">
        <v>36</v>
      </c>
      <c r="K1799">
        <v>23.7</v>
      </c>
      <c r="L1799">
        <v>1.41</v>
      </c>
      <c r="M1799" t="e">
        <v>#N/A</v>
      </c>
      <c r="N1799">
        <v>9.0999999999999998E-2</v>
      </c>
      <c r="O1799" t="e">
        <v>#N/A</v>
      </c>
      <c r="P1799">
        <v>0.33500000000000002</v>
      </c>
      <c r="Q1799">
        <v>13</v>
      </c>
    </row>
    <row r="1800" spans="1:17" x14ac:dyDescent="0.25">
      <c r="A1800" s="1">
        <v>43805</v>
      </c>
      <c r="B1800">
        <v>8.5399999999999991</v>
      </c>
      <c r="C1800">
        <v>208.29</v>
      </c>
      <c r="D1800">
        <v>3.4</v>
      </c>
      <c r="E1800">
        <v>14.8</v>
      </c>
      <c r="F1800">
        <v>6.1</v>
      </c>
      <c r="G1800">
        <v>2.12</v>
      </c>
      <c r="H1800" s="15">
        <v>1.48</v>
      </c>
      <c r="I1800">
        <v>39.340000000000003</v>
      </c>
      <c r="J1800" t="e">
        <v>#N/A</v>
      </c>
      <c r="K1800">
        <v>23.7</v>
      </c>
      <c r="L1800">
        <v>1.42</v>
      </c>
      <c r="M1800" t="e">
        <v>#N/A</v>
      </c>
      <c r="N1800">
        <v>9.1999999999999998E-2</v>
      </c>
      <c r="O1800">
        <v>2</v>
      </c>
      <c r="P1800">
        <v>0.34</v>
      </c>
      <c r="Q1800">
        <v>13</v>
      </c>
    </row>
    <row r="1801" spans="1:17" x14ac:dyDescent="0.25">
      <c r="A1801" s="1">
        <v>43808</v>
      </c>
      <c r="B1801">
        <v>8.6199999999999992</v>
      </c>
      <c r="C1801">
        <v>207.3</v>
      </c>
      <c r="D1801">
        <v>3.4</v>
      </c>
      <c r="E1801">
        <v>14.66</v>
      </c>
      <c r="F1801">
        <v>6.1</v>
      </c>
      <c r="G1801">
        <v>2.0699999999999998</v>
      </c>
      <c r="H1801" s="15">
        <v>1.46</v>
      </c>
      <c r="I1801">
        <v>39</v>
      </c>
      <c r="J1801">
        <v>35.1</v>
      </c>
      <c r="K1801">
        <v>23.68</v>
      </c>
      <c r="L1801">
        <v>1.42</v>
      </c>
      <c r="M1801" t="e">
        <v>#N/A</v>
      </c>
      <c r="N1801">
        <v>9.5000000000000001E-2</v>
      </c>
      <c r="O1801">
        <v>1.96</v>
      </c>
      <c r="P1801">
        <v>0.35</v>
      </c>
      <c r="Q1801">
        <v>14</v>
      </c>
    </row>
    <row r="1802" spans="1:17" x14ac:dyDescent="0.25">
      <c r="A1802" s="1">
        <v>43809</v>
      </c>
      <c r="B1802">
        <v>8.9499999999999993</v>
      </c>
      <c r="C1802">
        <v>203.5</v>
      </c>
      <c r="D1802">
        <v>3.4</v>
      </c>
      <c r="E1802">
        <v>14.78</v>
      </c>
      <c r="F1802">
        <v>6.05</v>
      </c>
      <c r="G1802">
        <v>2.06</v>
      </c>
      <c r="H1802" s="15">
        <v>1.5</v>
      </c>
      <c r="I1802">
        <v>39.15</v>
      </c>
      <c r="J1802" t="e">
        <v>#N/A</v>
      </c>
      <c r="K1802">
        <v>23.6</v>
      </c>
      <c r="L1802">
        <v>1.45</v>
      </c>
      <c r="M1802" t="e">
        <v>#N/A</v>
      </c>
      <c r="N1802">
        <v>9.8000000000000004E-2</v>
      </c>
      <c r="O1802">
        <v>2</v>
      </c>
      <c r="P1802">
        <v>0.39</v>
      </c>
      <c r="Q1802">
        <v>13</v>
      </c>
    </row>
    <row r="1803" spans="1:17" x14ac:dyDescent="0.25">
      <c r="A1803" s="1">
        <v>43810</v>
      </c>
      <c r="B1803">
        <v>8.8000000000000007</v>
      </c>
      <c r="C1803">
        <v>204.55</v>
      </c>
      <c r="D1803">
        <v>3.37</v>
      </c>
      <c r="E1803">
        <v>14.71</v>
      </c>
      <c r="F1803">
        <v>6</v>
      </c>
      <c r="G1803">
        <v>2.0499999999999998</v>
      </c>
      <c r="H1803" s="15">
        <v>1.45</v>
      </c>
      <c r="I1803">
        <v>39.19</v>
      </c>
      <c r="J1803">
        <v>35.1</v>
      </c>
      <c r="K1803">
        <v>23.5</v>
      </c>
      <c r="L1803">
        <v>1.61</v>
      </c>
      <c r="M1803">
        <v>3.26</v>
      </c>
      <c r="N1803">
        <v>9.8000000000000004E-2</v>
      </c>
      <c r="O1803">
        <v>2</v>
      </c>
      <c r="P1803">
        <v>0.41799999999999998</v>
      </c>
      <c r="Q1803">
        <v>15</v>
      </c>
    </row>
    <row r="1804" spans="1:17" x14ac:dyDescent="0.25">
      <c r="A1804" s="1">
        <v>43811</v>
      </c>
      <c r="B1804">
        <v>8.75</v>
      </c>
      <c r="C1804">
        <v>208.25</v>
      </c>
      <c r="D1804">
        <v>3.37</v>
      </c>
      <c r="E1804">
        <v>14.84</v>
      </c>
      <c r="F1804">
        <v>5.85</v>
      </c>
      <c r="G1804">
        <v>2.04</v>
      </c>
      <c r="H1804" s="15">
        <v>1.5</v>
      </c>
      <c r="I1804">
        <v>39.19</v>
      </c>
      <c r="J1804">
        <v>35.11</v>
      </c>
      <c r="K1804">
        <v>23.22</v>
      </c>
      <c r="L1804">
        <v>1.58</v>
      </c>
      <c r="M1804" t="e">
        <v>#N/A</v>
      </c>
      <c r="N1804">
        <v>0.10100000000000001</v>
      </c>
      <c r="O1804">
        <v>1.96</v>
      </c>
      <c r="P1804">
        <v>0.43</v>
      </c>
      <c r="Q1804">
        <v>14</v>
      </c>
    </row>
    <row r="1805" spans="1:17" x14ac:dyDescent="0.25">
      <c r="A1805" s="1">
        <v>43812</v>
      </c>
      <c r="B1805">
        <v>8.75</v>
      </c>
      <c r="C1805">
        <v>207.25</v>
      </c>
      <c r="D1805">
        <v>3.37</v>
      </c>
      <c r="E1805" t="e">
        <v>#N/A</v>
      </c>
      <c r="F1805">
        <v>6</v>
      </c>
      <c r="G1805">
        <v>2.04</v>
      </c>
      <c r="H1805" s="15">
        <v>1.48</v>
      </c>
      <c r="I1805">
        <v>40.049999999999997</v>
      </c>
      <c r="J1805" t="e">
        <v>#N/A</v>
      </c>
      <c r="K1805">
        <v>23.6</v>
      </c>
      <c r="L1805">
        <v>1.58</v>
      </c>
      <c r="M1805">
        <v>3.4</v>
      </c>
      <c r="N1805">
        <v>0.1</v>
      </c>
      <c r="O1805">
        <v>1.96</v>
      </c>
      <c r="P1805">
        <v>0.42199999999999999</v>
      </c>
      <c r="Q1805">
        <v>13</v>
      </c>
    </row>
    <row r="1806" spans="1:17" x14ac:dyDescent="0.25">
      <c r="A1806" s="1">
        <v>43815</v>
      </c>
      <c r="B1806">
        <v>8.6999999999999993</v>
      </c>
      <c r="C1806">
        <v>208.65</v>
      </c>
      <c r="D1806">
        <v>3.37</v>
      </c>
      <c r="E1806">
        <v>14.41</v>
      </c>
      <c r="F1806">
        <v>5.95</v>
      </c>
      <c r="G1806">
        <v>2.1</v>
      </c>
      <c r="H1806" s="15">
        <v>1.5</v>
      </c>
      <c r="I1806">
        <v>40.049999999999997</v>
      </c>
      <c r="J1806">
        <v>35.25</v>
      </c>
      <c r="K1806">
        <v>23.68</v>
      </c>
      <c r="L1806" t="e">
        <v>#N/A</v>
      </c>
      <c r="M1806">
        <v>3.4</v>
      </c>
      <c r="N1806">
        <v>0.1</v>
      </c>
      <c r="O1806">
        <v>1.98</v>
      </c>
      <c r="P1806">
        <v>0.39700000000000002</v>
      </c>
      <c r="Q1806">
        <v>14</v>
      </c>
    </row>
    <row r="1807" spans="1:17" x14ac:dyDescent="0.25">
      <c r="A1807" s="1">
        <v>43816</v>
      </c>
      <c r="B1807">
        <v>8.6999999999999993</v>
      </c>
      <c r="C1807">
        <v>209.93</v>
      </c>
      <c r="D1807">
        <v>3.35</v>
      </c>
      <c r="E1807">
        <v>14.7</v>
      </c>
      <c r="F1807">
        <v>6.01</v>
      </c>
      <c r="G1807">
        <v>2.11</v>
      </c>
      <c r="H1807" s="15">
        <v>1.46</v>
      </c>
      <c r="I1807">
        <v>40.35</v>
      </c>
      <c r="J1807">
        <v>35.36</v>
      </c>
      <c r="K1807">
        <v>24</v>
      </c>
      <c r="L1807" t="e">
        <v>#N/A</v>
      </c>
      <c r="M1807">
        <v>3.45</v>
      </c>
      <c r="N1807">
        <v>9.6000000000000002E-2</v>
      </c>
      <c r="O1807">
        <v>1.94</v>
      </c>
      <c r="P1807">
        <v>0.40500000000000003</v>
      </c>
      <c r="Q1807">
        <v>14</v>
      </c>
    </row>
    <row r="1808" spans="1:17" x14ac:dyDescent="0.25">
      <c r="A1808" s="1">
        <v>43817</v>
      </c>
      <c r="B1808">
        <v>8.7899999999999991</v>
      </c>
      <c r="C1808">
        <v>211.5</v>
      </c>
      <c r="D1808">
        <v>3.35</v>
      </c>
      <c r="E1808">
        <v>14.8</v>
      </c>
      <c r="F1808">
        <v>6.11</v>
      </c>
      <c r="G1808">
        <v>2.11</v>
      </c>
      <c r="H1808" s="15">
        <v>1.49</v>
      </c>
      <c r="I1808">
        <v>41</v>
      </c>
      <c r="J1808">
        <v>35.5</v>
      </c>
      <c r="K1808">
        <v>24.2</v>
      </c>
      <c r="L1808">
        <v>1.56</v>
      </c>
      <c r="M1808">
        <v>3.4</v>
      </c>
      <c r="N1808">
        <v>0.1</v>
      </c>
      <c r="O1808">
        <v>1.94</v>
      </c>
      <c r="P1808">
        <v>0.42099999999999999</v>
      </c>
      <c r="Q1808">
        <v>15</v>
      </c>
    </row>
    <row r="1809" spans="1:17" x14ac:dyDescent="0.25">
      <c r="A1809" s="1">
        <v>43818</v>
      </c>
      <c r="B1809">
        <v>9.1999999999999993</v>
      </c>
      <c r="C1809">
        <v>214.7</v>
      </c>
      <c r="D1809">
        <v>3.38</v>
      </c>
      <c r="E1809">
        <v>14.77</v>
      </c>
      <c r="F1809">
        <v>6.14</v>
      </c>
      <c r="G1809">
        <v>2.14</v>
      </c>
      <c r="H1809" s="15">
        <v>1.54</v>
      </c>
      <c r="I1809">
        <v>40.9</v>
      </c>
      <c r="J1809">
        <v>36.25</v>
      </c>
      <c r="K1809">
        <v>24.6</v>
      </c>
      <c r="L1809">
        <v>1.56</v>
      </c>
      <c r="M1809">
        <v>3.4</v>
      </c>
      <c r="N1809">
        <v>0.1</v>
      </c>
      <c r="O1809">
        <v>1.95</v>
      </c>
      <c r="P1809">
        <v>0.42499999999999999</v>
      </c>
      <c r="Q1809">
        <v>15</v>
      </c>
    </row>
    <row r="1810" spans="1:17" x14ac:dyDescent="0.25">
      <c r="A1810" s="1">
        <v>43819</v>
      </c>
      <c r="B1810">
        <v>9.1999999999999993</v>
      </c>
      <c r="C1810">
        <v>213.7</v>
      </c>
      <c r="D1810">
        <v>3.4</v>
      </c>
      <c r="E1810" t="e">
        <v>#N/A</v>
      </c>
      <c r="F1810">
        <v>6.15</v>
      </c>
      <c r="G1810">
        <v>2.13</v>
      </c>
      <c r="H1810" s="15">
        <v>1.6</v>
      </c>
      <c r="I1810">
        <v>41.25</v>
      </c>
      <c r="J1810">
        <v>35.700000000000003</v>
      </c>
      <c r="K1810">
        <v>25</v>
      </c>
      <c r="L1810" t="e">
        <v>#N/A</v>
      </c>
      <c r="M1810">
        <v>3.4</v>
      </c>
      <c r="N1810">
        <v>0.1</v>
      </c>
      <c r="O1810">
        <v>1.95</v>
      </c>
      <c r="P1810">
        <v>0.42799999999999999</v>
      </c>
      <c r="Q1810">
        <v>13</v>
      </c>
    </row>
    <row r="1811" spans="1:17" x14ac:dyDescent="0.25">
      <c r="A1811" s="1">
        <v>43822</v>
      </c>
      <c r="B1811">
        <v>9.1999999999999993</v>
      </c>
      <c r="C1811">
        <v>215</v>
      </c>
      <c r="D1811">
        <v>3.42</v>
      </c>
      <c r="E1811">
        <v>14.6</v>
      </c>
      <c r="F1811">
        <v>6.2</v>
      </c>
      <c r="G1811">
        <v>2.14</v>
      </c>
      <c r="H1811" s="15">
        <v>1.59</v>
      </c>
      <c r="I1811">
        <v>40.9</v>
      </c>
      <c r="J1811" t="e">
        <v>#N/A</v>
      </c>
      <c r="K1811">
        <v>24.5</v>
      </c>
      <c r="L1811">
        <v>1.58</v>
      </c>
      <c r="M1811">
        <v>3.4</v>
      </c>
      <c r="N1811">
        <v>0.1</v>
      </c>
      <c r="O1811">
        <v>1.95</v>
      </c>
      <c r="P1811">
        <v>0.43</v>
      </c>
      <c r="Q1811">
        <v>14</v>
      </c>
    </row>
    <row r="1812" spans="1:17" x14ac:dyDescent="0.25">
      <c r="A1812" s="1">
        <v>43823</v>
      </c>
      <c r="B1812">
        <v>9.19</v>
      </c>
      <c r="C1812">
        <v>215</v>
      </c>
      <c r="D1812">
        <v>3.42</v>
      </c>
      <c r="E1812">
        <v>14.89</v>
      </c>
      <c r="F1812">
        <v>6.25</v>
      </c>
      <c r="G1812">
        <v>2.15</v>
      </c>
      <c r="H1812" s="15">
        <v>1.6</v>
      </c>
      <c r="I1812">
        <v>40.9</v>
      </c>
      <c r="J1812" t="e">
        <v>#N/A</v>
      </c>
      <c r="K1812">
        <v>25.5</v>
      </c>
      <c r="L1812" t="e">
        <v>#N/A</v>
      </c>
      <c r="M1812" t="e">
        <v>#N/A</v>
      </c>
      <c r="N1812">
        <v>9.9000000000000005E-2</v>
      </c>
      <c r="O1812">
        <v>1.94</v>
      </c>
      <c r="P1812">
        <v>0.43099999999999999</v>
      </c>
      <c r="Q1812">
        <v>12</v>
      </c>
    </row>
    <row r="1813" spans="1:17" x14ac:dyDescent="0.25">
      <c r="A1813" s="1">
        <v>43825</v>
      </c>
      <c r="B1813">
        <v>9.1999999999999993</v>
      </c>
      <c r="C1813">
        <v>214.77</v>
      </c>
      <c r="D1813">
        <v>3.5</v>
      </c>
      <c r="E1813">
        <v>15.12</v>
      </c>
      <c r="F1813">
        <v>6.2</v>
      </c>
      <c r="G1813">
        <v>2.16</v>
      </c>
      <c r="H1813" s="15">
        <v>1.74</v>
      </c>
      <c r="I1813">
        <v>40.9</v>
      </c>
      <c r="J1813">
        <v>36</v>
      </c>
      <c r="K1813">
        <v>27</v>
      </c>
      <c r="L1813">
        <v>1.56</v>
      </c>
      <c r="M1813">
        <v>3.45</v>
      </c>
      <c r="N1813">
        <v>0.10100000000000001</v>
      </c>
      <c r="O1813">
        <v>2</v>
      </c>
      <c r="P1813">
        <v>0.42599999999999999</v>
      </c>
      <c r="Q1813">
        <v>15</v>
      </c>
    </row>
    <row r="1814" spans="1:17" x14ac:dyDescent="0.25">
      <c r="A1814" s="1">
        <v>43826</v>
      </c>
      <c r="B1814">
        <v>9.1999999999999993</v>
      </c>
      <c r="C1814">
        <v>215</v>
      </c>
      <c r="D1814">
        <v>3.5</v>
      </c>
      <c r="E1814">
        <v>15</v>
      </c>
      <c r="F1814">
        <v>6.2</v>
      </c>
      <c r="G1814">
        <v>2.15</v>
      </c>
      <c r="H1814" s="15">
        <v>1.74</v>
      </c>
      <c r="I1814">
        <v>40.9</v>
      </c>
      <c r="J1814">
        <v>36</v>
      </c>
      <c r="K1814">
        <v>27</v>
      </c>
      <c r="L1814" t="e">
        <v>#N/A</v>
      </c>
      <c r="M1814" t="e">
        <v>#N/A</v>
      </c>
      <c r="N1814">
        <v>0.106</v>
      </c>
      <c r="O1814">
        <v>2</v>
      </c>
      <c r="P1814">
        <v>0.435</v>
      </c>
      <c r="Q1814">
        <v>13</v>
      </c>
    </row>
    <row r="1815" spans="1:17" x14ac:dyDescent="0.25">
      <c r="A1815" s="1">
        <v>43829</v>
      </c>
      <c r="B1815">
        <v>9.1999999999999993</v>
      </c>
      <c r="C1815">
        <v>214.2</v>
      </c>
      <c r="D1815">
        <v>3.5</v>
      </c>
      <c r="E1815">
        <v>15.3</v>
      </c>
      <c r="F1815">
        <v>6.15</v>
      </c>
      <c r="G1815">
        <v>2.17</v>
      </c>
      <c r="H1815" s="15">
        <v>1.7</v>
      </c>
      <c r="I1815" t="e">
        <v>#N/A</v>
      </c>
      <c r="J1815">
        <v>35.700000000000003</v>
      </c>
      <c r="K1815">
        <v>26.5</v>
      </c>
      <c r="L1815">
        <v>1.56</v>
      </c>
      <c r="M1815" t="e">
        <v>#N/A</v>
      </c>
      <c r="N1815">
        <v>0.121</v>
      </c>
      <c r="O1815">
        <v>2</v>
      </c>
      <c r="P1815">
        <v>0.45</v>
      </c>
      <c r="Q1815">
        <v>13</v>
      </c>
    </row>
    <row r="1816" spans="1:17" x14ac:dyDescent="0.25">
      <c r="A1816" s="1">
        <v>43830</v>
      </c>
      <c r="B1816">
        <v>9.1999999999999993</v>
      </c>
      <c r="C1816">
        <v>212.68</v>
      </c>
      <c r="D1816">
        <v>3.43</v>
      </c>
      <c r="E1816">
        <v>15.3</v>
      </c>
      <c r="F1816">
        <v>6.15</v>
      </c>
      <c r="G1816">
        <v>2.19</v>
      </c>
      <c r="H1816" s="15">
        <v>1.7</v>
      </c>
      <c r="I1816" t="e">
        <v>#N/A</v>
      </c>
      <c r="J1816">
        <v>36</v>
      </c>
      <c r="K1816">
        <v>25.75</v>
      </c>
      <c r="L1816">
        <v>1.56</v>
      </c>
      <c r="M1816" t="e">
        <v>#N/A</v>
      </c>
      <c r="N1816">
        <v>0.123</v>
      </c>
      <c r="O1816">
        <v>2</v>
      </c>
      <c r="P1816">
        <v>0.44500000000000001</v>
      </c>
      <c r="Q1816">
        <v>13</v>
      </c>
    </row>
    <row r="1817" spans="1:17" x14ac:dyDescent="0.25">
      <c r="A1817" s="1">
        <v>43832</v>
      </c>
      <c r="B1817">
        <v>9.19</v>
      </c>
      <c r="C1817">
        <v>219</v>
      </c>
      <c r="D1817">
        <v>3.45</v>
      </c>
      <c r="E1817">
        <v>14.95</v>
      </c>
      <c r="F1817">
        <v>6.15</v>
      </c>
      <c r="G1817">
        <v>2.1800000000000002</v>
      </c>
      <c r="H1817" s="15">
        <v>1.69</v>
      </c>
      <c r="I1817">
        <v>42.36</v>
      </c>
      <c r="J1817">
        <v>37.5</v>
      </c>
      <c r="K1817">
        <v>25.75</v>
      </c>
      <c r="L1817">
        <v>1.56</v>
      </c>
      <c r="M1817" t="e">
        <v>#N/A</v>
      </c>
      <c r="N1817">
        <v>0.121</v>
      </c>
      <c r="O1817">
        <v>2</v>
      </c>
      <c r="P1817">
        <v>0.44600000000000001</v>
      </c>
      <c r="Q1817">
        <v>14</v>
      </c>
    </row>
    <row r="1818" spans="1:17" x14ac:dyDescent="0.25">
      <c r="A1818" s="1">
        <v>43833</v>
      </c>
      <c r="B1818">
        <v>9.15</v>
      </c>
      <c r="C1818">
        <v>217</v>
      </c>
      <c r="D1818">
        <v>3.45</v>
      </c>
      <c r="E1818">
        <v>14.6</v>
      </c>
      <c r="F1818">
        <v>6.08</v>
      </c>
      <c r="G1818">
        <v>2.17</v>
      </c>
      <c r="H1818" s="15">
        <v>1.7</v>
      </c>
      <c r="I1818">
        <v>41.7</v>
      </c>
      <c r="J1818">
        <v>37.75</v>
      </c>
      <c r="K1818">
        <v>25.81</v>
      </c>
      <c r="L1818" t="e">
        <v>#N/A</v>
      </c>
      <c r="M1818" t="e">
        <v>#N/A</v>
      </c>
      <c r="N1818">
        <v>0.128</v>
      </c>
      <c r="O1818">
        <v>2</v>
      </c>
      <c r="P1818">
        <v>0.46600000000000003</v>
      </c>
      <c r="Q1818">
        <v>13</v>
      </c>
    </row>
    <row r="1819" spans="1:17" x14ac:dyDescent="0.25">
      <c r="A1819" s="1">
        <v>43836</v>
      </c>
      <c r="B1819">
        <v>9.15</v>
      </c>
      <c r="C1819">
        <v>214.83</v>
      </c>
      <c r="D1819">
        <v>3.45</v>
      </c>
      <c r="E1819">
        <v>14.6</v>
      </c>
      <c r="F1819">
        <v>6.1</v>
      </c>
      <c r="G1819">
        <v>2.14</v>
      </c>
      <c r="H1819" s="15">
        <v>1.7</v>
      </c>
      <c r="I1819">
        <v>41.9</v>
      </c>
      <c r="J1819">
        <v>38.5</v>
      </c>
      <c r="K1819">
        <v>25.81</v>
      </c>
      <c r="L1819">
        <v>1.55</v>
      </c>
      <c r="M1819" t="e">
        <v>#N/A</v>
      </c>
      <c r="N1819">
        <v>0.124</v>
      </c>
      <c r="O1819">
        <v>2</v>
      </c>
      <c r="P1819">
        <v>0.49199999999999999</v>
      </c>
      <c r="Q1819">
        <v>14</v>
      </c>
    </row>
    <row r="1820" spans="1:17" x14ac:dyDescent="0.25">
      <c r="A1820" s="1">
        <v>43837</v>
      </c>
      <c r="B1820">
        <v>9.1300000000000008</v>
      </c>
      <c r="C1820">
        <v>209.52</v>
      </c>
      <c r="D1820">
        <v>3.42</v>
      </c>
      <c r="E1820">
        <v>14.65</v>
      </c>
      <c r="F1820">
        <v>6.1</v>
      </c>
      <c r="G1820">
        <v>2.15</v>
      </c>
      <c r="H1820" s="15">
        <v>1.7</v>
      </c>
      <c r="I1820">
        <v>41.65</v>
      </c>
      <c r="J1820">
        <v>38.5</v>
      </c>
      <c r="K1820">
        <v>26</v>
      </c>
      <c r="L1820">
        <v>1.55</v>
      </c>
      <c r="M1820" t="e">
        <v>#N/A</v>
      </c>
      <c r="N1820">
        <v>0.126</v>
      </c>
      <c r="O1820">
        <v>2</v>
      </c>
      <c r="P1820">
        <v>0.53</v>
      </c>
      <c r="Q1820">
        <v>14</v>
      </c>
    </row>
    <row r="1821" spans="1:17" x14ac:dyDescent="0.25">
      <c r="A1821" s="1">
        <v>43838</v>
      </c>
      <c r="B1821">
        <v>9.08</v>
      </c>
      <c r="C1821">
        <v>210.75</v>
      </c>
      <c r="D1821">
        <v>3.45</v>
      </c>
      <c r="E1821">
        <v>14.2</v>
      </c>
      <c r="F1821">
        <v>6.05</v>
      </c>
      <c r="G1821">
        <v>2.12</v>
      </c>
      <c r="H1821" s="15">
        <v>1.7</v>
      </c>
      <c r="I1821">
        <v>41.52</v>
      </c>
      <c r="J1821">
        <v>39</v>
      </c>
      <c r="K1821">
        <v>26</v>
      </c>
      <c r="L1821">
        <v>1.55</v>
      </c>
      <c r="M1821">
        <v>3.45</v>
      </c>
      <c r="N1821">
        <v>0.121</v>
      </c>
      <c r="O1821">
        <v>2</v>
      </c>
      <c r="P1821">
        <v>0.51</v>
      </c>
      <c r="Q1821">
        <v>15</v>
      </c>
    </row>
    <row r="1822" spans="1:17" x14ac:dyDescent="0.25">
      <c r="A1822" s="1">
        <v>43839</v>
      </c>
      <c r="B1822">
        <v>9</v>
      </c>
      <c r="C1822">
        <v>211.9</v>
      </c>
      <c r="D1822">
        <v>3.45</v>
      </c>
      <c r="E1822">
        <v>14.13</v>
      </c>
      <c r="F1822">
        <v>6.05</v>
      </c>
      <c r="G1822">
        <v>2.12</v>
      </c>
      <c r="H1822" s="15">
        <v>1.7</v>
      </c>
      <c r="I1822">
        <v>41.2</v>
      </c>
      <c r="J1822">
        <v>39.299999999999997</v>
      </c>
      <c r="K1822">
        <v>26</v>
      </c>
      <c r="L1822">
        <v>1.57</v>
      </c>
      <c r="M1822">
        <v>3.45</v>
      </c>
      <c r="N1822">
        <v>0.11899999999999999</v>
      </c>
      <c r="O1822">
        <v>1.98</v>
      </c>
      <c r="P1822">
        <v>0.5</v>
      </c>
      <c r="Q1822">
        <v>15</v>
      </c>
    </row>
    <row r="1823" spans="1:17" x14ac:dyDescent="0.25">
      <c r="A1823" s="1">
        <v>43840</v>
      </c>
      <c r="B1823">
        <v>9</v>
      </c>
      <c r="C1823">
        <v>211</v>
      </c>
      <c r="D1823">
        <v>3.45</v>
      </c>
      <c r="E1823">
        <v>13.93</v>
      </c>
      <c r="F1823">
        <v>6.05</v>
      </c>
      <c r="G1823">
        <v>2.12</v>
      </c>
      <c r="H1823" s="15">
        <v>1.7</v>
      </c>
      <c r="I1823">
        <v>40.200000000000003</v>
      </c>
      <c r="J1823">
        <v>38.700000000000003</v>
      </c>
      <c r="K1823">
        <v>25.71</v>
      </c>
      <c r="L1823">
        <v>1.57</v>
      </c>
      <c r="M1823">
        <v>3.45</v>
      </c>
      <c r="N1823">
        <v>0.11700000000000001</v>
      </c>
      <c r="O1823">
        <v>1.95</v>
      </c>
      <c r="P1823">
        <v>0.52</v>
      </c>
      <c r="Q1823">
        <v>15</v>
      </c>
    </row>
    <row r="1824" spans="1:17" x14ac:dyDescent="0.25">
      <c r="A1824" s="1">
        <v>43843</v>
      </c>
      <c r="B1824">
        <v>8.92</v>
      </c>
      <c r="C1824">
        <v>208.69</v>
      </c>
      <c r="D1824">
        <v>3.4</v>
      </c>
      <c r="E1824">
        <v>13.5</v>
      </c>
      <c r="F1824">
        <v>6.1</v>
      </c>
      <c r="G1824">
        <v>2.1</v>
      </c>
      <c r="H1824" s="15">
        <v>1.7</v>
      </c>
      <c r="I1824">
        <v>39.5</v>
      </c>
      <c r="J1824">
        <v>38.700000000000003</v>
      </c>
      <c r="K1824">
        <v>26</v>
      </c>
      <c r="L1824">
        <v>1.57</v>
      </c>
      <c r="M1824">
        <v>3.45</v>
      </c>
      <c r="N1824">
        <v>0.122</v>
      </c>
      <c r="O1824">
        <v>1.95</v>
      </c>
      <c r="P1824">
        <v>0.52</v>
      </c>
      <c r="Q1824">
        <v>15</v>
      </c>
    </row>
    <row r="1825" spans="1:17" x14ac:dyDescent="0.25">
      <c r="A1825" s="1">
        <v>43844</v>
      </c>
      <c r="B1825">
        <v>9</v>
      </c>
      <c r="C1825">
        <v>210</v>
      </c>
      <c r="D1825">
        <v>3.45</v>
      </c>
      <c r="E1825">
        <v>13.79</v>
      </c>
      <c r="F1825">
        <v>6.07</v>
      </c>
      <c r="G1825">
        <v>2.09</v>
      </c>
      <c r="H1825" s="15">
        <v>1.69</v>
      </c>
      <c r="I1825">
        <v>39.909999999999997</v>
      </c>
      <c r="J1825">
        <v>38.700000000000003</v>
      </c>
      <c r="K1825">
        <v>26</v>
      </c>
      <c r="L1825">
        <v>1.6</v>
      </c>
      <c r="M1825" t="e">
        <v>#N/A</v>
      </c>
      <c r="N1825">
        <v>0.125</v>
      </c>
      <c r="O1825">
        <v>1.96</v>
      </c>
      <c r="P1825">
        <v>0.53</v>
      </c>
      <c r="Q1825">
        <v>14</v>
      </c>
    </row>
    <row r="1826" spans="1:17" x14ac:dyDescent="0.25">
      <c r="A1826" s="1">
        <v>43845</v>
      </c>
      <c r="B1826">
        <v>9.0500000000000007</v>
      </c>
      <c r="C1826">
        <v>213.2</v>
      </c>
      <c r="D1826">
        <v>3.44</v>
      </c>
      <c r="E1826">
        <v>13.87</v>
      </c>
      <c r="F1826">
        <v>6.07</v>
      </c>
      <c r="G1826">
        <v>2.0499999999999998</v>
      </c>
      <c r="H1826" s="15">
        <v>1.71</v>
      </c>
      <c r="I1826">
        <v>40</v>
      </c>
      <c r="J1826">
        <v>38.71</v>
      </c>
      <c r="K1826">
        <v>26.5</v>
      </c>
      <c r="L1826">
        <v>1.6</v>
      </c>
      <c r="M1826">
        <v>3.38</v>
      </c>
      <c r="N1826">
        <v>0.12</v>
      </c>
      <c r="O1826">
        <v>1.94</v>
      </c>
      <c r="P1826">
        <v>0.51</v>
      </c>
      <c r="Q1826">
        <v>15</v>
      </c>
    </row>
    <row r="1827" spans="1:17" x14ac:dyDescent="0.25">
      <c r="A1827" s="1">
        <v>43846</v>
      </c>
      <c r="B1827">
        <v>9</v>
      </c>
      <c r="C1827">
        <v>214.9</v>
      </c>
      <c r="D1827">
        <v>3.42</v>
      </c>
      <c r="E1827">
        <v>13.65</v>
      </c>
      <c r="F1827">
        <v>6.07</v>
      </c>
      <c r="G1827">
        <v>2.12</v>
      </c>
      <c r="H1827" s="15">
        <v>1.71</v>
      </c>
      <c r="I1827">
        <v>41.95</v>
      </c>
      <c r="J1827">
        <v>39</v>
      </c>
      <c r="K1827">
        <v>26.45</v>
      </c>
      <c r="L1827">
        <v>1.62</v>
      </c>
      <c r="M1827">
        <v>3.42</v>
      </c>
      <c r="N1827">
        <v>0.12</v>
      </c>
      <c r="O1827">
        <v>1.95</v>
      </c>
      <c r="P1827">
        <v>0.53</v>
      </c>
      <c r="Q1827">
        <v>15</v>
      </c>
    </row>
    <row r="1828" spans="1:17" x14ac:dyDescent="0.25">
      <c r="A1828" s="1">
        <v>43847</v>
      </c>
      <c r="B1828">
        <v>9</v>
      </c>
      <c r="C1828">
        <v>215.84</v>
      </c>
      <c r="D1828">
        <v>3.43</v>
      </c>
      <c r="E1828">
        <v>13.6</v>
      </c>
      <c r="F1828">
        <v>6.09</v>
      </c>
      <c r="G1828">
        <v>2.12</v>
      </c>
      <c r="H1828" s="15">
        <v>1.7</v>
      </c>
      <c r="I1828">
        <v>43.1</v>
      </c>
      <c r="J1828">
        <v>39</v>
      </c>
      <c r="K1828">
        <v>26.5</v>
      </c>
      <c r="L1828">
        <v>1.65</v>
      </c>
      <c r="M1828" t="e">
        <v>#N/A</v>
      </c>
      <c r="N1828">
        <v>0.125</v>
      </c>
      <c r="O1828">
        <v>1.95</v>
      </c>
      <c r="P1828">
        <v>0.56000000000000005</v>
      </c>
      <c r="Q1828">
        <v>14</v>
      </c>
    </row>
    <row r="1829" spans="1:17" x14ac:dyDescent="0.25">
      <c r="A1829" s="1">
        <v>43850</v>
      </c>
      <c r="B1829">
        <v>9</v>
      </c>
      <c r="C1829" t="e">
        <v>#N/A</v>
      </c>
      <c r="D1829">
        <v>3.44</v>
      </c>
      <c r="E1829">
        <v>13.5</v>
      </c>
      <c r="F1829">
        <v>6.11</v>
      </c>
      <c r="G1829">
        <v>2.12</v>
      </c>
      <c r="H1829" s="15">
        <v>1.7</v>
      </c>
      <c r="I1829" t="e">
        <v>#N/A</v>
      </c>
      <c r="J1829">
        <v>39</v>
      </c>
      <c r="K1829">
        <v>26.45</v>
      </c>
      <c r="L1829">
        <v>1.78</v>
      </c>
      <c r="M1829">
        <v>3.6</v>
      </c>
      <c r="N1829">
        <v>0.123</v>
      </c>
      <c r="O1829">
        <v>1.95</v>
      </c>
      <c r="P1829">
        <v>0.57999999999999996</v>
      </c>
      <c r="Q1829">
        <v>13</v>
      </c>
    </row>
    <row r="1830" spans="1:17" x14ac:dyDescent="0.25">
      <c r="A1830" s="1">
        <v>43851</v>
      </c>
      <c r="B1830">
        <v>9.1</v>
      </c>
      <c r="C1830">
        <v>217.72</v>
      </c>
      <c r="D1830">
        <v>3.44</v>
      </c>
      <c r="E1830">
        <v>13.4</v>
      </c>
      <c r="F1830">
        <v>6.12</v>
      </c>
      <c r="G1830">
        <v>2.11</v>
      </c>
      <c r="H1830" s="15">
        <v>1.64</v>
      </c>
      <c r="I1830">
        <v>43.4</v>
      </c>
      <c r="J1830">
        <v>38.5</v>
      </c>
      <c r="K1830">
        <v>26.45</v>
      </c>
      <c r="L1830">
        <v>1.8</v>
      </c>
      <c r="M1830">
        <v>3.6</v>
      </c>
      <c r="N1830">
        <v>0.123</v>
      </c>
      <c r="O1830">
        <v>1.93</v>
      </c>
      <c r="P1830">
        <v>0.56999999999999995</v>
      </c>
      <c r="Q1830">
        <v>15</v>
      </c>
    </row>
    <row r="1831" spans="1:17" x14ac:dyDescent="0.25">
      <c r="A1831" s="1">
        <v>43852</v>
      </c>
      <c r="B1831">
        <v>9.17</v>
      </c>
      <c r="C1831">
        <v>220</v>
      </c>
      <c r="D1831">
        <v>3.5</v>
      </c>
      <c r="E1831">
        <v>13.35</v>
      </c>
      <c r="F1831">
        <v>6.12</v>
      </c>
      <c r="G1831">
        <v>2.11</v>
      </c>
      <c r="H1831" s="15">
        <v>1.63</v>
      </c>
      <c r="I1831">
        <v>44.3</v>
      </c>
      <c r="J1831">
        <v>38.64</v>
      </c>
      <c r="K1831">
        <v>26.45</v>
      </c>
      <c r="L1831">
        <v>1.85</v>
      </c>
      <c r="M1831">
        <v>3.55</v>
      </c>
      <c r="N1831">
        <v>0.123</v>
      </c>
      <c r="O1831">
        <v>1.95</v>
      </c>
      <c r="P1831">
        <v>0.59</v>
      </c>
      <c r="Q1831">
        <v>15</v>
      </c>
    </row>
    <row r="1832" spans="1:17" x14ac:dyDescent="0.25">
      <c r="A1832" s="1">
        <v>43853</v>
      </c>
      <c r="B1832">
        <v>9.1999999999999993</v>
      </c>
      <c r="C1832">
        <v>218.66</v>
      </c>
      <c r="D1832">
        <v>3.47</v>
      </c>
      <c r="E1832">
        <v>13.17</v>
      </c>
      <c r="F1832">
        <v>6.12</v>
      </c>
      <c r="G1832">
        <v>2.1</v>
      </c>
      <c r="H1832" s="15">
        <v>1.61</v>
      </c>
      <c r="I1832">
        <v>44.14</v>
      </c>
      <c r="J1832">
        <v>38.64</v>
      </c>
      <c r="K1832">
        <v>26.45</v>
      </c>
      <c r="L1832">
        <v>1.79</v>
      </c>
      <c r="M1832" t="e">
        <v>#N/A</v>
      </c>
      <c r="N1832">
        <v>0.123</v>
      </c>
      <c r="O1832">
        <v>1.95</v>
      </c>
      <c r="P1832">
        <v>0.56999999999999995</v>
      </c>
      <c r="Q1832">
        <v>14</v>
      </c>
    </row>
    <row r="1833" spans="1:17" x14ac:dyDescent="0.25">
      <c r="A1833" s="1">
        <v>43854</v>
      </c>
      <c r="B1833">
        <v>9.2200000000000006</v>
      </c>
      <c r="C1833">
        <v>216.82</v>
      </c>
      <c r="D1833">
        <v>3.44</v>
      </c>
      <c r="E1833">
        <v>13.18</v>
      </c>
      <c r="F1833">
        <v>6.07</v>
      </c>
      <c r="G1833">
        <v>2.1</v>
      </c>
      <c r="H1833" s="15">
        <v>1.59</v>
      </c>
      <c r="I1833">
        <v>44.05</v>
      </c>
      <c r="J1833">
        <v>38.549999999999997</v>
      </c>
      <c r="K1833">
        <v>26.45</v>
      </c>
      <c r="L1833">
        <v>1.77</v>
      </c>
      <c r="M1833">
        <v>3.53</v>
      </c>
      <c r="N1833">
        <v>0.12</v>
      </c>
      <c r="O1833">
        <v>1.94</v>
      </c>
      <c r="P1833">
        <v>0.56000000000000005</v>
      </c>
      <c r="Q1833">
        <v>15</v>
      </c>
    </row>
    <row r="1834" spans="1:17" x14ac:dyDescent="0.25">
      <c r="A1834" s="1">
        <v>43857</v>
      </c>
      <c r="B1834">
        <v>9.19</v>
      </c>
      <c r="C1834">
        <v>212</v>
      </c>
      <c r="D1834">
        <v>3.42</v>
      </c>
      <c r="E1834">
        <v>12.8</v>
      </c>
      <c r="F1834">
        <v>6.08</v>
      </c>
      <c r="G1834">
        <v>2.0699999999999998</v>
      </c>
      <c r="H1834" s="15">
        <v>1.55</v>
      </c>
      <c r="I1834">
        <v>42.66</v>
      </c>
      <c r="J1834">
        <v>38.39</v>
      </c>
      <c r="K1834">
        <v>26</v>
      </c>
      <c r="L1834">
        <v>1.7</v>
      </c>
      <c r="M1834">
        <v>3.52</v>
      </c>
      <c r="N1834">
        <v>0.11899999999999999</v>
      </c>
      <c r="O1834">
        <v>1.94</v>
      </c>
      <c r="P1834">
        <v>0.54</v>
      </c>
      <c r="Q1834">
        <v>15</v>
      </c>
    </row>
    <row r="1835" spans="1:17" x14ac:dyDescent="0.25">
      <c r="A1835" s="1">
        <v>43858</v>
      </c>
      <c r="B1835">
        <v>9.1999999999999993</v>
      </c>
      <c r="C1835">
        <v>213</v>
      </c>
      <c r="D1835">
        <v>3.45</v>
      </c>
      <c r="E1835">
        <v>12.4</v>
      </c>
      <c r="F1835">
        <v>6.08</v>
      </c>
      <c r="G1835">
        <v>2.0499999999999998</v>
      </c>
      <c r="H1835" s="15">
        <v>1.54</v>
      </c>
      <c r="I1835">
        <v>41.5</v>
      </c>
      <c r="J1835">
        <v>38.25</v>
      </c>
      <c r="K1835">
        <v>26.01</v>
      </c>
      <c r="L1835">
        <v>1.7</v>
      </c>
      <c r="M1835" t="e">
        <v>#N/A</v>
      </c>
      <c r="N1835">
        <v>0.11899999999999999</v>
      </c>
      <c r="O1835">
        <v>1.92</v>
      </c>
      <c r="P1835">
        <v>0.53</v>
      </c>
      <c r="Q1835">
        <v>14</v>
      </c>
    </row>
    <row r="1836" spans="1:17" x14ac:dyDescent="0.25">
      <c r="A1836" s="1">
        <v>43859</v>
      </c>
      <c r="B1836">
        <v>9.3000000000000007</v>
      </c>
      <c r="C1836">
        <v>212.6</v>
      </c>
      <c r="D1836">
        <v>3.45</v>
      </c>
      <c r="E1836">
        <v>12.75</v>
      </c>
      <c r="F1836">
        <v>6.14</v>
      </c>
      <c r="G1836">
        <v>2.0499999999999998</v>
      </c>
      <c r="H1836" s="15">
        <v>1.53</v>
      </c>
      <c r="I1836">
        <v>41.6</v>
      </c>
      <c r="J1836">
        <v>38.4</v>
      </c>
      <c r="K1836">
        <v>24.5</v>
      </c>
      <c r="L1836">
        <v>1.66</v>
      </c>
      <c r="M1836">
        <v>3.5</v>
      </c>
      <c r="N1836" t="e">
        <v>#N/A</v>
      </c>
      <c r="O1836">
        <v>1.92</v>
      </c>
      <c r="P1836">
        <v>0.52</v>
      </c>
      <c r="Q1836">
        <v>14</v>
      </c>
    </row>
    <row r="1837" spans="1:17" x14ac:dyDescent="0.25">
      <c r="A1837" s="1">
        <v>43860</v>
      </c>
      <c r="B1837">
        <v>9.3000000000000007</v>
      </c>
      <c r="C1837">
        <v>210.4</v>
      </c>
      <c r="D1837">
        <v>3.45</v>
      </c>
      <c r="E1837">
        <v>12.84</v>
      </c>
      <c r="F1837">
        <v>6.14</v>
      </c>
      <c r="G1837">
        <v>2.0499999999999998</v>
      </c>
      <c r="H1837" s="15">
        <v>1.5</v>
      </c>
      <c r="I1837">
        <v>41.7</v>
      </c>
      <c r="J1837">
        <v>38.200000000000003</v>
      </c>
      <c r="K1837">
        <v>24</v>
      </c>
      <c r="L1837">
        <v>1.64</v>
      </c>
      <c r="M1837">
        <v>3.4</v>
      </c>
      <c r="N1837" t="e">
        <v>#N/A</v>
      </c>
      <c r="O1837" t="e">
        <v>#N/A</v>
      </c>
      <c r="P1837">
        <v>0.49099999999999999</v>
      </c>
      <c r="Q1837">
        <v>13</v>
      </c>
    </row>
    <row r="1838" spans="1:17" x14ac:dyDescent="0.25">
      <c r="A1838" s="1">
        <v>43861</v>
      </c>
      <c r="B1838">
        <v>9.1</v>
      </c>
      <c r="C1838">
        <v>206.8</v>
      </c>
      <c r="D1838">
        <v>3.4</v>
      </c>
      <c r="E1838">
        <v>12.8</v>
      </c>
      <c r="F1838">
        <v>6.14</v>
      </c>
      <c r="G1838">
        <v>2</v>
      </c>
      <c r="H1838" s="15">
        <v>1.53</v>
      </c>
      <c r="I1838">
        <v>42.15</v>
      </c>
      <c r="J1838">
        <v>37.6</v>
      </c>
      <c r="K1838">
        <v>24</v>
      </c>
      <c r="L1838">
        <v>1.65</v>
      </c>
      <c r="M1838" t="e">
        <v>#N/A</v>
      </c>
      <c r="N1838" t="e">
        <v>#N/A</v>
      </c>
      <c r="O1838">
        <v>1.9</v>
      </c>
      <c r="P1838">
        <v>0.48199999999999998</v>
      </c>
      <c r="Q1838">
        <v>13</v>
      </c>
    </row>
    <row r="1839" spans="1:17" x14ac:dyDescent="0.25">
      <c r="A1839" s="1">
        <v>43864</v>
      </c>
      <c r="B1839">
        <v>9.0500000000000007</v>
      </c>
      <c r="C1839">
        <v>209</v>
      </c>
      <c r="D1839">
        <v>3.38</v>
      </c>
      <c r="E1839">
        <v>12.9</v>
      </c>
      <c r="F1839">
        <v>6.1</v>
      </c>
      <c r="G1839">
        <v>2.0299999999999998</v>
      </c>
      <c r="H1839" s="15">
        <v>1.64</v>
      </c>
      <c r="I1839">
        <v>42.05</v>
      </c>
      <c r="J1839">
        <v>37.25</v>
      </c>
      <c r="K1839">
        <v>24</v>
      </c>
      <c r="L1839">
        <v>1.6</v>
      </c>
      <c r="M1839">
        <v>3.4</v>
      </c>
      <c r="N1839">
        <v>0.11</v>
      </c>
      <c r="O1839">
        <v>1.89</v>
      </c>
      <c r="P1839">
        <v>0.46</v>
      </c>
      <c r="Q1839">
        <v>15</v>
      </c>
    </row>
    <row r="1840" spans="1:17" x14ac:dyDescent="0.25">
      <c r="A1840" s="1">
        <v>43865</v>
      </c>
      <c r="B1840">
        <v>9.1</v>
      </c>
      <c r="C1840">
        <v>212.5</v>
      </c>
      <c r="D1840">
        <v>3.37</v>
      </c>
      <c r="E1840">
        <v>13.13</v>
      </c>
      <c r="F1840">
        <v>6.15</v>
      </c>
      <c r="G1840">
        <v>2.1</v>
      </c>
      <c r="H1840" s="15">
        <v>1.81</v>
      </c>
      <c r="I1840">
        <v>42</v>
      </c>
      <c r="J1840">
        <v>37.75</v>
      </c>
      <c r="K1840">
        <v>25.5</v>
      </c>
      <c r="L1840">
        <v>1.64</v>
      </c>
      <c r="M1840">
        <v>3.5</v>
      </c>
      <c r="N1840">
        <v>0.115</v>
      </c>
      <c r="O1840">
        <v>1.9370000000000001</v>
      </c>
      <c r="P1840">
        <v>0.53</v>
      </c>
      <c r="Q1840">
        <v>15</v>
      </c>
    </row>
    <row r="1841" spans="1:17" x14ac:dyDescent="0.25">
      <c r="A1841" s="1">
        <v>43866</v>
      </c>
      <c r="B1841">
        <v>9.15</v>
      </c>
      <c r="C1841">
        <v>215.57</v>
      </c>
      <c r="D1841">
        <v>3.45</v>
      </c>
      <c r="E1841">
        <v>13</v>
      </c>
      <c r="F1841">
        <v>6.18</v>
      </c>
      <c r="G1841">
        <v>2.11</v>
      </c>
      <c r="H1841" s="15">
        <v>1.85</v>
      </c>
      <c r="I1841">
        <v>42.45</v>
      </c>
      <c r="J1841">
        <v>38</v>
      </c>
      <c r="K1841">
        <v>26</v>
      </c>
      <c r="L1841">
        <v>1.65</v>
      </c>
      <c r="M1841" t="e">
        <v>#N/A</v>
      </c>
      <c r="N1841">
        <v>0.115</v>
      </c>
      <c r="O1841">
        <v>1.9770000000000001</v>
      </c>
      <c r="P1841">
        <v>0.54</v>
      </c>
      <c r="Q1841">
        <v>14</v>
      </c>
    </row>
    <row r="1842" spans="1:17" x14ac:dyDescent="0.25">
      <c r="A1842" s="1">
        <v>43867</v>
      </c>
      <c r="B1842">
        <v>9.15</v>
      </c>
      <c r="C1842">
        <v>203.3</v>
      </c>
      <c r="D1842">
        <v>3.44</v>
      </c>
      <c r="E1842">
        <v>12.92</v>
      </c>
      <c r="F1842">
        <v>6.18</v>
      </c>
      <c r="G1842">
        <v>2.1</v>
      </c>
      <c r="H1842" s="15">
        <v>1.8</v>
      </c>
      <c r="I1842">
        <v>42</v>
      </c>
      <c r="J1842">
        <v>38.75</v>
      </c>
      <c r="K1842">
        <v>26</v>
      </c>
      <c r="L1842">
        <v>1.65</v>
      </c>
      <c r="M1842" t="e">
        <v>#N/A</v>
      </c>
      <c r="N1842">
        <v>0.115</v>
      </c>
      <c r="O1842">
        <v>1.9670000000000001</v>
      </c>
      <c r="P1842">
        <v>0.56000000000000005</v>
      </c>
      <c r="Q1842">
        <v>14</v>
      </c>
    </row>
    <row r="1843" spans="1:17" x14ac:dyDescent="0.25">
      <c r="A1843" s="1">
        <v>43868</v>
      </c>
      <c r="B1843">
        <v>9.15</v>
      </c>
      <c r="C1843">
        <v>201.25</v>
      </c>
      <c r="D1843">
        <v>3.44</v>
      </c>
      <c r="E1843">
        <v>12.44</v>
      </c>
      <c r="F1843">
        <v>6.15</v>
      </c>
      <c r="G1843">
        <v>2.09</v>
      </c>
      <c r="H1843" s="15">
        <v>1.78</v>
      </c>
      <c r="I1843">
        <v>42</v>
      </c>
      <c r="J1843">
        <v>38.5</v>
      </c>
      <c r="K1843">
        <v>25.52</v>
      </c>
      <c r="L1843">
        <v>1.65</v>
      </c>
      <c r="M1843" t="e">
        <v>#N/A</v>
      </c>
      <c r="N1843">
        <v>0.115</v>
      </c>
      <c r="O1843">
        <v>1.9670000000000001</v>
      </c>
      <c r="P1843">
        <v>0.54</v>
      </c>
      <c r="Q1843">
        <v>14</v>
      </c>
    </row>
    <row r="1844" spans="1:17" x14ac:dyDescent="0.25">
      <c r="A1844" s="1">
        <v>43871</v>
      </c>
      <c r="B1844">
        <v>9.1999999999999993</v>
      </c>
      <c r="C1844">
        <v>204.4</v>
      </c>
      <c r="D1844">
        <v>3.44</v>
      </c>
      <c r="E1844">
        <v>12.6</v>
      </c>
      <c r="F1844">
        <v>6.24</v>
      </c>
      <c r="G1844">
        <v>2.1</v>
      </c>
      <c r="H1844" s="15">
        <v>1.73</v>
      </c>
      <c r="I1844">
        <v>41.3</v>
      </c>
      <c r="J1844">
        <v>38</v>
      </c>
      <c r="K1844">
        <v>25.49</v>
      </c>
      <c r="L1844">
        <v>1.65</v>
      </c>
      <c r="M1844" t="e">
        <v>#N/A</v>
      </c>
      <c r="N1844">
        <v>0.115</v>
      </c>
      <c r="O1844">
        <v>1.9570000000000001</v>
      </c>
      <c r="P1844">
        <v>0.54</v>
      </c>
      <c r="Q1844">
        <v>14</v>
      </c>
    </row>
    <row r="1845" spans="1:17" x14ac:dyDescent="0.25">
      <c r="A1845" s="1">
        <v>43872</v>
      </c>
      <c r="B1845">
        <v>9.25</v>
      </c>
      <c r="C1845">
        <v>204.41</v>
      </c>
      <c r="D1845">
        <v>3.39</v>
      </c>
      <c r="E1845">
        <v>12.5</v>
      </c>
      <c r="F1845">
        <v>6.22</v>
      </c>
      <c r="G1845">
        <v>2.0499999999999998</v>
      </c>
      <c r="H1845" s="15">
        <v>1.71</v>
      </c>
      <c r="I1845">
        <v>41.2</v>
      </c>
      <c r="J1845">
        <v>38.1</v>
      </c>
      <c r="K1845">
        <v>25.5</v>
      </c>
      <c r="L1845">
        <v>1.65</v>
      </c>
      <c r="M1845">
        <v>3.5</v>
      </c>
      <c r="N1845">
        <v>0.115</v>
      </c>
      <c r="O1845">
        <v>1.9670000000000001</v>
      </c>
      <c r="P1845">
        <v>0.55000000000000004</v>
      </c>
      <c r="Q1845">
        <v>15</v>
      </c>
    </row>
    <row r="1846" spans="1:17" x14ac:dyDescent="0.25">
      <c r="A1846" s="1">
        <v>43873</v>
      </c>
      <c r="B1846">
        <v>9.15</v>
      </c>
      <c r="C1846">
        <v>210.5</v>
      </c>
      <c r="D1846">
        <v>3.35</v>
      </c>
      <c r="E1846">
        <v>12.67</v>
      </c>
      <c r="F1846">
        <v>6.15</v>
      </c>
      <c r="G1846">
        <v>2.0699999999999998</v>
      </c>
      <c r="H1846" s="15">
        <v>1.7</v>
      </c>
      <c r="I1846">
        <v>41.71</v>
      </c>
      <c r="J1846">
        <v>37.9</v>
      </c>
      <c r="K1846">
        <v>25.5</v>
      </c>
      <c r="L1846">
        <v>1.65</v>
      </c>
      <c r="M1846">
        <v>3.5</v>
      </c>
      <c r="N1846">
        <v>0.107</v>
      </c>
      <c r="O1846">
        <v>1.9570000000000001</v>
      </c>
      <c r="P1846">
        <v>0.52</v>
      </c>
      <c r="Q1846">
        <v>15</v>
      </c>
    </row>
    <row r="1847" spans="1:17" x14ac:dyDescent="0.25">
      <c r="A1847" s="1">
        <v>43874</v>
      </c>
      <c r="B1847">
        <v>9.15</v>
      </c>
      <c r="C1847">
        <v>207.7</v>
      </c>
      <c r="D1847">
        <v>3.35</v>
      </c>
      <c r="E1847">
        <v>12.69</v>
      </c>
      <c r="F1847">
        <v>6.09</v>
      </c>
      <c r="G1847">
        <v>2.0499999999999998</v>
      </c>
      <c r="H1847" s="15">
        <v>1.8</v>
      </c>
      <c r="I1847">
        <v>42.39</v>
      </c>
      <c r="J1847">
        <v>37.5</v>
      </c>
      <c r="K1847">
        <v>25.5</v>
      </c>
      <c r="L1847">
        <v>1.65</v>
      </c>
      <c r="M1847" t="e">
        <v>#N/A</v>
      </c>
      <c r="N1847" t="e">
        <v>#N/A</v>
      </c>
      <c r="O1847" t="e">
        <v>#N/A</v>
      </c>
      <c r="P1847">
        <v>0.51</v>
      </c>
      <c r="Q1847">
        <v>12</v>
      </c>
    </row>
    <row r="1848" spans="1:17" x14ac:dyDescent="0.25">
      <c r="A1848" s="1">
        <v>43875</v>
      </c>
      <c r="B1848">
        <v>9.15</v>
      </c>
      <c r="C1848">
        <v>203.94</v>
      </c>
      <c r="D1848">
        <v>3.37</v>
      </c>
      <c r="E1848">
        <v>12.26</v>
      </c>
      <c r="F1848">
        <v>6.1</v>
      </c>
      <c r="G1848">
        <v>2.0699999999999998</v>
      </c>
      <c r="H1848" s="15">
        <v>1.81</v>
      </c>
      <c r="I1848">
        <v>43</v>
      </c>
      <c r="J1848">
        <v>38</v>
      </c>
      <c r="K1848">
        <v>26</v>
      </c>
      <c r="L1848">
        <v>1.65</v>
      </c>
      <c r="M1848" t="e">
        <v>#N/A</v>
      </c>
      <c r="N1848">
        <v>0.10299999999999999</v>
      </c>
      <c r="O1848">
        <v>1.9570000000000001</v>
      </c>
      <c r="P1848">
        <v>0.52</v>
      </c>
      <c r="Q1848">
        <v>14</v>
      </c>
    </row>
    <row r="1849" spans="1:17" x14ac:dyDescent="0.25">
      <c r="A1849" s="1">
        <v>43878</v>
      </c>
      <c r="B1849">
        <v>9.1199999999999992</v>
      </c>
      <c r="C1849">
        <v>204</v>
      </c>
      <c r="D1849">
        <v>3.37</v>
      </c>
      <c r="E1849" t="e">
        <v>#N/A</v>
      </c>
      <c r="F1849">
        <v>6.09</v>
      </c>
      <c r="G1849">
        <v>2.1</v>
      </c>
      <c r="H1849" s="15">
        <v>1.8</v>
      </c>
      <c r="I1849">
        <v>43</v>
      </c>
      <c r="J1849">
        <v>38</v>
      </c>
      <c r="K1849">
        <v>26.01</v>
      </c>
      <c r="L1849">
        <v>1.65</v>
      </c>
      <c r="M1849" t="e">
        <v>#N/A</v>
      </c>
      <c r="N1849">
        <v>0.10299999999999999</v>
      </c>
      <c r="O1849">
        <v>1.9570000000000001</v>
      </c>
      <c r="P1849">
        <v>0.52</v>
      </c>
      <c r="Q1849">
        <v>13</v>
      </c>
    </row>
    <row r="1850" spans="1:17" x14ac:dyDescent="0.25">
      <c r="A1850" s="1">
        <v>43879</v>
      </c>
      <c r="B1850">
        <v>9.07</v>
      </c>
      <c r="C1850">
        <v>202</v>
      </c>
      <c r="D1850">
        <v>3.4</v>
      </c>
      <c r="E1850">
        <v>12.12</v>
      </c>
      <c r="F1850">
        <v>6.1</v>
      </c>
      <c r="G1850">
        <v>2.09</v>
      </c>
      <c r="H1850" s="15">
        <v>1.76</v>
      </c>
      <c r="I1850">
        <v>42</v>
      </c>
      <c r="J1850">
        <v>37.5</v>
      </c>
      <c r="K1850">
        <v>25.75</v>
      </c>
      <c r="L1850">
        <v>1.66</v>
      </c>
      <c r="M1850" t="e">
        <v>#N/A</v>
      </c>
      <c r="N1850">
        <v>0.10299999999999999</v>
      </c>
      <c r="O1850">
        <v>1.97</v>
      </c>
      <c r="P1850">
        <v>0.51</v>
      </c>
      <c r="Q1850">
        <v>14</v>
      </c>
    </row>
    <row r="1851" spans="1:17" x14ac:dyDescent="0.25">
      <c r="A1851" s="1">
        <v>43880</v>
      </c>
      <c r="B1851">
        <v>9.1</v>
      </c>
      <c r="C1851">
        <v>201.5</v>
      </c>
      <c r="D1851">
        <v>3.4</v>
      </c>
      <c r="E1851">
        <v>12.42</v>
      </c>
      <c r="F1851">
        <v>6.15</v>
      </c>
      <c r="G1851">
        <v>2.1</v>
      </c>
      <c r="H1851" s="15">
        <v>1.76</v>
      </c>
      <c r="I1851">
        <v>41.8</v>
      </c>
      <c r="J1851">
        <v>37.5</v>
      </c>
      <c r="K1851">
        <v>25.75</v>
      </c>
      <c r="L1851">
        <v>1.66</v>
      </c>
      <c r="M1851" t="e">
        <v>#N/A</v>
      </c>
      <c r="N1851">
        <v>0.108</v>
      </c>
      <c r="O1851">
        <v>1.97</v>
      </c>
      <c r="P1851">
        <v>0.53</v>
      </c>
      <c r="Q1851">
        <v>14</v>
      </c>
    </row>
    <row r="1852" spans="1:17" x14ac:dyDescent="0.25">
      <c r="A1852" s="1">
        <v>43881</v>
      </c>
      <c r="B1852">
        <v>9.1</v>
      </c>
      <c r="C1852">
        <v>199.01</v>
      </c>
      <c r="D1852">
        <v>3.41</v>
      </c>
      <c r="E1852">
        <v>12.51</v>
      </c>
      <c r="F1852">
        <v>6.15</v>
      </c>
      <c r="G1852">
        <v>2.11</v>
      </c>
      <c r="H1852" s="15">
        <v>1.77</v>
      </c>
      <c r="I1852" t="e">
        <v>#N/A</v>
      </c>
      <c r="J1852">
        <v>37.5</v>
      </c>
      <c r="K1852">
        <v>25.64</v>
      </c>
      <c r="L1852">
        <v>1.66</v>
      </c>
      <c r="M1852">
        <v>3.43</v>
      </c>
      <c r="N1852">
        <v>0.105</v>
      </c>
      <c r="O1852">
        <v>1.97</v>
      </c>
      <c r="P1852">
        <v>0.53</v>
      </c>
      <c r="Q1852">
        <v>14</v>
      </c>
    </row>
    <row r="1853" spans="1:17" x14ac:dyDescent="0.25">
      <c r="A1853" s="1">
        <v>43882</v>
      </c>
      <c r="B1853">
        <v>9.1</v>
      </c>
      <c r="C1853">
        <v>199</v>
      </c>
      <c r="D1853">
        <v>3.41</v>
      </c>
      <c r="E1853">
        <v>12.46</v>
      </c>
      <c r="F1853">
        <v>6.15</v>
      </c>
      <c r="G1853">
        <v>2.1</v>
      </c>
      <c r="H1853" s="15">
        <v>1.8</v>
      </c>
      <c r="I1853">
        <v>41.4</v>
      </c>
      <c r="J1853" t="e">
        <v>#N/A</v>
      </c>
      <c r="K1853">
        <v>25.45</v>
      </c>
      <c r="L1853">
        <v>1.64</v>
      </c>
      <c r="M1853">
        <v>3.42</v>
      </c>
      <c r="N1853">
        <v>0.10299999999999999</v>
      </c>
      <c r="O1853">
        <v>1.97</v>
      </c>
      <c r="P1853">
        <v>0.52</v>
      </c>
      <c r="Q1853">
        <v>14</v>
      </c>
    </row>
    <row r="1854" spans="1:17" x14ac:dyDescent="0.25">
      <c r="A1854" s="1">
        <v>43885</v>
      </c>
      <c r="B1854">
        <v>9.0500000000000007</v>
      </c>
      <c r="C1854">
        <v>194.11</v>
      </c>
      <c r="D1854">
        <v>3.36</v>
      </c>
      <c r="E1854">
        <v>12.2</v>
      </c>
      <c r="F1854">
        <v>6.1</v>
      </c>
      <c r="G1854">
        <v>2.0499999999999998</v>
      </c>
      <c r="H1854" s="15">
        <v>1.85</v>
      </c>
      <c r="I1854">
        <v>40.880000000000003</v>
      </c>
      <c r="J1854">
        <v>36.75</v>
      </c>
      <c r="K1854">
        <v>25.45</v>
      </c>
      <c r="L1854">
        <v>1.61</v>
      </c>
      <c r="M1854" t="e">
        <v>#N/A</v>
      </c>
      <c r="N1854">
        <v>9.9000000000000005E-2</v>
      </c>
      <c r="O1854">
        <v>1.96</v>
      </c>
      <c r="P1854">
        <v>0.5</v>
      </c>
      <c r="Q1854">
        <v>14</v>
      </c>
    </row>
    <row r="1855" spans="1:17" x14ac:dyDescent="0.25">
      <c r="A1855" s="1">
        <v>43886</v>
      </c>
      <c r="B1855">
        <v>9</v>
      </c>
      <c r="C1855">
        <v>187.85</v>
      </c>
      <c r="D1855">
        <v>3.36</v>
      </c>
      <c r="E1855">
        <v>11.8</v>
      </c>
      <c r="F1855">
        <v>6.05</v>
      </c>
      <c r="G1855">
        <v>2.0299999999999998</v>
      </c>
      <c r="H1855" s="15">
        <v>1.78</v>
      </c>
      <c r="I1855">
        <v>40.6</v>
      </c>
      <c r="J1855">
        <v>36.4</v>
      </c>
      <c r="K1855">
        <v>25</v>
      </c>
      <c r="L1855">
        <v>1.6</v>
      </c>
      <c r="M1855">
        <v>3.35</v>
      </c>
      <c r="N1855">
        <v>9.7000000000000003E-2</v>
      </c>
      <c r="O1855">
        <v>1.95</v>
      </c>
      <c r="P1855">
        <v>0.48</v>
      </c>
      <c r="Q1855">
        <v>15</v>
      </c>
    </row>
    <row r="1856" spans="1:17" x14ac:dyDescent="0.25">
      <c r="A1856" s="1">
        <v>43887</v>
      </c>
      <c r="B1856">
        <v>8.9</v>
      </c>
      <c r="C1856">
        <v>189.6</v>
      </c>
      <c r="D1856">
        <v>3.37</v>
      </c>
      <c r="E1856">
        <v>12.4</v>
      </c>
      <c r="F1856">
        <v>6</v>
      </c>
      <c r="G1856">
        <v>2</v>
      </c>
      <c r="H1856" s="15">
        <v>1.78</v>
      </c>
      <c r="I1856">
        <v>40</v>
      </c>
      <c r="J1856">
        <v>35.950000000000003</v>
      </c>
      <c r="K1856">
        <v>25</v>
      </c>
      <c r="L1856">
        <v>1.58</v>
      </c>
      <c r="M1856" t="e">
        <v>#N/A</v>
      </c>
      <c r="N1856">
        <v>9.5000000000000001E-2</v>
      </c>
      <c r="O1856">
        <v>1.94</v>
      </c>
      <c r="P1856">
        <v>0.46600000000000003</v>
      </c>
      <c r="Q1856">
        <v>14</v>
      </c>
    </row>
    <row r="1857" spans="1:17" x14ac:dyDescent="0.25">
      <c r="A1857" s="1">
        <v>43888</v>
      </c>
      <c r="B1857">
        <v>8.6199999999999992</v>
      </c>
      <c r="C1857">
        <v>183.93</v>
      </c>
      <c r="D1857">
        <v>3.35</v>
      </c>
      <c r="E1857">
        <v>12.38</v>
      </c>
      <c r="F1857">
        <v>5.95</v>
      </c>
      <c r="G1857">
        <v>2</v>
      </c>
      <c r="H1857" s="15">
        <v>1.65</v>
      </c>
      <c r="I1857">
        <v>38.450000000000003</v>
      </c>
      <c r="J1857">
        <v>35.1</v>
      </c>
      <c r="K1857">
        <v>24.5</v>
      </c>
      <c r="L1857">
        <v>1.52</v>
      </c>
      <c r="M1857">
        <v>3.25</v>
      </c>
      <c r="N1857">
        <v>8.3000000000000004E-2</v>
      </c>
      <c r="O1857">
        <v>1.91</v>
      </c>
      <c r="P1857">
        <v>0.44</v>
      </c>
      <c r="Q1857">
        <v>15</v>
      </c>
    </row>
    <row r="1858" spans="1:17" x14ac:dyDescent="0.25">
      <c r="A1858" s="1">
        <v>43889</v>
      </c>
      <c r="B1858">
        <v>8.5</v>
      </c>
      <c r="C1858">
        <v>181.2</v>
      </c>
      <c r="D1858">
        <v>3.3</v>
      </c>
      <c r="E1858">
        <v>11.24</v>
      </c>
      <c r="F1858">
        <v>5.85</v>
      </c>
      <c r="G1858">
        <v>1.99</v>
      </c>
      <c r="H1858" s="15">
        <v>1.67</v>
      </c>
      <c r="I1858">
        <v>37.82</v>
      </c>
      <c r="J1858">
        <v>34.299999999999997</v>
      </c>
      <c r="K1858">
        <v>27</v>
      </c>
      <c r="L1858">
        <v>1.48</v>
      </c>
      <c r="M1858">
        <v>3.2</v>
      </c>
      <c r="N1858">
        <v>8.5000000000000006E-2</v>
      </c>
      <c r="O1858">
        <v>1.97</v>
      </c>
      <c r="P1858">
        <v>0.438</v>
      </c>
      <c r="Q1858">
        <v>15</v>
      </c>
    </row>
    <row r="1859" spans="1:17" x14ac:dyDescent="0.25">
      <c r="A1859" s="1">
        <v>43892</v>
      </c>
      <c r="B1859">
        <v>8.5500000000000007</v>
      </c>
      <c r="C1859">
        <v>190</v>
      </c>
      <c r="D1859">
        <v>3.3</v>
      </c>
      <c r="E1859">
        <v>10.82</v>
      </c>
      <c r="F1859">
        <v>6.15</v>
      </c>
      <c r="G1859">
        <v>2</v>
      </c>
      <c r="H1859" s="15">
        <v>1.72</v>
      </c>
      <c r="I1859">
        <v>39.5</v>
      </c>
      <c r="J1859">
        <v>34.5</v>
      </c>
      <c r="K1859">
        <v>26</v>
      </c>
      <c r="L1859">
        <v>1.5</v>
      </c>
      <c r="M1859" t="e">
        <v>#N/A</v>
      </c>
      <c r="N1859">
        <v>8.7999999999999995E-2</v>
      </c>
      <c r="O1859">
        <v>1.96</v>
      </c>
      <c r="P1859">
        <v>0.46500000000000002</v>
      </c>
      <c r="Q1859">
        <v>14</v>
      </c>
    </row>
    <row r="1860" spans="1:17" x14ac:dyDescent="0.25">
      <c r="A1860" s="1">
        <v>43893</v>
      </c>
      <c r="B1860">
        <v>8.6999999999999993</v>
      </c>
      <c r="C1860">
        <v>187.45</v>
      </c>
      <c r="D1860">
        <v>3.29</v>
      </c>
      <c r="E1860">
        <v>11.17</v>
      </c>
      <c r="F1860">
        <v>6.1</v>
      </c>
      <c r="G1860">
        <v>2.08</v>
      </c>
      <c r="H1860" s="15">
        <v>1.75</v>
      </c>
      <c r="I1860">
        <v>38.5</v>
      </c>
      <c r="J1860">
        <v>34</v>
      </c>
      <c r="K1860">
        <v>25.9</v>
      </c>
      <c r="L1860">
        <v>1.52</v>
      </c>
      <c r="M1860" t="e">
        <v>#N/A</v>
      </c>
      <c r="N1860">
        <v>8.7999999999999995E-2</v>
      </c>
      <c r="O1860">
        <v>1.96</v>
      </c>
      <c r="P1860">
        <v>0.5</v>
      </c>
      <c r="Q1860">
        <v>14</v>
      </c>
    </row>
    <row r="1861" spans="1:17" x14ac:dyDescent="0.25">
      <c r="A1861" s="1">
        <v>43894</v>
      </c>
      <c r="B1861">
        <v>8.75</v>
      </c>
      <c r="C1861">
        <v>198.08</v>
      </c>
      <c r="D1861">
        <v>3.3</v>
      </c>
      <c r="E1861">
        <v>11</v>
      </c>
      <c r="F1861">
        <v>6.1</v>
      </c>
      <c r="G1861">
        <v>2.1</v>
      </c>
      <c r="H1861" s="15">
        <v>1.75</v>
      </c>
      <c r="I1861">
        <v>39.4</v>
      </c>
      <c r="J1861">
        <v>34.200000000000003</v>
      </c>
      <c r="K1861">
        <v>25.99</v>
      </c>
      <c r="L1861">
        <v>1.52</v>
      </c>
      <c r="M1861" t="e">
        <v>#N/A</v>
      </c>
      <c r="N1861">
        <v>0.09</v>
      </c>
      <c r="O1861">
        <v>1.95</v>
      </c>
      <c r="P1861">
        <v>0.47499999999999998</v>
      </c>
      <c r="Q1861">
        <v>14</v>
      </c>
    </row>
    <row r="1862" spans="1:17" x14ac:dyDescent="0.25">
      <c r="A1862" s="1">
        <v>43895</v>
      </c>
      <c r="B1862">
        <v>8.7899999999999991</v>
      </c>
      <c r="C1862">
        <v>191.01</v>
      </c>
      <c r="D1862">
        <v>3.3</v>
      </c>
      <c r="E1862">
        <v>11.11</v>
      </c>
      <c r="F1862">
        <v>6.1</v>
      </c>
      <c r="G1862">
        <v>2.09</v>
      </c>
      <c r="H1862" s="15">
        <v>1.73</v>
      </c>
      <c r="I1862">
        <v>38.5</v>
      </c>
      <c r="J1862">
        <v>34.119999999999997</v>
      </c>
      <c r="K1862">
        <v>25.9</v>
      </c>
      <c r="L1862">
        <v>1.5</v>
      </c>
      <c r="M1862" t="e">
        <v>#N/A</v>
      </c>
      <c r="N1862">
        <v>8.7999999999999995E-2</v>
      </c>
      <c r="O1862">
        <v>1.93</v>
      </c>
      <c r="P1862">
        <v>0.46</v>
      </c>
      <c r="Q1862">
        <v>14</v>
      </c>
    </row>
    <row r="1863" spans="1:17" x14ac:dyDescent="0.25">
      <c r="A1863" s="1">
        <v>43896</v>
      </c>
      <c r="B1863">
        <v>8.6</v>
      </c>
      <c r="C1863">
        <v>186.7</v>
      </c>
      <c r="D1863">
        <v>3.25</v>
      </c>
      <c r="E1863">
        <v>10.46</v>
      </c>
      <c r="F1863">
        <v>6</v>
      </c>
      <c r="G1863">
        <v>2</v>
      </c>
      <c r="H1863" s="15">
        <v>1.69</v>
      </c>
      <c r="I1863">
        <v>36.53</v>
      </c>
      <c r="J1863">
        <v>33</v>
      </c>
      <c r="K1863">
        <v>25</v>
      </c>
      <c r="L1863">
        <v>1.45</v>
      </c>
      <c r="M1863" t="e">
        <v>#N/A</v>
      </c>
      <c r="N1863">
        <v>0.08</v>
      </c>
      <c r="O1863">
        <v>1.89</v>
      </c>
      <c r="P1863">
        <v>0.435</v>
      </c>
      <c r="Q1863">
        <v>14</v>
      </c>
    </row>
    <row r="1864" spans="1:17" x14ac:dyDescent="0.25">
      <c r="A1864" s="1">
        <v>43899</v>
      </c>
      <c r="B1864">
        <v>8.31</v>
      </c>
      <c r="C1864">
        <v>175</v>
      </c>
      <c r="D1864">
        <v>3.2</v>
      </c>
      <c r="E1864">
        <v>9.5</v>
      </c>
      <c r="F1864">
        <v>5.8</v>
      </c>
      <c r="G1864">
        <v>1.92</v>
      </c>
      <c r="H1864" s="15">
        <v>1.59</v>
      </c>
      <c r="I1864">
        <v>32.619999999999997</v>
      </c>
      <c r="J1864">
        <v>31.9</v>
      </c>
      <c r="K1864">
        <v>24.48</v>
      </c>
      <c r="L1864">
        <v>1.41</v>
      </c>
      <c r="M1864">
        <v>3</v>
      </c>
      <c r="N1864">
        <v>7.5999999999999998E-2</v>
      </c>
      <c r="O1864" t="e">
        <v>#N/A</v>
      </c>
      <c r="P1864">
        <v>0.40600000000000003</v>
      </c>
      <c r="Q1864">
        <v>14</v>
      </c>
    </row>
    <row r="1865" spans="1:17" x14ac:dyDescent="0.25">
      <c r="A1865" s="1">
        <v>43900</v>
      </c>
      <c r="B1865">
        <v>8.4</v>
      </c>
      <c r="C1865">
        <v>179.4</v>
      </c>
      <c r="D1865">
        <v>3.2</v>
      </c>
      <c r="E1865">
        <v>9.4499999999999993</v>
      </c>
      <c r="F1865">
        <v>6</v>
      </c>
      <c r="G1865">
        <v>1.93</v>
      </c>
      <c r="H1865" s="15">
        <v>1.65</v>
      </c>
      <c r="I1865">
        <v>36</v>
      </c>
      <c r="J1865">
        <v>32</v>
      </c>
      <c r="K1865">
        <v>26</v>
      </c>
      <c r="L1865">
        <v>1.48</v>
      </c>
      <c r="M1865">
        <v>3</v>
      </c>
      <c r="N1865">
        <v>7.9000000000000001E-2</v>
      </c>
      <c r="O1865">
        <v>1.8</v>
      </c>
      <c r="P1865">
        <v>0.44</v>
      </c>
      <c r="Q1865">
        <v>15</v>
      </c>
    </row>
    <row r="1866" spans="1:17" x14ac:dyDescent="0.25">
      <c r="A1866" s="1">
        <v>43901</v>
      </c>
      <c r="B1866">
        <v>8.23</v>
      </c>
      <c r="C1866">
        <v>171.55</v>
      </c>
      <c r="D1866">
        <v>3.15</v>
      </c>
      <c r="E1866">
        <v>8.58</v>
      </c>
      <c r="F1866">
        <v>5.9</v>
      </c>
      <c r="G1866">
        <v>1.89</v>
      </c>
      <c r="H1866" s="15">
        <v>1.56</v>
      </c>
      <c r="I1866">
        <v>35.5</v>
      </c>
      <c r="J1866">
        <v>31.5</v>
      </c>
      <c r="K1866">
        <v>25.5</v>
      </c>
      <c r="L1866">
        <v>1.48</v>
      </c>
      <c r="M1866">
        <v>2.88</v>
      </c>
      <c r="N1866">
        <v>0.08</v>
      </c>
      <c r="O1866">
        <v>1.7</v>
      </c>
      <c r="P1866">
        <v>0.41</v>
      </c>
      <c r="Q1866">
        <v>15</v>
      </c>
    </row>
    <row r="1867" spans="1:17" x14ac:dyDescent="0.25">
      <c r="A1867" s="1">
        <v>43902</v>
      </c>
      <c r="B1867">
        <v>7.4</v>
      </c>
      <c r="C1867">
        <v>151</v>
      </c>
      <c r="D1867">
        <v>2.9</v>
      </c>
      <c r="E1867">
        <v>6.6</v>
      </c>
      <c r="F1867">
        <v>5.7</v>
      </c>
      <c r="G1867">
        <v>1.78</v>
      </c>
      <c r="H1867" s="15">
        <v>1.46</v>
      </c>
      <c r="I1867">
        <v>30.65</v>
      </c>
      <c r="J1867">
        <v>30</v>
      </c>
      <c r="K1867">
        <v>24.5</v>
      </c>
      <c r="L1867">
        <v>1.43</v>
      </c>
      <c r="M1867">
        <v>2.6</v>
      </c>
      <c r="N1867" t="e">
        <v>#N/A</v>
      </c>
      <c r="O1867">
        <v>1.65</v>
      </c>
      <c r="P1867">
        <v>0.39</v>
      </c>
      <c r="Q1867">
        <v>14</v>
      </c>
    </row>
    <row r="1868" spans="1:17" x14ac:dyDescent="0.25">
      <c r="A1868" s="1">
        <v>43903</v>
      </c>
      <c r="B1868">
        <v>7.25</v>
      </c>
      <c r="C1868">
        <v>173</v>
      </c>
      <c r="D1868">
        <v>3.05</v>
      </c>
      <c r="E1868">
        <v>6.1</v>
      </c>
      <c r="F1868">
        <v>5.7</v>
      </c>
      <c r="G1868">
        <v>1.83</v>
      </c>
      <c r="H1868" s="15">
        <v>1.53</v>
      </c>
      <c r="I1868">
        <v>34.5</v>
      </c>
      <c r="J1868">
        <v>29.5</v>
      </c>
      <c r="K1868">
        <v>24</v>
      </c>
      <c r="L1868">
        <v>1.49</v>
      </c>
      <c r="M1868">
        <v>2.6</v>
      </c>
      <c r="N1868">
        <v>7.8E-2</v>
      </c>
      <c r="O1868">
        <v>1.7</v>
      </c>
      <c r="P1868">
        <v>0.39300000000000002</v>
      </c>
      <c r="Q1868">
        <v>15</v>
      </c>
    </row>
    <row r="1869" spans="1:17" x14ac:dyDescent="0.25">
      <c r="A1869" s="1">
        <v>43906</v>
      </c>
      <c r="B1869">
        <v>7</v>
      </c>
      <c r="C1869">
        <v>149</v>
      </c>
      <c r="D1869">
        <v>2.8</v>
      </c>
      <c r="E1869">
        <v>6.4</v>
      </c>
      <c r="F1869">
        <v>5.48</v>
      </c>
      <c r="G1869">
        <v>1.82</v>
      </c>
      <c r="H1869" s="15">
        <v>1.37</v>
      </c>
      <c r="I1869">
        <v>31.29</v>
      </c>
      <c r="J1869">
        <v>29</v>
      </c>
      <c r="K1869">
        <v>23.6</v>
      </c>
      <c r="L1869" t="e">
        <v>#N/A</v>
      </c>
      <c r="M1869" t="e">
        <v>#N/A</v>
      </c>
      <c r="N1869" t="e">
        <v>#N/A</v>
      </c>
      <c r="O1869" t="e">
        <v>#N/A</v>
      </c>
      <c r="P1869">
        <v>0.35</v>
      </c>
      <c r="Q1869">
        <v>11</v>
      </c>
    </row>
    <row r="1870" spans="1:17" x14ac:dyDescent="0.25">
      <c r="A1870" s="1">
        <v>43907</v>
      </c>
      <c r="B1870">
        <v>7.15</v>
      </c>
      <c r="C1870">
        <v>147</v>
      </c>
      <c r="D1870">
        <v>2.79</v>
      </c>
      <c r="E1870">
        <v>7.75</v>
      </c>
      <c r="F1870">
        <v>5.4</v>
      </c>
      <c r="G1870">
        <v>1.79</v>
      </c>
      <c r="H1870" s="15">
        <v>1.41</v>
      </c>
      <c r="I1870">
        <v>29.25</v>
      </c>
      <c r="J1870">
        <v>29</v>
      </c>
      <c r="K1870">
        <v>24</v>
      </c>
      <c r="L1870">
        <v>1.36</v>
      </c>
      <c r="M1870" t="e">
        <v>#N/A</v>
      </c>
      <c r="N1870">
        <v>7.6999999999999999E-2</v>
      </c>
      <c r="O1870">
        <v>1.6</v>
      </c>
      <c r="P1870">
        <v>0.37</v>
      </c>
      <c r="Q1870">
        <v>14</v>
      </c>
    </row>
    <row r="1871" spans="1:17" x14ac:dyDescent="0.25">
      <c r="A1871" s="1">
        <v>43908</v>
      </c>
      <c r="B1871">
        <v>7.2</v>
      </c>
      <c r="C1871">
        <v>135.80000000000001</v>
      </c>
      <c r="D1871">
        <v>2.5</v>
      </c>
      <c r="E1871">
        <v>6.96</v>
      </c>
      <c r="F1871">
        <v>5.3</v>
      </c>
      <c r="G1871">
        <v>1.75</v>
      </c>
      <c r="H1871" s="15">
        <v>1.39</v>
      </c>
      <c r="I1871">
        <v>25.38</v>
      </c>
      <c r="J1871">
        <v>28.5</v>
      </c>
      <c r="K1871" t="e">
        <v>#N/A</v>
      </c>
      <c r="L1871">
        <v>1.36</v>
      </c>
      <c r="M1871">
        <v>2.2000000000000002</v>
      </c>
      <c r="N1871">
        <v>6.8000000000000005E-2</v>
      </c>
      <c r="O1871">
        <v>1.59</v>
      </c>
      <c r="P1871">
        <v>0.33500000000000002</v>
      </c>
      <c r="Q1871">
        <v>14</v>
      </c>
    </row>
    <row r="1872" spans="1:17" x14ac:dyDescent="0.25">
      <c r="A1872" s="1">
        <v>43909</v>
      </c>
      <c r="B1872">
        <v>7.3</v>
      </c>
      <c r="C1872">
        <v>134.9</v>
      </c>
      <c r="D1872">
        <v>2.4500000000000002</v>
      </c>
      <c r="E1872">
        <v>7.22</v>
      </c>
      <c r="F1872">
        <v>5.3</v>
      </c>
      <c r="G1872">
        <v>1.7</v>
      </c>
      <c r="H1872" s="15">
        <v>1.45</v>
      </c>
      <c r="I1872">
        <v>24.7</v>
      </c>
      <c r="J1872">
        <v>28.5</v>
      </c>
      <c r="K1872">
        <v>24</v>
      </c>
      <c r="L1872">
        <v>1.36</v>
      </c>
      <c r="M1872">
        <v>2.2000000000000002</v>
      </c>
      <c r="N1872">
        <v>7.1999999999999995E-2</v>
      </c>
      <c r="O1872">
        <v>1.59</v>
      </c>
      <c r="P1872">
        <v>0.34</v>
      </c>
      <c r="Q1872">
        <v>15</v>
      </c>
    </row>
    <row r="1873" spans="1:17" x14ac:dyDescent="0.25">
      <c r="A1873" s="1">
        <v>43910</v>
      </c>
      <c r="B1873">
        <v>7.55</v>
      </c>
      <c r="C1873">
        <v>134</v>
      </c>
      <c r="D1873">
        <v>2.5</v>
      </c>
      <c r="E1873">
        <v>6.87</v>
      </c>
      <c r="F1873" t="e">
        <v>#N/A</v>
      </c>
      <c r="G1873">
        <v>1.6</v>
      </c>
      <c r="H1873" s="15">
        <v>1.42</v>
      </c>
      <c r="I1873">
        <v>25.4</v>
      </c>
      <c r="J1873">
        <v>28.6</v>
      </c>
      <c r="K1873">
        <v>24</v>
      </c>
      <c r="L1873" t="e">
        <v>#N/A</v>
      </c>
      <c r="M1873">
        <v>2.2000000000000002</v>
      </c>
      <c r="N1873">
        <v>6.0999999999999999E-2</v>
      </c>
      <c r="O1873">
        <v>1.59</v>
      </c>
      <c r="P1873">
        <v>0.317</v>
      </c>
      <c r="Q1873">
        <v>13</v>
      </c>
    </row>
    <row r="1874" spans="1:17" x14ac:dyDescent="0.25">
      <c r="A1874" s="1">
        <v>43913</v>
      </c>
      <c r="B1874">
        <v>7.75</v>
      </c>
      <c r="C1874">
        <v>124.8</v>
      </c>
      <c r="D1874">
        <v>2.4</v>
      </c>
      <c r="E1874">
        <v>7.4</v>
      </c>
      <c r="F1874">
        <v>5</v>
      </c>
      <c r="G1874">
        <v>1.48</v>
      </c>
      <c r="H1874" s="15">
        <v>1.3</v>
      </c>
      <c r="I1874">
        <v>23.95</v>
      </c>
      <c r="J1874">
        <v>28.7</v>
      </c>
      <c r="K1874">
        <v>24.01</v>
      </c>
      <c r="L1874" t="e">
        <v>#N/A</v>
      </c>
      <c r="M1874" t="e">
        <v>#N/A</v>
      </c>
      <c r="N1874">
        <v>0.06</v>
      </c>
      <c r="O1874" t="e">
        <v>#N/A</v>
      </c>
      <c r="P1874">
        <v>0.28999999999999998</v>
      </c>
      <c r="Q1874">
        <v>12</v>
      </c>
    </row>
    <row r="1875" spans="1:17" x14ac:dyDescent="0.25">
      <c r="A1875" s="1">
        <v>43914</v>
      </c>
      <c r="B1875">
        <v>7.9</v>
      </c>
      <c r="C1875">
        <v>126.7</v>
      </c>
      <c r="D1875">
        <v>2.34</v>
      </c>
      <c r="E1875">
        <v>7.68</v>
      </c>
      <c r="F1875">
        <v>5.07</v>
      </c>
      <c r="G1875">
        <v>1.47</v>
      </c>
      <c r="H1875" s="15">
        <v>1.29</v>
      </c>
      <c r="I1875">
        <v>25.9</v>
      </c>
      <c r="J1875">
        <v>30.8</v>
      </c>
      <c r="K1875">
        <v>24.5</v>
      </c>
      <c r="L1875">
        <v>1.34</v>
      </c>
      <c r="M1875">
        <v>2.2000000000000002</v>
      </c>
      <c r="N1875">
        <v>0.06</v>
      </c>
      <c r="O1875" t="e">
        <v>#N/A</v>
      </c>
      <c r="P1875">
        <v>0.3</v>
      </c>
      <c r="Q1875">
        <v>14</v>
      </c>
    </row>
    <row r="1876" spans="1:17" x14ac:dyDescent="0.25">
      <c r="A1876" s="1">
        <v>43915</v>
      </c>
      <c r="B1876">
        <v>7.9</v>
      </c>
      <c r="C1876">
        <v>128.69999999999999</v>
      </c>
      <c r="D1876">
        <v>2.4500000000000002</v>
      </c>
      <c r="E1876">
        <v>8.3000000000000007</v>
      </c>
      <c r="F1876">
        <v>4.9400000000000004</v>
      </c>
      <c r="G1876">
        <v>1.42</v>
      </c>
      <c r="H1876" s="15">
        <v>1.26</v>
      </c>
      <c r="I1876">
        <v>27</v>
      </c>
      <c r="J1876">
        <v>32</v>
      </c>
      <c r="K1876">
        <v>24.5</v>
      </c>
      <c r="L1876">
        <v>1.3</v>
      </c>
      <c r="M1876">
        <v>2.2000000000000002</v>
      </c>
      <c r="N1876">
        <v>5.8000000000000003E-2</v>
      </c>
      <c r="O1876">
        <v>1.49</v>
      </c>
      <c r="P1876">
        <v>0.29899999999999999</v>
      </c>
      <c r="Q1876">
        <v>15</v>
      </c>
    </row>
    <row r="1877" spans="1:17" x14ac:dyDescent="0.25">
      <c r="A1877" s="1">
        <v>43916</v>
      </c>
      <c r="B1877">
        <v>8</v>
      </c>
      <c r="C1877">
        <v>131.4</v>
      </c>
      <c r="D1877">
        <v>2.5</v>
      </c>
      <c r="E1877">
        <v>8.1</v>
      </c>
      <c r="F1877">
        <v>4.9400000000000004</v>
      </c>
      <c r="G1877">
        <v>1.41</v>
      </c>
      <c r="H1877" s="15">
        <v>1.21</v>
      </c>
      <c r="I1877">
        <v>27.1</v>
      </c>
      <c r="J1877">
        <v>32.299999999999997</v>
      </c>
      <c r="K1877">
        <v>25</v>
      </c>
      <c r="L1877">
        <v>1.3</v>
      </c>
      <c r="M1877">
        <v>2.2000000000000002</v>
      </c>
      <c r="N1877">
        <v>0.06</v>
      </c>
      <c r="O1877">
        <v>1.49</v>
      </c>
      <c r="P1877">
        <v>0.30099999999999999</v>
      </c>
      <c r="Q1877">
        <v>15</v>
      </c>
    </row>
    <row r="1878" spans="1:17" x14ac:dyDescent="0.25">
      <c r="A1878" s="1">
        <v>43917</v>
      </c>
      <c r="B1878">
        <v>8</v>
      </c>
      <c r="C1878">
        <v>117.94</v>
      </c>
      <c r="D1878">
        <v>2.35</v>
      </c>
      <c r="E1878">
        <v>7.2</v>
      </c>
      <c r="F1878">
        <v>4.8899999999999997</v>
      </c>
      <c r="G1878">
        <v>1.22</v>
      </c>
      <c r="H1878" s="15">
        <v>1.1000000000000001</v>
      </c>
      <c r="I1878">
        <v>26.65</v>
      </c>
      <c r="J1878">
        <v>31.224</v>
      </c>
      <c r="K1878">
        <v>23</v>
      </c>
      <c r="L1878">
        <v>1.29</v>
      </c>
      <c r="M1878" t="e">
        <v>#N/A</v>
      </c>
      <c r="N1878">
        <v>5.6000000000000001E-2</v>
      </c>
      <c r="O1878">
        <v>1.4</v>
      </c>
      <c r="P1878">
        <v>0.31</v>
      </c>
      <c r="Q1878">
        <v>14</v>
      </c>
    </row>
    <row r="1879" spans="1:17" x14ac:dyDescent="0.25">
      <c r="A1879" s="1">
        <v>43920</v>
      </c>
      <c r="B1879">
        <v>7.6</v>
      </c>
      <c r="C1879">
        <v>124.2</v>
      </c>
      <c r="D1879">
        <v>2.27</v>
      </c>
      <c r="E1879">
        <v>6.55</v>
      </c>
      <c r="F1879">
        <v>4.8</v>
      </c>
      <c r="G1879">
        <v>1.21</v>
      </c>
      <c r="H1879" s="15">
        <v>1.1599999999999999</v>
      </c>
      <c r="I1879">
        <v>25.8</v>
      </c>
      <c r="J1879">
        <v>30.93</v>
      </c>
      <c r="K1879">
        <v>22.5</v>
      </c>
      <c r="L1879" t="e">
        <v>#N/A</v>
      </c>
      <c r="M1879" t="e">
        <v>#N/A</v>
      </c>
      <c r="N1879">
        <v>5.3999999999999999E-2</v>
      </c>
      <c r="O1879">
        <v>1.31</v>
      </c>
      <c r="P1879">
        <v>0.29899999999999999</v>
      </c>
      <c r="Q1879">
        <v>13</v>
      </c>
    </row>
    <row r="1880" spans="1:17" x14ac:dyDescent="0.25">
      <c r="A1880" s="1">
        <v>43921</v>
      </c>
      <c r="B1880">
        <v>7.35</v>
      </c>
      <c r="C1880">
        <v>134</v>
      </c>
      <c r="D1880">
        <v>2.35</v>
      </c>
      <c r="E1880">
        <v>7.32</v>
      </c>
      <c r="F1880">
        <v>4.8</v>
      </c>
      <c r="G1880">
        <v>1.26</v>
      </c>
      <c r="H1880" s="15">
        <v>1.1599999999999999</v>
      </c>
      <c r="I1880">
        <v>29.95</v>
      </c>
      <c r="J1880">
        <v>30.635000000000002</v>
      </c>
      <c r="K1880">
        <v>23</v>
      </c>
      <c r="L1880">
        <v>1.3</v>
      </c>
      <c r="M1880" t="e">
        <v>#N/A</v>
      </c>
      <c r="N1880">
        <v>5.2999999999999999E-2</v>
      </c>
      <c r="O1880">
        <v>1.35</v>
      </c>
      <c r="P1880">
        <v>0.31</v>
      </c>
      <c r="Q1880">
        <v>14</v>
      </c>
    </row>
    <row r="1881" spans="1:17" x14ac:dyDescent="0.25">
      <c r="A1881" s="1">
        <v>43922</v>
      </c>
      <c r="B1881">
        <v>7.3</v>
      </c>
      <c r="C1881">
        <v>125.46</v>
      </c>
      <c r="D1881">
        <v>2.3199999999999998</v>
      </c>
      <c r="E1881">
        <v>6.8</v>
      </c>
      <c r="F1881">
        <v>4.75</v>
      </c>
      <c r="G1881">
        <v>1.2</v>
      </c>
      <c r="H1881" s="15">
        <v>1.1200000000000001</v>
      </c>
      <c r="I1881">
        <v>24.9</v>
      </c>
      <c r="J1881">
        <v>29.948</v>
      </c>
      <c r="K1881">
        <v>22.5</v>
      </c>
      <c r="L1881">
        <v>1.32</v>
      </c>
      <c r="M1881" t="e">
        <v>#N/A</v>
      </c>
      <c r="N1881">
        <v>5.2999999999999999E-2</v>
      </c>
      <c r="O1881">
        <v>1.32</v>
      </c>
      <c r="P1881">
        <v>0.3</v>
      </c>
      <c r="Q1881">
        <v>14</v>
      </c>
    </row>
    <row r="1882" spans="1:17" x14ac:dyDescent="0.25">
      <c r="A1882" s="1">
        <v>43923</v>
      </c>
      <c r="B1882">
        <v>7.25</v>
      </c>
      <c r="C1882">
        <v>126.58</v>
      </c>
      <c r="D1882">
        <v>2.3199999999999998</v>
      </c>
      <c r="E1882">
        <v>7.15</v>
      </c>
      <c r="F1882">
        <v>4.75</v>
      </c>
      <c r="G1882">
        <v>1.17</v>
      </c>
      <c r="H1882" s="15">
        <v>1.1000000000000001</v>
      </c>
      <c r="I1882">
        <v>24</v>
      </c>
      <c r="J1882">
        <v>28.72</v>
      </c>
      <c r="K1882">
        <v>22</v>
      </c>
      <c r="L1882">
        <v>1.32</v>
      </c>
      <c r="M1882">
        <v>2.15</v>
      </c>
      <c r="N1882">
        <v>5.5E-2</v>
      </c>
      <c r="O1882">
        <v>1.32</v>
      </c>
      <c r="P1882">
        <v>0.28999999999999998</v>
      </c>
      <c r="Q1882">
        <v>15</v>
      </c>
    </row>
    <row r="1883" spans="1:17" x14ac:dyDescent="0.25">
      <c r="A1883" s="1">
        <v>43924</v>
      </c>
      <c r="B1883">
        <v>7</v>
      </c>
      <c r="C1883">
        <v>121.86</v>
      </c>
      <c r="D1883">
        <v>2.27</v>
      </c>
      <c r="E1883">
        <v>6.96</v>
      </c>
      <c r="F1883">
        <v>4.59</v>
      </c>
      <c r="G1883">
        <v>1.17</v>
      </c>
      <c r="H1883" s="15">
        <v>1.08</v>
      </c>
      <c r="I1883">
        <v>23.65</v>
      </c>
      <c r="J1883">
        <v>27.876000000000001</v>
      </c>
      <c r="K1883">
        <v>21.7</v>
      </c>
      <c r="L1883">
        <v>1.23</v>
      </c>
      <c r="M1883">
        <v>2.1</v>
      </c>
      <c r="N1883">
        <v>5.0999999999999997E-2</v>
      </c>
      <c r="O1883">
        <v>1.27</v>
      </c>
      <c r="P1883">
        <v>0.27</v>
      </c>
      <c r="Q1883">
        <v>15</v>
      </c>
    </row>
    <row r="1884" spans="1:17" x14ac:dyDescent="0.25">
      <c r="A1884" s="1">
        <v>43927</v>
      </c>
      <c r="B1884">
        <v>7</v>
      </c>
      <c r="C1884">
        <v>125.13</v>
      </c>
      <c r="D1884">
        <v>2.25</v>
      </c>
      <c r="E1884">
        <v>7.11</v>
      </c>
      <c r="F1884">
        <v>4.53</v>
      </c>
      <c r="G1884">
        <v>1.22</v>
      </c>
      <c r="H1884" s="15">
        <v>1.1000000000000001</v>
      </c>
      <c r="I1884">
        <v>24.1</v>
      </c>
      <c r="J1884">
        <v>27.001999999999999</v>
      </c>
      <c r="K1884">
        <v>21.3</v>
      </c>
      <c r="L1884">
        <v>1.2</v>
      </c>
      <c r="M1884" t="e">
        <v>#N/A</v>
      </c>
      <c r="N1884">
        <v>5.0999999999999997E-2</v>
      </c>
      <c r="O1884">
        <v>1.27</v>
      </c>
      <c r="P1884">
        <v>0.26700000000000002</v>
      </c>
      <c r="Q1884">
        <v>14</v>
      </c>
    </row>
    <row r="1885" spans="1:17" x14ac:dyDescent="0.25">
      <c r="A1885" s="1">
        <v>43928</v>
      </c>
      <c r="B1885">
        <v>7</v>
      </c>
      <c r="C1885">
        <v>124.2</v>
      </c>
      <c r="D1885">
        <v>2.42</v>
      </c>
      <c r="E1885">
        <v>7.8</v>
      </c>
      <c r="F1885">
        <v>4.53</v>
      </c>
      <c r="G1885">
        <v>1.2</v>
      </c>
      <c r="H1885" s="15">
        <v>1.08</v>
      </c>
      <c r="I1885">
        <v>23.9</v>
      </c>
      <c r="J1885">
        <v>27.492999999999999</v>
      </c>
      <c r="K1885">
        <v>21.45</v>
      </c>
      <c r="L1885">
        <v>1.23</v>
      </c>
      <c r="M1885" t="e">
        <v>#N/A</v>
      </c>
      <c r="N1885">
        <v>5.2999999999999999E-2</v>
      </c>
      <c r="O1885">
        <v>1.27</v>
      </c>
      <c r="P1885">
        <v>0.26500000000000001</v>
      </c>
      <c r="Q1885">
        <v>14</v>
      </c>
    </row>
    <row r="1886" spans="1:17" x14ac:dyDescent="0.25">
      <c r="A1886" s="1">
        <v>43929</v>
      </c>
      <c r="B1886">
        <v>6.99</v>
      </c>
      <c r="C1886">
        <v>135.99</v>
      </c>
      <c r="D1886">
        <v>2.42</v>
      </c>
      <c r="E1886">
        <v>7.06</v>
      </c>
      <c r="F1886">
        <v>4.4800000000000004</v>
      </c>
      <c r="G1886">
        <v>1.21</v>
      </c>
      <c r="H1886" s="15">
        <v>1.06</v>
      </c>
      <c r="I1886">
        <v>25.35</v>
      </c>
      <c r="J1886">
        <v>27.492999999999999</v>
      </c>
      <c r="K1886">
        <v>21.31</v>
      </c>
      <c r="L1886">
        <v>1.23</v>
      </c>
      <c r="M1886">
        <v>2</v>
      </c>
      <c r="N1886">
        <v>5.3999999999999999E-2</v>
      </c>
      <c r="O1886">
        <v>1.26</v>
      </c>
      <c r="P1886">
        <v>0.26700000000000002</v>
      </c>
      <c r="Q1886">
        <v>15</v>
      </c>
    </row>
    <row r="1887" spans="1:17" x14ac:dyDescent="0.25">
      <c r="A1887" s="1">
        <v>43934</v>
      </c>
      <c r="B1887">
        <v>7</v>
      </c>
      <c r="C1887">
        <v>136</v>
      </c>
      <c r="D1887">
        <v>2.42</v>
      </c>
      <c r="E1887">
        <v>7.8</v>
      </c>
      <c r="F1887">
        <v>4.43</v>
      </c>
      <c r="G1887">
        <v>1.23</v>
      </c>
      <c r="H1887" s="15">
        <v>1.19</v>
      </c>
      <c r="I1887">
        <v>26.6</v>
      </c>
      <c r="J1887">
        <v>28.475000000000001</v>
      </c>
      <c r="K1887">
        <v>26.5</v>
      </c>
      <c r="L1887" t="e">
        <v>#N/A</v>
      </c>
      <c r="M1887" t="e">
        <v>#N/A</v>
      </c>
      <c r="N1887">
        <v>5.3999999999999999E-2</v>
      </c>
      <c r="O1887">
        <v>1.26</v>
      </c>
      <c r="P1887">
        <v>0.25</v>
      </c>
      <c r="Q1887">
        <v>13</v>
      </c>
    </row>
    <row r="1888" spans="1:17" x14ac:dyDescent="0.25">
      <c r="A1888" s="1">
        <v>43935</v>
      </c>
      <c r="B1888">
        <v>7</v>
      </c>
      <c r="C1888">
        <v>137.5</v>
      </c>
      <c r="D1888">
        <v>2.42</v>
      </c>
      <c r="E1888">
        <v>7.7</v>
      </c>
      <c r="F1888">
        <v>4.4800000000000004</v>
      </c>
      <c r="G1888">
        <v>1.23</v>
      </c>
      <c r="H1888" s="15">
        <v>1.21</v>
      </c>
      <c r="I1888">
        <v>25.9</v>
      </c>
      <c r="J1888">
        <v>28.768999999999998</v>
      </c>
      <c r="K1888">
        <v>26.5</v>
      </c>
      <c r="L1888" t="e">
        <v>#N/A</v>
      </c>
      <c r="M1888" t="e">
        <v>#N/A</v>
      </c>
      <c r="N1888">
        <v>5.7000000000000002E-2</v>
      </c>
      <c r="O1888">
        <v>1.3</v>
      </c>
      <c r="P1888">
        <v>0.27100000000000002</v>
      </c>
      <c r="Q1888">
        <v>13</v>
      </c>
    </row>
    <row r="1889" spans="1:17" x14ac:dyDescent="0.25">
      <c r="A1889" s="1">
        <v>43936</v>
      </c>
      <c r="B1889">
        <v>7.12</v>
      </c>
      <c r="C1889">
        <v>140.30000000000001</v>
      </c>
      <c r="D1889">
        <v>2.42</v>
      </c>
      <c r="E1889">
        <v>7.18</v>
      </c>
      <c r="F1889">
        <v>4.43</v>
      </c>
      <c r="G1889">
        <v>1.21</v>
      </c>
      <c r="H1889" s="15">
        <v>1.5</v>
      </c>
      <c r="I1889">
        <v>27.2</v>
      </c>
      <c r="J1889">
        <v>28.966000000000001</v>
      </c>
      <c r="K1889">
        <v>26</v>
      </c>
      <c r="L1889">
        <v>1.23</v>
      </c>
      <c r="M1889" t="e">
        <v>#N/A</v>
      </c>
      <c r="N1889">
        <v>6.2E-2</v>
      </c>
      <c r="O1889">
        <v>1.35</v>
      </c>
      <c r="P1889">
        <v>0.28000000000000003</v>
      </c>
      <c r="Q1889">
        <v>14</v>
      </c>
    </row>
    <row r="1890" spans="1:17" x14ac:dyDescent="0.25">
      <c r="A1890" s="1">
        <v>43937</v>
      </c>
      <c r="B1890">
        <v>7.25</v>
      </c>
      <c r="C1890">
        <v>141.6</v>
      </c>
      <c r="D1890">
        <v>2.42</v>
      </c>
      <c r="E1890">
        <v>7.24</v>
      </c>
      <c r="F1890">
        <v>4.43</v>
      </c>
      <c r="G1890">
        <v>1.23</v>
      </c>
      <c r="H1890" s="15">
        <v>1.36</v>
      </c>
      <c r="I1890">
        <v>27.15</v>
      </c>
      <c r="J1890">
        <v>29.113</v>
      </c>
      <c r="K1890">
        <v>25.75</v>
      </c>
      <c r="L1890" t="e">
        <v>#N/A</v>
      </c>
      <c r="M1890" t="e">
        <v>#N/A</v>
      </c>
      <c r="N1890">
        <v>6.7000000000000004E-2</v>
      </c>
      <c r="O1890">
        <v>1.35</v>
      </c>
      <c r="P1890">
        <v>0.28999999999999998</v>
      </c>
      <c r="Q1890">
        <v>13</v>
      </c>
    </row>
    <row r="1891" spans="1:17" x14ac:dyDescent="0.25">
      <c r="A1891" s="1">
        <v>43938</v>
      </c>
      <c r="B1891">
        <v>7.6</v>
      </c>
      <c r="C1891">
        <v>143</v>
      </c>
      <c r="D1891">
        <v>2.4500000000000002</v>
      </c>
      <c r="E1891">
        <v>7.1</v>
      </c>
      <c r="F1891">
        <v>4.43</v>
      </c>
      <c r="G1891">
        <v>1.21</v>
      </c>
      <c r="H1891" s="15">
        <v>1.35</v>
      </c>
      <c r="I1891">
        <v>26.06</v>
      </c>
      <c r="J1891">
        <v>29.457000000000001</v>
      </c>
      <c r="K1891">
        <v>25.9</v>
      </c>
      <c r="L1891">
        <v>1.27</v>
      </c>
      <c r="M1891" t="e">
        <v>#N/A</v>
      </c>
      <c r="N1891">
        <v>6.7000000000000004E-2</v>
      </c>
      <c r="O1891">
        <v>1.35</v>
      </c>
      <c r="P1891">
        <v>0.3</v>
      </c>
      <c r="Q1891">
        <v>14</v>
      </c>
    </row>
    <row r="1892" spans="1:17" x14ac:dyDescent="0.25">
      <c r="A1892" s="1">
        <v>43941</v>
      </c>
      <c r="B1892">
        <v>7.6</v>
      </c>
      <c r="C1892">
        <v>142.5</v>
      </c>
      <c r="D1892">
        <v>2.4500000000000002</v>
      </c>
      <c r="E1892">
        <v>7.45</v>
      </c>
      <c r="F1892">
        <v>4.5</v>
      </c>
      <c r="G1892">
        <v>1.17</v>
      </c>
      <c r="H1892" s="15">
        <v>1.27</v>
      </c>
      <c r="I1892">
        <v>24.5</v>
      </c>
      <c r="J1892">
        <v>29.565000000000001</v>
      </c>
      <c r="K1892">
        <v>25.9</v>
      </c>
      <c r="L1892">
        <v>1.29</v>
      </c>
      <c r="M1892" t="e">
        <v>#N/A</v>
      </c>
      <c r="N1892">
        <v>0.06</v>
      </c>
      <c r="O1892" t="e">
        <v>#N/A</v>
      </c>
      <c r="P1892">
        <v>0.28000000000000003</v>
      </c>
      <c r="Q1892">
        <v>13</v>
      </c>
    </row>
    <row r="1893" spans="1:17" x14ac:dyDescent="0.25">
      <c r="A1893" s="1">
        <v>43942</v>
      </c>
      <c r="B1893">
        <v>7.46</v>
      </c>
      <c r="C1893">
        <v>138.30000000000001</v>
      </c>
      <c r="D1893">
        <v>2.4</v>
      </c>
      <c r="E1893">
        <v>7.15</v>
      </c>
      <c r="F1893">
        <v>4.42</v>
      </c>
      <c r="G1893">
        <v>1.1499999999999999</v>
      </c>
      <c r="H1893" s="15">
        <v>1.25</v>
      </c>
      <c r="I1893">
        <v>24.8</v>
      </c>
      <c r="J1893">
        <v>29.446999999999999</v>
      </c>
      <c r="K1893">
        <v>25.6</v>
      </c>
      <c r="L1893">
        <v>1.27</v>
      </c>
      <c r="M1893" t="e">
        <v>#N/A</v>
      </c>
      <c r="N1893">
        <v>5.8999999999999997E-2</v>
      </c>
      <c r="O1893">
        <v>1.3</v>
      </c>
      <c r="P1893">
        <v>0.27500000000000002</v>
      </c>
      <c r="Q1893">
        <v>14</v>
      </c>
    </row>
    <row r="1894" spans="1:17" x14ac:dyDescent="0.25">
      <c r="A1894" s="1">
        <v>43943</v>
      </c>
      <c r="B1894">
        <v>7.2</v>
      </c>
      <c r="C1894">
        <v>139.19999999999999</v>
      </c>
      <c r="D1894">
        <v>2.4</v>
      </c>
      <c r="E1894">
        <v>7.5</v>
      </c>
      <c r="F1894">
        <v>4.22</v>
      </c>
      <c r="G1894">
        <v>1.1200000000000001</v>
      </c>
      <c r="H1894" s="15">
        <v>1.26</v>
      </c>
      <c r="I1894">
        <v>25.85</v>
      </c>
      <c r="J1894">
        <v>30.635000000000002</v>
      </c>
      <c r="K1894">
        <v>25.55</v>
      </c>
      <c r="L1894">
        <v>1.27</v>
      </c>
      <c r="M1894" t="e">
        <v>#N/A</v>
      </c>
      <c r="N1894">
        <v>6.2E-2</v>
      </c>
      <c r="O1894" t="e">
        <v>#N/A</v>
      </c>
      <c r="P1894">
        <v>0.28499999999999998</v>
      </c>
      <c r="Q1894">
        <v>13</v>
      </c>
    </row>
    <row r="1895" spans="1:17" x14ac:dyDescent="0.25">
      <c r="A1895" s="1">
        <v>43944</v>
      </c>
      <c r="B1895">
        <v>7.1</v>
      </c>
      <c r="C1895">
        <v>137.30000000000001</v>
      </c>
      <c r="D1895">
        <v>2.4</v>
      </c>
      <c r="E1895">
        <v>7.72</v>
      </c>
      <c r="F1895">
        <v>4.1500000000000004</v>
      </c>
      <c r="G1895">
        <v>1.1200000000000001</v>
      </c>
      <c r="H1895" s="15">
        <v>1.24</v>
      </c>
      <c r="I1895">
        <v>26.2</v>
      </c>
      <c r="J1895">
        <v>30.635000000000002</v>
      </c>
      <c r="K1895">
        <v>25.5</v>
      </c>
      <c r="L1895">
        <v>1.28</v>
      </c>
      <c r="M1895">
        <v>1.95</v>
      </c>
      <c r="N1895" t="e">
        <v>#N/A</v>
      </c>
      <c r="O1895">
        <v>1.28</v>
      </c>
      <c r="P1895">
        <v>0.28499999999999998</v>
      </c>
      <c r="Q1895">
        <v>14</v>
      </c>
    </row>
    <row r="1896" spans="1:17" x14ac:dyDescent="0.25">
      <c r="A1896" s="1">
        <v>43945</v>
      </c>
      <c r="B1896">
        <v>7</v>
      </c>
      <c r="C1896">
        <v>134</v>
      </c>
      <c r="D1896">
        <v>2.35</v>
      </c>
      <c r="E1896">
        <v>7.3</v>
      </c>
      <c r="F1896">
        <v>4.1500000000000004</v>
      </c>
      <c r="G1896">
        <v>1.1399999999999999</v>
      </c>
      <c r="H1896" s="15">
        <v>1.24</v>
      </c>
      <c r="I1896">
        <v>26.4</v>
      </c>
      <c r="J1896">
        <v>30.193000000000001</v>
      </c>
      <c r="K1896">
        <v>27.4</v>
      </c>
      <c r="L1896" t="e">
        <v>#N/A</v>
      </c>
      <c r="M1896">
        <v>1.9</v>
      </c>
      <c r="N1896">
        <v>5.7000000000000002E-2</v>
      </c>
      <c r="O1896">
        <v>1.18</v>
      </c>
      <c r="P1896">
        <v>0.28000000000000003</v>
      </c>
      <c r="Q1896">
        <v>14</v>
      </c>
    </row>
    <row r="1897" spans="1:17" x14ac:dyDescent="0.25">
      <c r="A1897" s="1">
        <v>43948</v>
      </c>
      <c r="B1897">
        <v>6.81</v>
      </c>
      <c r="C1897">
        <v>137.1</v>
      </c>
      <c r="D1897">
        <v>2.35</v>
      </c>
      <c r="E1897">
        <v>7.09</v>
      </c>
      <c r="F1897">
        <v>4</v>
      </c>
      <c r="G1897">
        <v>1.1299999999999999</v>
      </c>
      <c r="H1897" s="15">
        <v>1.25</v>
      </c>
      <c r="I1897">
        <v>23.75</v>
      </c>
      <c r="J1897">
        <v>29.849</v>
      </c>
      <c r="K1897">
        <v>27.4</v>
      </c>
      <c r="L1897">
        <v>1.3</v>
      </c>
      <c r="M1897">
        <v>1.85</v>
      </c>
      <c r="N1897">
        <v>5.7000000000000002E-2</v>
      </c>
      <c r="O1897">
        <v>1.1499999999999999</v>
      </c>
      <c r="P1897">
        <v>0.28000000000000003</v>
      </c>
      <c r="Q1897">
        <v>15</v>
      </c>
    </row>
    <row r="1898" spans="1:17" x14ac:dyDescent="0.25">
      <c r="A1898" s="1">
        <v>43949</v>
      </c>
      <c r="B1898">
        <v>6.8</v>
      </c>
      <c r="C1898">
        <v>139.55000000000001</v>
      </c>
      <c r="D1898">
        <v>2.36</v>
      </c>
      <c r="E1898">
        <v>7.03</v>
      </c>
      <c r="F1898">
        <v>3.95</v>
      </c>
      <c r="G1898">
        <v>1.1299999999999999</v>
      </c>
      <c r="H1898" s="15">
        <v>1.23</v>
      </c>
      <c r="I1898">
        <v>24.65</v>
      </c>
      <c r="J1898">
        <v>29.859000000000002</v>
      </c>
      <c r="K1898">
        <v>27.4</v>
      </c>
      <c r="L1898">
        <v>1.28</v>
      </c>
      <c r="M1898" t="e">
        <v>#N/A</v>
      </c>
      <c r="N1898">
        <v>5.7000000000000002E-2</v>
      </c>
      <c r="O1898">
        <v>1.1399999999999999</v>
      </c>
      <c r="P1898">
        <v>0.27500000000000002</v>
      </c>
      <c r="Q1898">
        <v>14</v>
      </c>
    </row>
    <row r="1899" spans="1:17" x14ac:dyDescent="0.25">
      <c r="A1899" s="1">
        <v>43950</v>
      </c>
      <c r="B1899">
        <v>6.85</v>
      </c>
      <c r="C1899">
        <v>148.9</v>
      </c>
      <c r="D1899">
        <v>2.4</v>
      </c>
      <c r="E1899">
        <v>7.71</v>
      </c>
      <c r="F1899">
        <v>4</v>
      </c>
      <c r="G1899">
        <v>1.1599999999999999</v>
      </c>
      <c r="H1899" s="15">
        <v>1.26</v>
      </c>
      <c r="I1899">
        <v>25.88</v>
      </c>
      <c r="J1899">
        <v>30.693999999999999</v>
      </c>
      <c r="K1899">
        <v>27</v>
      </c>
      <c r="L1899">
        <v>1.3</v>
      </c>
      <c r="M1899" t="e">
        <v>#N/A</v>
      </c>
      <c r="N1899">
        <v>6.3E-2</v>
      </c>
      <c r="O1899">
        <v>1.1499999999999999</v>
      </c>
      <c r="P1899">
        <v>0.28599999999999998</v>
      </c>
      <c r="Q1899">
        <v>14</v>
      </c>
    </row>
    <row r="1900" spans="1:17" x14ac:dyDescent="0.25">
      <c r="A1900" s="1">
        <v>43951</v>
      </c>
      <c r="B1900">
        <v>6.86</v>
      </c>
      <c r="C1900">
        <v>149.75</v>
      </c>
      <c r="D1900">
        <v>2.39</v>
      </c>
      <c r="E1900">
        <v>7.56</v>
      </c>
      <c r="F1900">
        <v>4.05</v>
      </c>
      <c r="G1900">
        <v>1.1499999999999999</v>
      </c>
      <c r="H1900" s="15">
        <v>1.22</v>
      </c>
      <c r="I1900">
        <v>25.35</v>
      </c>
      <c r="J1900">
        <v>30.439</v>
      </c>
      <c r="K1900" t="e">
        <v>#N/A</v>
      </c>
      <c r="L1900" t="e">
        <v>#N/A</v>
      </c>
      <c r="M1900" t="e">
        <v>#N/A</v>
      </c>
      <c r="N1900">
        <v>0.06</v>
      </c>
      <c r="O1900">
        <v>1.1499999999999999</v>
      </c>
      <c r="P1900">
        <v>0.28899999999999998</v>
      </c>
      <c r="Q1900">
        <v>12</v>
      </c>
    </row>
    <row r="1901" spans="1:17" x14ac:dyDescent="0.25">
      <c r="A1901" s="1">
        <v>43955</v>
      </c>
      <c r="B1901">
        <v>6.8</v>
      </c>
      <c r="C1901">
        <v>142</v>
      </c>
      <c r="D1901">
        <v>2.39</v>
      </c>
      <c r="E1901">
        <v>8.42</v>
      </c>
      <c r="F1901">
        <v>4</v>
      </c>
      <c r="G1901">
        <v>1.1399999999999999</v>
      </c>
      <c r="H1901" s="15">
        <v>1.27</v>
      </c>
      <c r="I1901">
        <v>25.09</v>
      </c>
      <c r="J1901">
        <v>29.948</v>
      </c>
      <c r="K1901" t="e">
        <v>#N/A</v>
      </c>
      <c r="L1901" t="e">
        <v>#N/A</v>
      </c>
      <c r="M1901">
        <v>1.9</v>
      </c>
      <c r="N1901" t="e">
        <v>#N/A</v>
      </c>
      <c r="O1901">
        <v>1.18</v>
      </c>
      <c r="P1901">
        <v>0.28999999999999998</v>
      </c>
      <c r="Q1901">
        <v>12</v>
      </c>
    </row>
    <row r="1902" spans="1:17" x14ac:dyDescent="0.25">
      <c r="A1902" s="1">
        <v>43956</v>
      </c>
      <c r="B1902">
        <v>7.06</v>
      </c>
      <c r="C1902">
        <v>142.5</v>
      </c>
      <c r="D1902">
        <v>2.39</v>
      </c>
      <c r="E1902">
        <v>8.4</v>
      </c>
      <c r="F1902">
        <v>4.12</v>
      </c>
      <c r="G1902">
        <v>1.21</v>
      </c>
      <c r="H1902" s="15">
        <v>1.31</v>
      </c>
      <c r="I1902">
        <v>25.3</v>
      </c>
      <c r="J1902">
        <v>30.34</v>
      </c>
      <c r="K1902" t="e">
        <v>#N/A</v>
      </c>
      <c r="L1902">
        <v>1.33</v>
      </c>
      <c r="M1902">
        <v>1.9</v>
      </c>
      <c r="N1902">
        <v>6.5000000000000002E-2</v>
      </c>
      <c r="O1902">
        <v>1.2</v>
      </c>
      <c r="P1902">
        <v>0.309</v>
      </c>
      <c r="Q1902">
        <v>14</v>
      </c>
    </row>
    <row r="1903" spans="1:17" x14ac:dyDescent="0.25">
      <c r="A1903" s="1">
        <v>43957</v>
      </c>
      <c r="B1903">
        <v>7.3</v>
      </c>
      <c r="C1903">
        <v>142.86000000000001</v>
      </c>
      <c r="D1903">
        <v>2.42</v>
      </c>
      <c r="E1903">
        <v>7.9</v>
      </c>
      <c r="F1903">
        <v>4.12</v>
      </c>
      <c r="G1903">
        <v>1.23</v>
      </c>
      <c r="H1903" s="15">
        <v>1.3</v>
      </c>
      <c r="I1903">
        <v>24.8</v>
      </c>
      <c r="J1903">
        <v>30.585999999999999</v>
      </c>
      <c r="K1903" t="e">
        <v>#N/A</v>
      </c>
      <c r="L1903">
        <v>1.41</v>
      </c>
      <c r="M1903" t="e">
        <v>#N/A</v>
      </c>
      <c r="N1903">
        <v>7.0000000000000007E-2</v>
      </c>
      <c r="O1903">
        <v>1.22</v>
      </c>
      <c r="P1903">
        <v>0.32</v>
      </c>
      <c r="Q1903">
        <v>13</v>
      </c>
    </row>
    <row r="1904" spans="1:17" x14ac:dyDescent="0.25">
      <c r="A1904" s="1">
        <v>43958</v>
      </c>
      <c r="B1904">
        <v>7.15</v>
      </c>
      <c r="C1904">
        <v>144</v>
      </c>
      <c r="D1904">
        <v>2.4500000000000002</v>
      </c>
      <c r="E1904">
        <v>8.35</v>
      </c>
      <c r="F1904">
        <v>4.22</v>
      </c>
      <c r="G1904">
        <v>1.3</v>
      </c>
      <c r="H1904" s="15">
        <v>1.35</v>
      </c>
      <c r="I1904">
        <v>24.15</v>
      </c>
      <c r="J1904">
        <v>31</v>
      </c>
      <c r="K1904">
        <v>26.5</v>
      </c>
      <c r="L1904">
        <v>1.42</v>
      </c>
      <c r="M1904">
        <v>1.9</v>
      </c>
      <c r="N1904">
        <v>6.7000000000000004E-2</v>
      </c>
      <c r="O1904">
        <v>1.24</v>
      </c>
      <c r="P1904">
        <v>0.33</v>
      </c>
      <c r="Q1904">
        <v>15</v>
      </c>
    </row>
    <row r="1905" spans="1:17" x14ac:dyDescent="0.25">
      <c r="A1905" s="1">
        <v>43959</v>
      </c>
      <c r="B1905">
        <v>7.49</v>
      </c>
      <c r="C1905">
        <v>146</v>
      </c>
      <c r="D1905">
        <v>2.5</v>
      </c>
      <c r="E1905">
        <v>8.4</v>
      </c>
      <c r="F1905">
        <v>4.3</v>
      </c>
      <c r="G1905">
        <v>1.36</v>
      </c>
      <c r="H1905" s="15">
        <v>1.4</v>
      </c>
      <c r="I1905">
        <v>25.48</v>
      </c>
      <c r="J1905">
        <v>31</v>
      </c>
      <c r="K1905">
        <v>27.5</v>
      </c>
      <c r="L1905">
        <v>1.4</v>
      </c>
      <c r="M1905">
        <v>1.9</v>
      </c>
      <c r="N1905">
        <v>6.8000000000000005E-2</v>
      </c>
      <c r="O1905">
        <v>1.25</v>
      </c>
      <c r="P1905">
        <v>0.34899999999999998</v>
      </c>
      <c r="Q1905">
        <v>15</v>
      </c>
    </row>
    <row r="1906" spans="1:17" x14ac:dyDescent="0.25">
      <c r="A1906" s="1">
        <v>43962</v>
      </c>
      <c r="B1906">
        <v>7.55</v>
      </c>
      <c r="C1906">
        <v>141.69999999999999</v>
      </c>
      <c r="D1906">
        <v>2.5</v>
      </c>
      <c r="E1906">
        <v>8.1</v>
      </c>
      <c r="F1906">
        <v>4.45</v>
      </c>
      <c r="G1906">
        <v>1.31</v>
      </c>
      <c r="H1906" s="15">
        <v>1.33</v>
      </c>
      <c r="I1906">
        <v>25.44</v>
      </c>
      <c r="J1906">
        <v>30.99</v>
      </c>
      <c r="K1906" t="e">
        <v>#N/A</v>
      </c>
      <c r="L1906">
        <v>1.44</v>
      </c>
      <c r="M1906">
        <v>1.92</v>
      </c>
      <c r="N1906">
        <v>7.0000000000000007E-2</v>
      </c>
      <c r="O1906">
        <v>1.3</v>
      </c>
      <c r="P1906">
        <v>0.35</v>
      </c>
      <c r="Q1906">
        <v>14</v>
      </c>
    </row>
    <row r="1907" spans="1:17" x14ac:dyDescent="0.25">
      <c r="A1907" s="1">
        <v>43963</v>
      </c>
      <c r="B1907">
        <v>7.81</v>
      </c>
      <c r="C1907">
        <v>141.5</v>
      </c>
      <c r="D1907">
        <v>2.62</v>
      </c>
      <c r="E1907">
        <v>7.95</v>
      </c>
      <c r="F1907">
        <v>4.8</v>
      </c>
      <c r="G1907">
        <v>1.31</v>
      </c>
      <c r="H1907" s="15">
        <v>1.35</v>
      </c>
      <c r="I1907">
        <v>26.55</v>
      </c>
      <c r="J1907">
        <v>32.5</v>
      </c>
      <c r="K1907">
        <v>27.49</v>
      </c>
      <c r="L1907">
        <v>1.46</v>
      </c>
      <c r="M1907">
        <v>1.88</v>
      </c>
      <c r="N1907">
        <v>7.1999999999999995E-2</v>
      </c>
      <c r="O1907">
        <v>1.37</v>
      </c>
      <c r="P1907">
        <v>0.34</v>
      </c>
      <c r="Q1907">
        <v>15</v>
      </c>
    </row>
    <row r="1908" spans="1:17" x14ac:dyDescent="0.25">
      <c r="A1908" s="1">
        <v>43964</v>
      </c>
      <c r="B1908">
        <v>7.6</v>
      </c>
      <c r="C1908">
        <v>135.84</v>
      </c>
      <c r="D1908">
        <v>2.58</v>
      </c>
      <c r="E1908">
        <v>8.1</v>
      </c>
      <c r="F1908">
        <v>4.7</v>
      </c>
      <c r="G1908">
        <v>1.3</v>
      </c>
      <c r="H1908" s="15">
        <v>1.3</v>
      </c>
      <c r="I1908">
        <v>25</v>
      </c>
      <c r="J1908">
        <v>31</v>
      </c>
      <c r="K1908">
        <v>27.1</v>
      </c>
      <c r="L1908">
        <v>1.4</v>
      </c>
      <c r="M1908">
        <v>1.84</v>
      </c>
      <c r="N1908">
        <v>6.7000000000000004E-2</v>
      </c>
      <c r="O1908">
        <v>1.35</v>
      </c>
      <c r="P1908">
        <v>0.32</v>
      </c>
      <c r="Q1908">
        <v>15</v>
      </c>
    </row>
    <row r="1909" spans="1:17" x14ac:dyDescent="0.25">
      <c r="A1909" s="1">
        <v>43965</v>
      </c>
      <c r="B1909">
        <v>7.6</v>
      </c>
      <c r="C1909">
        <v>136.4</v>
      </c>
      <c r="D1909">
        <v>2.58</v>
      </c>
      <c r="E1909">
        <v>7.94</v>
      </c>
      <c r="F1909">
        <v>4.7</v>
      </c>
      <c r="G1909">
        <v>1.27</v>
      </c>
      <c r="H1909" s="15">
        <v>1.32</v>
      </c>
      <c r="I1909">
        <v>24.5</v>
      </c>
      <c r="J1909">
        <v>30.99</v>
      </c>
      <c r="K1909">
        <v>26.8</v>
      </c>
      <c r="L1909" t="e">
        <v>#N/A</v>
      </c>
      <c r="M1909">
        <v>1.8</v>
      </c>
      <c r="N1909">
        <v>6.8000000000000005E-2</v>
      </c>
      <c r="O1909">
        <v>1.3</v>
      </c>
      <c r="P1909">
        <v>0.31</v>
      </c>
      <c r="Q1909">
        <v>14</v>
      </c>
    </row>
    <row r="1910" spans="1:17" x14ac:dyDescent="0.25">
      <c r="A1910" s="1">
        <v>43966</v>
      </c>
      <c r="B1910">
        <v>7.6</v>
      </c>
      <c r="C1910">
        <v>133.4</v>
      </c>
      <c r="D1910">
        <v>2.5499999999999998</v>
      </c>
      <c r="E1910">
        <v>8.35</v>
      </c>
      <c r="F1910">
        <v>4.7</v>
      </c>
      <c r="G1910">
        <v>1.33</v>
      </c>
      <c r="H1910" s="15">
        <v>1.41</v>
      </c>
      <c r="I1910">
        <v>25.4</v>
      </c>
      <c r="J1910">
        <v>32.299999999999997</v>
      </c>
      <c r="K1910">
        <v>26.4</v>
      </c>
      <c r="L1910" t="e">
        <v>#N/A</v>
      </c>
      <c r="M1910">
        <v>1.78</v>
      </c>
      <c r="N1910">
        <v>6.9000000000000006E-2</v>
      </c>
      <c r="O1910">
        <v>1.3</v>
      </c>
      <c r="P1910">
        <v>0.31</v>
      </c>
      <c r="Q1910">
        <v>14</v>
      </c>
    </row>
    <row r="1911" spans="1:17" x14ac:dyDescent="0.25">
      <c r="A1911" s="1">
        <v>43969</v>
      </c>
      <c r="B1911">
        <v>7.99</v>
      </c>
      <c r="C1911">
        <v>136.13999999999999</v>
      </c>
      <c r="D1911">
        <v>2.59</v>
      </c>
      <c r="E1911">
        <v>8.75</v>
      </c>
      <c r="F1911">
        <v>4.79</v>
      </c>
      <c r="G1911">
        <v>1.37</v>
      </c>
      <c r="H1911" s="15">
        <v>1.41</v>
      </c>
      <c r="I1911">
        <v>25</v>
      </c>
      <c r="J1911">
        <v>32.299999999999997</v>
      </c>
      <c r="K1911">
        <v>26.4</v>
      </c>
      <c r="L1911">
        <v>1.4</v>
      </c>
      <c r="M1911" t="e">
        <v>#N/A</v>
      </c>
      <c r="N1911">
        <v>7.0000000000000007E-2</v>
      </c>
      <c r="O1911">
        <v>1.34</v>
      </c>
      <c r="P1911">
        <v>0.33</v>
      </c>
      <c r="Q1911">
        <v>14</v>
      </c>
    </row>
    <row r="1912" spans="1:17" x14ac:dyDescent="0.25">
      <c r="A1912" s="1">
        <v>43970</v>
      </c>
      <c r="B1912">
        <v>7.95</v>
      </c>
      <c r="C1912">
        <v>133</v>
      </c>
      <c r="D1912">
        <v>2.6</v>
      </c>
      <c r="E1912">
        <v>8.06</v>
      </c>
      <c r="F1912">
        <v>4.8</v>
      </c>
      <c r="G1912">
        <v>1.32</v>
      </c>
      <c r="H1912" s="15">
        <v>1.36</v>
      </c>
      <c r="I1912">
        <v>24.5</v>
      </c>
      <c r="J1912">
        <v>32</v>
      </c>
      <c r="K1912">
        <v>26.2</v>
      </c>
      <c r="L1912" t="e">
        <v>#N/A</v>
      </c>
      <c r="M1912">
        <v>1.86</v>
      </c>
      <c r="N1912">
        <v>6.8000000000000005E-2</v>
      </c>
      <c r="O1912">
        <v>1.39</v>
      </c>
      <c r="P1912">
        <v>0.34</v>
      </c>
      <c r="Q1912">
        <v>14</v>
      </c>
    </row>
    <row r="1913" spans="1:17" x14ac:dyDescent="0.25">
      <c r="A1913" s="1">
        <v>43971</v>
      </c>
      <c r="B1913">
        <v>7.89</v>
      </c>
      <c r="C1913">
        <v>133</v>
      </c>
      <c r="D1913">
        <v>2.61</v>
      </c>
      <c r="E1913">
        <v>8.3800000000000008</v>
      </c>
      <c r="F1913">
        <v>4.75</v>
      </c>
      <c r="G1913">
        <v>1.34</v>
      </c>
      <c r="H1913" s="15">
        <v>1.39</v>
      </c>
      <c r="I1913">
        <v>24.75</v>
      </c>
      <c r="J1913">
        <v>31.5</v>
      </c>
      <c r="K1913" t="e">
        <v>#N/A</v>
      </c>
      <c r="L1913">
        <v>1.44</v>
      </c>
      <c r="M1913">
        <v>1.78</v>
      </c>
      <c r="N1913">
        <v>6.8000000000000005E-2</v>
      </c>
      <c r="O1913">
        <v>1.4</v>
      </c>
      <c r="P1913">
        <v>0.34499999999999997</v>
      </c>
      <c r="Q1913">
        <v>14</v>
      </c>
    </row>
    <row r="1914" spans="1:17" x14ac:dyDescent="0.25">
      <c r="A1914" s="1">
        <v>43972</v>
      </c>
      <c r="B1914">
        <v>7.75</v>
      </c>
      <c r="C1914">
        <v>134</v>
      </c>
      <c r="D1914">
        <v>2.62</v>
      </c>
      <c r="E1914">
        <v>8.3000000000000007</v>
      </c>
      <c r="F1914">
        <v>4.8</v>
      </c>
      <c r="G1914">
        <v>1.34</v>
      </c>
      <c r="H1914" s="15">
        <v>1.38</v>
      </c>
      <c r="I1914">
        <v>24.85</v>
      </c>
      <c r="J1914">
        <v>31.2</v>
      </c>
      <c r="K1914">
        <v>26.2</v>
      </c>
      <c r="L1914">
        <v>1.43</v>
      </c>
      <c r="M1914">
        <v>1.75</v>
      </c>
      <c r="N1914">
        <v>7.0000000000000007E-2</v>
      </c>
      <c r="O1914">
        <v>1.37</v>
      </c>
      <c r="P1914">
        <v>0.34499999999999997</v>
      </c>
      <c r="Q1914">
        <v>15</v>
      </c>
    </row>
    <row r="1915" spans="1:17" x14ac:dyDescent="0.25">
      <c r="A1915" s="1">
        <v>43973</v>
      </c>
      <c r="B1915">
        <v>7.72</v>
      </c>
      <c r="C1915">
        <v>132.30000000000001</v>
      </c>
      <c r="D1915">
        <v>2.61</v>
      </c>
      <c r="E1915">
        <v>8.06</v>
      </c>
      <c r="F1915">
        <v>4.84</v>
      </c>
      <c r="G1915">
        <v>1.37</v>
      </c>
      <c r="H1915" s="15">
        <v>1.44</v>
      </c>
      <c r="I1915">
        <v>24.5</v>
      </c>
      <c r="J1915">
        <v>31</v>
      </c>
      <c r="K1915">
        <v>25.99</v>
      </c>
      <c r="L1915">
        <v>1.41</v>
      </c>
      <c r="M1915">
        <v>1.8</v>
      </c>
      <c r="N1915">
        <v>6.9000000000000006E-2</v>
      </c>
      <c r="O1915">
        <v>1.34</v>
      </c>
      <c r="P1915">
        <v>0.34</v>
      </c>
      <c r="Q1915">
        <v>15</v>
      </c>
    </row>
    <row r="1916" spans="1:17" x14ac:dyDescent="0.25">
      <c r="A1916" s="1">
        <v>43976</v>
      </c>
      <c r="B1916">
        <v>7.7</v>
      </c>
      <c r="C1916" t="e">
        <v>#N/A</v>
      </c>
      <c r="D1916">
        <v>2.63</v>
      </c>
      <c r="E1916">
        <v>8.06</v>
      </c>
      <c r="F1916">
        <v>4.84</v>
      </c>
      <c r="G1916">
        <v>1.41</v>
      </c>
      <c r="H1916" s="15">
        <v>1.42</v>
      </c>
      <c r="I1916">
        <v>25.1</v>
      </c>
      <c r="J1916">
        <v>31</v>
      </c>
      <c r="K1916">
        <v>25.99</v>
      </c>
      <c r="L1916" t="e">
        <v>#N/A</v>
      </c>
      <c r="M1916" t="e">
        <v>#N/A</v>
      </c>
      <c r="N1916">
        <v>6.9000000000000006E-2</v>
      </c>
      <c r="O1916">
        <v>1.38</v>
      </c>
      <c r="P1916">
        <v>0.33700000000000002</v>
      </c>
      <c r="Q1916">
        <v>12</v>
      </c>
    </row>
    <row r="1917" spans="1:17" x14ac:dyDescent="0.25">
      <c r="A1917" s="1">
        <v>43977</v>
      </c>
      <c r="B1917">
        <v>7.6</v>
      </c>
      <c r="C1917">
        <v>136.65</v>
      </c>
      <c r="D1917">
        <v>2.67</v>
      </c>
      <c r="E1917">
        <v>8</v>
      </c>
      <c r="F1917">
        <v>4.79</v>
      </c>
      <c r="G1917">
        <v>1.4</v>
      </c>
      <c r="H1917" s="15">
        <v>1.39</v>
      </c>
      <c r="I1917">
        <v>25.25</v>
      </c>
      <c r="J1917">
        <v>31</v>
      </c>
      <c r="K1917">
        <v>25.9</v>
      </c>
      <c r="L1917" t="e">
        <v>#N/A</v>
      </c>
      <c r="M1917" t="e">
        <v>#N/A</v>
      </c>
      <c r="N1917">
        <v>6.7000000000000004E-2</v>
      </c>
      <c r="O1917">
        <v>1.38</v>
      </c>
      <c r="P1917">
        <v>0.34</v>
      </c>
      <c r="Q1917">
        <v>13</v>
      </c>
    </row>
    <row r="1918" spans="1:17" x14ac:dyDescent="0.25">
      <c r="A1918" s="1">
        <v>43978</v>
      </c>
      <c r="B1918">
        <v>7.55</v>
      </c>
      <c r="C1918">
        <v>141.13</v>
      </c>
      <c r="D1918">
        <v>2.69</v>
      </c>
      <c r="E1918">
        <v>8.19</v>
      </c>
      <c r="F1918" t="e">
        <v>#N/A</v>
      </c>
      <c r="G1918">
        <v>1.41</v>
      </c>
      <c r="H1918" s="15">
        <v>1.4</v>
      </c>
      <c r="I1918">
        <v>26.4</v>
      </c>
      <c r="J1918">
        <v>30.5</v>
      </c>
      <c r="K1918">
        <v>26.99</v>
      </c>
      <c r="L1918">
        <v>1.45</v>
      </c>
      <c r="M1918" t="e">
        <v>#N/A</v>
      </c>
      <c r="N1918">
        <v>6.3E-2</v>
      </c>
      <c r="O1918">
        <v>1.37</v>
      </c>
      <c r="P1918">
        <v>0.33500000000000002</v>
      </c>
      <c r="Q1918">
        <v>13</v>
      </c>
    </row>
    <row r="1919" spans="1:17" x14ac:dyDescent="0.25">
      <c r="A1919" s="1">
        <v>43979</v>
      </c>
      <c r="B1919">
        <v>7.75</v>
      </c>
      <c r="C1919">
        <v>141.5</v>
      </c>
      <c r="D1919">
        <v>2.69</v>
      </c>
      <c r="E1919">
        <v>8.1199999999999992</v>
      </c>
      <c r="F1919">
        <v>4.7</v>
      </c>
      <c r="G1919">
        <v>1.42</v>
      </c>
      <c r="H1919" s="15">
        <v>1.41</v>
      </c>
      <c r="I1919">
        <v>26.45</v>
      </c>
      <c r="J1919">
        <v>30.5</v>
      </c>
      <c r="K1919">
        <v>27.25</v>
      </c>
      <c r="L1919">
        <v>1.49</v>
      </c>
      <c r="M1919" t="e">
        <v>#N/A</v>
      </c>
      <c r="N1919">
        <v>0.06</v>
      </c>
      <c r="O1919">
        <v>1.37</v>
      </c>
      <c r="P1919">
        <v>0.317</v>
      </c>
      <c r="Q1919">
        <v>14</v>
      </c>
    </row>
    <row r="1920" spans="1:17" x14ac:dyDescent="0.25">
      <c r="A1920" s="1">
        <v>43980</v>
      </c>
      <c r="B1920">
        <v>7.8</v>
      </c>
      <c r="C1920">
        <v>137</v>
      </c>
      <c r="D1920">
        <v>2.67</v>
      </c>
      <c r="E1920">
        <v>7.79</v>
      </c>
      <c r="F1920">
        <v>4.75</v>
      </c>
      <c r="G1920">
        <v>1.44</v>
      </c>
      <c r="H1920" s="15">
        <v>1.5</v>
      </c>
      <c r="I1920">
        <v>25.62</v>
      </c>
      <c r="J1920">
        <v>30.71</v>
      </c>
      <c r="K1920">
        <v>26.5</v>
      </c>
      <c r="L1920">
        <v>1.49</v>
      </c>
      <c r="M1920">
        <v>1.8</v>
      </c>
      <c r="N1920">
        <v>5.8000000000000003E-2</v>
      </c>
      <c r="O1920">
        <v>1.4</v>
      </c>
      <c r="P1920">
        <v>0.33200000000000002</v>
      </c>
      <c r="Q1920">
        <v>15</v>
      </c>
    </row>
    <row r="1921" spans="1:17" x14ac:dyDescent="0.25">
      <c r="A1921" s="1">
        <v>43983</v>
      </c>
      <c r="B1921">
        <v>7.75</v>
      </c>
      <c r="C1921">
        <v>140.5</v>
      </c>
      <c r="D1921">
        <v>2.67</v>
      </c>
      <c r="E1921">
        <v>8.26</v>
      </c>
      <c r="F1921">
        <v>4.7</v>
      </c>
      <c r="G1921">
        <v>1.4</v>
      </c>
      <c r="H1921" s="15">
        <v>1.5</v>
      </c>
      <c r="I1921">
        <v>25.34</v>
      </c>
      <c r="J1921">
        <v>31.5</v>
      </c>
      <c r="K1921">
        <v>26.5</v>
      </c>
      <c r="L1921">
        <v>1.49</v>
      </c>
      <c r="M1921">
        <v>1.8</v>
      </c>
      <c r="N1921" t="e">
        <v>#N/A</v>
      </c>
      <c r="O1921">
        <v>1.38</v>
      </c>
      <c r="P1921">
        <v>0.33</v>
      </c>
      <c r="Q1921">
        <v>14</v>
      </c>
    </row>
    <row r="1922" spans="1:17" x14ac:dyDescent="0.25">
      <c r="A1922" s="1">
        <v>43984</v>
      </c>
      <c r="B1922">
        <v>7.8</v>
      </c>
      <c r="C1922">
        <v>143</v>
      </c>
      <c r="D1922">
        <v>2.5739999999999998</v>
      </c>
      <c r="E1922">
        <v>8.06</v>
      </c>
      <c r="F1922">
        <v>4.75</v>
      </c>
      <c r="G1922">
        <v>1.41</v>
      </c>
      <c r="H1922" s="15">
        <v>1.55</v>
      </c>
      <c r="I1922">
        <v>25.3</v>
      </c>
      <c r="J1922">
        <v>32.5</v>
      </c>
      <c r="K1922">
        <v>27</v>
      </c>
      <c r="L1922" t="e">
        <v>#N/A</v>
      </c>
      <c r="M1922" t="e">
        <v>#N/A</v>
      </c>
      <c r="N1922" t="e">
        <v>#N/A</v>
      </c>
      <c r="O1922">
        <v>1.4</v>
      </c>
      <c r="P1922">
        <v>0.32600000000000001</v>
      </c>
      <c r="Q1922">
        <v>12</v>
      </c>
    </row>
    <row r="1923" spans="1:17" x14ac:dyDescent="0.25">
      <c r="A1923" s="1">
        <v>43985</v>
      </c>
      <c r="B1923">
        <v>7.92</v>
      </c>
      <c r="C1923">
        <v>151.33000000000001</v>
      </c>
      <c r="D1923">
        <v>2.61</v>
      </c>
      <c r="E1923">
        <v>8.44</v>
      </c>
      <c r="F1923">
        <v>4.9000000000000004</v>
      </c>
      <c r="G1923">
        <v>1.43</v>
      </c>
      <c r="H1923" s="15">
        <v>1.6</v>
      </c>
      <c r="I1923">
        <v>27.9</v>
      </c>
      <c r="J1923">
        <v>33</v>
      </c>
      <c r="K1923" t="e">
        <v>#N/A</v>
      </c>
      <c r="L1923">
        <v>1.51</v>
      </c>
      <c r="M1923">
        <v>1.86</v>
      </c>
      <c r="N1923">
        <v>6.2E-2</v>
      </c>
      <c r="O1923">
        <v>1.47</v>
      </c>
      <c r="P1923">
        <v>0.33300000000000002</v>
      </c>
      <c r="Q1923">
        <v>14</v>
      </c>
    </row>
    <row r="1924" spans="1:17" x14ac:dyDescent="0.25">
      <c r="A1924" s="1">
        <v>43986</v>
      </c>
      <c r="B1924">
        <v>8.1300000000000008</v>
      </c>
      <c r="C1924">
        <v>154.69999999999999</v>
      </c>
      <c r="D1924">
        <v>2.61</v>
      </c>
      <c r="E1924">
        <v>8.5</v>
      </c>
      <c r="F1924">
        <v>4.9000000000000004</v>
      </c>
      <c r="G1924">
        <v>1.43</v>
      </c>
      <c r="H1924" s="15">
        <v>1.6</v>
      </c>
      <c r="I1924">
        <v>27.5</v>
      </c>
      <c r="J1924">
        <v>33.4</v>
      </c>
      <c r="K1924" t="e">
        <v>#N/A</v>
      </c>
      <c r="L1924">
        <v>1.52</v>
      </c>
      <c r="M1924">
        <v>1.9</v>
      </c>
      <c r="N1924">
        <v>6.5000000000000002E-2</v>
      </c>
      <c r="O1924">
        <v>1.5</v>
      </c>
      <c r="P1924">
        <v>0.34</v>
      </c>
      <c r="Q1924">
        <v>14</v>
      </c>
    </row>
    <row r="1925" spans="1:17" x14ac:dyDescent="0.25">
      <c r="A1925" s="1">
        <v>43987</v>
      </c>
      <c r="B1925">
        <v>8.65</v>
      </c>
      <c r="C1925">
        <v>165.6</v>
      </c>
      <c r="D1925">
        <v>2.63</v>
      </c>
      <c r="E1925">
        <v>8.6</v>
      </c>
      <c r="F1925">
        <v>5</v>
      </c>
      <c r="G1925">
        <v>1.52</v>
      </c>
      <c r="H1925" s="15">
        <v>1.62</v>
      </c>
      <c r="I1925">
        <v>28.69</v>
      </c>
      <c r="J1925">
        <v>35.5</v>
      </c>
      <c r="K1925">
        <v>27.5</v>
      </c>
      <c r="L1925">
        <v>1.56</v>
      </c>
      <c r="M1925">
        <v>2.1</v>
      </c>
      <c r="N1925">
        <v>6.8000000000000005E-2</v>
      </c>
      <c r="O1925">
        <v>1.55</v>
      </c>
      <c r="P1925">
        <v>0.35799999999999998</v>
      </c>
      <c r="Q1925">
        <v>15</v>
      </c>
    </row>
    <row r="1926" spans="1:17" x14ac:dyDescent="0.25">
      <c r="A1926" s="1">
        <v>43990</v>
      </c>
      <c r="B1926">
        <v>8.6</v>
      </c>
      <c r="C1926">
        <v>169.05</v>
      </c>
      <c r="D1926">
        <v>2.65</v>
      </c>
      <c r="E1926">
        <v>8.91</v>
      </c>
      <c r="F1926">
        <v>5</v>
      </c>
      <c r="G1926">
        <v>1.54</v>
      </c>
      <c r="H1926" s="15">
        <v>1.6</v>
      </c>
      <c r="I1926">
        <v>30.68</v>
      </c>
      <c r="J1926">
        <v>35.53</v>
      </c>
      <c r="K1926">
        <v>27.49</v>
      </c>
      <c r="L1926">
        <v>1.59</v>
      </c>
      <c r="M1926">
        <v>2.2999999999999998</v>
      </c>
      <c r="N1926">
        <v>7.0000000000000007E-2</v>
      </c>
      <c r="O1926">
        <v>1.58</v>
      </c>
      <c r="P1926">
        <v>0.37</v>
      </c>
      <c r="Q1926">
        <v>15</v>
      </c>
    </row>
    <row r="1927" spans="1:17" x14ac:dyDescent="0.25">
      <c r="A1927" s="1">
        <v>43991</v>
      </c>
      <c r="B1927">
        <v>8.4499999999999993</v>
      </c>
      <c r="C1927">
        <v>166.1</v>
      </c>
      <c r="D1927">
        <v>2.69</v>
      </c>
      <c r="E1927">
        <v>8.4</v>
      </c>
      <c r="F1927">
        <v>4.95</v>
      </c>
      <c r="G1927">
        <v>1.48</v>
      </c>
      <c r="H1927" s="15">
        <v>1.55</v>
      </c>
      <c r="I1927">
        <v>29.7</v>
      </c>
      <c r="J1927">
        <v>35.6</v>
      </c>
      <c r="K1927" t="e">
        <v>#N/A</v>
      </c>
      <c r="L1927">
        <v>1.61</v>
      </c>
      <c r="M1927">
        <v>2.2999999999999998</v>
      </c>
      <c r="N1927">
        <v>7.0000000000000007E-2</v>
      </c>
      <c r="O1927">
        <v>1.55</v>
      </c>
      <c r="P1927">
        <v>0.36</v>
      </c>
      <c r="Q1927">
        <v>14</v>
      </c>
    </row>
    <row r="1928" spans="1:17" x14ac:dyDescent="0.25">
      <c r="A1928" s="1">
        <v>43992</v>
      </c>
      <c r="B1928">
        <v>8.4499999999999993</v>
      </c>
      <c r="C1928">
        <v>160.6</v>
      </c>
      <c r="D1928">
        <v>2.72</v>
      </c>
      <c r="E1928">
        <v>9.1999999999999993</v>
      </c>
      <c r="F1928">
        <v>4.9000000000000004</v>
      </c>
      <c r="G1928">
        <v>1.45</v>
      </c>
      <c r="H1928" s="15">
        <v>1.55</v>
      </c>
      <c r="I1928">
        <v>29.84</v>
      </c>
      <c r="J1928">
        <v>35.9</v>
      </c>
      <c r="K1928" t="e">
        <v>#N/A</v>
      </c>
      <c r="L1928" t="e">
        <v>#N/A</v>
      </c>
      <c r="M1928">
        <v>2.2999999999999998</v>
      </c>
      <c r="N1928">
        <v>6.9000000000000006E-2</v>
      </c>
      <c r="O1928">
        <v>1.56</v>
      </c>
      <c r="P1928">
        <v>0.36499999999999999</v>
      </c>
      <c r="Q1928">
        <v>13</v>
      </c>
    </row>
    <row r="1929" spans="1:17" x14ac:dyDescent="0.25">
      <c r="A1929" s="1">
        <v>43993</v>
      </c>
      <c r="B1929">
        <v>8.23</v>
      </c>
      <c r="C1929">
        <v>154.5</v>
      </c>
      <c r="D1929">
        <v>2.6</v>
      </c>
      <c r="E1929">
        <v>8.11</v>
      </c>
      <c r="F1929">
        <v>4.7</v>
      </c>
      <c r="G1929">
        <v>1.38</v>
      </c>
      <c r="H1929" s="15">
        <v>1.5</v>
      </c>
      <c r="I1929">
        <v>29.82</v>
      </c>
      <c r="J1929">
        <v>35.5</v>
      </c>
      <c r="K1929" t="e">
        <v>#N/A</v>
      </c>
      <c r="L1929">
        <v>1.56</v>
      </c>
      <c r="M1929" t="e">
        <v>#N/A</v>
      </c>
      <c r="N1929">
        <v>6.4000000000000001E-2</v>
      </c>
      <c r="O1929">
        <v>1.45</v>
      </c>
      <c r="P1929">
        <v>0.34</v>
      </c>
      <c r="Q1929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D3010-C692-4194-9310-D835B67A2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18</vt:i4>
      </vt:variant>
    </vt:vector>
  </HeadingPairs>
  <TitlesOfParts>
    <vt:vector size="21" baseType="lpstr">
      <vt:lpstr>cartera</vt:lpstr>
      <vt:lpstr>rprecios</vt:lpstr>
      <vt:lpstr>basedatos</vt:lpstr>
      <vt:lpstr>ALICORPC1</vt:lpstr>
      <vt:lpstr>BAP</vt:lpstr>
      <vt:lpstr>BBVAC1</vt:lpstr>
      <vt:lpstr>BVN</vt:lpstr>
      <vt:lpstr>Columna1</vt:lpstr>
      <vt:lpstr>COV</vt:lpstr>
      <vt:lpstr>CPACASC1</vt:lpstr>
      <vt:lpstr>FECHAS</vt:lpstr>
      <vt:lpstr>FERREYC1</vt:lpstr>
      <vt:lpstr>GRAMONC1</vt:lpstr>
      <vt:lpstr>IFS</vt:lpstr>
      <vt:lpstr>INRETC1</vt:lpstr>
      <vt:lpstr>LUSURC1</vt:lpstr>
      <vt:lpstr>MINSURI1</vt:lpstr>
      <vt:lpstr>NEXAPEC1</vt:lpstr>
      <vt:lpstr>RELAPAC1</vt:lpstr>
      <vt:lpstr>UNACEMC1</vt:lpstr>
      <vt:lpstr>VOLCABC1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Vidal</dc:creator>
  <cp:lastModifiedBy>Vidal</cp:lastModifiedBy>
  <dcterms:created xsi:type="dcterms:W3CDTF">2020-06-04T04:54:14Z</dcterms:created>
  <dcterms:modified xsi:type="dcterms:W3CDTF">2020-06-21T03:41:49Z</dcterms:modified>
</cp:coreProperties>
</file>